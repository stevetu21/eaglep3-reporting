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Runs'!$A$12:$AG$503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D3" i="6"/>
  <c r="D4" i="6"/>
  <c r="D5" i="6"/>
  <c r="D6" i="6"/>
  <c r="D7" i="6"/>
  <c r="D8" i="6"/>
  <c r="X160" i="1"/>
  <c r="K159" i="1"/>
  <c r="L159" i="1"/>
  <c r="M159" i="1"/>
  <c r="N159" i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X149" i="1"/>
  <c r="K148" i="1"/>
  <c r="L148" i="1"/>
  <c r="M148" i="1"/>
  <c r="N148" i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X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X133" i="1"/>
  <c r="X134" i="1"/>
  <c r="K132" i="1"/>
  <c r="L132" i="1"/>
  <c r="M132" i="1"/>
  <c r="N132" i="1"/>
  <c r="V132" i="1"/>
  <c r="AA132" i="1"/>
  <c r="AB132" i="1"/>
  <c r="AC132" i="1"/>
  <c r="AD132" i="1"/>
  <c r="T132" i="1" s="1"/>
  <c r="AE132" i="1"/>
  <c r="AF132" i="1"/>
  <c r="AH132" i="1"/>
  <c r="AM132" i="1"/>
  <c r="AN132" i="1"/>
  <c r="AO132" i="1"/>
  <c r="X124" i="1"/>
  <c r="K123" i="1"/>
  <c r="L123" i="1"/>
  <c r="M123" i="1"/>
  <c r="N123" i="1" s="1"/>
  <c r="V123" i="1"/>
  <c r="AA123" i="1"/>
  <c r="AB123" i="1"/>
  <c r="AC123" i="1"/>
  <c r="AD123" i="1"/>
  <c r="T123" i="1" s="1"/>
  <c r="AE123" i="1"/>
  <c r="AF123" i="1"/>
  <c r="AH123" i="1"/>
  <c r="AM123" i="1"/>
  <c r="AN123" i="1"/>
  <c r="AO123" i="1"/>
  <c r="X119" i="1"/>
  <c r="K118" i="1"/>
  <c r="L118" i="1"/>
  <c r="M118" i="1"/>
  <c r="N118" i="1"/>
  <c r="V118" i="1"/>
  <c r="AA118" i="1"/>
  <c r="AB118" i="1"/>
  <c r="AC118" i="1"/>
  <c r="AD118" i="1"/>
  <c r="T118" i="1" s="1"/>
  <c r="AE118" i="1"/>
  <c r="AF118" i="1"/>
  <c r="AH118" i="1"/>
  <c r="AM118" i="1"/>
  <c r="AN118" i="1"/>
  <c r="AO118" i="1"/>
  <c r="X96" i="1"/>
  <c r="X97" i="1"/>
  <c r="K95" i="1"/>
  <c r="L95" i="1"/>
  <c r="M95" i="1"/>
  <c r="N95" i="1"/>
  <c r="V95" i="1"/>
  <c r="AA95" i="1"/>
  <c r="AB95" i="1"/>
  <c r="AC95" i="1"/>
  <c r="AD95" i="1"/>
  <c r="T95" i="1" s="1"/>
  <c r="AE95" i="1"/>
  <c r="AF95" i="1"/>
  <c r="AH95" i="1"/>
  <c r="AM95" i="1"/>
  <c r="AN95" i="1"/>
  <c r="AO95" i="1"/>
  <c r="X91" i="1"/>
  <c r="X92" i="1"/>
  <c r="K90" i="1"/>
  <c r="L90" i="1"/>
  <c r="M90" i="1"/>
  <c r="N90" i="1" s="1"/>
  <c r="T90" i="1"/>
  <c r="V90" i="1"/>
  <c r="AA90" i="1"/>
  <c r="AB90" i="1"/>
  <c r="AC90" i="1"/>
  <c r="AD90" i="1"/>
  <c r="X90" i="1" s="1"/>
  <c r="AE90" i="1"/>
  <c r="AF90" i="1"/>
  <c r="AH90" i="1"/>
  <c r="AM90" i="1"/>
  <c r="AN90" i="1"/>
  <c r="AO90" i="1"/>
  <c r="X82" i="1"/>
  <c r="X83" i="1"/>
  <c r="P5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P25" i="1" s="1"/>
  <c r="V25" i="1"/>
  <c r="Y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S8" i="3" s="1"/>
  <c r="Y27" i="1"/>
  <c r="Z27" i="1"/>
  <c r="AB27" i="1"/>
  <c r="AC27" i="1"/>
  <c r="AD27" i="1"/>
  <c r="AE27" i="1"/>
  <c r="R8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S12" i="3" s="1"/>
  <c r="Y65" i="1"/>
  <c r="Z65" i="1"/>
  <c r="AB65" i="1"/>
  <c r="AC65" i="1"/>
  <c r="AD65" i="1"/>
  <c r="AE65" i="1"/>
  <c r="R12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Z72" i="1"/>
  <c r="AA72" i="1" s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X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T74" i="1"/>
  <c r="V74" i="1"/>
  <c r="S13" i="3" s="1"/>
  <c r="Y74" i="1"/>
  <c r="Z74" i="1"/>
  <c r="AA74" i="1" s="1"/>
  <c r="AB74" i="1"/>
  <c r="AC74" i="1"/>
  <c r="AD74" i="1"/>
  <c r="X74" i="1" s="1"/>
  <c r="AE74" i="1"/>
  <c r="R13" i="3" s="1"/>
  <c r="AF74" i="1"/>
  <c r="AH74" i="1"/>
  <c r="AM74" i="1"/>
  <c r="AN74" i="1"/>
  <c r="AO74" i="1"/>
  <c r="K75" i="1"/>
  <c r="L75" i="1"/>
  <c r="M75" i="1"/>
  <c r="N75" i="1" s="1"/>
  <c r="V75" i="1"/>
  <c r="X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T76" i="1"/>
  <c r="V76" i="1"/>
  <c r="Y76" i="1"/>
  <c r="Z76" i="1"/>
  <c r="AA76" i="1" s="1"/>
  <c r="AB76" i="1"/>
  <c r="AC76" i="1"/>
  <c r="AD76" i="1"/>
  <c r="X76" i="1" s="1"/>
  <c r="AE76" i="1"/>
  <c r="AF76" i="1"/>
  <c r="AH76" i="1"/>
  <c r="AM76" i="1"/>
  <c r="AN76" i="1"/>
  <c r="AO76" i="1"/>
  <c r="K77" i="1"/>
  <c r="L77" i="1"/>
  <c r="M77" i="1"/>
  <c r="N77" i="1" s="1"/>
  <c r="V77" i="1"/>
  <c r="X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T78" i="1"/>
  <c r="V78" i="1"/>
  <c r="S9" i="3" s="1"/>
  <c r="Y78" i="1"/>
  <c r="Z78" i="1"/>
  <c r="AA78" i="1" s="1"/>
  <c r="AB78" i="1"/>
  <c r="AC78" i="1"/>
  <c r="AD78" i="1"/>
  <c r="X78" i="1" s="1"/>
  <c r="AE78" i="1"/>
  <c r="R9" i="3" s="1"/>
  <c r="AF78" i="1"/>
  <c r="AH78" i="1"/>
  <c r="AM78" i="1"/>
  <c r="AN78" i="1"/>
  <c r="AO78" i="1"/>
  <c r="K79" i="1"/>
  <c r="L79" i="1"/>
  <c r="M79" i="1"/>
  <c r="N79" i="1" s="1"/>
  <c r="V79" i="1"/>
  <c r="X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T80" i="1"/>
  <c r="V80" i="1"/>
  <c r="Y80" i="1"/>
  <c r="Z80" i="1"/>
  <c r="AA80" i="1" s="1"/>
  <c r="AB80" i="1"/>
  <c r="AC80" i="1"/>
  <c r="AD80" i="1"/>
  <c r="X80" i="1" s="1"/>
  <c r="AE80" i="1"/>
  <c r="AF80" i="1"/>
  <c r="AH80" i="1"/>
  <c r="AM80" i="1"/>
  <c r="AN80" i="1"/>
  <c r="AO80" i="1"/>
  <c r="K81" i="1"/>
  <c r="L81" i="1"/>
  <c r="M81" i="1"/>
  <c r="N81" i="1" s="1"/>
  <c r="V81" i="1"/>
  <c r="X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T82" i="1"/>
  <c r="V82" i="1"/>
  <c r="S10" i="3" s="1"/>
  <c r="Y82" i="1"/>
  <c r="Z82" i="1"/>
  <c r="AA82" i="1" s="1"/>
  <c r="AB82" i="1"/>
  <c r="AC82" i="1"/>
  <c r="AD82" i="1"/>
  <c r="AE82" i="1"/>
  <c r="R10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X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T85" i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X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AO98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AO99" i="1"/>
  <c r="K165" i="1"/>
  <c r="L165" i="1"/>
  <c r="M165" i="1"/>
  <c r="N165" i="1" s="1"/>
  <c r="V165" i="1"/>
  <c r="S14" i="3" s="1"/>
  <c r="Y165" i="1"/>
  <c r="Z165" i="1"/>
  <c r="AB165" i="1"/>
  <c r="AC165" i="1"/>
  <c r="AD165" i="1"/>
  <c r="T165" i="1" s="1"/>
  <c r="AE165" i="1"/>
  <c r="R14" i="3" s="1"/>
  <c r="AF165" i="1"/>
  <c r="AH100" i="1"/>
  <c r="AM100" i="1"/>
  <c r="AN100" i="1"/>
  <c r="AO100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S17" i="3" s="1"/>
  <c r="Y171" i="1"/>
  <c r="Z171" i="1"/>
  <c r="AB171" i="1"/>
  <c r="AC171" i="1"/>
  <c r="AD171" i="1"/>
  <c r="AE171" i="1"/>
  <c r="R17" i="3" s="1"/>
  <c r="AF171" i="1"/>
  <c r="AH106" i="1"/>
  <c r="AM106" i="1"/>
  <c r="AN106" i="1"/>
  <c r="AO106" i="1"/>
  <c r="K172" i="1"/>
  <c r="L172" i="1"/>
  <c r="M172" i="1"/>
  <c r="N172" i="1" s="1"/>
  <c r="V172" i="1"/>
  <c r="S15" i="3" s="1"/>
  <c r="Y172" i="1"/>
  <c r="AA172" i="1" s="1"/>
  <c r="Z172" i="1"/>
  <c r="AB172" i="1"/>
  <c r="AC172" i="1"/>
  <c r="AD172" i="1"/>
  <c r="AE172" i="1"/>
  <c r="R15" i="3" s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AO112" i="1"/>
  <c r="K178" i="1"/>
  <c r="L178" i="1"/>
  <c r="M178" i="1"/>
  <c r="P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6" i="1"/>
  <c r="AM116" i="1"/>
  <c r="AN116" i="1"/>
  <c r="AO11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2" i="1"/>
  <c r="AM122" i="1"/>
  <c r="AN122" i="1"/>
  <c r="AO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5" i="1"/>
  <c r="AM125" i="1"/>
  <c r="AN125" i="1"/>
  <c r="AO125" i="1"/>
  <c r="K188" i="1"/>
  <c r="L188" i="1"/>
  <c r="M188" i="1"/>
  <c r="N188" i="1" s="1"/>
  <c r="V188" i="1"/>
  <c r="S16" i="3" s="1"/>
  <c r="Y188" i="1"/>
  <c r="Z188" i="1"/>
  <c r="AB188" i="1"/>
  <c r="AC188" i="1"/>
  <c r="AD188" i="1"/>
  <c r="AE188" i="1"/>
  <c r="R16" i="3" s="1"/>
  <c r="AF188" i="1"/>
  <c r="AH126" i="1"/>
  <c r="AM126" i="1"/>
  <c r="AN126" i="1"/>
  <c r="AO1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7" i="1"/>
  <c r="AM127" i="1"/>
  <c r="AN127" i="1"/>
  <c r="AO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AO1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9" i="1"/>
  <c r="AM129" i="1"/>
  <c r="AN129" i="1"/>
  <c r="AO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N130" i="1"/>
  <c r="AO13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3" i="1"/>
  <c r="AM133" i="1"/>
  <c r="AN133" i="1"/>
  <c r="AO13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4" i="1"/>
  <c r="AM134" i="1"/>
  <c r="AN134" i="1"/>
  <c r="AO13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5" i="1"/>
  <c r="AM135" i="1"/>
  <c r="AN135" i="1"/>
  <c r="AO13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6" i="1"/>
  <c r="AM136" i="1"/>
  <c r="AN136" i="1"/>
  <c r="AO13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7" i="1"/>
  <c r="AM137" i="1"/>
  <c r="AN137" i="1"/>
  <c r="AO13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8" i="1"/>
  <c r="AM138" i="1"/>
  <c r="AN138" i="1"/>
  <c r="AO13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9" i="1"/>
  <c r="AM139" i="1"/>
  <c r="AN139" i="1"/>
  <c r="AO13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40" i="1"/>
  <c r="AM140" i="1"/>
  <c r="AN140" i="1"/>
  <c r="AO14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41" i="1"/>
  <c r="AM141" i="1"/>
  <c r="AN141" i="1"/>
  <c r="AO14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42" i="1"/>
  <c r="AM142" i="1"/>
  <c r="AN142" i="1"/>
  <c r="AO14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4" i="1"/>
  <c r="AM144" i="1"/>
  <c r="AN144" i="1"/>
  <c r="AO144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5" i="1"/>
  <c r="AM145" i="1"/>
  <c r="AN145" i="1"/>
  <c r="AO14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46" i="1"/>
  <c r="AM146" i="1"/>
  <c r="AN146" i="1"/>
  <c r="AO146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47" i="1"/>
  <c r="AM147" i="1"/>
  <c r="AN147" i="1"/>
  <c r="AO147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9" i="1"/>
  <c r="AM149" i="1"/>
  <c r="AN149" i="1"/>
  <c r="AO14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50" i="1"/>
  <c r="AM150" i="1"/>
  <c r="AN150" i="1"/>
  <c r="AO150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51" i="1"/>
  <c r="AM151" i="1"/>
  <c r="AN151" i="1"/>
  <c r="AO151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52" i="1"/>
  <c r="AM152" i="1"/>
  <c r="AN152" i="1"/>
  <c r="AO152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53" i="1"/>
  <c r="AM153" i="1"/>
  <c r="AN153" i="1"/>
  <c r="AO153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4" i="1"/>
  <c r="AM154" i="1"/>
  <c r="AN154" i="1"/>
  <c r="AO154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5" i="1"/>
  <c r="AM155" i="1"/>
  <c r="AN155" i="1"/>
  <c r="AO155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6" i="1"/>
  <c r="AM156" i="1"/>
  <c r="AN156" i="1"/>
  <c r="AO156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7" i="1"/>
  <c r="AM157" i="1"/>
  <c r="AN157" i="1"/>
  <c r="AO157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8" i="1"/>
  <c r="AM158" i="1"/>
  <c r="AN158" i="1"/>
  <c r="AO158" i="1"/>
  <c r="K115" i="1"/>
  <c r="L115" i="1"/>
  <c r="M115" i="1"/>
  <c r="N115" i="1" s="1"/>
  <c r="V115" i="1"/>
  <c r="S11" i="3" s="1"/>
  <c r="Y115" i="1"/>
  <c r="Z115" i="1"/>
  <c r="AB115" i="1"/>
  <c r="AC115" i="1"/>
  <c r="AD115" i="1"/>
  <c r="AE115" i="1"/>
  <c r="R11" i="3" s="1"/>
  <c r="AF115" i="1"/>
  <c r="AH160" i="1"/>
  <c r="AM160" i="1"/>
  <c r="AN160" i="1"/>
  <c r="AO160" i="1"/>
  <c r="K116" i="1"/>
  <c r="L116" i="1"/>
  <c r="M116" i="1"/>
  <c r="N116" i="1" s="1"/>
  <c r="V116" i="1"/>
  <c r="S7" i="3" s="1"/>
  <c r="Y116" i="1"/>
  <c r="Z116" i="1"/>
  <c r="AB116" i="1"/>
  <c r="AC116" i="1"/>
  <c r="AD116" i="1"/>
  <c r="AE116" i="1"/>
  <c r="R7" i="3" s="1"/>
  <c r="AF116" i="1"/>
  <c r="AH161" i="1"/>
  <c r="AM161" i="1"/>
  <c r="AN161" i="1"/>
  <c r="AO161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62" i="1"/>
  <c r="AM162" i="1"/>
  <c r="AN162" i="1"/>
  <c r="AO16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63" i="1"/>
  <c r="AM163" i="1"/>
  <c r="AN163" i="1"/>
  <c r="AO163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4" i="1"/>
  <c r="AM164" i="1"/>
  <c r="AN164" i="1"/>
  <c r="AO164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5" i="1"/>
  <c r="AM165" i="1"/>
  <c r="AN165" i="1"/>
  <c r="AO165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6" i="1"/>
  <c r="AM166" i="1"/>
  <c r="AN166" i="1"/>
  <c r="AO166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7" i="1"/>
  <c r="AM167" i="1"/>
  <c r="AN167" i="1"/>
  <c r="AO167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8" i="1"/>
  <c r="AM168" i="1"/>
  <c r="AN168" i="1"/>
  <c r="AO168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69" i="1"/>
  <c r="AM169" i="1"/>
  <c r="AN169" i="1"/>
  <c r="AO169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70" i="1"/>
  <c r="AM170" i="1"/>
  <c r="AN170" i="1"/>
  <c r="AO170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71" i="1"/>
  <c r="AM171" i="1"/>
  <c r="AN171" i="1"/>
  <c r="AO171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72" i="1"/>
  <c r="AM172" i="1"/>
  <c r="AN172" i="1"/>
  <c r="AO172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73" i="1"/>
  <c r="AM173" i="1"/>
  <c r="AN173" i="1"/>
  <c r="AO17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4" i="1"/>
  <c r="AM174" i="1"/>
  <c r="AN174" i="1"/>
  <c r="AO174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75" i="1"/>
  <c r="AM175" i="1"/>
  <c r="AN175" i="1"/>
  <c r="AO175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6" i="1"/>
  <c r="AM176" i="1"/>
  <c r="AN176" i="1"/>
  <c r="AO176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7" i="1"/>
  <c r="AM177" i="1"/>
  <c r="AN177" i="1"/>
  <c r="AO177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8" i="1"/>
  <c r="AM178" i="1"/>
  <c r="AN178" i="1"/>
  <c r="AO178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9" i="1"/>
  <c r="AM179" i="1"/>
  <c r="AN179" i="1"/>
  <c r="AO179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80" i="1"/>
  <c r="AM180" i="1"/>
  <c r="AN180" i="1"/>
  <c r="AO180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81" i="1"/>
  <c r="AM181" i="1"/>
  <c r="AN181" i="1"/>
  <c r="AO181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2" i="1"/>
  <c r="AM182" i="1"/>
  <c r="AN182" i="1"/>
  <c r="AO182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83" i="1"/>
  <c r="AM183" i="1"/>
  <c r="AN183" i="1"/>
  <c r="AO183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4" i="1"/>
  <c r="AM184" i="1"/>
  <c r="AN184" i="1"/>
  <c r="AO184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5" i="1"/>
  <c r="AM185" i="1"/>
  <c r="AN185" i="1"/>
  <c r="AO185" i="1"/>
  <c r="K145" i="1"/>
  <c r="L145" i="1"/>
  <c r="M145" i="1"/>
  <c r="N145" i="1"/>
  <c r="V145" i="1"/>
  <c r="Y145" i="1"/>
  <c r="Z145" i="1"/>
  <c r="AB145" i="1"/>
  <c r="AC145" i="1"/>
  <c r="AD145" i="1"/>
  <c r="AE145" i="1"/>
  <c r="AF145" i="1"/>
  <c r="AH186" i="1"/>
  <c r="AM186" i="1"/>
  <c r="AN186" i="1"/>
  <c r="AO186" i="1"/>
  <c r="K146" i="1"/>
  <c r="L146" i="1"/>
  <c r="M146" i="1"/>
  <c r="N146" i="1"/>
  <c r="V146" i="1"/>
  <c r="Y146" i="1"/>
  <c r="Z146" i="1"/>
  <c r="AA146" i="1"/>
  <c r="AB146" i="1"/>
  <c r="AC146" i="1"/>
  <c r="AD146" i="1"/>
  <c r="AE146" i="1"/>
  <c r="AF146" i="1"/>
  <c r="AH187" i="1"/>
  <c r="AM187" i="1"/>
  <c r="AN187" i="1"/>
  <c r="AO187" i="1"/>
  <c r="K147" i="1"/>
  <c r="L147" i="1"/>
  <c r="M147" i="1"/>
  <c r="N147" i="1"/>
  <c r="V147" i="1"/>
  <c r="Y147" i="1"/>
  <c r="Z147" i="1"/>
  <c r="AA147" i="1" s="1"/>
  <c r="AB147" i="1"/>
  <c r="AC147" i="1"/>
  <c r="AD147" i="1"/>
  <c r="AE147" i="1"/>
  <c r="AF147" i="1"/>
  <c r="AH188" i="1"/>
  <c r="AM188" i="1"/>
  <c r="AN188" i="1"/>
  <c r="AO188" i="1"/>
  <c r="K149" i="1"/>
  <c r="L149" i="1"/>
  <c r="M149" i="1"/>
  <c r="N149" i="1"/>
  <c r="V149" i="1"/>
  <c r="Y149" i="1"/>
  <c r="Z149" i="1"/>
  <c r="AA149" i="1"/>
  <c r="AB149" i="1"/>
  <c r="AC149" i="1"/>
  <c r="AD149" i="1"/>
  <c r="AE149" i="1"/>
  <c r="AF149" i="1"/>
  <c r="AH189" i="1"/>
  <c r="AM189" i="1"/>
  <c r="AN189" i="1"/>
  <c r="AO18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90" i="1"/>
  <c r="AM190" i="1"/>
  <c r="AN190" i="1"/>
  <c r="AO19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1" i="1"/>
  <c r="AM191" i="1"/>
  <c r="AN191" i="1"/>
  <c r="AO191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92" i="1"/>
  <c r="AM192" i="1"/>
  <c r="AN192" i="1"/>
  <c r="AO19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3" i="1"/>
  <c r="AM193" i="1"/>
  <c r="AN193" i="1"/>
  <c r="AO193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94" i="1"/>
  <c r="AM194" i="1"/>
  <c r="AN194" i="1"/>
  <c r="AO19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5" i="1"/>
  <c r="AM195" i="1"/>
  <c r="AN195" i="1"/>
  <c r="AO19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6" i="1"/>
  <c r="AM196" i="1"/>
  <c r="AN196" i="1"/>
  <c r="AO19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8" i="1"/>
  <c r="AM198" i="1"/>
  <c r="AN198" i="1"/>
  <c r="AO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X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T205" i="1"/>
  <c r="V205" i="1"/>
  <c r="Y205" i="1"/>
  <c r="Z205" i="1"/>
  <c r="AB205" i="1"/>
  <c r="AC205" i="1"/>
  <c r="AD205" i="1"/>
  <c r="X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T207" i="1"/>
  <c r="V207" i="1"/>
  <c r="Y207" i="1"/>
  <c r="Z207" i="1"/>
  <c r="AA207" i="1" s="1"/>
  <c r="AB207" i="1"/>
  <c r="AC207" i="1"/>
  <c r="AD207" i="1"/>
  <c r="X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AA214" i="1" s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X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T216" i="1"/>
  <c r="V216" i="1"/>
  <c r="Y216" i="1"/>
  <c r="Z216" i="1"/>
  <c r="AA216" i="1" s="1"/>
  <c r="AB216" i="1"/>
  <c r="AC216" i="1"/>
  <c r="AD216" i="1"/>
  <c r="X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AA217" i="1" s="1"/>
  <c r="Z217" i="1"/>
  <c r="AB217" i="1"/>
  <c r="AC217" i="1"/>
  <c r="AD217" i="1"/>
  <c r="X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/>
  <c r="V221" i="1"/>
  <c r="Y221" i="1"/>
  <c r="Z221" i="1"/>
  <c r="AB221" i="1"/>
  <c r="AC221" i="1"/>
  <c r="AD221" i="1"/>
  <c r="X221" i="1" s="1"/>
  <c r="AE221" i="1"/>
  <c r="AF221" i="1"/>
  <c r="AH221" i="1"/>
  <c r="AM221" i="1"/>
  <c r="AN221" i="1"/>
  <c r="AO221" i="1"/>
  <c r="M8" i="3"/>
  <c r="U8" i="3"/>
  <c r="V8" i="3"/>
  <c r="X8" i="3"/>
  <c r="M14" i="3"/>
  <c r="U14" i="3"/>
  <c r="AC14" i="3" s="1"/>
  <c r="V14" i="3"/>
  <c r="X14" i="3"/>
  <c r="M17" i="3"/>
  <c r="U17" i="3"/>
  <c r="AC17" i="3" s="1"/>
  <c r="V17" i="3"/>
  <c r="X17" i="3"/>
  <c r="M12" i="3"/>
  <c r="U12" i="3"/>
  <c r="T12" i="3" s="1"/>
  <c r="V12" i="3"/>
  <c r="X12" i="3"/>
  <c r="M15" i="3"/>
  <c r="U15" i="3"/>
  <c r="V15" i="3"/>
  <c r="X15" i="3"/>
  <c r="M13" i="3"/>
  <c r="U13" i="3"/>
  <c r="AC13" i="3" s="1"/>
  <c r="V13" i="3"/>
  <c r="X13" i="3"/>
  <c r="M9" i="3"/>
  <c r="U9" i="3"/>
  <c r="T9" i="3" s="1"/>
  <c r="V9" i="3"/>
  <c r="X9" i="3"/>
  <c r="M10" i="3"/>
  <c r="U10" i="3"/>
  <c r="V10" i="3"/>
  <c r="X10" i="3"/>
  <c r="M11" i="3"/>
  <c r="U11" i="3"/>
  <c r="AC11" i="3" s="1"/>
  <c r="V11" i="3"/>
  <c r="X11" i="3"/>
  <c r="M7" i="3"/>
  <c r="U7" i="3"/>
  <c r="AC7" i="3" s="1"/>
  <c r="V7" i="3"/>
  <c r="X7" i="3"/>
  <c r="M16" i="3"/>
  <c r="U16" i="3"/>
  <c r="V16" i="3"/>
  <c r="X16" i="3"/>
  <c r="AG159" i="1"/>
  <c r="AG148" i="1"/>
  <c r="AG143" i="1"/>
  <c r="AG132" i="1"/>
  <c r="AG123" i="1"/>
  <c r="AG118" i="1"/>
  <c r="AG95" i="1"/>
  <c r="AG90" i="1"/>
  <c r="AG14" i="1"/>
  <c r="AG21" i="1"/>
  <c r="AG29" i="1"/>
  <c r="AG16" i="1"/>
  <c r="AG22" i="1"/>
  <c r="AG30" i="1"/>
  <c r="AG40" i="1"/>
  <c r="AG48" i="1"/>
  <c r="AG56" i="1"/>
  <c r="AG64" i="1"/>
  <c r="AG71" i="1"/>
  <c r="AG75" i="1"/>
  <c r="AG79" i="1"/>
  <c r="AG86" i="1"/>
  <c r="AG45" i="1"/>
  <c r="AG61" i="1"/>
  <c r="AG19" i="1"/>
  <c r="AG31" i="1"/>
  <c r="AG17" i="1"/>
  <c r="AG28" i="1"/>
  <c r="AG42" i="1"/>
  <c r="AG52" i="1"/>
  <c r="AG62" i="1"/>
  <c r="AG72" i="1"/>
  <c r="AG77" i="1"/>
  <c r="AG82" i="1"/>
  <c r="AG49" i="1"/>
  <c r="AG69" i="1"/>
  <c r="AG94" i="1"/>
  <c r="AG171" i="1"/>
  <c r="AG176" i="1"/>
  <c r="AG180" i="1"/>
  <c r="AG183" i="1"/>
  <c r="AG43" i="1"/>
  <c r="AG59" i="1"/>
  <c r="AG87" i="1"/>
  <c r="AG168" i="1"/>
  <c r="AG189" i="1"/>
  <c r="AG196" i="1"/>
  <c r="AG104" i="1"/>
  <c r="AG186" i="1"/>
  <c r="AG193" i="1"/>
  <c r="AG101" i="1"/>
  <c r="AG107" i="1"/>
  <c r="AG115" i="1"/>
  <c r="AG211" i="1"/>
  <c r="AG112" i="1"/>
  <c r="AG120" i="1"/>
  <c r="AG129" i="1"/>
  <c r="AG121" i="1"/>
  <c r="AG130" i="1"/>
  <c r="AG139" i="1"/>
  <c r="AG149" i="1"/>
  <c r="AG156" i="1"/>
  <c r="AG160" i="1"/>
  <c r="AG200" i="1"/>
  <c r="AG212" i="1"/>
  <c r="AG216" i="1"/>
  <c r="AG220" i="1"/>
  <c r="AG138" i="1"/>
  <c r="AG140" i="1"/>
  <c r="AG157" i="1"/>
  <c r="AG23" i="1"/>
  <c r="AG33" i="1"/>
  <c r="AG20" i="1"/>
  <c r="AG32" i="1"/>
  <c r="AG44" i="1"/>
  <c r="AG54" i="1"/>
  <c r="AG66" i="1"/>
  <c r="AG73" i="1"/>
  <c r="AG78" i="1"/>
  <c r="AG91" i="1"/>
  <c r="AG53" i="1"/>
  <c r="AG164" i="1"/>
  <c r="AG173" i="1"/>
  <c r="AG177" i="1"/>
  <c r="AG181" i="1"/>
  <c r="AG184" i="1"/>
  <c r="AG47" i="1"/>
  <c r="AG63" i="1"/>
  <c r="AG92" i="1"/>
  <c r="AG170" i="1"/>
  <c r="AG191" i="1"/>
  <c r="AG98" i="1"/>
  <c r="AG84" i="1"/>
  <c r="AG195" i="1"/>
  <c r="AG103" i="1"/>
  <c r="AG109" i="1"/>
  <c r="AG117" i="1"/>
  <c r="AG114" i="1"/>
  <c r="AG131" i="1"/>
  <c r="AG133" i="1"/>
  <c r="AG151" i="1"/>
  <c r="AG201" i="1"/>
  <c r="AG213" i="1"/>
  <c r="AG221" i="1"/>
  <c r="AG145" i="1"/>
  <c r="AG188" i="1"/>
  <c r="AG106" i="1"/>
  <c r="AG122" i="1"/>
  <c r="AG124" i="1"/>
  <c r="AG141" i="1"/>
  <c r="AG198" i="1"/>
  <c r="AG204" i="1"/>
  <c r="AG217" i="1"/>
  <c r="AG147" i="1"/>
  <c r="AG199" i="1"/>
  <c r="AG18" i="1"/>
  <c r="AG25" i="1"/>
  <c r="AG36" i="1"/>
  <c r="AG24" i="1"/>
  <c r="AG34" i="1"/>
  <c r="AG46" i="1"/>
  <c r="AG58" i="1"/>
  <c r="AG68" i="1"/>
  <c r="AG74" i="1"/>
  <c r="AG80" i="1"/>
  <c r="AG163" i="1"/>
  <c r="AG57" i="1"/>
  <c r="AG85" i="1"/>
  <c r="AG167" i="1"/>
  <c r="AG174" i="1"/>
  <c r="AG178" i="1"/>
  <c r="AG96" i="1"/>
  <c r="AG185" i="1"/>
  <c r="AG51" i="1"/>
  <c r="AG67" i="1"/>
  <c r="AG162" i="1"/>
  <c r="AG172" i="1"/>
  <c r="AG192" i="1"/>
  <c r="AG100" i="1"/>
  <c r="AG93" i="1"/>
  <c r="AG190" i="1"/>
  <c r="AG197" i="1"/>
  <c r="AG210" i="1"/>
  <c r="AG111" i="1"/>
  <c r="AG88" i="1"/>
  <c r="AG108" i="1"/>
  <c r="AG116" i="1"/>
  <c r="AG125" i="1"/>
  <c r="AG134" i="1"/>
  <c r="AG126" i="1"/>
  <c r="AG135" i="1"/>
  <c r="AG144" i="1"/>
  <c r="AG81" i="1"/>
  <c r="AG202" i="1"/>
  <c r="AG152" i="1"/>
  <c r="AG208" i="1"/>
  <c r="AG214" i="1"/>
  <c r="AG218" i="1"/>
  <c r="AG203" i="1"/>
  <c r="AG153" i="1"/>
  <c r="AG150" i="1"/>
  <c r="AG142" i="1"/>
  <c r="AG15" i="1"/>
  <c r="AG27" i="1"/>
  <c r="AG37" i="1"/>
  <c r="AG26" i="1"/>
  <c r="AG38" i="1"/>
  <c r="AG50" i="1"/>
  <c r="AG60" i="1"/>
  <c r="AG70" i="1"/>
  <c r="AG76" i="1"/>
  <c r="AG35" i="1"/>
  <c r="AG41" i="1"/>
  <c r="AG65" i="1"/>
  <c r="AG89" i="1"/>
  <c r="AG169" i="1"/>
  <c r="AG175" i="1"/>
  <c r="AG179" i="1"/>
  <c r="AG182" i="1"/>
  <c r="AG39" i="1"/>
  <c r="AG55" i="1"/>
  <c r="AG83" i="1"/>
  <c r="AG166" i="1"/>
  <c r="AG187" i="1"/>
  <c r="AG194" i="1"/>
  <c r="AG102" i="1"/>
  <c r="AG165" i="1"/>
  <c r="AG97" i="1"/>
  <c r="AG99" i="1"/>
  <c r="AG105" i="1"/>
  <c r="AG113" i="1"/>
  <c r="AG161" i="1"/>
  <c r="AG110" i="1"/>
  <c r="AG119" i="1"/>
  <c r="AG127" i="1"/>
  <c r="AG136" i="1"/>
  <c r="AG128" i="1"/>
  <c r="AG137" i="1"/>
  <c r="AG146" i="1"/>
  <c r="AG154" i="1"/>
  <c r="AG206" i="1"/>
  <c r="AG158" i="1"/>
  <c r="AG209" i="1"/>
  <c r="AG215" i="1"/>
  <c r="AG219" i="1"/>
  <c r="AG207" i="1"/>
  <c r="AG205" i="1"/>
  <c r="AG155" i="1"/>
  <c r="W16" i="3"/>
  <c r="W12" i="3"/>
  <c r="W15" i="3"/>
  <c r="W13" i="3"/>
  <c r="W7" i="3"/>
  <c r="W8" i="3"/>
  <c r="W17" i="3"/>
  <c r="W11" i="3"/>
  <c r="W9" i="3"/>
  <c r="W10" i="3"/>
  <c r="W14" i="3"/>
  <c r="X159" i="1" l="1"/>
  <c r="U159" i="1"/>
  <c r="S159" i="1" s="1"/>
  <c r="AI159" i="1"/>
  <c r="W159" i="1"/>
  <c r="AI148" i="1"/>
  <c r="U148" i="1"/>
  <c r="S148" i="1" s="1"/>
  <c r="W148" i="1"/>
  <c r="X148" i="1"/>
  <c r="AI143" i="1"/>
  <c r="U143" i="1"/>
  <c r="S143" i="1" s="1"/>
  <c r="W143" i="1"/>
  <c r="X143" i="1"/>
  <c r="AI132" i="1"/>
  <c r="U132" i="1"/>
  <c r="S132" i="1" s="1"/>
  <c r="W132" i="1"/>
  <c r="X132" i="1"/>
  <c r="AI123" i="1"/>
  <c r="U123" i="1"/>
  <c r="S123" i="1" s="1"/>
  <c r="W123" i="1"/>
  <c r="X123" i="1"/>
  <c r="AI118" i="1"/>
  <c r="U118" i="1"/>
  <c r="S118" i="1" s="1"/>
  <c r="W118" i="1"/>
  <c r="X118" i="1"/>
  <c r="AI95" i="1"/>
  <c r="U95" i="1"/>
  <c r="S95" i="1" s="1"/>
  <c r="W95" i="1"/>
  <c r="X95" i="1"/>
  <c r="AI90" i="1"/>
  <c r="U90" i="1"/>
  <c r="S90" i="1" s="1"/>
  <c r="W90" i="1"/>
  <c r="AA68" i="1"/>
  <c r="AA23" i="1"/>
  <c r="X220" i="1"/>
  <c r="AA219" i="1"/>
  <c r="X214" i="1"/>
  <c r="AA201" i="1"/>
  <c r="AA155" i="1"/>
  <c r="X153" i="1"/>
  <c r="X219" i="1"/>
  <c r="AA202" i="1"/>
  <c r="X200" i="1"/>
  <c r="X199" i="1"/>
  <c r="T154" i="1"/>
  <c r="T88" i="1"/>
  <c r="AA198" i="1"/>
  <c r="AA220" i="1"/>
  <c r="X206" i="1"/>
  <c r="AA206" i="1"/>
  <c r="AA131" i="1"/>
  <c r="AA117" i="1"/>
  <c r="AA113" i="1"/>
  <c r="AA109" i="1"/>
  <c r="AA105" i="1"/>
  <c r="AA182" i="1"/>
  <c r="AA161" i="1"/>
  <c r="X94" i="1"/>
  <c r="T92" i="1"/>
  <c r="AA53" i="1"/>
  <c r="AA49" i="1"/>
  <c r="AA40" i="1"/>
  <c r="AA36" i="1"/>
  <c r="AA185" i="1"/>
  <c r="AA183" i="1"/>
  <c r="AA163" i="1"/>
  <c r="AA91" i="1"/>
  <c r="AA221" i="1"/>
  <c r="X218" i="1"/>
  <c r="X158" i="1"/>
  <c r="AA156" i="1"/>
  <c r="W156" i="1" s="1"/>
  <c r="AA141" i="1"/>
  <c r="T217" i="1"/>
  <c r="AA215" i="1"/>
  <c r="X209" i="1"/>
  <c r="AA204" i="1"/>
  <c r="AA199" i="1"/>
  <c r="X157" i="1"/>
  <c r="AA151" i="1"/>
  <c r="W151" i="1" s="1"/>
  <c r="AA144" i="1"/>
  <c r="AA134" i="1"/>
  <c r="W134" i="1" s="1"/>
  <c r="AA120" i="1"/>
  <c r="AA115" i="1"/>
  <c r="W115" i="1" s="1"/>
  <c r="AA111" i="1"/>
  <c r="AA107" i="1"/>
  <c r="AA193" i="1"/>
  <c r="AA190" i="1"/>
  <c r="AA186" i="1"/>
  <c r="AA170" i="1"/>
  <c r="W170" i="1" s="1"/>
  <c r="AA165" i="1"/>
  <c r="AA94" i="1"/>
  <c r="W94" i="1" s="1"/>
  <c r="AA93" i="1"/>
  <c r="AA89" i="1"/>
  <c r="W89" i="1" s="1"/>
  <c r="AA87" i="1"/>
  <c r="AA84" i="1"/>
  <c r="W84" i="1" s="1"/>
  <c r="AA83" i="1"/>
  <c r="AA81" i="1"/>
  <c r="AA62" i="1"/>
  <c r="AA61" i="1"/>
  <c r="AA58" i="1"/>
  <c r="AA57" i="1"/>
  <c r="AA52" i="1"/>
  <c r="W52" i="1" s="1"/>
  <c r="AA39" i="1"/>
  <c r="X212" i="1"/>
  <c r="AA209" i="1"/>
  <c r="X203" i="1"/>
  <c r="AA128" i="1"/>
  <c r="AA164" i="1"/>
  <c r="AA69" i="1"/>
  <c r="AA65" i="1"/>
  <c r="W65" i="1" s="1"/>
  <c r="AA60" i="1"/>
  <c r="T221" i="1"/>
  <c r="U221" i="1" s="1"/>
  <c r="S221" i="1" s="1"/>
  <c r="X213" i="1"/>
  <c r="AA212" i="1"/>
  <c r="X208" i="1"/>
  <c r="AA203" i="1"/>
  <c r="W203" i="1" s="1"/>
  <c r="AA158" i="1"/>
  <c r="AA138" i="1"/>
  <c r="AA121" i="1"/>
  <c r="AA96" i="1"/>
  <c r="AA180" i="1"/>
  <c r="AA167" i="1"/>
  <c r="W167" i="1" s="1"/>
  <c r="AA54" i="1"/>
  <c r="AA50" i="1"/>
  <c r="AA44" i="1"/>
  <c r="AA31" i="1"/>
  <c r="X202" i="1"/>
  <c r="X201" i="1"/>
  <c r="X156" i="1"/>
  <c r="X155" i="1"/>
  <c r="AA154" i="1"/>
  <c r="AA135" i="1"/>
  <c r="AA125" i="1"/>
  <c r="AA122" i="1"/>
  <c r="AA210" i="1"/>
  <c r="AA104" i="1"/>
  <c r="AA103" i="1"/>
  <c r="AA102" i="1"/>
  <c r="AA101" i="1"/>
  <c r="AA100" i="1"/>
  <c r="AA99" i="1"/>
  <c r="W99" i="1" s="1"/>
  <c r="AA98" i="1"/>
  <c r="AA197" i="1"/>
  <c r="AA196" i="1"/>
  <c r="AA195" i="1"/>
  <c r="W195" i="1" s="1"/>
  <c r="AA194" i="1"/>
  <c r="AA191" i="1"/>
  <c r="AA187" i="1"/>
  <c r="AA86" i="1"/>
  <c r="T206" i="1"/>
  <c r="U206" i="1" s="1"/>
  <c r="S206" i="1" s="1"/>
  <c r="T198" i="1"/>
  <c r="AA97" i="1"/>
  <c r="AA188" i="1"/>
  <c r="AA179" i="1"/>
  <c r="W179" i="1" s="1"/>
  <c r="T93" i="1"/>
  <c r="X93" i="1"/>
  <c r="T89" i="1"/>
  <c r="X89" i="1"/>
  <c r="X152" i="1"/>
  <c r="AA142" i="1"/>
  <c r="W142" i="1" s="1"/>
  <c r="AA140" i="1"/>
  <c r="W140" i="1" s="1"/>
  <c r="AA192" i="1"/>
  <c r="AA189" i="1"/>
  <c r="AA205" i="1"/>
  <c r="AA160" i="1"/>
  <c r="W160" i="1" s="1"/>
  <c r="AA153" i="1"/>
  <c r="AA145" i="1"/>
  <c r="AA136" i="1"/>
  <c r="W136" i="1" s="1"/>
  <c r="AA127" i="1"/>
  <c r="W127" i="1" s="1"/>
  <c r="AA169" i="1"/>
  <c r="AA168" i="1"/>
  <c r="AA162" i="1"/>
  <c r="AA92" i="1"/>
  <c r="W92" i="1" s="1"/>
  <c r="AA88" i="1"/>
  <c r="X86" i="1"/>
  <c r="AA85" i="1"/>
  <c r="W85" i="1" s="1"/>
  <c r="AA63" i="1"/>
  <c r="AA55" i="1"/>
  <c r="W55" i="1" s="1"/>
  <c r="AA47" i="1"/>
  <c r="AA33" i="1"/>
  <c r="W33" i="1" s="1"/>
  <c r="AA25" i="1"/>
  <c r="AA171" i="1"/>
  <c r="AA27" i="1"/>
  <c r="AA178" i="1"/>
  <c r="W178" i="1" s="1"/>
  <c r="AA177" i="1"/>
  <c r="W177" i="1" s="1"/>
  <c r="AA176" i="1"/>
  <c r="AA175" i="1"/>
  <c r="AA174" i="1"/>
  <c r="AA173" i="1"/>
  <c r="W173" i="1" s="1"/>
  <c r="AA67" i="1"/>
  <c r="W67" i="1" s="1"/>
  <c r="AA59" i="1"/>
  <c r="AA51" i="1"/>
  <c r="W51" i="1" s="1"/>
  <c r="AA43" i="1"/>
  <c r="W43" i="1" s="1"/>
  <c r="AA29" i="1"/>
  <c r="W29" i="1" s="1"/>
  <c r="AA21" i="1"/>
  <c r="AA20" i="1"/>
  <c r="W20" i="1" s="1"/>
  <c r="AA19" i="1"/>
  <c r="W19" i="1" s="1"/>
  <c r="AA15" i="1"/>
  <c r="W15" i="1" s="1"/>
  <c r="AI184" i="1"/>
  <c r="AI201" i="1"/>
  <c r="U199" i="1"/>
  <c r="S199" i="1" s="1"/>
  <c r="U157" i="1"/>
  <c r="S157" i="1" s="1"/>
  <c r="AI197" i="1"/>
  <c r="AI195" i="1"/>
  <c r="U155" i="1"/>
  <c r="S155" i="1" s="1"/>
  <c r="AI190" i="1"/>
  <c r="AI186" i="1"/>
  <c r="AI182" i="1"/>
  <c r="AI207" i="1"/>
  <c r="U205" i="1"/>
  <c r="S205" i="1" s="1"/>
  <c r="AI193" i="1"/>
  <c r="U153" i="1"/>
  <c r="S153" i="1" s="1"/>
  <c r="AI188" i="1"/>
  <c r="AI180" i="1"/>
  <c r="U207" i="1"/>
  <c r="S207" i="1" s="1"/>
  <c r="AI209" i="1"/>
  <c r="U203" i="1"/>
  <c r="S203" i="1" s="1"/>
  <c r="AI205" i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AI215" i="1"/>
  <c r="U215" i="1"/>
  <c r="S215" i="1" s="1"/>
  <c r="U214" i="1"/>
  <c r="S214" i="1" s="1"/>
  <c r="AI214" i="1"/>
  <c r="U213" i="1"/>
  <c r="S213" i="1" s="1"/>
  <c r="AI213" i="1"/>
  <c r="U212" i="1"/>
  <c r="S212" i="1" s="1"/>
  <c r="AI212" i="1"/>
  <c r="AI211" i="1"/>
  <c r="U209" i="1"/>
  <c r="S209" i="1" s="1"/>
  <c r="AI210" i="1"/>
  <c r="U208" i="1"/>
  <c r="S208" i="1" s="1"/>
  <c r="AI206" i="1"/>
  <c r="U204" i="1"/>
  <c r="S204" i="1" s="1"/>
  <c r="AI202" i="1"/>
  <c r="U200" i="1"/>
  <c r="S200" i="1" s="1"/>
  <c r="AI198" i="1"/>
  <c r="U158" i="1"/>
  <c r="S158" i="1" s="1"/>
  <c r="AI192" i="1"/>
  <c r="U152" i="1"/>
  <c r="S152" i="1" s="1"/>
  <c r="U201" i="1"/>
  <c r="S201" i="1" s="1"/>
  <c r="AI203" i="1"/>
  <c r="U160" i="1"/>
  <c r="S160" i="1" s="1"/>
  <c r="AI199" i="1"/>
  <c r="AI208" i="1"/>
  <c r="U202" i="1"/>
  <c r="S202" i="1" s="1"/>
  <c r="AI204" i="1"/>
  <c r="U198" i="1"/>
  <c r="S198" i="1" s="1"/>
  <c r="AI200" i="1"/>
  <c r="U156" i="1"/>
  <c r="S156" i="1" s="1"/>
  <c r="AI196" i="1"/>
  <c r="AI194" i="1"/>
  <c r="U154" i="1"/>
  <c r="S154" i="1" s="1"/>
  <c r="AI81" i="1"/>
  <c r="U81" i="1"/>
  <c r="S81" i="1" s="1"/>
  <c r="AI191" i="1"/>
  <c r="AI189" i="1"/>
  <c r="W149" i="1"/>
  <c r="W146" i="1"/>
  <c r="AI187" i="1"/>
  <c r="AI185" i="1"/>
  <c r="W144" i="1"/>
  <c r="AI183" i="1"/>
  <c r="W141" i="1"/>
  <c r="W139" i="1"/>
  <c r="AI181" i="1"/>
  <c r="W137" i="1"/>
  <c r="AI179" i="1"/>
  <c r="AI177" i="1"/>
  <c r="W135" i="1"/>
  <c r="AI175" i="1"/>
  <c r="W133" i="1"/>
  <c r="AI173" i="1"/>
  <c r="W130" i="1"/>
  <c r="AI171" i="1"/>
  <c r="W128" i="1"/>
  <c r="AI169" i="1"/>
  <c r="W126" i="1"/>
  <c r="AI167" i="1"/>
  <c r="W124" i="1"/>
  <c r="AI165" i="1"/>
  <c r="W121" i="1"/>
  <c r="AI178" i="1"/>
  <c r="AI176" i="1"/>
  <c r="AI174" i="1"/>
  <c r="AI172" i="1"/>
  <c r="AI170" i="1"/>
  <c r="AI168" i="1"/>
  <c r="AI166" i="1"/>
  <c r="AI164" i="1"/>
  <c r="AI163" i="1"/>
  <c r="AI161" i="1"/>
  <c r="AI158" i="1"/>
  <c r="AI156" i="1"/>
  <c r="AI154" i="1"/>
  <c r="AI152" i="1"/>
  <c r="AI150" i="1"/>
  <c r="AI147" i="1"/>
  <c r="AI96" i="1"/>
  <c r="U161" i="1"/>
  <c r="S161" i="1" s="1"/>
  <c r="AI88" i="1"/>
  <c r="U88" i="1"/>
  <c r="S88" i="1" s="1"/>
  <c r="AI162" i="1"/>
  <c r="AI160" i="1"/>
  <c r="AI157" i="1"/>
  <c r="AI155" i="1"/>
  <c r="AI153" i="1"/>
  <c r="AI151" i="1"/>
  <c r="AI149" i="1"/>
  <c r="AI146" i="1"/>
  <c r="AI144" i="1"/>
  <c r="AI141" i="1"/>
  <c r="AI139" i="1"/>
  <c r="AI137" i="1"/>
  <c r="AI135" i="1"/>
  <c r="AI133" i="1"/>
  <c r="AI130" i="1"/>
  <c r="AI128" i="1"/>
  <c r="AI126" i="1"/>
  <c r="AI124" i="1"/>
  <c r="AI100" i="1"/>
  <c r="U165" i="1"/>
  <c r="S165" i="1" s="1"/>
  <c r="AI93" i="1"/>
  <c r="U93" i="1"/>
  <c r="S93" i="1" s="1"/>
  <c r="AI84" i="1"/>
  <c r="U84" i="1"/>
  <c r="S84" i="1" s="1"/>
  <c r="AI145" i="1"/>
  <c r="W104" i="1"/>
  <c r="AI142" i="1"/>
  <c r="W102" i="1"/>
  <c r="AI140" i="1"/>
  <c r="W100" i="1"/>
  <c r="AI138" i="1"/>
  <c r="W98" i="1"/>
  <c r="AI136" i="1"/>
  <c r="W196" i="1"/>
  <c r="AI134" i="1"/>
  <c r="W194" i="1"/>
  <c r="AI131" i="1"/>
  <c r="W192" i="1"/>
  <c r="AI129" i="1"/>
  <c r="W191" i="1"/>
  <c r="AI127" i="1"/>
  <c r="W189" i="1"/>
  <c r="AI125" i="1"/>
  <c r="W187" i="1"/>
  <c r="AI107" i="1"/>
  <c r="W172" i="1"/>
  <c r="AI105" i="1"/>
  <c r="AI103" i="1"/>
  <c r="W168" i="1"/>
  <c r="U166" i="1"/>
  <c r="S166" i="1" s="1"/>
  <c r="AI101" i="1"/>
  <c r="U162" i="1"/>
  <c r="S162" i="1" s="1"/>
  <c r="AI97" i="1"/>
  <c r="W162" i="1"/>
  <c r="AI92" i="1"/>
  <c r="U92" i="1"/>
  <c r="S92" i="1" s="1"/>
  <c r="AI87" i="1"/>
  <c r="U87" i="1"/>
  <c r="S87" i="1" s="1"/>
  <c r="AI83" i="1"/>
  <c r="U83" i="1"/>
  <c r="S83" i="1" s="1"/>
  <c r="AI67" i="1"/>
  <c r="AI63" i="1"/>
  <c r="AI59" i="1"/>
  <c r="AI55" i="1"/>
  <c r="AI51" i="1"/>
  <c r="AI47" i="1"/>
  <c r="AI43" i="1"/>
  <c r="AI39" i="1"/>
  <c r="AI122" i="1"/>
  <c r="AI121" i="1"/>
  <c r="AI120" i="1"/>
  <c r="AI119" i="1"/>
  <c r="AI117" i="1"/>
  <c r="AI116" i="1"/>
  <c r="AI115" i="1"/>
  <c r="AI114" i="1"/>
  <c r="AI113" i="1"/>
  <c r="AI112" i="1"/>
  <c r="AI111" i="1"/>
  <c r="AI110" i="1"/>
  <c r="AI109" i="1"/>
  <c r="AI108" i="1"/>
  <c r="AI106" i="1"/>
  <c r="AI104" i="1"/>
  <c r="AI102" i="1"/>
  <c r="AI99" i="1"/>
  <c r="U164" i="1"/>
  <c r="U94" i="1"/>
  <c r="S94" i="1" s="1"/>
  <c r="AI94" i="1"/>
  <c r="U89" i="1"/>
  <c r="S89" i="1" s="1"/>
  <c r="AI89" i="1"/>
  <c r="U85" i="1"/>
  <c r="S85" i="1" s="1"/>
  <c r="AI85" i="1"/>
  <c r="AI69" i="1"/>
  <c r="AI65" i="1"/>
  <c r="AI61" i="1"/>
  <c r="AI57" i="1"/>
  <c r="AI53" i="1"/>
  <c r="AI49" i="1"/>
  <c r="AI45" i="1"/>
  <c r="AI41" i="1"/>
  <c r="U163" i="1"/>
  <c r="S163" i="1" s="1"/>
  <c r="AI98" i="1"/>
  <c r="U91" i="1"/>
  <c r="S91" i="1" s="1"/>
  <c r="AI91" i="1"/>
  <c r="U86" i="1"/>
  <c r="S86" i="1" s="1"/>
  <c r="AI86" i="1"/>
  <c r="U82" i="1"/>
  <c r="S82" i="1" s="1"/>
  <c r="AI82" i="1"/>
  <c r="AI35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AI70" i="1"/>
  <c r="AI68" i="1"/>
  <c r="AI66" i="1"/>
  <c r="AI64" i="1"/>
  <c r="AI62" i="1"/>
  <c r="AI60" i="1"/>
  <c r="AI58" i="1"/>
  <c r="AI56" i="1"/>
  <c r="AI54" i="1"/>
  <c r="AI52" i="1"/>
  <c r="AI50" i="1"/>
  <c r="AI48" i="1"/>
  <c r="AI46" i="1"/>
  <c r="AI44" i="1"/>
  <c r="AI42" i="1"/>
  <c r="AI40" i="1"/>
  <c r="AI38" i="1"/>
  <c r="AI34" i="1"/>
  <c r="AI32" i="1"/>
  <c r="AI30" i="1"/>
  <c r="AI28" i="1"/>
  <c r="AI26" i="1"/>
  <c r="AI24" i="1"/>
  <c r="AI22" i="1"/>
  <c r="AI20" i="1"/>
  <c r="AI17" i="1"/>
  <c r="U17" i="1"/>
  <c r="S17" i="1" s="1"/>
  <c r="AI37" i="1"/>
  <c r="AI16" i="1"/>
  <c r="U16" i="1"/>
  <c r="S16" i="1" s="1"/>
  <c r="AI36" i="1"/>
  <c r="AI33" i="1"/>
  <c r="AI31" i="1"/>
  <c r="AI29" i="1"/>
  <c r="AI27" i="1"/>
  <c r="AI25" i="1"/>
  <c r="AI23" i="1"/>
  <c r="AI21" i="1"/>
  <c r="AI19" i="1"/>
  <c r="AI15" i="1"/>
  <c r="U15" i="1"/>
  <c r="S15" i="1" s="1"/>
  <c r="AI18" i="1"/>
  <c r="U18" i="1"/>
  <c r="S18" i="1" s="1"/>
  <c r="AI14" i="1"/>
  <c r="U14" i="1"/>
  <c r="S14" i="1" s="1"/>
  <c r="W221" i="1"/>
  <c r="W213" i="1"/>
  <c r="W202" i="1"/>
  <c r="W198" i="1"/>
  <c r="W219" i="1"/>
  <c r="W215" i="1"/>
  <c r="W209" i="1"/>
  <c r="W206" i="1"/>
  <c r="W220" i="1"/>
  <c r="W216" i="1"/>
  <c r="W212" i="1"/>
  <c r="W207" i="1"/>
  <c r="W205" i="1"/>
  <c r="W204" i="1"/>
  <c r="W199" i="1"/>
  <c r="W158" i="1"/>
  <c r="W217" i="1"/>
  <c r="W218" i="1"/>
  <c r="W214" i="1"/>
  <c r="W208" i="1"/>
  <c r="W201" i="1"/>
  <c r="W200" i="1"/>
  <c r="W157" i="1"/>
  <c r="W154" i="1"/>
  <c r="W129" i="1"/>
  <c r="T127" i="1"/>
  <c r="U127" i="1" s="1"/>
  <c r="S127" i="1" s="1"/>
  <c r="X127" i="1"/>
  <c r="W152" i="1"/>
  <c r="W147" i="1"/>
  <c r="W138" i="1"/>
  <c r="T131" i="1"/>
  <c r="U131" i="1" s="1"/>
  <c r="S131" i="1" s="1"/>
  <c r="X131" i="1"/>
  <c r="W125" i="1"/>
  <c r="T122" i="1"/>
  <c r="U122" i="1" s="1"/>
  <c r="S122" i="1" s="1"/>
  <c r="X122" i="1"/>
  <c r="T119" i="1"/>
  <c r="U119" i="1" s="1"/>
  <c r="S119" i="1" s="1"/>
  <c r="T113" i="1"/>
  <c r="U113" i="1" s="1"/>
  <c r="S113" i="1" s="1"/>
  <c r="X113" i="1"/>
  <c r="T110" i="1"/>
  <c r="U110" i="1" s="1"/>
  <c r="S110" i="1" s="1"/>
  <c r="X110" i="1"/>
  <c r="W107" i="1"/>
  <c r="T105" i="1"/>
  <c r="U105" i="1" s="1"/>
  <c r="S105" i="1" s="1"/>
  <c r="X105" i="1"/>
  <c r="T211" i="1"/>
  <c r="U211" i="1" s="1"/>
  <c r="S211" i="1" s="1"/>
  <c r="X211" i="1"/>
  <c r="T167" i="1"/>
  <c r="U167" i="1" s="1"/>
  <c r="S167" i="1" s="1"/>
  <c r="X167" i="1"/>
  <c r="W91" i="1"/>
  <c r="W150" i="1"/>
  <c r="W145" i="1"/>
  <c r="T136" i="1"/>
  <c r="U136" i="1" s="1"/>
  <c r="S136" i="1" s="1"/>
  <c r="X136" i="1"/>
  <c r="W111" i="1"/>
  <c r="T109" i="1"/>
  <c r="U109" i="1" s="1"/>
  <c r="S109" i="1" s="1"/>
  <c r="X109" i="1"/>
  <c r="T106" i="1"/>
  <c r="U106" i="1" s="1"/>
  <c r="S106" i="1" s="1"/>
  <c r="X106" i="1"/>
  <c r="T210" i="1"/>
  <c r="U210" i="1" s="1"/>
  <c r="S210" i="1" s="1"/>
  <c r="X210" i="1"/>
  <c r="T186" i="1"/>
  <c r="U186" i="1" s="1"/>
  <c r="S186" i="1" s="1"/>
  <c r="X186" i="1"/>
  <c r="W153" i="1"/>
  <c r="T147" i="1"/>
  <c r="U147" i="1" s="1"/>
  <c r="S147" i="1" s="1"/>
  <c r="X147" i="1"/>
  <c r="T142" i="1"/>
  <c r="U142" i="1" s="1"/>
  <c r="S142" i="1" s="1"/>
  <c r="X142" i="1"/>
  <c r="T138" i="1"/>
  <c r="U138" i="1" s="1"/>
  <c r="S138" i="1" s="1"/>
  <c r="X138" i="1"/>
  <c r="T134" i="1"/>
  <c r="U134" i="1" s="1"/>
  <c r="S134" i="1" s="1"/>
  <c r="T125" i="1"/>
  <c r="U125" i="1" s="1"/>
  <c r="S125" i="1" s="1"/>
  <c r="X125" i="1"/>
  <c r="W117" i="1"/>
  <c r="T115" i="1"/>
  <c r="U115" i="1" s="1"/>
  <c r="S115" i="1" s="1"/>
  <c r="X115" i="1"/>
  <c r="T112" i="1"/>
  <c r="U112" i="1" s="1"/>
  <c r="S112" i="1" s="1"/>
  <c r="X112" i="1"/>
  <c r="W109" i="1"/>
  <c r="T107" i="1"/>
  <c r="U107" i="1" s="1"/>
  <c r="S107" i="1" s="1"/>
  <c r="X107" i="1"/>
  <c r="W210" i="1"/>
  <c r="W101" i="1"/>
  <c r="W197" i="1"/>
  <c r="W193" i="1"/>
  <c r="W190" i="1"/>
  <c r="W185" i="1"/>
  <c r="W96" i="1"/>
  <c r="W176" i="1"/>
  <c r="W175" i="1"/>
  <c r="W174" i="1"/>
  <c r="W120" i="1"/>
  <c r="T117" i="1"/>
  <c r="U117" i="1" s="1"/>
  <c r="S117" i="1" s="1"/>
  <c r="X117" i="1"/>
  <c r="T114" i="1"/>
  <c r="U114" i="1" s="1"/>
  <c r="S114" i="1" s="1"/>
  <c r="X114" i="1"/>
  <c r="W155" i="1"/>
  <c r="T150" i="1"/>
  <c r="U150" i="1" s="1"/>
  <c r="S150" i="1" s="1"/>
  <c r="X150" i="1"/>
  <c r="T145" i="1"/>
  <c r="U145" i="1" s="1"/>
  <c r="S145" i="1" s="1"/>
  <c r="X145" i="1"/>
  <c r="T140" i="1"/>
  <c r="U140" i="1" s="1"/>
  <c r="S140" i="1" s="1"/>
  <c r="X140" i="1"/>
  <c r="W131" i="1"/>
  <c r="T129" i="1"/>
  <c r="U129" i="1" s="1"/>
  <c r="S129" i="1" s="1"/>
  <c r="X129" i="1"/>
  <c r="W122" i="1"/>
  <c r="T120" i="1"/>
  <c r="U120" i="1" s="1"/>
  <c r="S120" i="1" s="1"/>
  <c r="X120" i="1"/>
  <c r="T116" i="1"/>
  <c r="U116" i="1" s="1"/>
  <c r="S116" i="1" s="1"/>
  <c r="X116" i="1"/>
  <c r="W113" i="1"/>
  <c r="T111" i="1"/>
  <c r="U111" i="1" s="1"/>
  <c r="S111" i="1" s="1"/>
  <c r="X111" i="1"/>
  <c r="T108" i="1"/>
  <c r="U108" i="1" s="1"/>
  <c r="S108" i="1" s="1"/>
  <c r="X108" i="1"/>
  <c r="W105" i="1"/>
  <c r="W103" i="1"/>
  <c r="W97" i="1"/>
  <c r="W188" i="1"/>
  <c r="W82" i="1"/>
  <c r="W80" i="1"/>
  <c r="T151" i="1"/>
  <c r="U151" i="1" s="1"/>
  <c r="S151" i="1" s="1"/>
  <c r="X151" i="1"/>
  <c r="T149" i="1"/>
  <c r="U149" i="1" s="1"/>
  <c r="S149" i="1" s="1"/>
  <c r="T146" i="1"/>
  <c r="U146" i="1" s="1"/>
  <c r="S146" i="1" s="1"/>
  <c r="X146" i="1"/>
  <c r="T144" i="1"/>
  <c r="U144" i="1" s="1"/>
  <c r="S144" i="1" s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T121" i="1"/>
  <c r="U121" i="1" s="1"/>
  <c r="S121" i="1" s="1"/>
  <c r="X121" i="1"/>
  <c r="W183" i="1"/>
  <c r="W180" i="1"/>
  <c r="W76" i="1"/>
  <c r="W40" i="1"/>
  <c r="AA119" i="1"/>
  <c r="W119" i="1" s="1"/>
  <c r="AA116" i="1"/>
  <c r="W116" i="1" s="1"/>
  <c r="AA114" i="1"/>
  <c r="W114" i="1" s="1"/>
  <c r="AA112" i="1"/>
  <c r="W112" i="1" s="1"/>
  <c r="AA110" i="1"/>
  <c r="W110" i="1" s="1"/>
  <c r="AA108" i="1"/>
  <c r="W108" i="1" s="1"/>
  <c r="AA106" i="1"/>
  <c r="W106" i="1" s="1"/>
  <c r="AA211" i="1"/>
  <c r="W211" i="1" s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T191" i="1"/>
  <c r="U191" i="1" s="1"/>
  <c r="S191" i="1" s="1"/>
  <c r="X191" i="1"/>
  <c r="T189" i="1"/>
  <c r="U189" i="1" s="1"/>
  <c r="S189" i="1" s="1"/>
  <c r="X189" i="1"/>
  <c r="W186" i="1"/>
  <c r="W182" i="1"/>
  <c r="W166" i="1"/>
  <c r="W72" i="1"/>
  <c r="W49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T97" i="1"/>
  <c r="U97" i="1" s="1"/>
  <c r="S97" i="1" s="1"/>
  <c r="T190" i="1"/>
  <c r="U190" i="1" s="1"/>
  <c r="S190" i="1" s="1"/>
  <c r="X190" i="1"/>
  <c r="T188" i="1"/>
  <c r="U188" i="1" s="1"/>
  <c r="S188" i="1" s="1"/>
  <c r="X188" i="1"/>
  <c r="W184" i="1"/>
  <c r="W181" i="1"/>
  <c r="W86" i="1"/>
  <c r="W73" i="1"/>
  <c r="W5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96" i="1"/>
  <c r="U96" i="1" s="1"/>
  <c r="S96" i="1" s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W171" i="1"/>
  <c r="W165" i="1"/>
  <c r="W164" i="1"/>
  <c r="W163" i="1"/>
  <c r="W93" i="1"/>
  <c r="W87" i="1"/>
  <c r="W77" i="1"/>
  <c r="W74" i="1"/>
  <c r="W71" i="1"/>
  <c r="W69" i="1"/>
  <c r="W60" i="1"/>
  <c r="W53" i="1"/>
  <c r="W44" i="1"/>
  <c r="T187" i="1"/>
  <c r="U187" i="1" s="1"/>
  <c r="S187" i="1" s="1"/>
  <c r="X187" i="1"/>
  <c r="T171" i="1"/>
  <c r="U171" i="1" s="1"/>
  <c r="S171" i="1" s="1"/>
  <c r="X171" i="1"/>
  <c r="W169" i="1"/>
  <c r="W78" i="1"/>
  <c r="W75" i="1"/>
  <c r="W64" i="1"/>
  <c r="W57" i="1"/>
  <c r="W48" i="1"/>
  <c r="W41" i="1"/>
  <c r="T169" i="1"/>
  <c r="U169" i="1" s="1"/>
  <c r="S169" i="1" s="1"/>
  <c r="X169" i="1"/>
  <c r="W161" i="1"/>
  <c r="W88" i="1"/>
  <c r="W83" i="1"/>
  <c r="W81" i="1"/>
  <c r="W79" i="1"/>
  <c r="W68" i="1"/>
  <c r="W61" i="1"/>
  <c r="W45" i="1"/>
  <c r="W38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W70" i="1"/>
  <c r="W66" i="1"/>
  <c r="W63" i="1"/>
  <c r="W62" i="1"/>
  <c r="W59" i="1"/>
  <c r="W58" i="1"/>
  <c r="W54" i="1"/>
  <c r="W50" i="1"/>
  <c r="W47" i="1"/>
  <c r="W46" i="1"/>
  <c r="W42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AA37" i="1"/>
  <c r="W37" i="1" s="1"/>
  <c r="W39" i="1"/>
  <c r="W36" i="1"/>
  <c r="X166" i="1"/>
  <c r="X165" i="1"/>
  <c r="X164" i="1"/>
  <c r="X163" i="1"/>
  <c r="X162" i="1"/>
  <c r="X16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AA35" i="1"/>
  <c r="W35" i="1" s="1"/>
  <c r="W31" i="1"/>
  <c r="W27" i="1"/>
  <c r="W25" i="1"/>
  <c r="W23" i="1"/>
  <c r="W21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AA18" i="1"/>
  <c r="W18" i="1" s="1"/>
  <c r="AA14" i="1"/>
  <c r="W14" i="1" s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7" i="1"/>
  <c r="W17" i="1" s="1"/>
  <c r="T37" i="1"/>
  <c r="U37" i="1" s="1"/>
  <c r="S37" i="1" s="1"/>
  <c r="X37" i="1"/>
  <c r="T35" i="1"/>
  <c r="U35" i="1" s="1"/>
  <c r="S35" i="1" s="1"/>
  <c r="X35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X20" i="1"/>
  <c r="AA16" i="1"/>
  <c r="W16" i="1" s="1"/>
  <c r="X18" i="1"/>
  <c r="X17" i="1"/>
  <c r="X16" i="1"/>
  <c r="X15" i="1"/>
  <c r="AD17" i="3"/>
  <c r="AE17" i="3"/>
  <c r="AD13" i="3"/>
  <c r="AE8" i="3"/>
  <c r="AE16" i="3"/>
  <c r="AE12" i="3"/>
  <c r="AD9" i="3"/>
  <c r="AE15" i="3"/>
  <c r="AE11" i="3"/>
  <c r="AD8" i="3"/>
  <c r="AD16" i="3"/>
  <c r="AD12" i="3"/>
  <c r="AD15" i="3"/>
  <c r="T13" i="3"/>
  <c r="AD11" i="3"/>
  <c r="T17" i="3"/>
  <c r="AE14" i="3"/>
  <c r="AE10" i="3"/>
  <c r="T14" i="3"/>
  <c r="T7" i="3"/>
  <c r="AC10" i="3"/>
  <c r="AC16" i="3"/>
  <c r="AC9" i="3"/>
  <c r="AC12" i="3"/>
  <c r="Y9" i="3"/>
  <c r="Y12" i="3"/>
  <c r="Y7" i="3"/>
  <c r="Y11" i="3"/>
  <c r="Y14" i="3"/>
  <c r="Y13" i="3"/>
  <c r="Y17" i="3"/>
  <c r="Y16" i="3"/>
  <c r="Y10" i="3"/>
  <c r="Y15" i="3"/>
  <c r="Y8" i="3"/>
  <c r="AC15" i="3"/>
  <c r="AC8" i="3"/>
  <c r="T16" i="3"/>
  <c r="T10" i="3"/>
  <c r="AD14" i="3"/>
  <c r="AE13" i="3"/>
  <c r="T15" i="3"/>
  <c r="AD10" i="3"/>
  <c r="AE9" i="3"/>
  <c r="T8" i="3"/>
  <c r="T11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8" i="3" s="1"/>
  <c r="G40" i="4"/>
  <c r="G41" i="4"/>
  <c r="G42" i="4"/>
  <c r="G43" i="4"/>
  <c r="G44" i="4"/>
  <c r="G45" i="4"/>
  <c r="G46" i="4"/>
  <c r="G47" i="4"/>
  <c r="G48" i="4"/>
  <c r="G49" i="4"/>
  <c r="G50" i="4"/>
  <c r="G51" i="4"/>
  <c r="N14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2" i="3" s="1"/>
  <c r="G81" i="4"/>
  <c r="N17" i="3" s="1"/>
  <c r="G82" i="4"/>
  <c r="G83" i="4"/>
  <c r="G84" i="4"/>
  <c r="G85" i="4"/>
  <c r="G86" i="4"/>
  <c r="N15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13" i="3" s="1"/>
  <c r="G102" i="4"/>
  <c r="G103" i="4"/>
  <c r="G104" i="4"/>
  <c r="G105" i="4"/>
  <c r="G106" i="4"/>
  <c r="G107" i="4"/>
  <c r="N9" i="3" s="1"/>
  <c r="G108" i="4"/>
  <c r="G109" i="4"/>
  <c r="G110" i="4"/>
  <c r="G111" i="4"/>
  <c r="G112" i="4"/>
  <c r="G113" i="4"/>
  <c r="N10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11" i="3" s="1"/>
  <c r="G151" i="4"/>
  <c r="G152" i="4"/>
  <c r="G153" i="4"/>
  <c r="G154" i="4"/>
  <c r="G155" i="4"/>
  <c r="G156" i="4"/>
  <c r="G157" i="4"/>
  <c r="G158" i="4"/>
  <c r="G159" i="4"/>
  <c r="G160" i="4"/>
  <c r="N7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16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H6" i="6" l="1"/>
  <c r="J6" i="6"/>
  <c r="G6" i="6"/>
  <c r="I6" i="6"/>
  <c r="B7" i="6"/>
  <c r="B8" i="6" l="1"/>
  <c r="G7" i="6"/>
  <c r="I7" i="6"/>
  <c r="H7" i="6"/>
  <c r="J7" i="6"/>
  <c r="G8" i="6" l="1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<sst xmlns="http://schemas.openxmlformats.org/spreadsheetml/2006/main" count="2628" uniqueCount="1087">
  <si>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</si>
  <si>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</si>
  <si>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</si>
  <si>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</si>
  <si>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</si>
  <si>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</si>
  <si>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</si>
  <si>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</si>
  <si>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</si>
  <si>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</si>
  <si>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</si>
  <si>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</si>
  <si>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</si>
  <si>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</si>
  <si>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</si>
  <si>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</si>
  <si>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</si>
  <si>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</si>
  <si>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</si>
  <si>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</si>
  <si>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</si>
  <si>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</si>
  <si>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</si>
  <si>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</si>
  <si>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</si>
  <si>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</si>
  <si>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</si>
  <si>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</si>
  <si>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</si>
  <si>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</si>
  <si>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</si>
  <si>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</si>
  <si>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</si>
  <si>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</si>
  <si>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</si>
  <si>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</si>
  <si>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</si>
  <si>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</si>
  <si>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</si>
  <si>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</si>
  <si>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</si>
  <si>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</si>
  <si>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</si>
  <si>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</si>
  <si>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</si>
  <si>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</si>
  <si>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</si>
  <si>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</si>
  <si>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</si>
  <si>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</si>
  <si>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</si>
  <si>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</si>
  <si>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</si>
  <si>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</si>
  <si>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</si>
  <si>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</si>
  <si>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</si>
  <si>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</si>
  <si>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</si>
  <si>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</si>
  <si>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</si>
  <si>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</si>
  <si>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</si>
  <si>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</si>
  <si>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</si>
  <si>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</si>
  <si>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</si>
  <si>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</si>
  <si>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</si>
  <si>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</si>
  <si>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</si>
  <si>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</si>
  <si>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</si>
  <si>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</si>
  <si>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</si>
  <si>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</si>
  <si>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</si>
  <si>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</si>
  <si>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</si>
  <si>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</si>
  <si>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</si>
  <si>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</si>
  <si>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</si>
  <si>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</si>
  <si>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</si>
  <si>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</si>
  <si>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</si>
  <si>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</si>
  <si>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</si>
  <si>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</si>
  <si>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</si>
  <si>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</si>
  <si>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</si>
  <si>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</si>
  <si>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</si>
  <si>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</si>
  <si>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</si>
  <si>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</si>
  <si>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</si>
  <si>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</si>
  <si>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</si>
  <si>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</si>
  <si>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</si>
  <si>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</si>
  <si>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</si>
  <si>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</si>
  <si>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</si>
  <si>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</si>
  <si>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</si>
  <si>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</si>
  <si>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</si>
  <si>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</si>
  <si>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</si>
  <si>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</si>
  <si>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</si>
  <si>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</si>
  <si>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</si>
  <si>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</si>
  <si>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</si>
  <si>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</si>
  <si>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</si>
  <si>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</si>
  <si>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</si>
  <si>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</si>
  <si>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</si>
  <si>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</si>
  <si>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</si>
  <si>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</si>
  <si>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</si>
  <si>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</si>
  <si>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</si>
  <si>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</si>
  <si>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</si>
  <si>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</si>
  <si>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</si>
  <si>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</si>
  <si>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</si>
  <si>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</si>
  <si>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</si>
  <si>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</si>
  <si>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</si>
  <si>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</si>
  <si>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</si>
  <si>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</si>
  <si>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</si>
  <si>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</si>
  <si>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</si>
  <si>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</si>
  <si>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</si>
  <si>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</si>
  <si>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</si>
  <si>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</si>
  <si>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</si>
  <si>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</si>
  <si>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</si>
  <si>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</si>
  <si>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</si>
  <si>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</si>
  <si>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</si>
  <si>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</si>
  <si>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</si>
  <si>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</si>
  <si>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</si>
  <si>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</si>
  <si>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</si>
  <si>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</si>
  <si>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</si>
  <si>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</si>
  <si>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</si>
  <si>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</si>
  <si>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</si>
  <si>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</si>
  <si>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</si>
  <si>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</si>
  <si>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</si>
  <si>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</si>
  <si>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</si>
  <si>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</si>
  <si>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</si>
  <si>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</si>
  <si>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</si>
  <si>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</si>
  <si>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</si>
  <si>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</si>
  <si>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</si>
  <si>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</si>
  <si>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</si>
  <si>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</si>
  <si>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</si>
  <si>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</si>
  <si>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</si>
  <si>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</si>
  <si>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</si>
  <si>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</si>
  <si>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</si>
  <si>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</si>
  <si>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</si>
  <si>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</si>
  <si>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</si>
  <si>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</si>
  <si>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</si>
  <si>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</si>
  <si>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</si>
  <si>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</si>
  <si>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</si>
  <si>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</si>
  <si>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</si>
  <si>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</si>
  <si>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</si>
  <si>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</si>
  <si>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</si>
  <si>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</si>
  <si>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</si>
  <si>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</si>
  <si>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</si>
  <si>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</si>
  <si>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</si>
  <si>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</si>
  <si>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</si>
  <si>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</si>
  <si>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</si>
  <si>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</si>
  <si>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</si>
  <si>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</si>
  <si>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</si>
  <si>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</si>
  <si>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</si>
  <si>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</si>
  <si>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</si>
  <si>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</si>
  <si>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</si>
  <si>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</si>
  <si>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</si>
  <si>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</si>
  <si>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</si>
  <si>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</si>
  <si>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</si>
  <si>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</si>
  <si>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</si>
  <si>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</si>
  <si>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</si>
  <si>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</si>
  <si>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</si>
  <si>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</si>
  <si>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</si>
  <si>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</si>
  <si>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</si>
  <si>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</si>
  <si>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</si>
  <si>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</si>
  <si>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</si>
  <si>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</si>
  <si>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</si>
  <si>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</si>
  <si>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</si>
  <si>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</si>
  <si>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</si>
  <si>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</si>
  <si>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</si>
  <si>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</si>
  <si>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</si>
  <si>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</si>
  <si>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</si>
  <si>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</si>
  <si>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</si>
  <si>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</si>
  <si>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</si>
  <si>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</si>
  <si>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</si>
  <si>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</si>
  <si>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</si>
  <si>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</si>
  <si>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</si>
  <si>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</si>
  <si>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</si>
  <si>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</si>
  <si>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</si>
  <si>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</si>
  <si>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</si>
  <si>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</si>
  <si>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</si>
  <si>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</si>
  <si>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</si>
  <si>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</si>
  <si>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</si>
  <si>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</si>
  <si>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</si>
  <si>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</si>
  <si>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</si>
  <si>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</si>
  <si>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</si>
  <si>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</si>
  <si>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</si>
  <si>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</si>
  <si>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</si>
  <si>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</si>
  <si>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</si>
  <si>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</si>
  <si>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</si>
  <si>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</si>
  <si>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</si>
  <si>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</si>
  <si>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</si>
  <si>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</si>
  <si>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</si>
  <si>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</si>
  <si>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</si>
  <si>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</si>
  <si>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</si>
  <si>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</si>
  <si>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</si>
  <si>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</si>
  <si>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</si>
  <si>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</si>
  <si>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</si>
  <si>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</si>
  <si>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</si>
  <si>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</si>
  <si>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</si>
  <si>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</si>
  <si>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</si>
  <si>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</si>
  <si>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</si>
  <si>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</si>
  <si>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</si>
  <si>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</si>
  <si>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</si>
  <si>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</si>
  <si>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</si>
  <si>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</si>
  <si>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</si>
  <si>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</si>
  <si>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</si>
  <si>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</si>
  <si>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</si>
  <si>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</si>
  <si>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</si>
  <si>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</si>
  <si>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</si>
  <si>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</si>
  <si>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</si>
  <si>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</si>
  <si>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</si>
  <si>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</si>
  <si>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</si>
  <si>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</si>
  <si>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</si>
  <si>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</si>
  <si>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</si>
  <si>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</si>
  <si>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</si>
  <si>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</si>
  <si>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</si>
  <si>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</si>
  <si>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</si>
  <si>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</si>
  <si>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</si>
  <si>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</si>
  <si>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</si>
  <si>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</si>
  <si>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</si>
  <si>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</si>
  <si>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</si>
  <si>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</si>
  <si>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</si>
  <si>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</si>
  <si>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</si>
  <si>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</si>
  <si>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</si>
  <si>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</si>
  <si>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</si>
  <si>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</si>
  <si>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</si>
  <si>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</si>
  <si>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</si>
  <si>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</si>
  <si>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</si>
  <si>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</si>
  <si>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</si>
  <si>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</si>
  <si>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</si>
  <si>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</si>
  <si>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</si>
  <si>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</si>
  <si>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</si>
  <si>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</si>
  <si>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</si>
  <si>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</si>
  <si>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</si>
  <si>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</si>
  <si>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</si>
  <si>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</si>
  <si>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</si>
  <si>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</si>
  <si>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</si>
  <si>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</si>
  <si>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</si>
  <si>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</si>
  <si>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</si>
  <si>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</si>
  <si>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</si>
  <si>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</si>
  <si>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</si>
  <si>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</si>
  <si>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</si>
  <si>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</si>
  <si>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</si>
  <si>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</si>
  <si>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</si>
  <si>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</si>
  <si>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</si>
  <si>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</si>
  <si>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</si>
  <si>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</si>
  <si>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</si>
  <si>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</si>
  <si>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</si>
  <si>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</si>
  <si>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</si>
  <si>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</si>
  <si>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</si>
  <si>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</si>
  <si>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</si>
  <si>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</si>
  <si>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</si>
  <si>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</si>
  <si>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</si>
  <si>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</si>
  <si>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</si>
  <si>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</si>
  <si>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</si>
  <si>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</si>
  <si>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</si>
  <si>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</si>
  <si>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</si>
  <si>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</si>
  <si>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</si>
  <si>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</si>
  <si>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</si>
  <si>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</si>
  <si>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</si>
  <si>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</si>
  <si>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</si>
  <si>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</si>
  <si>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</si>
  <si>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</si>
  <si>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</si>
  <si>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</si>
  <si>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</si>
  <si>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</si>
  <si>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</si>
  <si>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</si>
  <si>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</si>
  <si>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</si>
  <si>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</si>
  <si>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</si>
  <si>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</si>
  <si>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</si>
  <si>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</si>
  <si>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</si>
  <si>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</si>
  <si>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</si>
  <si>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</si>
  <si>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</si>
  <si>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</si>
  <si>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</si>
  <si>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</si>
  <si>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</si>
  <si>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</si>
  <si>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</si>
  <si>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</si>
  <si>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</si>
  <si>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</si>
  <si>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DAVID</t>
  </si>
  <si>
    <t>204:502</t>
  </si>
  <si>
    <t>204:522</t>
  </si>
  <si>
    <t>204:497</t>
  </si>
  <si>
    <t>204:232921</t>
  </si>
  <si>
    <t>DAVIDSON</t>
  </si>
  <si>
    <t>204:211</t>
  </si>
  <si>
    <t>204:196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</si>
  <si>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</si>
  <si>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</si>
  <si>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</si>
  <si>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</si>
  <si>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</si>
  <si>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</si>
  <si>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</si>
  <si>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</si>
  <si>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</si>
  <si>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</si>
  <si>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</si>
  <si>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</si>
  <si>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</si>
  <si>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</si>
  <si>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</si>
  <si>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</si>
  <si>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</si>
  <si>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204:232942</t>
  </si>
  <si>
    <t>rtdc.l.rtdc.4014:itc</t>
  </si>
  <si>
    <t>rtdc.l.rtdc.4013:itc</t>
  </si>
  <si>
    <t>311-21</t>
  </si>
  <si>
    <t>BRUDER</t>
  </si>
  <si>
    <t>RICHARD</t>
  </si>
  <si>
    <t>DE LA ROSA</t>
  </si>
  <si>
    <t>ALEX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</si>
  <si>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</si>
  <si>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</si>
  <si>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</si>
  <si>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</si>
  <si>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</si>
  <si>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</si>
  <si>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</si>
  <si>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</si>
  <si>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</si>
  <si>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</si>
  <si>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</si>
  <si>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</si>
  <si>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</si>
  <si>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</si>
  <si>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</si>
  <si>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</si>
  <si>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241-22</t>
  </si>
  <si>
    <t>240-22</t>
  </si>
  <si>
    <t>rtdc.l.rtdc.4002:itc</t>
  </si>
  <si>
    <t>rtdc.l.rtdc.4005:itc</t>
  </si>
  <si>
    <t>rtdc.l.rtdc.4024:itc</t>
  </si>
  <si>
    <t>HUFFSMITH</t>
  </si>
  <si>
    <t>MONTY</t>
  </si>
  <si>
    <t>BERLING</t>
  </si>
  <si>
    <t>GARY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</si>
  <si>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</si>
  <si>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</si>
  <si>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</si>
  <si>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</si>
  <si>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</si>
  <si>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</si>
  <si>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</si>
  <si>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</si>
  <si>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</si>
  <si>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</si>
  <si>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</si>
  <si>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</si>
  <si>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</si>
  <si>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</si>
  <si>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</si>
  <si>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</si>
  <si>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</si>
  <si>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204:560</t>
  </si>
  <si>
    <t>204:489</t>
  </si>
  <si>
    <t>204:233268</t>
  </si>
  <si>
    <t>204:233230</t>
  </si>
  <si>
    <t>204:262</t>
  </si>
  <si>
    <t>204:233205</t>
  </si>
  <si>
    <t>204:232985</t>
  </si>
  <si>
    <t>204:232875</t>
  </si>
  <si>
    <t>204:231</t>
  </si>
  <si>
    <t>204:265</t>
  </si>
  <si>
    <t>300:23346</t>
  </si>
  <si>
    <t>rtdc.l.rtdc.4032:itc</t>
  </si>
  <si>
    <t>rtdc.l.rtdc.4021:itc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</si>
  <si>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</si>
  <si>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</si>
  <si>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</si>
  <si>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</si>
  <si>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</si>
  <si>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</si>
  <si>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</si>
  <si>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</si>
  <si>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</si>
  <si>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204:169</t>
  </si>
  <si>
    <t>204:192</t>
  </si>
  <si>
    <t>204:442</t>
  </si>
  <si>
    <t>204:233270</t>
  </si>
  <si>
    <t>204:232974</t>
  </si>
  <si>
    <t>204:191</t>
  </si>
  <si>
    <t>204:477</t>
  </si>
  <si>
    <t>204:232943</t>
  </si>
  <si>
    <t>204:520</t>
  </si>
  <si>
    <t>204:233253</t>
  </si>
  <si>
    <t>300:58956</t>
  </si>
  <si>
    <t>300:58975</t>
  </si>
  <si>
    <t>204:233247</t>
  </si>
  <si>
    <t>204:557</t>
  </si>
  <si>
    <t>204:233192</t>
  </si>
  <si>
    <t>204:232919</t>
  </si>
  <si>
    <t>204:233291</t>
  </si>
  <si>
    <t>204:559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</si>
  <si>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</si>
  <si>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</si>
  <si>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</si>
  <si>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</si>
  <si>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</si>
  <si>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</si>
  <si>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</si>
  <si>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</si>
  <si>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</si>
  <si>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STRICKLAND</t>
  </si>
  <si>
    <t>EVAN</t>
  </si>
  <si>
    <t>HOLCOMB</t>
  </si>
  <si>
    <t>KAMDEN</t>
  </si>
  <si>
    <t>BIRENBAUM</t>
  </si>
  <si>
    <t>DELGADO</t>
  </si>
  <si>
    <t>DIANAH</t>
  </si>
  <si>
    <t>204:506</t>
  </si>
  <si>
    <t>204:233226</t>
  </si>
  <si>
    <t>204:232911</t>
  </si>
  <si>
    <t>204:233297</t>
  </si>
  <si>
    <t>204:233232</t>
  </si>
  <si>
    <t>204:233000</t>
  </si>
  <si>
    <t>204:209</t>
  </si>
  <si>
    <t>204:535</t>
  </si>
  <si>
    <t>204:233295</t>
  </si>
  <si>
    <t>204:232915</t>
  </si>
  <si>
    <t>204:201</t>
  </si>
  <si>
    <t>204:185</t>
  </si>
  <si>
    <t>204:233178</t>
  </si>
  <si>
    <t>204:269</t>
  </si>
  <si>
    <t>204:480</t>
  </si>
  <si>
    <t>204:218</t>
  </si>
  <si>
    <t>204:500</t>
  </si>
  <si>
    <t>204:458</t>
  </si>
  <si>
    <t>204:233236</t>
  </si>
  <si>
    <t>204:233218</t>
  </si>
  <si>
    <t>204:233243</t>
  </si>
  <si>
    <t>300:58673</t>
  </si>
  <si>
    <t>300:58971</t>
  </si>
  <si>
    <t>300:58655</t>
  </si>
  <si>
    <t>300:58960</t>
  </si>
  <si>
    <t>300:58642</t>
  </si>
  <si>
    <t>204:511</t>
  </si>
  <si>
    <t>300:58939</t>
  </si>
  <si>
    <t>204:233255</t>
  </si>
  <si>
    <t>204:601</t>
  </si>
  <si>
    <t>204:232925</t>
  </si>
  <si>
    <t>204:233249</t>
  </si>
  <si>
    <t>204:232930</t>
  </si>
  <si>
    <t>204:283</t>
  </si>
  <si>
    <t>204:232902</t>
  </si>
  <si>
    <t>204:233259</t>
  </si>
  <si>
    <t>204:232944</t>
  </si>
  <si>
    <t>204:508</t>
  </si>
  <si>
    <t>204:232932</t>
  </si>
  <si>
    <t>204:233184</t>
  </si>
  <si>
    <t>204:542</t>
  </si>
  <si>
    <t>204:232928</t>
  </si>
  <si>
    <t>204:172</t>
  </si>
  <si>
    <t>204:158</t>
  </si>
  <si>
    <t>Poor GPS under Wewatta St. overpass</t>
  </si>
  <si>
    <t>1800-02</t>
  </si>
  <si>
    <t>TRACK WARRANT AUTHORITY</t>
  </si>
  <si>
    <t>Form based authority (4)</t>
  </si>
  <si>
    <t>114-02</t>
  </si>
  <si>
    <t>1803-02</t>
  </si>
  <si>
    <t>1809-02</t>
  </si>
  <si>
    <t>151-02</t>
  </si>
  <si>
    <t>1810-02</t>
  </si>
  <si>
    <t>1812-02</t>
  </si>
  <si>
    <t>rtdc.l.rtdc.4033:itc</t>
  </si>
  <si>
    <t>160-02</t>
  </si>
  <si>
    <t>164-02</t>
  </si>
  <si>
    <t>168-02</t>
  </si>
  <si>
    <t>rtdc.l.rtdc.4034:itc</t>
  </si>
  <si>
    <t>201-02</t>
  </si>
  <si>
    <t>202-02</t>
  </si>
  <si>
    <t>rtdc.l.rtdc.4025:itc</t>
  </si>
  <si>
    <t>88-02</t>
  </si>
  <si>
    <t>1826-02</t>
  </si>
  <si>
    <t>rtdc.l.rtdc.4039:itc</t>
  </si>
  <si>
    <t>242-01</t>
  </si>
  <si>
    <t>244-01</t>
  </si>
  <si>
    <t>307-01</t>
  </si>
  <si>
    <t>rtdc.l.rtdc.4040:itc</t>
  </si>
  <si>
    <t>309-01</t>
  </si>
  <si>
    <t>246-01</t>
  </si>
  <si>
    <t>313-01</t>
  </si>
  <si>
    <t>300-02</t>
  </si>
  <si>
    <t>51-02</t>
  </si>
  <si>
    <t>rtdc.l.rtdc.4044:itc</t>
  </si>
  <si>
    <t>101-02</t>
  </si>
  <si>
    <t>302-02</t>
  </si>
  <si>
    <t>50-02</t>
  </si>
  <si>
    <t>103-02</t>
  </si>
  <si>
    <t>304-02</t>
  </si>
  <si>
    <t>105-02</t>
  </si>
  <si>
    <t>306-02</t>
  </si>
  <si>
    <t>rtdc.l.rtdc.4043:itc</t>
  </si>
  <si>
    <t>102-02</t>
  </si>
  <si>
    <t>308-02</t>
  </si>
  <si>
    <t>NEWELL</t>
  </si>
  <si>
    <t>107-02</t>
  </si>
  <si>
    <t>104-02</t>
  </si>
  <si>
    <t>109-02</t>
  </si>
  <si>
    <t>310-02</t>
  </si>
  <si>
    <t>111-02</t>
  </si>
  <si>
    <t>106-02</t>
  </si>
  <si>
    <t>108-02</t>
  </si>
  <si>
    <t>113-02</t>
  </si>
  <si>
    <t>rtdc.l.rtdc.4027:itc</t>
  </si>
  <si>
    <t>312-02</t>
  </si>
  <si>
    <t>1901-02</t>
  </si>
  <si>
    <t>110-02</t>
  </si>
  <si>
    <t>115-02</t>
  </si>
  <si>
    <t>117-02</t>
  </si>
  <si>
    <t>119-02</t>
  </si>
  <si>
    <t>112-02</t>
  </si>
  <si>
    <t>1801-02</t>
  </si>
  <si>
    <t>121-02</t>
  </si>
  <si>
    <t>116-02</t>
  </si>
  <si>
    <t>123-02</t>
  </si>
  <si>
    <t>1802-02</t>
  </si>
  <si>
    <t>53-02</t>
  </si>
  <si>
    <t>118-02</t>
  </si>
  <si>
    <t>120-02</t>
  </si>
  <si>
    <t>125-02</t>
  </si>
  <si>
    <t>122-02</t>
  </si>
  <si>
    <t>127-02</t>
  </si>
  <si>
    <t>129-02</t>
  </si>
  <si>
    <t>124-02</t>
  </si>
  <si>
    <t>131-02</t>
  </si>
  <si>
    <t>1804-02</t>
  </si>
  <si>
    <t>133-02</t>
  </si>
  <si>
    <t>126-02</t>
  </si>
  <si>
    <t>128-02</t>
  </si>
  <si>
    <t>135-02</t>
  </si>
  <si>
    <t>PAGE</t>
  </si>
  <si>
    <t>MARCUS</t>
  </si>
  <si>
    <t>130-02</t>
  </si>
  <si>
    <t>1805-02</t>
  </si>
  <si>
    <t>137-02</t>
  </si>
  <si>
    <t>132-02</t>
  </si>
  <si>
    <t>134-02</t>
  </si>
  <si>
    <t>139-02</t>
  </si>
  <si>
    <t>1806-02</t>
  </si>
  <si>
    <t>136-02</t>
  </si>
  <si>
    <t>141-02</t>
  </si>
  <si>
    <t>143-02</t>
  </si>
  <si>
    <t>138-02</t>
  </si>
  <si>
    <t>1807-02</t>
  </si>
  <si>
    <t>145-02</t>
  </si>
  <si>
    <t>147-02</t>
  </si>
  <si>
    <t>140-02</t>
  </si>
  <si>
    <t>1808-02</t>
  </si>
  <si>
    <t>142-02</t>
  </si>
  <si>
    <t>149-02</t>
  </si>
  <si>
    <t>144-02</t>
  </si>
  <si>
    <t>rtdc.l.rtdc.4058:itc</t>
  </si>
  <si>
    <t>55-02</t>
  </si>
  <si>
    <t>BROWN</t>
  </si>
  <si>
    <t>JACOB</t>
  </si>
  <si>
    <t>153-02</t>
  </si>
  <si>
    <t>146-02</t>
  </si>
  <si>
    <t>rtdc.l.rtdc.4057:itc</t>
  </si>
  <si>
    <t>148-02</t>
  </si>
  <si>
    <t>150-02</t>
  </si>
  <si>
    <t>155-02</t>
  </si>
  <si>
    <t>157-02</t>
  </si>
  <si>
    <t>159-02</t>
  </si>
  <si>
    <t>152-02</t>
  </si>
  <si>
    <t>161-02</t>
  </si>
  <si>
    <t>1811-02</t>
  </si>
  <si>
    <t>154-02</t>
  </si>
  <si>
    <t>156-02</t>
  </si>
  <si>
    <t>163-02</t>
  </si>
  <si>
    <t>158-02</t>
  </si>
  <si>
    <t>165-02</t>
  </si>
  <si>
    <t>162-02</t>
  </si>
  <si>
    <t>167-02</t>
  </si>
  <si>
    <t>1813-02</t>
  </si>
  <si>
    <t>169-02</t>
  </si>
  <si>
    <t>60-02</t>
  </si>
  <si>
    <t>166-02</t>
  </si>
  <si>
    <t>171-02</t>
  </si>
  <si>
    <t>1814-02</t>
  </si>
  <si>
    <t>173-02</t>
  </si>
  <si>
    <t>61-02</t>
  </si>
  <si>
    <t>GONZALEZ</t>
  </si>
  <si>
    <t>ARMANDO</t>
  </si>
  <si>
    <t>175-02</t>
  </si>
  <si>
    <t>170-02</t>
  </si>
  <si>
    <t>1815-02</t>
  </si>
  <si>
    <t>177-02</t>
  </si>
  <si>
    <t>179-02</t>
  </si>
  <si>
    <t>172-02</t>
  </si>
  <si>
    <t>1816-02</t>
  </si>
  <si>
    <t>174-02</t>
  </si>
  <si>
    <t>181-02</t>
  </si>
  <si>
    <t>176-02</t>
  </si>
  <si>
    <t>178-02</t>
  </si>
  <si>
    <t>183-02</t>
  </si>
  <si>
    <t>1817-02</t>
  </si>
  <si>
    <t>180-02</t>
  </si>
  <si>
    <t>185-02</t>
  </si>
  <si>
    <t>187-02</t>
  </si>
  <si>
    <t>1818-02</t>
  </si>
  <si>
    <t>182-02</t>
  </si>
  <si>
    <t>189-02</t>
  </si>
  <si>
    <t>184-02</t>
  </si>
  <si>
    <t>191-02</t>
  </si>
  <si>
    <t>1819-02</t>
  </si>
  <si>
    <t>193-02</t>
  </si>
  <si>
    <t>186-02</t>
  </si>
  <si>
    <t>188-02</t>
  </si>
  <si>
    <t>195-02</t>
  </si>
  <si>
    <t>1820-02</t>
  </si>
  <si>
    <t>190-02</t>
  </si>
  <si>
    <t>192-02</t>
  </si>
  <si>
    <t>197-02</t>
  </si>
  <si>
    <t>194-02</t>
  </si>
  <si>
    <t>199-02</t>
  </si>
  <si>
    <t>1821-02</t>
  </si>
  <si>
    <t>196-02</t>
  </si>
  <si>
    <t>1822-02</t>
  </si>
  <si>
    <t>203-02</t>
  </si>
  <si>
    <t>198-02</t>
  </si>
  <si>
    <t>75-02</t>
  </si>
  <si>
    <t>205-02</t>
  </si>
  <si>
    <t>200-02</t>
  </si>
  <si>
    <t>207-02</t>
  </si>
  <si>
    <t>1823-02</t>
  </si>
  <si>
    <t>204-02</t>
  </si>
  <si>
    <t>209-02</t>
  </si>
  <si>
    <t>1824-02</t>
  </si>
  <si>
    <t>206-02</t>
  </si>
  <si>
    <t>211-02</t>
  </si>
  <si>
    <t>77-02</t>
  </si>
  <si>
    <t>208-02</t>
  </si>
  <si>
    <t>213-02</t>
  </si>
  <si>
    <t>215-02</t>
  </si>
  <si>
    <t>210-02</t>
  </si>
  <si>
    <t>1825-02</t>
  </si>
  <si>
    <t>217-02</t>
  </si>
  <si>
    <t>212-02</t>
  </si>
  <si>
    <t>219-02</t>
  </si>
  <si>
    <t>214-02</t>
  </si>
  <si>
    <t>301-02</t>
  </si>
  <si>
    <t>218-02</t>
  </si>
  <si>
    <t>216-02</t>
  </si>
  <si>
    <t>221-02</t>
  </si>
  <si>
    <t>1827-02</t>
  </si>
  <si>
    <t>303-02</t>
  </si>
  <si>
    <t>220-02</t>
  </si>
  <si>
    <t>223-02</t>
  </si>
  <si>
    <t>1828-02</t>
  </si>
  <si>
    <t>305-02</t>
  </si>
  <si>
    <t>225-02</t>
  </si>
  <si>
    <t>222-02</t>
  </si>
  <si>
    <t>1829-02</t>
  </si>
  <si>
    <t>224-02</t>
  </si>
  <si>
    <t>227-02</t>
  </si>
  <si>
    <t>1830-02</t>
  </si>
  <si>
    <t>226-02</t>
  </si>
  <si>
    <t>229-02</t>
  </si>
  <si>
    <t>1831-02</t>
  </si>
  <si>
    <t>231-02</t>
  </si>
  <si>
    <t>228-02</t>
  </si>
  <si>
    <t>1832-02</t>
  </si>
  <si>
    <t>233-02</t>
  </si>
  <si>
    <t>230-02</t>
  </si>
  <si>
    <t>1833-02</t>
  </si>
  <si>
    <t>232-02</t>
  </si>
  <si>
    <t>235-02</t>
  </si>
  <si>
    <t>1834-02</t>
  </si>
  <si>
    <t>234-02</t>
  </si>
  <si>
    <t>237-02</t>
  </si>
  <si>
    <t>1835-02</t>
  </si>
  <si>
    <t>239-02</t>
  </si>
  <si>
    <t>236-02</t>
  </si>
  <si>
    <t>1902-02</t>
  </si>
  <si>
    <t>241-02</t>
  </si>
  <si>
    <t>238-02</t>
  </si>
  <si>
    <t>240-02</t>
  </si>
  <si>
    <t>243-02</t>
  </si>
  <si>
    <t>242-02</t>
  </si>
  <si>
    <t>245-02</t>
  </si>
  <si>
    <t>307-02</t>
  </si>
  <si>
    <t>244-02</t>
  </si>
  <si>
    <t>309-02</t>
  </si>
  <si>
    <t>246-02</t>
  </si>
  <si>
    <t>311-02</t>
  </si>
  <si>
    <t>313-02</t>
  </si>
  <si>
    <t>precipType</t>
  </si>
  <si>
    <t>partly-cloudy-night</t>
  </si>
  <si>
    <t>Partly Cloudy</t>
  </si>
  <si>
    <t>partly-cloudy-day</t>
  </si>
  <si>
    <t>rain</t>
  </si>
  <si>
    <t>204:783</t>
  </si>
  <si>
    <t>204:233244</t>
  </si>
  <si>
    <t>204:232940</t>
  </si>
  <si>
    <t>204:233282</t>
  </si>
  <si>
    <t>204:232980</t>
  </si>
  <si>
    <t>204:233215</t>
  </si>
  <si>
    <t>204:232896</t>
  </si>
  <si>
    <t>204:200</t>
  </si>
  <si>
    <t>204:232967</t>
  </si>
  <si>
    <t>204:478</t>
  </si>
  <si>
    <t>204:232950</t>
  </si>
  <si>
    <t>204:232860</t>
  </si>
  <si>
    <t>204:491</t>
  </si>
  <si>
    <t>204:233309</t>
  </si>
  <si>
    <t>204:233206</t>
  </si>
  <si>
    <t>204:519</t>
  </si>
  <si>
    <t>204:232865</t>
  </si>
  <si>
    <t>204:232962</t>
  </si>
  <si>
    <t>204:232907</t>
  </si>
  <si>
    <t>204:271</t>
  </si>
  <si>
    <t>204:233234</t>
  </si>
  <si>
    <t>204:145</t>
  </si>
  <si>
    <t>204:232888</t>
  </si>
  <si>
    <t>204:233246</t>
  </si>
  <si>
    <t>204:205</t>
  </si>
  <si>
    <t>204:233257</t>
  </si>
  <si>
    <t>204:233238</t>
  </si>
  <si>
    <t>204:276</t>
  </si>
  <si>
    <t>204:426</t>
  </si>
  <si>
    <t>204:19122</t>
  </si>
  <si>
    <t>204:233191</t>
  </si>
  <si>
    <t>204:254</t>
  </si>
  <si>
    <t>204:232978</t>
  </si>
  <si>
    <t>204:230051</t>
  </si>
  <si>
    <t>204:232881</t>
  </si>
  <si>
    <t>204:498</t>
  </si>
  <si>
    <t>204:233163</t>
  </si>
  <si>
    <t>204:232983</t>
  </si>
  <si>
    <t>204:1753</t>
  </si>
  <si>
    <t>204:548</t>
  </si>
  <si>
    <t>204:233288</t>
  </si>
  <si>
    <t>204:233285</t>
  </si>
  <si>
    <t>204:238</t>
  </si>
  <si>
    <t>204:233212</t>
  </si>
  <si>
    <t>204:232891</t>
  </si>
  <si>
    <t>204:324</t>
  </si>
  <si>
    <t>204:233213</t>
  </si>
  <si>
    <t>204:232879</t>
  </si>
  <si>
    <t>204:220</t>
  </si>
  <si>
    <t>204:232906</t>
  </si>
  <si>
    <t>204:233322</t>
  </si>
  <si>
    <t>204:160</t>
  </si>
  <si>
    <t>204:232945</t>
  </si>
  <si>
    <t>204:232</t>
  </si>
  <si>
    <t>204:233209</t>
  </si>
  <si>
    <t>204:258</t>
  </si>
  <si>
    <t>204:232887</t>
  </si>
  <si>
    <t>204:232890</t>
  </si>
  <si>
    <t>204:227</t>
  </si>
  <si>
    <t>204:531</t>
  </si>
  <si>
    <t>204:232898</t>
  </si>
  <si>
    <t>204:504</t>
  </si>
  <si>
    <t>204:233216</t>
  </si>
  <si>
    <t>204:233220</t>
  </si>
  <si>
    <t>204:551</t>
  </si>
  <si>
    <t>300:58688</t>
  </si>
  <si>
    <t>204:97</t>
  </si>
  <si>
    <t>204:381</t>
  </si>
  <si>
    <t>300:58986</t>
  </si>
  <si>
    <t>204:155</t>
  </si>
  <si>
    <t>300:58685</t>
  </si>
  <si>
    <t>300:58670</t>
  </si>
  <si>
    <t>204:455</t>
  </si>
  <si>
    <t>300:58997</t>
  </si>
  <si>
    <t>204:164</t>
  </si>
  <si>
    <t>300:58656</t>
  </si>
  <si>
    <t>204:173</t>
  </si>
  <si>
    <t>204:166</t>
  </si>
  <si>
    <t>204:466</t>
  </si>
  <si>
    <t>300:58967</t>
  </si>
  <si>
    <t>300:58649</t>
  </si>
  <si>
    <t>204:4571</t>
  </si>
  <si>
    <t>204:471</t>
  </si>
  <si>
    <t>300:58961</t>
  </si>
  <si>
    <t>300:58651</t>
  </si>
  <si>
    <t>204:216</t>
  </si>
  <si>
    <t>204:527</t>
  </si>
  <si>
    <t>300:58958</t>
  </si>
  <si>
    <t>300:58647</t>
  </si>
  <si>
    <t>204:171</t>
  </si>
  <si>
    <t>204:468</t>
  </si>
  <si>
    <t>300:58926</t>
  </si>
  <si>
    <t>300:58606</t>
  </si>
  <si>
    <t>204:146</t>
  </si>
  <si>
    <t>300:58948</t>
  </si>
  <si>
    <t>300:58634</t>
  </si>
  <si>
    <t>204:448</t>
  </si>
  <si>
    <t>300:58943</t>
  </si>
  <si>
    <t>300:58623</t>
  </si>
  <si>
    <t>204:151</t>
  </si>
  <si>
    <t>204:450</t>
  </si>
  <si>
    <t>300:58927</t>
  </si>
  <si>
    <t>300:58613</t>
  </si>
  <si>
    <t>204:142</t>
  </si>
  <si>
    <t>204:444</t>
  </si>
  <si>
    <t>300:58619</t>
  </si>
  <si>
    <t>204:4681</t>
  </si>
  <si>
    <t>300:58609</t>
  </si>
  <si>
    <t>204:433</t>
  </si>
  <si>
    <t>300:58636</t>
  </si>
  <si>
    <t>204:437</t>
  </si>
  <si>
    <t>204:149</t>
  </si>
  <si>
    <t>204:460</t>
  </si>
  <si>
    <t>300:58643</t>
  </si>
  <si>
    <t>204:148</t>
  </si>
  <si>
    <t>204:451</t>
  </si>
  <si>
    <t>300:58963</t>
  </si>
  <si>
    <t>204:233203</t>
  </si>
  <si>
    <t>204:233274</t>
  </si>
  <si>
    <t>204:194</t>
  </si>
  <si>
    <t>300:29997</t>
  </si>
  <si>
    <t>300:58995</t>
  </si>
  <si>
    <t>300:58640</t>
  </si>
  <si>
    <t>300:28788</t>
  </si>
  <si>
    <t>204:233245</t>
  </si>
  <si>
    <t>204:233223</t>
  </si>
  <si>
    <t>204:232909</t>
  </si>
  <si>
    <t>204:391</t>
  </si>
  <si>
    <t>204:233193</t>
  </si>
  <si>
    <t>204:232886</t>
  </si>
  <si>
    <t>204:232871</t>
  </si>
  <si>
    <t>204:232905</t>
  </si>
  <si>
    <t>204:566</t>
  </si>
  <si>
    <t>204:251</t>
  </si>
  <si>
    <t>204:233197</t>
  </si>
  <si>
    <t>204:232882</t>
  </si>
  <si>
    <t>204:233204</t>
  </si>
  <si>
    <t>204:232870</t>
  </si>
  <si>
    <t>204:232868</t>
  </si>
  <si>
    <t>204:570</t>
  </si>
  <si>
    <t>204:529</t>
  </si>
  <si>
    <t>204:233187</t>
  </si>
  <si>
    <t>204:562</t>
  </si>
  <si>
    <t>204:233208</t>
  </si>
  <si>
    <t>204:539</t>
  </si>
  <si>
    <t>204:232923</t>
  </si>
  <si>
    <t>204:242</t>
  </si>
  <si>
    <t>204:233182</t>
  </si>
  <si>
    <t>204:232852</t>
  </si>
  <si>
    <t>204:571</t>
  </si>
  <si>
    <t>204:232996</t>
  </si>
  <si>
    <t>204:232850</t>
  </si>
  <si>
    <t>204:232936</t>
  </si>
  <si>
    <t>300:23301</t>
  </si>
  <si>
    <t>300:19630</t>
  </si>
  <si>
    <t>204:526</t>
  </si>
  <si>
    <t>300:23345</t>
  </si>
  <si>
    <t>300:23310</t>
  </si>
  <si>
    <t>300:23487</t>
  </si>
  <si>
    <t>300:23124</t>
  </si>
  <si>
    <t>300:23304</t>
  </si>
  <si>
    <t>300:23622</t>
  </si>
  <si>
    <t>204:608</t>
  </si>
  <si>
    <t>300:23319</t>
  </si>
  <si>
    <t>204:3207</t>
  </si>
  <si>
    <t>204:1152</t>
  </si>
  <si>
    <t>204:3489</t>
  </si>
  <si>
    <t>204:3257</t>
  </si>
  <si>
    <t>204:1484</t>
  </si>
  <si>
    <t>204:3582</t>
  </si>
  <si>
    <t>204:1156</t>
  </si>
  <si>
    <t>204:3693</t>
  </si>
  <si>
    <t>204:3385</t>
  </si>
  <si>
    <t>300:23230</t>
  </si>
  <si>
    <t>204:1917</t>
  </si>
  <si>
    <t>300:5173</t>
  </si>
  <si>
    <t>204:1158</t>
  </si>
  <si>
    <t>204:1149</t>
  </si>
  <si>
    <t>300:5500</t>
  </si>
  <si>
    <t>start /low /b %USERPROFILE%\Documents\GitHub\eaglep3\Utilities\DownloadLogsFromS3.py --loco 4021 --day 2017-12-02</t>
  </si>
  <si>
    <t>start /low /b %USERPROFILE%\Documents\GitHub\eaglep3\Utilities\DownloadLogsFromS3.py --loco 4043 --day 2017-12-02</t>
  </si>
  <si>
    <t>start /low /b %USERPROFILE%\Documents\GitHub\eaglep3\Utilities\DownloadLogsFromS3.py --loco 4056 --day 2017-12-02</t>
  </si>
  <si>
    <t>start /low /b %USERPROFILE%\Documents\GitHub\eaglep3\Utilities\DownloadLogsFromS3.py --loco 4028 --day 2017-12-02</t>
  </si>
  <si>
    <t>start /low /b %USERPROFILE%\Documents\GitHub\eaglep3\Utilities\DownloadLogsFromS3.py --loco 4053 --day 2017-12-02</t>
  </si>
  <si>
    <t>start /low /b %USERPROFILE%\Documents\GitHub\eaglep3\Utilities\DownloadLogsFromS3.py --loco 4033 --day 2017-12-03</t>
  </si>
  <si>
    <t>start /low /b %USERPROFILE%\Documents\GitHub\eaglep3\Utilities\DownloadLogsFromS3.py --loco 4055 --day 2017-12-02</t>
  </si>
  <si>
    <t>start /low /b %USERPROFILE%\Documents\GitHub\eaglep3\Utilities\DownloadLogsFromS3.py --loco 4009 --day 2017-12-02</t>
  </si>
  <si>
    <t>start /low /b %USERPROFILE%\Documents\GitHub\eaglep3\Utilities\DownloadLogsFromS3.py --loco 4034 --day 2017-12-02</t>
  </si>
  <si>
    <t>start /low /b %USERPROFILE%\Documents\GitHub\eaglep3\Utilities\DownloadLogsFromS3.py --loco 4032 --day 2017-12-02</t>
  </si>
  <si>
    <t>start /low /b %USERPROFILE%\Documents\GitHub\eaglep3\Utilities\DownloadLogsFromS3.py --loco 4033 --day 2017-12-02</t>
  </si>
  <si>
    <t>start /low /b %USERPROFILE%\Documents\GitHub\eaglep3\Utilities\DownloadLogsFromS3.py --loco 4054 --day 2017-12-02</t>
  </si>
  <si>
    <t>start /low /b %USERPROFILE%\Documents\GitHub\eaglep3\Utilities\DownloadLogsFromS3.py --loco 4053 --day 2017-12-03</t>
  </si>
  <si>
    <t>Observed minor onboard en route failure during init, no delay</t>
  </si>
  <si>
    <t>Onboard en route failure</t>
  </si>
  <si>
    <t>Observed brake system issue at CP DIA; PTC cut-out into platform</t>
  </si>
  <si>
    <t>Onboard en route failure during init</t>
  </si>
  <si>
    <t>Onboard en route failure prevented train from going ACTIVE</t>
  </si>
  <si>
    <t>Early arrival</t>
  </si>
  <si>
    <t>Observed Wi-MAX data drop</t>
  </si>
  <si>
    <t>Onboard en route failure cause unhealthy xing at Chambers, no enforcement</t>
  </si>
  <si>
    <t>Observed Wi-MAX data drop; caused unhealthy xing banner for Holly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</si>
</sst>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43071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COUNTIFS($N$13:$N$9551,"&gt;0",$AG$13:$AG$9551,I1)</f>
        <v>144</v>
      </c>
      <c r="K5" s="39"/>
      <c r="L5" s="171"/>
      <c r="M5" s="40">
        <f>AVERAGEIFS($N$13:$N$9551,$AG$13:$AG$9551,I1)</f>
        <v>37.125231481622905</v>
      </c>
      <c r="N5" s="38">
        <f t="array" ref="N5">MIN(IF($AG$13:$AG$9551=I1,IF(ISNUMBER($N$13:$N$9551),IF($N$13:$N$9551&gt;0,$N$13:$N$9551))))</f>
        <v>33.75</v>
      </c>
      <c r="O5" s="3">
        <f t="array" ref="O5">MAX(IF($AG$13:$AG$9551=I1,IF(ISNUMBER($N$13:$N$9551),IF($N$13:$N$9551&gt;0,$N$13:$N$9551))))</f>
        <v>44.483333338284865</v>
      </c>
      <c r="P5" s="2"/>
      <c r="R5" s="162" t="s">
        <v>17</v>
      </c>
      <c r="S5" s="206">
        <f>COUNTIFS($N$13:$N$9551,"&gt;0",$AG$13:$AG$9551,R1)</f>
        <v>35</v>
      </c>
      <c r="T5" s="171"/>
      <c r="U5" s="194"/>
      <c r="V5" s="210">
        <f>AVERAGEIFS($N$13:$N$9551,$AG$13:$AG$9551,R1)</f>
        <v>13.322380952470537</v>
      </c>
      <c r="W5" s="211">
        <f t="array" ref="W5">MIN(IF($AG$13:$AG$9551=R1,IF(ISNUMBER($N$13:$N$9551),IF($N$13:$N$9551&gt;0,$N$13:$N$9551))))</f>
        <v>10.016666661249474</v>
      </c>
      <c r="X5" s="199">
        <f t="array" ref="X5">MAX(IF($AG$13:$AG$9551=R1,IF(ISNUMBER($N$13:$N$9551),IF($N$13:$N$9551&gt;0,$N$13:$N$9551))))</f>
        <v>18.499999997438863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COUNT($O$13:$O$309)</f>
        <v>0</v>
      </c>
      <c r="K6" s="39"/>
      <c r="L6" s="171"/>
      <c r="M6" s="40">
        <f>IFERROR(AVERAGE($O$13:$O$309),0)</f>
        <v>0</v>
      </c>
      <c r="N6" s="38">
        <f>MIN($O$13:$O$309)</f>
        <v>0</v>
      </c>
      <c r="O6" s="3">
        <f>MAX($O$13:$O$309)</f>
        <v>0</v>
      </c>
      <c r="P6" s="2"/>
      <c r="R6" s="163" t="s">
        <v>43</v>
      </c>
      <c r="S6" s="206">
        <f>COUNT($O$13:$O$309)</f>
        <v>0</v>
      </c>
      <c r="T6" s="171"/>
      <c r="U6" s="194"/>
      <c r="V6" s="210">
        <f>IFERROR(AVERAGE($O$13:$O$309),0)</f>
        <v>0</v>
      </c>
      <c r="W6" s="211">
        <f>MIN($O$13:$O$309)</f>
        <v>0</v>
      </c>
      <c r="X6" s="199">
        <f>MAX($O$13:$O$309)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COUNTIFS($P$13:$P$9551,"&gt;0",$AG$13:$AG$9551,I1)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COUNTIFS($P$13:$P$9551,"&gt;0",$AG$13:$AG$9551,R1)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37.125231481622905</v>
      </c>
      <c r="N8" s="38">
        <f>N5</f>
        <v>33.75</v>
      </c>
      <c r="O8" s="3">
        <f>O5</f>
        <v>44.483333338284865</v>
      </c>
      <c r="P8" s="2"/>
      <c r="R8" s="162" t="s">
        <v>16</v>
      </c>
      <c r="S8" s="206">
        <f>S5</f>
        <v>35</v>
      </c>
      <c r="T8" s="171"/>
      <c r="U8" s="194"/>
      <c r="V8" s="210">
        <f>V5</f>
        <v>13.322380952470537</v>
      </c>
      <c r="W8" s="211">
        <f>W5</f>
        <v>10.016666661249474</v>
      </c>
      <c r="X8" s="199">
        <f>X5</f>
        <v>18.499999997438863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0.97222222222222221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- 2017-12-02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0.99269005847953207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679</v>
      </c>
      <c r="B13" s="7">
        <v>4044</v>
      </c>
      <c r="C13" s="21" t="s">
        <v>192</v>
      </c>
      <c r="D13" s="21" t="s">
        <v>886</v>
      </c>
      <c r="E13" s="13">
        <v>43071.129131944443</v>
      </c>
      <c r="F13" s="13">
        <v>43071.135740740741</v>
      </c>
      <c r="G13" s="7">
        <v>66</v>
      </c>
      <c r="H13" s="21" t="s">
        <v>887</v>
      </c>
      <c r="I13" s="13">
        <v>43071.161932870367</v>
      </c>
      <c r="J13" s="7">
        <v>0</v>
      </c>
      <c r="K13" s="89" t="str">
        <f>IF(ISEVEN(B13),(B13-1)&amp;"/"&amp;B13,B13&amp;"/"&amp;(B13+1))</f>
        <v>4043/4044</v>
      </c>
      <c r="L13" s="184" t="str">
        <f>VLOOKUP(A13,'Trips&amp;Operators'!$C$1:$G$99911,5,FALSE)</f>
        <v>THOMPSON LESTER</v>
      </c>
      <c r="M13" s="6">
        <f>I13-F13</f>
        <v>2.619212962599704E-2</v>
      </c>
      <c r="N13" s="7">
        <f>24*60*SUM($M13:$M13)</f>
        <v>37.716666661435738</v>
      </c>
      <c r="O13" s="7"/>
      <c r="P13" s="7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-02T02:05:57-0700',mode:absolute,to:'2017-12-02T04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7.8299999999999995E-2</v>
      </c>
      <c r="Z13" s="203">
        <f>RIGHT(H13,LEN(H13)-4)/10000</f>
        <v>23.324400000000001</v>
      </c>
      <c r="AA13" s="203">
        <f>ABS(Z13-Y13)</f>
        <v>23.246100000000002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/stypes="app*4044*20171202*"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4044 --swversion DE.1.0.9.0 --startMP 204:783 --initTime 2017-12-02T03:05:57 --startdatetime 2017-12-02T03:15:28 --delay 66 --endMP 204:233244 --enddatetime 2017-12-02T03:53:11 --enforcementcount 0 &gt;&gt;%USERPROFILE%\Documents\GitHub\eaglep3-reporting\EC\2017-12-02-refined-times.txt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ID","value":"101-02"},{"id":16,"name":"Locomotive ID","value":"4044"},{"id":130,"name":"Impact","value":""},{"id":150,"name":"Time of Event (Mountain Time)","value":"03:53:11"},{"id":151,"name":"Denver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4044 --day 2017-12-02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-02T02:05:57-0700',mode:absolute,to:'2017-12-02T04:53:11-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687</v>
      </c>
      <c r="B14" s="225">
        <v>4043</v>
      </c>
      <c r="C14" s="227" t="s">
        <v>192</v>
      </c>
      <c r="D14" s="227" t="s">
        <v>888</v>
      </c>
      <c r="E14" s="226">
        <v>43071.173472222225</v>
      </c>
      <c r="F14" s="226">
        <v>43071.175567129627</v>
      </c>
      <c r="G14" s="225">
        <v>94</v>
      </c>
      <c r="H14" s="227" t="s">
        <v>646</v>
      </c>
      <c r="I14" s="226">
        <v>43071.202384259261</v>
      </c>
      <c r="J14" s="225">
        <v>0</v>
      </c>
      <c r="K14" s="237" t="str">
        <f>IF(ISEVEN(B14),(B14-1)&amp;"/"&amp;B14,B14&amp;"/"&amp;(B14+1))</f>
        <v>4043/4044</v>
      </c>
      <c r="L14" s="245" t="str">
        <f>VLOOKUP(A14,'Trips&amp;Operators'!$C$1:$G$99911,5,FALSE)</f>
        <v>THOMPSON LESTER</v>
      </c>
      <c r="M14" s="224">
        <f>I14-F14</f>
        <v>2.6817129633855075E-2</v>
      </c>
      <c r="N14" s="225">
        <f>24*60*SUM($M14:$M14)</f>
        <v>38.616666672751307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-02T03:09:48-0700',mode:absolute,to:'2017-12-02T05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23.294</v>
      </c>
      <c r="Z14" s="247">
        <f>RIGHT(H14,LEN(H14)-4)/10000</f>
        <v>1.72E-2</v>
      </c>
      <c r="AA14" s="247">
        <f>ABS(Z14-Y14)</f>
        <v>23.276800000000001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/stypes="app*4043*20171202*"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4043 --swversion DE.1.0.9.0 --startMP 204:232940 --initTime 2017-12-02T04:09:48 --startdatetime 2017-12-02T04:12:49 --delay 94 --endMP 204:172 --enddatetime 2017-12-02T04:51:26 --enforcementcount 0 &gt;&gt;%USERPROFILE%\Documents\GitHub\eaglep3-reporting\EC\2017-12-02-refined-times.txt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{"issue":{"subject":"","project_id":79,"tracker_id":40,"status_id":1,"priority_id":2,"assigned_to_id":338,"start_date":"2017-12-02","description":"","custom_fields":[{"id":1,"name":"Subdivision","value":"EC"},{"id":4,"name":"Milepost","value":"0.0172"},{"id":17,"name":"Train ID","value":"102-02"},{"id":16,"name":"Locomotive ID","value":"4043"},{"id":130,"name":"Impact","value":""},{"id":150,"name":"Time of Event (Mountain Time)","value":"04:51:26"},{"id":151,"name":"Denver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4043 --day 2017-12-02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-02T03:09:48-0700',mode:absolute,to:'2017-12-02T05:51:26-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682</v>
      </c>
      <c r="B15" s="225">
        <v>4034</v>
      </c>
      <c r="C15" s="227" t="s">
        <v>192</v>
      </c>
      <c r="D15" s="227" t="s">
        <v>497</v>
      </c>
      <c r="E15" s="226">
        <v>43071.149814814817</v>
      </c>
      <c r="F15" s="226">
        <v>43071.156423611108</v>
      </c>
      <c r="G15" s="225">
        <v>55</v>
      </c>
      <c r="H15" s="227" t="s">
        <v>889</v>
      </c>
      <c r="I15" s="226">
        <v>43071.18074074074</v>
      </c>
      <c r="J15" s="225">
        <v>0</v>
      </c>
      <c r="K15" s="237" t="str">
        <f>IF(ISEVEN(B15),(B15-1)&amp;"/"&amp;B15,B15&amp;"/"&amp;(B15+1))</f>
        <v>4033/4034</v>
      </c>
      <c r="L15" s="245" t="str">
        <f>VLOOKUP(A15,'Trips&amp;Operators'!$C$1:$G$99911,5,FALSE)</f>
        <v>MAELZER KURT</v>
      </c>
      <c r="M15" s="224">
        <f>I15-F15</f>
        <v>2.4317129631526768E-2</v>
      </c>
      <c r="N15" s="225">
        <f>24*60*SUM($M15:$M15)</f>
        <v>35.016666669398546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-02T02:35:44-0700',mode:absolute,to:'2017-12-02T05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5.0900000000000001E-2</v>
      </c>
      <c r="Z15" s="247">
        <f>RIGHT(H15,LEN(H15)-4)/10000</f>
        <v>23.328199999999999</v>
      </c>
      <c r="AA15" s="247">
        <f>ABS(Z15-Y15)</f>
        <v>23.2773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/stypes="app*4034*20171202*"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103-02 --locoid 4034 --swversion DE.1.0.9.0 --startMP 204:509 --initTime 2017-12-02T03:35:44 --startdatetime 2017-12-02T03:45:15 --delay 55 --endMP 204:233282 --enddatetime 2017-12-02T04:20:16 --enforcementcount 0 &gt;&gt;%USERPROFILE%\Documents\GitHub\eaglep3-reporting\EC\2017-12-02-refined-times.txt</v>
      </c>
      <c r="AI15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{"issue":{"subject":"","project_id":79,"tracker_id":40,"status_id":1,"priority_id":2,"assigned_to_id":338,"start_date":"2017-12-02","description":"","custom_fields":[{"id":1,"name":"Subdivision","value":"EC"},{"id":4,"name":"Milepost","value":"23.3282"},{"id":17,"name":"Train ID","value":"103-02"},{"id":16,"name":"Locomotive ID","value":"4034"},{"id":130,"name":"Impact","value":""},{"id":150,"name":"Time of Event (Mountain Time)","value":"04:20:16"},{"id":151,"name":"Denver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4034 --day 2017-12-02</v>
      </c>
      <c r="AN15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-02T02:35:44-0700',mode:absolute,to:'2017-12-02T05:20:16-0700'))&amp;_a=(columns:!('Message%20ID',Summary),filters:!(),index:'emp_*',interval:auto,query:(query_string:(analyze_wildcard:!t,query:'%22rtdc.l.rtdc.4034%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691</v>
      </c>
      <c r="B16" s="225">
        <v>4033</v>
      </c>
      <c r="C16" s="227" t="s">
        <v>192</v>
      </c>
      <c r="D16" s="227" t="s">
        <v>890</v>
      </c>
      <c r="E16" s="226">
        <v>43071.185208333336</v>
      </c>
      <c r="F16" s="226">
        <v>43071.19599537037</v>
      </c>
      <c r="G16" s="225">
        <v>52</v>
      </c>
      <c r="H16" s="227" t="s">
        <v>588</v>
      </c>
      <c r="I16" s="226">
        <v>43071.221817129626</v>
      </c>
      <c r="J16" s="225">
        <v>0</v>
      </c>
      <c r="K16" s="237" t="str">
        <f>IF(ISEVEN(B16),(B16-1)&amp;"/"&amp;B16,B16&amp;"/"&amp;(B16+1))</f>
        <v>4033/4034</v>
      </c>
      <c r="L16" s="245" t="str">
        <f>VLOOKUP(A16,'Trips&amp;Operators'!$C$1:$G$99911,5,FALSE)</f>
        <v>MAELZER KURT</v>
      </c>
      <c r="M16" s="224">
        <f>I16-F16</f>
        <v>2.5821759256359655E-2</v>
      </c>
      <c r="N16" s="225">
        <f>24*60*SUM($M16:$M16)</f>
        <v>37.183333329157904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-02T03:26:42-0700',mode:absolute,to:'2017-12-02T06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23.297999999999998</v>
      </c>
      <c r="Z16" s="247">
        <f>RIGHT(H16,LEN(H16)-4)/10000</f>
        <v>1.89E-2</v>
      </c>
      <c r="AA16" s="247">
        <f>ABS(Z16-Y16)</f>
        <v>23.2791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/stypes="app*4033*20171202*"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104-02 --locoid 4033 --swversion DE.1.0.9.0 --startMP 204:232980 --initTime 2017-12-02T04:26:42 --startdatetime 2017-12-02T04:42:14 --delay 52 --endMP 204:189 --enddatetime 2017-12-02T05:19:25 --enforcementcount 0 &gt;&gt;%USERPROFILE%\Documents\GitHub\eaglep3-reporting\EC\2017-12-02-refined-times.txt</v>
      </c>
      <c r="AI1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{"issue":{"subject":"","project_id":79,"tracker_id":40,"status_id":1,"priority_id":2,"assigned_to_id":338,"start_date":"2017-12-02","description":"","custom_fields":[{"id":1,"name":"Subdivision","value":"EC"},{"id":4,"name":"Milepost","value":"0.0189"},{"id":17,"name":"Train ID","value":"104-02"},{"id":16,"name":"Locomotive ID","value":"4033"},{"id":130,"name":"Impact","value":""},{"id":150,"name":"Time of Event (Mountain Time)","value":"05:19:25"},{"id":151,"name":"Denver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4033 --day 2017-12-02</v>
      </c>
      <c r="AN1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-02T03:26:42-0700',mode:absolute,to:'2017-12-02T06:19:25-0700'))&amp;_a=(columns:!('Message%20ID',Summary),filters:!(),index:'emp_*',interval:auto,query:(query_string:(analyze_wildcard:!t,query:'%22rtdc.l.rtdc.4033%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684</v>
      </c>
      <c r="B17" s="225">
        <v>4030</v>
      </c>
      <c r="C17" s="227" t="s">
        <v>192</v>
      </c>
      <c r="D17" s="227" t="s">
        <v>611</v>
      </c>
      <c r="E17" s="226">
        <v>43071.167858796296</v>
      </c>
      <c r="F17" s="226">
        <v>43071.177361111113</v>
      </c>
      <c r="G17" s="225">
        <v>81</v>
      </c>
      <c r="H17" s="227" t="s">
        <v>891</v>
      </c>
      <c r="I17" s="226">
        <v>43071.201828703706</v>
      </c>
      <c r="J17" s="225">
        <v>0</v>
      </c>
      <c r="K17" s="237" t="str">
        <f>IF(ISEVEN(B17),(B17-1)&amp;"/"&amp;B17,B17&amp;"/"&amp;(B17+1))</f>
        <v>4029/4030</v>
      </c>
      <c r="L17" s="245" t="str">
        <f>VLOOKUP(A17,'Trips&amp;Operators'!$C$1:$G$99911,5,FALSE)</f>
        <v>LOPES KIMBERLY</v>
      </c>
      <c r="M17" s="224">
        <f>I17-F17</f>
        <v>2.4467592593282461E-2</v>
      </c>
      <c r="N17" s="225">
        <f>24*60*SUM($M17:$M17)</f>
        <v>35.233333334326744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-02T03:01:43-0700',mode:absolute,to:'2017-12-02T05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5.3499999999999999E-2</v>
      </c>
      <c r="Z17" s="247">
        <f>RIGHT(H17,LEN(H17)-4)/10000</f>
        <v>23.3215</v>
      </c>
      <c r="AA17" s="247">
        <f>ABS(Z17-Y17)</f>
        <v>23.268000000000001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/stypes="app*4030*20171202*"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105-02 --locoid 4030 --swversion DE.1.0.9.0 --startMP 204:535 --initTime 2017-12-02T04:01:43 --startdatetime 2017-12-02T04:15:24 --delay 81 --endMP 204:233215 --enddatetime 2017-12-02T04:50:38 --enforcementcount 0 &gt;&gt;%USERPROFILE%\Documents\GitHub\eaglep3-reporting\EC\2017-12-02-refined-times.txt</v>
      </c>
      <c r="AI1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{"issue":{"subject":"","project_id":79,"tracker_id":40,"status_id":1,"priority_id":2,"assigned_to_id":338,"start_date":"2017-12-02","description":"","custom_fields":[{"id":1,"name":"Subdivision","value":"EC"},{"id":4,"name":"Milepost","value":"23.3215"},{"id":17,"name":"Train ID","value":"105-02"},{"id":16,"name":"Locomotive ID","value":"4030"},{"id":130,"name":"Impact","value":""},{"id":150,"name":"Time of Event (Mountain Time)","value":"04:50:38"},{"id":151,"name":"Denver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4030 --day 2017-12-02</v>
      </c>
      <c r="AN1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-02T03:01:43-0700',mode:absolute,to:'2017-12-02T05:50:38-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695</v>
      </c>
      <c r="B18" s="225">
        <v>4029</v>
      </c>
      <c r="C18" s="227" t="s">
        <v>192</v>
      </c>
      <c r="D18" s="227" t="s">
        <v>892</v>
      </c>
      <c r="E18" s="226">
        <v>43071.2112037037</v>
      </c>
      <c r="F18" s="226">
        <v>43071.216851851852</v>
      </c>
      <c r="G18" s="225">
        <v>67</v>
      </c>
      <c r="H18" s="227" t="s">
        <v>893</v>
      </c>
      <c r="I18" s="226">
        <v>43071.242951388886</v>
      </c>
      <c r="J18" s="225">
        <v>0</v>
      </c>
      <c r="K18" s="237" t="str">
        <f>IF(ISEVEN(B18),(B18-1)&amp;"/"&amp;B18,B18&amp;"/"&amp;(B18+1))</f>
        <v>4029/4030</v>
      </c>
      <c r="L18" s="245" t="str">
        <f>VLOOKUP(A18,'Trips&amp;Operators'!$C$1:$G$99911,5,FALSE)</f>
        <v>LOPES KIMBERLY</v>
      </c>
      <c r="M18" s="224">
        <f>I18-F18</f>
        <v>2.6099537033587694E-2</v>
      </c>
      <c r="N18" s="225">
        <f>24*60*SUM($M18:$M18)</f>
        <v>37.58333332836628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-02T04:04:08-0700',mode:absolute,to:'2017-12-02T06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23.2896</v>
      </c>
      <c r="Z18" s="247">
        <f>RIGHT(H18,LEN(H18)-4)/10000</f>
        <v>0.02</v>
      </c>
      <c r="AA18" s="247">
        <f>ABS(Z18-Y18)</f>
        <v>23.269600000000001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/stypes="app*4029*20171202*"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106-02 --locoid 4029 --swversion DE.1.0.9.0 --startMP 204:232896 --initTime 2017-12-02T05:04:08 --startdatetime 2017-12-02T05:12:16 --delay 67 --endMP 204:200 --enddatetime 2017-12-02T05:49:51 --enforcementcount 0 &gt;&gt;%USERPROFILE%\Documents\GitHub\eaglep3-reporting\EC\2017-12-02-refined-times.txt</v>
      </c>
      <c r="AI1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ID","value":"106-02"},{"id":16,"name":"Locomotive ID","value":"4029"},{"id":130,"name":"Impact","value":""},{"id":150,"name":"Time of Event (Mountain Time)","value":"05:49:51"},{"id":151,"name":"Denver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4029 --day 2017-12-02</v>
      </c>
      <c r="AN1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-02T04:04:08-0700',mode:absolute,to:'2017-12-02T06:49:51-0700'))&amp;_a=(columns:!('Message%20ID',Summary),filters:!(),index:'emp_*',interval:auto,query:(query_string:(analyze_wildcard:!t,query:'%22rtdc.l.rtdc.4029%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690</v>
      </c>
      <c r="B19" s="225">
        <v>4022</v>
      </c>
      <c r="C19" s="227" t="s">
        <v>192</v>
      </c>
      <c r="D19" s="227" t="s">
        <v>549</v>
      </c>
      <c r="E19" s="226">
        <v>43071.183703703704</v>
      </c>
      <c r="F19" s="226">
        <v>43071.187673611108</v>
      </c>
      <c r="G19" s="225">
        <v>69</v>
      </c>
      <c r="H19" s="227" t="s">
        <v>569</v>
      </c>
      <c r="I19" s="226">
        <v>43071.211655092593</v>
      </c>
      <c r="J19" s="225">
        <v>0</v>
      </c>
      <c r="K19" s="237" t="str">
        <f>IF(ISEVEN(B19),(B19-1)&amp;"/"&amp;B19,B19&amp;"/"&amp;(B19+1))</f>
        <v>4021/4022</v>
      </c>
      <c r="L19" s="245" t="str">
        <f>VLOOKUP(A19,'Trips&amp;Operators'!$C$1:$G$99911,5,FALSE)</f>
        <v>GEBRETEKLE DAGNEW</v>
      </c>
      <c r="M19" s="224">
        <f>I19-F19</f>
        <v>2.3981481484952383E-2</v>
      </c>
      <c r="N19" s="225">
        <f>24*60*SUM($M19:$M19)</f>
        <v>34.533333338331431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-02T03:24:32-0700',mode:absolute,to:'2017-12-02T06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4.8899999999999999E-2</v>
      </c>
      <c r="Z19" s="247">
        <f>RIGHT(H19,LEN(H19)-4)/10000</f>
        <v>23.3276</v>
      </c>
      <c r="AA19" s="247">
        <f>ABS(Z19-Y19)</f>
        <v>23.278700000000001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/stypes="app*4022*20171202*"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107-02 --locoid 4022 --swversion DE.1.0.9.0 --startMP 204:489 --initTime 2017-12-02T04:24:32 --startdatetime 2017-12-02T04:30:15 --delay 69 --endMP 204:233276 --enddatetime 2017-12-02T05:04:47 --enforcementcount 0 &gt;&gt;%USERPROFILE%\Documents\GitHub\eaglep3-reporting\EC\2017-12-02-refined-times.txt</v>
      </c>
      <c r="AI1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ID","value":"107-02"},{"id":16,"name":"Locomotive ID","value":"4022"},{"id":130,"name":"Impact","value":""},{"id":150,"name":"Time of Event (Mountain Time)","value":"05:04:47"},{"id":151,"name":"Denver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4022 --day 2017-12-02</v>
      </c>
      <c r="AN19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-02T03:24:32-0700',mode:absolute,to:'2017-12-02T06:04:47-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696</v>
      </c>
      <c r="B20" s="225">
        <v>4021</v>
      </c>
      <c r="C20" s="227" t="s">
        <v>192</v>
      </c>
      <c r="D20" s="227" t="s">
        <v>894</v>
      </c>
      <c r="E20" s="226">
        <v>43071.212962962964</v>
      </c>
      <c r="F20" s="226">
        <v>43071.227581018517</v>
      </c>
      <c r="G20" s="225">
        <v>48</v>
      </c>
      <c r="H20" s="227" t="s">
        <v>894</v>
      </c>
      <c r="I20" s="226">
        <v>43071.253194444442</v>
      </c>
      <c r="J20" s="225">
        <v>0</v>
      </c>
      <c r="K20" s="237" t="str">
        <f>IF(ISEVEN(B20),(B20-1)&amp;"/"&amp;B20,B20&amp;"/"&amp;(B20+1))</f>
        <v>4021/4022</v>
      </c>
      <c r="L20" s="245" t="str">
        <f>VLOOKUP(A20,'Trips&amp;Operators'!$C$1:$G$99911,5,FALSE)</f>
        <v>GEBRETEKLE DAGNEW</v>
      </c>
      <c r="M20" s="224">
        <f>I20-F20</f>
        <v>2.5613425925257616E-2</v>
      </c>
      <c r="N20" s="225"/>
      <c r="O20" s="225"/>
      <c r="P20" s="225"/>
      <c r="Q20" s="228"/>
      <c r="R20" s="242"/>
      <c r="S20" s="249"/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-02T04:06:40-0700',mode:absolute,to:'2017-12-02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Y</v>
      </c>
      <c r="X20" s="247">
        <f>VALUE(LEFT(AD20,4))-VALUE(LEFT(AD19,4))</f>
        <v>1</v>
      </c>
      <c r="Y20" s="247">
        <f>RIGHT(D20,LEN(D20)-4)/10000</f>
        <v>23.296700000000001</v>
      </c>
      <c r="Z20" s="247">
        <f>RIGHT(H20,LEN(H20)-4)/10000</f>
        <v>23.296700000000001</v>
      </c>
      <c r="AA20" s="247">
        <f>ABS(Z20-Y20)</f>
        <v>0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/stypes="app*4021*20171202*"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108-02 --locoid 4021 --swversion DE.1.0.9.0 --startMP 204:232967 --initTime 2017-12-02T05:06:40 --startdatetime 2017-12-02T05:27:43 --delay 48 --endMP 204:232967 --enddatetime 2017-12-02T06:04:36 --enforcementcount 0 &gt;&gt;%USERPROFILE%\Documents\GitHub\eaglep3-reporting\EC\2017-12-02-refined-times.txt</v>
      </c>
      <c r="AI2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{"issue":{"subject":"","project_id":79,"tracker_id":40,"status_id":1,"priority_id":2,"assigned_to_id":338,"start_date":"2017-12-02","description":"","custom_fields":[{"id":1,"name":"Subdivision","value":"EC"},{"id":4,"name":"Milepost","value":"23.2967"},{"id":17,"name":"Train ID","value":"108-02"},{"id":16,"name":"Locomotive ID","value":"4021"},{"id":130,"name":"Impact","value":""},{"id":150,"name":"Time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4021 --day 2017-12-02</v>
      </c>
      <c r="AN20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-02T04:06:40-0700',mode:absolute,to:'2017-12-02T07:04:36-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696</v>
      </c>
      <c r="B21" s="225">
        <v>4021</v>
      </c>
      <c r="C21" s="227" t="s">
        <v>192</v>
      </c>
      <c r="D21" s="227" t="s">
        <v>498</v>
      </c>
      <c r="E21" s="226">
        <v>43071.226388888892</v>
      </c>
      <c r="F21" s="226">
        <v>43071.227581018517</v>
      </c>
      <c r="G21" s="225">
        <v>58</v>
      </c>
      <c r="H21" s="227" t="s">
        <v>490</v>
      </c>
      <c r="I21" s="226">
        <v>43071.253194444442</v>
      </c>
      <c r="J21" s="225">
        <v>0</v>
      </c>
      <c r="K21" s="237" t="str">
        <f>IF(ISEVEN(B21),(B21-1)&amp;"/"&amp;B21,B21&amp;"/"&amp;(B21+1))</f>
        <v>4021/4022</v>
      </c>
      <c r="L21" s="245" t="str">
        <f>VLOOKUP(A21,'Trips&amp;Operators'!$C$1:$G$99911,5,FALSE)</f>
        <v>GEBRETEKLE DAGNEW</v>
      </c>
      <c r="M21" s="224">
        <f>I21-F21</f>
        <v>2.5613425925257616E-2</v>
      </c>
      <c r="N21" s="225">
        <f>24*60*SUM($M21:$M21)</f>
        <v>36.883333332370967</v>
      </c>
      <c r="O21" s="225"/>
      <c r="P21" s="225"/>
      <c r="Q21" s="228"/>
      <c r="R21" s="242" t="s">
        <v>1078</v>
      </c>
      <c r="S21" s="249">
        <f>1/IF(AG21="EC",12,1)*SUM(U21:U21)</f>
        <v>1</v>
      </c>
      <c r="T21" s="242" t="str">
        <f>IF(ISEVEN(LEFT(AD21,4)),"Southbound","NorthBound")</f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-02T04:26:00-0700',mode:absolute,to:'2017-12-02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0</v>
      </c>
      <c r="Y21" s="247">
        <f>RIGHT(D21,LEN(D21)-4)/10000</f>
        <v>23.2942</v>
      </c>
      <c r="Z21" s="247">
        <f>RIGHT(H21,LEN(H21)-4)/10000</f>
        <v>1.54E-2</v>
      </c>
      <c r="AA21" s="247">
        <f>ABS(Z21-Y21)</f>
        <v>23.2788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108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/stypes="app*4021*20171202*" /stext=" 13:.+((SYSTEM_STATE.+slice.+state.+changed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108-02 --locoid 4021 --swversion DE.1.0.9.0 --startMP 204:232942 --initTime 2017-12-02T05:26:00 --startdatetime 2017-12-02T05:27:43 --delay 58 --endMP 204:154 --enddatetime 2017-12-02T06:04:36 --enforcementcount 0 &gt;&gt;%USERPROFILE%\Documents\GitHub\eaglep3-reporting\EC\2017-12-02-refined-times.txt</v>
      </c>
      <c r="AI21" s="238" t="str">
        <f t="shared" si="6"/>
        <v>echo {"issue":{"subject":"Observed minor onboard en route failure during init, no delay","project_id":79,"tracker_id":40,"status_id":1,"priority_id":2,"assigned_to_id":338,"start_date":"2017-12-02","description":"","custom_fields":[{"id":1,"name":"Subdivision","value":"EC"},{"id":4,"name":"Milepost","value":"0.0154"},{"id":17,"name":"Train ID","value":"108-02"},{"id":16,"name":"Locomotive ID","value":"4021"},{"id":130,"name":"Impact","value":""},{"id":150,"name":"Time of Event (Mountain Time)","value":"06:04:36"},{"id":151,"name":"Denver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4021 --day 2017-12-02</v>
      </c>
      <c r="AN21" s="241" t="str">
        <f t="shared" si="8"/>
        <v>echo {"issue":{"subject":"Observed minor onboard en route failure during init, no delay","project_id":30,"tracker_id":4,"status_id":1,"priority_id":1,"assigned_to_id":10,"start_date":"2017-12-02","description":"","custom_fields":[{"id":30,"name":"Category","value":"Issue"},{"id":3,"name":"Functional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-02T04:26:00-0700',mode:absolute,to:'2017-12-02T07:04:36-0700'))&amp;_a=(columns:!('Message%20ID',Summary),filters:!(),index:'emp_*',interval:auto,query:(query_string:(analyze_wildcard:!t,query:'%22rtdc.l.rtdc.4021%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692</v>
      </c>
      <c r="B22" s="225">
        <v>4032</v>
      </c>
      <c r="C22" s="227" t="s">
        <v>192</v>
      </c>
      <c r="D22" s="227" t="s">
        <v>618</v>
      </c>
      <c r="E22" s="226">
        <v>43071.189710648148</v>
      </c>
      <c r="F22" s="226">
        <v>43071.198078703703</v>
      </c>
      <c r="G22" s="225">
        <v>69</v>
      </c>
      <c r="H22" s="227" t="s">
        <v>582</v>
      </c>
      <c r="I22" s="226">
        <v>43071.22278935185</v>
      </c>
      <c r="J22" s="225">
        <v>0</v>
      </c>
      <c r="K22" s="237" t="str">
        <f>IF(ISEVEN(B22),(B22-1)&amp;"/"&amp;B22,B22&amp;"/"&amp;(B22+1))</f>
        <v>4031/4032</v>
      </c>
      <c r="L22" s="245" t="str">
        <f>VLOOKUP(A22,'Trips&amp;Operators'!$C$1:$G$99911,5,FALSE)</f>
        <v>NEWELL JAMES</v>
      </c>
      <c r="M22" s="224">
        <f>I22-F22</f>
        <v>2.47106481474475E-2</v>
      </c>
      <c r="N22" s="225">
        <f>24*60*SUM($M22:$M22)</f>
        <v>35.583333332324401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-02T03:33:11-0700',mode:absolute,to:'2017-12-02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4.8000000000000001E-2</v>
      </c>
      <c r="Z22" s="247">
        <f>RIGHT(H22,LEN(H22)-4)/10000</f>
        <v>23.3247</v>
      </c>
      <c r="AA22" s="247">
        <f>ABS(Z22-Y22)</f>
        <v>23.276700000000002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109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/stypes="app*4032*20171202*" /stext=" 12:.+((SYSTEM_STATE.+slice.+state.+changed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109-02 --locoid 4032 --swversion DE.1.0.9.0 --startMP 204:480 --initTime 2017-12-02T04:33:11 --startdatetime 2017-12-02T04:45:14 --delay 69 --endMP 204:233247 --enddatetime 2017-12-02T05:20:49 --enforcementcount 0 &gt;&gt;%USERPROFILE%\Documents\GitHub\eaglep3-reporting\EC\2017-12-02-refined-times.txt</v>
      </c>
      <c r="AI2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{"issue":{"subject":"","project_id":79,"tracker_id":40,"status_id":1,"priority_id":2,"assigned_to_id":338,"start_date":"2017-12-02","description":"","custom_fields":[{"id":1,"name":"Subdivision","value":"EC"},{"id":4,"name":"Milepost","value":"23.3247"},{"id":17,"name":"Train ID","value":"109-02"},{"id":16,"name":"Locomotive ID","value":"4032"},{"id":130,"name":"Impact","value":""},{"id":150,"name":"Time of Event (Mountain Time)","value":"05:20:49"},{"id":151,"name":"Denver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4032 --day 2017-12-02</v>
      </c>
      <c r="AN2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-02T03:33:11-0700',mode:absolute,to:'2017-12-02T06:20:49-0700'))&amp;_a=(columns:!('Message%20ID',Summary),filters:!(),index:'emp_*',interval:auto,query:(query_string:(analyze_wildcard:!t,query:'%22rtdc.l.rtdc.4032%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701</v>
      </c>
      <c r="B23" s="225">
        <v>4031</v>
      </c>
      <c r="C23" s="227" t="s">
        <v>192</v>
      </c>
      <c r="D23" s="227" t="s">
        <v>613</v>
      </c>
      <c r="E23" s="226">
        <v>43071.225104166668</v>
      </c>
      <c r="F23" s="226">
        <v>43071.237650462965</v>
      </c>
      <c r="G23" s="225">
        <v>51</v>
      </c>
      <c r="H23" s="227" t="s">
        <v>617</v>
      </c>
      <c r="I23" s="226">
        <v>43071.263194444444</v>
      </c>
      <c r="J23" s="225">
        <v>0</v>
      </c>
      <c r="K23" s="237" t="str">
        <f>IF(ISEVEN(B23),(B23-1)&amp;"/"&amp;B23,B23&amp;"/"&amp;(B23+1))</f>
        <v>4031/4032</v>
      </c>
      <c r="L23" s="245" t="str">
        <f>VLOOKUP(A23,'Trips&amp;Operators'!$C$1:$G$99911,5,FALSE)</f>
        <v>NEWELL JAMES</v>
      </c>
      <c r="M23" s="224">
        <f>I23-F23</f>
        <v>2.5543981479131617E-2</v>
      </c>
      <c r="N23" s="225">
        <f>24*60*SUM($M23:$M23)</f>
        <v>36.783333329949528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-02T04:24:09-0700',mode:absolute,to:'2017-12-02T07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23.291499999999999</v>
      </c>
      <c r="Z23" s="247">
        <f>RIGHT(H23,LEN(H23)-4)/10000</f>
        <v>2.69E-2</v>
      </c>
      <c r="AA23" s="247">
        <f>ABS(Z23-Y23)</f>
        <v>23.264599999999998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110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/stypes="app*4031*20171202*" /stext=" 13:.+((SYSTEM_STATE.+slice.+state.+changed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110-02 --locoid 4031 --swversion DE.1.0.9.0 --startMP 204:232915 --initTime 2017-12-02T05:24:09 --startdatetime 2017-12-02T05:42:13 --delay 51 --endMP 204:269 --enddatetime 2017-12-02T06:19:00 --enforcementcount 0 &gt;&gt;%USERPROFILE%\Documents\GitHub\eaglep3-reporting\EC\2017-12-02-refined-times.txt</v>
      </c>
      <c r="AI2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{"issue":{"subject":"","project_id":79,"tracker_id":40,"status_id":1,"priority_id":2,"assigned_to_id":338,"start_date":"2017-12-02","description":"","custom_fields":[{"id":1,"name":"Subdivision","value":"EC"},{"id":4,"name":"Milepost","value":"0.0269"},{"id":17,"name":"Train ID","value":"110-02"},{"id":16,"name":"Locomotive ID","value":"4031"},{"id":130,"name":"Impact","value":""},{"id":150,"name":"Time of Event (Mountain Time)","value":"06:19:00"},{"id":151,"name":"Denver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4031 --day 2017-12-02</v>
      </c>
      <c r="AN2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-02T04:24:09-0700',mode:absolute,to:'2017-12-02T07:19:00-0700'))&amp;_a=(columns:!('Message%20ID',Summary),filters:!(),index:'emp_*',interval:auto,query:(query_string:(analyze_wildcard:!t,query:'%22rtdc.l.rtdc.4031%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694</v>
      </c>
      <c r="B24" s="225">
        <v>4044</v>
      </c>
      <c r="C24" s="227" t="s">
        <v>192</v>
      </c>
      <c r="D24" s="227" t="s">
        <v>895</v>
      </c>
      <c r="E24" s="226">
        <v>43071.204548611109</v>
      </c>
      <c r="F24" s="226">
        <v>43071.208599537036</v>
      </c>
      <c r="G24" s="225">
        <v>53</v>
      </c>
      <c r="H24" s="227" t="s">
        <v>569</v>
      </c>
      <c r="I24" s="226">
        <v>43071.234317129631</v>
      </c>
      <c r="J24" s="225">
        <v>0</v>
      </c>
      <c r="K24" s="237" t="str">
        <f>IF(ISEVEN(B24),(B24-1)&amp;"/"&amp;B24,B24&amp;"/"&amp;(B24+1))</f>
        <v>4043/4044</v>
      </c>
      <c r="L24" s="245" t="str">
        <f>VLOOKUP(A24,'Trips&amp;Operators'!$C$1:$G$99911,5,FALSE)</f>
        <v>THOMPSON LESTER</v>
      </c>
      <c r="M24" s="224">
        <f>I24-F24</f>
        <v>2.5717592594446614E-2</v>
      </c>
      <c r="N24" s="225">
        <f>24*60*SUM($M24:$M24)</f>
        <v>37.033333336003125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-02T03:54:33-0700',mode:absolute,to:'2017-12-02T06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4.7800000000000002E-2</v>
      </c>
      <c r="Z24" s="247">
        <f>RIGHT(H24,LEN(H24)-4)/10000</f>
        <v>23.3276</v>
      </c>
      <c r="AA24" s="247">
        <f>ABS(Z24-Y24)</f>
        <v>23.279800000000002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111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/stypes="app*4044*20171202*" /stext=" 12:.+((SYSTEM_STATE.+slice.+state.+changed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111-02 --locoid 4044 --swversion DE.1.0.9.0 --startMP 204:478 --initTime 2017-12-02T04:54:33 --startdatetime 2017-12-02T05:00:23 --delay 53 --endMP 204:233276 --enddatetime 2017-12-02T05:37:25 --enforcementcount 0 &gt;&gt;%USERPROFILE%\Documents\GitHub\eaglep3-reporting\EC\2017-12-02-refined-times.txt</v>
      </c>
      <c r="AI2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ID","value":"111-02"},{"id":16,"name":"Locomotive ID","value":"4044"},{"id":130,"name":"Impact","value":""},{"id":150,"name":"Time of Event (Mountain Time)","value":"05:37:25"},{"id":151,"name":"Denver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4044 --day 2017-12-02</v>
      </c>
      <c r="AN2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-02T03:54:33-0700',mode:absolute,to:'2017-12-02T06:37:25-0700'))&amp;_a=(columns:!('Message%20ID',Summary),filters:!(),index:'emp_*',interval:auto,query:(query_string:(analyze_wildcard:!t,query:'%22rtdc.l.rtdc.4044%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705</v>
      </c>
      <c r="B25" s="225">
        <v>4043</v>
      </c>
      <c r="C25" s="227" t="s">
        <v>192</v>
      </c>
      <c r="D25" s="227" t="s">
        <v>888</v>
      </c>
      <c r="E25" s="226">
        <v>43071.245787037034</v>
      </c>
      <c r="F25" s="226">
        <v>43071.248182870368</v>
      </c>
      <c r="G25" s="225">
        <v>51</v>
      </c>
      <c r="H25" s="227" t="s">
        <v>896</v>
      </c>
      <c r="I25" s="226">
        <v>43071.260127314818</v>
      </c>
      <c r="J25" s="225">
        <v>0</v>
      </c>
      <c r="K25" s="237" t="str">
        <f>IF(ISEVEN(B25),(B25-1)&amp;"/"&amp;B25,B25&amp;"/"&amp;(B25+1))</f>
        <v>4043/4044</v>
      </c>
      <c r="L25" s="245" t="str">
        <f>VLOOKUP(A25,'Trips&amp;Operators'!$C$1:$G$99911,5,FALSE)</f>
        <v>THOMPSON LESTER</v>
      </c>
      <c r="M25" s="224">
        <f>I25-F25</f>
        <v>1.1944444449909497E-2</v>
      </c>
      <c r="N25" s="225"/>
      <c r="O25" s="225"/>
      <c r="P25" s="225">
        <f>24*60*SUM($M25:$M25)</f>
        <v>17.200000007869676</v>
      </c>
      <c r="Q25" s="228"/>
      <c r="R25" s="242" t="s">
        <v>1079</v>
      </c>
      <c r="S25" s="249">
        <f>1/IF(AG25="EC",12,1)*SUM(U25:U25)</f>
        <v>0.16666666666666666</v>
      </c>
      <c r="T25" s="242" t="str">
        <f>IF(ISEVEN(LEFT(AD25,4)),"Southbound","NorthBound")</f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-02T04:53:56-0700',mode:absolute,to:'2017-12-02T07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5" s="247" t="str">
        <f>IF(AA25&lt;VLOOKUP(AG25,Variables!$AC$3:$AD$8,2,FALSE),"Y","N")</f>
        <v>Y</v>
      </c>
      <c r="X25" s="247">
        <f>VALUE(LEFT(AD25,4))-VALUE(LEFT(AD24,4))</f>
        <v>1</v>
      </c>
      <c r="Y25" s="247">
        <f>RIGHT(D25,LEN(D25)-4)/10000</f>
        <v>23.294</v>
      </c>
      <c r="Z25" s="247">
        <v>10.2483</v>
      </c>
      <c r="AA25" s="247">
        <f>ABS(Z25-Y25)</f>
        <v>13.0457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112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/stypes="app*4043*20171202*" /stext=" 13:.+((SYSTEM_STATE.+slice.+state.+changed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112-02 --locoid 4043 --swversion DE.1.0.9.0 --startMP 204:232940 --initTime 2017-12-02T05:53:56 --startdatetime 2017-12-02T05:57:23 --delay 51 --endMP 204:232950 --enddatetime 2017-12-02T06:14:35 --enforcementcount 0 &gt;&gt;%USERPROFILE%\Documents\GitHub\eaglep3-reporting\EC\2017-12-02-refined-times.txt</v>
      </c>
      <c r="AI25" s="238" t="str">
        <f t="shared" si="6"/>
        <v>echo {"issue":{"subject":"Onboard en route failure","project_id":79,"tracker_id":40,"status_id":1,"priority_id":2,"assigned_to_id":338,"start_date":"2017-12-02","description":"","custom_fields":[{"id":1,"name":"Subdivision","value":"EC"},{"id":4,"name":"Milepost","value":"10.2483"},{"id":17,"name":"Train ID","value":"112-02"},{"id":16,"name":"Locomotive ID","value":"4043"},{"id":130,"name":"Impact","value":""},{"id":150,"name":"Time of Event (Mountain Time)","value":"06:14:35"},{"id":151,"name":"Denver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4043 --day 2017-12-02</v>
      </c>
      <c r="AN25" s="241" t="str">
        <f t="shared" si="8"/>
        <v>echo {"issue":{"subject":"Onboard en route failure","project_id":30,"tracker_id":4,"status_id":1,"priority_id":1,"assigned_to_id":10,"start_date":"2017-12-02","description":"","custom_fields":[{"id":30,"name":"Category","value":"Issue"},{"id":3,"name":"Functional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-02T04:53:56-0700',mode:absolute,to:'2017-12-02T07:14:35-0700'))&amp;_a=(columns:!('Message%20ID',Summary),filters:!(),index:'emp_*',interval:auto,query:(query_string:(analyze_wildcard:!t,query:'%22rtdc.l.rtdc.4043%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697</v>
      </c>
      <c r="B26" s="225">
        <v>4056</v>
      </c>
      <c r="C26" s="227" t="s">
        <v>192</v>
      </c>
      <c r="D26" s="227" t="s">
        <v>621</v>
      </c>
      <c r="E26" s="226">
        <v>43071.211689814816</v>
      </c>
      <c r="F26" s="226">
        <v>43071.219074074077</v>
      </c>
      <c r="G26" s="225">
        <v>265</v>
      </c>
      <c r="H26" s="227" t="s">
        <v>616</v>
      </c>
      <c r="I26" s="226">
        <v>43071.243761574071</v>
      </c>
      <c r="J26" s="225">
        <v>0</v>
      </c>
      <c r="K26" s="237" t="str">
        <f>IF(ISEVEN(B26),(B26-1)&amp;"/"&amp;B26,B26&amp;"/"&amp;(B26+1))</f>
        <v>4055/4056</v>
      </c>
      <c r="L26" s="245" t="str">
        <f>VLOOKUP(A26,'Trips&amp;Operators'!$C$1:$G$99911,5,FALSE)</f>
        <v>MACDONALD THOMAS</v>
      </c>
      <c r="M26" s="224">
        <f>I26-F26</f>
        <v>2.4687499993888196E-2</v>
      </c>
      <c r="N26" s="225">
        <f>24*60*SUM($M26:$M26)</f>
        <v>35.549999991199002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-02T04:04:50-0700',mode:absolute,to:'2017-12-02T06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4.58E-2</v>
      </c>
      <c r="Z26" s="247">
        <f>RIGHT(H26,LEN(H26)-4)/10000</f>
        <v>23.317799999999998</v>
      </c>
      <c r="AA26" s="247">
        <f>ABS(Z26-Y26)</f>
        <v>23.271999999999998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113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/stypes="app*4056*20171202*" /stext=" 12:.+((SYSTEM_STATE.+slice.+state.+changed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113-02 --locoid 4056 --swversion DE.1.0.9.0 --startMP 204:458 --initTime 2017-12-02T05:04:50 --startdatetime 2017-12-02T05:15:28 --delay 265 --endMP 204:233178 --enddatetime 2017-12-02T05:51:01 --enforcementcount 0 &gt;&gt;%USERPROFILE%\Documents\GitHub\eaglep3-reporting\EC\2017-12-02-refined-times.txt</v>
      </c>
      <c r="AI2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{"issue":{"subject":"","project_id":79,"tracker_id":40,"status_id":1,"priority_id":2,"assigned_to_id":338,"start_date":"2017-12-02","description":"","custom_fields":[{"id":1,"name":"Subdivision","value":"EC"},{"id":4,"name":"Milepost","value":"23.3178"},{"id":17,"name":"Train ID","value":"113-02"},{"id":16,"name":"Locomotive ID","value":"4056"},{"id":130,"name":"Impact","value":""},{"id":150,"name":"Time of Event (Mountain Time)","value":"05:51:01"},{"id":151,"name":"Denver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4056 --day 2017-12-02</v>
      </c>
      <c r="AN2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-02T04:04:50-0700',mode:absolute,to:'2017-12-02T06:51:01-0700'))&amp;_a=(columns:!('Message%20ID',Summary),filters:!(),index:'emp_*',interval:auto,query:(query_string:(analyze_wildcard:!t,query:'%22rtdc.l.rtdc.4056%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652</v>
      </c>
      <c r="B27" s="225">
        <v>4055</v>
      </c>
      <c r="C27" s="227" t="s">
        <v>192</v>
      </c>
      <c r="D27" s="227" t="s">
        <v>897</v>
      </c>
      <c r="E27" s="226">
        <v>43071.256006944444</v>
      </c>
      <c r="F27" s="226">
        <v>43071.258611111109</v>
      </c>
      <c r="G27" s="225">
        <v>76</v>
      </c>
      <c r="H27" s="227" t="s">
        <v>575</v>
      </c>
      <c r="I27" s="226">
        <v>43071.288321759261</v>
      </c>
      <c r="J27" s="225">
        <v>0</v>
      </c>
      <c r="K27" s="237" t="str">
        <f>IF(ISEVEN(B27),(B27-1)&amp;"/"&amp;B27,B27&amp;"/"&amp;(B27+1))</f>
        <v>4055/4056</v>
      </c>
      <c r="L27" s="245" t="str">
        <f>VLOOKUP(A27,'Trips&amp;Operators'!$C$1:$G$99911,5,FALSE)</f>
        <v>MACDONALD THOMAS</v>
      </c>
      <c r="M27" s="224">
        <f>I27-F27</f>
        <v>2.9710648152104113E-2</v>
      </c>
      <c r="N27" s="225">
        <f>24*60*SUM($M27:$M27)</f>
        <v>42.783333339029923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23.286000000000001</v>
      </c>
      <c r="Z27" s="247">
        <f>RIGHT(H27,LEN(H27)-4)/10000</f>
        <v>1.9099999999999999E-2</v>
      </c>
      <c r="AA27" s="247">
        <f>ABS(Z27-Y27)</f>
        <v>23.2669</v>
      </c>
      <c r="AB27" s="233" t="str">
        <f>VLOOKUP(A27,Enforcements!$C$7:$K$9,8,0)</f>
        <v>Bulletin (2)</v>
      </c>
      <c r="AC27" s="232" t="str">
        <f>VLOOKUP(A27,Enforcements!$C$7:$E$9,3,0)</f>
        <v>GRADE CROSSING</v>
      </c>
      <c r="AD27" s="243">
        <f>VALUE(LEFT(A27,LEN(A27)-3))</f>
        <v>114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/stypes="app*4055*20171202*"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114-02 --locoid 4055 --swversion DE.1.0.9.0 --startMP 204:232860 --initTime 2017-12-02T06:08:39 --startdatetime 2017-12-02T06:12:24 --delay 76 --endMP 204:191 --enddatetime 2017-12-02T06:55:11 --enforcementcount 0 &gt;&gt;%USERPROFILE%\Documents\GitHub\eaglep3-reporting\EC\2017-12-02-refined-times.txt</v>
      </c>
      <c r="AI2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{"issue":{"subject":"","project_id":79,"tracker_id":40,"status_id":1,"priority_id":2,"assigned_to_id":338,"start_date":"2017-12-02","description":"","custom_fields":[{"id":1,"name":"Subdivision","value":"EC"},{"id":4,"name":"Milepost","value":"0.0191"},{"id":17,"name":"Train ID","value":"114-02"},{"id":16,"name":"Locomotive ID","value":"4055"},{"id":130,"name":"Impact","value":""},{"id":150,"name":"Time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4055 --day 2017-12-02</v>
      </c>
      <c r="AN2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Message%20ID',Summary),filters:!(),index:'emp_*',interval:auto,query:(query_string:(analyze_wildcard:!t,query:'%22rtdc.l.rtdc.4055%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702</v>
      </c>
      <c r="B28" s="225">
        <v>4034</v>
      </c>
      <c r="C28" s="227" t="s">
        <v>192</v>
      </c>
      <c r="D28" s="227" t="s">
        <v>898</v>
      </c>
      <c r="E28" s="226">
        <v>43071.225983796299</v>
      </c>
      <c r="F28" s="226">
        <v>43071.229363425926</v>
      </c>
      <c r="G28" s="225">
        <v>48</v>
      </c>
      <c r="H28" s="227" t="s">
        <v>899</v>
      </c>
      <c r="I28" s="226">
        <v>43071.254733796297</v>
      </c>
      <c r="J28" s="225">
        <v>0</v>
      </c>
      <c r="K28" s="237" t="str">
        <f>IF(ISEVEN(B28),(B28-1)&amp;"/"&amp;B28,B28&amp;"/"&amp;(B28+1))</f>
        <v>4033/4034</v>
      </c>
      <c r="L28" s="245" t="str">
        <f>VLOOKUP(A28,'Trips&amp;Operators'!$C$1:$G$99911,5,FALSE)</f>
        <v>MAELZER KURT</v>
      </c>
      <c r="M28" s="224">
        <f>I28-F28</f>
        <v>2.5370370371092577E-2</v>
      </c>
      <c r="N28" s="225">
        <f>24*60*SUM($M28:$M28)</f>
        <v>36.53333333437331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-02T04:25:25-0700',mode:absolute,to:'2017-12-02T07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4.9099999999999998E-2</v>
      </c>
      <c r="Z28" s="247">
        <f>RIGHT(H28,LEN(H28)-4)/10000</f>
        <v>23.3309</v>
      </c>
      <c r="AA28" s="247">
        <f>ABS(Z28-Y28)</f>
        <v>23.2818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115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/stypes="app*4034*20171202*" /stext=" 13:.+((SYSTEM_STATE.+slice.+state.+changed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115-02 --locoid 4034 --swversion DE.1.0.9.0 --startMP 204:491 --initTime 2017-12-02T05:25:25 --startdatetime 2017-12-02T05:30:17 --delay 48 --endMP 204:233309 --enddatetime 2017-12-02T06:06:49 --enforcementcount 0 &gt;&gt;%USERPROFILE%\Documents\GitHub\eaglep3-reporting\EC\2017-12-02-refined-times.txt</v>
      </c>
      <c r="AI2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{"issue":{"subject":"","project_id":79,"tracker_id":40,"status_id":1,"priority_id":2,"assigned_to_id":338,"start_date":"2017-12-02","description":"","custom_fields":[{"id":1,"name":"Subdivision","value":"EC"},{"id":4,"name":"Milepost","value":"23.3309"},{"id":17,"name":"Train ID","value":"115-02"},{"id":16,"name":"Locomotive ID","value":"4034"},{"id":130,"name":"Impact","value":""},{"id":150,"name":"Time of Event (Mountain Time)","value":"06:06:49"},{"id":151,"name":"Denver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4034 --day 2017-12-02</v>
      </c>
      <c r="AN2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-02T04:25:25-0700',mode:absolute,to:'2017-12-02T07:06:49-0700'))&amp;_a=(columns:!('Message%20ID',Summary),filters:!(),index:'emp_*',interval:auto,query:(query_string:(analyze_wildcard:!t,query:'%22rtdc.l.rtdc.4034%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708</v>
      </c>
      <c r="B29" s="225">
        <v>4033</v>
      </c>
      <c r="C29" s="227" t="s">
        <v>192</v>
      </c>
      <c r="D29" s="227" t="s">
        <v>890</v>
      </c>
      <c r="E29" s="226">
        <v>43071.262557870374</v>
      </c>
      <c r="F29" s="226">
        <v>43071.268912037034</v>
      </c>
      <c r="G29" s="225">
        <v>47</v>
      </c>
      <c r="H29" s="227" t="s">
        <v>893</v>
      </c>
      <c r="I29" s="226">
        <v>43071.294953703706</v>
      </c>
      <c r="J29" s="225">
        <v>0</v>
      </c>
      <c r="K29" s="237" t="str">
        <f>IF(ISEVEN(B29),(B29-1)&amp;"/"&amp;B29,B29&amp;"/"&amp;(B29+1))</f>
        <v>4033/4034</v>
      </c>
      <c r="L29" s="245" t="str">
        <f>VLOOKUP(A29,'Trips&amp;Operators'!$C$1:$G$99911,5,FALSE)</f>
        <v>MAELZER KURT</v>
      </c>
      <c r="M29" s="224">
        <f>I29-F29</f>
        <v>2.6041666671517305E-2</v>
      </c>
      <c r="N29" s="225">
        <f>24*60*SUM($M29:$M29)</f>
        <v>37.500000006984919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-02T05:18:05-0700',mode:absolute,to:'2017-12-02T08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23.297999999999998</v>
      </c>
      <c r="Z29" s="247">
        <f>RIGHT(H29,LEN(H29)-4)/10000</f>
        <v>0.02</v>
      </c>
      <c r="AA29" s="247">
        <f>ABS(Z29-Y29)</f>
        <v>23.277999999999999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116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/stypes="app*4033*20171202*" /stext=" 14:.+((SYSTEM_STATE.+slice.+state.+changed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116-02 --locoid 4033 --swversion DE.1.0.9.0 --startMP 204:232980 --initTime 2017-12-02T06:18:05 --startdatetime 2017-12-02T06:27:14 --delay 47 --endMP 204:200 --enddatetime 2017-12-02T07:04:44 --enforcementcount 0 &gt;&gt;%USERPROFILE%\Documents\GitHub\eaglep3-reporting\EC\2017-12-02-refined-times.txt</v>
      </c>
      <c r="AI2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ID","value":"116-02"},{"id":16,"name":"Locomotive ID","value":"4033"},{"id":130,"name":"Impact","value":""},{"id":150,"name":"Time of Event (Mountain Time)","value":"07:04:44"},{"id":151,"name":"Denver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4033 --day 2017-12-02</v>
      </c>
      <c r="AN29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-02T05:18:05-0700',mode:absolute,to:'2017-12-02T08:04:44-0700'))&amp;_a=(columns:!('Message%20ID',Summary),filters:!(),index:'emp_*',interval:auto,query:(query_string:(analyze_wildcard:!t,query:'%22rtdc.l.rtdc.4033%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703</v>
      </c>
      <c r="B30" s="225">
        <v>4028</v>
      </c>
      <c r="C30" s="227" t="s">
        <v>192</v>
      </c>
      <c r="D30" s="227" t="s">
        <v>641</v>
      </c>
      <c r="E30" s="226">
        <v>43071.235381944447</v>
      </c>
      <c r="F30" s="226">
        <v>43071.239791666667</v>
      </c>
      <c r="G30" s="225">
        <v>87</v>
      </c>
      <c r="H30" s="227" t="s">
        <v>900</v>
      </c>
      <c r="I30" s="226">
        <v>43071.265706018516</v>
      </c>
      <c r="J30" s="225">
        <v>0</v>
      </c>
      <c r="K30" s="237" t="str">
        <f>IF(ISEVEN(B30),(B30-1)&amp;"/"&amp;B30,B30&amp;"/"&amp;(B30+1))</f>
        <v>4027/4028</v>
      </c>
      <c r="L30" s="245" t="str">
        <f>VLOOKUP(A30,'Trips&amp;Operators'!$C$1:$G$99911,5,FALSE)</f>
        <v>WILLIAMS DONTE</v>
      </c>
      <c r="M30" s="224">
        <f>I30-F30</f>
        <v>2.5914351848769002E-2</v>
      </c>
      <c r="N30" s="225">
        <f>24*60*SUM($M30:$M30)</f>
        <v>37.316666662227362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-02T04:38:57-0700',mode:absolute,to:'2017-12-02T07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5.0799999999999998E-2</v>
      </c>
      <c r="Z30" s="247">
        <f>RIGHT(H30,LEN(H30)-4)/10000</f>
        <v>23.320599999999999</v>
      </c>
      <c r="AA30" s="247">
        <f>ABS(Z30-Y30)</f>
        <v>23.2698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117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/stypes="app*4028*20171202*" /stext=" 13:.+((SYSTEM_STATE.+slice.+state.+changed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117-02 --locoid 4028 --swversion DE.1.0.9.0 --startMP 204:508 --initTime 2017-12-02T05:38:57 --startdatetime 2017-12-02T05:45:18 --delay 87 --endMP 204:233206 --enddatetime 2017-12-02T06:22:37 --enforcementcount 0 &gt;&gt;%USERPROFILE%\Documents\GitHub\eaglep3-reporting\EC\2017-12-02-refined-times.txt</v>
      </c>
      <c r="AI3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{"issue":{"subject":"","project_id":79,"tracker_id":40,"status_id":1,"priority_id":2,"assigned_to_id":338,"start_date":"2017-12-02","description":"","custom_fields":[{"id":1,"name":"Subdivision","value":"EC"},{"id":4,"name":"Milepost","value":"23.3206"},{"id":17,"name":"Train ID","value":"117-02"},{"id":16,"name":"Locomotive ID","value":"4028"},{"id":130,"name":"Impact","value":""},{"id":150,"name":"Time of Event (Mountain Time)","value":"06:22:37"},{"id":151,"name":"Denver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4028 --day 2017-12-02</v>
      </c>
      <c r="AN30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-02T04:38:57-0700',mode:absolute,to:'2017-12-02T07:22:37-0700'))&amp;_a=(columns:!('Message%20ID',Summary),filters:!(),index:'emp_*',interval:auto,query:(query_string:(analyze_wildcard:!t,query:'%22rtdc.l.rtdc.4028%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712</v>
      </c>
      <c r="B31" s="225">
        <v>4027</v>
      </c>
      <c r="C31" s="227" t="s">
        <v>192</v>
      </c>
      <c r="D31" s="227" t="s">
        <v>634</v>
      </c>
      <c r="E31" s="226">
        <v>43071.275462962964</v>
      </c>
      <c r="F31" s="226">
        <v>43071.279409722221</v>
      </c>
      <c r="G31" s="225">
        <v>78</v>
      </c>
      <c r="H31" s="227" t="s">
        <v>443</v>
      </c>
      <c r="I31" s="226">
        <v>43071.305451388886</v>
      </c>
      <c r="J31" s="225">
        <v>0</v>
      </c>
      <c r="K31" s="237" t="str">
        <f>IF(ISEVEN(B31),(B31-1)&amp;"/"&amp;B31,B31&amp;"/"&amp;(B31+1))</f>
        <v>4027/4028</v>
      </c>
      <c r="L31" s="245" t="str">
        <f>VLOOKUP(A31,'Trips&amp;Operators'!$C$1:$G$99911,5,FALSE)</f>
        <v>WILLIAMS DONTE</v>
      </c>
      <c r="M31" s="224">
        <f>I31-F31</f>
        <v>2.6041666664241347E-2</v>
      </c>
      <c r="N31" s="225">
        <f>24*60*SUM($M31:$M31)</f>
        <v>37.49999999650754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-02T05:36:40-0700',mode:absolute,to:'2017-12-02T08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23.2925</v>
      </c>
      <c r="Z31" s="247">
        <f>RIGHT(H31,LEN(H31)-4)/10000</f>
        <v>2.07E-2</v>
      </c>
      <c r="AA31" s="247">
        <f>ABS(Z31-Y31)</f>
        <v>23.271799999999999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118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/stypes="app*4027*20171202*" /stext=" 14:.+((SYSTEM_STATE.+slice.+state.+changed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118-02 --locoid 4027 --swversion DE.1.0.9.0 --startMP 204:232925 --initTime 2017-12-02T06:36:40 --startdatetime 2017-12-02T06:42:21 --delay 78 --endMP 204:207 --enddatetime 2017-12-02T07:19:51 --enforcementcount 0 &gt;&gt;%USERPROFILE%\Documents\GitHub\eaglep3-reporting\EC\2017-12-02-refined-times.txt</v>
      </c>
      <c r="AI3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ID","value":"118-02"},{"id":16,"name":"Locomotive ID","value":"4027"},{"id":130,"name":"Impact","value":""},{"id":150,"name":"Time of Event (Mountain Time)","value":"07:19:51"},{"id":151,"name":"Denver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4027 --day 2017-12-02</v>
      </c>
      <c r="AN31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-02T05:36:40-0700',mode:absolute,to:'2017-12-02T08:19:51-0700'))&amp;_a=(columns:!('Message%20ID',Summary),filters:!(),index:'emp_*',interval:auto,query:(query_string:(analyze_wildcard:!t,query:'%22rtdc.l.rtdc.4027%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704</v>
      </c>
      <c r="B32" s="225">
        <v>4030</v>
      </c>
      <c r="C32" s="227" t="s">
        <v>192</v>
      </c>
      <c r="D32" s="227" t="s">
        <v>901</v>
      </c>
      <c r="E32" s="226">
        <v>43071.244618055556</v>
      </c>
      <c r="F32" s="226">
        <v>43071.2503125</v>
      </c>
      <c r="G32" s="225">
        <v>50</v>
      </c>
      <c r="H32" s="227" t="s">
        <v>643</v>
      </c>
      <c r="I32" s="226">
        <v>43071.274131944447</v>
      </c>
      <c r="J32" s="225">
        <v>0</v>
      </c>
      <c r="K32" s="237" t="str">
        <f>IF(ISEVEN(B32),(B32-1)&amp;"/"&amp;B32,B32&amp;"/"&amp;(B32+1))</f>
        <v>4029/4030</v>
      </c>
      <c r="L32" s="245" t="str">
        <f>VLOOKUP(A32,'Trips&amp;Operators'!$C$1:$G$99911,5,FALSE)</f>
        <v>LOPES KIMBERLY</v>
      </c>
      <c r="M32" s="224">
        <f>I32-F32</f>
        <v>2.3819444446417037E-2</v>
      </c>
      <c r="N32" s="225">
        <f>24*60*SUM($M32:$M32)</f>
        <v>34.300000002840534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-02T04:52:15-0700',mode:absolute,to:'2017-12-02T07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5.1900000000000002E-2</v>
      </c>
      <c r="Z32" s="247">
        <f>RIGHT(H32,LEN(H32)-4)/10000</f>
        <v>23.3184</v>
      </c>
      <c r="AA32" s="247">
        <f>ABS(Z32-Y32)</f>
        <v>23.266500000000001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119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/stypes="app*4030*20171202*" /stext=" 13:.+((SYSTEM_STATE.+slice.+state.+changed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119-02 --locoid 4030 --swversion DE.1.0.9.0 --startMP 204:519 --initTime 2017-12-02T05:52:15 --startdatetime 2017-12-02T06:00:27 --delay 50 --endMP 204:233184 --enddatetime 2017-12-02T06:34:45 --enforcementcount 0 &gt;&gt;%USERPROFILE%\Documents\GitHub\eaglep3-reporting\EC\2017-12-02-refined-times.txt</v>
      </c>
      <c r="AI3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{"issue":{"subject":"","project_id":79,"tracker_id":40,"status_id":1,"priority_id":2,"assigned_to_id":338,"start_date":"2017-12-02","description":"","custom_fields":[{"id":1,"name":"Subdivision","value":"EC"},{"id":4,"name":"Milepost","value":"23.3184"},{"id":17,"name":"Train ID","value":"119-02"},{"id":16,"name":"Locomotive ID","value":"4030"},{"id":130,"name":"Impact","value":""},{"id":150,"name":"Time of Event (Mountain Time)","value":"06:34:45"},{"id":151,"name":"Denver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4030 --day 2017-12-02</v>
      </c>
      <c r="AN3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-02T04:52:15-0700',mode:absolute,to:'2017-12-02T07:34:45-0700'))&amp;_a=(columns:!('Message%20ID',Summary),filters:!(),index:'emp_*',interval:auto,query:(query_string:(analyze_wildcard:!t,query:'%22rtdc.l.rtdc.4030%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713</v>
      </c>
      <c r="B33" s="225">
        <v>4029</v>
      </c>
      <c r="C33" s="227" t="s">
        <v>192</v>
      </c>
      <c r="D33" s="227" t="s">
        <v>902</v>
      </c>
      <c r="E33" s="226">
        <v>43071.275810185187</v>
      </c>
      <c r="F33" s="226">
        <v>43071.289814814816</v>
      </c>
      <c r="G33" s="225">
        <v>51</v>
      </c>
      <c r="H33" s="227" t="s">
        <v>571</v>
      </c>
      <c r="I33" s="226">
        <v>43071.316238425927</v>
      </c>
      <c r="J33" s="225">
        <v>0</v>
      </c>
      <c r="K33" s="237" t="str">
        <f>IF(ISEVEN(B33),(B33-1)&amp;"/"&amp;B33,B33&amp;"/"&amp;(B33+1))</f>
        <v>4029/4030</v>
      </c>
      <c r="L33" s="245" t="str">
        <f>VLOOKUP(A33,'Trips&amp;Operators'!$C$1:$G$99911,5,FALSE)</f>
        <v>LOPES KIMBERLY</v>
      </c>
      <c r="M33" s="224">
        <f>I33-F33</f>
        <v>2.6423611110658385E-2</v>
      </c>
      <c r="N33" s="225">
        <f>24*60*SUM($M33:$M33)</f>
        <v>38.049999999348074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-02T05:37:10-0700',mode:absolute,to:'2017-12-02T08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23.2865</v>
      </c>
      <c r="Z33" s="247">
        <f>RIGHT(H33,LEN(H33)-4)/10000</f>
        <v>1.9199999999999998E-2</v>
      </c>
      <c r="AA33" s="247">
        <f>ABS(Z33-Y33)</f>
        <v>23.267299999999999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/stypes="app*4029*20171202*"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120-02 --locoid 4029 --swversion DE.1.0.9.0 --startMP 204:232865 --initTime 2017-12-02T06:37:10 --startdatetime 2017-12-02T06:57:20 --delay 51 --endMP 204:192 --enddatetime 2017-12-02T07:35:23 --enforcementcount 0 &gt;&gt;%USERPROFILE%\Documents\GitHub\eaglep3-reporting\EC\2017-12-02-refined-times.txt</v>
      </c>
      <c r="AI3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{"issue":{"subject":"","project_id":79,"tracker_id":40,"status_id":1,"priority_id":2,"assigned_to_id":338,"start_date":"2017-12-02","description":"","custom_fields":[{"id":1,"name":"Subdivision","value":"EC"},{"id":4,"name":"Milepost","value":"0.0192"},{"id":17,"name":"Train ID","value":"120-02"},{"id":16,"name":"Locomotive ID","value":"4029"},{"id":130,"name":"Impact","value":""},{"id":150,"name":"Time of Event (Mountain Time)","value":"07:35:23"},{"id":151,"name":"Denver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4029 --day 2017-12-02</v>
      </c>
      <c r="AN3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-02T05:37:10-0700',mode:absolute,to:'2017-12-02T08:35:23-0700'))&amp;_a=(columns:!('Message%20ID',Summary),filters:!(),index:'emp_*',interval:auto,query:(query_string:(analyze_wildcard:!t,query:'%22rtdc.l.rtdc.4029%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707</v>
      </c>
      <c r="B34" s="225">
        <v>4022</v>
      </c>
      <c r="C34" s="227" t="s">
        <v>192</v>
      </c>
      <c r="D34" s="227" t="s">
        <v>572</v>
      </c>
      <c r="E34" s="226">
        <v>43071.255972222221</v>
      </c>
      <c r="F34" s="226">
        <v>43071.260717592595</v>
      </c>
      <c r="G34" s="225">
        <v>49</v>
      </c>
      <c r="H34" s="227" t="s">
        <v>569</v>
      </c>
      <c r="I34" s="226">
        <v>43071.285185185188</v>
      </c>
      <c r="J34" s="225">
        <v>0</v>
      </c>
      <c r="K34" s="237" t="str">
        <f>IF(ISEVEN(B34),(B34-1)&amp;"/"&amp;B34,B34&amp;"/"&amp;(B34+1))</f>
        <v>4021/4022</v>
      </c>
      <c r="L34" s="245" t="str">
        <f>VLOOKUP(A34,'Trips&amp;Operators'!$C$1:$G$99911,5,FALSE)</f>
        <v>GEBRETEKLE DAGNEW</v>
      </c>
      <c r="M34" s="224">
        <f>I34-F34</f>
        <v>2.4467592593282461E-2</v>
      </c>
      <c r="N34" s="225">
        <f>24*60*SUM($M34:$M34)</f>
        <v>35.233333334326744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-02T05:08:36-0700',mode:absolute,to:'2017-12-02T07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4.4200000000000003E-2</v>
      </c>
      <c r="Z34" s="247">
        <f>RIGHT(H34,LEN(H34)-4)/10000</f>
        <v>23.3276</v>
      </c>
      <c r="AA34" s="247">
        <f>ABS(Z34-Y34)</f>
        <v>23.2834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/stypes="app*4022*20171202*" /stext=" 13:.+((SYSTEM_STATE.+slice.+state.+changed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121-02 --locoid 4022 --swversion DE.1.0.9.0 --startMP 204:442 --initTime 2017-12-02T06:08:36 --startdatetime 2017-12-02T06:15:26 --delay 49 --endMP 204:233276 --enddatetime 2017-12-02T06:50:40 --enforcementcount 0 &gt;&gt;%USERPROFILE%\Documents\GitHub\eaglep3-reporting\EC\2017-12-02-refined-times.txt</v>
      </c>
      <c r="AI3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{"issue":{"subject":"","project_id":79,"tracker_id":40,"status_id":1,"priority_id":2,"assigned_to_id":338,"start_date":"2017-12-02","description":"","custom_fields":[{"id":1,"name":"Subdivision","value":"EC"},{"id":4,"name":"Milepost","value":"23.3276"},{"id":17,"name":"Train ID","value":"121-02"},{"id":16,"name":"Locomotive ID","value":"4022"},{"id":130,"name":"Impact","value":""},{"id":150,"name":"Time of Event (Mountain Time)","value":"06:50:40"},{"id":151,"name":"Denver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4022 --day 2017-12-02</v>
      </c>
      <c r="AN3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-02T05:08:36-0700',mode:absolute,to:'2017-12-02T07:50:40-0700'))&amp;_a=(columns:!('Message%20ID',Summary),filters:!(),index:'emp_*',interval:auto,query:(query_string:(analyze_wildcard:!t,query:'%22rtdc.l.rtdc.4022%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715</v>
      </c>
      <c r="B35" s="225">
        <v>4021</v>
      </c>
      <c r="C35" s="227" t="s">
        <v>192</v>
      </c>
      <c r="D35" s="227" t="s">
        <v>903</v>
      </c>
      <c r="E35" s="226">
        <v>43071.286909722221</v>
      </c>
      <c r="F35" s="226">
        <v>43071.300173611111</v>
      </c>
      <c r="G35" s="225">
        <v>54</v>
      </c>
      <c r="H35" s="227" t="s">
        <v>647</v>
      </c>
      <c r="I35" s="226">
        <v>43071.325682870367</v>
      </c>
      <c r="J35" s="225">
        <v>0</v>
      </c>
      <c r="K35" s="237" t="str">
        <f>IF(ISEVEN(B35),(B35-1)&amp;"/"&amp;B35,B35&amp;"/"&amp;(B35+1))</f>
        <v>4021/4022</v>
      </c>
      <c r="L35" s="245" t="str">
        <f>VLOOKUP(A35,'Trips&amp;Operators'!$C$1:$G$99911,5,FALSE)</f>
        <v>GEBRETEKLE DAGNEW</v>
      </c>
      <c r="M35" s="224">
        <f>I35-F35</f>
        <v>2.5509259256068617E-2</v>
      </c>
      <c r="N35" s="225">
        <f>24*60*SUM($M35:$M35)</f>
        <v>36.733333328738809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-02T05:53:09-0700',mode:absolute,to:'2017-12-02T08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23.296199999999999</v>
      </c>
      <c r="Z35" s="247">
        <f>RIGHT(H35,LEN(H35)-4)/10000</f>
        <v>1.5800000000000002E-2</v>
      </c>
      <c r="AA35" s="247">
        <f>ABS(Z35-Y35)</f>
        <v>23.2804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/stypes="app*4021*20171202*"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122-02 --locoid 4021 --swversion DE.1.0.9.0 --startMP 204:232962 --initTime 2017-12-02T06:53:09 --startdatetime 2017-12-02T07:12:15 --delay 54 --endMP 204:158 --enddatetime 2017-12-02T07:48:59 --enforcementcount 0 &gt;&gt;%USERPROFILE%\Documents\GitHub\eaglep3-reporting\EC\2017-12-02-refined-times.txt</v>
      </c>
      <c r="AI35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{"issue":{"subject":"","project_id":79,"tracker_id":40,"status_id":1,"priority_id":2,"assigned_to_id":338,"start_date":"2017-12-02","description":"","custom_fields":[{"id":1,"name":"Subdivision","value":"EC"},{"id":4,"name":"Milepost","value":"0.0158"},{"id":17,"name":"Train ID","value":"122-02"},{"id":16,"name":"Locomotive ID","value":"4021"},{"id":130,"name":"Impact","value":""},{"id":150,"name":"Time of Event (Mountain Time)","value":"07:48:59"},{"id":151,"name":"Denver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4021 --day 2017-12-02</v>
      </c>
      <c r="AN35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-02T05:53:09-0700',mode:absolute,to:'2017-12-02T08:48:59-0700'))&amp;_a=(columns:!('Message%20ID',Summary),filters:!(),index:'emp_*',interval:auto,query:(query_string:(analyze_wildcard:!t,query:'%22rtdc.l.rtdc.4021%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709</v>
      </c>
      <c r="B36" s="225">
        <v>4032</v>
      </c>
      <c r="C36" s="227" t="s">
        <v>192</v>
      </c>
      <c r="D36" s="227" t="s">
        <v>451</v>
      </c>
      <c r="E36" s="226">
        <v>43071.264768518522</v>
      </c>
      <c r="F36" s="226">
        <v>43071.270995370367</v>
      </c>
      <c r="G36" s="225">
        <v>63</v>
      </c>
      <c r="H36" s="227" t="s">
        <v>551</v>
      </c>
      <c r="I36" s="226">
        <v>43071.29478009259</v>
      </c>
      <c r="J36" s="225">
        <v>0</v>
      </c>
      <c r="K36" s="237" t="str">
        <f>IF(ISEVEN(B36),(B36-1)&amp;"/"&amp;B36,B36&amp;"/"&amp;(B36+1))</f>
        <v>4031/4032</v>
      </c>
      <c r="L36" s="245" t="str">
        <f>VLOOKUP(A36,'Trips&amp;Operators'!$C$1:$G$99911,5,FALSE)</f>
        <v>NEWELL JAMES</v>
      </c>
      <c r="M36" s="224">
        <f>I36-F36</f>
        <v>2.3784722223354038E-2</v>
      </c>
      <c r="N36" s="225">
        <f>24*60*SUM($M36:$M36)</f>
        <v>34.250000001629815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-02T05:21:16-0700',mode:absolute,to:'2017-12-02T08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5.33E-2</v>
      </c>
      <c r="Z36" s="247">
        <f>RIGHT(H36,LEN(H36)-4)/10000</f>
        <v>23.323</v>
      </c>
      <c r="AA36" s="247">
        <f>ABS(Z36-Y36)</f>
        <v>23.2697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/stypes="app*4032*20171202*"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123-02 --locoid 4032 --swversion DE.1.0.9.0 --startMP 204:533 --initTime 2017-12-02T06:21:16 --startdatetime 2017-12-02T06:30:14 --delay 63 --endMP 204:233230 --enddatetime 2017-12-02T07:04:29 --enforcementcount 0 &gt;&gt;%USERPROFILE%\Documents\GitHub\eaglep3-reporting\EC\2017-12-02-refined-times.txt</v>
      </c>
      <c r="AI3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{"issue":{"subject":"","project_id":79,"tracker_id":40,"status_id":1,"priority_id":2,"assigned_to_id":338,"start_date":"2017-12-02","description":"","custom_fields":[{"id":1,"name":"Subdivision","value":"EC"},{"id":4,"name":"Milepost","value":"23.323"},{"id":17,"name":"Train ID","value":"123-02"},{"id":16,"name":"Locomotive ID","value":"4032"},{"id":130,"name":"Impact","value":""},{"id":150,"name":"Time of Event (Mountain Time)","value":"07:04:29"},{"id":151,"name":"Denver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4032 --day 2017-12-02</v>
      </c>
      <c r="AN3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-02T05:21:16-0700',mode:absolute,to:'2017-12-02T08:04:29-0700'))&amp;_a=(columns:!('Message%20ID',Summary),filters:!(),index:'emp_*',interval:auto,query:(query_string:(analyze_wildcard:!t,query:'%22rtdc.l.rtdc.4032%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718</v>
      </c>
      <c r="B37" s="225">
        <v>4031</v>
      </c>
      <c r="C37" s="227" t="s">
        <v>192</v>
      </c>
      <c r="D37" s="227" t="s">
        <v>904</v>
      </c>
      <c r="E37" s="226">
        <v>43071.29891203704</v>
      </c>
      <c r="F37" s="226">
        <v>43071.310567129629</v>
      </c>
      <c r="G37" s="225">
        <v>79</v>
      </c>
      <c r="H37" s="227" t="s">
        <v>905</v>
      </c>
      <c r="I37" s="226">
        <v>43071.336122685185</v>
      </c>
      <c r="J37" s="225">
        <v>0</v>
      </c>
      <c r="K37" s="237" t="str">
        <f>IF(ISEVEN(B37),(B37-1)&amp;"/"&amp;B37,B37&amp;"/"&amp;(B37+1))</f>
        <v>4031/4032</v>
      </c>
      <c r="L37" s="245" t="str">
        <f>VLOOKUP(A37,'Trips&amp;Operators'!$C$1:$G$99911,5,FALSE)</f>
        <v>NEWELL JAMES</v>
      </c>
      <c r="M37" s="224">
        <f>I37-F37</f>
        <v>2.5555555555911269E-2</v>
      </c>
      <c r="N37" s="225">
        <f>24*60*SUM($M37:$M37)</f>
        <v>36.800000000512227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-02T06:10:26-0700',mode:absolute,to:'2017-12-02T09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23.290700000000001</v>
      </c>
      <c r="Z37" s="247">
        <f>RIGHT(H37,LEN(H37)-4)/10000</f>
        <v>2.7099999999999999E-2</v>
      </c>
      <c r="AA37" s="247">
        <f>ABS(Z37-Y37)</f>
        <v>23.2636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/stypes="app*4031*20171202*"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124-02 --locoid 4031 --swversion DE.1.0.9.0 --startMP 204:232907 --initTime 2017-12-02T07:10:26 --startdatetime 2017-12-02T07:27:13 --delay 79 --endMP 204:271 --enddatetime 2017-12-02T08:04:01 --enforcementcount 0 &gt;&gt;%USERPROFILE%\Documents\GitHub\eaglep3-reporting\EC\2017-12-02-refined-times.txt</v>
      </c>
      <c r="AI3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{"issue":{"subject":"","project_id":79,"tracker_id":40,"status_id":1,"priority_id":2,"assigned_to_id":338,"start_date":"2017-12-02","description":"","custom_fields":[{"id":1,"name":"Subdivision","value":"EC"},{"id":4,"name":"Milepost","value":"0.0271"},{"id":17,"name":"Train ID","value":"124-02"},{"id":16,"name":"Locomotive ID","value":"4031"},{"id":130,"name":"Impact","value":""},{"id":150,"name":"Time of Event (Mountain Time)","value":"08:04:01"},{"id":151,"name":"Denver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4031 --day 2017-12-02</v>
      </c>
      <c r="AN3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-02T06:10:26-0700',mode:absolute,to:'2017-12-02T09:04:01-0700'))&amp;_a=(columns:!('Message%20ID',Summary),filters:!(),index:'emp_*',interval:auto,query:(query_string:(analyze_wildcard:!t,query:'%22rtdc.l.rtdc.4031%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714</v>
      </c>
      <c r="B38" s="225">
        <v>4010</v>
      </c>
      <c r="C38" s="227" t="s">
        <v>192</v>
      </c>
      <c r="D38" s="227" t="s">
        <v>611</v>
      </c>
      <c r="E38" s="226">
        <v>43071.276863425926</v>
      </c>
      <c r="F38" s="226">
        <v>43071.281493055554</v>
      </c>
      <c r="G38" s="225">
        <v>79</v>
      </c>
      <c r="H38" s="227" t="s">
        <v>906</v>
      </c>
      <c r="I38" s="226">
        <v>43071.305960648147</v>
      </c>
      <c r="J38" s="225">
        <v>0</v>
      </c>
      <c r="K38" s="237" t="str">
        <f>IF(ISEVEN(B38),(B38-1)&amp;"/"&amp;B38,B38&amp;"/"&amp;(B38+1))</f>
        <v>4009/4010</v>
      </c>
      <c r="L38" s="245" t="str">
        <f>VLOOKUP(A38,'Trips&amp;Operators'!$C$1:$G$99911,5,FALSE)</f>
        <v>DE LA ROSA ALEX</v>
      </c>
      <c r="M38" s="224">
        <f>I38-F38</f>
        <v>2.4467592593282461E-2</v>
      </c>
      <c r="N38" s="225">
        <f>24*60*SUM($M38:$M38)</f>
        <v>35.233333334326744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-02T05:38:41-0700',mode:absolute,to:'2017-12-02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5.3499999999999999E-2</v>
      </c>
      <c r="Z38" s="247">
        <f>RIGHT(H38,LEN(H38)-4)/10000</f>
        <v>23.323399999999999</v>
      </c>
      <c r="AA38" s="247">
        <f>ABS(Z38-Y38)</f>
        <v>23.2699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/stypes="app*4010*20171202*"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125-02 --locoid 4010 --swversion DE.1.0.9.0 --startMP 204:535 --initTime 2017-12-02T06:38:41 --startdatetime 2017-12-02T06:45:21 --delay 79 --endMP 204:233234 --enddatetime 2017-12-02T07:20:35 --enforcementcount 0 &gt;&gt;%USERPROFILE%\Documents\GitHub\eaglep3-reporting\EC\2017-12-02-refined-times.txt</v>
      </c>
      <c r="AI3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{"issue":{"subject":"","project_id":79,"tracker_id":40,"status_id":1,"priority_id":2,"assigned_to_id":338,"start_date":"2017-12-02","description":"","custom_fields":[{"id":1,"name":"Subdivision","value":"EC"},{"id":4,"name":"Milepost","value":"23.3234"},{"id":17,"name":"Train ID","value":"125-02"},{"id":16,"name":"Locomotive ID","value":"4010"},{"id":130,"name":"Impact","value":""},{"id":150,"name":"Time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4010 --day 2017-12-02</v>
      </c>
      <c r="AN3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-02T05:38:41-0700',mode:absolute,to:'2017-12-02T08:20:35-0700'))&amp;_a=(columns:!('Message%20ID',Summary),filters:!(),index:'emp_*',interval:auto,query:(query_string:(analyze_wildcard:!t,query:'%22rtdc.l.rtdc.4010%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722</v>
      </c>
      <c r="B39" s="225">
        <v>4009</v>
      </c>
      <c r="C39" s="227" t="s">
        <v>192</v>
      </c>
      <c r="D39" s="227" t="s">
        <v>585</v>
      </c>
      <c r="E39" s="226">
        <v>43071.317708333336</v>
      </c>
      <c r="F39" s="226">
        <v>43071.321006944447</v>
      </c>
      <c r="G39" s="225">
        <v>67</v>
      </c>
      <c r="H39" s="227" t="s">
        <v>907</v>
      </c>
      <c r="I39" s="226">
        <v>43071.346585648149</v>
      </c>
      <c r="J39" s="225">
        <v>0</v>
      </c>
      <c r="K39" s="237" t="str">
        <f>IF(ISEVEN(B39),(B39-1)&amp;"/"&amp;B39,B39&amp;"/"&amp;(B39+1))</f>
        <v>4009/4010</v>
      </c>
      <c r="L39" s="245" t="str">
        <f>VLOOKUP(A39,'Trips&amp;Operators'!$C$1:$G$99911,5,FALSE)</f>
        <v>DE LA ROSA ALEX</v>
      </c>
      <c r="M39" s="224">
        <f>I39-F39</f>
        <v>2.5578703702194616E-2</v>
      </c>
      <c r="N39" s="225">
        <f>24*60*SUM($M39:$M39)</f>
        <v>36.833333331160247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-02T06:37:30-0700',mode:absolute,to:'2017-12-02T09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23.291899999999998</v>
      </c>
      <c r="Z39" s="247">
        <f>RIGHT(H39,LEN(H39)-4)/10000</f>
        <v>1.4500000000000001E-2</v>
      </c>
      <c r="AA39" s="247">
        <f>ABS(Z39-Y39)</f>
        <v>23.277399999999997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/stypes="app*4009*20171202*"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126-02 --locoid 4009 --swversion DE.1.0.9.0 --startMP 204:232919 --initTime 2017-12-02T07:37:30 --startdatetime 2017-12-02T07:42:15 --delay 67 --endMP 204:145 --enddatetime 2017-12-02T08:19:05 --enforcementcount 0 &gt;&gt;%USERPROFILE%\Documents\GitHub\eaglep3-reporting\EC\2017-12-02-refined-times.txt</v>
      </c>
      <c r="AI3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{"issue":{"subject":"","project_id":79,"tracker_id":40,"status_id":1,"priority_id":2,"assigned_to_id":338,"start_date":"2017-12-02","description":"","custom_fields":[{"id":1,"name":"Subdivision","value":"EC"},{"id":4,"name":"Milepost","value":"0.0145"},{"id":17,"name":"Train ID","value":"126-02"},{"id":16,"name":"Locomotive ID","value":"4009"},{"id":130,"name":"Impact","value":""},{"id":150,"name":"Time of Event (Mountain Time)","value":"08:19:05"},{"id":151,"name":"Denver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4009 --day 2017-12-02</v>
      </c>
      <c r="AN39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-02T06:37:30-0700',mode:absolute,to:'2017-12-02T09:19:05-0700'))&amp;_a=(columns:!('Message%20ID',Summary),filters:!(),index:'emp_*',interval:auto,query:(query_string:(analyze_wildcard:!t,query:'%22rtdc.l.rtdc.4009%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716</v>
      </c>
      <c r="B40" s="225">
        <v>4056</v>
      </c>
      <c r="C40" s="227" t="s">
        <v>192</v>
      </c>
      <c r="D40" s="227" t="s">
        <v>578</v>
      </c>
      <c r="E40" s="226">
        <v>43071.28979166667</v>
      </c>
      <c r="F40" s="226">
        <v>43071.293368055558</v>
      </c>
      <c r="G40" s="225">
        <v>96</v>
      </c>
      <c r="H40" s="227" t="s">
        <v>553</v>
      </c>
      <c r="I40" s="226">
        <v>43071.316805555558</v>
      </c>
      <c r="J40" s="225">
        <v>0</v>
      </c>
      <c r="K40" s="237" t="str">
        <f>IF(ISEVEN(B40),(B40-1)&amp;"/"&amp;B40,B40&amp;"/"&amp;(B40+1))</f>
        <v>4055/4056</v>
      </c>
      <c r="L40" s="245" t="str">
        <f>VLOOKUP(A40,'Trips&amp;Operators'!$C$1:$G$99911,5,FALSE)</f>
        <v>MACDONALD THOMAS</v>
      </c>
      <c r="M40" s="224">
        <f>I40-F40</f>
        <v>2.34375E-2</v>
      </c>
      <c r="N40" s="225">
        <f>24*60*SUM($M40:$M40)</f>
        <v>33.75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-02T05:57:18-0700',mode:absolute,to:'2017-12-02T08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5.1999999999999998E-2</v>
      </c>
      <c r="Z40" s="247">
        <f>RIGHT(H40,LEN(H40)-4)/10000</f>
        <v>23.320499999999999</v>
      </c>
      <c r="AA40" s="247">
        <f>ABS(Z40-Y40)</f>
        <v>23.2685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/stypes="app*4056*20171202*"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127-02 --locoid 4056 --swversion DE.1.0.9.0 --startMP 204:520 --initTime 2017-12-02T06:57:18 --startdatetime 2017-12-02T07:02:27 --delay 96 --endMP 204:233205 --enddatetime 2017-12-02T07:36:12 --enforcementcount 0 &gt;&gt;%USERPROFILE%\Documents\GitHub\eaglep3-reporting\EC\2017-12-02-refined-times.txt</v>
      </c>
      <c r="AI4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{"issue":{"subject":"","project_id":79,"tracker_id":40,"status_id":1,"priority_id":2,"assigned_to_id":338,"start_date":"2017-12-02","description":"","custom_fields":[{"id":1,"name":"Subdivision","value":"EC"},{"id":4,"name":"Milepost","value":"23.3205"},{"id":17,"name":"Train ID","value":"127-02"},{"id":16,"name":"Locomotive ID","value":"4056"},{"id":130,"name":"Impact","value":""},{"id":150,"name":"Time of Event (Mountain Time)","value":"07:36:12"},{"id":151,"name":"Denver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4056 --day 2017-12-02</v>
      </c>
      <c r="AN40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-02T05:57:18-0700',mode:absolute,to:'2017-12-02T08:36:12-0700'))&amp;_a=(columns:!('Message%20ID',Summary),filters:!(),index:'emp_*',interval:auto,query:(query_string:(analyze_wildcard:!t,query:'%22rtdc.l.rtdc.4056%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723</v>
      </c>
      <c r="B41" s="225">
        <v>4055</v>
      </c>
      <c r="C41" s="227" t="s">
        <v>192</v>
      </c>
      <c r="D41" s="227" t="s">
        <v>908</v>
      </c>
      <c r="E41" s="226">
        <v>43071.327986111108</v>
      </c>
      <c r="F41" s="226">
        <v>43071.331562500003</v>
      </c>
      <c r="G41" s="225">
        <v>84</v>
      </c>
      <c r="H41" s="227" t="s">
        <v>443</v>
      </c>
      <c r="I41" s="226">
        <v>43071.358414351853</v>
      </c>
      <c r="J41" s="225">
        <v>0</v>
      </c>
      <c r="K41" s="237" t="str">
        <f>IF(ISEVEN(B41),(B41-1)&amp;"/"&amp;B41,B41&amp;"/"&amp;(B41+1))</f>
        <v>4055/4056</v>
      </c>
      <c r="L41" s="245" t="str">
        <f>VLOOKUP(A41,'Trips&amp;Operators'!$C$1:$G$99911,5,FALSE)</f>
        <v>MACDONALD THOMAS</v>
      </c>
      <c r="M41" s="224">
        <f>I41-F41</f>
        <v>2.6851851849642117E-2</v>
      </c>
      <c r="N41" s="225">
        <f>24*60*SUM($M41:$M41)</f>
        <v>38.666666663484648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-02T06:52:18-0700',mode:absolute,to:'2017-12-02T09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23.288799999999998</v>
      </c>
      <c r="Z41" s="247">
        <f>RIGHT(H41,LEN(H41)-4)/10000</f>
        <v>2.07E-2</v>
      </c>
      <c r="AA41" s="247">
        <f>ABS(Z41-Y41)</f>
        <v>23.268099999999997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/stypes="app*4055*20171202*"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128-02 --locoid 4055 --swversion DE.1.0.9.0 --startMP 204:232888 --initTime 2017-12-02T07:52:18 --startdatetime 2017-12-02T07:57:27 --delay 84 --endMP 204:207 --enddatetime 2017-12-02T08:36:07 --enforcementcount 0 &gt;&gt;%USERPROFILE%\Documents\GitHub\eaglep3-reporting\EC\2017-12-02-refined-times.txt</v>
      </c>
      <c r="AI4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ID","value":"128-02"},{"id":16,"name":"Locomotive ID","value":"4055"},{"id":130,"name":"Impact","value":""},{"id":150,"name":"Time of Event (Mountain Time)","value":"08:36:07"},{"id":151,"name":"Denver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4055 --day 2017-12-02</v>
      </c>
      <c r="AN41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-02T06:52:18-0700',mode:absolute,to:'2017-12-02T09:36:07-0700'))&amp;_a=(columns:!('Message%20ID',Summary),filters:!(),index:'emp_*',interval:auto,query:(query_string:(analyze_wildcard:!t,query:'%22rtdc.l.rtdc.4055%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717</v>
      </c>
      <c r="B42" s="225">
        <v>4034</v>
      </c>
      <c r="C42" s="227" t="s">
        <v>192</v>
      </c>
      <c r="D42" s="227" t="s">
        <v>476</v>
      </c>
      <c r="E42" s="226">
        <v>43071.297048611108</v>
      </c>
      <c r="F42" s="226">
        <v>43071.302488425928</v>
      </c>
      <c r="G42" s="225">
        <v>43</v>
      </c>
      <c r="H42" s="227" t="s">
        <v>607</v>
      </c>
      <c r="I42" s="226">
        <v>43071.327233796299</v>
      </c>
      <c r="J42" s="225">
        <v>0</v>
      </c>
      <c r="K42" s="237" t="str">
        <f>IF(ISEVEN(B42),(B42-1)&amp;"/"&amp;B42,B42&amp;"/"&amp;(B42+1))</f>
        <v>4033/4034</v>
      </c>
      <c r="L42" s="245" t="str">
        <f>VLOOKUP(A42,'Trips&amp;Operators'!$C$1:$G$99911,5,FALSE)</f>
        <v>MAELZER KURT</v>
      </c>
      <c r="M42" s="224">
        <f>I42-F42</f>
        <v>2.47453703705105E-2</v>
      </c>
      <c r="N42" s="225">
        <f>24*60*SUM($M42:$M42)</f>
        <v>35.63333333353512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-02T06:07:45-0700',mode:absolute,to:'2017-12-02T08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4.9700000000000001E-2</v>
      </c>
      <c r="Z42" s="247">
        <f>RIGHT(H42,LEN(H42)-4)/10000</f>
        <v>23.329699999999999</v>
      </c>
      <c r="AA42" s="247">
        <f>ABS(Z42-Y42)</f>
        <v>23.279999999999998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/stypes="app*4034*20171202*"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129-02 --locoid 4034 --swversion DE.1.0.9.0 --startMP 204:497 --initTime 2017-12-02T07:07:45 --startdatetime 2017-12-02T07:15:35 --delay 43 --endMP 204:233297 --enddatetime 2017-12-02T07:51:13 --enforcementcount 0 &gt;&gt;%USERPROFILE%\Documents\GitHub\eaglep3-reporting\EC\2017-12-02-refined-times.txt</v>
      </c>
      <c r="AI4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{"issue":{"subject":"","project_id":79,"tracker_id":40,"status_id":1,"priority_id":2,"assigned_to_id":338,"start_date":"2017-12-02","description":"","custom_fields":[{"id":1,"name":"Subdivision","value":"EC"},{"id":4,"name":"Milepost","value":"23.3297"},{"id":17,"name":"Train ID","value":"129-02"},{"id":16,"name":"Locomotive ID","value":"4034"},{"id":130,"name":"Impact","value":""},{"id":150,"name":"Time of Event (Mountain Time)","value":"07:51:13"},{"id":151,"name":"Denver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4034 --day 2017-12-02</v>
      </c>
      <c r="AN4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-02T06:07:45-0700',mode:absolute,to:'2017-12-02T08:51:13-0700'))&amp;_a=(columns:!('Message%20ID',Summary),filters:!(),index:'emp_*',interval:auto,query:(query_string:(analyze_wildcard:!t,query:'%22rtdc.l.rtdc.4034%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727</v>
      </c>
      <c r="B43" s="225">
        <v>4033</v>
      </c>
      <c r="C43" s="227" t="s">
        <v>192</v>
      </c>
      <c r="D43" s="227" t="s">
        <v>554</v>
      </c>
      <c r="E43" s="226">
        <v>43071.336412037039</v>
      </c>
      <c r="F43" s="226">
        <v>43071.341921296298</v>
      </c>
      <c r="G43" s="225">
        <v>203</v>
      </c>
      <c r="H43" s="227" t="s">
        <v>615</v>
      </c>
      <c r="I43" s="226">
        <v>43071.367789351854</v>
      </c>
      <c r="J43" s="225">
        <v>0</v>
      </c>
      <c r="K43" s="237" t="str">
        <f>IF(ISEVEN(B43),(B43-1)&amp;"/"&amp;B43,B43&amp;"/"&amp;(B43+1))</f>
        <v>4033/4034</v>
      </c>
      <c r="L43" s="245" t="str">
        <f>VLOOKUP(A43,'Trips&amp;Operators'!$C$1:$G$99911,5,FALSE)</f>
        <v>MAELZER KURT</v>
      </c>
      <c r="M43" s="224">
        <f>I43-F43</f>
        <v>2.5868055556202307E-2</v>
      </c>
      <c r="N43" s="225">
        <f>24*60*SUM($M43:$M43)</f>
        <v>37.250000000931323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-02T07:04:26-0700',mode:absolute,to:'2017-12-02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23.298500000000001</v>
      </c>
      <c r="Z43" s="247">
        <f>RIGHT(H43,LEN(H43)-4)/10000</f>
        <v>1.8499999999999999E-2</v>
      </c>
      <c r="AA43" s="247">
        <f>ABS(Z43-Y43)</f>
        <v>23.28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/stypes="app*4033*20171202*"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130-02 --locoid 4033 --swversion DE.1.0.9.0 --startMP 204:232985 --initTime 2017-12-02T08:04:26 --startdatetime 2017-12-02T08:12:22 --delay 203 --endMP 204:185 --enddatetime 2017-12-02T08:49:37 --enforcementcount 0 &gt;&gt;%USERPROFILE%\Documents\GitHub\eaglep3-reporting\EC\2017-12-02-refined-times.txt</v>
      </c>
      <c r="AI4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{"issue":{"subject":"","project_id":79,"tracker_id":40,"status_id":1,"priority_id":2,"assigned_to_id":338,"start_date":"2017-12-02","description":"","custom_fields":[{"id":1,"name":"Subdivision","value":"EC"},{"id":4,"name":"Milepost","value":"0.0185"},{"id":17,"name":"Train ID","value":"130-02"},{"id":16,"name":"Locomotive ID","value":"4033"},{"id":130,"name":"Impact","value":""},{"id":150,"name":"Time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4033 --day 2017-12-02</v>
      </c>
      <c r="AN4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-02T07:04:26-0700',mode:absolute,to:'2017-12-02T09:49:37-0700'))&amp;_a=(columns:!('Message%20ID',Summary),filters:!(),index:'emp_*',interval:auto,query:(query_string:(analyze_wildcard:!t,query:'%22rtdc.l.rtdc.4033%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719</v>
      </c>
      <c r="B44" s="225">
        <v>4028</v>
      </c>
      <c r="C44" s="227" t="s">
        <v>192</v>
      </c>
      <c r="D44" s="227" t="s">
        <v>578</v>
      </c>
      <c r="E44" s="226">
        <v>43071.307268518518</v>
      </c>
      <c r="F44" s="226">
        <v>43071.312673611108</v>
      </c>
      <c r="G44" s="225">
        <v>92</v>
      </c>
      <c r="H44" s="227" t="s">
        <v>605</v>
      </c>
      <c r="I44" s="226">
        <v>43071.336712962962</v>
      </c>
      <c r="J44" s="225">
        <v>0</v>
      </c>
      <c r="K44" s="237" t="str">
        <f>IF(ISEVEN(B44),(B44-1)&amp;"/"&amp;B44,B44&amp;"/"&amp;(B44+1))</f>
        <v>4027/4028</v>
      </c>
      <c r="L44" s="245" t="str">
        <f>VLOOKUP(A44,'Trips&amp;Operators'!$C$1:$G$99911,5,FALSE)</f>
        <v>WILLIAMS DONTE</v>
      </c>
      <c r="M44" s="224">
        <f>I44-F44</f>
        <v>2.4039351854298729E-2</v>
      </c>
      <c r="N44" s="225">
        <f>24*60*SUM($M44:$M44)</f>
        <v>34.61666667019017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-02T06:22:28-0700',mode:absolute,to:'2017-12-02T09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5.1999999999999998E-2</v>
      </c>
      <c r="Z44" s="247">
        <f>RIGHT(H44,LEN(H44)-4)/10000</f>
        <v>23.322600000000001</v>
      </c>
      <c r="AA44" s="247">
        <f>ABS(Z44-Y44)</f>
        <v>23.270600000000002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/stypes="app*4028*20171202*"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131-02 --locoid 4028 --swversion DE.1.0.9.0 --startMP 204:520 --initTime 2017-12-02T07:22:28 --startdatetime 2017-12-02T07:30:15 --delay 92 --endMP 204:233226 --enddatetime 2017-12-02T08:04:52 --enforcementcount 0 &gt;&gt;%USERPROFILE%\Documents\GitHub\eaglep3-reporting\EC\2017-12-02-refined-times.txt</v>
      </c>
      <c r="AI4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{"issue":{"subject":"","project_id":79,"tracker_id":40,"status_id":1,"priority_id":2,"assigned_to_id":338,"start_date":"2017-12-02","description":"","custom_fields":[{"id":1,"name":"Subdivision","value":"EC"},{"id":4,"name":"Milepost","value":"23.3226"},{"id":17,"name":"Train ID","value":"131-02"},{"id":16,"name":"Locomotive ID","value":"4028"},{"id":130,"name":"Impact","value":""},{"id":150,"name":"Time of Event (Mountain Time)","value":"08:04:52"},{"id":151,"name":"Denver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4028 --day 2017-12-02</v>
      </c>
      <c r="AN4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-02T06:22:28-0700',mode:absolute,to:'2017-12-02T09:04:52-0700'))&amp;_a=(columns:!('Message%20ID',Summary),filters:!(),index:'emp_*',interval:auto,query:(query_string:(analyze_wildcard:!t,query:'%22rtdc.l.rtdc.4028%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730</v>
      </c>
      <c r="B45" s="225">
        <v>4027</v>
      </c>
      <c r="C45" s="227" t="s">
        <v>192</v>
      </c>
      <c r="D45" s="227" t="s">
        <v>896</v>
      </c>
      <c r="E45" s="226">
        <v>43071.347766203704</v>
      </c>
      <c r="F45" s="226">
        <v>43071.352303240739</v>
      </c>
      <c r="G45" s="225">
        <v>96</v>
      </c>
      <c r="H45" s="227" t="s">
        <v>893</v>
      </c>
      <c r="I45" s="226">
        <v>43071.378391203703</v>
      </c>
      <c r="J45" s="225">
        <v>0</v>
      </c>
      <c r="K45" s="237" t="str">
        <f>IF(ISEVEN(B45),(B45-1)&amp;"/"&amp;B45,B45&amp;"/"&amp;(B45+1))</f>
        <v>4027/4028</v>
      </c>
      <c r="L45" s="245" t="str">
        <f>VLOOKUP(A45,'Trips&amp;Operators'!$C$1:$G$99911,5,FALSE)</f>
        <v>WILLIAMS DONTE</v>
      </c>
      <c r="M45" s="224">
        <f>I45-F45</f>
        <v>2.6087962964083999E-2</v>
      </c>
      <c r="N45" s="225">
        <f>24*60*SUM($M45:$M45)</f>
        <v>37.566666668280959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-02T07:20:47-0700',mode:absolute,to:'2017-12-02T10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23.295000000000002</v>
      </c>
      <c r="Z45" s="247">
        <f>RIGHT(H45,LEN(H45)-4)/10000</f>
        <v>0.02</v>
      </c>
      <c r="AA45" s="247">
        <f>ABS(Z45-Y45)</f>
        <v>23.275000000000002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/stypes="app*4027*20171202*"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132-02 --locoid 4027 --swversion DE.1.0.9.0 --startMP 204:232950 --initTime 2017-12-02T08:20:47 --startdatetime 2017-12-02T08:27:19 --delay 96 --endMP 204:200 --enddatetime 2017-12-02T09:04:53 --enforcementcount 0 &gt;&gt;%USERPROFILE%\Documents\GitHub\eaglep3-reporting\EC\2017-12-02-refined-times.txt</v>
      </c>
      <c r="AI45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{"issue":{"subject":"","project_id":79,"tracker_id":40,"status_id":1,"priority_id":2,"assigned_to_id":338,"start_date":"2017-12-02","description":"","custom_fields":[{"id":1,"name":"Subdivision","value":"EC"},{"id":4,"name":"Milepost","value":"0.02"},{"id":17,"name":"Train ID","value":"132-02"},{"id":16,"name":"Locomotive ID","value":"4027"},{"id":130,"name":"Impact","value":""},{"id":150,"name":"Time of Event (Mountain Time)","value":"09:04:53"},{"id":151,"name":"Denver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4027 --day 2017-12-02</v>
      </c>
      <c r="AN45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-02T07:20:47-0700',mode:absolute,to:'2017-12-02T10:04:53-0700'))&amp;_a=(columns:!('Message%20ID',Summary),filters:!(),index:'emp_*',interval:auto,query:(query_string:(analyze_wildcard:!t,query:'%22rtdc.l.rtdc.4027%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721</v>
      </c>
      <c r="B46" s="225">
        <v>4030</v>
      </c>
      <c r="C46" s="227" t="s">
        <v>192</v>
      </c>
      <c r="D46" s="227" t="s">
        <v>474</v>
      </c>
      <c r="E46" s="226">
        <v>43071.317106481481</v>
      </c>
      <c r="F46" s="226">
        <v>43071.323101851849</v>
      </c>
      <c r="G46" s="225">
        <v>84</v>
      </c>
      <c r="H46" s="227" t="s">
        <v>909</v>
      </c>
      <c r="I46" s="226">
        <v>43071.348067129627</v>
      </c>
      <c r="J46" s="225">
        <v>0</v>
      </c>
      <c r="K46" s="237" t="str">
        <f>IF(ISEVEN(B46),(B46-1)&amp;"/"&amp;B46,B46&amp;"/"&amp;(B46+1))</f>
        <v>4029/4030</v>
      </c>
      <c r="L46" s="245" t="str">
        <f>VLOOKUP(A46,'Trips&amp;Operators'!$C$1:$G$99911,5,FALSE)</f>
        <v>STRICKLAND EVAN</v>
      </c>
      <c r="M46" s="224">
        <f>I46-F46</f>
        <v>2.4965277778392192E-2</v>
      </c>
      <c r="N46" s="225">
        <f>24*60*SUM($M46:$M46)</f>
        <v>35.950000000884756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-02T06:36:38-0700',mode:absolute,to:'2017-12-02T09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5.0200000000000002E-2</v>
      </c>
      <c r="Z46" s="247">
        <f>RIGHT(H46,LEN(H46)-4)/10000</f>
        <v>23.3246</v>
      </c>
      <c r="AA46" s="247">
        <f>ABS(Z46-Y46)</f>
        <v>23.2744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/stypes="app*4030*20171202*"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133-02 --locoid 4030 --swversion DE.1.0.9.0 --startMP 204:502 --initTime 2017-12-02T07:36:38 --startdatetime 2017-12-02T07:45:16 --delay 84 --endMP 204:233246 --enddatetime 2017-12-02T08:21:13 --enforcementcount 0 &gt;&gt;%USERPROFILE%\Documents\GitHub\eaglep3-reporting\EC\2017-12-02-refined-times.txt</v>
      </c>
      <c r="AI4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{"issue":{"subject":"","project_id":79,"tracker_id":40,"status_id":1,"priority_id":2,"assigned_to_id":338,"start_date":"2017-12-02","description":"","custom_fields":[{"id":1,"name":"Subdivision","value":"EC"},{"id":4,"name":"Milepost","value":"23.3246"},{"id":17,"name":"Train ID","value":"133-02"},{"id":16,"name":"Locomotive ID","value":"4030"},{"id":130,"name":"Impact","value":""},{"id":150,"name":"Time of Event (Mountain Time)","value":"08:21:13"},{"id":151,"name":"Denver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4030 --day 2017-12-02</v>
      </c>
      <c r="AN4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-02T06:36:38-0700',mode:absolute,to:'2017-12-02T09:21:13-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731</v>
      </c>
      <c r="B47" s="225">
        <v>4029</v>
      </c>
      <c r="C47" s="227" t="s">
        <v>192</v>
      </c>
      <c r="D47" s="227" t="s">
        <v>645</v>
      </c>
      <c r="E47" s="226">
        <v>43071.349120370367</v>
      </c>
      <c r="F47" s="226">
        <v>43071.362696759257</v>
      </c>
      <c r="G47" s="225">
        <v>95</v>
      </c>
      <c r="H47" s="227" t="s">
        <v>910</v>
      </c>
      <c r="I47" s="226">
        <v>43071.388703703706</v>
      </c>
      <c r="J47" s="225">
        <v>0</v>
      </c>
      <c r="K47" s="237" t="str">
        <f>IF(ISEVEN(B47),(B47-1)&amp;"/"&amp;B47,B47&amp;"/"&amp;(B47+1))</f>
        <v>4029/4030</v>
      </c>
      <c r="L47" s="245" t="str">
        <f>VLOOKUP(A47,'Trips&amp;Operators'!$C$1:$G$99911,5,FALSE)</f>
        <v>STRICKLAND EVAN</v>
      </c>
      <c r="M47" s="224">
        <f>I47-F47</f>
        <v>2.6006944448454306E-2</v>
      </c>
      <c r="N47" s="225">
        <f>24*60*SUM($M47:$M47)</f>
        <v>37.4500000057742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-02T07:22:44-0700',mode:absolute,to:'2017-12-02T10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23.2928</v>
      </c>
      <c r="Z47" s="247">
        <f>RIGHT(H47,LEN(H47)-4)/10000</f>
        <v>2.0500000000000001E-2</v>
      </c>
      <c r="AA47" s="247">
        <f>ABS(Z47-Y47)</f>
        <v>23.272300000000001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/stypes="app*4029*20171202*"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134-02 --locoid 4029 --swversion DE.1.0.9.0 --startMP 204:232928 --initTime 2017-12-02T08:22:44 --startdatetime 2017-12-02T08:42:17 --delay 95 --endMP 204:205 --enddatetime 2017-12-02T09:19:44 --enforcementcount 0 &gt;&gt;%USERPROFILE%\Documents\GitHub\eaglep3-reporting\EC\2017-12-02-refined-times.txt</v>
      </c>
      <c r="AI4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ID","value":"134-02"},{"id":16,"name":"Locomotive ID","value":"4029"},{"id":130,"name":"Impact","value":""},{"id":150,"name":"Time of Event (Mountain Time)","value":"09:19:44"},{"id":151,"name":"Denver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4029 --day 2017-12-02</v>
      </c>
      <c r="AN4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-02T07:22:44-0700',mode:absolute,to:'2017-12-02T10:19:44-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724</v>
      </c>
      <c r="B48" s="225">
        <v>4022</v>
      </c>
      <c r="C48" s="227" t="s">
        <v>192</v>
      </c>
      <c r="D48" s="227" t="s">
        <v>620</v>
      </c>
      <c r="E48" s="226">
        <v>43071.328287037039</v>
      </c>
      <c r="F48" s="226">
        <v>43071.333483796298</v>
      </c>
      <c r="G48" s="225">
        <v>74</v>
      </c>
      <c r="H48" s="227" t="s">
        <v>911</v>
      </c>
      <c r="I48" s="226">
        <v>43071.357245370367</v>
      </c>
      <c r="J48" s="225">
        <v>0</v>
      </c>
      <c r="K48" s="237" t="str">
        <f>IF(ISEVEN(B48),(B48-1)&amp;"/"&amp;B48,B48&amp;"/"&amp;(B48+1))</f>
        <v>4021/4022</v>
      </c>
      <c r="L48" s="245" t="str">
        <f>VLOOKUP(A48,'Trips&amp;Operators'!$C$1:$G$99911,5,FALSE)</f>
        <v>PAGE MARCUS</v>
      </c>
      <c r="M48" s="224">
        <f>I48-F48</f>
        <v>2.3761574069794733E-2</v>
      </c>
      <c r="N48" s="225">
        <f>24*60*SUM($M48:$M48)</f>
        <v>34.216666660504416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-02T06:52:44-0700',mode:absolute,to:'2017-12-02T09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0.05</v>
      </c>
      <c r="Z48" s="247">
        <f>RIGHT(H48,LEN(H48)-4)/10000</f>
        <v>23.325700000000001</v>
      </c>
      <c r="AA48" s="247">
        <f>ABS(Z48-Y48)</f>
        <v>23.275700000000001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/stypes="app*4022*20171202*"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135-02 --locoid 4022 --swversion DE.1.0.9.0 --startMP 204:500 --initTime 2017-12-02T07:52:44 --startdatetime 2017-12-02T08:00:13 --delay 74 --endMP 204:233257 --enddatetime 2017-12-02T08:34:26 --enforcementcount 0 &gt;&gt;%USERPROFILE%\Documents\GitHub\eaglep3-reporting\EC\2017-12-02-refined-times.txt</v>
      </c>
      <c r="AI4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{"issue":{"subject":"","project_id":79,"tracker_id":40,"status_id":1,"priority_id":2,"assigned_to_id":338,"start_date":"2017-12-02","description":"","custom_fields":[{"id":1,"name":"Subdivision","value":"EC"},{"id":4,"name":"Milepost","value":"23.3257"},{"id":17,"name":"Train ID","value":"135-02"},{"id":16,"name":"Locomotive ID","value":"4022"},{"id":130,"name":"Impact","value":""},{"id":150,"name":"Time of Event (Mountain Time)","value":"08:34:26"},{"id":151,"name":"Denver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4022 --day 2017-12-02</v>
      </c>
      <c r="AN4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-02T06:52:44-0700',mode:absolute,to:'2017-12-02T09:34:26-0700'))&amp;_a=(columns:!('Message%20ID',Summary),filters:!(),index:'emp_*',interval:auto,query:(query_string:(analyze_wildcard:!t,query:'%22rtdc.l.rtdc.4022%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734</v>
      </c>
      <c r="B49" s="225">
        <v>4021</v>
      </c>
      <c r="C49" s="227" t="s">
        <v>192</v>
      </c>
      <c r="D49" s="227" t="s">
        <v>642</v>
      </c>
      <c r="E49" s="226">
        <v>43071.360300925924</v>
      </c>
      <c r="F49" s="226">
        <v>43071.373055555552</v>
      </c>
      <c r="G49" s="225">
        <v>75</v>
      </c>
      <c r="H49" s="227" t="s">
        <v>614</v>
      </c>
      <c r="I49" s="226">
        <v>43071.399340277778</v>
      </c>
      <c r="J49" s="225">
        <v>0</v>
      </c>
      <c r="K49" s="237" t="str">
        <f>IF(ISEVEN(B49),(B49-1)&amp;"/"&amp;B49,B49&amp;"/"&amp;(B49+1))</f>
        <v>4021/4022</v>
      </c>
      <c r="L49" s="245" t="str">
        <f>VLOOKUP(A49,'Trips&amp;Operators'!$C$1:$G$99911,5,FALSE)</f>
        <v>PAGE MARCUS</v>
      </c>
      <c r="M49" s="224">
        <f>I49-F49</f>
        <v>2.6284722225682344E-2</v>
      </c>
      <c r="N49" s="225">
        <f>24*60*SUM($M49:$M49)</f>
        <v>37.850000004982576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-02T07:38:50-0700',mode:absolute,to:'2017-12-02T10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23.293199999999999</v>
      </c>
      <c r="Z49" s="247">
        <f>RIGHT(H49,LEN(H49)-4)/10000</f>
        <v>2.01E-2</v>
      </c>
      <c r="AA49" s="247">
        <f>ABS(Z49-Y49)</f>
        <v>23.273099999999999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/stypes="app*4021*20171202*"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136-02 --locoid 4021 --swversion DE.1.0.9.0 --startMP 204:232932 --initTime 2017-12-02T08:38:50 --startdatetime 2017-12-02T08:57:12 --delay 75 --endMP 204:201 --enddatetime 2017-12-02T09:35:03 --enforcementcount 0 &gt;&gt;%USERPROFILE%\Documents\GitHub\eaglep3-reporting\EC\2017-12-02-refined-times.txt</v>
      </c>
      <c r="AI4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{"issue":{"subject":"","project_id":79,"tracker_id":40,"status_id":1,"priority_id":2,"assigned_to_id":338,"start_date":"2017-12-02","description":"","custom_fields":[{"id":1,"name":"Subdivision","value":"EC"},{"id":4,"name":"Milepost","value":"0.0201"},{"id":17,"name":"Train ID","value":"136-02"},{"id":16,"name":"Locomotive ID","value":"4021"},{"id":130,"name":"Impact","value":""},{"id":150,"name":"Time of Event (Mountain Time)","value":"09:35:03"},{"id":151,"name":"Denver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4021 --day 2017-12-02</v>
      </c>
      <c r="AN49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-02T07:38:50-0700',mode:absolute,to:'2017-12-02T10:35:03-0700'))&amp;_a=(columns:!('Message%20ID',Summary),filters:!(),index:'emp_*',interval:auto,query:(query_string:(analyze_wildcard:!t,query:'%22rtdc.l.rtdc.4021%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729</v>
      </c>
      <c r="B50" s="225">
        <v>4032</v>
      </c>
      <c r="C50" s="227" t="s">
        <v>192</v>
      </c>
      <c r="D50" s="227" t="s">
        <v>514</v>
      </c>
      <c r="E50" s="226">
        <v>43071.338368055556</v>
      </c>
      <c r="F50" s="226">
        <v>43071.343912037039</v>
      </c>
      <c r="G50" s="225">
        <v>86</v>
      </c>
      <c r="H50" s="227" t="s">
        <v>912</v>
      </c>
      <c r="I50" s="226">
        <v>43071.368425925924</v>
      </c>
      <c r="J50" s="225">
        <v>0</v>
      </c>
      <c r="K50" s="237" t="str">
        <f>IF(ISEVEN(B50),(B50-1)&amp;"/"&amp;B50,B50&amp;"/"&amp;(B50+1))</f>
        <v>4031/4032</v>
      </c>
      <c r="L50" s="245" t="str">
        <f>VLOOKUP(A50,'Trips&amp;Operators'!$C$1:$G$99911,5,FALSE)</f>
        <v>NEWELL JAMES</v>
      </c>
      <c r="M50" s="224">
        <f>I50-F50</f>
        <v>2.4513888885849155E-2</v>
      </c>
      <c r="N50" s="225">
        <f>24*60*SUM($M50:$M50)</f>
        <v>35.299999995622784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-02T07:07:15-0700',mode:absolute,to:'2017-12-02T09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5.4600000000000003E-2</v>
      </c>
      <c r="Z50" s="247">
        <f>RIGHT(H50,LEN(H50)-4)/10000</f>
        <v>23.323799999999999</v>
      </c>
      <c r="AA50" s="247">
        <f>ABS(Z50-Y50)</f>
        <v>23.269199999999998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/stypes="app*4032*20171202*"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137-02 --locoid 4032 --swversion DE.1.0.9.0 --startMP 204:546 --initTime 2017-12-02T08:07:15 --startdatetime 2017-12-02T08:15:14 --delay 86 --endMP 204:233238 --enddatetime 2017-12-02T08:50:32 --enforcementcount 0 &gt;&gt;%USERPROFILE%\Documents\GitHub\eaglep3-reporting\EC\2017-12-02-refined-times.txt</v>
      </c>
      <c r="AI5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{"issue":{"subject":"","project_id":79,"tracker_id":40,"status_id":1,"priority_id":2,"assigned_to_id":338,"start_date":"2017-12-02","description":"","custom_fields":[{"id":1,"name":"Subdivision","value":"EC"},{"id":4,"name":"Milepost","value":"23.3238"},{"id":17,"name":"Train ID","value":"137-02"},{"id":16,"name":"Locomotive ID","value":"4032"},{"id":130,"name":"Impact","value":""},{"id":150,"name":"Time of Event (Mountain Time)","value":"08:50:32"},{"id":151,"name":"Denver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4032 --day 2017-12-02</v>
      </c>
      <c r="AN50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-02T07:07:15-0700',mode:absolute,to:'2017-12-02T09:50:32-0700'))&amp;_a=(columns:!('Message%20ID',Summary),filters:!(),index:'emp_*',interval:auto,query:(query_string:(analyze_wildcard:!t,query:'%22rtdc.l.rtdc.4032%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737</v>
      </c>
      <c r="B51" s="225">
        <v>4031</v>
      </c>
      <c r="C51" s="227" t="s">
        <v>192</v>
      </c>
      <c r="D51" s="227" t="s">
        <v>606</v>
      </c>
      <c r="E51" s="226">
        <v>43071.372013888889</v>
      </c>
      <c r="F51" s="226">
        <v>43071.383483796293</v>
      </c>
      <c r="G51" s="225">
        <v>56</v>
      </c>
      <c r="H51" s="227" t="s">
        <v>913</v>
      </c>
      <c r="I51" s="226">
        <v>43071.409085648149</v>
      </c>
      <c r="J51" s="225">
        <v>0</v>
      </c>
      <c r="K51" s="237" t="str">
        <f>IF(ISEVEN(B51),(B51-1)&amp;"/"&amp;B51,B51&amp;"/"&amp;(B51+1))</f>
        <v>4031/4032</v>
      </c>
      <c r="L51" s="245" t="str">
        <f>VLOOKUP(A51,'Trips&amp;Operators'!$C$1:$G$99911,5,FALSE)</f>
        <v>NEWELL JAMES</v>
      </c>
      <c r="M51" s="224">
        <f>I51-F51</f>
        <v>2.5601851855753921E-2</v>
      </c>
      <c r="N51" s="225">
        <f>24*60*SUM($M51:$M51)</f>
        <v>36.866666672285646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-02T07:55:42-0700',mode:absolute,to:'2017-12-02T10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23.2911</v>
      </c>
      <c r="Z51" s="247">
        <f>RIGHT(H51,LEN(H51)-4)/10000</f>
        <v>2.76E-2</v>
      </c>
      <c r="AA51" s="247">
        <f>ABS(Z51-Y51)</f>
        <v>23.263500000000001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/stypes="app*4031*20171202*"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138-02 --locoid 4031 --swversion DE.1.0.9.0 --startMP 204:232911 --initTime 2017-12-02T08:55:42 --startdatetime 2017-12-02T09:12:13 --delay 56 --endMP 204:276 --enddatetime 2017-12-02T09:49:05 --enforcementcount 0 &gt;&gt;%USERPROFILE%\Documents\GitHub\eaglep3-reporting\EC\2017-12-02-refined-times.txt</v>
      </c>
      <c r="AI5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{"issue":{"subject":"","project_id":79,"tracker_id":40,"status_id":1,"priority_id":2,"assigned_to_id":338,"start_date":"2017-12-02","description":"","custom_fields":[{"id":1,"name":"Subdivision","value":"EC"},{"id":4,"name":"Milepost","value":"0.0276"},{"id":17,"name":"Train ID","value":"138-02"},{"id":16,"name":"Locomotive ID","value":"4031"},{"id":130,"name":"Impact","value":""},{"id":150,"name":"Time of Event (Mountain Time)","value":"09:49:05"},{"id":151,"name":"Denver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4031 --day 2017-12-02</v>
      </c>
      <c r="AN51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-02T07:55:42-0700',mode:absolute,to:'2017-12-02T10:49:05-0700'))&amp;_a=(columns:!('Message%20ID',Summary),filters:!(),index:'emp_*',interval:auto,query:(query_string:(analyze_wildcard:!t,query:'%22rtdc.l.rtdc.4031%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732</v>
      </c>
      <c r="B52" s="225">
        <v>4010</v>
      </c>
      <c r="C52" s="227" t="s">
        <v>192</v>
      </c>
      <c r="D52" s="227" t="s">
        <v>914</v>
      </c>
      <c r="E52" s="226">
        <v>43071.349733796298</v>
      </c>
      <c r="F52" s="226">
        <v>43071.354386574072</v>
      </c>
      <c r="G52" s="225">
        <v>90</v>
      </c>
      <c r="H52" s="227" t="s">
        <v>623</v>
      </c>
      <c r="I52" s="226">
        <v>43071.379513888889</v>
      </c>
      <c r="J52" s="225">
        <v>0</v>
      </c>
      <c r="K52" s="237" t="str">
        <f>IF(ISEVEN(B52),(B52-1)&amp;"/"&amp;B52,B52&amp;"/"&amp;(B52+1))</f>
        <v>4009/4010</v>
      </c>
      <c r="L52" s="245" t="str">
        <f>VLOOKUP(A52,'Trips&amp;Operators'!$C$1:$G$99911,5,FALSE)</f>
        <v>THOMPSON LESTER</v>
      </c>
      <c r="M52" s="224">
        <f>I52-F52</f>
        <v>2.5127314816927537E-2</v>
      </c>
      <c r="N52" s="225">
        <f>24*60*SUM($M52:$M52)</f>
        <v>36.183333336375654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-02T07:23:37-0700',mode:absolute,to:'2017-12-02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4.2599999999999999E-2</v>
      </c>
      <c r="Z52" s="247">
        <f>RIGHT(H52,LEN(H52)-4)/10000</f>
        <v>23.3218</v>
      </c>
      <c r="AA52" s="247">
        <f>ABS(Z52-Y52)</f>
        <v>23.279199999999999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/stypes="app*4010*20171202*"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139-02 --locoid 4010 --swversion DE.1.0.9.0 --startMP 204:426 --initTime 2017-12-02T08:23:37 --startdatetime 2017-12-02T08:30:19 --delay 90 --endMP 204:233218 --enddatetime 2017-12-02T09:06:30 --enforcementcount 0 &gt;&gt;%USERPROFILE%\Documents\GitHub\eaglep3-reporting\EC\2017-12-02-refined-times.txt</v>
      </c>
      <c r="AI5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{"issue":{"subject":"","project_id":79,"tracker_id":40,"status_id":1,"priority_id":2,"assigned_to_id":338,"start_date":"2017-12-02","description":"","custom_fields":[{"id":1,"name":"Subdivision","value":"EC"},{"id":4,"name":"Milepost","value":"23.3218"},{"id":17,"name":"Train ID","value":"139-02"},{"id":16,"name":"Locomotive ID","value":"4010"},{"id":130,"name":"Impact","value":""},{"id":150,"name":"Time of Event (Mountain Time)","value":"09:06:30"},{"id":151,"name":"Denver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4010 --day 2017-12-02</v>
      </c>
      <c r="AN5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-02T07:23:37-0700',mode:absolute,to:'2017-12-02T10:06:30-0700'))&amp;_a=(columns:!('Message%20ID',Summary),filters:!(),index:'emp_*',interval:auto,query:(query_string:(analyze_wildcard:!t,query:'%22rtdc.l.rtdc.4010%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741</v>
      </c>
      <c r="B53" s="225">
        <v>4009</v>
      </c>
      <c r="C53" s="227" t="s">
        <v>192</v>
      </c>
      <c r="D53" s="227" t="s">
        <v>904</v>
      </c>
      <c r="E53" s="226">
        <v>43071.391331018516</v>
      </c>
      <c r="F53" s="226">
        <v>43071.393854166665</v>
      </c>
      <c r="G53" s="225">
        <v>72</v>
      </c>
      <c r="H53" s="227" t="s">
        <v>619</v>
      </c>
      <c r="I53" s="226">
        <v>43071.421099537038</v>
      </c>
      <c r="J53" s="225">
        <v>0</v>
      </c>
      <c r="K53" s="237" t="str">
        <f>IF(ISEVEN(B53),(B53-1)&amp;"/"&amp;B53,B53&amp;"/"&amp;(B53+1))</f>
        <v>4009/4010</v>
      </c>
      <c r="L53" s="245" t="str">
        <f>VLOOKUP(A53,'Trips&amp;Operators'!$C$1:$G$99911,5,FALSE)</f>
        <v>THOMPSON LESTER</v>
      </c>
      <c r="M53" s="224">
        <f>I53-F53</f>
        <v>2.7245370372838806E-2</v>
      </c>
      <c r="N53" s="225">
        <f>24*60*SUM($M53:$M53)</f>
        <v>39.233333336887881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-02T08:23:31-0700',mode:absolute,to:'2017-12-02T11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23.290700000000001</v>
      </c>
      <c r="Z53" s="247">
        <f>RIGHT(H53,LEN(H53)-4)/10000</f>
        <v>2.18E-2</v>
      </c>
      <c r="AA53" s="247">
        <f>ABS(Z53-Y53)</f>
        <v>23.268900000000002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/stypes="app*4009*20171202*"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140-02 --locoid 4009 --swversion DE.1.0.9.0 --startMP 204:232907 --initTime 2017-12-02T09:23:31 --startdatetime 2017-12-02T09:27:09 --delay 72 --endMP 204:218 --enddatetime 2017-12-02T10:06:23 --enforcementcount 0 &gt;&gt;%USERPROFILE%\Documents\GitHub\eaglep3-reporting\EC\2017-12-02-refined-times.txt</v>
      </c>
      <c r="AI5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{"issue":{"subject":"","project_id":79,"tracker_id":40,"status_id":1,"priority_id":2,"assigned_to_id":338,"start_date":"2017-12-02","description":"","custom_fields":[{"id":1,"name":"Subdivision","value":"EC"},{"id":4,"name":"Milepost","value":"0.0218"},{"id":17,"name":"Train ID","value":"140-02"},{"id":16,"name":"Locomotive ID","value":"4009"},{"id":130,"name":"Impact","value":""},{"id":150,"name":"Time of Event (Mountain Time)","value":"10:06:23"},{"id":151,"name":"Denver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4009 --day 2017-12-02</v>
      </c>
      <c r="AN5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-02T08:23:31-0700',mode:absolute,to:'2017-12-02T11:06:23-0700'))&amp;_a=(columns:!('Message%20ID',Summary),filters:!(),index:'emp_*',interval:auto,query:(query_string:(analyze_wildcard:!t,query:'%22rtdc.l.rtdc.4009%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735</v>
      </c>
      <c r="B54" s="225">
        <v>4056</v>
      </c>
      <c r="C54" s="227" t="s">
        <v>192</v>
      </c>
      <c r="D54" s="227" t="s">
        <v>620</v>
      </c>
      <c r="E54" s="226">
        <v>43071.363171296296</v>
      </c>
      <c r="F54" s="226">
        <v>43071.37023148148</v>
      </c>
      <c r="G54" s="225">
        <v>46</v>
      </c>
      <c r="H54" s="227" t="s">
        <v>620</v>
      </c>
      <c r="I54" s="226">
        <v>43071.391192129631</v>
      </c>
      <c r="J54" s="225">
        <v>0</v>
      </c>
      <c r="K54" s="237" t="str">
        <f>IF(ISEVEN(B54),(B54-1)&amp;"/"&amp;B54,B54&amp;"/"&amp;(B54+1))</f>
        <v>4055/4056</v>
      </c>
      <c r="L54" s="245" t="str">
        <f>VLOOKUP(A54,'Trips&amp;Operators'!$C$1:$G$99911,5,FALSE)</f>
        <v>MACDONALD THOMAS</v>
      </c>
      <c r="M54" s="224">
        <f>I54-F54</f>
        <v>2.0960648151230998E-2</v>
      </c>
      <c r="N54" s="225"/>
      <c r="O54" s="225"/>
      <c r="P54" s="225"/>
      <c r="Q54" s="228"/>
      <c r="R54" s="242"/>
      <c r="S54" s="249"/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-02T07:42:58-0700',mode:absolute,to:'2017-12-02T10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247" t="str">
        <f>IF(AA54&lt;VLOOKUP(AG54,Variables!$AC$3:$AD$8,2,FALSE),"Y","N")</f>
        <v>Y</v>
      </c>
      <c r="X54" s="247">
        <f>VALUE(LEFT(AD54,4))-VALUE(LEFT(AD53,4))</f>
        <v>1</v>
      </c>
      <c r="Y54" s="247">
        <f>RIGHT(D54,LEN(D54)-4)/10000</f>
        <v>0.05</v>
      </c>
      <c r="Z54" s="247">
        <f>RIGHT(H54,LEN(H54)-4)/10000</f>
        <v>0.05</v>
      </c>
      <c r="AA54" s="247">
        <f>ABS(Z54-Y54)</f>
        <v>0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/stypes="app*4056*20171202*"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141-02 --locoid 4056 --swversion DE.1.0.9.0 --startMP 204:500 --initTime 2017-12-02T08:42:58 --startdatetime 2017-12-02T08:53:08 --delay 46 --endMP 204:500 --enddatetime 2017-12-02T09:23:19 --enforcementcount 0 &gt;&gt;%USERPROFILE%\Documents\GitHub\eaglep3-reporting\EC\2017-12-02-refined-times.txt</v>
      </c>
      <c r="AI5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{"issue":{"subject":"","project_id":79,"tracker_id":40,"status_id":1,"priority_id":2,"assigned_to_id":338,"start_date":"2017-12-02","description":"","custom_fields":[{"id":1,"name":"Subdivision","value":"EC"},{"id":4,"name":"Milepost","value":"0.05"},{"id":17,"name":"Train ID","value":"141-02"},{"id":16,"name":"Locomotive ID","value":"4056"},{"id":130,"name":"Impact","value":""},{"id":150,"name":"Time of Event (Mountain Time)","value":"09:23:19"},{"id":151,"name":"Denver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4056 --day 2017-12-02</v>
      </c>
      <c r="AN5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-02T07:42:58-0700',mode:absolute,to:'2017-12-02T10:23:19-0700'))&amp;_a=(columns:!('Message%20ID',Summary),filters:!(),index:'emp_*',interval:auto,query:(query_string:(analyze_wildcard:!t,query:'%22rtdc.l.rtdc.4056%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735</v>
      </c>
      <c r="B55" s="225">
        <v>4056</v>
      </c>
      <c r="C55" s="227" t="s">
        <v>192</v>
      </c>
      <c r="D55" s="227" t="s">
        <v>915</v>
      </c>
      <c r="E55" s="226">
        <v>43071.369074074071</v>
      </c>
      <c r="F55" s="226">
        <v>43071.37023148148</v>
      </c>
      <c r="G55" s="225">
        <v>67</v>
      </c>
      <c r="H55" s="227" t="s">
        <v>916</v>
      </c>
      <c r="I55" s="226">
        <v>43071.391192129631</v>
      </c>
      <c r="J55" s="225">
        <v>0</v>
      </c>
      <c r="K55" s="237" t="str">
        <f>IF(ISEVEN(B55),(B55-1)&amp;"/"&amp;B55,B55&amp;"/"&amp;(B55+1))</f>
        <v>4055/4056</v>
      </c>
      <c r="L55" s="245" t="str">
        <f>VLOOKUP(A55,'Trips&amp;Operators'!$C$1:$G$99911,5,FALSE)</f>
        <v>MACDONALD THOMAS</v>
      </c>
      <c r="M55" s="224">
        <f>I55-F55</f>
        <v>2.0960648151230998E-2</v>
      </c>
      <c r="N55" s="225"/>
      <c r="O55" s="225"/>
      <c r="P55" s="225">
        <f>24*60*SUM($M55:$M55)</f>
        <v>30.183333337772638</v>
      </c>
      <c r="Q55" s="228"/>
      <c r="R55" s="242" t="s">
        <v>1081</v>
      </c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-02T07:51:28-0700',mode:absolute,to:'2017-12-02T10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247" t="str">
        <f>IF(AA55&lt;VLOOKUP(AG55,Variables!$AC$3:$AD$8,2,FALSE),"Y","N")</f>
        <v>Y</v>
      </c>
      <c r="X55" s="247">
        <f>VALUE(LEFT(AD55,4))-VALUE(LEFT(AD54,4))</f>
        <v>0</v>
      </c>
      <c r="Y55" s="247">
        <f>RIGHT(D55,LEN(D55)-4)/10000</f>
        <v>1.9121999999999999</v>
      </c>
      <c r="Z55" s="247">
        <f>RIGHT(H55,LEN(H55)-4)/10000</f>
        <v>23.319099999999999</v>
      </c>
      <c r="AA55" s="247">
        <f>ABS(Z55-Y55)</f>
        <v>21.4069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141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/stypes="app*4056*20171202*"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141-02 --locoid 4056 --swversion DE.1.0.9.0 --startMP 204:19122 --initTime 2017-12-02T08:51:28 --startdatetime 2017-12-02T08:53:08 --delay 67 --endMP 204:233191 --enddatetime 2017-12-02T09:23:19 --enforcementcount 0 &gt;&gt;%USERPROFILE%\Documents\GitHub\eaglep3-reporting\EC\2017-12-02-refined-times.txt</v>
      </c>
      <c r="AI55" s="238" t="str">
        <f t="shared" si="6"/>
        <v>echo {"issue":{"subject":"Onboard en route failure during init","project_id":79,"tracker_id":40,"status_id":1,"priority_id":2,"assigned_to_id":338,"start_date":"2017-12-02","description":"","custom_fields":[{"id":1,"name":"Subdivision","value":"EC"},{"id":4,"name":"Milepost","value":"23.3191"},{"id":17,"name":"Train ID","value":"141-02"},{"id":16,"name":"Locomotive ID","value":"4056"},{"id":130,"name":"Impact","value":""},{"id":150,"name":"Time of Event (Mountain Time)","value":"09:23:19"},{"id":151,"name":"Denver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4056 --day 2017-12-02</v>
      </c>
      <c r="AN55" s="241" t="str">
        <f t="shared" si="8"/>
        <v>echo {"issue":{"subject":"Onboard en route failure during init","project_id":30,"tracker_id":4,"status_id":1,"priority_id":1,"assigned_to_id":10,"start_date":"2017-12-02","description":"","custom_fields":[{"id":30,"name":"Category","value":"Issue"},{"id":3,"name":"Functional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-02T07:51:28-0700',mode:absolute,to:'2017-12-02T10:23:19-0700'))&amp;_a=(columns:!('Message%20ID',Summary),filters:!(),index:'emp_*',interval:auto,query:(query_string:(analyze_wildcard:!t,query:'%22rtdc.l.rtdc.4056%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743</v>
      </c>
      <c r="B56" s="225">
        <v>4055</v>
      </c>
      <c r="C56" s="227" t="s">
        <v>192</v>
      </c>
      <c r="D56" s="227" t="s">
        <v>555</v>
      </c>
      <c r="E56" s="226">
        <v>43071.399768518517</v>
      </c>
      <c r="F56" s="226">
        <v>43071.405115740738</v>
      </c>
      <c r="G56" s="225">
        <v>58</v>
      </c>
      <c r="H56" s="227" t="s">
        <v>917</v>
      </c>
      <c r="I56" s="226">
        <v>43071.43414351852</v>
      </c>
      <c r="J56" s="225">
        <v>0</v>
      </c>
      <c r="K56" s="237" t="str">
        <f>IF(ISEVEN(B56),(B56-1)&amp;"/"&amp;B56,B56&amp;"/"&amp;(B56+1))</f>
        <v>4055/4056</v>
      </c>
      <c r="L56" s="245" t="str">
        <f>VLOOKUP(A56,'Trips&amp;Operators'!$C$1:$G$99911,5,FALSE)</f>
        <v>MACDONALD THOMAS</v>
      </c>
      <c r="M56" s="224">
        <f>I56-F56</f>
        <v>2.902777778217569E-2</v>
      </c>
      <c r="N56" s="225">
        <f>24*60*SUM($M56:$M56)</f>
        <v>41.800000006332994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-02T08:35:40-0700',mode:absolute,to:'2017-12-02T11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23.287500000000001</v>
      </c>
      <c r="Z56" s="247">
        <f>RIGHT(H56,LEN(H56)-4)/10000</f>
        <v>2.5399999999999999E-2</v>
      </c>
      <c r="AA56" s="247">
        <f>ABS(Z56-Y56)</f>
        <v>23.2621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142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/stypes="app*4055*20171202*"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142-02 --locoid 4055 --swversion DE.1.0.9.0 --startMP 204:232875 --initTime 2017-12-02T09:35:40 --startdatetime 2017-12-02T09:43:22 --delay 58 --endMP 204:254 --enddatetime 2017-12-02T10:25:10 --enforcementcount 0 &gt;&gt;%USERPROFILE%\Documents\GitHub\eaglep3-reporting\EC\2017-12-02-refined-times.txt</v>
      </c>
      <c r="AI5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{"issue":{"subject":"","project_id":79,"tracker_id":40,"status_id":1,"priority_id":2,"assigned_to_id":338,"start_date":"2017-12-02","description":"","custom_fields":[{"id":1,"name":"Subdivision","value":"EC"},{"id":4,"name":"Milepost","value":"0.0254"},{"id":17,"name":"Train ID","value":"142-02"},{"id":16,"name":"Locomotive ID","value":"4055"},{"id":130,"name":"Impact","value":""},{"id":150,"name":"Time of Event (Mountain Time)","value":"10:25:10"},{"id":151,"name":"Denver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4055 --day 2017-12-02</v>
      </c>
      <c r="AN5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-02T08:35:40-0700',mode:absolute,to:'2017-12-02T11:25:10-0700'))&amp;_a=(columns:!('Message%20ID',Summary),filters:!(),index:'emp_*',interval:auto,query:(query_string:(analyze_wildcard:!t,query:'%22rtdc.l.rtdc.4055%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736</v>
      </c>
      <c r="B57" s="225">
        <v>4034</v>
      </c>
      <c r="C57" s="227" t="s">
        <v>192</v>
      </c>
      <c r="D57" s="227" t="s">
        <v>618</v>
      </c>
      <c r="E57" s="226">
        <v>43071.371076388888</v>
      </c>
      <c r="F57" s="226">
        <v>43071.375185185185</v>
      </c>
      <c r="G57" s="225">
        <v>44</v>
      </c>
      <c r="H57" s="227" t="s">
        <v>586</v>
      </c>
      <c r="I57" s="226">
        <v>43071.399270833332</v>
      </c>
      <c r="J57" s="225">
        <v>0</v>
      </c>
      <c r="K57" s="237" t="str">
        <f>IF(ISEVEN(B57),(B57-1)&amp;"/"&amp;B57,B57&amp;"/"&amp;(B57+1))</f>
        <v>4033/4034</v>
      </c>
      <c r="L57" s="245" t="str">
        <f>VLOOKUP(A57,'Trips&amp;Operators'!$C$1:$G$99911,5,FALSE)</f>
        <v>MAELZER KURT</v>
      </c>
      <c r="M57" s="224">
        <f>I57-F57</f>
        <v>2.4085648146865424E-2</v>
      </c>
      <c r="N57" s="225">
        <f>24*60*SUM($M57:$M57)</f>
        <v>34.68333333148621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-02T07:54:21-0700',mode:absolute,to:'2017-12-02T10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4.8000000000000001E-2</v>
      </c>
      <c r="Z57" s="247">
        <f>RIGHT(H57,LEN(H57)-4)/10000</f>
        <v>23.3291</v>
      </c>
      <c r="AA57" s="247">
        <f>ABS(Z57-Y57)</f>
        <v>23.281100000000002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143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/stypes="app*4034*20171202*"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143-02 --locoid 4034 --swversion DE.1.0.9.0 --startMP 204:480 --initTime 2017-12-02T08:54:21 --startdatetime 2017-12-02T09:00:16 --delay 44 --endMP 204:233291 --enddatetime 2017-12-02T09:34:57 --enforcementcount 0 &gt;&gt;%USERPROFILE%\Documents\GitHub\eaglep3-reporting\EC\2017-12-02-refined-times.txt</v>
      </c>
      <c r="AI5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{"issue":{"subject":"","project_id":79,"tracker_id":40,"status_id":1,"priority_id":2,"assigned_to_id":338,"start_date":"2017-12-02","description":"","custom_fields":[{"id":1,"name":"Subdivision","value":"EC"},{"id":4,"name":"Milepost","value":"23.3291"},{"id":17,"name":"Train ID","value":"143-02"},{"id":16,"name":"Locomotive ID","value":"4034"},{"id":130,"name":"Impact","value":""},{"id":150,"name":"Time of Event (Mountain Time)","value":"09:34:57"},{"id":151,"name":"Denver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4034 --day 2017-12-02</v>
      </c>
      <c r="AN5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-02T07:54:21-0700',mode:absolute,to:'2017-12-02T10:34:57-0700'))&amp;_a=(columns:!('Message%20ID',Summary),filters:!(),index:'emp_*',interval:auto,query:(query_string:(analyze_wildcard:!t,query:'%22rtdc.l.rtdc.4034%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745</v>
      </c>
      <c r="B58" s="225">
        <v>4033</v>
      </c>
      <c r="C58" s="227" t="s">
        <v>192</v>
      </c>
      <c r="D58" s="227" t="s">
        <v>918</v>
      </c>
      <c r="E58" s="226">
        <v>43071.40425925926</v>
      </c>
      <c r="F58" s="226">
        <v>43071.41810185185</v>
      </c>
      <c r="G58" s="225">
        <v>50</v>
      </c>
      <c r="H58" s="227" t="s">
        <v>910</v>
      </c>
      <c r="I58" s="226">
        <v>43071.446493055555</v>
      </c>
      <c r="J58" s="225">
        <v>0</v>
      </c>
      <c r="K58" s="237" t="str">
        <f>IF(ISEVEN(B58),(B58-1)&amp;"/"&amp;B58,B58&amp;"/"&amp;(B58+1))</f>
        <v>4033/4034</v>
      </c>
      <c r="L58" s="245" t="str">
        <f>VLOOKUP(A58,'Trips&amp;Operators'!$C$1:$G$99911,5,FALSE)</f>
        <v>MAELZER KURT</v>
      </c>
      <c r="M58" s="224">
        <f>I58-F58</f>
        <v>2.8391203704813961E-2</v>
      </c>
      <c r="N58" s="225">
        <f>24*60*SUM($M58:$M58)</f>
        <v>40.883333334932104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-02T08:42:08-0700',mode:absolute,to:'2017-12-02T11:42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23.297799999999999</v>
      </c>
      <c r="Z58" s="247">
        <f>RIGHT(H58,LEN(H58)-4)/10000</f>
        <v>2.0500000000000001E-2</v>
      </c>
      <c r="AA58" s="247">
        <f>ABS(Z58-Y58)</f>
        <v>23.2773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144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/stypes="app*4033*20171202*"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144-02 --locoid 4033 --swversion DE.1.0.9.0 --startMP 204:232978 --initTime 2017-12-02T09:42:08 --startdatetime 2017-12-02T10:02:04 --delay 50 --endMP 204:205 --enddatetime 2017-12-02T10:42:57 --enforcementcount 0 &gt;&gt;%USERPROFILE%\Documents\GitHub\eaglep3-reporting\EC\2017-12-02-refined-times.txt</v>
      </c>
      <c r="AI5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ID","value":"144-02"},{"id":16,"name":"Locomotive ID","value":"4033"},{"id":130,"name":"Impact","value":""},{"id":150,"name":"Time of Event (Mountain Time)","value":"10:42:57"},{"id":151,"name":"Denver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4033 --day 2017-12-02</v>
      </c>
      <c r="AN5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-02T08:42:08-0700',mode:absolute,to:'2017-12-02T11:42:57-0700'))&amp;_a=(columns:!('Message%20ID',Summary),filters:!(),index:'emp_*',interval:auto,query:(query_string:(analyze_wildcard:!t,query:'%22rtdc.l.rtdc.4033%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739</v>
      </c>
      <c r="B59" s="225">
        <v>4028</v>
      </c>
      <c r="C59" s="227" t="s">
        <v>192</v>
      </c>
      <c r="D59" s="227" t="s">
        <v>641</v>
      </c>
      <c r="E59" s="226">
        <v>43071.380949074075</v>
      </c>
      <c r="F59" s="226">
        <v>43071.385625000003</v>
      </c>
      <c r="G59" s="225">
        <v>61</v>
      </c>
      <c r="H59" s="227" t="s">
        <v>919</v>
      </c>
      <c r="I59" s="226">
        <v>43071.409733796296</v>
      </c>
      <c r="J59" s="225">
        <v>0</v>
      </c>
      <c r="K59" s="237" t="str">
        <f>IF(ISEVEN(B59),(B59-1)&amp;"/"&amp;B59,B59&amp;"/"&amp;(B59+1))</f>
        <v>4027/4028</v>
      </c>
      <c r="L59" s="245" t="str">
        <f>VLOOKUP(A59,'Trips&amp;Operators'!$C$1:$G$99911,5,FALSE)</f>
        <v>HUFFSMITH MONTY</v>
      </c>
      <c r="M59" s="224">
        <f>I59-F59</f>
        <v>2.4108796293148771E-2</v>
      </c>
      <c r="N59" s="225">
        <f>24*60*SUM($M59:$M59)</f>
        <v>34.71666666213423</v>
      </c>
      <c r="O59" s="225"/>
      <c r="P59" s="225"/>
      <c r="Q59" s="228"/>
      <c r="R59" s="242" t="s">
        <v>1080</v>
      </c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-02T08:08:34-0700',mode:absolute,to:'2017-12-02T10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47" t="str">
        <f>IF(AA59&lt;VLOOKUP(AG59,Variables!$AC$3:$AD$8,2,FALSE),"Y","N")</f>
        <v>Y</v>
      </c>
      <c r="X59" s="247">
        <f>VALUE(LEFT(AD59,4))-VALUE(LEFT(AD58,4))</f>
        <v>1</v>
      </c>
      <c r="Y59" s="247">
        <f>RIGHT(D59,LEN(D59)-4)/10000</f>
        <v>5.0799999999999998E-2</v>
      </c>
      <c r="Z59" s="247">
        <f>RIGHT(H59,LEN(H59)-4)/10000</f>
        <v>23.005099999999999</v>
      </c>
      <c r="AA59" s="247">
        <f>ABS(Z59-Y59)</f>
        <v>22.9543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145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"%USERPROFILE%\AppData\Local\Temp\OnboardLogs"\RTDC4028\2017-12-02 --exclude "*" --recursive --include "*20171202*" &amp; "%USERPROFILE%\Documents\GitHub\mrs-test-scripts\Headless Mode &amp; Sideloading\WalkAndUnGZ.bat" "%USERPROFILE%\AppData\Local\Temp\OnboardLogs"\RTDC4028\2017-12-02 &amp; aws s3 cp s3://rtdc.mdm.uploadarchive.raw/RTDC4028/ "%USERPROFILE%\AppData\Local\Temp\OnboardLogs"\RTDC4028\2017-12-03 --exclude "*" --recursive --include "*20171203*" &amp; "%USERPROFILE%\Documents\GitHub\mrs-test-scripts\Headless Mode &amp; Sideloading\WalkAndUnGZ.bat" "%USERPROFILE%\AppData\Local\Temp\OnboardLogs"\RTDC4028\2017-12-03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/stypes="app*4028*20171202*" /stext=" 16:.+((SYSTEM_STATE.+slice.+state.+changed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145-02 --locoid 4028 --swversion DE.1.0.9.0 --startMP 204:508 --initTime 2017-12-02T09:08:34 --startdatetime 2017-12-02T09:15:18 --delay 61 --endMP 204:230051 --enddatetime 2017-12-02T09:50:01 --enforcementcount 0 &gt;&gt;%USERPROFILE%\Documents\GitHub\eaglep3-reporting\EC\2017-12-02-refined-times.txt</v>
      </c>
      <c r="AI59" s="238" t="str">
        <f t="shared" si="6"/>
        <v>echo {"issue":{"subject":"Observed brake system issue at CP DIA; PTC cut-out into platform","project_id":79,"tracker_id":40,"status_id":1,"priority_id":2,"assigned_to_id":338,"start_date":"2017-12-02","description":"","custom_fields":[{"id":1,"name":"Subdivision","value":"EC"},{"id":4,"name":"Milepost","value":"23.0051"},{"id":17,"name":"Train ID","value":"145-02"},{"id":16,"name":"Locomotive ID","value":"4028"},{"id":130,"name":"Impact","value":""},{"id":150,"name":"Time of Event (Mountain Time)","value":"09:50:01"},{"id":151,"name":"Denver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4028 --day 2017-12-02</v>
      </c>
      <c r="AN59" s="241" t="str">
        <f t="shared" si="8"/>
        <v>echo {"issue":{"subject":"Observed brake system issue at CP DIA; PTC cut-out into platform","project_id":30,"tracker_id":4,"status_id":1,"priority_id":1,"assigned_to_id":10,"start_date":"2017-12-02","description":"","custom_fields":[{"id":30,"name":"Category","value":"Issue"},{"id":3,"name":"Functional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-02T08:08:34-0700',mode:absolute,to:'2017-12-02T10:50:01-0700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751</v>
      </c>
      <c r="B60" s="225">
        <v>4029</v>
      </c>
      <c r="C60" s="227" t="s">
        <v>192</v>
      </c>
      <c r="D60" s="227" t="s">
        <v>920</v>
      </c>
      <c r="E60" s="226">
        <v>43071.42528935185</v>
      </c>
      <c r="F60" s="226">
        <v>43071.42690972222</v>
      </c>
      <c r="G60" s="225">
        <v>64</v>
      </c>
      <c r="H60" s="227" t="s">
        <v>491</v>
      </c>
      <c r="I60" s="226">
        <v>43071.453206018516</v>
      </c>
      <c r="J60" s="225">
        <v>0</v>
      </c>
      <c r="K60" s="237" t="str">
        <f>IF(ISEVEN(B60),(B60-1)&amp;"/"&amp;B60,B60&amp;"/"&amp;(B60+1))</f>
        <v>4029/4030</v>
      </c>
      <c r="L60" s="245" t="str">
        <f>VLOOKUP(A60,'Trips&amp;Operators'!$C$1:$G$99911,5,FALSE)</f>
        <v>LOPES KIMBERLY</v>
      </c>
      <c r="M60" s="224">
        <f>I60-F60</f>
        <v>2.6296296295186039E-2</v>
      </c>
      <c r="N60" s="225">
        <f>24*60*SUM($M60:$M60)</f>
        <v>37.866666665067896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-02T09:12:25-0700',mode:absolute,to:'2017-12-02T11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23.2881</v>
      </c>
      <c r="Z60" s="247">
        <f>RIGHT(H60,LEN(H60)-4)/10000</f>
        <v>2.0299999999999999E-2</v>
      </c>
      <c r="AA60" s="247">
        <f>ABS(Z60-Y60)</f>
        <v>23.267800000000001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146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/stypes="app*4029*20171202*"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146-02 --locoid 4029 --swversion DE.1.0.9.0 --startMP 204:232881 --initTime 2017-12-02T10:12:25 --startdatetime 2017-12-02T10:14:45 --delay 64 --endMP 204:203 --enddatetime 2017-12-02T10:52:37 --enforcementcount 0 &gt;&gt;%USERPROFILE%\Documents\GitHub\eaglep3-reporting\EC\2017-12-02-refined-times.txt</v>
      </c>
      <c r="AI60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{"issue":{"subject":"","project_id":79,"tracker_id":40,"status_id":1,"priority_id":2,"assigned_to_id":338,"start_date":"2017-12-02","description":"","custom_fields":[{"id":1,"name":"Subdivision","value":"EC"},{"id":4,"name":"Milepost","value":"0.0203"},{"id":17,"name":"Train ID","value":"146-02"},{"id":16,"name":"Locomotive ID","value":"4029"},{"id":130,"name":"Impact","value":""},{"id":150,"name":"Time of Event (Mountain Time)","value":"10:52:37"},{"id":151,"name":"Denver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4029 --day 2017-12-02</v>
      </c>
      <c r="AN60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-02T09:12:25-0700',mode:absolute,to:'2017-12-02T11:52:37-0700'))&amp;_a=(columns:!('Message%20ID',Summary),filters:!(),index:'emp_*',interval:auto,query:(query_string:(analyze_wildcard:!t,query:'%22rtdc.l.rtdc.4029%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740</v>
      </c>
      <c r="B61" s="225">
        <v>4030</v>
      </c>
      <c r="C61" s="227" t="s">
        <v>192</v>
      </c>
      <c r="D61" s="227" t="s">
        <v>921</v>
      </c>
      <c r="E61" s="226">
        <v>43071.390706018516</v>
      </c>
      <c r="F61" s="226">
        <v>43071.396006944444</v>
      </c>
      <c r="G61" s="225">
        <v>76</v>
      </c>
      <c r="H61" s="227" t="s">
        <v>922</v>
      </c>
      <c r="I61" s="226">
        <v>43071.423657407409</v>
      </c>
      <c r="J61" s="225">
        <v>0</v>
      </c>
      <c r="K61" s="237" t="str">
        <f>IF(ISEVEN(B61),(B61-1)&amp;"/"&amp;B61,B61&amp;"/"&amp;(B61+1))</f>
        <v>4029/4030</v>
      </c>
      <c r="L61" s="245" t="str">
        <f>VLOOKUP(A61,'Trips&amp;Operators'!$C$1:$G$99911,5,FALSE)</f>
        <v>LOPES KIMBERLY</v>
      </c>
      <c r="M61" s="224">
        <f>I61-F61</f>
        <v>2.7650462965539191E-2</v>
      </c>
      <c r="N61" s="225">
        <f>24*60*SUM($M61:$M61)</f>
        <v>39.816666670376435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-02T08:22:37-0700',mode:absolute,to:'2017-12-02T11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4.9799999999999997E-2</v>
      </c>
      <c r="Z61" s="247">
        <f>RIGHT(H61,LEN(H61)-4)/10000</f>
        <v>23.316299999999998</v>
      </c>
      <c r="AA61" s="247">
        <f>ABS(Z61-Y61)</f>
        <v>23.266499999999997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147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/stypes="app*4030*20171202*"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147-02 --locoid 4030 --swversion DE.1.0.9.0 --startMP 204:498 --initTime 2017-12-02T09:22:37 --startdatetime 2017-12-02T09:30:15 --delay 76 --endMP 204:233163 --enddatetime 2017-12-02T10:10:04 --enforcementcount 0 &gt;&gt;%USERPROFILE%\Documents\GitHub\eaglep3-reporting\EC\2017-12-02-refined-times.txt</v>
      </c>
      <c r="AI6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{"issue":{"subject":"","project_id":79,"tracker_id":40,"status_id":1,"priority_id":2,"assigned_to_id":338,"start_date":"2017-12-02","description":"","custom_fields":[{"id":1,"name":"Subdivision","value":"EC"},{"id":4,"name":"Milepost","value":"23.3163"},{"id":17,"name":"Train ID","value":"147-02"},{"id":16,"name":"Locomotive ID","value":"4030"},{"id":130,"name":"Impact","value":""},{"id":150,"name":"Time of Event (Mountain Time)","value":"10:10:04"},{"id":151,"name":"Denver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4030 --day 2017-12-02</v>
      </c>
      <c r="AN61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-02T08:22:37-0700',mode:absolute,to:'2017-12-02T11:10:04-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753</v>
      </c>
      <c r="B62" s="225">
        <v>4027</v>
      </c>
      <c r="C62" s="227" t="s">
        <v>192</v>
      </c>
      <c r="D62" s="227" t="s">
        <v>923</v>
      </c>
      <c r="E62" s="226">
        <v>43071.434675925928</v>
      </c>
      <c r="F62" s="226">
        <v>43071.436724537038</v>
      </c>
      <c r="G62" s="225">
        <v>65</v>
      </c>
      <c r="H62" s="227" t="s">
        <v>924</v>
      </c>
      <c r="I62" s="226">
        <v>43071.465011574073</v>
      </c>
      <c r="J62" s="225">
        <v>0</v>
      </c>
      <c r="K62" s="237" t="str">
        <f>IF(ISEVEN(B62),(B62-1)&amp;"/"&amp;B62,B62&amp;"/"&amp;(B62+1))</f>
        <v>4027/4028</v>
      </c>
      <c r="L62" s="245" t="str">
        <f>VLOOKUP(A62,'Trips&amp;Operators'!$C$1:$G$99911,5,FALSE)</f>
        <v>HUFFSMITH MONTY</v>
      </c>
      <c r="M62" s="224">
        <f>I62-F62</f>
        <v>2.8287037035624962E-2</v>
      </c>
      <c r="N62" s="225">
        <f>24*60*SUM($M62:$M62)</f>
        <v>40.733333331299946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-02T09:25:56-0700',mode:absolute,to:'2017-12-02T12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23.298300000000001</v>
      </c>
      <c r="Z62" s="247">
        <f>RIGHT(H62,LEN(H62)-4)/10000</f>
        <v>0.17530000000000001</v>
      </c>
      <c r="AA62" s="247">
        <f>ABS(Z62-Y62)</f>
        <v>23.123000000000001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148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/stypes="app*4027*20171202*"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148-02 --locoid 4027 --swversion DE.1.0.9.0 --startMP 204:232983 --initTime 2017-12-02T10:25:56 --startdatetime 2017-12-02T10:28:53 --delay 65 --endMP 204:1753 --enddatetime 2017-12-02T11:09:37 --enforcementcount 0 &gt;&gt;%USERPROFILE%\Documents\GitHub\eaglep3-reporting\EC\2017-12-02-refined-times.txt</v>
      </c>
      <c r="AI6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{"issue":{"subject":"","project_id":79,"tracker_id":40,"status_id":1,"priority_id":2,"assigned_to_id":338,"start_date":"2017-12-02","description":"","custom_fields":[{"id":1,"name":"Subdivision","value":"EC"},{"id":4,"name":"Milepost","value":"0.1753"},{"id":17,"name":"Train ID","value":"148-02"},{"id":16,"name":"Locomotive ID","value":"4027"},{"id":130,"name":"Impact","value":""},{"id":150,"name":"Time of Event (Mountain Time)","value":"11:09:37"},{"id":151,"name":"Denver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4027 --day 2017-12-02</v>
      </c>
      <c r="AN6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-02T09:25:56-0700',mode:absolute,to:'2017-12-02T12:09:37-0700'))&amp;_a=(columns:!('Message%20ID',Summary),filters:!(),index:'emp_*',interval:auto,query:(query_string:(analyze_wildcard:!t,query:'%22rtdc.l.rtdc.4027%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744</v>
      </c>
      <c r="B63" s="225">
        <v>4022</v>
      </c>
      <c r="C63" s="227" t="s">
        <v>192</v>
      </c>
      <c r="D63" s="227" t="s">
        <v>925</v>
      </c>
      <c r="E63" s="226">
        <v>43071.40179398148</v>
      </c>
      <c r="F63" s="226">
        <v>43071.406446759262</v>
      </c>
      <c r="G63" s="225">
        <v>76</v>
      </c>
      <c r="H63" s="227" t="s">
        <v>926</v>
      </c>
      <c r="I63" s="226">
        <v>43071.433125000003</v>
      </c>
      <c r="J63" s="225">
        <v>0</v>
      </c>
      <c r="K63" s="237" t="str">
        <f>IF(ISEVEN(B63),(B63-1)&amp;"/"&amp;B63,B63&amp;"/"&amp;(B63+1))</f>
        <v>4021/4022</v>
      </c>
      <c r="L63" s="245" t="str">
        <f>VLOOKUP(A63,'Trips&amp;Operators'!$C$1:$G$99911,5,FALSE)</f>
        <v>GEBRETEKLE DAGNEW</v>
      </c>
      <c r="M63" s="224">
        <f>I63-F63</f>
        <v>2.6678240741603076E-2</v>
      </c>
      <c r="N63" s="225">
        <f>24*60*SUM($M63:$M63)</f>
        <v>38.41666666790843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-02T08:38:35-0700',mode:absolute,to:'2017-12-02T11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5.4800000000000001E-2</v>
      </c>
      <c r="Z63" s="247">
        <f>RIGHT(H63,LEN(H63)-4)/10000</f>
        <v>23.328800000000001</v>
      </c>
      <c r="AA63" s="247">
        <f>ABS(Z63-Y63)</f>
        <v>23.274000000000001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149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/stypes="app*4022*20171202*"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149-02 --locoid 4022 --swversion DE.1.0.9.0 --startMP 204:548 --initTime 2017-12-02T09:38:35 --startdatetime 2017-12-02T09:45:17 --delay 76 --endMP 204:233288 --enddatetime 2017-12-02T10:23:42 --enforcementcount 0 &gt;&gt;%USERPROFILE%\Documents\GitHub\eaglep3-reporting\EC\2017-12-02-refined-times.txt</v>
      </c>
      <c r="AI6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{"issue":{"subject":"","project_id":79,"tracker_id":40,"status_id":1,"priority_id":2,"assigned_to_id":338,"start_date":"2017-12-02","description":"","custom_fields":[{"id":1,"name":"Subdivision","value":"EC"},{"id":4,"name":"Milepost","value":"23.3288"},{"id":17,"name":"Train ID","value":"149-02"},{"id":16,"name":"Locomotive ID","value":"4022"},{"id":130,"name":"Impact","value":""},{"id":150,"name":"Time of Event (Mountain Time)","value":"10:23:42"},{"id":151,"name":"Denver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4022 --day 2017-12-02</v>
      </c>
      <c r="AN6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-02T08:38:35-0700',mode:absolute,to:'2017-12-02T11:23:42-0700'))&amp;_a=(columns:!('Message%20ID',Summary),filters:!(),index:'emp_*',interval:auto,query:(query_string:(analyze_wildcard:!t,query:'%22rtdc.l.rtdc.4022%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754</v>
      </c>
      <c r="B64" s="225">
        <v>4021</v>
      </c>
      <c r="C64" s="227" t="s">
        <v>192</v>
      </c>
      <c r="D64" s="227" t="s">
        <v>894</v>
      </c>
      <c r="E64" s="226">
        <v>43071.436990740738</v>
      </c>
      <c r="F64" s="226">
        <v>43071.446053240739</v>
      </c>
      <c r="G64" s="225">
        <v>63</v>
      </c>
      <c r="H64" s="227" t="s">
        <v>910</v>
      </c>
      <c r="I64" s="226">
        <v>43071.472430555557</v>
      </c>
      <c r="J64" s="225">
        <v>0</v>
      </c>
      <c r="K64" s="237" t="str">
        <f>IF(ISEVEN(B64),(B64-1)&amp;"/"&amp;B64,B64&amp;"/"&amp;(B64+1))</f>
        <v>4021/4022</v>
      </c>
      <c r="L64" s="245" t="str">
        <f>VLOOKUP(A64,'Trips&amp;Operators'!$C$1:$G$99911,5,FALSE)</f>
        <v>GEBRETEKLE DAGNEW</v>
      </c>
      <c r="M64" s="224">
        <f>I64-F64</f>
        <v>2.6377314818091691E-2</v>
      </c>
      <c r="N64" s="225">
        <f>24*60*SUM($M64:$M64)</f>
        <v>37.983333338052034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-02T09:29:16-0700',mode:absolute,to:'2017-12-02T12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23.296700000000001</v>
      </c>
      <c r="Z64" s="247">
        <f>RIGHT(H64,LEN(H64)-4)/10000</f>
        <v>2.0500000000000001E-2</v>
      </c>
      <c r="AA64" s="247">
        <f>ABS(Z64-Y64)</f>
        <v>23.276200000000003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150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/stypes="app*4021*20171202*"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150-02 --locoid 4021 --swversion DE.1.0.9.0 --startMP 204:232967 --initTime 2017-12-02T10:29:16 --startdatetime 2017-12-02T10:42:19 --delay 63 --endMP 204:205 --enddatetime 2017-12-02T11:20:18 --enforcementcount 0 &gt;&gt;%USERPROFILE%\Documents\GitHub\eaglep3-reporting\EC\2017-12-02-refined-times.txt</v>
      </c>
      <c r="AI6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ID","value":"150-02"},{"id":16,"name":"Locomotive ID","value":"4021"},{"id":130,"name":"Impact","value":""},{"id":150,"name":"Time of Event (Mountain Time)","value":"11:20:18"},{"id":151,"name":"Denver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4021 --day 2017-12-02</v>
      </c>
      <c r="AN6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-02T09:29:16-0700',mode:absolute,to:'2017-12-02T12:20:18-0700'))&amp;_a=(columns:!('Message%20ID',Summary),filters:!(),index:'emp_*',interval:auto,query:(query_string:(analyze_wildcard:!t,query:'%22rtdc.l.rtdc.4021%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655</v>
      </c>
      <c r="B65" s="225">
        <v>4032</v>
      </c>
      <c r="C65" s="227" t="s">
        <v>192</v>
      </c>
      <c r="D65" s="227" t="s">
        <v>583</v>
      </c>
      <c r="E65" s="226">
        <v>43071.413587962961</v>
      </c>
      <c r="F65" s="226">
        <v>43071.416817129626</v>
      </c>
      <c r="G65" s="225">
        <v>52</v>
      </c>
      <c r="H65" s="227" t="s">
        <v>927</v>
      </c>
      <c r="I65" s="226">
        <v>43071.446006944447</v>
      </c>
      <c r="J65" s="225">
        <v>0</v>
      </c>
      <c r="K65" s="237" t="str">
        <f>IF(ISEVEN(B65),(B65-1)&amp;"/"&amp;B65,B65&amp;"/"&amp;(B65+1))</f>
        <v>4031/4032</v>
      </c>
      <c r="L65" s="245" t="str">
        <f>VLOOKUP(A65,'Trips&amp;Operators'!$C$1:$G$99911,5,FALSE)</f>
        <v>NEWELL JAMES</v>
      </c>
      <c r="M65" s="224">
        <f>I65-F65</f>
        <v>2.9189814820711035E-2</v>
      </c>
      <c r="N65" s="225">
        <f>24*60*SUM($M65:$M65)</f>
        <v>42.033333341823891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5.57E-2</v>
      </c>
      <c r="Z65" s="247">
        <f>RIGHT(H65,LEN(H65)-4)/10000</f>
        <v>23.328499999999998</v>
      </c>
      <c r="AA65" s="247">
        <f>ABS(Z65-Y65)</f>
        <v>23.272799999999997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151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/stypes="app*4032*20171202*"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151-02 --locoid 4032 --swversion DE.1.0.9.0 --startMP 204:557 --initTime 2017-12-02T09:55:34 --startdatetime 2017-12-02T10:00:13 --delay 52 --endMP 204:233285 --enddatetime 2017-12-02T10:42:15 --enforcementcount 0 &gt;&gt;%USERPROFILE%\Documents\GitHub\eaglep3-reporting\EC\2017-12-02-refined-times.txt</v>
      </c>
      <c r="AI65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{"issue":{"subject":"","project_id":79,"tracker_id":40,"status_id":1,"priority_id":2,"assigned_to_id":338,"start_date":"2017-12-02","description":"","custom_fields":[{"id":1,"name":"Subdivision","value":"EC"},{"id":4,"name":"Milepost","value":"23.3285"},{"id":17,"name":"Train ID","value":"151-02"},{"id":16,"name":"Locomotive ID","value":"4032"},{"id":130,"name":"Impact","value":""},{"id":150,"name":"Time of Event (Mountain Time)","value":"10:42:15"},{"id":151,"name":"Denver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4032 --day 2017-12-02</v>
      </c>
      <c r="AN65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Message%20ID',Summary),filters:!(),index:'emp_*',interval:auto,query:(query_string:(analyze_wildcard:!t,query:'%22rtdc.l.rtdc.4032%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758</v>
      </c>
      <c r="B66" s="225">
        <v>4031</v>
      </c>
      <c r="C66" s="227" t="s">
        <v>192</v>
      </c>
      <c r="D66" s="227" t="s">
        <v>574</v>
      </c>
      <c r="E66" s="226">
        <v>43071.454247685186</v>
      </c>
      <c r="F66" s="226">
        <v>43071.456400462965</v>
      </c>
      <c r="G66" s="225">
        <v>58</v>
      </c>
      <c r="H66" s="227" t="s">
        <v>479</v>
      </c>
      <c r="I66" s="226">
        <v>43071.482199074075</v>
      </c>
      <c r="J66" s="225">
        <v>0</v>
      </c>
      <c r="K66" s="237" t="str">
        <f>IF(ISEVEN(B66),(B66-1)&amp;"/"&amp;B66,B66&amp;"/"&amp;(B66+1))</f>
        <v>4031/4032</v>
      </c>
      <c r="L66" s="245" t="str">
        <f>VLOOKUP(A66,'Trips&amp;Operators'!$C$1:$G$99911,5,FALSE)</f>
        <v>NEWELL JAMES</v>
      </c>
      <c r="M66" s="224">
        <f>I66-F66</f>
        <v>2.5798611110076308E-2</v>
      </c>
      <c r="N66" s="225">
        <f>24*60*SUM($M66:$M66)</f>
        <v>37.149999998509884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-02T09:54:07-0700',mode:absolute,to:'2017-12-02T12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23.2974</v>
      </c>
      <c r="Z66" s="247">
        <f>RIGHT(H66,LEN(H66)-4)/10000</f>
        <v>2.1100000000000001E-2</v>
      </c>
      <c r="AA66" s="247">
        <f>ABS(Z66-Y66)</f>
        <v>23.276299999999999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152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/stypes="app*4031*20171202*"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152-02 --locoid 4031 --swversion DE.1.0.9.0 --startMP 204:232974 --initTime 2017-12-02T10:54:07 --startdatetime 2017-12-02T10:57:13 --delay 58 --endMP 204:211 --enddatetime 2017-12-02T11:34:22 --enforcementcount 0 &gt;&gt;%USERPROFILE%\Documents\GitHub\eaglep3-reporting\EC\2017-12-02-refined-times.txt</v>
      </c>
      <c r="AI6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ID","value":"152-02"},{"id":16,"name":"Locomotive ID","value":"4031"},{"id":130,"name":"Impact","value":""},{"id":150,"name":"Time of Event (Mountain Time)","value":"11:34:22"},{"id":151,"name":"Denver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4031 --day 2017-12-02</v>
      </c>
      <c r="AN6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-02T09:54:07-0700',mode:absolute,to:'2017-12-02T12:34:22-0700'))&amp;_a=(columns:!('Message%20ID',Summary),filters:!(),index:'emp_*',interval:auto,query:(query_string:(analyze_wildcard:!t,query:'%22rtdc.l.rtdc.4031%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750</v>
      </c>
      <c r="B67" s="225">
        <v>4010</v>
      </c>
      <c r="C67" s="227" t="s">
        <v>192</v>
      </c>
      <c r="D67" s="227" t="s">
        <v>474</v>
      </c>
      <c r="E67" s="226">
        <v>43071.423807870371</v>
      </c>
      <c r="F67" s="226">
        <v>43071.42728009259</v>
      </c>
      <c r="G67" s="225">
        <v>104</v>
      </c>
      <c r="H67" s="227" t="s">
        <v>550</v>
      </c>
      <c r="I67" s="226">
        <v>43071.453298611108</v>
      </c>
      <c r="J67" s="225">
        <v>0</v>
      </c>
      <c r="K67" s="237" t="str">
        <f>IF(ISEVEN(B67),(B67-1)&amp;"/"&amp;B67,B67&amp;"/"&amp;(B67+1))</f>
        <v>4009/4010</v>
      </c>
      <c r="L67" s="245" t="str">
        <f>VLOOKUP(A67,'Trips&amp;Operators'!$C$1:$G$99911,5,FALSE)</f>
        <v>BADERTSCHER DIANE</v>
      </c>
      <c r="M67" s="224">
        <f>I67-F67</f>
        <v>2.6018518517958E-2</v>
      </c>
      <c r="N67" s="225">
        <f>24*60*SUM($M67:$M67)</f>
        <v>37.46666666585952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-02T09:10:17-0700',mode:absolute,to:'2017-12-02T11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5.0200000000000002E-2</v>
      </c>
      <c r="Z67" s="247">
        <f>RIGHT(H67,LEN(H67)-4)/10000</f>
        <v>23.326799999999999</v>
      </c>
      <c r="AA67" s="247">
        <f>ABS(Z67-Y67)</f>
        <v>23.276599999999998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/stypes="app*4010*20171202*" /stext=" 17:.+((SYSTEM_STATE.+slice.+state.+changed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153-02 --locoid 4010 --swversion DE.1.0.9.0 --startMP 204:502 --initTime 2017-12-02T10:10:17 --startdatetime 2017-12-02T10:15:17 --delay 104 --endMP 204:233268 --enddatetime 2017-12-02T10:52:45 --enforcementcount 0 &gt;&gt;%USERPROFILE%\Documents\GitHub\eaglep3-reporting\EC\2017-12-02-refined-times.txt</v>
      </c>
      <c r="AI6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{"issue":{"subject":"","project_id":79,"tracker_id":40,"status_id":1,"priority_id":2,"assigned_to_id":338,"start_date":"2017-12-02","description":"","custom_fields":[{"id":1,"name":"Subdivision","value":"EC"},{"id":4,"name":"Milepost","value":"23.3268"},{"id":17,"name":"Train ID","value":"153-02"},{"id":16,"name":"Locomotive ID","value":"4010"},{"id":130,"name":"Impact","value":""},{"id":150,"name":"Time of Event (Mountain Time)","value":"10:52:45"},{"id":151,"name":"Denver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4010 --day 2017-12-02</v>
      </c>
      <c r="AN6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-02T09:10:17-0700',mode:absolute,to:'2017-12-02T11:52:45-0700'))&amp;_a=(columns:!('Message%20ID',Summary),filters:!(),index:'emp_*',interval:auto,query:(query_string:(analyze_wildcard:!t,query:'%22rtdc.l.rtdc.4010%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761</v>
      </c>
      <c r="B68" s="225">
        <v>4009</v>
      </c>
      <c r="C68" s="227" t="s">
        <v>192</v>
      </c>
      <c r="D68" s="227" t="s">
        <v>888</v>
      </c>
      <c r="E68" s="226">
        <v>43071.463564814818</v>
      </c>
      <c r="F68" s="226">
        <v>43071.466817129629</v>
      </c>
      <c r="G68" s="225">
        <v>89</v>
      </c>
      <c r="H68" s="227" t="s">
        <v>928</v>
      </c>
      <c r="I68" s="226">
        <v>43071.494050925925</v>
      </c>
      <c r="J68" s="225">
        <v>0</v>
      </c>
      <c r="K68" s="237" t="str">
        <f>IF(ISEVEN(B68),(B68-1)&amp;"/"&amp;B68,B68&amp;"/"&amp;(B68+1))</f>
        <v>4009/4010</v>
      </c>
      <c r="L68" s="245" t="str">
        <f>VLOOKUP(A68,'Trips&amp;Operators'!$C$1:$G$99911,5,FALSE)</f>
        <v>BADERTSCHER DIANE</v>
      </c>
      <c r="M68" s="224">
        <f>I68-F68</f>
        <v>2.7233796296059154E-2</v>
      </c>
      <c r="N68" s="225">
        <f>24*60*SUM($M68:$M68)</f>
        <v>39.216666666325182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-02T10:07:32-0700',mode:absolute,to:'2017-12-02T12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23.294</v>
      </c>
      <c r="Z68" s="247">
        <f>RIGHT(H68,LEN(H68)-4)/10000</f>
        <v>2.3800000000000002E-2</v>
      </c>
      <c r="AA68" s="247">
        <f>ABS(Z68-Y68)</f>
        <v>23.270199999999999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/stypes="app*4009*20171202*"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154-02 --locoid 4009 --swversion DE.1.0.9.0 --startMP 204:232940 --initTime 2017-12-02T11:07:32 --startdatetime 2017-12-02T11:12:13 --delay 89 --endMP 204:238 --enddatetime 2017-12-02T11:51:26 --enforcementcount 0 &gt;&gt;%USERPROFILE%\Documents\GitHub\eaglep3-reporting\EC\2017-12-02-refined-times.txt</v>
      </c>
      <c r="AI68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{"issue":{"subject":"","project_id":79,"tracker_id":40,"status_id":1,"priority_id":2,"assigned_to_id":338,"start_date":"2017-12-02","description":"","custom_fields":[{"id":1,"name":"Subdivision","value":"EC"},{"id":4,"name":"Milepost","value":"0.0238"},{"id":17,"name":"Train ID","value":"154-02"},{"id":16,"name":"Locomotive ID","value":"4009"},{"id":130,"name":"Impact","value":""},{"id":150,"name":"Time of Event (Mountain Time)","value":"11:51:26"},{"id":151,"name":"Denver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4009 --day 2017-12-02</v>
      </c>
      <c r="AN68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-02T10:07:32-0700',mode:absolute,to:'2017-12-02T12:51:26-0700'))&amp;_a=(columns:!('Message%20ID',Summary),filters:!(),index:'emp_*',interval:auto,query:(query_string:(analyze_wildcard:!t,query:'%22rtdc.l.rtdc.4009%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755</v>
      </c>
      <c r="B69" s="225">
        <v>4056</v>
      </c>
      <c r="C69" s="227" t="s">
        <v>192</v>
      </c>
      <c r="D69" s="227" t="s">
        <v>583</v>
      </c>
      <c r="E69" s="226">
        <v>43071.43891203704</v>
      </c>
      <c r="F69" s="226">
        <v>43071.440266203703</v>
      </c>
      <c r="G69" s="225">
        <v>73</v>
      </c>
      <c r="H69" s="227" t="s">
        <v>929</v>
      </c>
      <c r="I69" s="226">
        <v>43071.464131944442</v>
      </c>
      <c r="J69" s="225">
        <v>0</v>
      </c>
      <c r="K69" s="237" t="str">
        <f>IF(ISEVEN(B69),(B69-1)&amp;"/"&amp;B69,B69&amp;"/"&amp;(B69+1))</f>
        <v>4055/4056</v>
      </c>
      <c r="L69" s="245" t="str">
        <f>VLOOKUP(A69,'Trips&amp;Operators'!$C$1:$G$99911,5,FALSE)</f>
        <v>MACDONALD THOMAS</v>
      </c>
      <c r="M69" s="224">
        <f>I69-F69</f>
        <v>2.3865740738983732E-2</v>
      </c>
      <c r="N69" s="225">
        <f>24*60*SUM($M69:$M69)</f>
        <v>34.366666664136574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-02T09:32:02-0700',mode:absolute,to:'2017-12-02T12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5.57E-2</v>
      </c>
      <c r="Z69" s="247">
        <f>RIGHT(H69,LEN(H69)-4)/10000</f>
        <v>23.321200000000001</v>
      </c>
      <c r="AA69" s="247">
        <f>ABS(Z69-Y69)</f>
        <v>23.265499999999999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/stypes="app*4056*20171202*"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155-02 --locoid 4056 --swversion DE.1.0.9.0 --startMP 204:557 --initTime 2017-12-02T10:32:02 --startdatetime 2017-12-02T10:33:59 --delay 73 --endMP 204:233212 --enddatetime 2017-12-02T11:08:21 --enforcementcount 0 &gt;&gt;%USERPROFILE%\Documents\GitHub\eaglep3-reporting\EC\2017-12-02-refined-times.txt</v>
      </c>
      <c r="AI69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{"issue":{"subject":"","project_id":79,"tracker_id":40,"status_id":1,"priority_id":2,"assigned_to_id":338,"start_date":"2017-12-02","description":"","custom_fields":[{"id":1,"name":"Subdivision","value":"EC"},{"id":4,"name":"Milepost","value":"23.3212"},{"id":17,"name":"Train ID","value":"155-02"},{"id":16,"name":"Locomotive ID","value":"4056"},{"id":130,"name":"Impact","value":""},{"id":150,"name":"Time of Event (Mountain Time)","value":"11:08:21"},{"id":151,"name":"Denver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4056 --day 2017-12-02</v>
      </c>
      <c r="AN69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-02T09:32:02-0700',mode:absolute,to:'2017-12-02T12:08:21-0700'))&amp;_a=(columns:!('Message%20ID',Summary),filters:!(),index:'emp_*',interval:auto,query:(query_string:(analyze_wildcard:!t,query:'%22rtdc.l.rtdc.4056%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762</v>
      </c>
      <c r="B70" s="225">
        <v>4055</v>
      </c>
      <c r="C70" s="227" t="s">
        <v>192</v>
      </c>
      <c r="D70" s="227" t="s">
        <v>930</v>
      </c>
      <c r="E70" s="226">
        <v>43071.474641203706</v>
      </c>
      <c r="F70" s="226">
        <v>43071.477303240739</v>
      </c>
      <c r="G70" s="225">
        <v>47</v>
      </c>
      <c r="H70" s="227" t="s">
        <v>610</v>
      </c>
      <c r="I70" s="226">
        <v>43071.505069444444</v>
      </c>
      <c r="J70" s="225">
        <v>0</v>
      </c>
      <c r="K70" s="237" t="str">
        <f>IF(ISEVEN(B70),(B70-1)&amp;"/"&amp;B70,B70&amp;"/"&amp;(B70+1))</f>
        <v>4055/4056</v>
      </c>
      <c r="L70" s="245" t="str">
        <f>VLOOKUP(A70,'Trips&amp;Operators'!$C$1:$G$99911,5,FALSE)</f>
        <v>MACDONALD THOMAS</v>
      </c>
      <c r="M70" s="224">
        <f>I70-F70</f>
        <v>2.7766203704231884E-2</v>
      </c>
      <c r="N70" s="225">
        <f>24*60*SUM($M70:$M70)</f>
        <v>39.983333334093913</v>
      </c>
      <c r="O70" s="225"/>
      <c r="P70" s="225"/>
      <c r="Q70" s="228"/>
      <c r="R70" s="242" t="s">
        <v>1084</v>
      </c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-02T10:23:29-0700',mode:absolute,to:'2017-12-02T13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23.289100000000001</v>
      </c>
      <c r="Z70" s="247">
        <f>RIGHT(H70,LEN(H70)-4)/10000</f>
        <v>2.0899999999999998E-2</v>
      </c>
      <c r="AA70" s="247">
        <f>ABS(Z70-Y70)</f>
        <v>23.2682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/stypes="app*4055*20171202*"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156-02 --locoid 4055 --swversion DE.1.0.9.0 --startMP 204:232891 --initTime 2017-12-02T11:23:29 --startdatetime 2017-12-02T11:27:19 --delay 47 --endMP 204:209 --enddatetime 2017-12-02T12:07:18 --enforcementcount 0 &gt;&gt;%USERPROFILE%\Documents\GitHub\eaglep3-reporting\EC\2017-12-02-refined-times.txt</v>
      </c>
      <c r="AI70" s="238" t="str">
        <f t="shared" si="6"/>
        <v>echo {"issue":{"subject":"Observed Wi-MAX data drop","project_id":79,"tracker_id":40,"status_id":1,"priority_id":2,"assigned_to_id":338,"start_date":"2017-12-02","description":"","custom_fields":[{"id":1,"name":"Subdivision","value":"EC"},{"id":4,"name":"Milepost","value":"0.0209"},{"id":17,"name":"Train ID","value":"156-02"},{"id":16,"name":"Locomotive ID","value":"4055"},{"id":130,"name":"Impact","value":""},{"id":150,"name":"Time of Event (Mountain Time)","value":"12:07:18"},{"id":151,"name":"Denver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4055 --day 2017-12-02</v>
      </c>
      <c r="AN70" s="241" t="str">
        <f t="shared" si="8"/>
        <v>echo {"issue":{"subject":"Observed Wi-MAX data drop","project_id":30,"tracker_id":4,"status_id":1,"priority_id":1,"assigned_to_id":10,"start_date":"2017-12-02","description":"","custom_fields":[{"id":30,"name":"Category","value":"Issue"},{"id":3,"name":"Functional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-02T10:23:29-0700',mode:absolute,to:'2017-12-02T13:07:18-0700'))&amp;_a=(columns:!('Message%20ID',Summary),filters:!(),index:'emp_*',interval:auto,query:(query_string:(analyze_wildcard:!t,query:'%22rtdc.l.rtdc.4055%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756</v>
      </c>
      <c r="B71" s="225">
        <v>4058</v>
      </c>
      <c r="C71" s="227" t="s">
        <v>192</v>
      </c>
      <c r="D71" s="227" t="s">
        <v>931</v>
      </c>
      <c r="E71" s="226">
        <v>43071.443495370368</v>
      </c>
      <c r="F71" s="226">
        <v>43071.448101851849</v>
      </c>
      <c r="G71" s="225">
        <v>150</v>
      </c>
      <c r="H71" s="227" t="s">
        <v>932</v>
      </c>
      <c r="I71" s="226">
        <v>43071.471770833334</v>
      </c>
      <c r="J71" s="225">
        <v>0</v>
      </c>
      <c r="K71" s="237" t="str">
        <f>IF(ISEVEN(B71),(B71-1)&amp;"/"&amp;B71,B71&amp;"/"&amp;(B71+1))</f>
        <v>4057/4058</v>
      </c>
      <c r="L71" s="245" t="str">
        <f>VLOOKUP(A71,'Trips&amp;Operators'!$C$1:$G$99911,5,FALSE)</f>
        <v>BRUDER RICHARD</v>
      </c>
      <c r="M71" s="224">
        <f>I71-F71</f>
        <v>2.3668981484661344E-2</v>
      </c>
      <c r="N71" s="225">
        <f>24*60*SUM($M71:$M71)</f>
        <v>34.083333337912336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-02T09:38:38-0700',mode:absolute,to:'2017-12-02T12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3.2399999999999998E-2</v>
      </c>
      <c r="Z71" s="247">
        <f>RIGHT(H71,LEN(H71)-4)/10000</f>
        <v>23.321300000000001</v>
      </c>
      <c r="AA71" s="247">
        <f>ABS(Z71-Y71)</f>
        <v>23.288900000000002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/stypes="app*4058*20171202*"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157-02 --locoid 4058 --swversion DE.1.0.9.0 --startMP 204:324 --initTime 2017-12-02T10:38:38 --startdatetime 2017-12-02T10:45:16 --delay 150 --endMP 204:233213 --enddatetime 2017-12-02T11:19:21 --enforcementcount 0 &gt;&gt;%USERPROFILE%\Documents\GitHub\eaglep3-reporting\EC\2017-12-02-refined-times.txt</v>
      </c>
      <c r="AI71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{"issue":{"subject":"","project_id":79,"tracker_id":40,"status_id":1,"priority_id":2,"assigned_to_id":338,"start_date":"2017-12-02","description":"","custom_fields":[{"id":1,"name":"Subdivision","value":"EC"},{"id":4,"name":"Milepost","value":"23.3213"},{"id":17,"name":"Train ID","value":"157-02"},{"id":16,"name":"Locomotive ID","value":"4058"},{"id":130,"name":"Impact","value":""},{"id":150,"name":"Time of Event (Mountain Time)","value":"11:19:21"},{"id":151,"name":"Denver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4058 --day 2017-12-02</v>
      </c>
      <c r="AN71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-02T09:38:38-0700',mode:absolute,to:'2017-12-02T12:19:21-0700'))&amp;_a=(columns:!('Message%20ID',Summary),filters:!(),index:'emp_*',interval:auto,query:(query_string:(analyze_wildcard:!t,query:'%22rtdc.l.rtdc.4058%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764</v>
      </c>
      <c r="B72" s="225">
        <v>4057</v>
      </c>
      <c r="C72" s="227" t="s">
        <v>192</v>
      </c>
      <c r="D72" s="227" t="s">
        <v>933</v>
      </c>
      <c r="E72" s="226">
        <v>43071.484143518515</v>
      </c>
      <c r="F72" s="226">
        <v>43071.487685185188</v>
      </c>
      <c r="G72" s="225">
        <v>131</v>
      </c>
      <c r="H72" s="227" t="s">
        <v>934</v>
      </c>
      <c r="I72" s="226">
        <v>43071.51321759259</v>
      </c>
      <c r="J72" s="225">
        <v>0</v>
      </c>
      <c r="K72" s="237" t="str">
        <f>IF(ISEVEN(B72),(B72-1)&amp;"/"&amp;B72,B72&amp;"/"&amp;(B72+1))</f>
        <v>4057/4058</v>
      </c>
      <c r="L72" s="245" t="str">
        <f>VLOOKUP(A72,'Trips&amp;Operators'!$C$1:$G$99911,5,FALSE)</f>
        <v>BRUDER RICHARD</v>
      </c>
      <c r="M72" s="224">
        <f>I72-F72</f>
        <v>2.5532407402351964E-2</v>
      </c>
      <c r="N72" s="225">
        <f>24*60*SUM($M72:$M72)</f>
        <v>36.766666659386829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-02T10:37:10-0700',mode:absolute,to:'2017-12-02T13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23.2879</v>
      </c>
      <c r="Z72" s="247">
        <f>RIGHT(H72,LEN(H72)-4)/10000</f>
        <v>2.1999999999999999E-2</v>
      </c>
      <c r="AA72" s="247">
        <f>ABS(Z72-Y72)</f>
        <v>23.265900000000002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/stypes="app*4057*20171202*"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158-02 --locoid 4057 --swversion DE.1.0.9.0 --startMP 204:232879 --initTime 2017-12-02T11:37:10 --startdatetime 2017-12-02T11:42:16 --delay 131 --endMP 204:220 --enddatetime 2017-12-02T12:19:02 --enforcementcount 0 &gt;&gt;%USERPROFILE%\Documents\GitHub\eaglep3-reporting\EC\2017-12-02-refined-times.txt</v>
      </c>
      <c r="AI72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{"issue":{"subject":"","project_id":79,"tracker_id":40,"status_id":1,"priority_id":2,"assigned_to_id":338,"start_date":"2017-12-02","description":"","custom_fields":[{"id":1,"name":"Subdivision","value":"EC"},{"id":4,"name":"Milepost","value":"0.022"},{"id":17,"name":"Train ID","value":"158-02"},{"id":16,"name":"Locomotive ID","value":"4057"},{"id":130,"name":"Impact","value":""},{"id":150,"name":"Time of Event (Mountain Time)","value":"12:19:02"},{"id":151,"name":"Denver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4057 --day 2017-12-02</v>
      </c>
      <c r="AN72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-02T10:37:10-0700',mode:absolute,to:'2017-12-02T13:19:02-0700'))&amp;_a=(columns:!('Message%20ID',Summary),filters:!(),index:'emp_*',interval:auto,query:(query_string:(analyze_wildcard:!t,query:'%22rtdc.l.rtdc.4057%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757</v>
      </c>
      <c r="B73" s="225">
        <v>4034</v>
      </c>
      <c r="C73" s="227" t="s">
        <v>192</v>
      </c>
      <c r="D73" s="227" t="s">
        <v>470</v>
      </c>
      <c r="E73" s="226">
        <v>43071.45045138889</v>
      </c>
      <c r="F73" s="226">
        <v>43071.458483796298</v>
      </c>
      <c r="G73" s="225">
        <v>60</v>
      </c>
      <c r="H73" s="227" t="s">
        <v>608</v>
      </c>
      <c r="I73" s="226">
        <v>43071.483946759261</v>
      </c>
      <c r="J73" s="225">
        <v>0</v>
      </c>
      <c r="K73" s="237" t="str">
        <f>IF(ISEVEN(B73),(B73-1)&amp;"/"&amp;B73,B73&amp;"/"&amp;(B73+1))</f>
        <v>4033/4034</v>
      </c>
      <c r="L73" s="245" t="str">
        <f>VLOOKUP(A73,'Trips&amp;Operators'!$C$1:$G$99911,5,FALSE)</f>
        <v>BROWN JACOB</v>
      </c>
      <c r="M73" s="224">
        <f>I73-F73</f>
        <v>2.5462962963501923E-2</v>
      </c>
      <c r="N73" s="225">
        <f>24*60*SUM($M73:$M73)</f>
        <v>36.666666667442769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-02T09:48:39-0700',mode:absolute,to:'2017-12-02T12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5.2400000000000002E-2</v>
      </c>
      <c r="Z73" s="247">
        <f>RIGHT(H73,LEN(H73)-4)/10000</f>
        <v>23.3232</v>
      </c>
      <c r="AA73" s="247">
        <f>ABS(Z73-Y73)</f>
        <v>23.270800000000001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/stypes="app*4034*20171202*"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159-02 --locoid 4034 --swversion DE.1.0.9.0 --startMP 204:524 --initTime 2017-12-02T10:48:39 --startdatetime 2017-12-02T11:00:13 --delay 60 --endMP 204:233232 --enddatetime 2017-12-02T11:36:53 --enforcementcount 0 &gt;&gt;%USERPROFILE%\Documents\GitHub\eaglep3-reporting\EC\2017-12-02-refined-times.txt</v>
      </c>
      <c r="AI73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{"issue":{"subject":"","project_id":79,"tracker_id":40,"status_id":1,"priority_id":2,"assigned_to_id":338,"start_date":"2017-12-02","description":"","custom_fields":[{"id":1,"name":"Subdivision","value":"EC"},{"id":4,"name":"Milepost","value":"23.3232"},{"id":17,"name":"Train ID","value":"159-02"},{"id":16,"name":"Locomotive ID","value":"4034"},{"id":130,"name":"Impact","value":""},{"id":150,"name":"Time of Event (Mountain Time)","value":"11:36:53"},{"id":151,"name":"Denver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4034 --day 2017-12-02</v>
      </c>
      <c r="AN73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-02T09:48:39-0700',mode:absolute,to:'2017-12-02T12:36:53-0700'))&amp;_a=(columns:!('Message%20ID',Summary),filters:!(),index:'emp_*',interval:auto,query:(query_string:(analyze_wildcard:!t,query:'%22rtdc.l.rtdc.4034%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659</v>
      </c>
      <c r="B74" s="225">
        <v>4033</v>
      </c>
      <c r="C74" s="227" t="s">
        <v>192</v>
      </c>
      <c r="D74" s="227" t="s">
        <v>935</v>
      </c>
      <c r="E74" s="226">
        <v>43071.494976851849</v>
      </c>
      <c r="F74" s="226">
        <v>43071.498159722221</v>
      </c>
      <c r="G74" s="225">
        <v>58</v>
      </c>
      <c r="H74" s="227" t="s">
        <v>481</v>
      </c>
      <c r="I74" s="226">
        <v>43071.525381944448</v>
      </c>
      <c r="J74" s="225">
        <v>0</v>
      </c>
      <c r="K74" s="237" t="str">
        <f>IF(ISEVEN(B74),(B74-1)&amp;"/"&amp;B74,B74&amp;"/"&amp;(B74+1))</f>
        <v>4033/4034</v>
      </c>
      <c r="L74" s="245" t="str">
        <f>VLOOKUP(A74,'Trips&amp;Operators'!$C$1:$G$99911,5,FALSE)</f>
        <v>BROWN JACOB</v>
      </c>
      <c r="M74" s="224">
        <f>I74-F74</f>
        <v>2.7222222226555459E-2</v>
      </c>
      <c r="N74" s="225">
        <f>24*60*SUM($M74:$M74)</f>
        <v>39.200000006239861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23.290600000000001</v>
      </c>
      <c r="Z74" s="247">
        <f>RIGHT(H74,LEN(H74)-4)/10000</f>
        <v>2.12E-2</v>
      </c>
      <c r="AA74" s="247">
        <f>ABS(Z74-Y74)</f>
        <v>23.269400000000001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/stypes="app*4033*20171202*"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160-02 --locoid 4033 --swversion DE.1.0.9.0 --startMP 204:232906 --initTime 2017-12-02T11:52:46 --startdatetime 2017-12-02T11:57:21 --delay 58 --endMP 204:212 --enddatetime 2017-12-02T12:36:33 --enforcementcount 0 &gt;&gt;%USERPROFILE%\Documents\GitHub\eaglep3-reporting\EC\2017-12-02-refined-times.txt</v>
      </c>
      <c r="AI74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{"issue":{"subject":"","project_id":79,"tracker_id":40,"status_id":1,"priority_id":2,"assigned_to_id":338,"start_date":"2017-12-02","description":"","custom_fields":[{"id":1,"name":"Subdivision","value":"EC"},{"id":4,"name":"Milepost","value":"0.0212"},{"id":17,"name":"Train ID","value":"160-02"},{"id":16,"name":"Locomotive ID","value":"4033"},{"id":130,"name":"Impact","value":""},{"id":150,"name":"Time of Event (Mountain Time)","value":"12:36:33"},{"id":151,"name":"Denver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4033 --day 2017-12-02</v>
      </c>
      <c r="AN74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Message%20ID',Summary),filters:!(),index:'emp_*',interval:auto,query:(query_string:(analyze_wildcard:!t,query:'%22rtdc.l.rtdc.4033%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759</v>
      </c>
      <c r="B75" s="225">
        <v>4030</v>
      </c>
      <c r="C75" s="227" t="s">
        <v>192</v>
      </c>
      <c r="D75" s="227" t="s">
        <v>547</v>
      </c>
      <c r="E75" s="226">
        <v>43071.461504629631</v>
      </c>
      <c r="F75" s="226">
        <v>43071.468912037039</v>
      </c>
      <c r="G75" s="225">
        <v>115</v>
      </c>
      <c r="H75" s="227" t="s">
        <v>936</v>
      </c>
      <c r="I75" s="226">
        <v>43071.492719907408</v>
      </c>
      <c r="J75" s="225">
        <v>0</v>
      </c>
      <c r="K75" s="237" t="str">
        <f>IF(ISEVEN(B75),(B75-1)&amp;"/"&amp;B75,B75&amp;"/"&amp;(B75+1))</f>
        <v>4029/4030</v>
      </c>
      <c r="L75" s="245" t="str">
        <f>VLOOKUP(A75,'Trips&amp;Operators'!$C$1:$G$99911,5,FALSE)</f>
        <v>DELGADO DIANAH</v>
      </c>
      <c r="M75" s="224">
        <f>I75-F75</f>
        <v>2.3807870369637385E-2</v>
      </c>
      <c r="N75" s="225">
        <f>24*60*SUM($M75:$M75)</f>
        <v>34.283333332277834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-02T10:04:34-0700',mode:absolute,to:'2017-12-02T12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5.1299999999999998E-2</v>
      </c>
      <c r="Z75" s="247">
        <f>RIGHT(H75,LEN(H75)-4)/10000</f>
        <v>23.3322</v>
      </c>
      <c r="AA75" s="247">
        <f>ABS(Z75-Y75)</f>
        <v>23.280899999999999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/stypes="app*4030*20171202*"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161-02 --locoid 4030 --swversion DE.1.0.9.0 --startMP 204:513 --initTime 2017-12-02T11:04:34 --startdatetime 2017-12-02T11:15:14 --delay 115 --endMP 204:233322 --enddatetime 2017-12-02T11:49:31 --enforcementcount 0 &gt;&gt;%USERPROFILE%\Documents\GitHub\eaglep3-reporting\EC\2017-12-02-refined-times.txt</v>
      </c>
      <c r="AI75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{"issue":{"subject":"","project_id":79,"tracker_id":40,"status_id":1,"priority_id":2,"assigned_to_id":338,"start_date":"2017-12-02","description":"","custom_fields":[{"id":1,"name":"Subdivision","value":"EC"},{"id":4,"name":"Milepost","value":"23.3322"},{"id":17,"name":"Train ID","value":"161-02"},{"id":16,"name":"Locomotive ID","value":"4030"},{"id":130,"name":"Impact","value":""},{"id":150,"name":"Time of Event (Mountain Time)","value":"11:49:31"},{"id":151,"name":"Denver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4030 --day 2017-12-02</v>
      </c>
      <c r="AN75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-02T10:04:34-0700',mode:absolute,to:'2017-12-02T12:49:31-0700'))&amp;_a=(columns:!('Message%20ID',Summary),filters:!(),index:'emp_*',interval:auto,query:(query_string:(analyze_wildcard:!t,query:'%22rtdc.l.rtdc.4030%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766</v>
      </c>
      <c r="B76" s="225">
        <v>4029</v>
      </c>
      <c r="C76" s="227" t="s">
        <v>192</v>
      </c>
      <c r="D76" s="227" t="s">
        <v>609</v>
      </c>
      <c r="E76" s="226">
        <v>43071.496076388888</v>
      </c>
      <c r="F76" s="226">
        <v>43071.508842592593</v>
      </c>
      <c r="G76" s="225">
        <v>744</v>
      </c>
      <c r="H76" s="227" t="s">
        <v>937</v>
      </c>
      <c r="I76" s="226">
        <v>43071.535439814812</v>
      </c>
      <c r="J76" s="225">
        <v>0</v>
      </c>
      <c r="K76" s="237" t="str">
        <f>IF(ISEVEN(B76),(B76-1)&amp;"/"&amp;B76,B76&amp;"/"&amp;(B76+1))</f>
        <v>4029/4030</v>
      </c>
      <c r="L76" s="245" t="str">
        <f>VLOOKUP(A76,'Trips&amp;Operators'!$C$1:$G$99911,5,FALSE)</f>
        <v>DELGADO DIANAH</v>
      </c>
      <c r="M76" s="224">
        <f>I76-F76</f>
        <v>2.6597222218697425E-2</v>
      </c>
      <c r="N76" s="225">
        <f>24*60*SUM($M76:$M76)</f>
        <v>38.299999994924292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-02T10:54:21-0700',mode:absolute,to:'2017-12-02T13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23.3</v>
      </c>
      <c r="Z76" s="247">
        <f>RIGHT(H76,LEN(H76)-4)/10000</f>
        <v>1.6E-2</v>
      </c>
      <c r="AA76" s="247">
        <f>ABS(Z76-Y76)</f>
        <v>23.284000000000002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/stypes="app*4029*20171202*"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162-02 --locoid 4029 --swversion DE.1.0.9.0 --startMP 204:233000 --initTime 2017-12-02T11:54:21 --startdatetime 2017-12-02T12:12:44 --delay 744 --endMP 204:160 --enddatetime 2017-12-02T12:51:02 --enforcementcount 0 &gt;&gt;%USERPROFILE%\Documents\GitHub\eaglep3-reporting\EC\2017-12-02-refined-times.txt</v>
      </c>
      <c r="AI76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{"issue":{"subject":"","project_id":79,"tracker_id":40,"status_id":1,"priority_id":2,"assigned_to_id":338,"start_date":"2017-12-02","description":"","custom_fields":[{"id":1,"name":"Subdivision","value":"EC"},{"id":4,"name":"Milepost","value":"0.016"},{"id":17,"name":"Train ID","value":"162-02"},{"id":16,"name":"Locomotive ID","value":"4029"},{"id":130,"name":"Impact","value":""},{"id":150,"name":"Time of Event (Mountain Time)","value":"12:51:02"},{"id":151,"name":"Denver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4029 --day 2017-12-02</v>
      </c>
      <c r="AN76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-02T10:54:21-0700',mode:absolute,to:'2017-12-02T13:51:02-0700'))&amp;_a=(columns:!('Message%20ID',Summary),filters:!(),index:'emp_*',interval:auto,query:(query_string:(analyze_wildcard:!t,query:'%22rtdc.l.rtdc.4029%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763</v>
      </c>
      <c r="B77" s="225">
        <v>4022</v>
      </c>
      <c r="C77" s="227" t="s">
        <v>192</v>
      </c>
      <c r="D77" s="227" t="s">
        <v>630</v>
      </c>
      <c r="E77" s="226">
        <v>43071.476458333331</v>
      </c>
      <c r="F77" s="226">
        <v>43071.479745370372</v>
      </c>
      <c r="G77" s="225">
        <v>92</v>
      </c>
      <c r="H77" s="227" t="s">
        <v>622</v>
      </c>
      <c r="I77" s="226">
        <v>43071.504027777781</v>
      </c>
      <c r="J77" s="225">
        <v>0</v>
      </c>
      <c r="K77" s="237" t="str">
        <f>IF(ISEVEN(B77),(B77-1)&amp;"/"&amp;B77,B77&amp;"/"&amp;(B77+1))</f>
        <v>4021/4022</v>
      </c>
      <c r="L77" s="245" t="str">
        <f>VLOOKUP(A77,'Trips&amp;Operators'!$C$1:$G$99911,5,FALSE)</f>
        <v>SAFIEF AEIMEN</v>
      </c>
      <c r="M77" s="224">
        <f>I77-F77</f>
        <v>2.4282407408463769E-2</v>
      </c>
      <c r="N77" s="225">
        <f>24*60*SUM($M77:$M77)</f>
        <v>34.966666668187827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-02T10:26:06-0700',mode:absolute,to:'2017-12-02T13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5.11E-2</v>
      </c>
      <c r="Z77" s="247">
        <f>RIGHT(H77,LEN(H77)-4)/10000</f>
        <v>23.323599999999999</v>
      </c>
      <c r="AA77" s="247">
        <f>ABS(Z77-Y77)</f>
        <v>23.272499999999997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/stypes="app*4022*20171202*"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163-02 --locoid 4022 --swversion DE.1.0.9.0 --startMP 204:511 --initTime 2017-12-02T11:26:06 --startdatetime 2017-12-02T11:30:50 --delay 92 --endMP 204:233236 --enddatetime 2017-12-02T12:05:48 --enforcementcount 0 &gt;&gt;%USERPROFILE%\Documents\GitHub\eaglep3-reporting\EC\2017-12-02-refined-times.txt</v>
      </c>
      <c r="AI77" s="238" t="str">
        <f t="shared" si="6"/>
        <v>echo {"issue":{"subject":"","project_id":79,"tracker_id":40,"status_id":1,"priority_id":2,"assigned_to_id":338,"start_date":"2017-12-02","description":"","custom_fields":[{"id":1,"name":"Subdivision","value":"EC"},{"id":4,"name":"Milepost","value":"23.3236"},{"id":17,"name":"Train ID","value":"163-02"},{"id":16,"name":"Locomotive ID","value":"4022"},{"id":130,"name":"Impact","value":""},{"id":150,"name":"Time of Event (Mountain Time)","value":"12:05:48"},{"id":151,"name":"Denver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4022 --day 2017-12-02</v>
      </c>
      <c r="AN77" s="241" t="str">
        <f t="shared" si="8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-02T10:26:06-0700',mode:absolute,to:'2017-12-02T13:05:48-0700'))&amp;_a=(columns:!('Message%20ID',Summary),filters:!(),index:'emp_*',interval:auto,query:(query_string:(analyze_wildcard:!t,query:'%22rtdc.l.rtdc.4022%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660</v>
      </c>
      <c r="B78" s="225">
        <v>4021</v>
      </c>
      <c r="C78" s="227" t="s">
        <v>192</v>
      </c>
      <c r="D78" s="227" t="s">
        <v>938</v>
      </c>
      <c r="E78" s="226">
        <v>43071.507534722223</v>
      </c>
      <c r="F78" s="226">
        <v>43071.519212962965</v>
      </c>
      <c r="G78" s="225">
        <v>84</v>
      </c>
      <c r="H78" s="227" t="s">
        <v>939</v>
      </c>
      <c r="I78" s="226">
        <v>43071.545590277776</v>
      </c>
      <c r="J78" s="225">
        <v>0</v>
      </c>
      <c r="K78" s="237" t="str">
        <f>IF(ISEVEN(B78),(B78-1)&amp;"/"&amp;B78,B78&amp;"/"&amp;(B78+1))</f>
        <v>4021/4022</v>
      </c>
      <c r="L78" s="245" t="str">
        <f>VLOOKUP(A78,'Trips&amp;Operators'!$C$1:$G$99911,5,FALSE)</f>
        <v>SAFIEF AEIMEN</v>
      </c>
      <c r="M78" s="224">
        <f>I78-F78</f>
        <v>2.6377314810815733E-2</v>
      </c>
      <c r="N78" s="225">
        <f>24*60*SUM($M78:$M78)</f>
        <v>37.983333327574655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23.294499999999999</v>
      </c>
      <c r="Z78" s="247">
        <f>RIGHT(H78,LEN(H78)-4)/10000</f>
        <v>2.3199999999999998E-2</v>
      </c>
      <c r="AA78" s="247">
        <f>ABS(Z78-Y78)</f>
        <v>23.2713</v>
      </c>
      <c r="AB78" s="233" t="str">
        <f>VLOOKUP(A78,Enforcements!$C$7:$K$9,8,0)</f>
        <v>Speed (6)</v>
      </c>
      <c r="AC78" s="232" t="str">
        <f>VLOOKUP(A78,Enforcements!$C$7:$E$9,3,0)</f>
        <v>PERMANENT SPEED RESTRICTION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/stypes="app*4021*20171202*"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6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164-02 --locoid 4021 --swversion DE.1.0.9.0 --startMP 204:232945 --initTime 2017-12-02T12:10:51 --startdatetime 2017-12-02T12:27:40 --delay 84 --endMP 204:232 --enddatetime 2017-12-02T13:05:39 --enforcementcount 0 &gt;&gt;%USERPROFILE%\Documents\GitHub\eaglep3-reporting\EC\2017-12-02-refined-times.txt</v>
      </c>
      <c r="AI78" s="238" t="str">
        <f t="shared" ref="AI78:AI146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{"issue":{"subject":"","project_id":79,"tracker_id":40,"status_id":1,"priority_id":2,"assigned_to_id":338,"start_date":"2017-12-02","description":"","custom_fields":[{"id":1,"name":"Subdivision","value":"EC"},{"id":4,"name":"Milepost","value":"0.0232"},{"id":17,"name":"Train ID","value":"164-02"},{"id":16,"name":"Locomotive ID","value":"4021"},{"id":130,"name":"Impact","value":""},{"id":150,"name":"Time of Event (Mountain Time)","value":"13:05:39"},{"id":151,"name":"Denver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6" si="12">"start /low /b "&amp;dls3logs&amp;" --loco "&amp;B78&amp;" --day "&amp;TEXT(F78,"YYYY-MM-DD")</f>
        <v>start /low /b %USERPROFILE%\Documents\GitHub\eaglep3\Utilities\DownloadLogsFromS3.py --loco 4021 --day 2017-12-02</v>
      </c>
      <c r="AN78" s="241" t="str">
        <f t="shared" ref="AN78:AN146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6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Message%20ID',Summary),filters:!(),index:'emp_*',interval:auto,query:(query_string:(analyze_wildcard:!t,query:'%22rtdc.l.rtdc.4021%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765</v>
      </c>
      <c r="B79" s="225">
        <v>4032</v>
      </c>
      <c r="C79" s="227" t="s">
        <v>192</v>
      </c>
      <c r="D79" s="227" t="s">
        <v>470</v>
      </c>
      <c r="E79" s="226">
        <v>43071.4844212963</v>
      </c>
      <c r="F79" s="226">
        <v>43071.48982638889</v>
      </c>
      <c r="G79" s="225">
        <v>89</v>
      </c>
      <c r="H79" s="227" t="s">
        <v>940</v>
      </c>
      <c r="I79" s="226">
        <v>43071.514166666668</v>
      </c>
      <c r="J79" s="225">
        <v>0</v>
      </c>
      <c r="K79" s="237" t="str">
        <f>IF(ISEVEN(B79),(B79-1)&amp;"/"&amp;B79,B79&amp;"/"&amp;(B79+1))</f>
        <v>4031/4032</v>
      </c>
      <c r="L79" s="245" t="str">
        <f>VLOOKUP(A79,'Trips&amp;Operators'!$C$1:$G$99911,5,FALSE)</f>
        <v>GUZMAN DANNY</v>
      </c>
      <c r="M79" s="224">
        <f>I79-F79</f>
        <v>2.4340277777810115E-2</v>
      </c>
      <c r="N79" s="225">
        <f>24*60*SUM($M79:$M79)</f>
        <v>35.050000000046566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-02T10:37:34-0700',mode:absolute,to:'2017-12-02T13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5.2400000000000002E-2</v>
      </c>
      <c r="Z79" s="247">
        <f>RIGHT(H79,LEN(H79)-4)/10000</f>
        <v>23.320900000000002</v>
      </c>
      <c r="AA79" s="247">
        <f>ABS(Z79-Y79)</f>
        <v>23.268500000000003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/stypes="app*4032*20171202*"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165-02 --locoid 4032 --swversion DE.1.0.9.0 --startMP 204:524 --initTime 2017-12-02T11:37:34 --startdatetime 2017-12-02T11:45:21 --delay 89 --endMP 204:233209 --enddatetime 2017-12-02T12:20:24 --enforcementcount 0 &gt;&gt;%USERPROFILE%\Documents\GitHub\eaglep3-reporting\EC\2017-12-02-refined-times.txt</v>
      </c>
      <c r="AI7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{"issue":{"subject":"","project_id":79,"tracker_id":40,"status_id":1,"priority_id":2,"assigned_to_id":338,"start_date":"2017-12-02","description":"","custom_fields":[{"id":1,"name":"Subdivision","value":"EC"},{"id":4,"name":"Milepost","value":"23.3209"},{"id":17,"name":"Train ID","value":"165-02"},{"id":16,"name":"Locomotive ID","value":"4032"},{"id":130,"name":"Impact","value":""},{"id":150,"name":"Time of Event (Mountain Time)","value":"12:20:24"},{"id":151,"name":"Denver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4032 --day 2017-12-02</v>
      </c>
      <c r="AN79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2017-12-02T10:37:34-0700',mode:absolute,to:'2017-12-02T13:20:24-0700'))&amp;_a=(columns:!('Message%20ID',Summary),filters:!(),index:'emp_*',interval:auto,query:(query_string:(analyze_wildcard:!t,query:'%22rtdc.l.rtdc.4032%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771</v>
      </c>
      <c r="B80" s="225">
        <v>4031</v>
      </c>
      <c r="C80" s="227" t="s">
        <v>192</v>
      </c>
      <c r="D80" s="227" t="s">
        <v>606</v>
      </c>
      <c r="E80" s="226">
        <v>43071.516273148147</v>
      </c>
      <c r="F80" s="226">
        <v>43071.529340277775</v>
      </c>
      <c r="G80" s="225">
        <v>71</v>
      </c>
      <c r="H80" s="227" t="s">
        <v>941</v>
      </c>
      <c r="I80" s="226">
        <v>43071.555358796293</v>
      </c>
      <c r="J80" s="225">
        <v>0</v>
      </c>
      <c r="K80" s="237" t="str">
        <f>IF(ISEVEN(B80),(B80-1)&amp;"/"&amp;B80,B80&amp;"/"&amp;(B80+1))</f>
        <v>4031/4032</v>
      </c>
      <c r="L80" s="245" t="str">
        <f>VLOOKUP(A80,'Trips&amp;Operators'!$C$1:$G$99911,5,FALSE)</f>
        <v>GUZMAN DANNY</v>
      </c>
      <c r="M80" s="224">
        <f>I80-F80</f>
        <v>2.6018518517958E-2</v>
      </c>
      <c r="N80" s="225">
        <f>24*60*SUM($M80:$M80)</f>
        <v>37.46666666585952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-02T11:23:26-0700',mode:absolute,to:'2017-12-02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23.2911</v>
      </c>
      <c r="Z80" s="247">
        <f>RIGHT(H80,LEN(H80)-4)/10000</f>
        <v>2.58E-2</v>
      </c>
      <c r="AA80" s="247">
        <f>ABS(Z80-Y80)</f>
        <v>23.2653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/stypes="app*4031*20171202*"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166-02 --locoid 4031 --swversion DE.1.0.9.0 --startMP 204:232911 --initTime 2017-12-02T12:23:26 --startdatetime 2017-12-02T12:42:15 --delay 71 --endMP 204:258 --enddatetime 2017-12-02T13:19:43 --enforcementcount 0 &gt;&gt;%USERPROFILE%\Documents\GitHub\eaglep3-reporting\EC\2017-12-02-refined-times.txt</v>
      </c>
      <c r="AI80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{"issue":{"subject":"","project_id":79,"tracker_id":40,"status_id":1,"priority_id":2,"assigned_to_id":338,"start_date":"2017-12-02","description":"","custom_fields":[{"id":1,"name":"Subdivision","value":"EC"},{"id":4,"name":"Milepost","value":"0.0258"},{"id":17,"name":"Train ID","value":"166-02"},{"id":16,"name":"Locomotive ID","value":"4031"},{"id":130,"name":"Impact","value":""},{"id":150,"name":"Time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4031 --day 2017-12-02</v>
      </c>
      <c r="AN80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2017-12-02T11:23:26-0700',mode:absolute,to:'2017-12-02T14:19:43-0700'))&amp;_a=(columns:!('Message%20ID',Summary),filters:!(),index:'emp_*',interval:auto,query:(query_string:(analyze_wildcard:!t,query:'%22rtdc.l.rtdc.4031%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767</v>
      </c>
      <c r="B81" s="225">
        <v>4010</v>
      </c>
      <c r="C81" s="227" t="s">
        <v>192</v>
      </c>
      <c r="D81" s="227" t="s">
        <v>451</v>
      </c>
      <c r="E81" s="226">
        <v>43071.497650462959</v>
      </c>
      <c r="F81" s="226">
        <v>43071.500289351854</v>
      </c>
      <c r="G81" s="225">
        <v>60</v>
      </c>
      <c r="H81" s="227" t="s">
        <v>900</v>
      </c>
      <c r="I81" s="226">
        <v>43071.525497685187</v>
      </c>
      <c r="J81" s="225">
        <v>0</v>
      </c>
      <c r="K81" s="237" t="str">
        <f>IF(ISEVEN(B81),(B81-1)&amp;"/"&amp;B81,B81&amp;"/"&amp;(B81+1))</f>
        <v>4009/4010</v>
      </c>
      <c r="L81" s="245" t="str">
        <f>VLOOKUP(A81,'Trips&amp;Operators'!$C$1:$G$99911,5,FALSE)</f>
        <v>BADERTSCHER DIANE</v>
      </c>
      <c r="M81" s="224">
        <f>I81-F81</f>
        <v>2.5208333332557231E-2</v>
      </c>
      <c r="N81" s="225">
        <f>24*60*SUM($M81:$M81)</f>
        <v>36.299999998882413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-02T10:56:37-0700',mode:absolute,to:'2017-12-02T13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5.33E-2</v>
      </c>
      <c r="Z81" s="247">
        <f>RIGHT(H81,LEN(H81)-4)/10000</f>
        <v>23.320599999999999</v>
      </c>
      <c r="AA81" s="247">
        <f>ABS(Z81-Y81)</f>
        <v>23.267299999999999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/stypes="app*4010*20171202*"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167-02 --locoid 4010 --swversion DE.1.0.9.0 --startMP 204:533 --initTime 2017-12-02T11:56:37 --startdatetime 2017-12-02T12:00:25 --delay 60 --endMP 204:233206 --enddatetime 2017-12-02T12:36:43 --enforcementcount 0 &gt;&gt;%USERPROFILE%\Documents\GitHub\eaglep3-reporting\EC\2017-12-02-refined-times.txt</v>
      </c>
      <c r="AI8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{"issue":{"subject":"","project_id":79,"tracker_id":40,"status_id":1,"priority_id":2,"assigned_to_id":338,"start_date":"2017-12-02","description":"","custom_fields":[{"id":1,"name":"Subdivision","value":"EC"},{"id":4,"name":"Milepost","value":"23.3206"},{"id":17,"name":"Train ID","value":"167-02"},{"id":16,"name":"Locomotive ID","value":"4010"},{"id":130,"name":"Impact","value":""},{"id":150,"name":"Time of Event (Mountain Time)","value":"12:36:43"},{"id":151,"name":"Denver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4010 --day 2017-12-02</v>
      </c>
      <c r="AN81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2017-12-02T10:56:37-0700',mode:absolute,to:'2017-12-02T13:36:43-0700'))&amp;_a=(columns:!('Message%20ID',Summary),filters:!(),index:'emp_*',interval:auto,query:(query_string:(analyze_wildcard:!t,query:'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661</v>
      </c>
      <c r="B82" s="225">
        <v>4009</v>
      </c>
      <c r="C82" s="227" t="s">
        <v>192</v>
      </c>
      <c r="D82" s="227" t="s">
        <v>942</v>
      </c>
      <c r="E82" s="226">
        <v>43071.533136574071</v>
      </c>
      <c r="F82" s="226">
        <v>43071.539756944447</v>
      </c>
      <c r="G82" s="225">
        <v>96</v>
      </c>
      <c r="H82" s="227" t="s">
        <v>910</v>
      </c>
      <c r="I82" s="226">
        <v>43071.567326388889</v>
      </c>
      <c r="J82" s="225">
        <v>0</v>
      </c>
      <c r="K82" s="237" t="str">
        <f>IF(ISEVEN(B82),(B82-1)&amp;"/"&amp;B82,B82&amp;"/"&amp;(B82+1))</f>
        <v>4009/4010</v>
      </c>
      <c r="L82" s="245" t="str">
        <f>VLOOKUP(A82,'Trips&amp;Operators'!$C$1:$G$99911,5,FALSE)</f>
        <v>BADERTSCHER DIANE</v>
      </c>
      <c r="M82" s="224">
        <f>I82-F82</f>
        <v>2.7569444442633539E-2</v>
      </c>
      <c r="N82" s="225">
        <f>24*60*SUM($M82:$M82)</f>
        <v>39.699999997392297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47" t="str">
        <f>IF(AA82&lt;VLOOKUP(AG82,Variables!$AC$3:$AD$8,2,FALSE),"Y","N")</f>
        <v>N</v>
      </c>
      <c r="X82" s="247">
        <f t="shared" ref="X82:X83" si="15">VALUE(LEFT(AD82,4))-VALUE(LEFT(AD81,4))</f>
        <v>1</v>
      </c>
      <c r="Y82" s="247">
        <f>RIGHT(D82,LEN(D82)-4)/10000</f>
        <v>23.288699999999999</v>
      </c>
      <c r="Z82" s="247">
        <f>RIGHT(H82,LEN(H82)-4)/10000</f>
        <v>2.0500000000000001E-2</v>
      </c>
      <c r="AA82" s="247">
        <f>ABS(Z82-Y82)</f>
        <v>23.2682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/stypes="app*4009*20171202*"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168-02 --locoid 4009 --swversion DE.1.0.9.0 --startMP 204:232887 --initTime 2017-12-02T12:47:43 --startdatetime 2017-12-02T12:57:15 --delay 96 --endMP 204:205 --enddatetime 2017-12-02T13:36:57 --enforcementcount 0 &gt;&gt;%USERPROFILE%\Documents\GitHub\eaglep3-reporting\EC\2017-12-02-refined-times.txt</v>
      </c>
      <c r="AI8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ID","value":"168-02"},{"id":16,"name":"Locomotive ID","value":"4009"},{"id":130,"name":"Impact","value":""},{"id":150,"name":"Time of Event (Mountain Time)","value":"13:36:57"},{"id":151,"name":"Denver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4009 --day 2017-12-02</v>
      </c>
      <c r="AN82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Message%20ID',Summary),filters:!(),index:'emp_*',interval:auto,query:(query_string:(analyze_wildcard:!t,query:'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769</v>
      </c>
      <c r="B83" s="225">
        <v>4056</v>
      </c>
      <c r="C83" s="227" t="s">
        <v>192</v>
      </c>
      <c r="D83" s="227" t="s">
        <v>641</v>
      </c>
      <c r="E83" s="226">
        <v>43071.506724537037</v>
      </c>
      <c r="F83" s="226">
        <v>43071.51059027778</v>
      </c>
      <c r="G83" s="225">
        <v>108</v>
      </c>
      <c r="H83" s="227" t="s">
        <v>584</v>
      </c>
      <c r="I83" s="226">
        <v>43071.535115740742</v>
      </c>
      <c r="J83" s="225">
        <v>0</v>
      </c>
      <c r="K83" s="237" t="str">
        <f>IF(ISEVEN(B83),(B83-1)&amp;"/"&amp;B83,B83&amp;"/"&amp;(B83+1))</f>
        <v>4055/4056</v>
      </c>
      <c r="L83" s="245" t="str">
        <f>VLOOKUP(A83,'Trips&amp;Operators'!$C$1:$G$99911,5,FALSE)</f>
        <v>BERLING GARY</v>
      </c>
      <c r="M83" s="224">
        <f>I83-F83</f>
        <v>2.4525462962628808E-2</v>
      </c>
      <c r="N83" s="225">
        <f>24*60*SUM($M83:$M83)</f>
        <v>35.316666666185483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-02T11:09:41-0700',mode:absolute,to:'2017-12-02T13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247" t="str">
        <f>IF(AA83&lt;VLOOKUP(AG83,Variables!$AC$3:$AD$8,2,FALSE),"Y","N")</f>
        <v>N</v>
      </c>
      <c r="X83" s="247">
        <f t="shared" si="15"/>
        <v>1</v>
      </c>
      <c r="Y83" s="247">
        <f>RIGHT(D83,LEN(D83)-4)/10000</f>
        <v>5.0799999999999998E-2</v>
      </c>
      <c r="Z83" s="247">
        <f>RIGHT(H83,LEN(H83)-4)/10000</f>
        <v>23.319199999999999</v>
      </c>
      <c r="AA83" s="247">
        <f>ABS(Z83-Y83)</f>
        <v>23.2684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/stypes="app*4056*20171202*"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169-02 --locoid 4056 --swversion DE.1.0.9.0 --startMP 204:508 --initTime 2017-12-02T12:09:41 --startdatetime 2017-12-02T12:15:15 --delay 108 --endMP 204:233192 --enddatetime 2017-12-02T12:50:34 --enforcementcount 0 &gt;&gt;%USERPROFILE%\Documents\GitHub\eaglep3-reporting\EC\2017-12-02-refined-times.txt</v>
      </c>
      <c r="AI83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{"issue":{"subject":"","project_id":79,"tracker_id":40,"status_id":1,"priority_id":2,"assigned_to_id":338,"start_date":"2017-12-02","description":"","custom_fields":[{"id":1,"name":"Subdivision","value":"EC"},{"id":4,"name":"Milepost","value":"23.3192"},{"id":17,"name":"Train ID","value":"169-02"},{"id":16,"name":"Locomotive ID","value":"4056"},{"id":130,"name":"Impact","value":""},{"id":150,"name":"Time of Event (Mountain Time)","value":"12:50:34"},{"id":151,"name":"Denver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4056 --day 2017-12-02</v>
      </c>
      <c r="AN83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2017-12-02T11:09:41-0700',mode:absolute,to:'2017-12-02T13:50:34-0700'))&amp;_a=(columns:!('Message%20ID',Summary),filters:!(),index:'emp_*',interval:auto,query:(query_string:(analyze_wildcard:!t,query:'%22rtdc.l.rtdc.4056%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779</v>
      </c>
      <c r="B84" s="225">
        <v>4055</v>
      </c>
      <c r="C84" s="227" t="s">
        <v>192</v>
      </c>
      <c r="D84" s="227" t="s">
        <v>943</v>
      </c>
      <c r="E84" s="226">
        <v>43071.544259259259</v>
      </c>
      <c r="F84" s="226">
        <v>43071.550208333334</v>
      </c>
      <c r="G84" s="225">
        <v>75</v>
      </c>
      <c r="H84" s="227" t="s">
        <v>944</v>
      </c>
      <c r="I84" s="226">
        <v>43071.577719907407</v>
      </c>
      <c r="J84" s="225">
        <v>0</v>
      </c>
      <c r="K84" s="237" t="str">
        <f>IF(ISEVEN(B84),(B84-1)&amp;"/"&amp;B84,B84&amp;"/"&amp;(B84+1))</f>
        <v>4055/4056</v>
      </c>
      <c r="L84" s="245" t="str">
        <f>VLOOKUP(A84,'Trips&amp;Operators'!$C$1:$G$99911,5,FALSE)</f>
        <v>BERLING GARY</v>
      </c>
      <c r="M84" s="224">
        <f>I84-F84</f>
        <v>2.7511574073287193E-2</v>
      </c>
      <c r="N84" s="225">
        <f>24*60*SUM($M84:$M84)</f>
        <v>39.616666665533558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-02T12:03:44-0700',mode:absolute,to:'2017-12-02T14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23.289000000000001</v>
      </c>
      <c r="Z84" s="247">
        <f>RIGHT(H84,LEN(H84)-4)/10000</f>
        <v>2.2700000000000001E-2</v>
      </c>
      <c r="AA84" s="247">
        <f>ABS(Z84-Y84)</f>
        <v>23.266300000000001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/stypes="app*4055*20171202*"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170-02 --locoid 4055 --swversion DE.1.0.9.0 --startMP 204:232890 --initTime 2017-12-02T13:03:44 --startdatetime 2017-12-02T13:12:18 --delay 75 --endMP 204:227 --enddatetime 2017-12-02T13:51:55 --enforcementcount 0 &gt;&gt;%USERPROFILE%\Documents\GitHub\eaglep3-reporting\EC\2017-12-02-refined-times.txt</v>
      </c>
      <c r="AI8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ID","value":"170-02"},{"id":16,"name":"Locomotive ID","value":"4055"},{"id":130,"name":"Impact","value":""},{"id":150,"name":"Time of Event (Mountain Time)","value":"13:51:55"},{"id":151,"name":"Denver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4055 --day 2017-12-02</v>
      </c>
      <c r="AN84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2017-12-02T12:03:44-0700',mode:absolute,to:'2017-12-02T14:51:55-0700'))&amp;_a=(columns:!('Message%20ID',Summary),filters:!(),index:'emp_*',interval:auto,query:(query_string:(analyze_wildcard:!t,query:'%22rtdc.l.rtdc.4055%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772</v>
      </c>
      <c r="B85" s="225">
        <v>4058</v>
      </c>
      <c r="C85" s="227" t="s">
        <v>192</v>
      </c>
      <c r="D85" s="227" t="s">
        <v>945</v>
      </c>
      <c r="E85" s="226">
        <v>43071.517476851855</v>
      </c>
      <c r="F85" s="226">
        <v>43071.521006944444</v>
      </c>
      <c r="G85" s="225">
        <v>65</v>
      </c>
      <c r="H85" s="227" t="s">
        <v>929</v>
      </c>
      <c r="I85" s="226">
        <v>43071.545497685183</v>
      </c>
      <c r="J85" s="225">
        <v>0</v>
      </c>
      <c r="K85" s="237" t="str">
        <f>IF(ISEVEN(B85),(B85-1)&amp;"/"&amp;B85,B85&amp;"/"&amp;(B85+1))</f>
        <v>4057/4058</v>
      </c>
      <c r="L85" s="245" t="str">
        <f>VLOOKUP(A85,'Trips&amp;Operators'!$C$1:$G$99911,5,FALSE)</f>
        <v>BRUDER RICHARD</v>
      </c>
      <c r="M85" s="224">
        <f>I85-F85</f>
        <v>2.4490740739565808E-2</v>
      </c>
      <c r="N85" s="225">
        <f>24*60*SUM($M85:$M85)</f>
        <v>35.266666664974764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-02T11:25:10-0700',mode:absolute,to:'2017-12-02T14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5.3100000000000001E-2</v>
      </c>
      <c r="Z85" s="247">
        <f>RIGHT(H85,LEN(H85)-4)/10000</f>
        <v>23.321200000000001</v>
      </c>
      <c r="AA85" s="247">
        <f>ABS(Z85-Y85)</f>
        <v>23.2681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/stypes="app*4058*20171202*"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171-02 --locoid 4058 --swversion DE.1.0.9.0 --startMP 204:531 --initTime 2017-12-02T12:25:10 --startdatetime 2017-12-02T12:30:15 --delay 65 --endMP 204:233212 --enddatetime 2017-12-02T13:05:31 --enforcementcount 0 &gt;&gt;%USERPROFILE%\Documents\GitHub\eaglep3-reporting\EC\2017-12-02-refined-times.txt</v>
      </c>
      <c r="AI8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{"issue":{"subject":"","project_id":79,"tracker_id":40,"status_id":1,"priority_id":2,"assigned_to_id":338,"start_date":"2017-12-02","description":"","custom_fields":[{"id":1,"name":"Subdivision","value":"EC"},{"id":4,"name":"Milepost","value":"23.3212"},{"id":17,"name":"Train ID","value":"171-02"},{"id":16,"name":"Locomotive ID","value":"4058"},{"id":130,"name":"Impact","value":""},{"id":150,"name":"Time of Event (Mountain Time)","value":"13:05:31"},{"id":151,"name":"Denver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4058 --day 2017-12-02</v>
      </c>
      <c r="AN85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2017-12-02T11:25:10-0700',mode:absolute,to:'2017-12-02T14:05:31-0700'))&amp;_a=(columns:!('Message%20ID',Summary),filters:!(),index:'emp_*',interval:auto,query:(query_string:(analyze_wildcard:!t,query:'%22rtdc.l.rtdc.4058%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783</v>
      </c>
      <c r="B86" s="225">
        <v>4057</v>
      </c>
      <c r="C86" s="227" t="s">
        <v>192</v>
      </c>
      <c r="D86" s="227" t="s">
        <v>946</v>
      </c>
      <c r="E86" s="226">
        <v>43071.55740740741</v>
      </c>
      <c r="F86" s="226">
        <v>43071.560590277775</v>
      </c>
      <c r="G86" s="225">
        <v>83</v>
      </c>
      <c r="H86" s="227" t="s">
        <v>515</v>
      </c>
      <c r="I86" s="226">
        <v>43071.585844907408</v>
      </c>
      <c r="J86" s="225">
        <v>0</v>
      </c>
      <c r="K86" s="237" t="str">
        <f>IF(ISEVEN(B86),(B86-1)&amp;"/"&amp;B86,B86&amp;"/"&amp;(B86+1))</f>
        <v>4057/4058</v>
      </c>
      <c r="L86" s="245" t="str">
        <f>VLOOKUP(A86,'Trips&amp;Operators'!$C$1:$G$99911,5,FALSE)</f>
        <v>BRUDER RICHARD</v>
      </c>
      <c r="M86" s="224">
        <f>I86-F86</f>
        <v>2.5254629632399883E-2</v>
      </c>
      <c r="N86" s="225">
        <f>24*60*SUM($M86:$M86)</f>
        <v>36.366666670655832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-02T12:22:40-0700',mode:absolute,to:'2017-12-02T15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23.2898</v>
      </c>
      <c r="Z86" s="247">
        <f>RIGHT(H86,LEN(H86)-4)/10000</f>
        <v>2.2499999999999999E-2</v>
      </c>
      <c r="AA86" s="247">
        <f>ABS(Z86-Y86)</f>
        <v>23.267299999999999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/stypes="app*4057*20171202*"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172-02 --locoid 4057 --swversion DE.1.0.9.0 --startMP 204:232898 --initTime 2017-12-02T13:22:40 --startdatetime 2017-12-02T13:27:15 --delay 83 --endMP 204:225 --enddatetime 2017-12-02T14:03:37 --enforcementcount 0 &gt;&gt;%USERPROFILE%\Documents\GitHub\eaglep3-reporting\EC\2017-12-02-refined-times.txt</v>
      </c>
      <c r="AI8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ID","value":"172-02"},{"id":16,"name":"Locomotive ID","value":"4057"},{"id":130,"name":"Impact","value":""},{"id":150,"name":"Time of Event (Mountain Time)","value":"14:03:37"},{"id":151,"name":"Denver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4057 --day 2017-12-02</v>
      </c>
      <c r="AN86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2017-12-02T12:22:40-0700',mode:absolute,to:'2017-12-02T15:03:37-0700'))&amp;_a=(columns:!('Message%20ID',Summary),filters:!(),index:'emp_*',interval:auto,query:(query_string:(analyze_wildcard:!t,query:'%22rtdc.l.rtdc.4057%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774</v>
      </c>
      <c r="B87" s="225">
        <v>4034</v>
      </c>
      <c r="C87" s="227" t="s">
        <v>192</v>
      </c>
      <c r="D87" s="227" t="s">
        <v>947</v>
      </c>
      <c r="E87" s="226">
        <v>43071.527939814812</v>
      </c>
      <c r="F87" s="226">
        <v>43071.531736111108</v>
      </c>
      <c r="G87" s="225">
        <v>84</v>
      </c>
      <c r="H87" s="227" t="s">
        <v>948</v>
      </c>
      <c r="I87" s="226">
        <v>43071.555439814816</v>
      </c>
      <c r="J87" s="225">
        <v>0</v>
      </c>
      <c r="K87" s="237" t="str">
        <f>IF(ISEVEN(B87),(B87-1)&amp;"/"&amp;B87,B87&amp;"/"&amp;(B87+1))</f>
        <v>4033/4034</v>
      </c>
      <c r="L87" s="245" t="str">
        <f>VLOOKUP(A87,'Trips&amp;Operators'!$C$1:$G$99911,5,FALSE)</f>
        <v>HOLCOMB KAMDEN</v>
      </c>
      <c r="M87" s="224">
        <f>I87-F87</f>
        <v>2.3703703707724344E-2</v>
      </c>
      <c r="N87" s="225">
        <f>24*60*SUM($M87:$M87)</f>
        <v>34.133333339123055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-02T11:40:14-0700',mode:absolute,to:'2017-12-02T14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5.04E-2</v>
      </c>
      <c r="Z87" s="247">
        <f>RIGHT(H87,LEN(H87)-4)/10000</f>
        <v>23.3216</v>
      </c>
      <c r="AA87" s="247">
        <f>ABS(Z87-Y87)</f>
        <v>23.2712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/stypes="app*4034*20171202*"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173-02 --locoid 4034 --swversion DE.1.0.9.0 --startMP 204:504 --initTime 2017-12-02T12:40:14 --startdatetime 2017-12-02T12:45:42 --delay 84 --endMP 204:233216 --enddatetime 2017-12-02T13:19:50 --enforcementcount 0 &gt;&gt;%USERPROFILE%\Documents\GitHub\eaglep3-reporting\EC\2017-12-02-refined-times.txt</v>
      </c>
      <c r="AI8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{"issue":{"subject":"","project_id":79,"tracker_id":40,"status_id":1,"priority_id":2,"assigned_to_id":338,"start_date":"2017-12-02","description":"","custom_fields":[{"id":1,"name":"Subdivision","value":"EC"},{"id":4,"name":"Milepost","value":"23.3216"},{"id":17,"name":"Train ID","value":"173-02"},{"id":16,"name":"Locomotive ID","value":"4034"},{"id":130,"name":"Impact","value":""},{"id":150,"name":"Time of Event (Mountain Time)","value":"13:19:50"},{"id":151,"name":"Denver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4034 --day 2017-12-02</v>
      </c>
      <c r="AN87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2017-12-02T11:40:14-0700',mode:absolute,to:'2017-12-02T14:19:50-0700'))&amp;_a=(columns:!('Message%20ID',Summary),filters:!(),index:'emp_*',interval:auto,query:(query_string:(analyze_wildcard:!t,query:'%22rtdc.l.rtdc.4034%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785</v>
      </c>
      <c r="B88" s="225">
        <v>4033</v>
      </c>
      <c r="C88" s="227" t="s">
        <v>192</v>
      </c>
      <c r="D88" s="227" t="s">
        <v>638</v>
      </c>
      <c r="E88" s="226">
        <v>43071.567280092589</v>
      </c>
      <c r="F88" s="226">
        <v>43071.571157407408</v>
      </c>
      <c r="G88" s="225">
        <v>69</v>
      </c>
      <c r="H88" s="227" t="s">
        <v>610</v>
      </c>
      <c r="I88" s="226">
        <v>43071.596458333333</v>
      </c>
      <c r="J88" s="225">
        <v>0</v>
      </c>
      <c r="K88" s="237" t="str">
        <f>IF(ISEVEN(B88),(B88-1)&amp;"/"&amp;B88,B88&amp;"/"&amp;(B88+1))</f>
        <v>4033/4034</v>
      </c>
      <c r="L88" s="245" t="str">
        <f>VLOOKUP(A88,'Trips&amp;Operators'!$C$1:$G$99911,5,FALSE)</f>
        <v>HOLCOMB KAMDEN</v>
      </c>
      <c r="M88" s="224">
        <f>I88-F88</f>
        <v>2.5300925924966577E-2</v>
      </c>
      <c r="N88" s="225">
        <f>24*60*SUM($M88:$M88)</f>
        <v>36.433333331951872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-02T12:36:53-0700',mode:absolute,to:'2017-12-02T15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23.290199999999999</v>
      </c>
      <c r="Z88" s="247">
        <f>RIGHT(H88,LEN(H88)-4)/10000</f>
        <v>2.0899999999999998E-2</v>
      </c>
      <c r="AA88" s="247">
        <f>ABS(Z88-Y88)</f>
        <v>23.269299999999998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/stypes="app*4033*20171202*"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174-02 --locoid 4033 --swversion DE.1.0.9.0 --startMP 204:232902 --initTime 2017-12-02T13:36:53 --startdatetime 2017-12-02T13:42:28 --delay 69 --endMP 204:209 --enddatetime 2017-12-02T14:18:54 --enforcementcount 0 &gt;&gt;%USERPROFILE%\Documents\GitHub\eaglep3-reporting\EC\2017-12-02-refined-times.txt</v>
      </c>
      <c r="AI88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{"issue":{"subject":"","project_id":79,"tracker_id":40,"status_id":1,"priority_id":2,"assigned_to_id":338,"start_date":"2017-12-02","description":"","custom_fields":[{"id":1,"name":"Subdivision","value":"EC"},{"id":4,"name":"Milepost","value":"0.0209"},{"id":17,"name":"Train ID","value":"174-02"},{"id":16,"name":"Locomotive ID","value":"4033"},{"id":130,"name":"Impact","value":""},{"id":150,"name":"Time of Event (Mountain Time)","value":"14:18:54"},{"id":151,"name":"Denver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4033 --day 2017-12-02</v>
      </c>
      <c r="AN88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2017-12-02T12:36:53-0700',mode:absolute,to:'2017-12-02T15:18:54-0700'))&amp;_a=(columns:!('Message%20ID',Summary),filters:!(),index:'emp_*',interval:auto,query:(query_string:(analyze_wildcard:!t,query:'%22rtdc.l.rtdc.4033%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778</v>
      </c>
      <c r="B89" s="225">
        <v>4030</v>
      </c>
      <c r="C89" s="227" t="s">
        <v>192</v>
      </c>
      <c r="D89" s="227" t="s">
        <v>895</v>
      </c>
      <c r="E89" s="226">
        <v>43071.539074074077</v>
      </c>
      <c r="F89" s="226">
        <v>43071.541851851849</v>
      </c>
      <c r="G89" s="225">
        <v>92</v>
      </c>
      <c r="H89" s="227" t="s">
        <v>612</v>
      </c>
      <c r="I89" s="226">
        <v>43071.566145833334</v>
      </c>
      <c r="J89" s="225">
        <v>0</v>
      </c>
      <c r="K89" s="237" t="str">
        <f>IF(ISEVEN(B89),(B89-1)&amp;"/"&amp;B89,B89&amp;"/"&amp;(B89+1))</f>
        <v>4029/4030</v>
      </c>
      <c r="L89" s="245" t="str">
        <f>VLOOKUP(A89,'Trips&amp;Operators'!$C$1:$G$99911,5,FALSE)</f>
        <v>DELGADO DIANAH</v>
      </c>
      <c r="M89" s="224">
        <f>I89-F89</f>
        <v>2.4293981485243421E-2</v>
      </c>
      <c r="N89" s="225">
        <f>24*60*SUM($M89:$M89)</f>
        <v>34.983333338750526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-02T11:56:16-0700',mode:absolute,to:'2017-12-02T14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4.7800000000000002E-2</v>
      </c>
      <c r="Z89" s="247">
        <f>RIGHT(H89,LEN(H89)-4)/10000</f>
        <v>23.329499999999999</v>
      </c>
      <c r="AA89" s="247">
        <f>ABS(Z89-Y89)</f>
        <v>23.281700000000001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/stypes="app*4030*20171202*"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175-02 --locoid 4030 --swversion DE.1.0.9.0 --startMP 204:478 --initTime 2017-12-02T12:56:16 --startdatetime 2017-12-02T13:00:16 --delay 92 --endMP 204:233295 --enddatetime 2017-12-02T13:35:15 --enforcementcount 0 &gt;&gt;%USERPROFILE%\Documents\GitHub\eaglep3-reporting\EC\2017-12-02-refined-times.txt</v>
      </c>
      <c r="AI8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{"issue":{"subject":"","project_id":79,"tracker_id":40,"status_id":1,"priority_id":2,"assigned_to_id":338,"start_date":"2017-12-02","description":"","custom_fields":[{"id":1,"name":"Subdivision","value":"EC"},{"id":4,"name":"Milepost","value":"23.3295"},{"id":17,"name":"Train ID","value":"175-02"},{"id":16,"name":"Locomotive ID","value":"4030"},{"id":130,"name":"Impact","value":""},{"id":150,"name":"Time of Event (Mountain Time)","value":"13:35:15"},{"id":151,"name":"Denver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4030 --day 2017-12-02</v>
      </c>
      <c r="AN89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2017-12-02T11:56:16-0700',mode:absolute,to:'2017-12-02T14:35:15-0700'))&amp;_a=(columns:!('Message%20ID',Summary),filters:!(),index:'emp_*',interval:auto,query:(query_string:(analyze_wildcard:!t,query:'%22rtdc.l.rtdc.4030%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787</v>
      </c>
      <c r="B90" s="225">
        <v>4029</v>
      </c>
      <c r="C90" s="227" t="s">
        <v>192</v>
      </c>
      <c r="D90" s="227" t="s">
        <v>895</v>
      </c>
      <c r="E90" s="226">
        <v>43071.539074074077</v>
      </c>
      <c r="F90" s="226">
        <v>43071.581435185188</v>
      </c>
      <c r="G90" s="225">
        <v>92</v>
      </c>
      <c r="H90" s="227" t="s">
        <v>612</v>
      </c>
      <c r="I90" s="226">
        <v>43071.606898148151</v>
      </c>
      <c r="J90" s="225">
        <v>0</v>
      </c>
      <c r="K90" s="237" t="str">
        <f>IF(ISEVEN(B90),(B90-1)&amp;"/"&amp;B90,B90&amp;"/"&amp;(B90+1))</f>
        <v>4029/4030</v>
      </c>
      <c r="L90" s="245" t="str">
        <f>VLOOKUP(A90,'Trips&amp;Operators'!$C$1:$G$99911,5,FALSE)</f>
        <v>DELGADO DIANAH</v>
      </c>
      <c r="M90" s="224">
        <f>I90-F90</f>
        <v>2.5462962963501923E-2</v>
      </c>
      <c r="N90" s="225">
        <f>24*60*SUM($M90:$M90)</f>
        <v>36.666666667442769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-02T11:56:16-0700',mode:absolute,to:'2017-12-02T15:33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v>23.290199999999999</v>
      </c>
      <c r="Z90" s="247">
        <v>2.0899999999999998E-2</v>
      </c>
      <c r="AA90" s="247">
        <f>ABS(Z90-Y90)</f>
        <v>23.269299999999998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/stypes="app*4029*20171202*"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ref="AH90" si="16"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176-02 --locoid 4029 --swversion DE.1.0.9.0 --startMP 204:478 --initTime 2017-12-02T12:56:16 --startdatetime 2017-12-02T13:57:16 --delay 92 --endMP 204:233295 --enddatetime 2017-12-02T14:33:56 --enforcementcount 0 &gt;&gt;%USERPROFILE%\Documents\GitHub\eaglep3-reporting\EC\2017-12-02-refined-times.txt</v>
      </c>
      <c r="AI90" s="238" t="str">
        <f t="shared" ref="AI90" si="17"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{"issue":{"subject":"","project_id":79,"tracker_id":40,"status_id":1,"priority_id":2,"assigned_to_id":338,"start_date":"2017-12-02","description":"","custom_fields":[{"id":1,"name":"Subdivision","value":"EC"},{"id":4,"name":"Milepost","value":"0.0209"},{"id":17,"name":"Train ID","value":"176-02"},{"id":16,"name":"Locomotive ID","value":"4029"},{"id":130,"name":"Impact","value":""},{"id":150,"name":"Time of Event (Mountain Time)","value":"14:33:56"},{"id":151,"name":"Denver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ref="AM90" si="18">"start /low /b "&amp;dls3logs&amp;" --loco "&amp;B90&amp;" --day "&amp;TEXT(F90,"YYYY-MM-DD")</f>
        <v>start /low /b %USERPROFILE%\Documents\GitHub\eaglep3\Utilities\DownloadLogsFromS3.py --loco 4029 --day 2017-12-02</v>
      </c>
      <c r="AN90" s="241" t="str">
        <f t="shared" ref="AN90" si="19"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ref="AO90" si="20"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Message%20ID',Summary),filters:!(),index:'emp_*',interval:auto,query:"&amp;"(query_string:(analyze_wildcard:!t,query:'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-02T11:56:16-0700',mode:absolute,to:'2017-12-02T15:33:56-0700'))&amp;_a=(columns:!('Message%20ID',Summary),filters:!(),index:'emp_*',interval:auto,query:(query_string:(analyze_wildcard:!t,query:'%22rtdc.l.rtdc.4029%22')),sort:!(Time.ISO8601,asc))</v>
      </c>
      <c r="AP90" s="223"/>
      <c r="AQ90" s="223"/>
      <c r="AR90" s="223"/>
      <c r="AS90" s="223"/>
      <c r="AT90" s="223"/>
      <c r="AU90" s="223"/>
      <c r="AV90" s="223"/>
      <c r="AW90" s="223"/>
      <c r="AX90" s="223"/>
      <c r="AY90" s="223"/>
      <c r="AZ90" s="223"/>
      <c r="BA90" s="223"/>
      <c r="BB90" s="223"/>
      <c r="BC90" s="223"/>
      <c r="BD90" s="223"/>
      <c r="BE90" s="223"/>
      <c r="BF90" s="223"/>
      <c r="BG90" s="223"/>
      <c r="BH90" s="223"/>
      <c r="BI90" s="223"/>
      <c r="BJ90" s="223"/>
      <c r="BK90" s="223"/>
      <c r="BL90" s="223"/>
      <c r="BM90" s="223"/>
      <c r="BN90" s="223"/>
      <c r="BO90" s="223"/>
      <c r="BP90" s="223"/>
      <c r="BQ90" s="223"/>
      <c r="BR90" s="223"/>
      <c r="BS90" s="223"/>
      <c r="BT90" s="223"/>
      <c r="BU90" s="223"/>
      <c r="BV90" s="223"/>
      <c r="BW90" s="223"/>
      <c r="BX90" s="223"/>
      <c r="BY90" s="223"/>
      <c r="BZ90" s="223"/>
      <c r="CA90" s="223"/>
      <c r="CB90" s="223"/>
      <c r="CC90" s="223"/>
      <c r="CD90" s="223"/>
      <c r="CE90" s="223"/>
      <c r="CF90" s="223"/>
      <c r="CG90" s="223"/>
      <c r="CH90" s="223"/>
      <c r="CI90" s="223"/>
      <c r="CJ90" s="223"/>
      <c r="CK90" s="223"/>
      <c r="CL90" s="223"/>
      <c r="CM90" s="223"/>
    </row>
    <row r="91" spans="1:91" s="1" customFormat="1" x14ac:dyDescent="0.3">
      <c r="A91" s="229" t="s">
        <v>781</v>
      </c>
      <c r="B91" s="225">
        <v>4022</v>
      </c>
      <c r="C91" s="227" t="s">
        <v>192</v>
      </c>
      <c r="D91" s="227" t="s">
        <v>947</v>
      </c>
      <c r="E91" s="226">
        <v>43071.549583333333</v>
      </c>
      <c r="F91" s="226">
        <v>43071.552268518521</v>
      </c>
      <c r="G91" s="225">
        <v>71</v>
      </c>
      <c r="H91" s="227" t="s">
        <v>949</v>
      </c>
      <c r="I91" s="226">
        <v>43071.576261574075</v>
      </c>
      <c r="J91" s="225">
        <v>0</v>
      </c>
      <c r="K91" s="237" t="str">
        <f>IF(ISEVEN(B91),(B91-1)&amp;"/"&amp;B91,B91&amp;"/"&amp;(B91+1))</f>
        <v>4021/4022</v>
      </c>
      <c r="L91" s="245" t="str">
        <f>VLOOKUP(A91,'Trips&amp;Operators'!$C$1:$G$99911,5,FALSE)</f>
        <v>SAFIEF AEIMEN</v>
      </c>
      <c r="M91" s="224">
        <f>I91-F91</f>
        <v>2.3993055554456078E-2</v>
      </c>
      <c r="N91" s="225">
        <f>24*60*SUM($M91:$M91)</f>
        <v>34.549999998416752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-02T12:11:24-0700',mode:absolute,to:'2017-12-02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247" t="str">
        <f>IF(AA91&lt;VLOOKUP(AG91,Variables!$AC$3:$AD$8,2,FALSE),"Y","N")</f>
        <v>N</v>
      </c>
      <c r="X91" s="247">
        <f t="shared" ref="X91:X92" si="21">VALUE(LEFT(AD91,4))-VALUE(LEFT(AD90,4))</f>
        <v>1</v>
      </c>
      <c r="Y91" s="247">
        <f>RIGHT(D91,LEN(D91)-4)/10000</f>
        <v>5.04E-2</v>
      </c>
      <c r="Z91" s="247">
        <f>RIGHT(H91,LEN(H91)-4)/10000</f>
        <v>23.321999999999999</v>
      </c>
      <c r="AA91" s="247">
        <f>ABS(Z91-Y91)</f>
        <v>23.271599999999999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/stypes="app*4022*20171202*"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177-02 --locoid 4022 --swversion DE.1.0.9.0 --startMP 204:504 --initTime 2017-12-02T13:11:24 --startdatetime 2017-12-02T13:15:16 --delay 71 --endMP 204:233220 --enddatetime 2017-12-02T13:49:49 --enforcementcount 0 &gt;&gt;%USERPROFILE%\Documents\GitHub\eaglep3-reporting\EC\2017-12-02-refined-times.txt</v>
      </c>
      <c r="AI9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{"issue":{"subject":"","project_id":79,"tracker_id":40,"status_id":1,"priority_id":2,"assigned_to_id":338,"start_date":"2017-12-02","description":"","custom_fields":[{"id":1,"name":"Subdivision","value":"EC"},{"id":4,"name":"Milepost","value":"23.322"},{"id":17,"name":"Train ID","value":"177-02"},{"id":16,"name":"Locomotive ID","value":"4022"},{"id":130,"name":"Impact","value":""},{"id":150,"name":"Time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4022 --day 2017-12-02</v>
      </c>
      <c r="AN91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2017-12-02T12:11:24-0700',mode:absolute,to:'2017-12-02T14:49:49-0700'))&amp;_a=(columns:!('Message%20ID',Summary),filters:!(),index:'emp_*',interval:auto,query:(query_string:(analyze_wildcard:!t,query:'%22rtdc.l.rtdc.4022%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788</v>
      </c>
      <c r="B92" s="225">
        <v>4021</v>
      </c>
      <c r="C92" s="227" t="s">
        <v>192</v>
      </c>
      <c r="D92" s="227" t="s">
        <v>946</v>
      </c>
      <c r="E92" s="226">
        <v>43071.578449074077</v>
      </c>
      <c r="F92" s="226">
        <v>43071.591944444444</v>
      </c>
      <c r="G92" s="225">
        <v>65</v>
      </c>
      <c r="H92" s="227" t="s">
        <v>442</v>
      </c>
      <c r="I92" s="226">
        <v>43071.617581018516</v>
      </c>
      <c r="J92" s="225">
        <v>0</v>
      </c>
      <c r="K92" s="237" t="str">
        <f>IF(ISEVEN(B92),(B92-1)&amp;"/"&amp;B92,B92&amp;"/"&amp;(B92+1))</f>
        <v>4021/4022</v>
      </c>
      <c r="L92" s="245" t="str">
        <f>VLOOKUP(A92,'Trips&amp;Operators'!$C$1:$G$99911,5,FALSE)</f>
        <v>SAFIEF AEIMEN</v>
      </c>
      <c r="M92" s="224">
        <f>I92-F92</f>
        <v>2.5636574071540963E-2</v>
      </c>
      <c r="N92" s="225">
        <f>24*60*SUM($M92:$M92)</f>
        <v>36.916666663018987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-02T12:52:58-0700',mode:absolute,to:'2017-12-02T15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247" t="str">
        <f>IF(AA92&lt;VLOOKUP(AG92,Variables!$AC$3:$AD$8,2,FALSE),"Y","N")</f>
        <v>N</v>
      </c>
      <c r="X92" s="247">
        <f t="shared" si="21"/>
        <v>1</v>
      </c>
      <c r="Y92" s="247">
        <f>RIGHT(D92,LEN(D92)-4)/10000</f>
        <v>23.2898</v>
      </c>
      <c r="Z92" s="247">
        <f>RIGHT(H92,LEN(H92)-4)/10000</f>
        <v>2.1399999999999999E-2</v>
      </c>
      <c r="AA92" s="247">
        <f>ABS(Z92-Y92)</f>
        <v>23.2684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/stypes="app*4021*20171202*"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178-02 --locoid 4021 --swversion DE.1.0.9.0 --startMP 204:232898 --initTime 2017-12-02T13:52:58 --startdatetime 2017-12-02T14:12:24 --delay 65 --endMP 204:214 --enddatetime 2017-12-02T14:49:19 --enforcementcount 0 &gt;&gt;%USERPROFILE%\Documents\GitHub\eaglep3-reporting\EC\2017-12-02-refined-times.txt</v>
      </c>
      <c r="AI9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ID","value":"178-02"},{"id":16,"name":"Locomotive ID","value":"4021"},{"id":130,"name":"Impact","value":""},{"id":150,"name":"Time of Event (Mountain Time)","value":"14:49:19"},{"id":151,"name":"Denver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4021 --day 2017-12-02</v>
      </c>
      <c r="AN92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2017-12-02T12:52:58-0700',mode:absolute,to:'2017-12-02T15:49:19-0700'))&amp;_a=(columns:!('Message%20ID',Summary),filters:!(),index:'emp_*',interval:auto,query:(query_string:(analyze_wildcard:!t,query:'%22rtdc.l.rtdc.4021%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782</v>
      </c>
      <c r="B93" s="225">
        <v>4032</v>
      </c>
      <c r="C93" s="227" t="s">
        <v>192</v>
      </c>
      <c r="D93" s="227" t="s">
        <v>950</v>
      </c>
      <c r="E93" s="226">
        <v>43071.556967592594</v>
      </c>
      <c r="F93" s="226">
        <v>43071.562662037039</v>
      </c>
      <c r="G93" s="225">
        <v>53</v>
      </c>
      <c r="H93" s="227" t="s">
        <v>579</v>
      </c>
      <c r="I93" s="226">
        <v>43071.587511574071</v>
      </c>
      <c r="J93" s="225">
        <v>0</v>
      </c>
      <c r="K93" s="237" t="str">
        <f>IF(ISEVEN(B93),(B93-1)&amp;"/"&amp;B93,B93&amp;"/"&amp;(B93+1))</f>
        <v>4031/4032</v>
      </c>
      <c r="L93" s="245" t="str">
        <f>VLOOKUP(A93,'Trips&amp;Operators'!$C$1:$G$99911,5,FALSE)</f>
        <v>GUZMAN DANNY</v>
      </c>
      <c r="M93" s="224">
        <f>I93-F93</f>
        <v>2.4849537032423541E-2</v>
      </c>
      <c r="N93" s="225">
        <f>24*60*SUM($M93:$M93)</f>
        <v>35.783333326689899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-02T12:22:02-0700',mode:absolute,to:'2017-12-02T15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5.5100000000000003E-2</v>
      </c>
      <c r="Z93" s="247">
        <f>RIGHT(H93,LEN(H93)-4)/10000</f>
        <v>23.325299999999999</v>
      </c>
      <c r="AA93" s="247">
        <f>ABS(Z93-Y93)</f>
        <v>23.270199999999999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/stypes="app*4032*20171202*"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179-02 --locoid 4032 --swversion DE.1.0.9.0 --startMP 204:551 --initTime 2017-12-02T13:22:02 --startdatetime 2017-12-02T13:30:14 --delay 53 --endMP 204:233253 --enddatetime 2017-12-02T14:06:01 --enforcementcount 0 &gt;&gt;%USERPROFILE%\Documents\GitHub\eaglep3-reporting\EC\2017-12-02-refined-times.txt</v>
      </c>
      <c r="AI93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{"issue":{"subject":"","project_id":79,"tracker_id":40,"status_id":1,"priority_id":2,"assigned_to_id":338,"start_date":"2017-12-02","description":"","custom_fields":[{"id":1,"name":"Subdivision","value":"EC"},{"id":4,"name":"Milepost","value":"23.3253"},{"id":17,"name":"Train ID","value":"179-02"},{"id":16,"name":"Locomotive ID","value":"4032"},{"id":130,"name":"Impact","value":""},{"id":150,"name":"Time of Event (Mountain Time)","value":"14:06:01"},{"id":151,"name":"Denver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4032 --day 2017-12-02</v>
      </c>
      <c r="AN93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2017-12-02T12:22:02-0700',mode:absolute,to:'2017-12-02T15:06:01-0700'))&amp;_a=(columns:!('Message%20ID',Summary),filters:!(),index:'emp_*',interval:auto,query:(query_string:(analyze_wildcard:!t,query:'%22rtdc.l.rtdc.4032%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791</v>
      </c>
      <c r="B94" s="225">
        <v>4031</v>
      </c>
      <c r="C94" s="227" t="s">
        <v>192</v>
      </c>
      <c r="D94" s="227" t="s">
        <v>642</v>
      </c>
      <c r="E94" s="226">
        <v>43071.589895833335</v>
      </c>
      <c r="F94" s="226">
        <v>43071.60224537037</v>
      </c>
      <c r="G94" s="225">
        <v>52</v>
      </c>
      <c r="H94" s="227" t="s">
        <v>557</v>
      </c>
      <c r="I94" s="226">
        <v>43071.628171296295</v>
      </c>
      <c r="J94" s="225">
        <v>0</v>
      </c>
      <c r="K94" s="237" t="str">
        <f>IF(ISEVEN(B94),(B94-1)&amp;"/"&amp;B94,B94&amp;"/"&amp;(B94+1))</f>
        <v>4031/4032</v>
      </c>
      <c r="L94" s="245" t="str">
        <f>VLOOKUP(A94,'Trips&amp;Operators'!$C$1:$G$99911,5,FALSE)</f>
        <v>GUZMAN DANNY</v>
      </c>
      <c r="M94" s="224">
        <f>I94-F94</f>
        <v>2.5925925925548654E-2</v>
      </c>
      <c r="N94" s="225">
        <f>24*60*SUM($M94:$M94)</f>
        <v>37.333333332790062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-02T13:09:27-0700',mode:absolute,to:'2017-12-02T16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23.293199999999999</v>
      </c>
      <c r="Z94" s="247">
        <f>RIGHT(H94,LEN(H94)-4)/10000</f>
        <v>2.6499999999999999E-2</v>
      </c>
      <c r="AA94" s="247">
        <f>ABS(Z94-Y94)</f>
        <v>23.2667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/stypes="app*4031*20171202*"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180-02 --locoid 4031 --swversion DE.1.0.9.0 --startMP 204:232932 --initTime 2017-12-02T14:09:27 --startdatetime 2017-12-02T14:27:14 --delay 52 --endMP 204:265 --enddatetime 2017-12-02T15:04:34 --enforcementcount 0 &gt;&gt;%USERPROFILE%\Documents\GitHub\eaglep3-reporting\EC\2017-12-02-refined-times.txt</v>
      </c>
      <c r="AI9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{"issue":{"subject":"","project_id":79,"tracker_id":40,"status_id":1,"priority_id":2,"assigned_to_id":338,"start_date":"2017-12-02","description":"","custom_fields":[{"id":1,"name":"Subdivision","value":"EC"},{"id":4,"name":"Milepost","value":"0.0265"},{"id":17,"name":"Train ID","value":"180-02"},{"id":16,"name":"Locomotive ID","value":"4031"},{"id":130,"name":"Impact","value":""},{"id":150,"name":"Time of Event (Mountain Time)","value":"15:04:34"},{"id":151,"name":"Denver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4031 --day 2017-12-02</v>
      </c>
      <c r="AN94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2017-12-02T13:09:27-0700',mode:absolute,to:'2017-12-02T16:04:34-0700'))&amp;_a=(columns:!('Message%20ID',Summary),filters:!(),index:'emp_*',interval:auto,query:(query_string:(analyze_wildcard:!t,query:'%22rtdc.l.rtdc.4031%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786</v>
      </c>
      <c r="B95" s="225">
        <v>4010</v>
      </c>
      <c r="C95" s="227" t="s">
        <v>192</v>
      </c>
      <c r="D95" s="227" t="s">
        <v>642</v>
      </c>
      <c r="E95" s="226">
        <v>43071.589895833335</v>
      </c>
      <c r="F95" s="226">
        <v>43071.573182870372</v>
      </c>
      <c r="G95" s="225">
        <v>52</v>
      </c>
      <c r="H95" s="227" t="s">
        <v>557</v>
      </c>
      <c r="I95" s="226">
        <v>43071.599074074074</v>
      </c>
      <c r="J95" s="225">
        <v>0</v>
      </c>
      <c r="K95" s="237" t="str">
        <f>IF(ISEVEN(B95),(B95-1)&amp;"/"&amp;B95,B95&amp;"/"&amp;(B95+1))</f>
        <v>4009/4010</v>
      </c>
      <c r="L95" s="245" t="str">
        <f>VLOOKUP(A95,'Trips&amp;Operators'!$C$1:$G$99911,5,FALSE)</f>
        <v>BADERTSCHER DIANE</v>
      </c>
      <c r="M95" s="224">
        <f>I95-F95</f>
        <v>2.5891203702485655E-2</v>
      </c>
      <c r="N95" s="225">
        <f>24*60*SUM($M95:$M95)</f>
        <v>37.283333331579342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-02T13:09:27-0700',mode:absolute,to:'2017-12-02T15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v>5.5100000000000003E-2</v>
      </c>
      <c r="Z95" s="247">
        <v>23.325299999999999</v>
      </c>
      <c r="AA95" s="247">
        <f>ABS(Z95-Y95)</f>
        <v>23.270199999999999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/stypes="app*4010*20171202*"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ref="AH95" si="22"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181-02 --locoid 4010 --swversion DE.1.0.9.0 --startMP 204:232932 --initTime 2017-12-02T14:09:27 --startdatetime 2017-12-02T13:45:23 --delay 52 --endMP 204:265 --enddatetime 2017-12-02T14:22:40 --enforcementcount 0 &gt;&gt;%USERPROFILE%\Documents\GitHub\eaglep3-reporting\EC\2017-12-02-refined-times.txt</v>
      </c>
      <c r="AI95" s="238" t="str">
        <f t="shared" ref="AI95" si="23"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{"issue":{"subject":"","project_id":79,"tracker_id":40,"status_id":1,"priority_id":2,"assigned_to_id":338,"start_date":"2017-12-02","description":"","custom_fields":[{"id":1,"name":"Subdivision","value":"EC"},{"id":4,"name":"Milepost","value":"23.3253"},{"id":17,"name":"Train ID","value":"181-02"},{"id":16,"name":"Locomotive ID","value":"4010"},{"id":130,"name":"Impact","value":""},{"id":150,"name":"Time of Event (Mountain Time)","value":"14:22:40"},{"id":151,"name":"Denver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ref="AM95" si="24">"start /low /b "&amp;dls3logs&amp;" --loco "&amp;B95&amp;" --day "&amp;TEXT(F95,"YYYY-MM-DD")</f>
        <v>start /low /b %USERPROFILE%\Documents\GitHub\eaglep3\Utilities\DownloadLogsFromS3.py --loco 4010 --day 2017-12-02</v>
      </c>
      <c r="AN95" s="241" t="str">
        <f t="shared" ref="AN95" si="25"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ref="AO95" si="26"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Message%20ID',Summary),filters:!(),index:'emp_*',interval:auto,query:"&amp;"(query_string:(analyze_wildcard:!t,query:'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-02T13:09:27-0700',mode:absolute,to:'2017-12-02T15:22:40-0700'))&amp;_a=(columns:!('Message%20ID',Summary),filters:!(),index:'emp_*',interval:auto,query:(query_string:(analyze_wildcard:!t,query:'%22rtdc.l.rtdc.4010%22')),sort:!(Time.ISO8601,asc))</v>
      </c>
      <c r="AP95" s="223"/>
      <c r="AQ95" s="223"/>
      <c r="AR95" s="223"/>
      <c r="AS95" s="223"/>
      <c r="AT95" s="223"/>
      <c r="AU95" s="223"/>
      <c r="AV95" s="223"/>
      <c r="AW95" s="223"/>
      <c r="AX95" s="223"/>
      <c r="AY95" s="223"/>
      <c r="AZ95" s="223"/>
      <c r="BA95" s="223"/>
      <c r="BB95" s="223"/>
      <c r="BC95" s="223"/>
      <c r="BD95" s="223"/>
      <c r="BE95" s="223"/>
      <c r="BF95" s="223"/>
      <c r="BG95" s="223"/>
      <c r="BH95" s="223"/>
      <c r="BI95" s="223"/>
      <c r="BJ95" s="223"/>
      <c r="BK95" s="223"/>
      <c r="BL95" s="223"/>
      <c r="BM95" s="223"/>
      <c r="BN95" s="223"/>
      <c r="BO95" s="223"/>
      <c r="BP95" s="223"/>
      <c r="BQ95" s="223"/>
      <c r="BR95" s="223"/>
      <c r="BS95" s="223"/>
      <c r="BT95" s="223"/>
      <c r="BU95" s="223"/>
      <c r="BV95" s="223"/>
      <c r="BW95" s="223"/>
      <c r="BX95" s="223"/>
      <c r="BY95" s="223"/>
      <c r="BZ95" s="223"/>
      <c r="CA95" s="223"/>
      <c r="CB95" s="223"/>
      <c r="CC95" s="223"/>
      <c r="CD95" s="223"/>
      <c r="CE95" s="223"/>
      <c r="CF95" s="223"/>
      <c r="CG95" s="223"/>
      <c r="CH95" s="223"/>
      <c r="CI95" s="223"/>
      <c r="CJ95" s="223"/>
      <c r="CK95" s="223"/>
      <c r="CL95" s="223"/>
      <c r="CM95" s="223"/>
    </row>
    <row r="96" spans="1:91" s="1" customFormat="1" x14ac:dyDescent="0.3">
      <c r="A96" s="229" t="s">
        <v>795</v>
      </c>
      <c r="B96" s="225">
        <v>4009</v>
      </c>
      <c r="C96" s="227" t="s">
        <v>192</v>
      </c>
      <c r="D96" s="227" t="s">
        <v>640</v>
      </c>
      <c r="E96" s="226">
        <v>43071.607037037036</v>
      </c>
      <c r="F96" s="226">
        <v>43071.612650462965</v>
      </c>
      <c r="G96" s="225">
        <v>56</v>
      </c>
      <c r="H96" s="227" t="s">
        <v>928</v>
      </c>
      <c r="I96" s="226">
        <v>43071.64</v>
      </c>
      <c r="J96" s="225">
        <v>0</v>
      </c>
      <c r="K96" s="237" t="str">
        <f>IF(ISEVEN(B96),(B96-1)&amp;"/"&amp;B96,B96&amp;"/"&amp;(B96+1))</f>
        <v>4009/4010</v>
      </c>
      <c r="L96" s="245" t="str">
        <f>VLOOKUP(A96,'Trips&amp;Operators'!$C$1:$G$99911,5,FALSE)</f>
        <v>BADERTSCHER DIANE</v>
      </c>
      <c r="M96" s="224">
        <f>I96-F96</f>
        <v>2.7349537034751847E-2</v>
      </c>
      <c r="N96" s="225">
        <f>24*60*SUM($M96:$M96)</f>
        <v>39.38333333004266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-02T13:34:08-0700',mode:absolute,to:'2017-12-02T16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247" t="str">
        <f>IF(AA96&lt;VLOOKUP(AG96,Variables!$AC$3:$AD$8,2,FALSE),"Y","N")</f>
        <v>N</v>
      </c>
      <c r="X96" s="247">
        <f t="shared" ref="X96:X97" si="27">VALUE(LEFT(AD96,4))-VALUE(LEFT(AD95,4))</f>
        <v>1</v>
      </c>
      <c r="Y96" s="247">
        <f>RIGHT(D96,LEN(D96)-4)/10000</f>
        <v>23.2944</v>
      </c>
      <c r="Z96" s="247">
        <f>RIGHT(H96,LEN(H96)-4)/10000</f>
        <v>2.3800000000000002E-2</v>
      </c>
      <c r="AA96" s="247">
        <f>ABS(Z96-Y96)</f>
        <v>23.270599999999998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/stypes="app*4009*20171202*"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182-02 --locoid 4009 --swversion DE.1.0.9.0 --startMP 204:232944 --initTime 2017-12-02T14:34:08 --startdatetime 2017-12-02T14:42:13 --delay 56 --endMP 204:238 --enddatetime 2017-12-02T15:21:36 --enforcementcount 0 &gt;&gt;%USERPROFILE%\Documents\GitHub\eaglep3-reporting\EC\2017-12-02-refined-times.txt</v>
      </c>
      <c r="AI9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{"issue":{"subject":"","project_id":79,"tracker_id":40,"status_id":1,"priority_id":2,"assigned_to_id":338,"start_date":"2017-12-02","description":"","custom_fields":[{"id":1,"name":"Subdivision","value":"EC"},{"id":4,"name":"Milepost","value":"0.0238"},{"id":17,"name":"Train ID","value":"182-02"},{"id":16,"name":"Locomotive ID","value":"4009"},{"id":130,"name":"Impact","value":""},{"id":150,"name":"Time of Event (Mountain Time)","value":"15:21:36"},{"id":151,"name":"Denver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4009 --day 2017-12-02</v>
      </c>
      <c r="AN96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2017-12-02T13:34:08-0700',mode:absolute,to:'2017-12-02T16:21:36-0700'))&amp;_a=(columns:!('Message%20ID',Summary),filters:!(),index:'emp_*',interval:auto,query:(query_string:(analyze_wildcard:!t,query:'%22rtdc.l.rtdc.4009%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789</v>
      </c>
      <c r="B97" s="225">
        <v>4056</v>
      </c>
      <c r="C97" s="227" t="s">
        <v>192</v>
      </c>
      <c r="D97" s="227" t="s">
        <v>604</v>
      </c>
      <c r="E97" s="226">
        <v>43071.579386574071</v>
      </c>
      <c r="F97" s="226">
        <v>43071.583506944444</v>
      </c>
      <c r="G97" s="225">
        <v>79</v>
      </c>
      <c r="H97" s="227" t="s">
        <v>516</v>
      </c>
      <c r="I97" s="226">
        <v>43071.608657407407</v>
      </c>
      <c r="J97" s="225">
        <v>0</v>
      </c>
      <c r="K97" s="237" t="str">
        <f>IF(ISEVEN(B97),(B97-1)&amp;"/"&amp;B97,B97&amp;"/"&amp;(B97+1))</f>
        <v>4055/4056</v>
      </c>
      <c r="L97" s="245" t="str">
        <f>VLOOKUP(A97,'Trips&amp;Operators'!$C$1:$G$99911,5,FALSE)</f>
        <v>BERLING GARY</v>
      </c>
      <c r="M97" s="224">
        <f>I97-F97</f>
        <v>2.5150462963210884E-2</v>
      </c>
      <c r="N97" s="225">
        <f>24*60*SUM($M97:$M97)</f>
        <v>36.216666667023674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-02T12:54:19-0700',mode:absolute,to:'2017-12-02T15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247" t="str">
        <f>IF(AA97&lt;VLOOKUP(AG97,Variables!$AC$3:$AD$8,2,FALSE),"Y","N")</f>
        <v>N</v>
      </c>
      <c r="X97" s="247">
        <f t="shared" si="27"/>
        <v>1</v>
      </c>
      <c r="Y97" s="247">
        <f>RIGHT(D97,LEN(D97)-4)/10000</f>
        <v>5.0599999999999999E-2</v>
      </c>
      <c r="Z97" s="247">
        <f>RIGHT(H97,LEN(H97)-4)/10000</f>
        <v>23.3264</v>
      </c>
      <c r="AA97" s="247">
        <f>ABS(Z97-Y97)</f>
        <v>23.2758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/stypes="app*4056*20171202*"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183-02 --locoid 4056 --swversion DE.1.0.9.0 --startMP 204:506 --initTime 2017-12-02T13:54:19 --startdatetime 2017-12-02T14:00:15 --delay 79 --endMP 204:233264 --enddatetime 2017-12-02T14:36:28 --enforcementcount 0 &gt;&gt;%USERPROFILE%\Documents\GitHub\eaglep3-reporting\EC\2017-12-02-refined-times.txt</v>
      </c>
      <c r="AI9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{"issue":{"subject":"","project_id":79,"tracker_id":40,"status_id":1,"priority_id":2,"assigned_to_id":338,"start_date":"2017-12-02","description":"","custom_fields":[{"id":1,"name":"Subdivision","value":"EC"},{"id":4,"name":"Milepost","value":"23.3264"},{"id":17,"name":"Train ID","value":"183-02"},{"id":16,"name":"Locomotive ID","value":"4056"},{"id":130,"name":"Impact","value":""},{"id":150,"name":"Time of Event (Mountain Time)","value":"14:36:28"},{"id":151,"name":"Denver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4056 --day 2017-12-02</v>
      </c>
      <c r="AN97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2017-12-02T12:54:19-0700',mode:absolute,to:'2017-12-02T15:36:28-0700'))&amp;_a=(columns:!('Message%20ID',Summary),filters:!(),index:'emp_*',interval:auto,query:(query_string:(analyze_wildcard:!t,query:'%22rtdc.l.rtdc.4056%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797</v>
      </c>
      <c r="B98" s="225">
        <v>4055</v>
      </c>
      <c r="C98" s="227" t="s">
        <v>192</v>
      </c>
      <c r="D98" s="227" t="s">
        <v>642</v>
      </c>
      <c r="E98" s="226">
        <v>43071.616261574076</v>
      </c>
      <c r="F98" s="226">
        <v>43071.623090277775</v>
      </c>
      <c r="G98" s="225">
        <v>150</v>
      </c>
      <c r="H98" s="227" t="s">
        <v>443</v>
      </c>
      <c r="I98" s="226">
        <v>43071.653981481482</v>
      </c>
      <c r="J98" s="225">
        <v>0</v>
      </c>
      <c r="K98" s="237" t="str">
        <f>IF(ISEVEN(B98),(B98-1)&amp;"/"&amp;B98,B98&amp;"/"&amp;(B98+1))</f>
        <v>4055/4056</v>
      </c>
      <c r="L98" s="245" t="str">
        <f>VLOOKUP(A98,'Trips&amp;Operators'!$C$1:$G$99911,5,FALSE)</f>
        <v>BERLING GARY</v>
      </c>
      <c r="M98" s="224">
        <f>I98-F98</f>
        <v>3.0891203707142267E-2</v>
      </c>
      <c r="N98" s="225">
        <f>24*60*SUM($M98:$M98)</f>
        <v>44.483333338284865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-02T13:47:25-0700',mode:absolute,to:'2017-12-02T16:41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23.293199999999999</v>
      </c>
      <c r="Z98" s="247">
        <f>RIGHT(H98,LEN(H98)-4)/10000</f>
        <v>2.07E-2</v>
      </c>
      <c r="AA98" s="247">
        <f>ABS(Z98-Y98)</f>
        <v>23.272499999999997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/stypes="app*4055*20171202*"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184-02 --locoid 4055 --swversion DE.1.0.9.0 --startMP 204:232932 --initTime 2017-12-02T14:47:25 --startdatetime 2017-12-02T14:57:15 --delay 150 --endMP 204:207 --enddatetime 2017-12-02T15:41:44 --enforcementcount 0 &gt;&gt;%USERPROFILE%\Documents\GitHub\eaglep3-reporting\EC\2017-12-02-refined-times.txt</v>
      </c>
      <c r="AI98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ID","value":"184-02"},{"id":16,"name":"Locomotive ID","value":"4055"},{"id":130,"name":"Impact","value":""},{"id":150,"name":"Time of Event (Mountain Time)","value":"15:41:44"},{"id":151,"name":"Denver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4055 --day 2017-12-02</v>
      </c>
      <c r="AN98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2017-12-02T13:47:25-0700',mode:absolute,to:'2017-12-02T16:41:44-0700'))&amp;_a=(columns:!('Message%20ID',Summary),filters:!(),index:'emp_*',interval:auto,query:(query_string:(analyze_wildcard:!t,query:'%22rtdc.l.rtdc.4055%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792</v>
      </c>
      <c r="B99" s="225">
        <v>4058</v>
      </c>
      <c r="C99" s="227" t="s">
        <v>192</v>
      </c>
      <c r="D99" s="227" t="s">
        <v>451</v>
      </c>
      <c r="E99" s="226">
        <v>43071.590381944443</v>
      </c>
      <c r="F99" s="226">
        <v>43071.593923611108</v>
      </c>
      <c r="G99" s="225">
        <v>63</v>
      </c>
      <c r="H99" s="227" t="s">
        <v>1003</v>
      </c>
      <c r="I99" s="226">
        <v>43071.618935185186</v>
      </c>
      <c r="J99" s="225">
        <v>0</v>
      </c>
      <c r="K99" s="237" t="str">
        <f>IF(ISEVEN(B99),(B99-1)&amp;"/"&amp;B99,B99&amp;"/"&amp;(B99+1))</f>
        <v>4057/4058</v>
      </c>
      <c r="L99" s="245" t="str">
        <f>VLOOKUP(A99,'Trips&amp;Operators'!$C$1:$G$99911,5,FALSE)</f>
        <v>BRUDER RICHARD</v>
      </c>
      <c r="M99" s="224">
        <f>I99-F99</f>
        <v>2.5011574078234844E-2</v>
      </c>
      <c r="N99" s="225">
        <f>24*60*SUM($M99:$M99)</f>
        <v>36.016666672658175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-02T13:10:09-0700',mode:absolute,to:'2017-12-02T15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5.33E-2</v>
      </c>
      <c r="Z99" s="247">
        <f>RIGHT(H99,LEN(H99)-4)/10000</f>
        <v>23.3203</v>
      </c>
      <c r="AA99" s="247">
        <f>ABS(Z99-Y99)</f>
        <v>23.266999999999999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/stypes="app*4058*20171202*"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185-02 --locoid 4058 --swversion DE.1.0.9.0 --startMP 204:533 --initTime 2017-12-02T14:10:09 --startdatetime 2017-12-02T14:15:15 --delay 63 --endMP 204:233203 --enddatetime 2017-12-02T14:51:16 --enforcementcount 0 &gt;&gt;%USERPROFILE%\Documents\GitHub\eaglep3-reporting\EC\2017-12-02-refined-times.txt</v>
      </c>
      <c r="AI9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{"issue":{"subject":"","project_id":79,"tracker_id":40,"status_id":1,"priority_id":2,"assigned_to_id":338,"start_date":"2017-12-02","description":"","custom_fields":[{"id":1,"name":"Subdivision","value":"EC"},{"id":4,"name":"Milepost","value":"23.3203"},{"id":17,"name":"Train ID","value":"185-02"},{"id":16,"name":"Locomotive ID","value":"4058"},{"id":130,"name":"Impact","value":""},{"id":150,"name":"Time of Event (Mountain Time)","value":"14:51:16"},{"id":151,"name":"Denver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4058 --day 2017-12-02</v>
      </c>
      <c r="AN99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2017-12-02T13:10:09-0700',mode:absolute,to:'2017-12-02T15:51:16-0700'))&amp;_a=(columns:!('Message%20ID',Summary),filters:!(),index:'emp_*',interval:auto,query:(query_string:(analyze_wildcard:!t,query:'%22rtdc.l.rtdc.4058%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801</v>
      </c>
      <c r="B100" s="225">
        <v>4057</v>
      </c>
      <c r="C100" s="227" t="s">
        <v>192</v>
      </c>
      <c r="D100" s="227" t="s">
        <v>943</v>
      </c>
      <c r="E100" s="226">
        <v>43071.629965277774</v>
      </c>
      <c r="F100" s="226">
        <v>43071.633506944447</v>
      </c>
      <c r="G100" s="225">
        <v>57</v>
      </c>
      <c r="H100" s="227" t="s">
        <v>944</v>
      </c>
      <c r="I100" s="226">
        <v>43071.658900462964</v>
      </c>
      <c r="J100" s="225">
        <v>0</v>
      </c>
      <c r="K100" s="237" t="str">
        <f>IF(ISEVEN(B100),(B100-1)&amp;"/"&amp;B100,B100&amp;"/"&amp;(B100+1))</f>
        <v>4057/4058</v>
      </c>
      <c r="L100" s="245" t="str">
        <f>VLOOKUP(A100,'Trips&amp;Operators'!$C$1:$G$99911,5,FALSE)</f>
        <v>BRUDER RICHARD</v>
      </c>
      <c r="M100" s="224">
        <f>I100-F100</f>
        <v>2.5393518517375924E-2</v>
      </c>
      <c r="N100" s="225">
        <f>24*60*SUM($M100:$M100)</f>
        <v>36.56666666502133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-02T14:07:09-0700',mode:absolute,to:'2017-12-02T16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23.289000000000001</v>
      </c>
      <c r="Z100" s="247">
        <f>RIGHT(H100,LEN(H100)-4)/10000</f>
        <v>2.2700000000000001E-2</v>
      </c>
      <c r="AA100" s="247">
        <f>ABS(Z100-Y100)</f>
        <v>23.266300000000001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/stypes="app*4057*20171202*"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186-02 --locoid 4057 --swversion DE.1.0.9.0 --startMP 204:232890 --initTime 2017-12-02T15:07:09 --startdatetime 2017-12-02T15:12:15 --delay 57 --endMP 204:227 --enddatetime 2017-12-02T15:48:49 --enforcementcount 0 &gt;&gt;%USERPROFILE%\Documents\GitHub\eaglep3-reporting\EC\2017-12-02-refined-times.txt</v>
      </c>
      <c r="AI100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ID","value":"186-02"},{"id":16,"name":"Locomotive ID","value":"4057"},{"id":130,"name":"Impact","value":""},{"id":150,"name":"Time of Event (Mountain Time)","value":"15:48:49"},{"id":151,"name":"Denver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4057 --day 2017-12-02</v>
      </c>
      <c r="AN100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2017-12-02T14:07:09-0700',mode:absolute,to:'2017-12-02T16:48:49-0700'))&amp;_a=(columns:!('Message%20ID',Summary),filters:!(),index:'emp_*',interval:auto,query:(query_string:(analyze_wildcard:!t,query:'%22rtdc.l.rtdc.4057%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793</v>
      </c>
      <c r="B101" s="225">
        <v>4034</v>
      </c>
      <c r="C101" s="227" t="s">
        <v>192</v>
      </c>
      <c r="D101" s="227" t="s">
        <v>445</v>
      </c>
      <c r="E101" s="226">
        <v>43071.602743055555</v>
      </c>
      <c r="F101" s="226">
        <v>43071.604444444441</v>
      </c>
      <c r="G101" s="225">
        <v>46</v>
      </c>
      <c r="H101" s="227" t="s">
        <v>635</v>
      </c>
      <c r="I101" s="226">
        <v>43071.628483796296</v>
      </c>
      <c r="J101" s="225">
        <v>0</v>
      </c>
      <c r="K101" s="237" t="str">
        <f>IF(ISEVEN(B101),(B101-1)&amp;"/"&amp;B101,B101&amp;"/"&amp;(B101+1))</f>
        <v>4033/4034</v>
      </c>
      <c r="L101" s="245" t="str">
        <f>VLOOKUP(A101,'Trips&amp;Operators'!$C$1:$G$99911,5,FALSE)</f>
        <v>HOLCOMB KAMDEN</v>
      </c>
      <c r="M101" s="224">
        <f>I101-F101</f>
        <v>2.4039351854298729E-2</v>
      </c>
      <c r="N101" s="225">
        <f>24*60*SUM($M101:$M101)</f>
        <v>34.61666667019017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-02T13:27:57-0700',mode:absolute,to:'2017-12-02T16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5.3699999999999998E-2</v>
      </c>
      <c r="Z101" s="247">
        <f>RIGHT(H101,LEN(H101)-4)/10000</f>
        <v>23.3249</v>
      </c>
      <c r="AA101" s="247">
        <f>ABS(Z101-Y101)</f>
        <v>23.2712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/stypes="app*4034*20171202*"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187-02 --locoid 4034 --swversion DE.1.0.9.0 --startMP 204:537 --initTime 2017-12-02T14:27:57 --startdatetime 2017-12-02T14:30:24 --delay 46 --endMP 204:233249 --enddatetime 2017-12-02T15:05:01 --enforcementcount 0 &gt;&gt;%USERPROFILE%\Documents\GitHub\eaglep3-reporting\EC\2017-12-02-refined-times.txt</v>
      </c>
      <c r="AI10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ID","value":"187-02"},{"id":16,"name":"Locomotive ID","value":"4034"},{"id":130,"name":"Impact","value":""},{"id":150,"name":"Time of Event (Mountain Time)","value":"15:05:01"},{"id":151,"name":"Denver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4034 --day 2017-12-02</v>
      </c>
      <c r="AN101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2017-12-02T13:27:57-0700',mode:absolute,to:'2017-12-02T16:05:01-0700'))&amp;_a=(columns:!('Message%20ID',Summary),filters:!(),index:'emp_*',interval:auto,query:(query_string:(analyze_wildcard:!t,query:'%22rtdc.l.rtdc.4034%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802</v>
      </c>
      <c r="B102" s="225">
        <v>4033</v>
      </c>
      <c r="C102" s="227" t="s">
        <v>192</v>
      </c>
      <c r="D102" s="227" t="s">
        <v>645</v>
      </c>
      <c r="E102" s="226">
        <v>43071.640729166669</v>
      </c>
      <c r="F102" s="226">
        <v>43071.644166666665</v>
      </c>
      <c r="G102" s="225">
        <v>109</v>
      </c>
      <c r="H102" s="227" t="s">
        <v>515</v>
      </c>
      <c r="I102" s="226">
        <v>43071.669432870367</v>
      </c>
      <c r="J102" s="225">
        <v>0</v>
      </c>
      <c r="K102" s="237" t="str">
        <f>IF(ISEVEN(B102),(B102-1)&amp;"/"&amp;B102,B102&amp;"/"&amp;(B102+1))</f>
        <v>4033/4034</v>
      </c>
      <c r="L102" s="245" t="str">
        <f>VLOOKUP(A102,'Trips&amp;Operators'!$C$1:$G$99911,5,FALSE)</f>
        <v>HOLCOMB KAMDEN</v>
      </c>
      <c r="M102" s="224">
        <f>I102-F102</f>
        <v>2.5266203701903578E-2</v>
      </c>
      <c r="N102" s="225">
        <f>24*60*SUM($M102:$M102)</f>
        <v>36.383333330741152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-02T14:22:39-0700',mode:absolute,to:'2017-12-02T17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23.2928</v>
      </c>
      <c r="Z102" s="247">
        <f>RIGHT(H102,LEN(H102)-4)/10000</f>
        <v>2.2499999999999999E-2</v>
      </c>
      <c r="AA102" s="247">
        <f>ABS(Z102-Y102)</f>
        <v>23.270299999999999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/stypes="app*4033*20171202*"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188-02 --locoid 4033 --swversion DE.1.0.9.0 --startMP 204:232928 --initTime 2017-12-02T15:22:39 --startdatetime 2017-12-02T15:27:36 --delay 109 --endMP 204:225 --enddatetime 2017-12-02T16:03:59 --enforcementcount 0 &gt;&gt;%USERPROFILE%\Documents\GitHub\eaglep3-reporting\EC\2017-12-02-refined-times.txt</v>
      </c>
      <c r="AI10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ID","value":"188-02"},{"id":16,"name":"Locomotive ID","value":"4033"},{"id":130,"name":"Impact","value":""},{"id":150,"name":"Time of Event (Mountain Time)","value":"16:03:59"},{"id":151,"name":"Denver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4033 --day 2017-12-02</v>
      </c>
      <c r="AN102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2017-12-02T14:22:39-0700',mode:absolute,to:'2017-12-02T17:03:59-0700'))&amp;_a=(columns:!('Message%20ID',Summary),filters:!(),index:'emp_*',interval:auto,query:(query_string:(analyze_wildcard:!t,query:'%22rtdc.l.rtdc.4033%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796</v>
      </c>
      <c r="B103" s="225">
        <v>4030</v>
      </c>
      <c r="C103" s="227" t="s">
        <v>192</v>
      </c>
      <c r="D103" s="227" t="s">
        <v>621</v>
      </c>
      <c r="E103" s="226">
        <v>43071.608599537038</v>
      </c>
      <c r="F103" s="226">
        <v>43071.614733796298</v>
      </c>
      <c r="G103" s="225">
        <v>75</v>
      </c>
      <c r="H103" s="227" t="s">
        <v>1004</v>
      </c>
      <c r="I103" s="226">
        <v>43071.639710648145</v>
      </c>
      <c r="J103" s="225">
        <v>0</v>
      </c>
      <c r="K103" s="237" t="str">
        <f>IF(ISEVEN(B103),(B103-1)&amp;"/"&amp;B103,B103&amp;"/"&amp;(B103+1))</f>
        <v>4029/4030</v>
      </c>
      <c r="L103" s="245" t="str">
        <f>VLOOKUP(A103,'Trips&amp;Operators'!$C$1:$G$99911,5,FALSE)</f>
        <v>GONZALEZ ARMANDO</v>
      </c>
      <c r="M103" s="224">
        <f>I103-F103</f>
        <v>2.4976851847895887E-2</v>
      </c>
      <c r="N103" s="225">
        <f>24*60*SUM($M103:$M103)</f>
        <v>35.966666660970077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-02T13:36:23-0700',mode:absolute,to:'2017-12-02T16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4.58E-2</v>
      </c>
      <c r="Z103" s="247">
        <f>RIGHT(H103,LEN(H103)-4)/10000</f>
        <v>23.327400000000001</v>
      </c>
      <c r="AA103" s="247">
        <f>ABS(Z103-Y103)</f>
        <v>23.281600000000001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/stypes="app*4030*20171202*"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189-02 --locoid 4030 --swversion DE.1.0.9.0 --startMP 204:458 --initTime 2017-12-02T14:36:23 --startdatetime 2017-12-02T14:45:13 --delay 75 --endMP 204:233274 --enddatetime 2017-12-02T15:21:11 --enforcementcount 0 &gt;&gt;%USERPROFILE%\Documents\GitHub\eaglep3-reporting\EC\2017-12-02-refined-times.txt</v>
      </c>
      <c r="AI103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{"issue":{"subject":"","project_id":79,"tracker_id":40,"status_id":1,"priority_id":2,"assigned_to_id":338,"start_date":"2017-12-02","description":"","custom_fields":[{"id":1,"name":"Subdivision","value":"EC"},{"id":4,"name":"Milepost","value":"23.3274"},{"id":17,"name":"Train ID","value":"189-02"},{"id":16,"name":"Locomotive ID","value":"4030"},{"id":130,"name":"Impact","value":""},{"id":150,"name":"Time of Event (Mountain Time)","value":"15:21:11"},{"id":151,"name":"Denver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4030 --day 2017-12-02</v>
      </c>
      <c r="AN103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2017-12-02T13:36:23-0700',mode:absolute,to:'2017-12-02T16:21:11-0700'))&amp;_a=(columns:!('Message%20ID',Summary),filters:!(),index:'emp_*',interval:auto,query:(query_string:(analyze_wildcard:!t,query:'%22rtdc.l.rtdc.4030%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805</v>
      </c>
      <c r="B104" s="225">
        <v>4029</v>
      </c>
      <c r="C104" s="227" t="s">
        <v>192</v>
      </c>
      <c r="D104" s="227" t="s">
        <v>896</v>
      </c>
      <c r="E104" s="226">
        <v>43071.650405092594</v>
      </c>
      <c r="F104" s="226">
        <v>43071.654351851852</v>
      </c>
      <c r="G104" s="225">
        <v>77</v>
      </c>
      <c r="H104" s="227" t="s">
        <v>1005</v>
      </c>
      <c r="I104" s="226">
        <v>43071.680381944447</v>
      </c>
      <c r="J104" s="225">
        <v>0</v>
      </c>
      <c r="K104" s="237" t="str">
        <f>IF(ISEVEN(B104),(B104-1)&amp;"/"&amp;B104,B104&amp;"/"&amp;(B104+1))</f>
        <v>4029/4030</v>
      </c>
      <c r="L104" s="245" t="str">
        <f>VLOOKUP(A104,'Trips&amp;Operators'!$C$1:$G$99911,5,FALSE)</f>
        <v>GONZALEZ ARMANDO</v>
      </c>
      <c r="M104" s="224">
        <f>I104-F104</f>
        <v>2.6030092594737653E-2</v>
      </c>
      <c r="N104" s="225">
        <f>24*60*SUM($M104:$M104)</f>
        <v>37.48333333642222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-02T14:36:35-0700',mode:absolute,to:'2017-12-02T17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23.295000000000002</v>
      </c>
      <c r="Z104" s="247">
        <f>RIGHT(H104,LEN(H104)-4)/10000</f>
        <v>1.9400000000000001E-2</v>
      </c>
      <c r="AA104" s="247">
        <f>ABS(Z104-Y104)</f>
        <v>23.275600000000001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/stypes="app*4029*20171202*"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190-02 --locoid 4029 --swversion DE.1.0.9.0 --startMP 204:232950 --initTime 2017-12-02T15:36:35 --startdatetime 2017-12-02T15:42:16 --delay 77 --endMP 204:194 --enddatetime 2017-12-02T16:19:45 --enforcementcount 0 &gt;&gt;%USERPROFILE%\Documents\GitHub\eaglep3-reporting\EC\2017-12-02-refined-times.txt</v>
      </c>
      <c r="AI10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{"issue":{"subject":"","project_id":79,"tracker_id":40,"status_id":1,"priority_id":2,"assigned_to_id":338,"start_date":"2017-12-02","description":"","custom_fields":[{"id":1,"name":"Subdivision","value":"EC"},{"id":4,"name":"Milepost","value":"0.0194"},{"id":17,"name":"Train ID","value":"190-02"},{"id":16,"name":"Locomotive ID","value":"4029"},{"id":130,"name":"Impact","value":""},{"id":150,"name":"Time of Event (Mountain Time)","value":"16:19:45"},{"id":151,"name":"Denver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4029 --day 2017-12-02</v>
      </c>
      <c r="AN104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2017-12-02T14:36:35-0700',mode:absolute,to:'2017-12-02T17:19:45-0700'))&amp;_a=(columns:!('Message%20ID',Summary),filters:!(),index:'emp_*',interval:auto,query:(query_string:(analyze_wildcard:!t,query:'%22rtdc.l.rtdc.4029%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798</v>
      </c>
      <c r="B105" s="225">
        <v>4022</v>
      </c>
      <c r="C105" s="227" t="s">
        <v>192</v>
      </c>
      <c r="D105" s="227" t="s">
        <v>630</v>
      </c>
      <c r="E105" s="226">
        <v>43071.622604166667</v>
      </c>
      <c r="F105" s="226">
        <v>43071.625277777777</v>
      </c>
      <c r="G105" s="225">
        <v>62</v>
      </c>
      <c r="H105" s="227" t="s">
        <v>635</v>
      </c>
      <c r="I105" s="226">
        <v>43071.649699074071</v>
      </c>
      <c r="J105" s="225">
        <v>0</v>
      </c>
      <c r="K105" s="237" t="str">
        <f>IF(ISEVEN(B105),(B105-1)&amp;"/"&amp;B105,B105&amp;"/"&amp;(B105+1))</f>
        <v>4021/4022</v>
      </c>
      <c r="L105" s="245" t="str">
        <f>VLOOKUP(A105,'Trips&amp;Operators'!$C$1:$G$99911,5,FALSE)</f>
        <v>SAFIEF AEIMEN</v>
      </c>
      <c r="M105" s="224">
        <f>I105-F105</f>
        <v>2.4421296293439809E-2</v>
      </c>
      <c r="N105" s="225">
        <f>24*60*SUM($M105:$M105)</f>
        <v>35.166666662553325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-02T13:56:33-0700',mode:absolute,to:'2017-12-02T16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5.11E-2</v>
      </c>
      <c r="Z105" s="247">
        <f>RIGHT(H105,LEN(H105)-4)/10000</f>
        <v>23.3249</v>
      </c>
      <c r="AA105" s="247">
        <f>ABS(Z105-Y105)</f>
        <v>23.273799999999998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/stypes="app*4022*20171202*"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191-02 --locoid 4022 --swversion DE.1.0.9.0 --startMP 204:511 --initTime 2017-12-02T14:56:33 --startdatetime 2017-12-02T15:00:24 --delay 62 --endMP 204:233249 --enddatetime 2017-12-02T15:35:34 --enforcementcount 0 &gt;&gt;%USERPROFILE%\Documents\GitHub\eaglep3-reporting\EC\2017-12-02-refined-times.txt</v>
      </c>
      <c r="AI10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ID","value":"191-02"},{"id":16,"name":"Locomotive ID","value":"4022"},{"id":130,"name":"Impact","value":""},{"id":150,"name":"Time of Event (Mountain Time)","value":"15:35:34"},{"id":151,"name":"Denver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4022 --day 2017-12-02</v>
      </c>
      <c r="AN105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2017-12-02T13:56:33-0700',mode:absolute,to:'2017-12-02T16:35:34-0700'))&amp;_a=(columns:!('Message%20ID',Summary),filters:!(),index:'emp_*',interval:auto,query:(query_string:(analyze_wildcard:!t,query:'%22rtdc.l.rtdc.4022%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806</v>
      </c>
      <c r="B106" s="225">
        <v>4021</v>
      </c>
      <c r="C106" s="227" t="s">
        <v>192</v>
      </c>
      <c r="D106" s="227" t="s">
        <v>636</v>
      </c>
      <c r="E106" s="226">
        <v>43071.652013888888</v>
      </c>
      <c r="F106" s="226">
        <v>43071.664803240739</v>
      </c>
      <c r="G106" s="225">
        <v>67</v>
      </c>
      <c r="H106" s="227" t="s">
        <v>893</v>
      </c>
      <c r="I106" s="226">
        <v>43071.691689814812</v>
      </c>
      <c r="J106" s="225">
        <v>0</v>
      </c>
      <c r="K106" s="237" t="str">
        <f>IF(ISEVEN(B106),(B106-1)&amp;"/"&amp;B106,B106&amp;"/"&amp;(B106+1))</f>
        <v>4021/4022</v>
      </c>
      <c r="L106" s="245" t="str">
        <f>VLOOKUP(A106,'Trips&amp;Operators'!$C$1:$G$99911,5,FALSE)</f>
        <v>SAFIEF AEIMEN</v>
      </c>
      <c r="M106" s="224">
        <f>I106-F106</f>
        <v>2.6886574072705116E-2</v>
      </c>
      <c r="N106" s="225">
        <f>24*60*SUM($M106:$M106)</f>
        <v>38.716666664695367</v>
      </c>
      <c r="O106" s="225"/>
      <c r="P106" s="225"/>
      <c r="Q106" s="228"/>
      <c r="R106" s="242" t="s">
        <v>1085</v>
      </c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-02T14:38:54-0700',mode:absolute,to:'2017-12-02T17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23.292999999999999</v>
      </c>
      <c r="Z106" s="247">
        <f>RIGHT(H106,LEN(H106)-4)/10000</f>
        <v>0.02</v>
      </c>
      <c r="AA106" s="247">
        <f>ABS(Z106-Y106)</f>
        <v>23.273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/stypes="app*4021*20171202*"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192-02 --locoid 4021 --swversion DE.1.0.9.0 --startMP 204:232930 --initTime 2017-12-02T15:38:54 --startdatetime 2017-12-02T15:57:19 --delay 67 --endMP 204:200 --enddatetime 2017-12-02T16:36:02 --enforcementcount 0 &gt;&gt;%USERPROFILE%\Documents\GitHub\eaglep3-reporting\EC\2017-12-02-refined-times.txt</v>
      </c>
      <c r="AI106" s="238" t="str">
        <f t="shared" si="11"/>
        <v>echo {"issue":{"subject":"Onboard en route failure cause unhealthy xing at Chambers, no enforcement","project_id":79,"tracker_id":40,"status_id":1,"priority_id":2,"assigned_to_id":338,"start_date":"2017-12-02","description":"","custom_fields":[{"id":1,"name":"Subdivision","value":"EC"},{"id":4,"name":"Milepost","value":"0.02"},{"id":17,"name":"Train ID","value":"192-02"},{"id":16,"name":"Locomotive ID","value":"4021"},{"id":130,"name":"Impact","value":""},{"id":150,"name":"Time of Event (Mountain Time)","value":"16:36:02"},{"id":151,"name":"Denver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4021 --day 2017-12-02</v>
      </c>
      <c r="AN106" s="241" t="str">
        <f t="shared" si="13"/>
        <v>echo {"issue":{"subject":"Onboard en route failure cause unhealthy xing at Chambers, no enforcement","project_id":30,"tracker_id":4,"status_id":1,"priority_id":1,"assigned_to_id":10,"start_date":"2017-12-02","description":"","custom_fields":[{"id":30,"name":"Category","value":"Issue"},{"id":3,"name":"Functional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2017-12-02T14:38:54-0700',mode:absolute,to:'2017-12-02T17:36:02-0700'))&amp;_a=(columns:!('Message%20ID',Summary),filters:!(),index:'emp_*',interval:auto,query:(query_string:(analyze_wildcard:!t,query:'%22rtdc.l.rtdc.4021%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800</v>
      </c>
      <c r="B107" s="225">
        <v>4032</v>
      </c>
      <c r="C107" s="227" t="s">
        <v>192</v>
      </c>
      <c r="D107" s="227" t="s">
        <v>583</v>
      </c>
      <c r="E107" s="226">
        <v>43071.629907407405</v>
      </c>
      <c r="F107" s="226">
        <v>43071.635578703703</v>
      </c>
      <c r="G107" s="225">
        <v>51</v>
      </c>
      <c r="H107" s="227" t="s">
        <v>1010</v>
      </c>
      <c r="I107" s="226">
        <v>43071.66064814815</v>
      </c>
      <c r="J107" s="225">
        <v>0</v>
      </c>
      <c r="K107" s="237" t="str">
        <f>IF(ISEVEN(B107),(B107-1)&amp;"/"&amp;B107,B107&amp;"/"&amp;(B107+1))</f>
        <v>4031/4032</v>
      </c>
      <c r="L107" s="245" t="str">
        <f>VLOOKUP(A107,'Trips&amp;Operators'!$C$1:$G$99911,5,FALSE)</f>
        <v>GUZMAN DANNY</v>
      </c>
      <c r="M107" s="224">
        <f>I107-F107</f>
        <v>2.5069444447581191E-2</v>
      </c>
      <c r="N107" s="225">
        <f>24*60*SUM($M107:$M107)</f>
        <v>36.100000004516914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-02T14:07:04-0700',mode:absolute,to:'2017-12-02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5.57E-2</v>
      </c>
      <c r="Z107" s="247">
        <f>RIGHT(H107,LEN(H107)-4)/10000</f>
        <v>23.3245</v>
      </c>
      <c r="AA107" s="247">
        <f>ABS(Z107-Y107)</f>
        <v>23.268799999999999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/stypes="app*4032*20171202*"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193-02 --locoid 4032 --swversion DE.1.0.9.0 --startMP 204:557 --initTime 2017-12-02T15:07:04 --startdatetime 2017-12-02T15:15:14 --delay 51 --endMP 204:233245 --enddatetime 2017-12-02T15:51:20 --enforcementcount 0 &gt;&gt;%USERPROFILE%\Documents\GitHub\eaglep3-reporting\EC\2017-12-02-refined-times.txt</v>
      </c>
      <c r="AI10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{"issue":{"subject":"","project_id":79,"tracker_id":40,"status_id":1,"priority_id":2,"assigned_to_id":338,"start_date":"2017-12-02","description":"","custom_fields":[{"id":1,"name":"Subdivision","value":"EC"},{"id":4,"name":"Milepost","value":"23.3245"},{"id":17,"name":"Train ID","value":"193-02"},{"id":16,"name":"Locomotive ID","value":"4032"},{"id":130,"name":"Impact","value":""},{"id":150,"name":"Time of Event (Mountain Time)","value":"15:51:20"},{"id":151,"name":"Denver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4032 --day 2017-12-02</v>
      </c>
      <c r="AN107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2017-12-02T14:07:04-0700',mode:absolute,to:'2017-12-02T16:51:20-0700'))&amp;_a=(columns:!('Message%20ID',Summary),filters:!(),index:'emp_*',interval:auto,query:(query_string:(analyze_wildcard:!t,query:'%22rtdc.l.rtdc.4032%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808</v>
      </c>
      <c r="B108" s="225">
        <v>4031</v>
      </c>
      <c r="C108" s="227" t="s">
        <v>192</v>
      </c>
      <c r="D108" s="227" t="s">
        <v>640</v>
      </c>
      <c r="E108" s="226">
        <v>43071.662430555552</v>
      </c>
      <c r="F108" s="226">
        <v>43071.675173611111</v>
      </c>
      <c r="G108" s="225">
        <v>62</v>
      </c>
      <c r="H108" s="227" t="s">
        <v>913</v>
      </c>
      <c r="I108" s="226">
        <v>43071.701168981483</v>
      </c>
      <c r="J108" s="225">
        <v>0</v>
      </c>
      <c r="K108" s="237" t="str">
        <f>IF(ISEVEN(B108),(B108-1)&amp;"/"&amp;B108,B108&amp;"/"&amp;(B108+1))</f>
        <v>4031/4032</v>
      </c>
      <c r="L108" s="245" t="str">
        <f>VLOOKUP(A108,'Trips&amp;Operators'!$C$1:$G$99911,5,FALSE)</f>
        <v>GUZMAN DANNY</v>
      </c>
      <c r="M108" s="224">
        <f>I108-F108</f>
        <v>2.5995370371674653E-2</v>
      </c>
      <c r="N108" s="225">
        <f>24*60*SUM($M108:$M108)</f>
        <v>37.433333335211501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-02T14:53:54-0700',mode:absolute,to:'2017-12-02T17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23.2944</v>
      </c>
      <c r="Z108" s="247">
        <f>RIGHT(H108,LEN(H108)-4)/10000</f>
        <v>2.76E-2</v>
      </c>
      <c r="AA108" s="247">
        <f>ABS(Z108-Y108)</f>
        <v>23.2668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/stypes="app*4031*20171202*"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194-02 --locoid 4031 --swversion DE.1.0.9.0 --startMP 204:232944 --initTime 2017-12-02T15:53:54 --startdatetime 2017-12-02T16:12:15 --delay 62 --endMP 204:276 --enddatetime 2017-12-02T16:49:41 --enforcementcount 0 &gt;&gt;%USERPROFILE%\Documents\GitHub\eaglep3-reporting\EC\2017-12-02-refined-times.txt</v>
      </c>
      <c r="AI108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{"issue":{"subject":"","project_id":79,"tracker_id":40,"status_id":1,"priority_id":2,"assigned_to_id":338,"start_date":"2017-12-02","description":"","custom_fields":[{"id":1,"name":"Subdivision","value":"EC"},{"id":4,"name":"Milepost","value":"0.0276"},{"id":17,"name":"Train ID","value":"194-02"},{"id":16,"name":"Locomotive ID","value":"4031"},{"id":130,"name":"Impact","value":""},{"id":150,"name":"Time of Event (Mountain Time)","value":"16:49:41"},{"id":151,"name":"Denver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4031 --day 2017-12-02</v>
      </c>
      <c r="AN108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2017-12-02T14:53:54-0700',mode:absolute,to:'2017-12-02T17:49:41-0700'))&amp;_a=(columns:!('Message%20ID',Summary),filters:!(),index:'emp_*',interval:auto,query:(query_string:(analyze_wildcard:!t,query:'%22rtdc.l.rtdc.4031%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803</v>
      </c>
      <c r="B109" s="225">
        <v>4010</v>
      </c>
      <c r="C109" s="227" t="s">
        <v>192</v>
      </c>
      <c r="D109" s="227" t="s">
        <v>514</v>
      </c>
      <c r="E109" s="226">
        <v>43071.642233796294</v>
      </c>
      <c r="F109" s="226">
        <v>43071.646018518521</v>
      </c>
      <c r="G109" s="225">
        <v>71</v>
      </c>
      <c r="H109" s="227" t="s">
        <v>1011</v>
      </c>
      <c r="I109" s="226">
        <v>43071.671724537038</v>
      </c>
      <c r="J109" s="225">
        <v>0</v>
      </c>
      <c r="K109" s="237" t="str">
        <f>IF(ISEVEN(B109),(B109-1)&amp;"/"&amp;B109,B109&amp;"/"&amp;(B109+1))</f>
        <v>4009/4010</v>
      </c>
      <c r="L109" s="245" t="str">
        <f>VLOOKUP(A109,'Trips&amp;Operators'!$C$1:$G$99911,5,FALSE)</f>
        <v>BADERTSCHER DIANE</v>
      </c>
      <c r="M109" s="224">
        <f>I109-F109</f>
        <v>2.5706018517666962E-2</v>
      </c>
      <c r="N109" s="225">
        <f>24*60*SUM($M109:$M109)</f>
        <v>37.016666665440425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-02T14:24:49-0700',mode:absolute,to:'2017-12-02T17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5.4600000000000003E-2</v>
      </c>
      <c r="Z109" s="247">
        <f>RIGHT(H109,LEN(H109)-4)/10000</f>
        <v>23.322299999999998</v>
      </c>
      <c r="AA109" s="247">
        <f>ABS(Z109-Y109)</f>
        <v>23.267699999999998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/stypes="app*4010*20171202*"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195-02 --locoid 4010 --swversion DE.1.0.9.0 --startMP 204:546 --initTime 2017-12-02T15:24:49 --startdatetime 2017-12-02T15:30:16 --delay 71 --endMP 204:233223 --enddatetime 2017-12-02T16:07:17 --enforcementcount 0 &gt;&gt;%USERPROFILE%\Documents\GitHub\eaglep3-reporting\EC\2017-12-02-refined-times.txt</v>
      </c>
      <c r="AI10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{"issue":{"subject":"","project_id":79,"tracker_id":40,"status_id":1,"priority_id":2,"assigned_to_id":338,"start_date":"2017-12-02","description":"","custom_fields":[{"id":1,"name":"Subdivision","value":"EC"},{"id":4,"name":"Milepost","value":"23.3223"},{"id":17,"name":"Train ID","value":"195-02"},{"id":16,"name":"Locomotive ID","value":"4010"},{"id":130,"name":"Impact","value":""},{"id":150,"name":"Time of Event (Mountain Time)","value":"16:07:17"},{"id":151,"name":"Denver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2"/>
        <v>start /low /b %USERPROFILE%\Documents\GitHub\eaglep3\Utilities\DownloadLogsFromS3.py --loco 4010 --day 2017-12-02</v>
      </c>
      <c r="AN109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2017-12-02T14:24:49-0700',mode:absolute,to:'2017-12-02T17:07:17-0700'))&amp;_a=(columns:!('Message%20ID',Summary),filters:!(),index:'emp_*',interval:auto,query:(query_string:(analyze_wildcard:!t,query:'%22rtdc.l.rtdc.4010%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811</v>
      </c>
      <c r="B110" s="225">
        <v>4009</v>
      </c>
      <c r="C110" s="227" t="s">
        <v>192</v>
      </c>
      <c r="D110" s="227" t="s">
        <v>1012</v>
      </c>
      <c r="E110" s="226">
        <v>43071.682523148149</v>
      </c>
      <c r="F110" s="226">
        <v>43071.685659722221</v>
      </c>
      <c r="G110" s="225">
        <v>68</v>
      </c>
      <c r="H110" s="227" t="s">
        <v>1013</v>
      </c>
      <c r="I110" s="226">
        <v>43071.713703703703</v>
      </c>
      <c r="J110" s="225">
        <v>0</v>
      </c>
      <c r="K110" s="237" t="str">
        <f>IF(ISEVEN(B110),(B110-1)&amp;"/"&amp;B110,B110&amp;"/"&amp;(B110+1))</f>
        <v>4009/4010</v>
      </c>
      <c r="L110" s="245" t="str">
        <f>VLOOKUP(A110,'Trips&amp;Operators'!$C$1:$G$99911,5,FALSE)</f>
        <v>BADERTSCHER DIANE</v>
      </c>
      <c r="M110" s="224">
        <f>I110-F110</f>
        <v>2.8043981481459923E-2</v>
      </c>
      <c r="N110" s="225">
        <f>24*60*SUM($M110:$M110)</f>
        <v>40.383333333302289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-02T15:22:50-0700',mode:absolute,to:'2017-12-02T18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23.290900000000001</v>
      </c>
      <c r="Z110" s="247">
        <f>RIGHT(H110,LEN(H110)-4)/10000</f>
        <v>3.9100000000000003E-2</v>
      </c>
      <c r="AA110" s="247">
        <f>ABS(Z110-Y110)</f>
        <v>23.251799999999999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/stypes="app*4009*20171203*"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196-02 --locoid 4009 --swversion DE.1.0.9.0 --startMP 204:232909 --initTime 2017-12-02T16:22:50 --startdatetime 2017-12-02T16:27:21 --delay 68 --endMP 204:391 --enddatetime 2017-12-02T17:07:44 --enforcementcount 0 &gt;&gt;%USERPROFILE%\Documents\GitHub\eaglep3-reporting\EC\2017-12-02-refined-times.txt</v>
      </c>
      <c r="AI110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{"issue":{"subject":"","project_id":79,"tracker_id":40,"status_id":1,"priority_id":2,"assigned_to_id":338,"start_date":"2017-12-02","description":"","custom_fields":[{"id":1,"name":"Subdivision","value":"EC"},{"id":4,"name":"Milepost","value":"0.0391"},{"id":17,"name":"Train ID","value":"196-02"},{"id":16,"name":"Locomotive ID","value":"4009"},{"id":130,"name":"Impact","value":""},{"id":150,"name":"Time of Event (Mountain Time)","value":"17:07:44"},{"id":151,"name":"Denver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4009 --day 2017-12-02</v>
      </c>
      <c r="AN110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2017-12-02T15:22:50-0700',mode:absolute,to:'2017-12-02T18:07:44-0700'))&amp;_a=(columns:!('Message%20ID',Summary),filters:!(),index:'emp_*',interval:auto,query:(query_string:(analyze_wildcard:!t,query:'%22rtdc.l.rtdc.4009%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807</v>
      </c>
      <c r="B111" s="225">
        <v>4056</v>
      </c>
      <c r="C111" s="227" t="s">
        <v>192</v>
      </c>
      <c r="D111" s="227" t="s">
        <v>474</v>
      </c>
      <c r="E111" s="226">
        <v>43071.655069444445</v>
      </c>
      <c r="F111" s="226">
        <v>43071.656585648147</v>
      </c>
      <c r="G111" s="225">
        <v>59</v>
      </c>
      <c r="H111" s="227" t="s">
        <v>1014</v>
      </c>
      <c r="I111" s="226">
        <v>43071.681863425925</v>
      </c>
      <c r="J111" s="225">
        <v>0</v>
      </c>
      <c r="K111" s="237" t="str">
        <f>IF(ISEVEN(B111),(B111-1)&amp;"/"&amp;B111,B111&amp;"/"&amp;(B111+1))</f>
        <v>4055/4056</v>
      </c>
      <c r="L111" s="245" t="str">
        <f>VLOOKUP(A111,'Trips&amp;Operators'!$C$1:$G$99911,5,FALSE)</f>
        <v>BERLING GARY</v>
      </c>
      <c r="M111" s="224">
        <f>I111-F111</f>
        <v>2.527777777868323E-2</v>
      </c>
      <c r="N111" s="225">
        <f>24*60*SUM($M111:$M111)</f>
        <v>36.400000001303852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-02T14:43:18-0700',mode:absolute,to:'2017-12-02T17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5.0200000000000002E-2</v>
      </c>
      <c r="Z111" s="247">
        <f>RIGHT(H111,LEN(H111)-4)/10000</f>
        <v>23.319299999999998</v>
      </c>
      <c r="AA111" s="247">
        <f>ABS(Z111-Y111)</f>
        <v>23.269099999999998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/stypes="app*4056*20171202*"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197-02 --locoid 4056 --swversion DE.1.0.9.0 --startMP 204:502 --initTime 2017-12-02T15:43:18 --startdatetime 2017-12-02T15:45:29 --delay 59 --endMP 204:233193 --enddatetime 2017-12-02T16:21:53 --enforcementcount 0 &gt;&gt;%USERPROFILE%\Documents\GitHub\eaglep3-reporting\EC\2017-12-02-refined-times.txt</v>
      </c>
      <c r="AI11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{"issue":{"subject":"","project_id":79,"tracker_id":40,"status_id":1,"priority_id":2,"assigned_to_id":338,"start_date":"2017-12-02","description":"","custom_fields":[{"id":1,"name":"Subdivision","value":"EC"},{"id":4,"name":"Milepost","value":"23.3193"},{"id":17,"name":"Train ID","value":"197-02"},{"id":16,"name":"Locomotive ID","value":"4056"},{"id":130,"name":"Impact","value":""},{"id":150,"name":"Time of Event (Mountain Time)","value":"16:21:53"},{"id":151,"name":"Denver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4056 --day 2017-12-02</v>
      </c>
      <c r="AN111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2017-12-02T14:43:18-0700',mode:absolute,to:'2017-12-02T17:21:53-0700'))&amp;_a=(columns:!('Message%20ID',Summary),filters:!(),index:'emp_*',interval:auto,query:(query_string:(analyze_wildcard:!t,query:'%22rtdc.l.rtdc.4056%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814</v>
      </c>
      <c r="B112" s="225">
        <v>4055</v>
      </c>
      <c r="C112" s="227" t="s">
        <v>192</v>
      </c>
      <c r="D112" s="227" t="s">
        <v>1015</v>
      </c>
      <c r="E112" s="226">
        <v>43071.689571759256</v>
      </c>
      <c r="F112" s="226">
        <v>43071.69604166667</v>
      </c>
      <c r="G112" s="225">
        <v>81</v>
      </c>
      <c r="H112" s="227" t="s">
        <v>556</v>
      </c>
      <c r="I112" s="226">
        <v>43071.723796296297</v>
      </c>
      <c r="J112" s="225">
        <v>0</v>
      </c>
      <c r="K112" s="237" t="str">
        <f>IF(ISEVEN(B112),(B112-1)&amp;"/"&amp;B112,B112&amp;"/"&amp;(B112+1))</f>
        <v>4055/4056</v>
      </c>
      <c r="L112" s="245" t="str">
        <f>VLOOKUP(A112,'Trips&amp;Operators'!$C$1:$G$99911,5,FALSE)</f>
        <v>BERLING GARY</v>
      </c>
      <c r="M112" s="224">
        <f>I112-F112</f>
        <v>2.7754629627452232E-2</v>
      </c>
      <c r="N112" s="225">
        <f>24*60*SUM($M112:$M112)</f>
        <v>39.966666663531214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-02T15:32:59-0700',mode:absolute,to:'2017-12-02T18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23.288599999999999</v>
      </c>
      <c r="Z112" s="247">
        <f>RIGHT(H112,LEN(H112)-4)/10000</f>
        <v>2.3099999999999999E-2</v>
      </c>
      <c r="AA112" s="247">
        <f>ABS(Z112-Y112)</f>
        <v>23.265499999999999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/stypes="app*4055*20171203*"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198-02 --locoid 4055 --swversion DE.1.0.9.0 --startMP 204:232886 --initTime 2017-12-02T16:32:59 --startdatetime 2017-12-02T16:42:18 --delay 81 --endMP 204:231 --enddatetime 2017-12-02T17:22:16 --enforcementcount 0 &gt;&gt;%USERPROFILE%\Documents\GitHub\eaglep3-reporting\EC\2017-12-02-refined-times.txt</v>
      </c>
      <c r="AI11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{"issue":{"subject":"","project_id":79,"tracker_id":40,"status_id":1,"priority_id":2,"assigned_to_id":338,"start_date":"2017-12-02","description":"","custom_fields":[{"id":1,"name":"Subdivision","value":"EC"},{"id":4,"name":"Milepost","value":"0.0231"},{"id":17,"name":"Train ID","value":"198-02"},{"id":16,"name":"Locomotive ID","value":"4055"},{"id":130,"name":"Impact","value":""},{"id":150,"name":"Time of Event (Mountain Time)","value":"17:22:16"},{"id":151,"name":"Denver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4055 --day 2017-12-02</v>
      </c>
      <c r="AN112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2017-12-02T15:32:59-0700',mode:absolute,to:'2017-12-02T18:22:16-0700'))&amp;_a=(columns:!('Message%20ID',Summary),filters:!(),index:'emp_*',interval:auto,query:(query_string:(analyze_wildcard:!t,query:'%22rtdc.l.rtdc.4055%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809</v>
      </c>
      <c r="B113" s="225">
        <v>4058</v>
      </c>
      <c r="C113" s="227" t="s">
        <v>192</v>
      </c>
      <c r="D113" s="227" t="s">
        <v>578</v>
      </c>
      <c r="E113" s="226">
        <v>43071.663298611114</v>
      </c>
      <c r="F113" s="226">
        <v>43071.667037037034</v>
      </c>
      <c r="G113" s="225">
        <v>62</v>
      </c>
      <c r="H113" s="227" t="s">
        <v>932</v>
      </c>
      <c r="I113" s="226">
        <v>43071.691793981481</v>
      </c>
      <c r="J113" s="225">
        <v>0</v>
      </c>
      <c r="K113" s="237" t="str">
        <f>IF(ISEVEN(B113),(B113-1)&amp;"/"&amp;B113,B113&amp;"/"&amp;(B113+1))</f>
        <v>4057/4058</v>
      </c>
      <c r="L113" s="245" t="str">
        <f>VLOOKUP(A113,'Trips&amp;Operators'!$C$1:$G$99911,5,FALSE)</f>
        <v>BRUDER RICHARD</v>
      </c>
      <c r="M113" s="224">
        <f>I113-F113</f>
        <v>2.4756944447290152E-2</v>
      </c>
      <c r="N113" s="225">
        <f>24*60*SUM($M113:$M113)</f>
        <v>35.650000004097819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-02T14:55:09-0700',mode:absolute,to:'2017-12-02T17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5.1999999999999998E-2</v>
      </c>
      <c r="Z113" s="247">
        <f>RIGHT(H113,LEN(H113)-4)/10000</f>
        <v>23.321300000000001</v>
      </c>
      <c r="AA113" s="247">
        <f>ABS(Z113-Y113)</f>
        <v>23.269300000000001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/stypes="app*4058*20171202*"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199-02 --locoid 4058 --swversion DE.1.0.9.0 --startMP 204:520 --initTime 2017-12-02T15:55:09 --startdatetime 2017-12-02T16:00:32 --delay 62 --endMP 204:233213 --enddatetime 2017-12-02T16:36:11 --enforcementcount 0 &gt;&gt;%USERPROFILE%\Documents\GitHub\eaglep3-reporting\EC\2017-12-02-refined-times.txt</v>
      </c>
      <c r="AI113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{"issue":{"subject":"","project_id":79,"tracker_id":40,"status_id":1,"priority_id":2,"assigned_to_id":338,"start_date":"2017-12-02","description":"","custom_fields":[{"id":1,"name":"Subdivision","value":"EC"},{"id":4,"name":"Milepost","value":"23.3213"},{"id":17,"name":"Train ID","value":"199-02"},{"id":16,"name":"Locomotive ID","value":"4058"},{"id":130,"name":"Impact","value":""},{"id":150,"name":"Time of Event (Mountain Time)","value":"16:36:11"},{"id":151,"name":"Denver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4058 --day 2017-12-02</v>
      </c>
      <c r="AN113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2017-12-02T14:55:09-0700',mode:absolute,to:'2017-12-02T17:36:11-0700'))&amp;_a=(columns:!('Message%20ID',Summary),filters:!(),index:'emp_*',interval:auto,query:(query_string:(analyze_wildcard:!t,query:'%22rtdc.l.rtdc.4058%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817</v>
      </c>
      <c r="B114" s="225">
        <v>4057</v>
      </c>
      <c r="C114" s="227" t="s">
        <v>192</v>
      </c>
      <c r="D114" s="227" t="s">
        <v>638</v>
      </c>
      <c r="E114" s="226">
        <v>43071.703020833331</v>
      </c>
      <c r="F114" s="226">
        <v>43071.706423611111</v>
      </c>
      <c r="G114" s="225">
        <v>74</v>
      </c>
      <c r="H114" s="227" t="s">
        <v>479</v>
      </c>
      <c r="I114" s="226">
        <v>43071.73296296296</v>
      </c>
      <c r="J114" s="225">
        <v>0</v>
      </c>
      <c r="K114" s="237" t="str">
        <f>IF(ISEVEN(B114),(B114-1)&amp;"/"&amp;B114,B114&amp;"/"&amp;(B114+1))</f>
        <v>4057/4058</v>
      </c>
      <c r="L114" s="245" t="str">
        <f>VLOOKUP(A114,'Trips&amp;Operators'!$C$1:$G$99911,5,FALSE)</f>
        <v>BRUDER RICHARD</v>
      </c>
      <c r="M114" s="224">
        <f>I114-F114</f>
        <v>2.6539351849351078E-2</v>
      </c>
      <c r="N114" s="225">
        <f>24*60*SUM($M114:$M114)</f>
        <v>38.216666663065553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-02T15:52:21-0700',mode:absolute,to:'2017-12-02T18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23.290199999999999</v>
      </c>
      <c r="Z114" s="247">
        <f>RIGHT(H114,LEN(H114)-4)/10000</f>
        <v>2.1100000000000001E-2</v>
      </c>
      <c r="AA114" s="247">
        <f>ABS(Z114-Y114)</f>
        <v>23.269099999999998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/stypes="app*4057*20171203*"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200-02 --locoid 4057 --swversion DE.1.0.9.0 --startMP 204:232902 --initTime 2017-12-02T16:52:21 --startdatetime 2017-12-02T16:57:15 --delay 74 --endMP 204:211 --enddatetime 2017-12-02T17:35:28 --enforcementcount 0 &gt;&gt;%USERPROFILE%\Documents\GitHub\eaglep3-reporting\EC\2017-12-02-refined-times.txt</v>
      </c>
      <c r="AI11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ID","value":"200-02"},{"id":16,"name":"Locomotive ID","value":"4057"},{"id":130,"name":"Impact","value":""},{"id":150,"name":"Time of Event (Mountain Time)","value":"17:35:28"},{"id":151,"name":"Denver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4057 --day 2017-12-02</v>
      </c>
      <c r="AN114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2017-12-02T15:52:21-0700',mode:absolute,to:'2017-12-02T18:35:28-0700'))&amp;_a=(columns:!('Message%20ID',Summary),filters:!(),index:'emp_*',interval:auto,query:(query_string:(analyze_wildcard:!t,query:'%22rtdc.l.rtdc.4057%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663</v>
      </c>
      <c r="B115" s="225">
        <v>4034</v>
      </c>
      <c r="C115" s="227" t="s">
        <v>192</v>
      </c>
      <c r="D115" s="227" t="s">
        <v>475</v>
      </c>
      <c r="E115" s="226">
        <v>43071.673657407409</v>
      </c>
      <c r="F115" s="226">
        <v>43071.677372685182</v>
      </c>
      <c r="G115" s="225">
        <v>96</v>
      </c>
      <c r="H115" s="227" t="s">
        <v>1003</v>
      </c>
      <c r="I115" s="226">
        <v>43071.702453703707</v>
      </c>
      <c r="J115" s="225">
        <v>0</v>
      </c>
      <c r="K115" s="237" t="str">
        <f>IF(ISEVEN(B115),(B115-1)&amp;"/"&amp;B115,B115&amp;"/"&amp;(B115+1))</f>
        <v>4033/4034</v>
      </c>
      <c r="L115" s="245" t="str">
        <f>VLOOKUP(A115,'Trips&amp;Operators'!$C$1:$G$99911,5,FALSE)</f>
        <v>HOLCOMB KAMDEN</v>
      </c>
      <c r="M115" s="224">
        <f>I115-F115</f>
        <v>2.5081018524360843E-2</v>
      </c>
      <c r="N115" s="225">
        <f>24*60*SUM($M115:$M115)</f>
        <v>36.116666675079614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5.2200000000000003E-2</v>
      </c>
      <c r="Z115" s="247">
        <f>RIGHT(H115,LEN(H115)-4)/10000</f>
        <v>23.3203</v>
      </c>
      <c r="AA115" s="247">
        <f>ABS(Z115-Y115)</f>
        <v>23.2681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/stypes="app*4034*20171202*"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201-02 --locoid 4034 --swversion DE.1.0.9.0 --startMP 204:522 --initTime 2017-12-02T16:10:04 --startdatetime 2017-12-02T16:15:25 --delay 96 --endMP 204:233203 --enddatetime 2017-12-02T16:51:32 --enforcementcount 0 &gt;&gt;%USERPROFILE%\Documents\GitHub\eaglep3-reporting\EC\2017-12-02-refined-times.txt</v>
      </c>
      <c r="AI11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{"issue":{"subject":"","project_id":79,"tracker_id":40,"status_id":1,"priority_id":2,"assigned_to_id":338,"start_date":"2017-12-02","description":"","custom_fields":[{"id":1,"name":"Subdivision","value":"EC"},{"id":4,"name":"Milepost","value":"23.3203"},{"id":17,"name":"Train ID","value":"201-02"},{"id":16,"name":"Locomotive ID","value":"4034"},{"id":130,"name":"Impact","value":""},{"id":150,"name":"Time of Event (Mountain Time)","value":"16:51:32"},{"id":151,"name":"Denver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4034 --day 2017-12-02</v>
      </c>
      <c r="AN115" s="241" t="str">
        <f t="shared" si="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Message%20ID',Summary),filters:!(),index:'emp_*',interval:auto,query:(query_string:(analyze_wildcard:!t,query:'%22rtdc.l.rtdc.4034%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664</v>
      </c>
      <c r="B116" s="225">
        <v>4033</v>
      </c>
      <c r="C116" s="227" t="s">
        <v>192</v>
      </c>
      <c r="D116" s="227" t="s">
        <v>1016</v>
      </c>
      <c r="E116" s="226">
        <v>43071.71329861111</v>
      </c>
      <c r="F116" s="226">
        <v>43071.716874999998</v>
      </c>
      <c r="G116" s="225">
        <v>52</v>
      </c>
      <c r="H116" s="227" t="s">
        <v>944</v>
      </c>
      <c r="I116" s="226">
        <v>43071.742511574077</v>
      </c>
      <c r="J116" s="225">
        <v>0</v>
      </c>
      <c r="K116" s="237" t="str">
        <f>IF(ISEVEN(B116),(B116-1)&amp;"/"&amp;B116,B116&amp;"/"&amp;(B116+1))</f>
        <v>4033/4034</v>
      </c>
      <c r="L116" s="245" t="str">
        <f>VLOOKUP(A116,'Trips&amp;Operators'!$C$1:$G$99911,5,FALSE)</f>
        <v>HOLCOMB KAMDEN</v>
      </c>
      <c r="M116" s="224">
        <f>I116-F116</f>
        <v>2.5636574078816921E-2</v>
      </c>
      <c r="N116" s="225">
        <f>24*60*SUM($M116:$M116)</f>
        <v>36.916666673496366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23.287099999999999</v>
      </c>
      <c r="Z116" s="247">
        <f>RIGHT(H116,LEN(H116)-4)/10000</f>
        <v>2.2700000000000001E-2</v>
      </c>
      <c r="AA116" s="247">
        <f>ABS(Z116-Y116)</f>
        <v>23.264399999999998</v>
      </c>
      <c r="AB116" s="233" t="str">
        <f>VLOOKUP(A116,Enforcements!$C$7:$K$9,8,0)</f>
        <v>Bulletin (2)</v>
      </c>
      <c r="AC116" s="232" t="str">
        <f>VLOOKUP(A116,Enforcements!$C$7:$E$9,3,0)</f>
        <v>GRADE CROSSING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/stypes="app*4033*20171203*"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202-02 --locoid 4033 --swversion DE.1.0.9.0 --startMP 204:232871 --initTime 2017-12-02T17:07:09 --startdatetime 2017-12-02T17:12:18 --delay 52 --endMP 204:227 --enddatetime 2017-12-02T17:49:13 --enforcementcount 0 &gt;&gt;%USERPROFILE%\Documents\GitHub\eaglep3-reporting\EC\2017-12-02-refined-times.txt</v>
      </c>
      <c r="AI11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ID","value":"202-02"},{"id":16,"name":"Locomotive ID","value":"4033"},{"id":130,"name":"Impact","value":""},{"id":150,"name":"Time of Event (Mountain Time)","value":"17:49:13"},{"id":151,"name":"Denver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2"/>
        <v>start /low /b %USERPROFILE%\Documents\GitHub\eaglep3\Utilities\DownloadLogsFromS3.py --loco 4033 --day 2017-12-02</v>
      </c>
      <c r="AN116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Message%20ID',Summary),filters:!(),index:'emp_*',interval:auto,query:(query_string:(analyze_wildcard:!t,query:'%22rtdc.l.rtdc.4033%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813</v>
      </c>
      <c r="B117" s="225">
        <v>4030</v>
      </c>
      <c r="C117" s="227" t="s">
        <v>192</v>
      </c>
      <c r="D117" s="227" t="s">
        <v>921</v>
      </c>
      <c r="E117" s="226">
        <v>43071.684861111113</v>
      </c>
      <c r="F117" s="226">
        <v>43071.687662037039</v>
      </c>
      <c r="G117" s="225">
        <v>88</v>
      </c>
      <c r="H117" s="227" t="s">
        <v>607</v>
      </c>
      <c r="I117" s="226">
        <v>43071.712071759262</v>
      </c>
      <c r="J117" s="225">
        <v>0</v>
      </c>
      <c r="K117" s="237" t="str">
        <f>IF(ISEVEN(B117),(B117-1)&amp;"/"&amp;B117,B117&amp;"/"&amp;(B117+1))</f>
        <v>4029/4030</v>
      </c>
      <c r="L117" s="245" t="str">
        <f>VLOOKUP(A117,'Trips&amp;Operators'!$C$1:$G$99911,5,FALSE)</f>
        <v>DELGADO DIANAH</v>
      </c>
      <c r="M117" s="224">
        <f>I117-F117</f>
        <v>2.4409722223936114E-2</v>
      </c>
      <c r="N117" s="225">
        <f>24*60*SUM($M117:$M117)</f>
        <v>35.150000002468005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-02T15:26:12-0700',mode:absolute,to:'2017-12-02T18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4.9799999999999997E-2</v>
      </c>
      <c r="Z117" s="247">
        <f>RIGHT(H117,LEN(H117)-4)/10000</f>
        <v>23.329699999999999</v>
      </c>
      <c r="AA117" s="247">
        <f>ABS(Z117-Y117)</f>
        <v>23.279899999999998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/stypes="app*4030*20171203*"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203-02 --locoid 4030 --swversion DE.1.0.9.0 --startMP 204:498 --initTime 2017-12-02T16:26:12 --startdatetime 2017-12-02T16:30:14 --delay 88 --endMP 204:233297 --enddatetime 2017-12-02T17:05:23 --enforcementcount 0 &gt;&gt;%USERPROFILE%\Documents\GitHub\eaglep3-reporting\EC\2017-12-02-refined-times.txt</v>
      </c>
      <c r="AI11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{"issue":{"subject":"","project_id":79,"tracker_id":40,"status_id":1,"priority_id":2,"assigned_to_id":338,"start_date":"2017-12-02","description":"","custom_fields":[{"id":1,"name":"Subdivision","value":"EC"},{"id":4,"name":"Milepost","value":"23.3297"},{"id":17,"name":"Train ID","value":"203-02"},{"id":16,"name":"Locomotive ID","value":"4030"},{"id":130,"name":"Impact","value":""},{"id":150,"name":"Time of Event (Mountain Time)","value":"17:05:23"},{"id":151,"name":"Denver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2"/>
        <v>start /low /b %USERPROFILE%\Documents\GitHub\eaglep3\Utilities\DownloadLogsFromS3.py --loco 4030 --day 2017-12-02</v>
      </c>
      <c r="AN117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2017-12-02T15:26:12-0700',mode:absolute,to:'2017-12-02T18:05:23-0700'))&amp;_a=(columns:!('Message%20ID',Summary),filters:!(),index:'emp_*',interval:auto,query:(query_string:(analyze_wildcard:!t,query:'%22rtdc.l.rtdc.4030%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820</v>
      </c>
      <c r="B118" s="225">
        <v>4029</v>
      </c>
      <c r="C118" s="227" t="s">
        <v>192</v>
      </c>
      <c r="D118" s="227" t="s">
        <v>921</v>
      </c>
      <c r="E118" s="226">
        <v>43071.684861111113</v>
      </c>
      <c r="F118" s="226">
        <v>43071.727303240739</v>
      </c>
      <c r="G118" s="225">
        <v>88</v>
      </c>
      <c r="H118" s="227" t="s">
        <v>607</v>
      </c>
      <c r="I118" s="226">
        <v>43071.753240740742</v>
      </c>
      <c r="J118" s="225">
        <v>0</v>
      </c>
      <c r="K118" s="237" t="str">
        <f>IF(ISEVEN(B118),(B118-1)&amp;"/"&amp;B118,B118&amp;"/"&amp;(B118+1))</f>
        <v>4029/4030</v>
      </c>
      <c r="L118" s="245" t="str">
        <f>VLOOKUP(A118,'Trips&amp;Operators'!$C$1:$G$99911,5,FALSE)</f>
        <v>DELGADO DIANAH</v>
      </c>
      <c r="M118" s="224">
        <f>I118-F118</f>
        <v>2.5937500002328306E-2</v>
      </c>
      <c r="N118" s="225">
        <f>24*60*SUM($M118:$M118)</f>
        <v>37.350000003352761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-02T15:26:12-0700',mode:absolute,to:'2017-12-02T19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v>23.287099999999999</v>
      </c>
      <c r="Z118" s="247">
        <v>2.2700000000000001E-2</v>
      </c>
      <c r="AA118" s="247">
        <f>ABS(Z118-Y118)</f>
        <v>23.264399999999998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/stypes="app*4029*20171203*"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ref="AH118" si="28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204-02 --locoid 4029 --swversion DE.1.0.9.0 --startMP 204:498 --initTime 2017-12-02T16:26:12 --startdatetime 2017-12-02T17:27:19 --delay 88 --endMP 204:233297 --enddatetime 2017-12-02T18:04:40 --enforcementcount 0 &gt;&gt;%USERPROFILE%\Documents\GitHub\eaglep3-reporting\EC\2017-12-02-refined-times.txt</v>
      </c>
      <c r="AI118" s="238" t="str">
        <f t="shared" ref="AI118" si="29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ID","value":"204-02"},{"id":16,"name":"Locomotive ID","value":"4029"},{"id":130,"name":"Impact","value":""},{"id":150,"name":"Time of Event (Mountain Time)","value":"18:04:40"},{"id":151,"name":"Denver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ref="AM118" si="30">"start /low /b "&amp;dls3logs&amp;" --loco "&amp;B118&amp;" --day "&amp;TEXT(F118,"YYYY-MM-DD")</f>
        <v>start /low /b %USERPROFILE%\Documents\GitHub\eaglep3\Utilities\DownloadLogsFromS3.py --loco 4029 --day 2017-12-02</v>
      </c>
      <c r="AN118" s="241" t="str">
        <f t="shared" ref="AN118" si="31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ref="AO118" si="32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-02T15:26:12-0700',mode:absolute,to:'2017-12-02T19:04:40-0700'))&amp;_a=(columns:!('Message%20ID',Summary),filters:!(),index:'emp_*',interval:auto,query:(query_string:(analyze_wildcard:!t,query:'%22rtdc.l.rtdc.4029%22')),sort:!(Time.ISO8601,asc))</v>
      </c>
    </row>
    <row r="119" spans="1:91" s="20" customFormat="1" x14ac:dyDescent="0.3">
      <c r="A119" s="229" t="s">
        <v>816</v>
      </c>
      <c r="B119" s="225">
        <v>4022</v>
      </c>
      <c r="C119" s="227" t="s">
        <v>192</v>
      </c>
      <c r="D119" s="227" t="s">
        <v>620</v>
      </c>
      <c r="E119" s="226">
        <v>43071.694189814814</v>
      </c>
      <c r="F119" s="226">
        <v>43071.698217592595</v>
      </c>
      <c r="G119" s="225">
        <v>92</v>
      </c>
      <c r="H119" s="227" t="s">
        <v>912</v>
      </c>
      <c r="I119" s="226">
        <v>43071.723252314812</v>
      </c>
      <c r="J119" s="225">
        <v>0</v>
      </c>
      <c r="K119" s="237" t="str">
        <f>IF(ISEVEN(B119),(B119-1)&amp;"/"&amp;B119,B119&amp;"/"&amp;(B119+1))</f>
        <v>4021/4022</v>
      </c>
      <c r="L119" s="245" t="str">
        <f>VLOOKUP(A119,'Trips&amp;Operators'!$C$1:$G$99911,5,FALSE)</f>
        <v>SAFIEF AEIMEN</v>
      </c>
      <c r="M119" s="224">
        <f>I119-F119</f>
        <v>2.5034722217242233E-2</v>
      </c>
      <c r="N119" s="225">
        <f>24*60*SUM($M119:$M119)</f>
        <v>36.049999992828816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-02T15:39:38-0700',mode:absolute,to:'2017-12-02T18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0.05</v>
      </c>
      <c r="Z119" s="247">
        <f>RIGHT(H119,LEN(H119)-4)/10000</f>
        <v>23.323799999999999</v>
      </c>
      <c r="AA119" s="247">
        <f>ABS(Z119-Y119)</f>
        <v>23.273799999999998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/stypes="app*4022*20171203*"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205-02 --locoid 4022 --swversion DE.1.0.9.0 --startMP 204:500 --initTime 2017-12-02T16:39:38 --startdatetime 2017-12-02T16:45:26 --delay 92 --endMP 204:233238 --enddatetime 2017-12-02T17:21:29 --enforcementcount 0 &gt;&gt;%USERPROFILE%\Documents\GitHub\eaglep3-reporting\EC\2017-12-02-refined-times.txt</v>
      </c>
      <c r="AI11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{"issue":{"subject":"","project_id":79,"tracker_id":40,"status_id":1,"priority_id":2,"assigned_to_id":338,"start_date":"2017-12-02","description":"","custom_fields":[{"id":1,"name":"Subdivision","value":"EC"},{"id":4,"name":"Milepost","value":"23.3238"},{"id":17,"name":"Train ID","value":"205-02"},{"id":16,"name":"Locomotive ID","value":"4022"},{"id":130,"name":"Impact","value":""},{"id":150,"name":"Time of Event (Mountain Time)","value":"17:21:29"},{"id":151,"name":"Denver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2"/>
        <v>start /low /b %USERPROFILE%\Documents\GitHub\eaglep3\Utilities\DownloadLogsFromS3.py --loco 4022 --day 2017-12-02</v>
      </c>
      <c r="AN119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2017-12-02T15:39:38-0700',mode:absolute,to:'2017-12-02T18:21:29-0700'))&amp;_a=(columns:!('Message%20ID',Summary),filters:!(),index:'emp_*',interval:auto,query:(query_string:(analyze_wildcard:!t,query:'%22rtdc.l.rtdc.4022%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823</v>
      </c>
      <c r="B120" s="225">
        <v>4021</v>
      </c>
      <c r="C120" s="227" t="s">
        <v>192</v>
      </c>
      <c r="D120" s="227" t="s">
        <v>1017</v>
      </c>
      <c r="E120" s="226">
        <v>43071.725590277776</v>
      </c>
      <c r="F120" s="226">
        <v>43071.737662037034</v>
      </c>
      <c r="G120" s="225">
        <v>78</v>
      </c>
      <c r="H120" s="227" t="s">
        <v>614</v>
      </c>
      <c r="I120" s="226">
        <v>43071.764432870368</v>
      </c>
      <c r="J120" s="225">
        <v>0</v>
      </c>
      <c r="K120" s="237" t="str">
        <f>IF(ISEVEN(B120),(B120-1)&amp;"/"&amp;B120,B120&amp;"/"&amp;(B120+1))</f>
        <v>4021/4022</v>
      </c>
      <c r="L120" s="245" t="str">
        <f>VLOOKUP(A120,'Trips&amp;Operators'!$C$1:$G$99911,5,FALSE)</f>
        <v>SAFIEF AEIMEN</v>
      </c>
      <c r="M120" s="224">
        <f>I120-F120</f>
        <v>2.6770833334012423E-2</v>
      </c>
      <c r="N120" s="225">
        <f>24*60*SUM($M120:$M120)</f>
        <v>38.550000000977889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-02T16:24:51-0700',mode:absolute,to:'2017-12-02T19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23.290500000000002</v>
      </c>
      <c r="Z120" s="247">
        <f>RIGHT(H120,LEN(H120)-4)/10000</f>
        <v>2.01E-2</v>
      </c>
      <c r="AA120" s="247">
        <f>ABS(Z120-Y120)</f>
        <v>23.270400000000002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/stypes="app*4021*20171203*"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206-02 --locoid 4021 --swversion DE.1.0.9.0 --startMP 204:232905 --initTime 2017-12-02T17:24:51 --startdatetime 2017-12-02T17:42:14 --delay 78 --endMP 204:201 --enddatetime 2017-12-02T18:20:47 --enforcementcount 0 &gt;&gt;%USERPROFILE%\Documents\GitHub\eaglep3-reporting\EC\2017-12-02-refined-times.txt</v>
      </c>
      <c r="AI120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{"issue":{"subject":"","project_id":79,"tracker_id":40,"status_id":1,"priority_id":2,"assigned_to_id":338,"start_date":"2017-12-02","description":"","custom_fields":[{"id":1,"name":"Subdivision","value":"EC"},{"id":4,"name":"Milepost","value":"0.0201"},{"id":17,"name":"Train ID","value":"206-02"},{"id":16,"name":"Locomotive ID","value":"4021"},{"id":130,"name":"Impact","value":""},{"id":150,"name":"Time of Event (Mountain Time)","value":"18:20:47"},{"id":151,"name":"Denver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12"/>
        <v>start /low /b %USERPROFILE%\Documents\GitHub\eaglep3\Utilities\DownloadLogsFromS3.py --loco 4021 --day 2017-12-02</v>
      </c>
      <c r="AN120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2017-12-02T16:24:51-0700',mode:absolute,to:'2017-12-02T19:20:47-0700'))&amp;_a=(columns:!('Message%20ID',Summary),filters:!(),index:'emp_*',interval:auto,query:(query_string:(analyze_wildcard:!t,query:'%22rtdc.l.rtdc.4021%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818</v>
      </c>
      <c r="B121" s="225">
        <v>4032</v>
      </c>
      <c r="C121" s="227" t="s">
        <v>192</v>
      </c>
      <c r="D121" s="227" t="s">
        <v>1018</v>
      </c>
      <c r="E121" s="226">
        <v>43071.705300925925</v>
      </c>
      <c r="F121" s="226">
        <v>43071.708495370367</v>
      </c>
      <c r="G121" s="225">
        <v>60</v>
      </c>
      <c r="H121" s="227" t="s">
        <v>635</v>
      </c>
      <c r="I121" s="226">
        <v>43071.733738425923</v>
      </c>
      <c r="J121" s="225">
        <v>0</v>
      </c>
      <c r="K121" s="237" t="str">
        <f>IF(ISEVEN(B121),(B121-1)&amp;"/"&amp;B121,B121&amp;"/"&amp;(B121+1))</f>
        <v>4031/4032</v>
      </c>
      <c r="L121" s="245" t="str">
        <f>VLOOKUP(A121,'Trips&amp;Operators'!$C$1:$G$99911,5,FALSE)</f>
        <v>GUZMAN DANNY</v>
      </c>
      <c r="M121" s="224">
        <f>I121-F121</f>
        <v>2.5243055555620231E-2</v>
      </c>
      <c r="N121" s="225">
        <f>24*60*SUM($M121:$M121)</f>
        <v>36.350000000093132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-02T15:55:38-0700',mode:absolute,to:'2017-12-02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5.6599999999999998E-2</v>
      </c>
      <c r="Z121" s="247">
        <f>RIGHT(H121,LEN(H121)-4)/10000</f>
        <v>23.3249</v>
      </c>
      <c r="AA121" s="247">
        <f>ABS(Z121-Y121)</f>
        <v>23.2683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/stypes="app*4032*20171203*"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207-02 --locoid 4032 --swversion DE.1.0.9.0 --startMP 204:566 --initTime 2017-12-02T16:55:38 --startdatetime 2017-12-02T17:00:14 --delay 60 --endMP 204:233249 --enddatetime 2017-12-02T17:36:35 --enforcementcount 0 &gt;&gt;%USERPROFILE%\Documents\GitHub\eaglep3-reporting\EC\2017-12-02-refined-times.txt</v>
      </c>
      <c r="AI12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ID","value":"207-02"},{"id":16,"name":"Locomotive ID","value":"4032"},{"id":130,"name":"Impact","value":""},{"id":150,"name":"Time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12"/>
        <v>start /low /b %USERPROFILE%\Documents\GitHub\eaglep3\Utilities\DownloadLogsFromS3.py --loco 4032 --day 2017-12-02</v>
      </c>
      <c r="AN121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2017-12-02T15:55:38-0700',mode:absolute,to:'2017-12-02T18:36:35-0700'))&amp;_a=(columns:!('Message%20ID',Summary),filters:!(),index:'emp_*',interval:auto,query:(query_string:(analyze_wildcard:!t,query:'%22rtdc.l.rtdc.4032%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826</v>
      </c>
      <c r="B122" s="225">
        <v>4031</v>
      </c>
      <c r="C122" s="227" t="s">
        <v>192</v>
      </c>
      <c r="D122" s="227" t="s">
        <v>642</v>
      </c>
      <c r="E122" s="226">
        <v>43071.736192129632</v>
      </c>
      <c r="F122" s="226">
        <v>43071.748148148145</v>
      </c>
      <c r="G122" s="225">
        <v>54</v>
      </c>
      <c r="H122" s="227" t="s">
        <v>637</v>
      </c>
      <c r="I122" s="226">
        <v>43071.774513888886</v>
      </c>
      <c r="J122" s="225">
        <v>0</v>
      </c>
      <c r="K122" s="237" t="str">
        <f>IF(ISEVEN(B122),(B122-1)&amp;"/"&amp;B122,B122&amp;"/"&amp;(B122+1))</f>
        <v>4031/4032</v>
      </c>
      <c r="L122" s="245" t="str">
        <f>VLOOKUP(A122,'Trips&amp;Operators'!$C$1:$G$99911,5,FALSE)</f>
        <v>GUZMAN DANNY</v>
      </c>
      <c r="M122" s="224">
        <f>I122-F122</f>
        <v>2.6365740741312038E-2</v>
      </c>
      <c r="N122" s="225">
        <f>24*60*SUM($M122:$M122)</f>
        <v>37.966666667489335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-02T16:40:07-0700',mode:absolute,to:'2017-12-02T19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23.293199999999999</v>
      </c>
      <c r="Z122" s="247">
        <f>RIGHT(H122,LEN(H122)-4)/10000</f>
        <v>2.8299999999999999E-2</v>
      </c>
      <c r="AA122" s="247">
        <f>ABS(Z122-Y122)</f>
        <v>23.264899999999997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/stypes="app*4031*20171203*"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208-02 --locoid 4031 --swversion DE.1.0.9.0 --startMP 204:232932 --initTime 2017-12-02T17:40:07 --startdatetime 2017-12-02T17:57:20 --delay 54 --endMP 204:283 --enddatetime 2017-12-02T18:35:18 --enforcementcount 0 &gt;&gt;%USERPROFILE%\Documents\GitHub\eaglep3-reporting\EC\2017-12-02-refined-times.txt</v>
      </c>
      <c r="AI12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{"issue":{"subject":"","project_id":79,"tracker_id":40,"status_id":1,"priority_id":2,"assigned_to_id":338,"start_date":"2017-12-02","description":"","custom_fields":[{"id":1,"name":"Subdivision","value":"EC"},{"id":4,"name":"Milepost","value":"0.0283"},{"id":17,"name":"Train ID","value":"208-02"},{"id":16,"name":"Locomotive ID","value":"4031"},{"id":130,"name":"Impact","value":""},{"id":150,"name":"Time of Event (Mountain Time)","value":"18:35:18"},{"id":151,"name":"Denver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4031 --day 2017-12-02</v>
      </c>
      <c r="AN122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2017-12-02T16:40:07-0700',mode:absolute,to:'2017-12-02T19:35:18-0700'))&amp;_a=(columns:!('Message%20ID',Summary),filters:!(),index:'emp_*',interval:auto,query:(query_string:(analyze_wildcard:!t,query:'%22rtdc.l.rtdc.4031%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821</v>
      </c>
      <c r="B123" s="225">
        <v>4010</v>
      </c>
      <c r="C123" s="227" t="s">
        <v>192</v>
      </c>
      <c r="D123" s="227" t="s">
        <v>642</v>
      </c>
      <c r="E123" s="226">
        <v>43071.736192129632</v>
      </c>
      <c r="F123" s="226">
        <v>43071.719282407408</v>
      </c>
      <c r="G123" s="225">
        <v>54</v>
      </c>
      <c r="H123" s="227" t="s">
        <v>637</v>
      </c>
      <c r="I123" s="226">
        <v>43071.745613425926</v>
      </c>
      <c r="J123" s="225">
        <v>0</v>
      </c>
      <c r="K123" s="237" t="str">
        <f>IF(ISEVEN(B123),(B123-1)&amp;"/"&amp;B123,B123&amp;"/"&amp;(B123+1))</f>
        <v>4009/4010</v>
      </c>
      <c r="L123" s="245" t="str">
        <f>VLOOKUP(A123,'Trips&amp;Operators'!$C$1:$G$99911,5,FALSE)</f>
        <v>BADERTSCHER DIANE</v>
      </c>
      <c r="M123" s="224">
        <f>I123-F123</f>
        <v>2.6331018518249039E-2</v>
      </c>
      <c r="N123" s="225">
        <f>24*60*SUM($M123:$M123)</f>
        <v>37.916666666278616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-02T16:40:07-0700',mode:absolute,to:'2017-12-02T18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v>5.6599999999999998E-2</v>
      </c>
      <c r="Z123" s="247">
        <v>23.3249</v>
      </c>
      <c r="AA123" s="247">
        <f>ABS(Z123-Y123)</f>
        <v>23.2683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/stypes="app*4010*20171203*"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ref="AH123" si="33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209-02 --locoid 4010 --swversion DE.1.0.9.0 --startMP 204:232932 --initTime 2017-12-02T17:40:07 --startdatetime 2017-12-02T17:15:46 --delay 54 --endMP 204:283 --enddatetime 2017-12-02T17:53:41 --enforcementcount 0 &gt;&gt;%USERPROFILE%\Documents\GitHub\eaglep3-reporting\EC\2017-12-02-refined-times.txt</v>
      </c>
      <c r="AI123" s="238" t="str">
        <f t="shared" ref="AI123" si="34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{"issue":{"subject":"","project_id":79,"tracker_id":40,"status_id":1,"priority_id":2,"assigned_to_id":338,"start_date":"2017-12-02","description":"","custom_fields":[{"id":1,"name":"Subdivision","value":"EC"},{"id":4,"name":"Milepost","value":"23.3249"},{"id":17,"name":"Train ID","value":"209-02"},{"id":16,"name":"Locomotive ID","value":"4010"},{"id":130,"name":"Impact","value":""},{"id":150,"name":"Time of Event (Mountain Time)","value":"17:53:41"},{"id":151,"name":"Denver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ref="AM123" si="35">"start /low /b "&amp;dls3logs&amp;" --loco "&amp;B123&amp;" --day "&amp;TEXT(F123,"YYYY-MM-DD")</f>
        <v>start /low /b %USERPROFILE%\Documents\GitHub\eaglep3\Utilities\DownloadLogsFromS3.py --loco 4010 --day 2017-12-02</v>
      </c>
      <c r="AN123" s="241" t="str">
        <f t="shared" ref="AN123" si="36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ref="AO123" si="37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-02T16:40:07-0700',mode:absolute,to:'2017-12-02T18:53:41-0700'))&amp;_a=(columns:!('Message%20ID',Summary),filters:!(),index:'emp_*',interval:auto,query:(query_string:(analyze_wildcard:!t,query:'%22rtdc.l.rtdc.4010%22')),sort:!(Time.ISO8601,asc))</v>
      </c>
    </row>
    <row r="124" spans="1:91" s="20" customFormat="1" x14ac:dyDescent="0.3">
      <c r="A124" s="229" t="s">
        <v>829</v>
      </c>
      <c r="B124" s="225">
        <v>4009</v>
      </c>
      <c r="C124" s="227" t="s">
        <v>192</v>
      </c>
      <c r="D124" s="227" t="s">
        <v>904</v>
      </c>
      <c r="E124" s="226">
        <v>43071.753472222219</v>
      </c>
      <c r="F124" s="226">
        <v>43071.75849537037</v>
      </c>
      <c r="G124" s="225">
        <v>99</v>
      </c>
      <c r="H124" s="227" t="s">
        <v>1019</v>
      </c>
      <c r="I124" s="226">
        <v>43071.786180555559</v>
      </c>
      <c r="J124" s="225">
        <v>0</v>
      </c>
      <c r="K124" s="237" t="str">
        <f>IF(ISEVEN(B124),(B124-1)&amp;"/"&amp;B124,B124&amp;"/"&amp;(B124+1))</f>
        <v>4009/4010</v>
      </c>
      <c r="L124" s="245" t="str">
        <f>VLOOKUP(A124,'Trips&amp;Operators'!$C$1:$G$99911,5,FALSE)</f>
        <v>BADERTSCHER DIANE</v>
      </c>
      <c r="M124" s="224">
        <f>I124-F124</f>
        <v>2.768518518860219E-2</v>
      </c>
      <c r="N124" s="225">
        <f>24*60*SUM($M124:$M124)</f>
        <v>39.866666671587154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-02T17:05:00-0700',mode:absolute,to:'2017-12-02T19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23.290700000000001</v>
      </c>
      <c r="Z124" s="247">
        <f>RIGHT(H124,LEN(H124)-4)/10000</f>
        <v>2.5100000000000001E-2</v>
      </c>
      <c r="AA124" s="247">
        <f>ABS(Z124-Y124)</f>
        <v>23.265600000000003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/stypes="app*4009*20171203*"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210-02 --locoid 4009 --swversion DE.1.0.9.0 --startMP 204:232907 --initTime 2017-12-02T18:05:00 --startdatetime 2017-12-02T18:12:14 --delay 99 --endMP 204:251 --enddatetime 2017-12-02T18:52:06 --enforcementcount 0 &gt;&gt;%USERPROFILE%\Documents\GitHub\eaglep3-reporting\EC\2017-12-02-refined-times.txt</v>
      </c>
      <c r="AI12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{"issue":{"subject":"","project_id":79,"tracker_id":40,"status_id":1,"priority_id":2,"assigned_to_id":338,"start_date":"2017-12-02","description":"","custom_fields":[{"id":1,"name":"Subdivision","value":"EC"},{"id":4,"name":"Milepost","value":"0.0251"},{"id":17,"name":"Train ID","value":"210-02"},{"id":16,"name":"Locomotive ID","value":"4009"},{"id":130,"name":"Impact","value":""},{"id":150,"name":"Time of Event (Mountain Time)","value":"18:52:06"},{"id":151,"name":"Denver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4009 --day 2017-12-02</v>
      </c>
      <c r="AN124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2017-12-02T17:05:00-0700',mode:absolute,to:'2017-12-02T19:52:06-0700'))&amp;_a=(columns:!('Message%20ID',Summary),filters:!(),index:'emp_*',interval:auto,query:(query_string:(analyze_wildcard:!t,query:'%22rtdc.l.rtdc.4009%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824</v>
      </c>
      <c r="B125" s="225">
        <v>4056</v>
      </c>
      <c r="C125" s="227" t="s">
        <v>192</v>
      </c>
      <c r="D125" s="227" t="s">
        <v>611</v>
      </c>
      <c r="E125" s="226">
        <v>43071.725844907407</v>
      </c>
      <c r="F125" s="226">
        <v>43071.729375000003</v>
      </c>
      <c r="G125" s="225">
        <v>76</v>
      </c>
      <c r="H125" s="227" t="s">
        <v>632</v>
      </c>
      <c r="I125" s="226">
        <v>43071.754687499997</v>
      </c>
      <c r="J125" s="225">
        <v>0</v>
      </c>
      <c r="K125" s="237" t="str">
        <f>IF(ISEVEN(B125),(B125-1)&amp;"/"&amp;B125,B125&amp;"/"&amp;(B125+1))</f>
        <v>4055/4056</v>
      </c>
      <c r="L125" s="245" t="str">
        <f>VLOOKUP(A125,'Trips&amp;Operators'!$C$1:$G$99911,5,FALSE)</f>
        <v>BERLING GARY</v>
      </c>
      <c r="M125" s="224">
        <f>I125-F125</f>
        <v>2.5312499994470272E-2</v>
      </c>
      <c r="N125" s="225">
        <f>24*60*SUM($M125:$M125)</f>
        <v>36.449999992037192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-02T16:25:13-0700',mode:absolute,to:'2017-12-02T19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5.3499999999999999E-2</v>
      </c>
      <c r="Z125" s="247">
        <f>RIGHT(H125,LEN(H125)-4)/10000</f>
        <v>23.325500000000002</v>
      </c>
      <c r="AA125" s="247">
        <f>ABS(Z125-Y125)</f>
        <v>23.272000000000002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/stypes="app*4056*20171203*"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211-02 --locoid 4056 --swversion DE.1.0.9.0 --startMP 204:535 --initTime 2017-12-02T17:25:13 --startdatetime 2017-12-02T17:30:18 --delay 76 --endMP 204:233255 --enddatetime 2017-12-02T18:06:45 --enforcementcount 0 &gt;&gt;%USERPROFILE%\Documents\GitHub\eaglep3-reporting\EC\2017-12-02-refined-times.txt</v>
      </c>
      <c r="AI12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{"issue":{"subject":"","project_id":79,"tracker_id":40,"status_id":1,"priority_id":2,"assigned_to_id":338,"start_date":"2017-12-02","description":"","custom_fields":[{"id":1,"name":"Subdivision","value":"EC"},{"id":4,"name":"Milepost","value":"23.3255"},{"id":17,"name":"Train ID","value":"211-02"},{"id":16,"name":"Locomotive ID","value":"4056"},{"id":130,"name":"Impact","value":""},{"id":150,"name":"Time of Event (Mountain Time)","value":"18:06:45"},{"id":151,"name":"Denver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2"/>
        <v>start /low /b %USERPROFILE%\Documents\GitHub\eaglep3\Utilities\DownloadLogsFromS3.py --loco 4056 --day 2017-12-02</v>
      </c>
      <c r="AN125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2017-12-02T16:25:13-0700',mode:absolute,to:'2017-12-02T19:06:45-0700'))&amp;_a=(columns:!('Message%20ID',Summary),filters:!(),index:'emp_*',interval:auto,query:(query_string:(analyze_wildcard:!t,query:'%22rtdc.l.rtdc.4056%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832</v>
      </c>
      <c r="B126" s="225">
        <v>4055</v>
      </c>
      <c r="C126" s="227" t="s">
        <v>192</v>
      </c>
      <c r="D126" s="227" t="s">
        <v>645</v>
      </c>
      <c r="E126" s="226">
        <v>43071.764675925922</v>
      </c>
      <c r="F126" s="226">
        <v>43071.768912037034</v>
      </c>
      <c r="G126" s="225">
        <v>56</v>
      </c>
      <c r="H126" s="227" t="s">
        <v>443</v>
      </c>
      <c r="I126" s="226">
        <v>43071.795601851853</v>
      </c>
      <c r="J126" s="225">
        <v>0</v>
      </c>
      <c r="K126" s="237" t="str">
        <f>IF(ISEVEN(B126),(B126-1)&amp;"/"&amp;B126,B126&amp;"/"&amp;(B126+1))</f>
        <v>4055/4056</v>
      </c>
      <c r="L126" s="245" t="str">
        <f>VLOOKUP(A126,'Trips&amp;Operators'!$C$1:$G$99911,5,FALSE)</f>
        <v>BERLING GARY</v>
      </c>
      <c r="M126" s="224">
        <f>I126-F126</f>
        <v>2.6689814818382729E-2</v>
      </c>
      <c r="N126" s="225">
        <f>24*60*SUM($M126:$M126)</f>
        <v>38.43333333847113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-02T17:21:08-0700',mode:absolute,to:'2017-12-02T20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23.2928</v>
      </c>
      <c r="Z126" s="247">
        <f>RIGHT(H126,LEN(H126)-4)/10000</f>
        <v>2.07E-2</v>
      </c>
      <c r="AA126" s="247">
        <f>ABS(Z126-Y126)</f>
        <v>23.272099999999998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/stypes="app*4055*20171203*"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212-02 --locoid 4055 --swversion DE.1.0.9.0 --startMP 204:232928 --initTime 2017-12-02T18:21:08 --startdatetime 2017-12-02T18:27:14 --delay 56 --endMP 204:207 --enddatetime 2017-12-02T19:05:40 --enforcementcount 0 &gt;&gt;%USERPROFILE%\Documents\GitHub\eaglep3-reporting\EC\2017-12-02-refined-times.txt</v>
      </c>
      <c r="AI12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ID","value":"212-02"},{"id":16,"name":"Locomotive ID","value":"4055"},{"id":130,"name":"Impact","value":""},{"id":150,"name":"Time of Event (Mountain Time)","value":"19:05:40"},{"id":151,"name":"Denver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2"/>
        <v>start /low /b %USERPROFILE%\Documents\GitHub\eaglep3\Utilities\DownloadLogsFromS3.py --loco 4055 --day 2017-12-02</v>
      </c>
      <c r="AN126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2017-12-02T17:21:08-0700',mode:absolute,to:'2017-12-02T20:05:40-0700'))&amp;_a=(columns:!('Message%20ID',Summary),filters:!(),index:'emp_*',interval:auto,query:(query_string:(analyze_wildcard:!t,query:'%22rtdc.l.rtdc.4055%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827</v>
      </c>
      <c r="B127" s="225">
        <v>4058</v>
      </c>
      <c r="C127" s="227" t="s">
        <v>192</v>
      </c>
      <c r="D127" s="227" t="s">
        <v>578</v>
      </c>
      <c r="E127" s="226">
        <v>43071.735949074071</v>
      </c>
      <c r="F127" s="226">
        <v>43071.739733796298</v>
      </c>
      <c r="G127" s="225">
        <v>133</v>
      </c>
      <c r="H127" s="227" t="s">
        <v>1020</v>
      </c>
      <c r="I127" s="226">
        <v>43071.765509259261</v>
      </c>
      <c r="J127" s="225">
        <v>0</v>
      </c>
      <c r="K127" s="237" t="str">
        <f>IF(ISEVEN(B127),(B127-1)&amp;"/"&amp;B127,B127&amp;"/"&amp;(B127+1))</f>
        <v>4057/4058</v>
      </c>
      <c r="L127" s="245" t="str">
        <f>VLOOKUP(A127,'Trips&amp;Operators'!$C$1:$G$99911,5,FALSE)</f>
        <v>FORTUNATO FRANK</v>
      </c>
      <c r="M127" s="224">
        <f>I127-F127</f>
        <v>2.5775462963792961E-2</v>
      </c>
      <c r="N127" s="225">
        <f>24*60*SUM($M127:$M127)</f>
        <v>37.116666667861864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-02T16:39:46-0700',mode:absolute,to:'2017-12-02T19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5.1999999999999998E-2</v>
      </c>
      <c r="Z127" s="247">
        <f>RIGHT(H127,LEN(H127)-4)/10000</f>
        <v>23.319700000000001</v>
      </c>
      <c r="AA127" s="247">
        <f>ABS(Z127-Y127)</f>
        <v>23.267700000000001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/stypes="app*4058*20171203*"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213-02 --locoid 4058 --swversion DE.1.0.9.0 --startMP 204:520 --initTime 2017-12-02T17:39:46 --startdatetime 2017-12-02T17:45:13 --delay 133 --endMP 204:233197 --enddatetime 2017-12-02T18:22:20 --enforcementcount 0 &gt;&gt;%USERPROFILE%\Documents\GitHub\eaglep3-reporting\EC\2017-12-02-refined-times.txt</v>
      </c>
      <c r="AI12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{"issue":{"subject":"","project_id":79,"tracker_id":40,"status_id":1,"priority_id":2,"assigned_to_id":338,"start_date":"2017-12-02","description":"","custom_fields":[{"id":1,"name":"Subdivision","value":"EC"},{"id":4,"name":"Milepost","value":"23.3197"},{"id":17,"name":"Train ID","value":"213-02"},{"id":16,"name":"Locomotive ID","value":"4058"},{"id":130,"name":"Impact","value":""},{"id":150,"name":"Time of Event (Mountain Time)","value":"18:22:20"},{"id":151,"name":"Denver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2"/>
        <v>start /low /b %USERPROFILE%\Documents\GitHub\eaglep3\Utilities\DownloadLogsFromS3.py --loco 4058 --day 2017-12-02</v>
      </c>
      <c r="AN127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2017-12-02T16:39:46-0700',mode:absolute,to:'2017-12-02T19:22:20-0700'))&amp;_a=(columns:!('Message%20ID',Summary),filters:!(),index:'emp_*',interval:auto,query:(query_string:(analyze_wildcard:!t,query:'%22rtdc.l.rtdc.4058%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834</v>
      </c>
      <c r="B128" s="225">
        <v>4057</v>
      </c>
      <c r="C128" s="227" t="s">
        <v>192</v>
      </c>
      <c r="D128" s="227" t="s">
        <v>1021</v>
      </c>
      <c r="E128" s="226">
        <v>43071.769016203703</v>
      </c>
      <c r="F128" s="226">
        <v>43071.779328703706</v>
      </c>
      <c r="G128" s="225">
        <v>59</v>
      </c>
      <c r="H128" s="227" t="s">
        <v>493</v>
      </c>
      <c r="I128" s="226">
        <v>43071.80537037037</v>
      </c>
      <c r="J128" s="225">
        <v>0</v>
      </c>
      <c r="K128" s="237" t="str">
        <f>IF(ISEVEN(B128),(B128-1)&amp;"/"&amp;B128,B128&amp;"/"&amp;(B128+1))</f>
        <v>4057/4058</v>
      </c>
      <c r="L128" s="245" t="str">
        <f>VLOOKUP(A128,'Trips&amp;Operators'!$C$1:$G$99911,5,FALSE)</f>
        <v>FORTUNATO FRANK</v>
      </c>
      <c r="M128" s="224">
        <f>I128-F128</f>
        <v>2.6041666664241347E-2</v>
      </c>
      <c r="N128" s="225">
        <f>24*60*SUM($M128:$M128)</f>
        <v>37.49999999650754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-02T17:27:23-0700',mode:absolute,to:'2017-12-02T20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23.2882</v>
      </c>
      <c r="Z128" s="247">
        <f>RIGHT(H128,LEN(H128)-4)/10000</f>
        <v>2.4E-2</v>
      </c>
      <c r="AA128" s="247">
        <f>ABS(Z128-Y128)</f>
        <v>23.264199999999999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/stypes="app*4057*20171203*"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214-02 --locoid 4057 --swversion DE.1.0.9.0 --startMP 204:232882 --initTime 2017-12-02T18:27:23 --startdatetime 2017-12-02T18:42:14 --delay 59 --endMP 204:240 --enddatetime 2017-12-02T19:19:44 --enforcementcount 0 &gt;&gt;%USERPROFILE%\Documents\GitHub\eaglep3-reporting\EC\2017-12-02-refined-times.txt</v>
      </c>
      <c r="AI128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{"issue":{"subject":"","project_id":79,"tracker_id":40,"status_id":1,"priority_id":2,"assigned_to_id":338,"start_date":"2017-12-02","description":"","custom_fields":[{"id":1,"name":"Subdivision","value":"EC"},{"id":4,"name":"Milepost","value":"0.024"},{"id":17,"name":"Train ID","value":"214-02"},{"id":16,"name":"Locomotive ID","value":"4057"},{"id":130,"name":"Impact","value":""},{"id":150,"name":"Time of Event (Mountain Time)","value":"19:19:44"},{"id":151,"name":"Denver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4057 --day 2017-12-02</v>
      </c>
      <c r="AN128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2017-12-02T17:27:23-0700',mode:absolute,to:'2017-12-02T20:19:44-0700'))&amp;_a=(columns:!('Message%20ID',Summary),filters:!(),index:'emp_*',interval:auto,query:(query_string:(analyze_wildcard:!t,query:'%22rtdc.l.rtdc.4057%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828</v>
      </c>
      <c r="B129" s="225">
        <v>4034</v>
      </c>
      <c r="C129" s="227" t="s">
        <v>192</v>
      </c>
      <c r="D129" s="227" t="s">
        <v>644</v>
      </c>
      <c r="E129" s="226">
        <v>43071.748622685183</v>
      </c>
      <c r="F129" s="226">
        <v>43071.750590277778</v>
      </c>
      <c r="G129" s="225">
        <v>56</v>
      </c>
      <c r="H129" s="227" t="s">
        <v>1022</v>
      </c>
      <c r="I129" s="226">
        <v>43071.774502314816</v>
      </c>
      <c r="J129" s="225">
        <v>0</v>
      </c>
      <c r="K129" s="237" t="str">
        <f>IF(ISEVEN(B129),(B129-1)&amp;"/"&amp;B129,B129&amp;"/"&amp;(B129+1))</f>
        <v>4033/4034</v>
      </c>
      <c r="L129" s="245" t="str">
        <f>VLOOKUP(A129,'Trips&amp;Operators'!$C$1:$G$99911,5,FALSE)</f>
        <v>HOLCOMB KAMDEN</v>
      </c>
      <c r="M129" s="224">
        <f>I129-F129</f>
        <v>2.3912037038826384E-2</v>
      </c>
      <c r="N129" s="225">
        <f>24*60*SUM($M129:$M129)</f>
        <v>34.433333335909992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-02T16:58:01-0700',mode:absolute,to:'2017-12-02T19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5.4199999999999998E-2</v>
      </c>
      <c r="Z129" s="247">
        <f>RIGHT(H129,LEN(H129)-4)/10000</f>
        <v>23.320399999999999</v>
      </c>
      <c r="AA129" s="247">
        <f>ABS(Z129-Y129)</f>
        <v>23.266199999999998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/stypes="app*4034*20171203*"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215-02 --locoid 4034 --swversion DE.1.0.9.0 --startMP 204:542 --initTime 2017-12-02T17:58:01 --startdatetime 2017-12-02T18:00:51 --delay 56 --endMP 204:233204 --enddatetime 2017-12-02T18:35:17 --enforcementcount 0 &gt;&gt;%USERPROFILE%\Documents\GitHub\eaglep3-reporting\EC\2017-12-02-refined-times.txt</v>
      </c>
      <c r="AI12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{"issue":{"subject":"","project_id":79,"tracker_id":40,"status_id":1,"priority_id":2,"assigned_to_id":338,"start_date":"2017-12-02","description":"","custom_fields":[{"id":1,"name":"Subdivision","value":"EC"},{"id":4,"name":"Milepost","value":"23.3204"},{"id":17,"name":"Train ID","value":"215-02"},{"id":16,"name":"Locomotive ID","value":"4034"},{"id":130,"name":"Impact","value":""},{"id":150,"name":"Time of Event (Mountain Time)","value":"18:35:17"},{"id":151,"name":"Denver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12"/>
        <v>start /low /b %USERPROFILE%\Documents\GitHub\eaglep3\Utilities\DownloadLogsFromS3.py --loco 4034 --day 2017-12-02</v>
      </c>
      <c r="AN129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2017-12-02T16:58:01-0700',mode:absolute,to:'2017-12-02T19:35:17-0700'))&amp;_a=(columns:!('Message%20ID',Summary),filters:!(),index:'emp_*',interval:auto,query:(query_string:(analyze_wildcard:!t,query:'%22rtdc.l.rtdc.4034%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837</v>
      </c>
      <c r="B130" s="225">
        <v>4033</v>
      </c>
      <c r="C130" s="227" t="s">
        <v>192</v>
      </c>
      <c r="D130" s="227" t="s">
        <v>1023</v>
      </c>
      <c r="E130" s="226">
        <v>43071.787592592591</v>
      </c>
      <c r="F130" s="226">
        <v>43071.789814814816</v>
      </c>
      <c r="G130" s="225">
        <v>48</v>
      </c>
      <c r="H130" s="227" t="s">
        <v>443</v>
      </c>
      <c r="I130" s="226">
        <v>43071.814456018517</v>
      </c>
      <c r="J130" s="225">
        <v>0</v>
      </c>
      <c r="K130" s="237" t="str">
        <f>IF(ISEVEN(B130),(B130-1)&amp;"/"&amp;B130,B130&amp;"/"&amp;(B130+1))</f>
        <v>4033/4034</v>
      </c>
      <c r="L130" s="245" t="str">
        <f>VLOOKUP(A130,'Trips&amp;Operators'!$C$1:$G$99911,5,FALSE)</f>
        <v>HOLCOMB KAMDEN</v>
      </c>
      <c r="M130" s="224">
        <f>I130-F130</f>
        <v>2.4641203701321501E-2</v>
      </c>
      <c r="N130" s="225">
        <f>24*60*SUM($M130:$M130)</f>
        <v>35.483333329902962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-02T17:54:08-0700',mode:absolute,to:'2017-12-02T20:32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23.286999999999999</v>
      </c>
      <c r="Z130" s="247">
        <f>RIGHT(H130,LEN(H130)-4)/10000</f>
        <v>2.07E-2</v>
      </c>
      <c r="AA130" s="247">
        <f>ABS(Z130-Y130)</f>
        <v>23.266299999999998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/stypes="app*4033*20171203*"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216-02 --locoid 4033 --swversion DE.1.0.9.0 --startMP 204:232870 --initTime 2017-12-02T18:54:08 --startdatetime 2017-12-02T18:57:20 --delay 48 --endMP 204:207 --enddatetime 2017-12-02T19:32:49 --enforcementcount 0 &gt;&gt;%USERPROFILE%\Documents\GitHub\eaglep3-reporting\EC\2017-12-02-refined-times.txt</v>
      </c>
      <c r="AI130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ID","value":"216-02"},{"id":16,"name":"Locomotive ID","value":"4033"},{"id":130,"name":"Impact","value":""},{"id":150,"name":"Time of Event (Mountain Time)","value":"19:32:49"},{"id":151,"name":"Denver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2"/>
        <v>start /low /b %USERPROFILE%\Documents\GitHub\eaglep3\Utilities\DownloadLogsFromS3.py --loco 4033 --day 2017-12-02</v>
      </c>
      <c r="AN130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2017-12-02T17:54:08-0700',mode:absolute,to:'2017-12-02T20:32:49-0700'))&amp;_a=(columns:!('Message%20ID',Summary),filters:!(),index:'emp_*',interval:auto,query:(query_string:(analyze_wildcard:!t,query:'%22rtdc.l.rtdc.4033%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831</v>
      </c>
      <c r="B131" s="225">
        <v>4030</v>
      </c>
      <c r="C131" s="227" t="s">
        <v>192</v>
      </c>
      <c r="D131" s="227" t="s">
        <v>1001</v>
      </c>
      <c r="E131" s="226">
        <v>43071.754432870373</v>
      </c>
      <c r="F131" s="226">
        <v>43071.76054398148</v>
      </c>
      <c r="G131" s="225">
        <v>138</v>
      </c>
      <c r="H131" s="227" t="s">
        <v>624</v>
      </c>
      <c r="I131" s="226">
        <v>43071.785208333335</v>
      </c>
      <c r="J131" s="225">
        <v>0</v>
      </c>
      <c r="K131" s="237" t="str">
        <f>IF(ISEVEN(B131),(B131-1)&amp;"/"&amp;B131,B131&amp;"/"&amp;(B131+1))</f>
        <v>4029/4030</v>
      </c>
      <c r="L131" s="245" t="str">
        <f>VLOOKUP(A131,'Trips&amp;Operators'!$C$1:$G$99911,5,FALSE)</f>
        <v>ELBAUM MIKE</v>
      </c>
      <c r="M131" s="224">
        <f>I131-F131</f>
        <v>2.4664351854880806E-2</v>
      </c>
      <c r="N131" s="225">
        <f>24*60*SUM($M131:$M131)</f>
        <v>35.516666671028361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-02T17:06:23-0700',mode:absolute,to:'2017-12-02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4.5100000000000001E-2</v>
      </c>
      <c r="Z131" s="247">
        <f>RIGHT(H131,LEN(H131)-4)/10000</f>
        <v>23.324300000000001</v>
      </c>
      <c r="AA131" s="247">
        <f>ABS(Z131-Y131)</f>
        <v>23.279199999999999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/stypes="app*4030*20171203*"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217-02 --locoid 4030 --swversion DE.1.0.9.0 --startMP 204:451 --initTime 2017-12-02T18:06:23 --startdatetime 2017-12-02T18:15:11 --delay 138 --endMP 204:233243 --enddatetime 2017-12-02T18:50:42 --enforcementcount 0 &gt;&gt;%USERPROFILE%\Documents\GitHub\eaglep3-reporting\EC\2017-12-02-refined-times.txt</v>
      </c>
      <c r="AI13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{"issue":{"subject":"","project_id":79,"tracker_id":40,"status_id":1,"priority_id":2,"assigned_to_id":338,"start_date":"2017-12-02","description":"","custom_fields":[{"id":1,"name":"Subdivision","value":"EC"},{"id":4,"name":"Milepost","value":"23.3243"},{"id":17,"name":"Train ID","value":"217-02"},{"id":16,"name":"Locomotive ID","value":"4030"},{"id":130,"name":"Impact","value":""},{"id":150,"name":"Time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2"/>
        <v>start /low /b %USERPROFILE%\Documents\GitHub\eaglep3\Utilities\DownloadLogsFromS3.py --loco 4030 --day 2017-12-02</v>
      </c>
      <c r="AN131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2017-12-02T17:06:23-0700',mode:absolute,to:'2017-12-02T19:50:42-0700'))&amp;_a=(columns:!('Message%20ID',Summary),filters:!(),index:'emp_*',interval:auto,query:(query_string:(analyze_wildcard:!t,query:'%22rtdc.l.rtdc.4030%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836</v>
      </c>
      <c r="B132" s="225">
        <v>4029</v>
      </c>
      <c r="C132" s="227" t="s">
        <v>192</v>
      </c>
      <c r="D132" s="227" t="s">
        <v>1001</v>
      </c>
      <c r="E132" s="226">
        <v>43071.754432870373</v>
      </c>
      <c r="F132" s="226">
        <v>43071.800150462965</v>
      </c>
      <c r="G132" s="225">
        <v>138</v>
      </c>
      <c r="H132" s="227" t="s">
        <v>624</v>
      </c>
      <c r="I132" s="226">
        <v>43071.82576388889</v>
      </c>
      <c r="J132" s="225">
        <v>0</v>
      </c>
      <c r="K132" s="237" t="str">
        <f>IF(ISEVEN(B132),(B132-1)&amp;"/"&amp;B132,B132&amp;"/"&amp;(B132+1))</f>
        <v>4029/4030</v>
      </c>
      <c r="L132" s="245" t="str">
        <f>VLOOKUP(A132,'Trips&amp;Operators'!$C$1:$G$99911,5,FALSE)</f>
        <v>ELBAUM MIKE</v>
      </c>
      <c r="M132" s="224">
        <f>I132-F132</f>
        <v>2.5613425925257616E-2</v>
      </c>
      <c r="N132" s="225">
        <f>24*60*SUM($M132:$M132)</f>
        <v>36.883333332370967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-02T17:06:23-0700',mode:absolute,to:'2017-12-02T20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v>23.286999999999999</v>
      </c>
      <c r="Z132" s="247">
        <v>2.07E-2</v>
      </c>
      <c r="AA132" s="247">
        <f>ABS(Z132-Y132)</f>
        <v>23.266299999999998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/stypes="app*4029*20171203*"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ref="AH132" si="38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218-02 --locoid 4029 --swversion DE.1.0.9.0 --startMP 204:451 --initTime 2017-12-02T18:06:23 --startdatetime 2017-12-02T19:12:13 --delay 138 --endMP 204:233243 --enddatetime 2017-12-02T19:49:06 --enforcementcount 0 &gt;&gt;%USERPROFILE%\Documents\GitHub\eaglep3-reporting\EC\2017-12-02-refined-times.txt</v>
      </c>
      <c r="AI132" s="238" t="str">
        <f t="shared" ref="AI132" si="39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{"issue":{"subject":"","project_id":79,"tracker_id":40,"status_id":1,"priority_id":2,"assigned_to_id":338,"start_date":"2017-12-02","description":"","custom_fields":[{"id":1,"name":"Subdivision","value":"EC"},{"id":4,"name":"Milepost","value":"0.0207"},{"id":17,"name":"Train ID","value":"218-02"},{"id":16,"name":"Locomotive ID","value":"4029"},{"id":130,"name":"Impact","value":""},{"id":150,"name":"Time of Event (Mountain Time)","value":"19:49:06"},{"id":151,"name":"Denver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ref="AM132" si="40">"start /low /b "&amp;dls3logs&amp;" --loco "&amp;B132&amp;" --day "&amp;TEXT(F132,"YYYY-MM-DD")</f>
        <v>start /low /b %USERPROFILE%\Documents\GitHub\eaglep3\Utilities\DownloadLogsFromS3.py --loco 4029 --day 2017-12-02</v>
      </c>
      <c r="AN132" s="241" t="str">
        <f t="shared" ref="AN132" si="41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ref="AO132" si="42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-02T17:06:23-0700',mode:absolute,to:'2017-12-02T20:49:06-0700'))&amp;_a=(columns:!('Message%20ID',Summary),filters:!(),index:'emp_*',interval:auto,query:(query_string:(analyze_wildcard:!t,query:'%22rtdc.l.rtdc.4029%22')),sort:!(Time.ISO8601,asc))</v>
      </c>
    </row>
    <row r="133" spans="1:91" s="20" customFormat="1" x14ac:dyDescent="0.3">
      <c r="A133" s="229" t="s">
        <v>833</v>
      </c>
      <c r="B133" s="225">
        <v>4022</v>
      </c>
      <c r="C133" s="227" t="s">
        <v>192</v>
      </c>
      <c r="D133" s="227" t="s">
        <v>921</v>
      </c>
      <c r="E133" s="226">
        <v>43071.767592592594</v>
      </c>
      <c r="F133" s="226">
        <v>43071.771053240744</v>
      </c>
      <c r="G133" s="225">
        <v>113</v>
      </c>
      <c r="H133" s="227" t="s">
        <v>1022</v>
      </c>
      <c r="I133" s="226">
        <v>43071.796226851853</v>
      </c>
      <c r="J133" s="225">
        <v>0</v>
      </c>
      <c r="K133" s="237" t="str">
        <f>IF(ISEVEN(B133),(B133-1)&amp;"/"&amp;B133,B133&amp;"/"&amp;(B133+1))</f>
        <v>4021/4022</v>
      </c>
      <c r="L133" s="245" t="str">
        <f>VLOOKUP(A133,'Trips&amp;Operators'!$C$1:$G$99911,5,FALSE)</f>
        <v>NICHOLSON WESLEY</v>
      </c>
      <c r="M133" s="224">
        <f>I133-F133</f>
        <v>2.5173611109494232E-2</v>
      </c>
      <c r="N133" s="225">
        <f>24*60*SUM($M133:$M133)</f>
        <v>36.249999997671694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-02T17:25:20-0700',mode:absolute,to:'2017-12-02T20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247" t="str">
        <f>IF(AA133&lt;VLOOKUP(AG133,Variables!$AC$3:$AD$8,2,FALSE),"Y","N")</f>
        <v>N</v>
      </c>
      <c r="X133" s="247">
        <f t="shared" ref="X133:X134" si="43">VALUE(LEFT(AD133,4))-VALUE(LEFT(AD132,4))</f>
        <v>1</v>
      </c>
      <c r="Y133" s="247">
        <f>RIGHT(D133,LEN(D133)-4)/10000</f>
        <v>4.9799999999999997E-2</v>
      </c>
      <c r="Z133" s="247">
        <f>RIGHT(H133,LEN(H133)-4)/10000</f>
        <v>23.320399999999999</v>
      </c>
      <c r="AA133" s="247">
        <f>ABS(Z133-Y133)</f>
        <v>23.270599999999998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/stypes="app*4022*20171203*"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219-02 --locoid 4022 --swversion DE.1.0.9.0 --startMP 204:498 --initTime 2017-12-02T18:25:20 --startdatetime 2017-12-02T18:30:19 --delay 113 --endMP 204:233204 --enddatetime 2017-12-02T19:06:34 --enforcementcount 0 &gt;&gt;%USERPROFILE%\Documents\GitHub\eaglep3-reporting\EC\2017-12-02-refined-times.txt</v>
      </c>
      <c r="AI133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{"issue":{"subject":"","project_id":79,"tracker_id":40,"status_id":1,"priority_id":2,"assigned_to_id":338,"start_date":"2017-12-02","description":"","custom_fields":[{"id":1,"name":"Subdivision","value":"EC"},{"id":4,"name":"Milepost","value":"23.3204"},{"id":17,"name":"Train ID","value":"219-02"},{"id":16,"name":"Locomotive ID","value":"4022"},{"id":130,"name":"Impact","value":""},{"id":150,"name":"Time of Event (Mountain Time)","value":"19:06:34"},{"id":151,"name":"Denver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4022 --day 2017-12-02</v>
      </c>
      <c r="AN133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2017-12-02T17:25:20-0700',mode:absolute,to:'2017-12-02T20:06:34-0700'))&amp;_a=(columns:!('Message%20ID',Summary),filters:!(),index:'emp_*',interval:auto,query:(query_string:(analyze_wildcard:!t,query:'%22rtdc.l.rtdc.4022%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841</v>
      </c>
      <c r="B134" s="225">
        <v>4021</v>
      </c>
      <c r="C134" s="227" t="s">
        <v>192</v>
      </c>
      <c r="D134" s="227" t="s">
        <v>1024</v>
      </c>
      <c r="E134" s="226">
        <v>43071.801203703704</v>
      </c>
      <c r="F134" s="226">
        <v>43071.810856481483</v>
      </c>
      <c r="G134" s="225">
        <v>106</v>
      </c>
      <c r="H134" s="227" t="s">
        <v>619</v>
      </c>
      <c r="I134" s="226">
        <v>43071.838356481479</v>
      </c>
      <c r="J134" s="225">
        <v>0</v>
      </c>
      <c r="K134" s="237" t="str">
        <f>IF(ISEVEN(B134),(B134-1)&amp;"/"&amp;B134,B134&amp;"/"&amp;(B134+1))</f>
        <v>4021/4022</v>
      </c>
      <c r="L134" s="245" t="str">
        <f>VLOOKUP(A134,'Trips&amp;Operators'!$C$1:$G$99911,5,FALSE)</f>
        <v>NICHOLSON WESLEY</v>
      </c>
      <c r="M134" s="224">
        <f>I134-F134</f>
        <v>2.749999999650754E-2</v>
      </c>
      <c r="N134" s="225">
        <f>24*60*SUM($M134:$M134)</f>
        <v>39.599999994970858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-02T18:13:44-0700',mode:absolute,to:'2017-12-02T21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247" t="str">
        <f>IF(AA134&lt;VLOOKUP(AG134,Variables!$AC$3:$AD$8,2,FALSE),"Y","N")</f>
        <v>N</v>
      </c>
      <c r="X134" s="247">
        <f t="shared" si="43"/>
        <v>1</v>
      </c>
      <c r="Y134" s="247">
        <f>RIGHT(D134,LEN(D134)-4)/10000</f>
        <v>23.286799999999999</v>
      </c>
      <c r="Z134" s="247">
        <f>RIGHT(H134,LEN(H134)-4)/10000</f>
        <v>2.18E-2</v>
      </c>
      <c r="AA134" s="247">
        <f>ABS(Z134-Y134)</f>
        <v>23.265000000000001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/stypes="app*4021*20171203*"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220-02 --locoid 4021 --swversion DE.1.0.9.0 --startMP 204:232868 --initTime 2017-12-02T19:13:44 --startdatetime 2017-12-02T19:27:38 --delay 106 --endMP 204:218 --enddatetime 2017-12-02T20:07:14 --enforcementcount 0 &gt;&gt;%USERPROFILE%\Documents\GitHub\eaglep3-reporting\EC\2017-12-02-refined-times.txt</v>
      </c>
      <c r="AI13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{"issue":{"subject":"","project_id":79,"tracker_id":40,"status_id":1,"priority_id":2,"assigned_to_id":338,"start_date":"2017-12-02","description":"","custom_fields":[{"id":1,"name":"Subdivision","value":"EC"},{"id":4,"name":"Milepost","value":"0.0218"},{"id":17,"name":"Train ID","value":"220-02"},{"id":16,"name":"Locomotive ID","value":"4021"},{"id":130,"name":"Impact","value":""},{"id":150,"name":"Time of Event (Mountain Time)","value":"20:07:14"},{"id":151,"name":"Denver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4021 --day 2017-12-02</v>
      </c>
      <c r="AN134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2017-12-02T18:13:44-0700',mode:absolute,to:'2017-12-02T21:07:14-0700'))&amp;_a=(columns:!('Message%20ID',Summary),filters:!(),index:'emp_*',interval:auto,query:(query_string:(analyze_wildcard:!t,query:'%22rtdc.l.rtdc.4021%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838</v>
      </c>
      <c r="B135" s="225">
        <v>4010</v>
      </c>
      <c r="C135" s="227" t="s">
        <v>192</v>
      </c>
      <c r="D135" s="227" t="s">
        <v>548</v>
      </c>
      <c r="E135" s="226">
        <v>43071.788645833331</v>
      </c>
      <c r="F135" s="226">
        <v>43071.791990740741</v>
      </c>
      <c r="G135" s="225">
        <v>72</v>
      </c>
      <c r="H135" s="227" t="s">
        <v>639</v>
      </c>
      <c r="I135" s="226">
        <v>43071.817962962959</v>
      </c>
      <c r="J135" s="225">
        <v>0</v>
      </c>
      <c r="K135" s="237" t="str">
        <f>IF(ISEVEN(B135),(B135-1)&amp;"/"&amp;B135,B135&amp;"/"&amp;(B135+1))</f>
        <v>4009/4010</v>
      </c>
      <c r="L135" s="245" t="str">
        <f>VLOOKUP(A135,'Trips&amp;Operators'!$C$1:$G$99911,5,FALSE)</f>
        <v>ANDERS STEVEN</v>
      </c>
      <c r="M135" s="224">
        <f>I135-F135</f>
        <v>2.5972222218115348E-2</v>
      </c>
      <c r="N135" s="225">
        <f>24*60*SUM($M135:$M135)</f>
        <v>37.399999994086102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-02T17:55:39-0700',mode:absolute,to:'2017-12-02T20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5.6000000000000001E-2</v>
      </c>
      <c r="Z135" s="247">
        <f>RIGHT(H135,LEN(H135)-4)/10000</f>
        <v>23.325900000000001</v>
      </c>
      <c r="AA135" s="247">
        <f>ABS(Z135-Y135)</f>
        <v>23.2699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/stypes="app*4010*20171203*"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221-02 --locoid 4010 --swversion DE.1.0.9.0 --startMP 204:560 --initTime 2017-12-02T18:55:39 --startdatetime 2017-12-02T19:00:28 --delay 72 --endMP 204:233259 --enddatetime 2017-12-02T19:37:52 --enforcementcount 0 &gt;&gt;%USERPROFILE%\Documents\GitHub\eaglep3-reporting\EC\2017-12-02-refined-times.txt</v>
      </c>
      <c r="AI13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{"issue":{"subject":"","project_id":79,"tracker_id":40,"status_id":1,"priority_id":2,"assigned_to_id":338,"start_date":"2017-12-02","description":"","custom_fields":[{"id":1,"name":"Subdivision","value":"EC"},{"id":4,"name":"Milepost","value":"23.3259"},{"id":17,"name":"Train ID","value":"221-02"},{"id":16,"name":"Locomotive ID","value":"4010"},{"id":130,"name":"Impact","value":""},{"id":150,"name":"Time of Event (Mountain Time)","value":"19:37:52"},{"id":151,"name":"Denver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2"/>
        <v>start /low /b %USERPROFILE%\Documents\GitHub\eaglep3\Utilities\DownloadLogsFromS3.py --loco 4010 --day 2017-12-02</v>
      </c>
      <c r="AN135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2017-12-02T17:55:39-0700',mode:absolute,to:'2017-12-02T20:37:52-0700'))&amp;_a=(columns:!('Message%20ID',Summary),filters:!(),index:'emp_*',interval:auto,query:(query_string:(analyze_wildcard:!t,query:'%22rtdc.l.rtdc.4010%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846</v>
      </c>
      <c r="B136" s="225">
        <v>4009</v>
      </c>
      <c r="C136" s="227" t="s">
        <v>192</v>
      </c>
      <c r="D136" s="227" t="s">
        <v>636</v>
      </c>
      <c r="E136" s="226">
        <v>43071.827280092592</v>
      </c>
      <c r="F136" s="226">
        <v>43071.831608796296</v>
      </c>
      <c r="G136" s="225">
        <v>76</v>
      </c>
      <c r="H136" s="227" t="s">
        <v>910</v>
      </c>
      <c r="I136" s="226">
        <v>43071.857766203706</v>
      </c>
      <c r="J136" s="225">
        <v>0</v>
      </c>
      <c r="K136" s="237" t="str">
        <f>IF(ISEVEN(B136),(B136-1)&amp;"/"&amp;B136,B136&amp;"/"&amp;(B136+1))</f>
        <v>4009/4010</v>
      </c>
      <c r="L136" s="245" t="str">
        <f>VLOOKUP(A136,'Trips&amp;Operators'!$C$1:$G$99911,5,FALSE)</f>
        <v>ANDERS STEVEN</v>
      </c>
      <c r="M136" s="224">
        <f>I136-F136</f>
        <v>2.6157407410209998E-2</v>
      </c>
      <c r="N136" s="225">
        <f>24*60*SUM($M136:$M136)</f>
        <v>37.666666670702398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-02T18:51:17-0700',mode:absolute,to:'2017-12-02T21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23.292999999999999</v>
      </c>
      <c r="Z136" s="247">
        <f>RIGHT(H136,LEN(H136)-4)/10000</f>
        <v>2.0500000000000001E-2</v>
      </c>
      <c r="AA136" s="247">
        <f>ABS(Z136-Y136)</f>
        <v>23.272500000000001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/stypes="app*4009*20171203*"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222-02 --locoid 4009 --swversion DE.1.0.9.0 --startMP 204:232930 --initTime 2017-12-02T19:51:17 --startdatetime 2017-12-02T19:57:31 --delay 76 --endMP 204:205 --enddatetime 2017-12-02T20:35:11 --enforcementcount 0 &gt;&gt;%USERPROFILE%\Documents\GitHub\eaglep3-reporting\EC\2017-12-02-refined-times.txt</v>
      </c>
      <c r="AI13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{"issue":{"subject":"","project_id":79,"tracker_id":40,"status_id":1,"priority_id":2,"assigned_to_id":338,"start_date":"2017-12-02","description":"","custom_fields":[{"id":1,"name":"Subdivision","value":"EC"},{"id":4,"name":"Milepost","value":"0.0205"},{"id":17,"name":"Train ID","value":"222-02"},{"id":16,"name":"Locomotive ID","value":"4009"},{"id":130,"name":"Impact","value":""},{"id":150,"name":"Time of Event (Mountain Time)","value":"20:35:11"},{"id":151,"name":"Denver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2"/>
        <v>start /low /b %USERPROFILE%\Documents\GitHub\eaglep3\Utilities\DownloadLogsFromS3.py --loco 4009 --day 2017-12-02</v>
      </c>
      <c r="AN136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2017-12-02T18:51:17-0700',mode:absolute,to:'2017-12-02T21:35:11-0700'))&amp;_a=(columns:!('Message%20ID',Summary),filters:!(),index:'emp_*',interval:auto,query:(query_string:(analyze_wildcard:!t,query:'%22rtdc.l.rtdc.4009%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842</v>
      </c>
      <c r="B137" s="225">
        <v>4058</v>
      </c>
      <c r="C137" s="227" t="s">
        <v>192</v>
      </c>
      <c r="D137" s="227" t="s">
        <v>492</v>
      </c>
      <c r="E137" s="226">
        <v>43071.807962962965</v>
      </c>
      <c r="F137" s="226">
        <v>43071.812754629631</v>
      </c>
      <c r="G137" s="225">
        <v>61</v>
      </c>
      <c r="H137" s="227" t="s">
        <v>887</v>
      </c>
      <c r="I137" s="226">
        <v>43071.837708333333</v>
      </c>
      <c r="J137" s="225">
        <v>0</v>
      </c>
      <c r="K137" s="237" t="str">
        <f>IF(ISEVEN(B137),(B137-1)&amp;"/"&amp;B137,B137&amp;"/"&amp;(B137+1))</f>
        <v>4057/4058</v>
      </c>
      <c r="L137" s="245" t="str">
        <f>VLOOKUP(A137,'Trips&amp;Operators'!$C$1:$G$99911,5,FALSE)</f>
        <v>GUNTHIER ERIC</v>
      </c>
      <c r="M137" s="224">
        <f>I137-F137</f>
        <v>2.495370370161254E-2</v>
      </c>
      <c r="N137" s="225">
        <f>24*60*SUM($M137:$M137)</f>
        <v>35.933333330322057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-02T18:23:28-0700',mode:absolute,to:'2017-12-02T21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5.1499999999999997E-2</v>
      </c>
      <c r="Z137" s="247">
        <f>RIGHT(H137,LEN(H137)-4)/10000</f>
        <v>23.324400000000001</v>
      </c>
      <c r="AA137" s="247">
        <f>ABS(Z137-Y137)</f>
        <v>23.2729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/stypes="app*4058*20171203*"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223-02 --locoid 4058 --swversion DE.1.0.9.0 --startMP 204:515 --initTime 2017-12-02T19:23:28 --startdatetime 2017-12-02T19:30:22 --delay 61 --endMP 204:233244 --enddatetime 2017-12-02T20:06:18 --enforcementcount 0 &gt;&gt;%USERPROFILE%\Documents\GitHub\eaglep3-reporting\EC\2017-12-02-refined-times.txt</v>
      </c>
      <c r="AI137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ID","value":"223-02"},{"id":16,"name":"Locomotive ID","value":"4058"},{"id":130,"name":"Impact","value":""},{"id":150,"name":"Time of Event (Mountain Time)","value":"20:06:18"},{"id":151,"name":"Denver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4058 --day 2017-12-02</v>
      </c>
      <c r="AN137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2017-12-02T18:23:28-0700',mode:absolute,to:'2017-12-02T21:06:18-0700'))&amp;_a=(columns:!('Message%20ID',Summary),filters:!(),index:'emp_*',interval:auto,query:(query_string:(analyze_wildcard:!t,query:'%22rtdc.l.rtdc.4058%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848</v>
      </c>
      <c r="B138" s="225">
        <v>4057</v>
      </c>
      <c r="C138" s="227" t="s">
        <v>192</v>
      </c>
      <c r="D138" s="227" t="s">
        <v>577</v>
      </c>
      <c r="E138" s="226">
        <v>43071.839143518519</v>
      </c>
      <c r="F138" s="226">
        <v>43071.852256944447</v>
      </c>
      <c r="G138" s="225">
        <v>484</v>
      </c>
      <c r="H138" s="227" t="s">
        <v>515</v>
      </c>
      <c r="I138" s="226">
        <v>43071.879155092596</v>
      </c>
      <c r="J138" s="225">
        <v>0</v>
      </c>
      <c r="K138" s="237" t="str">
        <f>IF(ISEVEN(B138),(B138-1)&amp;"/"&amp;B138,B138&amp;"/"&amp;(B138+1))</f>
        <v>4057/4058</v>
      </c>
      <c r="L138" s="245" t="str">
        <f>VLOOKUP(A138,'Trips&amp;Operators'!$C$1:$G$99911,5,FALSE)</f>
        <v>GUNTHIER ERIC</v>
      </c>
      <c r="M138" s="224">
        <f>I138-F138</f>
        <v>2.6898148149484769E-2</v>
      </c>
      <c r="N138" s="225">
        <f>24*60*SUM($M138:$M138)</f>
        <v>38.733333335258067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-02T19:08:22-0700',mode:absolute,to:'2017-12-02T22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23.2943</v>
      </c>
      <c r="Z138" s="247">
        <f>RIGHT(H138,LEN(H138)-4)/10000</f>
        <v>2.2499999999999999E-2</v>
      </c>
      <c r="AA138" s="247">
        <f>ABS(Z138-Y138)</f>
        <v>23.271799999999999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/stypes="app*4057*20171203*"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224-02 --locoid 4057 --swversion DE.1.0.9.0 --startMP 204:232943 --initTime 2017-12-02T20:08:22 --startdatetime 2017-12-02T20:27:15 --delay 484 --endMP 204:225 --enddatetime 2017-12-02T21:05:59 --enforcementcount 0 &gt;&gt;%USERPROFILE%\Documents\GitHub\eaglep3-reporting\EC\2017-12-02-refined-times.txt</v>
      </c>
      <c r="AI138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{"issue":{"subject":"","project_id":79,"tracker_id":40,"status_id":1,"priority_id":2,"assigned_to_id":338,"start_date":"2017-12-02","description":"","custom_fields":[{"id":1,"name":"Subdivision","value":"EC"},{"id":4,"name":"Milepost","value":"0.0225"},{"id":17,"name":"Train ID","value":"224-02"},{"id":16,"name":"Locomotive ID","value":"4057"},{"id":130,"name":"Impact","value":""},{"id":150,"name":"Time of Event (Mountain Time)","value":"21:05:59"},{"id":151,"name":"Denver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4057 --day 2017-12-02</v>
      </c>
      <c r="AN138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2017-12-02T19:08:22-0700',mode:absolute,to:'2017-12-02T22:05:59-0700'))&amp;_a=(columns:!('Message%20ID',Summary),filters:!(),index:'emp_*',interval:auto,query:(query_string:(analyze_wildcard:!t,query:'%22rtdc.l.rtdc.4057%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845</v>
      </c>
      <c r="B139" s="225">
        <v>4030</v>
      </c>
      <c r="C139" s="227" t="s">
        <v>192</v>
      </c>
      <c r="D139" s="227" t="s">
        <v>1025</v>
      </c>
      <c r="E139" s="226">
        <v>43071.827256944445</v>
      </c>
      <c r="F139" s="226">
        <v>43071.83353009259</v>
      </c>
      <c r="G139" s="225">
        <v>62</v>
      </c>
      <c r="H139" s="227" t="s">
        <v>573</v>
      </c>
      <c r="I139" s="226">
        <v>43071.8593287037</v>
      </c>
      <c r="J139" s="225">
        <v>0</v>
      </c>
      <c r="K139" s="237" t="str">
        <f>IF(ISEVEN(B139),(B139-1)&amp;"/"&amp;B139,B139&amp;"/"&amp;(B139+1))</f>
        <v>4029/4030</v>
      </c>
      <c r="L139" s="245" t="str">
        <f>VLOOKUP(A139,'Trips&amp;Operators'!$C$1:$G$99911,5,FALSE)</f>
        <v>ELBAUM MIKE</v>
      </c>
      <c r="M139" s="224">
        <f>I139-F139</f>
        <v>2.5798611110076308E-2</v>
      </c>
      <c r="N139" s="225">
        <f>24*60*SUM($M139:$M139)</f>
        <v>37.149999998509884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-02T18:51:15-0700',mode:absolute,to:'2017-12-02T21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5.7000000000000002E-2</v>
      </c>
      <c r="Z139" s="247">
        <f>RIGHT(H139,LEN(H139)-4)/10000</f>
        <v>23.327000000000002</v>
      </c>
      <c r="AA139" s="247">
        <f>ABS(Z139-Y139)</f>
        <v>23.270000000000003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/stypes="app*4030*20171203*"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225-02 --locoid 4030 --swversion DE.1.0.9.0 --startMP 204:570 --initTime 2017-12-02T19:51:15 --startdatetime 2017-12-02T20:00:17 --delay 62 --endMP 204:233270 --enddatetime 2017-12-02T20:37:26 --enforcementcount 0 &gt;&gt;%USERPROFILE%\Documents\GitHub\eaglep3-reporting\EC\2017-12-02-refined-times.txt</v>
      </c>
      <c r="AI139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{"issue":{"subject":"","project_id":79,"tracker_id":40,"status_id":1,"priority_id":2,"assigned_to_id":338,"start_date":"2017-12-02","description":"","custom_fields":[{"id":1,"name":"Subdivision","value":"EC"},{"id":4,"name":"Milepost","value":"23.327"},{"id":17,"name":"Train ID","value":"225-02"},{"id":16,"name":"Locomotive ID","value":"4030"},{"id":130,"name":"Impact","value":""},{"id":150,"name":"Time of Event (Mountain Time)","value":"20:37:26"},{"id":151,"name":"Denver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4030 --day 2017-12-02</v>
      </c>
      <c r="AN139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2017-12-02T18:51:15-0700',mode:absolute,to:'2017-12-02T21:37:26-0700'))&amp;_a=(columns:!('Message%20ID',Summary),filters:!(),index:'emp_*',interval:auto,query:(query_string:(analyze_wildcard:!t,query:'%22rtdc.l.rtdc.4030%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851</v>
      </c>
      <c r="B140" s="225">
        <v>4029</v>
      </c>
      <c r="C140" s="227" t="s">
        <v>192</v>
      </c>
      <c r="D140" s="227" t="s">
        <v>938</v>
      </c>
      <c r="E140" s="226">
        <v>43071.86037037037</v>
      </c>
      <c r="F140" s="226">
        <v>43071.873067129629</v>
      </c>
      <c r="G140" s="225">
        <v>47</v>
      </c>
      <c r="H140" s="227" t="s">
        <v>557</v>
      </c>
      <c r="I140" s="226">
        <v>43071.901550925926</v>
      </c>
      <c r="J140" s="225">
        <v>0</v>
      </c>
      <c r="K140" s="237" t="str">
        <f>IF(ISEVEN(B140),(B140-1)&amp;"/"&amp;B140,B140&amp;"/"&amp;(B140+1))</f>
        <v>4029/4030</v>
      </c>
      <c r="L140" s="245" t="str">
        <f>VLOOKUP(A140,'Trips&amp;Operators'!$C$1:$G$99911,5,FALSE)</f>
        <v>ELBAUM MIKE</v>
      </c>
      <c r="M140" s="224">
        <f>I140-F140</f>
        <v>2.8483796297223307E-2</v>
      </c>
      <c r="N140" s="225">
        <f>24*60*SUM($M140:$M140)</f>
        <v>41.016666668001562</v>
      </c>
      <c r="O140" s="225"/>
      <c r="P140" s="225"/>
      <c r="Q140" s="228"/>
      <c r="R140" s="242" t="s">
        <v>1086</v>
      </c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-02T19:38:56-0700',mode:absolute,to:'2017-12-02T22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23.294499999999999</v>
      </c>
      <c r="Z140" s="247">
        <f>RIGHT(H140,LEN(H140)-4)/10000</f>
        <v>2.6499999999999999E-2</v>
      </c>
      <c r="AA140" s="247">
        <f>ABS(Z140-Y140)</f>
        <v>23.268000000000001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/stypes="app*4029*20171203*"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226-02 --locoid 4029 --swversion DE.1.0.9.0 --startMP 204:232945 --initTime 2017-12-02T20:38:56 --startdatetime 2017-12-02T20:57:13 --delay 47 --endMP 204:265 --enddatetime 2017-12-02T21:38:14 --enforcementcount 0 &gt;&gt;%USERPROFILE%\Documents\GitHub\eaglep3-reporting\EC\2017-12-02-refined-times.txt</v>
      </c>
      <c r="AI140" s="238" t="str">
        <f t="shared" si="11"/>
        <v>echo {"issue":{"subject":"Observed Wi-MAX data drop; caused unhealthy xing banner for Holly","project_id":79,"tracker_id":40,"status_id":1,"priority_id":2,"assigned_to_id":338,"start_date":"2017-12-02","description":"","custom_fields":[{"id":1,"name":"Subdivision","value":"EC"},{"id":4,"name":"Milepost","value":"0.0265"},{"id":17,"name":"Train ID","value":"226-02"},{"id":16,"name":"Locomotive ID","value":"4029"},{"id":130,"name":"Impact","value":""},{"id":150,"name":"Time of Event (Mountain Time)","value":"21:38:14"},{"id":151,"name":"Denver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2"/>
        <v>start /low /b %USERPROFILE%\Documents\GitHub\eaglep3\Utilities\DownloadLogsFromS3.py --loco 4029 --day 2017-12-02</v>
      </c>
      <c r="AN140" s="241" t="str">
        <f t="shared" si="13"/>
        <v>echo {"issue":{"subject":"Observed Wi-MAX data drop; caused unhealthy xing banner for Holly","project_id":30,"tracker_id":4,"status_id":1,"priority_id":1,"assigned_to_id":10,"start_date":"2017-12-03","description":"","custom_fields":[{"id":30,"name":"Category","value":"Issue"},{"id":3,"name":"Functional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2017-12-02T19:38:56-0700',mode:absolute,to:'2017-12-02T22:38:14-0700'))&amp;_a=(columns:!('Message%20ID',Summary),filters:!(),index:'emp_*',interval:auto,query:(query_string:(analyze_wildcard:!t,query:'%22rtdc.l.rtdc.4029%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849</v>
      </c>
      <c r="B141" s="225">
        <v>4022</v>
      </c>
      <c r="C141" s="227" t="s">
        <v>192</v>
      </c>
      <c r="D141" s="227" t="s">
        <v>1026</v>
      </c>
      <c r="E141" s="226">
        <v>43071.84412037037</v>
      </c>
      <c r="F141" s="226">
        <v>43071.854375000003</v>
      </c>
      <c r="G141" s="225">
        <v>60</v>
      </c>
      <c r="H141" s="227" t="s">
        <v>887</v>
      </c>
      <c r="I141" s="226">
        <v>43071.882581018515</v>
      </c>
      <c r="J141" s="225">
        <v>0</v>
      </c>
      <c r="K141" s="237" t="str">
        <f>IF(ISEVEN(B141),(B141-1)&amp;"/"&amp;B141,B141&amp;"/"&amp;(B141+1))</f>
        <v>4021/4022</v>
      </c>
      <c r="L141" s="245" t="str">
        <f>VLOOKUP(A141,'Trips&amp;Operators'!$C$1:$G$99911,5,FALSE)</f>
        <v>MOSES BRADLEY</v>
      </c>
      <c r="M141" s="224">
        <f>I141-F141</f>
        <v>2.8206018512719311E-2</v>
      </c>
      <c r="N141" s="225">
        <f>24*60*SUM($M141:$M141)</f>
        <v>40.616666658315808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-02T19:15:32-0700',mode:absolute,to:'2017-12-02T22:10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5.2900000000000003E-2</v>
      </c>
      <c r="Z141" s="247">
        <f>RIGHT(H141,LEN(H141)-4)/10000</f>
        <v>23.324400000000001</v>
      </c>
      <c r="AA141" s="247">
        <f>ABS(Z141-Y141)</f>
        <v>23.2715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/stypes="app*4022*20171203*"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227-02 --locoid 4022 --swversion DE.1.0.9.0 --startMP 204:529 --initTime 2017-12-02T20:15:32 --startdatetime 2017-12-02T20:30:18 --delay 60 --endMP 204:233244 --enddatetime 2017-12-02T21:10:55 --enforcementcount 0 &gt;&gt;%USERPROFILE%\Documents\GitHub\eaglep3-reporting\EC\2017-12-02-refined-times.txt</v>
      </c>
      <c r="AI141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ID","value":"227-02"},{"id":16,"name":"Locomotive ID","value":"4022"},{"id":130,"name":"Impact","value":""},{"id":150,"name":"Time of Event (Mountain Time)","value":"21:10:55"},{"id":151,"name":"Denver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12"/>
        <v>start /low /b %USERPROFILE%\Documents\GitHub\eaglep3\Utilities\DownloadLogsFromS3.py --loco 4022 --day 2017-12-02</v>
      </c>
      <c r="AN141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2017-12-02T19:15:32-0700',mode:absolute,to:'2017-12-02T22:10:55-0700'))&amp;_a=(columns:!('Message%20ID',Summary),filters:!(),index:'emp_*',interval:auto,query:(query_string:(analyze_wildcard:!t,query:'%22rtdc.l.rtdc.4022%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855</v>
      </c>
      <c r="B142" s="225">
        <v>4021</v>
      </c>
      <c r="C142" s="227" t="s">
        <v>192</v>
      </c>
      <c r="D142" s="227" t="s">
        <v>477</v>
      </c>
      <c r="E142" s="226">
        <v>43071.890439814815</v>
      </c>
      <c r="F142" s="226">
        <v>43071.894201388888</v>
      </c>
      <c r="G142" s="225">
        <v>88</v>
      </c>
      <c r="H142" s="227" t="s">
        <v>479</v>
      </c>
      <c r="I142" s="226">
        <v>43071.921736111108</v>
      </c>
      <c r="J142" s="225">
        <v>0</v>
      </c>
      <c r="K142" s="237" t="str">
        <f>IF(ISEVEN(B142),(B142-1)&amp;"/"&amp;B142,B142&amp;"/"&amp;(B142+1))</f>
        <v>4021/4022</v>
      </c>
      <c r="L142" s="245" t="str">
        <f>VLOOKUP(A142,'Trips&amp;Operators'!$C$1:$G$99911,5,FALSE)</f>
        <v>MOSES BRADLEY</v>
      </c>
      <c r="M142" s="224">
        <f>I142-F142</f>
        <v>2.753472221957054E-2</v>
      </c>
      <c r="N142" s="225">
        <f>24*60*SUM($M142:$M142)</f>
        <v>39.649999996181577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-02T20:22:14-0700',mode:absolute,to:'2017-12-02T23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23.292100000000001</v>
      </c>
      <c r="Z142" s="247">
        <f>RIGHT(H142,LEN(H142)-4)/10000</f>
        <v>2.1100000000000001E-2</v>
      </c>
      <c r="AA142" s="247">
        <f>ABS(Z142-Y142)</f>
        <v>23.271000000000001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/stypes="app*4021*20171203*"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0"/>
        <v>"%USERPROFILE%\Documents\GitHub\eaglep3\Utilities\RefineRTDCRunTimes.py" --tripid 228-02 --locoid 4021 --swversion DE.1.0.9.0 --startMP 204:232921 --initTime 2017-12-02T21:22:14 --startdatetime 2017-12-02T21:27:39 --delay 88 --endMP 204:211 --enddatetime 2017-12-02T22:07:18 --enforcementcount 0 &gt;&gt;%USERPROFILE%\Documents\GitHub\eaglep3-reporting\EC\2017-12-02-refined-times.txt</v>
      </c>
      <c r="AI142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{"issue":{"subject":"","project_id":79,"tracker_id":40,"status_id":1,"priority_id":2,"assigned_to_id":338,"start_date":"2017-12-02","description":"","custom_fields":[{"id":1,"name":"Subdivision","value":"EC"},{"id":4,"name":"Milepost","value":"0.0211"},{"id":17,"name":"Train ID","value":"228-02"},{"id":16,"name":"Locomotive ID","value":"4021"},{"id":130,"name":"Impact","value":""},{"id":150,"name":"Time of Event (Mountain Time)","value":"22:07:18"},{"id":151,"name":"Denver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2"/>
        <v>start /low /b %USERPROFILE%\Documents\GitHub\eaglep3\Utilities\DownloadLogsFromS3.py --loco 4021 --day 2017-12-02</v>
      </c>
      <c r="AN142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4"/>
        <v>https://d0f6bd738d7f1b3e5a7ca70fe4ff75f0.us-east-1.aws.found.io/app/kibana#/discover/Steve-Slow-Train-Analysis-(2080s-and-2083s)?_g=(refreshInterval:(display:Off,pause:!f,section:0,value:0),time:(from:'2017-12-02T20:22:14-0700',mode:absolute,to:'2017-12-02T23:07:18-0700'))&amp;_a=(columns:!('Message%20ID',Summary),filters:!(),index:'emp_*',interval:auto,query:(query_string:(analyze_wildcard:!t,query:'%22rtdc.l.rtdc.4021%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852</v>
      </c>
      <c r="B143" s="225">
        <v>4010</v>
      </c>
      <c r="C143" s="227" t="s">
        <v>192</v>
      </c>
      <c r="D143" s="227" t="s">
        <v>477</v>
      </c>
      <c r="E143" s="226">
        <v>43071.890439814815</v>
      </c>
      <c r="F143" s="226">
        <v>43071.875381944446</v>
      </c>
      <c r="G143" s="225">
        <v>88</v>
      </c>
      <c r="H143" s="227" t="s">
        <v>479</v>
      </c>
      <c r="I143" s="226">
        <v>43071.902673611112</v>
      </c>
      <c r="J143" s="225">
        <v>0</v>
      </c>
      <c r="K143" s="237" t="str">
        <f>IF(ISEVEN(B143),(B143-1)&amp;"/"&amp;B143,B143&amp;"/"&amp;(B143+1))</f>
        <v>4009/4010</v>
      </c>
      <c r="L143" s="245" t="str">
        <f>VLOOKUP(A143,'Trips&amp;Operators'!$C$1:$G$99911,5,FALSE)</f>
        <v>ANDERS STEVEN</v>
      </c>
      <c r="M143" s="224">
        <f>I143-F143</f>
        <v>2.7291666665405501E-2</v>
      </c>
      <c r="N143" s="225">
        <f>24*60*SUM($M143:$M143)</f>
        <v>39.299999998183921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-02T20:22:14-0700',mode:absolute,to:'2017-12-02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v>5.2900000000000003E-2</v>
      </c>
      <c r="Z143" s="247">
        <v>23.324400000000001</v>
      </c>
      <c r="AA143" s="247">
        <f>ABS(Z143-Y143)</f>
        <v>23.2715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/stypes="app*4010*20171203*"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" si="44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229-02 --locoid 4010 --swversion DE.1.0.9.0 --startMP 204:232921 --initTime 2017-12-02T21:22:14 --startdatetime 2017-12-02T21:00:33 --delay 88 --endMP 204:211 --enddatetime 2017-12-02T21:39:51 --enforcementcount 0 &gt;&gt;%USERPROFILE%\Documents\GitHub\eaglep3-reporting\EC\2017-12-02-refined-times.txt</v>
      </c>
      <c r="AI143" s="238" t="str">
        <f t="shared" ref="AI143" si="45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{"issue":{"subject":"","project_id":79,"tracker_id":40,"status_id":1,"priority_id":2,"assigned_to_id":338,"start_date":"2017-12-02","description":"","custom_fields":[{"id":1,"name":"Subdivision","value":"EC"},{"id":4,"name":"Milepost","value":"23.3244"},{"id":17,"name":"Train ID","value":"229-02"},{"id":16,"name":"Locomotive ID","value":"4010"},{"id":130,"name":"Impact","value":""},{"id":150,"name":"Time of Event (Mountain Time)","value":"21:39:51"},{"id":151,"name":"Denver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" si="46">"start /low /b "&amp;dls3logs&amp;" --loco "&amp;B143&amp;" --day "&amp;TEXT(F143,"YYYY-MM-DD")</f>
        <v>start /low /b %USERPROFILE%\Documents\GitHub\eaglep3\Utilities\DownloadLogsFromS3.py --loco 4010 --day 2017-12-02</v>
      </c>
      <c r="AN143" s="241" t="str">
        <f t="shared" ref="AN143" si="47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" si="48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-02T20:22:14-0700',mode:absolute,to:'2017-12-02T22:39:51-0700'))&amp;_a=(columns:!('Message%20ID',Summary),filters:!(),index:'emp_*',interval:auto,query:(query_string:(analyze_wildcard:!t,query:'%22rtdc.l.rtdc.4010%22')),sort:!(Time.ISO8601,asc))</v>
      </c>
    </row>
    <row r="144" spans="1:91" s="223" customFormat="1" x14ac:dyDescent="0.3">
      <c r="A144" s="229" t="s">
        <v>858</v>
      </c>
      <c r="B144" s="225">
        <v>4009</v>
      </c>
      <c r="C144" s="227" t="s">
        <v>192</v>
      </c>
      <c r="D144" s="227" t="s">
        <v>606</v>
      </c>
      <c r="E144" s="226">
        <v>43071.912326388891</v>
      </c>
      <c r="F144" s="226">
        <v>43071.914826388886</v>
      </c>
      <c r="G144" s="225">
        <v>91</v>
      </c>
      <c r="H144" s="227" t="s">
        <v>944</v>
      </c>
      <c r="I144" s="226">
        <v>43071.942175925928</v>
      </c>
      <c r="J144" s="225">
        <v>0</v>
      </c>
      <c r="K144" s="237" t="str">
        <f>IF(ISEVEN(B144),(B144-1)&amp;"/"&amp;B144,B144&amp;"/"&amp;(B144+1))</f>
        <v>4009/4010</v>
      </c>
      <c r="L144" s="245" t="str">
        <f>VLOOKUP(A144,'Trips&amp;Operators'!$C$1:$G$99911,5,FALSE)</f>
        <v>ANDERS STEVEN</v>
      </c>
      <c r="M144" s="224">
        <f>I144-F144</f>
        <v>2.7349537042027805E-2</v>
      </c>
      <c r="N144" s="225">
        <f>24*60*SUM($M144:$M144)</f>
        <v>39.383333340520039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-02T20:53:45-0700',mode:absolute,to:'2017-12-02T23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23.2911</v>
      </c>
      <c r="Z144" s="247">
        <f>RIGHT(H144,LEN(H144)-4)/10000</f>
        <v>2.2700000000000001E-2</v>
      </c>
      <c r="AA144" s="247">
        <f>ABS(Z144-Y144)</f>
        <v>23.2684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/stypes="app*4009*20171203*"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0"/>
        <v>"%USERPROFILE%\Documents\GitHub\eaglep3\Utilities\RefineRTDCRunTimes.py" --tripid 230-02 --locoid 4009 --swversion DE.1.0.9.0 --startMP 204:232911 --initTime 2017-12-02T21:53:45 --startdatetime 2017-12-02T21:57:21 --delay 91 --endMP 204:227 --enddatetime 2017-12-02T22:36:44 --enforcementcount 0 &gt;&gt;%USERPROFILE%\Documents\GitHub\eaglep3-reporting\EC\2017-12-02-refined-times.txt</v>
      </c>
      <c r="AI144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{"issue":{"subject":"","project_id":79,"tracker_id":40,"status_id":1,"priority_id":2,"assigned_to_id":338,"start_date":"2017-12-02","description":"","custom_fields":[{"id":1,"name":"Subdivision","value":"EC"},{"id":4,"name":"Milepost","value":"0.0227"},{"id":17,"name":"Train ID","value":"230-02"},{"id":16,"name":"Locomotive ID","value":"4009"},{"id":130,"name":"Impact","value":""},{"id":150,"name":"Time of Event (Mountain Time)","value":"22:36:44"},{"id":151,"name":"Denver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12"/>
        <v>start /low /b %USERPROFILE%\Documents\GitHub\eaglep3\Utilities\DownloadLogsFromS3.py --loco 4009 --day 2017-12-02</v>
      </c>
      <c r="AN144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4"/>
        <v>https://d0f6bd738d7f1b3e5a7ca70fe4ff75f0.us-east-1.aws.found.io/app/kibana#/discover/Steve-Slow-Train-Analysis-(2080s-and-2083s)?_g=(refreshInterval:(display:Off,pause:!f,section:0,value:0),time:(from:'2017-12-02T20:53:45-0700',mode:absolute,to:'2017-12-02T23:36:44-0700'))&amp;_a=(columns:!('Message%20ID',Summary),filters:!(),index:'emp_*',interval:auto,query:(query_string:(analyze_wildcard:!t,query:'%22rtdc.l.rtdc.4009%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854</v>
      </c>
      <c r="B145" s="225">
        <v>4058</v>
      </c>
      <c r="C145" s="227" t="s">
        <v>192</v>
      </c>
      <c r="D145" s="227" t="s">
        <v>445</v>
      </c>
      <c r="E145" s="226">
        <v>43071.889953703707</v>
      </c>
      <c r="F145" s="226">
        <v>43071.895972222221</v>
      </c>
      <c r="G145" s="225">
        <v>81</v>
      </c>
      <c r="H145" s="227" t="s">
        <v>1027</v>
      </c>
      <c r="I145" s="226">
        <v>43071.921284722222</v>
      </c>
      <c r="J145" s="225">
        <v>0</v>
      </c>
      <c r="K145" s="237" t="str">
        <f>IF(ISEVEN(B145),(B145-1)&amp;"/"&amp;B145,B145&amp;"/"&amp;(B145+1))</f>
        <v>4057/4058</v>
      </c>
      <c r="L145" s="245" t="str">
        <f>VLOOKUP(A145,'Trips&amp;Operators'!$C$1:$G$99911,5,FALSE)</f>
        <v>FORTUNATO FRANK</v>
      </c>
      <c r="M145" s="224">
        <f>I145-F145</f>
        <v>2.531250000174623E-2</v>
      </c>
      <c r="N145" s="225">
        <f>24*60*SUM($M145:$M145)</f>
        <v>36.450000002514571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-02T20:21:32-0700',mode:absolute,to:'2017-12-02T23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5.3699999999999998E-2</v>
      </c>
      <c r="Z145" s="247">
        <f>RIGHT(H145,LEN(H145)-4)/10000</f>
        <v>23.3187</v>
      </c>
      <c r="AA145" s="247">
        <f>ABS(Z145-Y145)</f>
        <v>23.265000000000001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/stypes="app*4058*20171203*"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0"/>
        <v>"%USERPROFILE%\Documents\GitHub\eaglep3\Utilities\RefineRTDCRunTimes.py" --tripid 231-02 --locoid 4058 --swversion DE.1.0.9.0 --startMP 204:537 --initTime 2017-12-02T21:21:32 --startdatetime 2017-12-02T21:30:12 --delay 81 --endMP 204:233187 --enddatetime 2017-12-02T22:06:39 --enforcementcount 0 &gt;&gt;%USERPROFILE%\Documents\GitHub\eaglep3-reporting\EC\2017-12-02-refined-times.txt</v>
      </c>
      <c r="AI145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{"issue":{"subject":"","project_id":79,"tracker_id":40,"status_id":1,"priority_id":2,"assigned_to_id":338,"start_date":"2017-12-02","description":"","custom_fields":[{"id":1,"name":"Subdivision","value":"EC"},{"id":4,"name":"Milepost","value":"23.3187"},{"id":17,"name":"Train ID","value":"231-02"},{"id":16,"name":"Locomotive ID","value":"4058"},{"id":130,"name":"Impact","value":""},{"id":150,"name":"Time of Event (Mountain Time)","value":"22:06:39"},{"id":151,"name":"Denver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12"/>
        <v>start /low /b %USERPROFILE%\Documents\GitHub\eaglep3\Utilities\DownloadLogsFromS3.py --loco 4058 --day 2017-12-02</v>
      </c>
      <c r="AN145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14"/>
        <v>https://d0f6bd738d7f1b3e5a7ca70fe4ff75f0.us-east-1.aws.found.io/app/kibana#/discover/Steve-Slow-Train-Analysis-(2080s-and-2083s)?_g=(refreshInterval:(display:Off,pause:!f,section:0,value:0),time:(from:'2017-12-02T20:21:32-0700',mode:absolute,to:'2017-12-02T23:06:39-0700'))&amp;_a=(columns:!('Message%20ID',Summary),filters:!(),index:'emp_*',interval:auto,query:(query_string:(analyze_wildcard:!t,query:'%22rtdc.l.rtdc.4058%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860</v>
      </c>
      <c r="B146" s="225">
        <v>4057</v>
      </c>
      <c r="C146" s="227" t="s">
        <v>192</v>
      </c>
      <c r="D146" s="227" t="s">
        <v>1023</v>
      </c>
      <c r="E146" s="226">
        <v>43071.923113425924</v>
      </c>
      <c r="F146" s="226">
        <v>43071.935567129629</v>
      </c>
      <c r="G146" s="225">
        <v>59</v>
      </c>
      <c r="H146" s="227" t="s">
        <v>442</v>
      </c>
      <c r="I146" s="226">
        <v>43071.961423611108</v>
      </c>
      <c r="J146" s="225">
        <v>0</v>
      </c>
      <c r="K146" s="237" t="str">
        <f>IF(ISEVEN(B146),(B146-1)&amp;"/"&amp;B146,B146&amp;"/"&amp;(B146+1))</f>
        <v>4057/4058</v>
      </c>
      <c r="L146" s="245" t="str">
        <f>VLOOKUP(A146,'Trips&amp;Operators'!$C$1:$G$99911,5,FALSE)</f>
        <v>FORTUNATO FRANK</v>
      </c>
      <c r="M146" s="224">
        <f>I146-F146</f>
        <v>2.5856481479422655E-2</v>
      </c>
      <c r="N146" s="225">
        <f>24*60*SUM($M146:$M146)</f>
        <v>37.233333330368623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-02T21:09:17-0700',mode:absolute,to:'2017-12-03T00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23.286999999999999</v>
      </c>
      <c r="Z146" s="247">
        <f>RIGHT(H146,LEN(H146)-4)/10000</f>
        <v>2.1399999999999999E-2</v>
      </c>
      <c r="AA146" s="247">
        <f>ABS(Z146-Y146)</f>
        <v>23.265599999999999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/stypes="app*4057*20171203*"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0"/>
        <v>"%USERPROFILE%\Documents\GitHub\eaglep3\Utilities\RefineRTDCRunTimes.py" --tripid 232-02 --locoid 4057 --swversion DE.1.0.9.0 --startMP 204:232870 --initTime 2017-12-02T22:09:17 --startdatetime 2017-12-02T22:27:13 --delay 59 --endMP 204:214 --enddatetime 2017-12-02T23:04:27 --enforcementcount 0 &gt;&gt;%USERPROFILE%\Documents\GitHub\eaglep3-reporting\EC\2017-12-02-refined-times.txt</v>
      </c>
      <c r="AI146" s="238" t="str">
        <f t="shared" si="11"/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ID","value":"232-02"},{"id":16,"name":"Locomotive ID","value":"4057"},{"id":130,"name":"Impact","value":""},{"id":150,"name":"Time of Event (Mountain Time)","value":"23:04:27"},{"id":151,"name":"Denver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12"/>
        <v>start /low /b %USERPROFILE%\Documents\GitHub\eaglep3\Utilities\DownloadLogsFromS3.py --loco 4057 --day 2017-12-02</v>
      </c>
      <c r="AN146" s="241" t="str">
        <f t="shared" si="1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14"/>
        <v>https://d0f6bd738d7f1b3e5a7ca70fe4ff75f0.us-east-1.aws.found.io/app/kibana#/discover/Steve-Slow-Train-Analysis-(2080s-and-2083s)?_g=(refreshInterval:(display:Off,pause:!f,section:0,value:0),time:(from:'2017-12-02T21:09:17-0700',mode:absolute,to:'2017-12-03T00:04:27-0700'))&amp;_a=(columns:!('Message%20ID',Summary),filters:!(),index:'emp_*',interval:auto,query:(query_string:(analyze_wildcard:!t,query:'%22rtdc.l.rtdc.4057%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857</v>
      </c>
      <c r="B147" s="225">
        <v>4030</v>
      </c>
      <c r="C147" s="227" t="s">
        <v>192</v>
      </c>
      <c r="D147" s="227" t="s">
        <v>1028</v>
      </c>
      <c r="E147" s="226">
        <v>43071.902604166666</v>
      </c>
      <c r="F147" s="226">
        <v>43071.916851851849</v>
      </c>
      <c r="G147" s="225">
        <v>58</v>
      </c>
      <c r="H147" s="227" t="s">
        <v>911</v>
      </c>
      <c r="I147" s="226">
        <v>43071.941122685188</v>
      </c>
      <c r="J147" s="225">
        <v>0</v>
      </c>
      <c r="K147" s="237" t="str">
        <f>IF(ISEVEN(B147),(B147-1)&amp;"/"&amp;B147,B147&amp;"/"&amp;(B147+1))</f>
        <v>4029/4030</v>
      </c>
      <c r="L147" s="245" t="str">
        <f>VLOOKUP(A147,'Trips&amp;Operators'!$C$1:$G$99911,5,FALSE)</f>
        <v>ELBAUM MIKE</v>
      </c>
      <c r="M147" s="224">
        <f>I147-F147</f>
        <v>2.4270833338960074E-2</v>
      </c>
      <c r="N147" s="225">
        <f>24*60*SUM($M147:$M147)</f>
        <v>34.950000008102506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-02T23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5.62E-2</v>
      </c>
      <c r="Z147" s="247">
        <f>RIGHT(H147,LEN(H147)-4)/10000</f>
        <v>23.325700000000001</v>
      </c>
      <c r="AA147" s="247">
        <f>ABS(Z147-Y147)</f>
        <v>23.269500000000001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s3://rtdc.mdm.uploadarchive.raw/RTDC4030/ "%USERPROFILE%\AppData\Local\Temp\OnboardLogs"\RTDC4030\2017-12-02 --exclude "*" --recursive --include "*20171202*" &amp; "%USERPROFILE%\Documents\GitHub\mrs-test-scripts\Headless Mode &amp; Sideloading\WalkAndUnGZ.bat" "%USERPROFILE%\AppData\Local\Temp\OnboardLogs"\RTDC4030\2017-12-02 &amp; 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/stypes="app*4030*20171203*"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ref="AH147:AH212" si="49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233-02 --locoid 4030 --swversion DE.1.0.9.0 --startMP 204:562 --initTime 2017-12-02T21:39:45 --startdatetime 2017-12-02T22:00:16 --delay 58 --endMP 204:233257 --enddatetime 2017-12-02T22:35:13 --enforcementcount 0 &gt;&gt;%USERPROFILE%\Documents\GitHub\eaglep3-reporting\EC\2017-12-02-refined-times.txt</v>
      </c>
      <c r="AI147" s="238" t="str">
        <f t="shared" ref="AI147:AI212" si="50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{"issue":{"subject":"","project_id":79,"tracker_id":40,"status_id":1,"priority_id":2,"assigned_to_id":338,"start_date":"2017-12-02","description":"","custom_fields":[{"id":1,"name":"Subdivision","value":"EC"},{"id":4,"name":"Milepost","value":"23.3257"},{"id":17,"name":"Train ID","value":"233-02"},{"id":16,"name":"Locomotive ID","value":"4030"},{"id":130,"name":"Impact","value":""},{"id":150,"name":"Time of Event (Mountain Time)","value":"22:35:13"},{"id":151,"name":"Denver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ref="AM147:AM212" si="51">"start /low /b "&amp;dls3logs&amp;" --loco "&amp;B147&amp;" --day "&amp;TEXT(F147,"YYYY-MM-DD")</f>
        <v>start /low /b %USERPROFILE%\Documents\GitHub\eaglep3\Utilities\DownloadLogsFromS3.py --loco 4030 --day 2017-12-02</v>
      </c>
      <c r="AN147" s="241" t="str">
        <f t="shared" ref="AN147:AN212" si="52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ref="AO147:AO212" si="53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-02T23:35:13-0700'))&amp;_a=(columns:!('Message%20ID',Summary),filters:!(),index:'emp_*',interval:auto,query:(query_string:(analyze_wildcard:!t,query:'%22rtdc.l.rtdc.4030%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863</v>
      </c>
      <c r="B148" s="225">
        <v>4029</v>
      </c>
      <c r="C148" s="227" t="s">
        <v>192</v>
      </c>
      <c r="D148" s="227" t="s">
        <v>1028</v>
      </c>
      <c r="E148" s="226">
        <v>43071.902604166666</v>
      </c>
      <c r="F148" s="226">
        <v>43071.956400462965</v>
      </c>
      <c r="G148" s="225">
        <v>58</v>
      </c>
      <c r="H148" s="227" t="s">
        <v>911</v>
      </c>
      <c r="I148" s="226">
        <v>43071.981435185182</v>
      </c>
      <c r="J148" s="225">
        <v>0</v>
      </c>
      <c r="K148" s="237" t="str">
        <f>IF(ISEVEN(B148),(B148-1)&amp;"/"&amp;B148,B148&amp;"/"&amp;(B148+1))</f>
        <v>4029/4030</v>
      </c>
      <c r="L148" s="245" t="str">
        <f>VLOOKUP(A148,'Trips&amp;Operators'!$C$1:$G$99911,5,FALSE)</f>
        <v>ELBAUM MIKE</v>
      </c>
      <c r="M148" s="224">
        <f>I148-F148</f>
        <v>2.5034722217242233E-2</v>
      </c>
      <c r="N148" s="225">
        <f>24*60*SUM($M148:$M148)</f>
        <v>36.049999992828816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-03T00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v>23.286999999999999</v>
      </c>
      <c r="Z148" s="247">
        <v>2.1399999999999999E-2</v>
      </c>
      <c r="AA148" s="247">
        <f>ABS(Z148-Y148)</f>
        <v>23.265599999999999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/stypes="app*4029*20171203*"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ref="AH148" si="54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234-02 --locoid 4029 --swversion DE.1.0.9.0 --startMP 204:562 --initTime 2017-12-02T21:39:45 --startdatetime 2017-12-02T22:57:13 --delay 58 --endMP 204:233257 --enddatetime 2017-12-02T23:33:16 --enforcementcount 0 &gt;&gt;%USERPROFILE%\Documents\GitHub\eaglep3-reporting\EC\2017-12-02-refined-times.txt</v>
      </c>
      <c r="AI148" s="238" t="str">
        <f t="shared" ref="AI148" si="55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{"issue":{"subject":"","project_id":79,"tracker_id":40,"status_id":1,"priority_id":2,"assigned_to_id":338,"start_date":"2017-12-02","description":"","custom_fields":[{"id":1,"name":"Subdivision","value":"EC"},{"id":4,"name":"Milepost","value":"0.0214"},{"id":17,"name":"Train ID","value":"234-02"},{"id":16,"name":"Locomotive ID","value":"4029"},{"id":130,"name":"Impact","value":""},{"id":150,"name":"Time of Event (Mountain Time)","value":"23:33:16"},{"id":151,"name":"Denver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ref="AM148" si="56">"start /low /b "&amp;dls3logs&amp;" --loco "&amp;B148&amp;" --day "&amp;TEXT(F148,"YYYY-MM-DD")</f>
        <v>start /low /b %USERPROFILE%\Documents\GitHub\eaglep3\Utilities\DownloadLogsFromS3.py --loco 4029 --day 2017-12-02</v>
      </c>
      <c r="AN148" s="241" t="str">
        <f t="shared" ref="AN148" si="57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ref="AO148" si="58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-02T20:39:45-0700',mode:absolute,to:'2017-12-03T00:33:16-0700'))&amp;_a=(columns:!('Message%20ID',Summary),filters:!(),index:'emp_*',interval:auto,query:(query_string:(analyze_wildcard:!t,query:'%22rtdc.l.rtdc.4029%22')),sort:!(Time.ISO8601,asc))</v>
      </c>
    </row>
    <row r="149" spans="1:91" s="223" customFormat="1" x14ac:dyDescent="0.3">
      <c r="A149" s="229" t="s">
        <v>861</v>
      </c>
      <c r="B149" s="225">
        <v>4022</v>
      </c>
      <c r="C149" s="227" t="s">
        <v>192</v>
      </c>
      <c r="D149" s="227" t="s">
        <v>947</v>
      </c>
      <c r="E149" s="226">
        <v>43071.932071759256</v>
      </c>
      <c r="F149" s="226">
        <v>43071.937777777777</v>
      </c>
      <c r="G149" s="225">
        <v>179</v>
      </c>
      <c r="H149" s="227" t="s">
        <v>1029</v>
      </c>
      <c r="I149" s="226">
        <v>43071.962858796294</v>
      </c>
      <c r="J149" s="225">
        <v>0</v>
      </c>
      <c r="K149" s="237" t="str">
        <f>IF(ISEVEN(B149),(B149-1)&amp;"/"&amp;B149,B149&amp;"/"&amp;(B149+1))</f>
        <v>4021/4022</v>
      </c>
      <c r="L149" s="245" t="str">
        <f>VLOOKUP(A149,'Trips&amp;Operators'!$C$1:$G$99911,5,FALSE)</f>
        <v>NICHOLSON WESLEY</v>
      </c>
      <c r="M149" s="224">
        <f>I149-F149</f>
        <v>2.5081018517084885E-2</v>
      </c>
      <c r="N149" s="225">
        <f>24*60*SUM($M149:$M149)</f>
        <v>36.116666664602235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-02T21:22:11-0700',mode:absolute,to:'2017-12-03T00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5.04E-2</v>
      </c>
      <c r="Z149" s="247">
        <f>RIGHT(H149,LEN(H149)-4)/10000</f>
        <v>23.320799999999998</v>
      </c>
      <c r="AA149" s="247">
        <f>ABS(Z149-Y149)</f>
        <v>23.270399999999999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 &amp; 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/stypes="app*4022*20171203*"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49"/>
        <v>"%USERPROFILE%\Documents\GitHub\eaglep3\Utilities\RefineRTDCRunTimes.py" --tripid 235-02 --locoid 4022 --swversion DE.1.0.9.0 --startMP 204:504 --initTime 2017-12-02T22:22:11 --startdatetime 2017-12-02T22:30:24 --delay 179 --endMP 204:233208 --enddatetime 2017-12-02T23:06:31 --enforcementcount 0 &gt;&gt;%USERPROFILE%\Documents\GitHub\eaglep3-reporting\EC\2017-12-02-refined-times.txt</v>
      </c>
      <c r="AI149" s="238" t="str">
        <f t="shared" si="50"/>
        <v>echo {"issue":{"subject":"","project_id":79,"tracker_id":40,"status_id":1,"priority_id":2,"assigned_to_id":338,"start_date":"2017-12-02","description":"","custom_fields":[{"id":1,"name":"Subdivision","value":"EC"},{"id":4,"name":"Milepost","value":"23.3208"},{"id":17,"name":"Train ID","value":"235-02"},{"id":16,"name":"Locomotive ID","value":"4022"},{"id":130,"name":"Impact","value":""},{"id":150,"name":"Time of Event (Mountain Time)","value":"23:06:31"},{"id":151,"name":"Denver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51"/>
        <v>start /low /b %USERPROFILE%\Documents\GitHub\eaglep3\Utilities\DownloadLogsFromS3.py --loco 4022 --day 2017-12-02</v>
      </c>
      <c r="AN149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53"/>
        <v>https://d0f6bd738d7f1b3e5a7ca70fe4ff75f0.us-east-1.aws.found.io/app/kibana#/discover/Steve-Slow-Train-Analysis-(2080s-and-2083s)?_g=(refreshInterval:(display:Off,pause:!f,section:0,value:0),time:(from:'2017-12-02T21:22:11-0700',mode:absolute,to:'2017-12-03T00:06:31-0700'))&amp;_a=(columns:!('Message%20ID',Summary),filters:!(),index:'emp_*',interval:auto,query:(query_string:(analyze_wildcard:!t,query:'%22rtdc.l.rtdc.4022%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867</v>
      </c>
      <c r="B150" s="225">
        <v>4021</v>
      </c>
      <c r="C150" s="227" t="s">
        <v>192</v>
      </c>
      <c r="D150" s="227" t="s">
        <v>933</v>
      </c>
      <c r="E150" s="226">
        <v>43071.970613425925</v>
      </c>
      <c r="F150" s="226">
        <v>43071.977280092593</v>
      </c>
      <c r="G150" s="225">
        <v>82</v>
      </c>
      <c r="H150" s="227" t="s">
        <v>1019</v>
      </c>
      <c r="I150" s="226">
        <v>43072.004942129628</v>
      </c>
      <c r="J150" s="225">
        <v>0</v>
      </c>
      <c r="K150" s="237" t="str">
        <f>IF(ISEVEN(B150),(B150-1)&amp;"/"&amp;B150,B150&amp;"/"&amp;(B150+1))</f>
        <v>4021/4022</v>
      </c>
      <c r="L150" s="245" t="str">
        <f>VLOOKUP(A150,'Trips&amp;Operators'!$C$1:$G$99911,5,FALSE)</f>
        <v>NICHOLSON WESLEY</v>
      </c>
      <c r="M150" s="224">
        <f>I150-F150</f>
        <v>2.7662037035042886E-2</v>
      </c>
      <c r="N150" s="225">
        <f>24*60*SUM($M150:$M150)</f>
        <v>39.833333330461755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-02T22:17:41-0700',mode:absolute,to:'2017-12-03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23.2879</v>
      </c>
      <c r="Z150" s="247">
        <f>RIGHT(H150,LEN(H150)-4)/10000</f>
        <v>2.5100000000000001E-2</v>
      </c>
      <c r="AA150" s="247">
        <f>ABS(Z150-Y150)</f>
        <v>23.262800000000002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/stypes="app*4021*20171203*"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49"/>
        <v>"%USERPROFILE%\Documents\GitHub\eaglep3\Utilities\RefineRTDCRunTimes.py" --tripid 236-02 --locoid 4021 --swversion DE.1.0.9.0 --startMP 204:232879 --initTime 2017-12-02T23:17:41 --startdatetime 2017-12-02T23:27:17 --delay 82 --endMP 204:251 --enddatetime 2017-12-03T00:07:07 --enforcementcount 0 &gt;&gt;%USERPROFILE%\Documents\GitHub\eaglep3-reporting\EC\2017-12-02-refined-times.txt</v>
      </c>
      <c r="AI150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{"issue":{"subject":"","project_id":79,"tracker_id":40,"status_id":1,"priority_id":2,"assigned_to_id":338,"start_date":"2017-12-03","description":"","custom_fields":[{"id":1,"name":"Subdivision","value":"EC"},{"id":4,"name":"Milepost","value":"0.0251"},{"id":17,"name":"Train ID","value":"236-02"},{"id":16,"name":"Locomotive ID","value":"4021"},{"id":130,"name":"Impact","value":""},{"id":150,"name":"Time of Event (Mountain Time)","value":"00:07:07"},{"id":151,"name":"Denver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51"/>
        <v>start /low /b %USERPROFILE%\Documents\GitHub\eaglep3\Utilities\DownloadLogsFromS3.py --loco 4021 --day 2017-12-02</v>
      </c>
      <c r="AN150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53"/>
        <v>https://d0f6bd738d7f1b3e5a7ca70fe4ff75f0.us-east-1.aws.found.io/app/kibana#/discover/Steve-Slow-Train-Analysis-(2080s-and-2083s)?_g=(refreshInterval:(display:Off,pause:!f,section:0,value:0),time:(from:'2017-12-02T22:17:41-0700',mode:absolute,to:'2017-12-03T01:07:07-0700'))&amp;_a=(columns:!('Message%20ID',Summary),filters:!(),index:'emp_*',interval:auto,query:(query_string:(analyze_wildcard:!t,query:'%22rtdc.l.rtdc.4021%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864</v>
      </c>
      <c r="B151" s="225">
        <v>4010</v>
      </c>
      <c r="C151" s="227" t="s">
        <v>192</v>
      </c>
      <c r="D151" s="227" t="s">
        <v>1030</v>
      </c>
      <c r="E151" s="226">
        <v>43071.95648148148</v>
      </c>
      <c r="F151" s="226">
        <v>43071.958599537036</v>
      </c>
      <c r="G151" s="225">
        <v>61</v>
      </c>
      <c r="H151" s="227" t="s">
        <v>624</v>
      </c>
      <c r="I151" s="226">
        <v>43071.983842592592</v>
      </c>
      <c r="J151" s="225">
        <v>0</v>
      </c>
      <c r="K151" s="237" t="str">
        <f>IF(ISEVEN(B151),(B151-1)&amp;"/"&amp;B151,B151&amp;"/"&amp;(B151+1))</f>
        <v>4009/4010</v>
      </c>
      <c r="L151" s="245" t="str">
        <f>VLOOKUP(A151,'Trips&amp;Operators'!$C$1:$G$99911,5,FALSE)</f>
        <v>ANDERS STEVEN</v>
      </c>
      <c r="M151" s="224">
        <f>I151-F151</f>
        <v>2.5243055555620231E-2</v>
      </c>
      <c r="N151" s="225">
        <f>24*60*SUM($M151:$M151)</f>
        <v>36.350000000093132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-02T21:57:20-0700',mode:absolute,to:'2017-12-03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5.3900000000000003E-2</v>
      </c>
      <c r="Z151" s="247">
        <f>RIGHT(H151,LEN(H151)-4)/10000</f>
        <v>23.324300000000001</v>
      </c>
      <c r="AA151" s="247">
        <f>ABS(Z151-Y151)</f>
        <v>23.270400000000002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/stypes="app*4010*20171203*" /stext=" 06:.+((SYSTEM_STATE.+slice.+state.+changed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49"/>
        <v>"%USERPROFILE%\Documents\GitHub\eaglep3\Utilities\RefineRTDCRunTimes.py" --tripid 237-02 --locoid 4010 --swversion DE.1.0.9.0 --startMP 204:539 --initTime 2017-12-02T22:57:20 --startdatetime 2017-12-02T23:00:23 --delay 61 --endMP 204:233243 --enddatetime 2017-12-02T23:36:44 --enforcementcount 0 &gt;&gt;%USERPROFILE%\Documents\GitHub\eaglep3-reporting\EC\2017-12-02-refined-times.txt</v>
      </c>
      <c r="AI151" s="238" t="str">
        <f t="shared" si="50"/>
        <v>echo {"issue":{"subject":"","project_id":79,"tracker_id":40,"status_id":1,"priority_id":2,"assigned_to_id":338,"start_date":"2017-12-02","description":"","custom_fields":[{"id":1,"name":"Subdivision","value":"EC"},{"id":4,"name":"Milepost","value":"23.3243"},{"id":17,"name":"Train ID","value":"237-02"},{"id":16,"name":"Locomotive ID","value":"4010"},{"id":130,"name":"Impact","value":""},{"id":150,"name":"Time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51"/>
        <v>start /low /b %USERPROFILE%\Documents\GitHub\eaglep3\Utilities\DownloadLogsFromS3.py --loco 4010 --day 2017-12-02</v>
      </c>
      <c r="AN151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53"/>
        <v>https://d0f6bd738d7f1b3e5a7ca70fe4ff75f0.us-east-1.aws.found.io/app/kibana#/discover/Steve-Slow-Train-Analysis-(2080s-and-2083s)?_g=(refreshInterval:(display:Off,pause:!f,section:0,value:0),time:(from:'2017-12-02T21:57:20-0700',mode:absolute,to:'2017-12-03T00:36:44-0700'))&amp;_a=(columns:!('Message%20ID',Summary),filters:!(),index:'emp_*',interval:auto,query:(query_string:(analyze_wildcard:!t,query:'%22rtdc.l.rtdc.4010%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870</v>
      </c>
      <c r="B152" s="225">
        <v>4009</v>
      </c>
      <c r="C152" s="227" t="s">
        <v>192</v>
      </c>
      <c r="D152" s="227" t="s">
        <v>1031</v>
      </c>
      <c r="E152" s="226">
        <v>43071.995844907404</v>
      </c>
      <c r="F152" s="226">
        <v>43071.998194444444</v>
      </c>
      <c r="G152" s="225">
        <v>66</v>
      </c>
      <c r="H152" s="227" t="s">
        <v>1032</v>
      </c>
      <c r="I152" s="226">
        <v>43072.025219907409</v>
      </c>
      <c r="J152" s="225">
        <v>0</v>
      </c>
      <c r="K152" s="237" t="str">
        <f>IF(ISEVEN(B152),(B152-1)&amp;"/"&amp;B152,B152&amp;"/"&amp;(B152+1))</f>
        <v>4009/4010</v>
      </c>
      <c r="L152" s="245" t="str">
        <f>VLOOKUP(A152,'Trips&amp;Operators'!$C$1:$G$99911,5,FALSE)</f>
        <v>ANDERS STEVEN</v>
      </c>
      <c r="M152" s="224">
        <f>I152-F152</f>
        <v>2.7025462964957114E-2</v>
      </c>
      <c r="N152" s="225">
        <f>24*60*SUM($M152:$M152)</f>
        <v>38.916666669538245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-02T22:54:01-0700',mode:absolute,to:'2017-12-03T01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23.292300000000001</v>
      </c>
      <c r="Z152" s="247">
        <f>RIGHT(H152,LEN(H152)-4)/10000</f>
        <v>2.4199999999999999E-2</v>
      </c>
      <c r="AA152" s="247">
        <f>ABS(Z152-Y152)</f>
        <v>23.2681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238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/stypes="app*4009*20171203*"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49"/>
        <v>"%USERPROFILE%\Documents\GitHub\eaglep3\Utilities\RefineRTDCRunTimes.py" --tripid 238-02 --locoid 4009 --swversion DE.1.0.9.0 --startMP 204:232923 --initTime 2017-12-02T23:54:01 --startdatetime 2017-12-02T23:57:24 --delay 66 --endMP 204:242 --enddatetime 2017-12-03T00:36:19 --enforcementcount 0 &gt;&gt;%USERPROFILE%\Documents\GitHub\eaglep3-reporting\EC\2017-12-02-refined-times.txt</v>
      </c>
      <c r="AI152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{"issue":{"subject":"","project_id":79,"tracker_id":40,"status_id":1,"priority_id":2,"assigned_to_id":338,"start_date":"2017-12-03","description":"","custom_fields":[{"id":1,"name":"Subdivision","value":"EC"},{"id":4,"name":"Milepost","value":"0.0242"},{"id":17,"name":"Train ID","value":"238-02"},{"id":16,"name":"Locomotive ID","value":"4009"},{"id":130,"name":"Impact","value":""},{"id":150,"name":"Time of Event (Mountain Time)","value":"00:36:19"},{"id":151,"name":"Denver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51"/>
        <v>start /low /b %USERPROFILE%\Documents\GitHub\eaglep3\Utilities\DownloadLogsFromS3.py --loco 4009 --day 2017-12-02</v>
      </c>
      <c r="AN152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53"/>
        <v>https://d0f6bd738d7f1b3e5a7ca70fe4ff75f0.us-east-1.aws.found.io/app/kibana#/discover/Steve-Slow-Train-Analysis-(2080s-and-2083s)?_g=(refreshInterval:(display:Off,pause:!f,section:0,value:0),time:(from:'2017-12-02T22:54:01-0700',mode:absolute,to:'2017-12-03T01:36:19-0700'))&amp;_a=(columns:!('Message%20ID',Summary),filters:!(),index:'emp_*',interval:auto,query:(query_string:(analyze_wildcard:!t,query:'%22rtdc.l.rtdc.4009%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866</v>
      </c>
      <c r="B153" s="225">
        <v>4058</v>
      </c>
      <c r="C153" s="227" t="s">
        <v>192</v>
      </c>
      <c r="D153" s="227" t="s">
        <v>578</v>
      </c>
      <c r="E153" s="226">
        <v>43071.962743055556</v>
      </c>
      <c r="F153" s="226">
        <v>43071.979317129626</v>
      </c>
      <c r="G153" s="225">
        <v>91</v>
      </c>
      <c r="H153" s="227" t="s">
        <v>1033</v>
      </c>
      <c r="I153" s="226">
        <v>43072.003437500003</v>
      </c>
      <c r="J153" s="225">
        <v>0</v>
      </c>
      <c r="K153" s="237" t="str">
        <f>IF(ISEVEN(B153),(B153-1)&amp;"/"&amp;B153,B153&amp;"/"&amp;(B153+1))</f>
        <v>4057/4058</v>
      </c>
      <c r="L153" s="245" t="str">
        <f>VLOOKUP(A153,'Trips&amp;Operators'!$C$1:$G$99911,5,FALSE)</f>
        <v>FORTUNATO FRANK</v>
      </c>
      <c r="M153" s="224">
        <f>I153-F153</f>
        <v>2.4120370377204381E-2</v>
      </c>
      <c r="N153" s="225">
        <f>24*60*SUM($M153:$M153)</f>
        <v>34.733333343174309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-02T22:06:21-0700',mode:absolute,to:'2017-12-03T01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5.1999999999999998E-2</v>
      </c>
      <c r="Z153" s="247">
        <f>RIGHT(H153,LEN(H153)-4)/10000</f>
        <v>23.318200000000001</v>
      </c>
      <c r="AA153" s="247">
        <f>ABS(Z153-Y153)</f>
        <v>23.266200000000001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239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/stypes="app*4058*20171203*"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49"/>
        <v>"%USERPROFILE%\Documents\GitHub\eaglep3\Utilities\RefineRTDCRunTimes.py" --tripid 239-02 --locoid 4058 --swversion DE.1.0.9.0 --startMP 204:520 --initTime 2017-12-02T23:06:21 --startdatetime 2017-12-02T23:30:13 --delay 91 --endMP 204:233182 --enddatetime 2017-12-03T00:04:57 --enforcementcount 0 &gt;&gt;%USERPROFILE%\Documents\GitHub\eaglep3-reporting\EC\2017-12-02-refined-times.txt</v>
      </c>
      <c r="AI153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{"issue":{"subject":"","project_id":79,"tracker_id":40,"status_id":1,"priority_id":2,"assigned_to_id":338,"start_date":"2017-12-03","description":"","custom_fields":[{"id":1,"name":"Subdivision","value":"EC"},{"id":4,"name":"Milepost","value":"23.3182"},{"id":17,"name":"Train ID","value":"239-02"},{"id":16,"name":"Locomotive ID","value":"4058"},{"id":130,"name":"Impact","value":""},{"id":150,"name":"Time of Event (Mountain Time)","value":"00:04:57"},{"id":151,"name":"Denver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51"/>
        <v>start /low /b %USERPROFILE%\Documents\GitHub\eaglep3\Utilities\DownloadLogsFromS3.py --loco 4058 --day 2017-12-02</v>
      </c>
      <c r="AN153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53"/>
        <v>https://d0f6bd738d7f1b3e5a7ca70fe4ff75f0.us-east-1.aws.found.io/app/kibana#/discover/Steve-Slow-Train-Analysis-(2080s-and-2083s)?_g=(refreshInterval:(display:Off,pause:!f,section:0,value:0),time:(from:'2017-12-02T22:06:21-0700',mode:absolute,to:'2017-12-03T01:04:57-0700'))&amp;_a=(columns:!('Message%20ID',Summary),filters:!(),index:'emp_*',interval:auto,query:(query_string:(analyze_wildcard:!t,query:'%22rtdc.l.rtdc.4058%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871</v>
      </c>
      <c r="B154" s="225">
        <v>4057</v>
      </c>
      <c r="C154" s="227" t="s">
        <v>192</v>
      </c>
      <c r="D154" s="227" t="s">
        <v>1034</v>
      </c>
      <c r="E154" s="226">
        <v>43072.004675925928</v>
      </c>
      <c r="F154" s="226">
        <v>43072.018900462965</v>
      </c>
      <c r="G154" s="225">
        <v>46</v>
      </c>
      <c r="H154" s="227" t="s">
        <v>619</v>
      </c>
      <c r="I154" s="226">
        <v>43072.044236111113</v>
      </c>
      <c r="J154" s="225">
        <v>0</v>
      </c>
      <c r="K154" s="237" t="str">
        <f>IF(ISEVEN(B154),(B154-1)&amp;"/"&amp;B154,B154&amp;"/"&amp;(B154+1))</f>
        <v>4057/4058</v>
      </c>
      <c r="L154" s="245" t="str">
        <f>VLOOKUP(A154,'Trips&amp;Operators'!$C$1:$G$99911,5,FALSE)</f>
        <v>FORTUNATO FRANK</v>
      </c>
      <c r="M154" s="224">
        <f>I154-F154</f>
        <v>2.5335648148029577E-2</v>
      </c>
      <c r="N154" s="225">
        <f>24*60*SUM($M154:$M154)</f>
        <v>36.483333333162591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-02T23:06:44-0700',mode:absolute,to:'2017-12-03T02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23.2852</v>
      </c>
      <c r="Z154" s="247">
        <f>RIGHT(H154,LEN(H154)-4)/10000</f>
        <v>2.18E-2</v>
      </c>
      <c r="AA154" s="247">
        <f>ABS(Z154-Y154)</f>
        <v>23.263400000000001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240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 &amp; aws s3 cp s3://rtdc.mdm.uploadarchive.raw/RTDC4057/ "%USERPROFILE%\AppData\Local\Temp\OnboardLogs"\RTDC4057\2017-12-04 --exclude "*" --recursive --include "*20171204*" &amp; "%USERPROFILE%\Documents\GitHub\mrs-test-scripts\Headless Mode &amp; Sideloading\WalkAndUnGZ.bat" "%USERPROFILE%\AppData\Local\Temp\OnboardLogs"\RTDC4057\2017-12-04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/stypes="app*4057*20171203*"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49"/>
        <v>"%USERPROFILE%\Documents\GitHub\eaglep3\Utilities\RefineRTDCRunTimes.py" --tripid 240-02 --locoid 4057 --swversion DE.1.0.9.0 --startMP 204:232852 --initTime 2017-12-03T00:06:44 --startdatetime 2017-12-03T00:27:13 --delay 46 --endMP 204:218 --enddatetime 2017-12-03T01:03:42 --enforcementcount 0 &gt;&gt;%USERPROFILE%\Documents\GitHub\eaglep3-reporting\EC\2017-12-02-refined-times.txt</v>
      </c>
      <c r="AI154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{"issue":{"subject":"","project_id":79,"tracker_id":40,"status_id":1,"priority_id":2,"assigned_to_id":338,"start_date":"2017-12-03","description":"","custom_fields":[{"id":1,"name":"Subdivision","value":"EC"},{"id":4,"name":"Milepost","value":"0.0218"},{"id":17,"name":"Train ID","value":"240-02"},{"id":16,"name":"Locomotive ID","value":"4057"},{"id":130,"name":"Impact","value":""},{"id":150,"name":"Time of Event (Mountain Time)","value":"01:03:42"},{"id":151,"name":"Denver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51"/>
        <v>start /low /b %USERPROFILE%\Documents\GitHub\eaglep3\Utilities\DownloadLogsFromS3.py --loco 4057 --day 2017-12-03</v>
      </c>
      <c r="AN154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53"/>
        <v>https://d0f6bd738d7f1b3e5a7ca70fe4ff75f0.us-east-1.aws.found.io/app/kibana#/discover/Steve-Slow-Train-Analysis-(2080s-and-2083s)?_g=(refreshInterval:(display:Off,pause:!f,section:0,value:0),time:(from:'2017-12-02T23:06:44-0700',mode:absolute,to:'2017-12-03T02:03:42-0700'))&amp;_a=(columns:!('Message%20ID',Summary),filters:!(),index:'emp_*',interval:auto,query:(query_string:(analyze_wildcard:!t,query:'%22rtdc.l.rtdc.4057%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869</v>
      </c>
      <c r="B155" s="225">
        <v>4030</v>
      </c>
      <c r="C155" s="227" t="s">
        <v>192</v>
      </c>
      <c r="D155" s="227" t="s">
        <v>1035</v>
      </c>
      <c r="E155" s="226">
        <v>43071.986875000002</v>
      </c>
      <c r="F155" s="226">
        <v>43072.000127314815</v>
      </c>
      <c r="G155" s="225">
        <v>47</v>
      </c>
      <c r="H155" s="227" t="s">
        <v>607</v>
      </c>
      <c r="I155" s="226">
        <v>43072.024224537039</v>
      </c>
      <c r="J155" s="225">
        <v>0</v>
      </c>
      <c r="K155" s="237" t="str">
        <f>IF(ISEVEN(B155),(B155-1)&amp;"/"&amp;B155,B155&amp;"/"&amp;(B155+1))</f>
        <v>4029/4030</v>
      </c>
      <c r="L155" s="245" t="str">
        <f>VLOOKUP(A155,'Trips&amp;Operators'!$C$1:$G$99911,5,FALSE)</f>
        <v>ELBAUM MIKE</v>
      </c>
      <c r="M155" s="224">
        <f>I155-F155</f>
        <v>2.4097222223645076E-2</v>
      </c>
      <c r="N155" s="225">
        <f>24*60*SUM($M155:$M155)</f>
        <v>34.70000000204891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-02T22:41:06-0700',mode:absolute,to:'2017-12-03T01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5.7099999999999998E-2</v>
      </c>
      <c r="Z155" s="247">
        <f>RIGHT(H155,LEN(H155)-4)/10000</f>
        <v>23.329699999999999</v>
      </c>
      <c r="AA155" s="247">
        <f>ABS(Z155-Y155)</f>
        <v>23.272600000000001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241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 &amp; 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/stypes="app*4030*20171203*" /stext=" 07:.+((SYSTEM_STATE.+slice.+state.+changed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49"/>
        <v>"%USERPROFILE%\Documents\GitHub\eaglep3\Utilities\RefineRTDCRunTimes.py" --tripid 241-02 --locoid 4030 --swversion DE.1.0.9.0 --startMP 204:571 --initTime 2017-12-02T23:41:06 --startdatetime 2017-12-03T00:00:11 --delay 47 --endMP 204:233297 --enddatetime 2017-12-03T00:34:53 --enforcementcount 0 &gt;&gt;%USERPROFILE%\Documents\GitHub\eaglep3-reporting\EC\2017-12-02-refined-times.txt</v>
      </c>
      <c r="AI155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{"issue":{"subject":"","project_id":79,"tracker_id":40,"status_id":1,"priority_id":2,"assigned_to_id":338,"start_date":"2017-12-03","description":"","custom_fields":[{"id":1,"name":"Subdivision","value":"EC"},{"id":4,"name":"Milepost","value":"23.3297"},{"id":17,"name":"Train ID","value":"241-02"},{"id":16,"name":"Locomotive ID","value":"4030"},{"id":130,"name":"Impact","value":""},{"id":150,"name":"Time of Event (Mountain Time)","value":"00:34:53"},{"id":151,"name":"Denver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51"/>
        <v>start /low /b %USERPROFILE%\Documents\GitHub\eaglep3\Utilities\DownloadLogsFromS3.py --loco 4030 --day 2017-12-03</v>
      </c>
      <c r="AN155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07:34:53"},{"id":29,"name":"Sharepoint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53"/>
        <v>https://d0f6bd738d7f1b3e5a7ca70fe4ff75f0.us-east-1.aws.found.io/app/kibana#/discover/Steve-Slow-Train-Analysis-(2080s-and-2083s)?_g=(refreshInterval:(display:Off,pause:!f,section:0,value:0),time:(from:'2017-12-02T22:41:06-0700',mode:absolute,to:'2017-12-03T01:34:53-0700'))&amp;_a=(columns:!('Message%20ID',Summary),filters:!(),index:'emp_*',interval:auto,query:(query_string:(analyze_wildcard:!t,query:'%22rtdc.l.rtdc.4030%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873</v>
      </c>
      <c r="B156" s="225">
        <v>4029</v>
      </c>
      <c r="C156" s="227" t="s">
        <v>192</v>
      </c>
      <c r="D156" s="227" t="s">
        <v>1036</v>
      </c>
      <c r="E156" s="226">
        <v>43072.025671296295</v>
      </c>
      <c r="F156" s="226">
        <v>43072.039733796293</v>
      </c>
      <c r="G156" s="225">
        <v>57</v>
      </c>
      <c r="H156" s="227" t="s">
        <v>905</v>
      </c>
      <c r="I156" s="226">
        <v>43072.064641203702</v>
      </c>
      <c r="J156" s="225">
        <v>0</v>
      </c>
      <c r="K156" s="237" t="str">
        <f>IF(ISEVEN(B156),(B156-1)&amp;"/"&amp;B156,B156&amp;"/"&amp;(B156+1))</f>
        <v>4029/4030</v>
      </c>
      <c r="L156" s="245" t="str">
        <f>VLOOKUP(A156,'Trips&amp;Operators'!$C$1:$G$99911,5,FALSE)</f>
        <v>ELBAUM MIKE</v>
      </c>
      <c r="M156" s="224">
        <f>I156-F156</f>
        <v>2.4907407409045845E-2</v>
      </c>
      <c r="N156" s="225">
        <f>24*60*SUM($M156:$M156)</f>
        <v>35.866666669026017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-02T23:36:58-0700',mode:absolute,to:'2017-12-03T02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23.299600000000002</v>
      </c>
      <c r="Z156" s="247">
        <f>RIGHT(H156,LEN(H156)-4)/10000</f>
        <v>2.7099999999999999E-2</v>
      </c>
      <c r="AA156" s="247">
        <f>ABS(Z156-Y156)</f>
        <v>23.272500000000001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242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 &amp; aws s3 cp s3://rtdc.mdm.uploadarchive.raw/RTDC4029/ "%USERPROFILE%\AppData\Local\Temp\OnboardLogs"\RTDC4029\2017-12-04 --exclude "*" --recursive --include "*20171204*" &amp; "%USERPROFILE%\Documents\GitHub\mrs-test-scripts\Headless Mode &amp; Sideloading\WalkAndUnGZ.bat" "%USERPROFILE%\AppData\Local\Temp\OnboardLogs"\RTDC4029\2017-12-04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/stypes="app*4029*20171203*"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49"/>
        <v>"%USERPROFILE%\Documents\GitHub\eaglep3\Utilities\RefineRTDCRunTimes.py" --tripid 242-02 --locoid 4029 --swversion DE.1.0.9.0 --startMP 204:232996 --initTime 2017-12-03T00:36:58 --startdatetime 2017-12-03T00:57:13 --delay 57 --endMP 204:271 --enddatetime 2017-12-03T01:33:05 --enforcementcount 0 &gt;&gt;%USERPROFILE%\Documents\GitHub\eaglep3-reporting\EC\2017-12-02-refined-times.txt</v>
      </c>
      <c r="AI156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{"issue":{"subject":"","project_id":79,"tracker_id":40,"status_id":1,"priority_id":2,"assigned_to_id":338,"start_date":"2017-12-03","description":"","custom_fields":[{"id":1,"name":"Subdivision","value":"EC"},{"id":4,"name":"Milepost","value":"0.0271"},{"id":17,"name":"Train ID","value":"242-02"},{"id":16,"name":"Locomotive ID","value":"4029"},{"id":130,"name":"Impact","value":""},{"id":150,"name":"Time of Event (Mountain Time)","value":"01:33:05"},{"id":151,"name":"Denver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51"/>
        <v>start /low /b %USERPROFILE%\Documents\GitHub\eaglep3\Utilities\DownloadLogsFromS3.py --loco 4029 --day 2017-12-03</v>
      </c>
      <c r="AN156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08:33:05"},{"id":29,"name":"Sharepoint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53"/>
        <v>https://d0f6bd738d7f1b3e5a7ca70fe4ff75f0.us-east-1.aws.found.io/app/kibana#/discover/Steve-Slow-Train-Analysis-(2080s-and-2083s)?_g=(refreshInterval:(display:Off,pause:!f,section:0,value:0),time:(from:'2017-12-02T23:36:58-0700',mode:absolute,to:'2017-12-03T02:33:05-0700'))&amp;_a=(columns:!('Message%20ID',Summary),filters:!(),index:'emp_*',interval:auto,query:(query_string:(analyze_wildcard:!t,query:'%22rtdc.l.rtdc.4029%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872</v>
      </c>
      <c r="B157" s="225">
        <v>4022</v>
      </c>
      <c r="C157" s="227" t="s">
        <v>192</v>
      </c>
      <c r="D157" s="227" t="s">
        <v>587</v>
      </c>
      <c r="E157" s="226">
        <v>43072.011469907404</v>
      </c>
      <c r="F157" s="226">
        <v>43072.021192129629</v>
      </c>
      <c r="G157" s="225">
        <v>66</v>
      </c>
      <c r="H157" s="227" t="s">
        <v>643</v>
      </c>
      <c r="I157" s="226">
        <v>43072.046041666668</v>
      </c>
      <c r="J157" s="225">
        <v>0</v>
      </c>
      <c r="K157" s="237" t="str">
        <f>IF(ISEVEN(B157),(B157-1)&amp;"/"&amp;B157,B157&amp;"/"&amp;(B157+1))</f>
        <v>4021/4022</v>
      </c>
      <c r="L157" s="245" t="str">
        <f>VLOOKUP(A157,'Trips&amp;Operators'!$C$1:$G$99911,5,FALSE)</f>
        <v>NICHOLSON WESLEY</v>
      </c>
      <c r="M157" s="224">
        <f>I157-F157</f>
        <v>2.4849537039699499E-2</v>
      </c>
      <c r="N157" s="225">
        <f>24*60*SUM($M157:$M157)</f>
        <v>35.783333337167278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-02T23:16:31-0700',mode:absolute,to:'2017-12-03T02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5.5899999999999998E-2</v>
      </c>
      <c r="Z157" s="247">
        <f>RIGHT(H157,LEN(H157)-4)/10000</f>
        <v>23.3184</v>
      </c>
      <c r="AA157" s="247">
        <f>ABS(Z157-Y157)</f>
        <v>23.262499999999999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243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 &amp; 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/stypes="app*4022*20171203*"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49"/>
        <v>"%USERPROFILE%\Documents\GitHub\eaglep3\Utilities\RefineRTDCRunTimes.py" --tripid 243-02 --locoid 4022 --swversion DE.1.0.9.0 --startMP 204:559 --initTime 2017-12-03T00:16:31 --startdatetime 2017-12-03T00:30:31 --delay 66 --endMP 204:233184 --enddatetime 2017-12-03T01:06:18 --enforcementcount 0 &gt;&gt;%USERPROFILE%\Documents\GitHub\eaglep3-reporting\EC\2017-12-02-refined-times.txt</v>
      </c>
      <c r="AI157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{"issue":{"subject":"","project_id":79,"tracker_id":40,"status_id":1,"priority_id":2,"assigned_to_id":338,"start_date":"2017-12-03","description":"","custom_fields":[{"id":1,"name":"Subdivision","value":"EC"},{"id":4,"name":"Milepost","value":"23.3184"},{"id":17,"name":"Train ID","value":"243-02"},{"id":16,"name":"Locomotive ID","value":"4022"},{"id":130,"name":"Impact","value":""},{"id":150,"name":"Time of Event (Mountain Time)","value":"01:06:18"},{"id":151,"name":"Denver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51"/>
        <v>start /low /b %USERPROFILE%\Documents\GitHub\eaglep3\Utilities\DownloadLogsFromS3.py --loco 4022 --day 2017-12-03</v>
      </c>
      <c r="AN157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53"/>
        <v>https://d0f6bd738d7f1b3e5a7ca70fe4ff75f0.us-east-1.aws.found.io/app/kibana#/discover/Steve-Slow-Train-Analysis-(2080s-and-2083s)?_g=(refreshInterval:(display:Off,pause:!f,section:0,value:0),time:(from:'2017-12-02T23:16:31-0700',mode:absolute,to:'2017-12-03T02:06:18-0700'))&amp;_a=(columns:!('Message%20ID',Summary),filters:!(),index:'emp_*',interval:auto,query:(query_string:(analyze_wildcard:!t,query:'%22rtdc.l.rtdc.4022%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29" t="s">
        <v>876</v>
      </c>
      <c r="B158" s="225">
        <v>4021</v>
      </c>
      <c r="C158" s="227" t="s">
        <v>192</v>
      </c>
      <c r="D158" s="227" t="s">
        <v>1037</v>
      </c>
      <c r="E158" s="226">
        <v>43072.05395833333</v>
      </c>
      <c r="F158" s="226">
        <v>43072.060601851852</v>
      </c>
      <c r="G158" s="225">
        <v>88</v>
      </c>
      <c r="H158" s="227" t="s">
        <v>552</v>
      </c>
      <c r="I158" s="226">
        <v>43072.088888888888</v>
      </c>
      <c r="J158" s="225">
        <v>0</v>
      </c>
      <c r="K158" s="237" t="str">
        <f>IF(ISEVEN(B158),(B158-1)&amp;"/"&amp;B158,B158&amp;"/"&amp;(B158+1))</f>
        <v>4021/4022</v>
      </c>
      <c r="L158" s="245" t="str">
        <f>VLOOKUP(A158,'Trips&amp;Operators'!$C$1:$G$99911,5,FALSE)</f>
        <v>NICHOLSON WESLEY</v>
      </c>
      <c r="M158" s="224">
        <f>I158-F158</f>
        <v>2.8287037035624962E-2</v>
      </c>
      <c r="N158" s="225">
        <f>24*60*SUM($M158:$M158)</f>
        <v>40.733333331299946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-03T00:17:42-0700',mode:absolute,to:'2017-12-03T03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23.285</v>
      </c>
      <c r="Z158" s="247">
        <f>RIGHT(H158,LEN(H158)-4)/10000</f>
        <v>2.6200000000000001E-2</v>
      </c>
      <c r="AA158" s="247">
        <f>ABS(Z158-Y158)</f>
        <v>23.258800000000001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244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 &amp; aws s3 cp s3://rtdc.mdm.uploadarchive.raw/RTDC4021/ "%USERPROFILE%\AppData\Local\Temp\OnboardLogs"\RTDC4021\2017-12-04 --exclude "*" --recursive --include "*20171204*" &amp; "%USERPROFILE%\Documents\GitHub\mrs-test-scripts\Headless Mode &amp; Sideloading\WalkAndUnGZ.bat" "%USERPROFILE%\AppData\Local\Temp\OnboardLogs"\RTDC4021\2017-12-04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/stypes="app*4021*20171203*" /stext=" 09:.+((SYSTEM_STATE.+slice.+state.+changed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49"/>
        <v>"%USERPROFILE%\Documents\GitHub\eaglep3\Utilities\RefineRTDCRunTimes.py" --tripid 244-02 --locoid 4021 --swversion DE.1.0.9.0 --startMP 204:232850 --initTime 2017-12-03T01:17:42 --startdatetime 2017-12-03T01:27:16 --delay 88 --endMP 204:262 --enddatetime 2017-12-03T02:08:00 --enforcementcount 0 &gt;&gt;%USERPROFILE%\Documents\GitHub\eaglep3-reporting\EC\2017-12-02-refined-times.txt</v>
      </c>
      <c r="AI158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{"issue":{"subject":"","project_id":79,"tracker_id":40,"status_id":1,"priority_id":2,"assigned_to_id":338,"start_date":"2017-12-03","description":"","custom_fields":[{"id":1,"name":"Subdivision","value":"EC"},{"id":4,"name":"Milepost","value":"0.0262"},{"id":17,"name":"Train ID","value":"244-02"},{"id":16,"name":"Locomotive ID","value":"4021"},{"id":130,"name":"Impact","value":""},{"id":150,"name":"Time of Event (Mountain Time)","value":"02:08:00"},{"id":151,"name":"Denver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51"/>
        <v>start /low /b %USERPROFILE%\Documents\GitHub\eaglep3\Utilities\DownloadLogsFromS3.py --loco 4021 --day 2017-12-03</v>
      </c>
      <c r="AN158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53"/>
        <v>https://d0f6bd738d7f1b3e5a7ca70fe4ff75f0.us-east-1.aws.found.io/app/kibana#/discover/Steve-Slow-Train-Analysis-(2080s-and-2083s)?_g=(refreshInterval:(display:Off,pause:!f,section:0,value:0),time:(from:'2017-12-03T00:17:42-0700',mode:absolute,to:'2017-12-03T03:08:00-0700'))&amp;_a=(columns:!('Message%20ID',Summary),filters:!(),index:'emp_*',interval:auto,query:(query_string:(analyze_wildcard:!t,query:'%22rtdc.l.rtdc.4021%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874</v>
      </c>
      <c r="B159" s="225">
        <v>4010</v>
      </c>
      <c r="C159" s="227" t="s">
        <v>192</v>
      </c>
      <c r="D159" s="227" t="s">
        <v>1037</v>
      </c>
      <c r="E159" s="226">
        <v>43072.05395833333</v>
      </c>
      <c r="F159" s="226">
        <v>43072.041932870372</v>
      </c>
      <c r="G159" s="225">
        <v>88</v>
      </c>
      <c r="H159" s="227" t="s">
        <v>552</v>
      </c>
      <c r="I159" s="226">
        <v>43072.068564814814</v>
      </c>
      <c r="J159" s="225">
        <v>0</v>
      </c>
      <c r="K159" s="237" t="str">
        <f>IF(ISEVEN(B159),(B159-1)&amp;"/"&amp;B159,B159&amp;"/"&amp;(B159+1))</f>
        <v>4009/4010</v>
      </c>
      <c r="L159" s="245" t="str">
        <f>VLOOKUP(A159,'Trips&amp;Operators'!$C$1:$G$99911,5,FALSE)</f>
        <v>ANDERS STEVEN</v>
      </c>
      <c r="M159" s="224">
        <f>I159-F159</f>
        <v>2.6631944441760425E-2</v>
      </c>
      <c r="N159" s="225">
        <f>24*60*SUM($M159:$M159)</f>
        <v>38.349999996135011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-03T00:17:42-0700',mode:absolute,to:'2017-12-03T02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v>5.5899999999999998E-2</v>
      </c>
      <c r="Z159" s="247">
        <v>23.3184</v>
      </c>
      <c r="AA159" s="247">
        <f>ABS(Z159-Y159)</f>
        <v>23.262499999999999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245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 &amp; aws s3 cp s3://rtdc.mdm.uploadarchive.raw/RTDC4010/ "%USERPROFILE%\AppData\Local\Temp\OnboardLogs"\RTDC4010\2017-12-04 --exclude "*" --recursive --include "*20171204*" &amp; "%USERPROFILE%\Documents\GitHub\mrs-test-scripts\Headless Mode &amp; Sideloading\WalkAndUnGZ.bat" "%USERPROFILE%\AppData\Local\Temp\OnboardLogs"\RTDC4010\2017-12-04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/stypes="app*4010*20171203*" /stext=" 08:.+((SYSTEM_STATE.+slice.+state.+changed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ref="AH159" si="59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245-02 --locoid 4010 --swversion DE.1.0.9.0 --startMP 204:232850 --initTime 2017-12-03T01:17:42 --startdatetime 2017-12-03T01:00:23 --delay 88 --endMP 204:262 --enddatetime 2017-12-03T01:38:44 --enforcementcount 0 &gt;&gt;%USERPROFILE%\Documents\GitHub\eaglep3-reporting\EC\2017-12-02-refined-times.txt</v>
      </c>
      <c r="AI159" s="238" t="str">
        <f t="shared" ref="AI159" si="60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{"issue":{"subject":"","project_id":79,"tracker_id":40,"status_id":1,"priority_id":2,"assigned_to_id":338,"start_date":"2017-12-03","description":"","custom_fields":[{"id":1,"name":"Subdivision","value":"EC"},{"id":4,"name":"Milepost","value":"23.3184"},{"id":17,"name":"Train ID","value":"245-02"},{"id":16,"name":"Locomotive ID","value":"4010"},{"id":130,"name":"Impact","value":""},{"id":150,"name":"Time of Event (Mountain Time)","value":"01:38:44"},{"id":151,"name":"Denver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61">"start /low /b "&amp;dls3logs&amp;" --loco "&amp;B159&amp;" --day "&amp;TEXT(F159,"YYYY-MM-DD")</f>
        <v>start /low /b %USERPROFILE%\Documents\GitHub\eaglep3\Utilities\DownloadLogsFromS3.py --loco 4010 --day 2017-12-03</v>
      </c>
      <c r="AN159" s="241" t="str">
        <f t="shared" ref="AN159" si="62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63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-03T00:17:42-0700',mode:absolute,to:'2017-12-03T02:38:44-0700'))&amp;_a=(columns:!('Message%20ID',Summary),filters:!(),index:'emp_*',interval:auto,query:(query_string:(analyze_wildcard:!t,query:'%22rtdc.l.rtdc.4010%22')),sort:!(Time.ISO8601,asc))</v>
      </c>
    </row>
    <row r="160" spans="1:91" s="20" customFormat="1" x14ac:dyDescent="0.3">
      <c r="A160" s="229" t="s">
        <v>878</v>
      </c>
      <c r="B160" s="225">
        <v>4009</v>
      </c>
      <c r="C160" s="227" t="s">
        <v>192</v>
      </c>
      <c r="D160" s="227" t="s">
        <v>1038</v>
      </c>
      <c r="E160" s="226">
        <v>43072.079583333332</v>
      </c>
      <c r="F160" s="226">
        <v>43072.082465277781</v>
      </c>
      <c r="G160" s="225">
        <v>69</v>
      </c>
      <c r="H160" s="227" t="s">
        <v>556</v>
      </c>
      <c r="I160" s="226">
        <v>43072.109351851854</v>
      </c>
      <c r="J160" s="225">
        <v>0</v>
      </c>
      <c r="K160" s="237" t="str">
        <f>IF(ISEVEN(B160),(B160-1)&amp;"/"&amp;B160,B160&amp;"/"&amp;(B160+1))</f>
        <v>4009/4010</v>
      </c>
      <c r="L160" s="245" t="str">
        <f>VLOOKUP(A160,'Trips&amp;Operators'!$C$1:$G$99911,5,FALSE)</f>
        <v>ANDERS STEVEN</v>
      </c>
      <c r="M160" s="224">
        <f>I160-F160</f>
        <v>2.6886574072705116E-2</v>
      </c>
      <c r="N160" s="225">
        <f>24*60*SUM($M160:$M160)</f>
        <v>38.716666664695367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-03T00:54:36-0700',mode:absolute,to:'2017-12-03T03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23.293600000000001</v>
      </c>
      <c r="Z160" s="247">
        <f>RIGHT(H160,LEN(H160)-4)/10000</f>
        <v>2.3099999999999999E-2</v>
      </c>
      <c r="AA160" s="247">
        <f>ABS(Z160-Y160)</f>
        <v>23.270500000000002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246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 &amp; aws s3 cp s3://rtdc.mdm.uploadarchive.raw/RTDC4009/ "%USERPROFILE%\AppData\Local\Temp\OnboardLogs"\RTDC4009\2017-12-04 --exclude "*" --recursive --include "*20171204*" &amp; "%USERPROFILE%\Documents\GitHub\mrs-test-scripts\Headless Mode &amp; Sideloading\WalkAndUnGZ.bat" "%USERPROFILE%\AppData\Local\Temp\OnboardLogs"\RTDC4009\2017-12-04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/stypes="app*4009*20171203*" /stext=" 09:.+((SYSTEM_STATE.+slice.+state.+changed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si="49"/>
        <v>"%USERPROFILE%\Documents\GitHub\eaglep3\Utilities\RefineRTDCRunTimes.py" --tripid 246-02 --locoid 4009 --swversion DE.1.0.9.0 --startMP 204:232936 --initTime 2017-12-03T01:54:36 --startdatetime 2017-12-03T01:58:45 --delay 69 --endMP 204:231 --enddatetime 2017-12-03T02:37:28 --enforcementcount 0 &gt;&gt;%USERPROFILE%\Documents\GitHub\eaglep3-reporting\EC\2017-12-02-refined-times.txt</v>
      </c>
      <c r="AI160" s="238" t="str">
        <f t="shared" si="50"/>
        <v>echo {"issue":{"subject":"","project_id":79,"tracker_id":40,"status_id":1,"priority_id":2,"assigned_to_id":338,"start_date":"2017-12-03","description":"","custom_fields":[{"id":1,"name":"Subdivision","value":"EC"},{"id":4,"name":"Milepost","value":"0.0231"},{"id":17,"name":"Train ID","value":"246-02"},{"id":16,"name":"Locomotive ID","value":"4009"},{"id":130,"name":"Impact","value":""},{"id":150,"name":"Time of Event (Mountain Time)","value":"02:37:28"},{"id":151,"name":"Denver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51"/>
        <v>start /low /b %USERPROFILE%\Documents\GitHub\eaglep3\Utilities\DownloadLogsFromS3.py --loco 4009 --day 2017-12-03</v>
      </c>
      <c r="AN160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53"/>
        <v>https://d0f6bd738d7f1b3e5a7ca70fe4ff75f0.us-east-1.aws.found.io/app/kibana#/discover/Steve-Slow-Train-Analysis-(2080s-and-2083s)?_g=(refreshInterval:(display:Off,pause:!f,section:0,value:0),time:(from:'2017-12-03T00:54:36-0700',mode:absolute,to:'2017-12-03T03:37:28-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649</v>
      </c>
      <c r="B161" s="225">
        <v>4053</v>
      </c>
      <c r="C161" s="227" t="s">
        <v>192</v>
      </c>
      <c r="D161" s="227" t="s">
        <v>951</v>
      </c>
      <c r="E161" s="226">
        <v>43071.236828703702</v>
      </c>
      <c r="F161" s="226">
        <v>43071.238113425927</v>
      </c>
      <c r="G161" s="225">
        <v>65</v>
      </c>
      <c r="H161" s="227" t="s">
        <v>952</v>
      </c>
      <c r="I161" s="226">
        <v>43071.247141203705</v>
      </c>
      <c r="J161" s="225">
        <v>0</v>
      </c>
      <c r="K161" s="237" t="str">
        <f>IF(ISEVEN(B161),(B161-1)&amp;"/"&amp;B161,B161&amp;"/"&amp;(B161+1))</f>
        <v>4053/4054</v>
      </c>
      <c r="L161" s="245" t="str">
        <f>VLOOKUP(A161,'Trips&amp;Operators'!$C$1:$G$99911,5,FALSE)</f>
        <v>LAMAR NEKESHA</v>
      </c>
      <c r="M161" s="224">
        <f>I161-F161</f>
        <v>9.0277777781011537E-3</v>
      </c>
      <c r="N161" s="225">
        <f>24*60*SUM($M161:$M161)</f>
        <v>13.000000000465661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-02T04:41:02-0700',mode:absolute,to:'2017-12-02T06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1554</v>
      </c>
      <c r="Y161" s="247">
        <f>RIGHT(D161,LEN(D161)-4)/10000</f>
        <v>5.8688000000000002</v>
      </c>
      <c r="Z161" s="247">
        <f>RIGHT(H161,LEN(H161)-4)/10000</f>
        <v>9.7000000000000003E-3</v>
      </c>
      <c r="AA161" s="247">
        <f>ABS(Z161-Y161)</f>
        <v>5.8591000000000006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1800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/stypes="app*4053*20171202*" /stext=" 12:.+((SYSTEM_STATE.+slice.+state.+changed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49"/>
        <v>"%USERPROFILE%\Documents\GitHub\eaglep3\Utilities\RefineRTDCRunTimes.py" --tripid 1800-02 --locoid 4053 --swversion DE.1.0.9.0 --startMP 300:58688 --initTime 2017-12-02T05:41:02 --startdatetime 2017-12-02T05:42:53 --delay 65 --endMP 204:97 --enddatetime 2017-12-02T05:55:53 --enforcementcount 0 &gt;&gt;%USERPROFILE%\Documents\GitHub\eaglep3-reporting\EC\2017-12-02-refined-times.txt</v>
      </c>
      <c r="AI161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{"issue":{"subject":"","project_id":79,"tracker_id":40,"status_id":1,"priority_id":2,"assigned_to_id":338,"start_date":"2017-12-02","description":"","custom_fields":[{"id":1,"name":"Subdivision","value":"NW"},{"id":4,"name":"Milepost","value":"0.0097"},{"id":17,"name":"Train ID","value":"1800-02"},{"id":16,"name":"Locomotive ID","value":"4053"},{"id":130,"name":"Impact","value":""},{"id":150,"name":"Time of Event (Mountain Time)","value":"05:55:53"},{"id":151,"name":"Denver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51"/>
        <v>start /low /b %USERPROFILE%\Documents\GitHub\eaglep3\Utilities\DownloadLogsFromS3.py --loco 4053 --day 2017-12-02</v>
      </c>
      <c r="AN161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53"/>
        <v>https://d0f6bd738d7f1b3e5a7ca70fe4ff75f0.us-east-1.aws.found.io/app/kibana#/discover/Steve-Slow-Train-Analysis-(2080s-and-2083s)?_g=(refreshInterval:(display:Off,pause:!f,section:0,value:0),time:(from:'2017-12-02T04:41:02-0700',mode:absolute,to:'2017-12-02T06:55:53-0700'))&amp;_a=(columns:!('Message%20ID',Summary),filters:!(),index:'emp_*',interval:auto,query:(query_string:(analyze_wildcard:!t,query:'%22rtdc.l.rtdc.4053%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706</v>
      </c>
      <c r="B162" s="225">
        <v>4054</v>
      </c>
      <c r="C162" s="227" t="s">
        <v>192</v>
      </c>
      <c r="D162" s="227" t="s">
        <v>953</v>
      </c>
      <c r="E162" s="226">
        <v>43071.25476851852</v>
      </c>
      <c r="F162" s="226">
        <v>43071.256805555553</v>
      </c>
      <c r="G162" s="225">
        <v>60</v>
      </c>
      <c r="H162" s="227" t="s">
        <v>954</v>
      </c>
      <c r="I162" s="226">
        <v>43071.266284722224</v>
      </c>
      <c r="J162" s="225">
        <v>0</v>
      </c>
      <c r="K162" s="237" t="str">
        <f>IF(ISEVEN(B162),(B162-1)&amp;"/"&amp;B162,B162&amp;"/"&amp;(B162+1))</f>
        <v>4053/4054</v>
      </c>
      <c r="L162" s="245" t="str">
        <f>VLOOKUP(A162,'Trips&amp;Operators'!$C$1:$G$99911,5,FALSE)</f>
        <v>LAMAR NEKESHA</v>
      </c>
      <c r="M162" s="224">
        <f>I162-F162</f>
        <v>9.4791666706441902E-3</v>
      </c>
      <c r="N162" s="225">
        <f>24*60*SUM($M162:$M162)</f>
        <v>13.650000005727634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-02T05:06:52-0700',mode:absolute,to:'2017-12-02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3.8100000000000002E-2</v>
      </c>
      <c r="Z162" s="247">
        <f>RIGHT(H162,LEN(H162)-4)/10000</f>
        <v>5.8986000000000001</v>
      </c>
      <c r="AA162" s="247">
        <f>ABS(Z162-Y162)</f>
        <v>5.8605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1801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/stypes="app*4054*20171202*" /stext=" 13:.+((SYSTEM_STATE.+slice.+state.+changed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49"/>
        <v>"%USERPROFILE%\Documents\GitHub\eaglep3\Utilities\RefineRTDCRunTimes.py" --tripid 1801-02 --locoid 4054 --swversion DE.1.0.9.0 --startMP 204:381 --initTime 2017-12-02T06:06:52 --startdatetime 2017-12-02T06:09:48 --delay 60 --endMP 300:58986 --enddatetime 2017-12-02T06:23:27 --enforcementcount 0 &gt;&gt;%USERPROFILE%\Documents\GitHub\eaglep3-reporting\EC\2017-12-02-refined-times.txt</v>
      </c>
      <c r="AI162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{"issue":{"subject":"","project_id":79,"tracker_id":40,"status_id":1,"priority_id":2,"assigned_to_id":338,"start_date":"2017-12-02","description":"","custom_fields":[{"id":1,"name":"Subdivision","value":"NW"},{"id":4,"name":"Milepost","value":"5.8986"},{"id":17,"name":"Train ID","value":"1801-02"},{"id":16,"name":"Locomotive ID","value":"4054"},{"id":130,"name":"Impact","value":""},{"id":150,"name":"Time of Event (Mountain Time)","value":"06:23:27"},{"id":151,"name":"Denver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51"/>
        <v>start /low /b %USERPROFILE%\Documents\GitHub\eaglep3\Utilities\DownloadLogsFromS3.py --loco 4054 --day 2017-12-02</v>
      </c>
      <c r="AN162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53"/>
        <v>https://d0f6bd738d7f1b3e5a7ca70fe4ff75f0.us-east-1.aws.found.io/app/kibana#/discover/Steve-Slow-Train-Analysis-(2080s-and-2083s)?_g=(refreshInterval:(display:Off,pause:!f,section:0,value:0),time:(from:'2017-12-02T05:06:52-0700',mode:absolute,to:'2017-12-02T07:23:27-0700'))&amp;_a=(columns:!('Message%20ID',Summary),filters:!(),index:'emp_*',interval:auto,query:(query_string:(analyze_wildcard:!t,query:'%22rtdc.l.rtdc.4054%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710</v>
      </c>
      <c r="B163" s="225">
        <v>4053</v>
      </c>
      <c r="C163" s="227" t="s">
        <v>192</v>
      </c>
      <c r="D163" s="227" t="s">
        <v>625</v>
      </c>
      <c r="E163" s="226">
        <v>43071.272951388892</v>
      </c>
      <c r="F163" s="226">
        <v>43071.275393518517</v>
      </c>
      <c r="G163" s="225">
        <v>45</v>
      </c>
      <c r="H163" s="227" t="s">
        <v>955</v>
      </c>
      <c r="I163" s="226">
        <v>43071.288240740738</v>
      </c>
      <c r="J163" s="225">
        <v>0</v>
      </c>
      <c r="K163" s="237" t="str">
        <f>IF(ISEVEN(B163),(B163-1)&amp;"/"&amp;B163,B163&amp;"/"&amp;(B163+1))</f>
        <v>4053/4054</v>
      </c>
      <c r="L163" s="245" t="str">
        <f>VLOOKUP(A163,'Trips&amp;Operators'!$C$1:$G$99911,5,FALSE)</f>
        <v>LAMAR NEKESHA</v>
      </c>
      <c r="M163" s="224">
        <f>I163-F163</f>
        <v>1.2847222220443655E-2</v>
      </c>
      <c r="N163" s="225">
        <f>24*60*SUM($M163:$M163)</f>
        <v>18.499999997438863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-02T05:33:03-0700',mode:absolute,to:'2017-12-02T07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5.8673000000000002</v>
      </c>
      <c r="Z163" s="247">
        <f>RIGHT(H163,LEN(H163)-4)/10000</f>
        <v>1.55E-2</v>
      </c>
      <c r="AA163" s="247">
        <f>ABS(Z163-Y163)</f>
        <v>5.8517999999999999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1802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/stypes="app*4053*20171202*"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49"/>
        <v>"%USERPROFILE%\Documents\GitHub\eaglep3\Utilities\RefineRTDCRunTimes.py" --tripid 1802-02 --locoid 4053 --swversion DE.1.0.9.0 --startMP 300:58673 --initTime 2017-12-02T06:33:03 --startdatetime 2017-12-02T06:36:34 --delay 45 --endMP 204:155 --enddatetime 2017-12-02T06:55:04 --enforcementcount 0 &gt;&gt;%USERPROFILE%\Documents\GitHub\eaglep3-reporting\EC\2017-12-02-refined-times.txt</v>
      </c>
      <c r="AI163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{"issue":{"subject":"","project_id":79,"tracker_id":40,"status_id":1,"priority_id":2,"assigned_to_id":338,"start_date":"2017-12-02","description":"","custom_fields":[{"id":1,"name":"Subdivision","value":"NW"},{"id":4,"name":"Milepost","value":"0.0155"},{"id":17,"name":"Train ID","value":"1802-02"},{"id":16,"name":"Locomotive ID","value":"4053"},{"id":130,"name":"Impact","value":""},{"id":150,"name":"Time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51"/>
        <v>start /low /b %USERPROFILE%\Documents\GitHub\eaglep3\Utilities\DownloadLogsFromS3.py --loco 4053 --day 2017-12-02</v>
      </c>
      <c r="AN163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53"/>
        <v>https://d0f6bd738d7f1b3e5a7ca70fe4ff75f0.us-east-1.aws.found.io/app/kibana#/discover/Steve-Slow-Train-Analysis-(2080s-and-2083s)?_g=(refreshInterval:(display:Off,pause:!f,section:0,value:0),time:(from:'2017-12-02T05:33:03-0700',mode:absolute,to:'2017-12-02T07:55:04-0700'))&amp;_a=(columns:!('Message%20ID',Summary),filters:!(),index:'emp_*',interval:auto,query:(query_string:(analyze_wildcard:!t,query:'%22rtdc.l.rtdc.4053%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710</v>
      </c>
      <c r="B164" s="225">
        <v>4053</v>
      </c>
      <c r="C164" s="227" t="s">
        <v>192</v>
      </c>
      <c r="D164" s="227" t="s">
        <v>956</v>
      </c>
      <c r="E164" s="226">
        <v>43071.269212962965</v>
      </c>
      <c r="F164" s="226">
        <v>43071.275393518517</v>
      </c>
      <c r="G164" s="225">
        <v>50</v>
      </c>
      <c r="H164" s="227" t="s">
        <v>957</v>
      </c>
      <c r="I164" s="226">
        <v>43071.288240740738</v>
      </c>
      <c r="J164" s="225">
        <v>0</v>
      </c>
      <c r="K164" s="237" t="str">
        <f>IF(ISEVEN(B164),(B164-1)&amp;"/"&amp;B164,B164&amp;"/"&amp;(B164+1))</f>
        <v>4053/4054</v>
      </c>
      <c r="L164" s="245" t="str">
        <f>VLOOKUP(A164,'Trips&amp;Operators'!$C$1:$G$99911,5,FALSE)</f>
        <v>LAMAR NEKESHA</v>
      </c>
      <c r="M164" s="224">
        <f>I164-F164</f>
        <v>1.2847222220443655E-2</v>
      </c>
      <c r="N164" s="225"/>
      <c r="O164" s="225"/>
      <c r="P164" s="225"/>
      <c r="Q164" s="228"/>
      <c r="R164" s="242"/>
      <c r="S164" s="249"/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-02T05:27:40-0700',mode:absolute,to:'2017-12-02T07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4" s="247" t="str">
        <f>IF(AA164&lt;VLOOKUP(AG164,Variables!$AC$3:$AD$8,2,FALSE),"Y","N")</f>
        <v>Y</v>
      </c>
      <c r="X164" s="247">
        <f>VALUE(LEFT(AD164,4))-VALUE(LEFT(AD163,4))</f>
        <v>0</v>
      </c>
      <c r="Y164" s="247">
        <f>RIGHT(D164,LEN(D164)-4)/10000</f>
        <v>5.8685</v>
      </c>
      <c r="Z164" s="247">
        <f>RIGHT(H164,LEN(H164)-4)/10000</f>
        <v>5.867</v>
      </c>
      <c r="AA164" s="247">
        <f>ABS(Z164-Y164)</f>
        <v>1.5000000000000568E-3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1802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/stypes="app*4053*20171202*"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49"/>
        <v>"%USERPROFILE%\Documents\GitHub\eaglep3\Utilities\RefineRTDCRunTimes.py" --tripid 1802-02 --locoid 4053 --swversion DE.1.0.9.0 --startMP 300:58685 --initTime 2017-12-02T06:27:40 --startdatetime 2017-12-02T06:36:34 --delay 50 --endMP 300:58670 --enddatetime 2017-12-02T06:55:04 --enforcementcount 0 &gt;&gt;%USERPROFILE%\Documents\GitHub\eaglep3-reporting\EC\2017-12-02-refined-times.txt</v>
      </c>
      <c r="AI164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{"issue":{"subject":"","project_id":79,"tracker_id":40,"status_id":1,"priority_id":2,"assigned_to_id":338,"start_date":"2017-12-02","description":"","custom_fields":[{"id":1,"name":"Subdivision","value":"NW"},{"id":4,"name":"Milepost","value":"5.867"},{"id":17,"name":"Train ID","value":"1802-02"},{"id":16,"name":"Locomotive ID","value":"4053"},{"id":130,"name":"Impact","value":""},{"id":150,"name":"Time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51"/>
        <v>start /low /b %USERPROFILE%\Documents\GitHub\eaglep3\Utilities\DownloadLogsFromS3.py --loco 4053 --day 2017-12-02</v>
      </c>
      <c r="AN164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53"/>
        <v>https://d0f6bd738d7f1b3e5a7ca70fe4ff75f0.us-east-1.aws.found.io/app/kibana#/discover/Steve-Slow-Train-Analysis-(2080s-and-2083s)?_g=(refreshInterval:(display:Off,pause:!f,section:0,value:0),time:(from:'2017-12-02T05:27:40-0700',mode:absolute,to:'2017-12-02T07:55:04-0700'))&amp;_a=(columns:!('Message%20ID',Summary),filters:!(),index:'emp_*',interval:auto,query:(query_string:(analyze_wildcard:!t,query:'%22rtdc.l.rtdc.4053%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653</v>
      </c>
      <c r="B165" s="225">
        <v>4054</v>
      </c>
      <c r="C165" s="227" t="s">
        <v>192</v>
      </c>
      <c r="D165" s="227" t="s">
        <v>958</v>
      </c>
      <c r="E165" s="226">
        <v>43071.295104166667</v>
      </c>
      <c r="F165" s="226">
        <v>43071.298159722224</v>
      </c>
      <c r="G165" s="225">
        <v>60</v>
      </c>
      <c r="H165" s="227" t="s">
        <v>959</v>
      </c>
      <c r="I165" s="226">
        <v>43071.307893518519</v>
      </c>
      <c r="J165" s="225">
        <v>0</v>
      </c>
      <c r="K165" s="237" t="str">
        <f>IF(ISEVEN(B165),(B165-1)&amp;"/"&amp;B165,B165&amp;"/"&amp;(B165+1))</f>
        <v>4053/4054</v>
      </c>
      <c r="L165" s="245" t="str">
        <f>VLOOKUP(A165,'Trips&amp;Operators'!$C$1:$G$99911,5,FALSE)</f>
        <v>LAMAR NEKESHA</v>
      </c>
      <c r="M165" s="224">
        <f>I165-F165</f>
        <v>9.7337962943129241E-3</v>
      </c>
      <c r="N165" s="225">
        <f>24*60*SUM($M165:$M165)</f>
        <v>14.016666663810611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4.5499999999999999E-2</v>
      </c>
      <c r="Z165" s="247">
        <f>RIGHT(H165,LEN(H165)-4)/10000</f>
        <v>5.8997000000000002</v>
      </c>
      <c r="AA165" s="247">
        <f>ABS(Z165-Y165)</f>
        <v>5.8542000000000005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1803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/stypes="app*4054*20171202*"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49"/>
        <v>"%USERPROFILE%\Documents\GitHub\eaglep3\Utilities\RefineRTDCRunTimes.py" --tripid 1803-02 --locoid 4054 --swversion DE.1.0.9.0 --startMP 204:455 --initTime 2017-12-02T07:04:57 --startdatetime 2017-12-02T07:09:21 --delay 60 --endMP 300:58997 --enddatetime 2017-12-02T07:23:22 --enforcementcount 0 &gt;&gt;%USERPROFILE%\Documents\GitHub\eaglep3-reporting\EC\2017-12-02-refined-times.txt</v>
      </c>
      <c r="AI165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{"issue":{"subject":"","project_id":79,"tracker_id":40,"status_id":1,"priority_id":2,"assigned_to_id":338,"start_date":"2017-12-02","description":"","custom_fields":[{"id":1,"name":"Subdivision","value":"NW"},{"id":4,"name":"Milepost","value":"5.8997"},{"id":17,"name":"Train ID","value":"1803-02"},{"id":16,"name":"Locomotive ID","value":"4054"},{"id":130,"name":"Impact","value":""},{"id":150,"name":"Time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51"/>
        <v>start /low /b %USERPROFILE%\Documents\GitHub\eaglep3\Utilities\DownloadLogsFromS3.py --loco 4054 --day 2017-12-02</v>
      </c>
      <c r="AN165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53"/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Message%20ID',Summary),filters:!(),index:'emp_*',interval:auto,query:(query_string:(analyze_wildcard:!t,query:'%22rtdc.l.rtdc.4054%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720</v>
      </c>
      <c r="B166" s="225">
        <v>4053</v>
      </c>
      <c r="C166" s="227" t="s">
        <v>192</v>
      </c>
      <c r="D166" s="227" t="s">
        <v>956</v>
      </c>
      <c r="E166" s="226">
        <v>43071.309733796297</v>
      </c>
      <c r="F166" s="226">
        <v>43071.321284722224</v>
      </c>
      <c r="G166" s="225">
        <v>48</v>
      </c>
      <c r="H166" s="227" t="s">
        <v>960</v>
      </c>
      <c r="I166" s="226">
        <v>43071.330011574071</v>
      </c>
      <c r="J166" s="225">
        <v>0</v>
      </c>
      <c r="K166" s="237" t="str">
        <f>IF(ISEVEN(B166),(B166-1)&amp;"/"&amp;B166,B166&amp;"/"&amp;(B166+1))</f>
        <v>4053/4054</v>
      </c>
      <c r="L166" s="245" t="str">
        <f>VLOOKUP(A166,'Trips&amp;Operators'!$C$1:$G$99911,5,FALSE)</f>
        <v>LAMAR NEKESHA</v>
      </c>
      <c r="M166" s="224">
        <f>I166-F166</f>
        <v>8.7268518473138101E-3</v>
      </c>
      <c r="N166" s="225">
        <f>24*60*SUM($M166:$M166)</f>
        <v>12.566666660131887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-02T06:26:01-0700',mode:absolute,to:'2017-12-02T08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5.8685</v>
      </c>
      <c r="Z166" s="247">
        <f>RIGHT(H166,LEN(H166)-4)/10000</f>
        <v>1.6400000000000001E-2</v>
      </c>
      <c r="AA166" s="247">
        <f>ABS(Z166-Y166)</f>
        <v>5.8521000000000001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1804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/stypes="app*4053*20171202*"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49"/>
        <v>"%USERPROFILE%\Documents\GitHub\eaglep3\Utilities\RefineRTDCRunTimes.py" --tripid 1804-02 --locoid 4053 --swversion DE.1.0.9.0 --startMP 300:58685 --initTime 2017-12-02T07:26:01 --startdatetime 2017-12-02T07:42:39 --delay 48 --endMP 204:164 --enddatetime 2017-12-02T07:55:13 --enforcementcount 0 &gt;&gt;%USERPROFILE%\Documents\GitHub\eaglep3-reporting\EC\2017-12-02-refined-times.txt</v>
      </c>
      <c r="AI166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{"issue":{"subject":"","project_id":79,"tracker_id":40,"status_id":1,"priority_id":2,"assigned_to_id":338,"start_date":"2017-12-02","description":"","custom_fields":[{"id":1,"name":"Subdivision","value":"NW"},{"id":4,"name":"Milepost","value":"0.0164"},{"id":17,"name":"Train ID","value":"1804-02"},{"id":16,"name":"Locomotive ID","value":"4053"},{"id":130,"name":"Impact","value":""},{"id":150,"name":"Time of Event (Mountain Time)","value":"07:55:13"},{"id":151,"name":"Denver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51"/>
        <v>start /low /b %USERPROFILE%\Documents\GitHub\eaglep3\Utilities\DownloadLogsFromS3.py --loco 4053 --day 2017-12-02</v>
      </c>
      <c r="AN166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14:55:13"},{"id":29,"name":"Sharepoint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53"/>
        <v>https://d0f6bd738d7f1b3e5a7ca70fe4ff75f0.us-east-1.aws.found.io/app/kibana#/discover/Steve-Slow-Train-Analysis-(2080s-and-2083s)?_g=(refreshInterval:(display:Off,pause:!f,section:0,value:0),time:(from:'2017-12-02T06:26:01-0700',mode:absolute,to:'2017-12-02T08:55:13-0700'))&amp;_a=(columns:!('Message%20ID',Summary),filters:!(),index:'emp_*',interval:auto,query:(query_string:(analyze_wildcard:!t,query:'%22rtdc.l.rtdc.4053%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728</v>
      </c>
      <c r="B167" s="225">
        <v>4054</v>
      </c>
      <c r="C167" s="227" t="s">
        <v>192</v>
      </c>
      <c r="D167" s="227" t="s">
        <v>576</v>
      </c>
      <c r="E167" s="226">
        <v>43071.338043981479</v>
      </c>
      <c r="F167" s="226">
        <v>43071.339849537035</v>
      </c>
      <c r="G167" s="225">
        <v>74</v>
      </c>
      <c r="H167" s="227" t="s">
        <v>626</v>
      </c>
      <c r="I167" s="226">
        <v>43071.348912037036</v>
      </c>
      <c r="J167" s="225">
        <v>0</v>
      </c>
      <c r="K167" s="237" t="str">
        <f>IF(ISEVEN(B167),(B167-1)&amp;"/"&amp;B167,B167&amp;"/"&amp;(B167+1))</f>
        <v>4053/4054</v>
      </c>
      <c r="L167" s="245" t="str">
        <f>VLOOKUP(A167,'Trips&amp;Operators'!$C$1:$G$99911,5,FALSE)</f>
        <v>LAMAR NEKESHA</v>
      </c>
      <c r="M167" s="224">
        <f>I167-F167</f>
        <v>9.0625000011641532E-3</v>
      </c>
      <c r="N167" s="225">
        <f>24*60*SUM($M167:$M167)</f>
        <v>13.050000001676381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-02T07:06:47-0700',mode:absolute,to:'2017-12-02T09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4.7699999999999999E-2</v>
      </c>
      <c r="Z167" s="247">
        <f>RIGHT(H167,LEN(H167)-4)/10000</f>
        <v>5.8971</v>
      </c>
      <c r="AA167" s="247">
        <f>ABS(Z167-Y167)</f>
        <v>5.8494000000000002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1805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/stypes="app*4054*20171202*" /stext=" 15:.+((SYSTEM_STATE.+slice.+state.+changed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49"/>
        <v>"%USERPROFILE%\Documents\GitHub\eaglep3\Utilities\RefineRTDCRunTimes.py" --tripid 1805-02 --locoid 4054 --swversion DE.1.0.9.0 --startMP 204:477 --initTime 2017-12-02T08:06:47 --startdatetime 2017-12-02T08:09:23 --delay 74 --endMP 300:58971 --enddatetime 2017-12-02T08:22:26 --enforcementcount 0 &gt;&gt;%USERPROFILE%\Documents\GitHub\eaglep3-reporting\EC\2017-12-02-refined-times.txt</v>
      </c>
      <c r="AI167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{"issue":{"subject":"","project_id":79,"tracker_id":40,"status_id":1,"priority_id":2,"assigned_to_id":338,"start_date":"2017-12-02","description":"","custom_fields":[{"id":1,"name":"Subdivision","value":"NW"},{"id":4,"name":"Milepost","value":"5.8971"},{"id":17,"name":"Train ID","value":"1805-02"},{"id":16,"name":"Locomotive ID","value":"4054"},{"id":130,"name":"Impact","value":""},{"id":150,"name":"Time of Event (Mountain Time)","value":"08:22:26"},{"id":151,"name":"Denver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51"/>
        <v>start /low /b %USERPROFILE%\Documents\GitHub\eaglep3\Utilities\DownloadLogsFromS3.py --loco 4054 --day 2017-12-02</v>
      </c>
      <c r="AN167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53"/>
        <v>https://d0f6bd738d7f1b3e5a7ca70fe4ff75f0.us-east-1.aws.found.io/app/kibana#/discover/Steve-Slow-Train-Analysis-(2080s-and-2083s)?_g=(refreshInterval:(display:Off,pause:!f,section:0,value:0),time:(from:'2017-12-02T07:06:47-0700',mode:absolute,to:'2017-12-02T09:22:26-0700'))&amp;_a=(columns:!('Message%20ID',Summary),filters:!(),index:'emp_*',interval:auto,query:(query_string:(analyze_wildcard:!t,query:'%22rtdc.l.rtdc.4054%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733</v>
      </c>
      <c r="B168" s="225">
        <v>4053</v>
      </c>
      <c r="C168" s="227" t="s">
        <v>192</v>
      </c>
      <c r="D168" s="227" t="s">
        <v>961</v>
      </c>
      <c r="E168" s="226">
        <v>43071.350497685184</v>
      </c>
      <c r="F168" s="226">
        <v>43071.362858796296</v>
      </c>
      <c r="G168" s="225">
        <v>66</v>
      </c>
      <c r="H168" s="227" t="s">
        <v>962</v>
      </c>
      <c r="I168" s="226">
        <v>43071.371701388889</v>
      </c>
      <c r="J168" s="225">
        <v>0</v>
      </c>
      <c r="K168" s="237" t="str">
        <f>IF(ISEVEN(B168),(B168-1)&amp;"/"&amp;B168,B168&amp;"/"&amp;(B168+1))</f>
        <v>4053/4054</v>
      </c>
      <c r="L168" s="245" t="str">
        <f>VLOOKUP(A168,'Trips&amp;Operators'!$C$1:$G$99911,5,FALSE)</f>
        <v>LAMAR NEKESHA</v>
      </c>
      <c r="M168" s="224">
        <f>I168-F168</f>
        <v>8.8425925932824612E-3</v>
      </c>
      <c r="N168" s="225">
        <f>24*60*SUM($M168:$M168)</f>
        <v>12.733333334326744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-02T07:24:43-0700',mode:absolute,to:'2017-12-02T09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5.8655999999999997</v>
      </c>
      <c r="Z168" s="247">
        <f>RIGHT(H168,LEN(H168)-4)/10000</f>
        <v>1.7299999999999999E-2</v>
      </c>
      <c r="AA168" s="247">
        <f>ABS(Z168-Y168)</f>
        <v>5.8483000000000001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1806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/stypes="app*4053*20171202*"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49"/>
        <v>"%USERPROFILE%\Documents\GitHub\eaglep3\Utilities\RefineRTDCRunTimes.py" --tripid 1806-02 --locoid 4053 --swversion DE.1.0.9.0 --startMP 300:58656 --initTime 2017-12-02T08:24:43 --startdatetime 2017-12-02T08:42:31 --delay 66 --endMP 204:173 --enddatetime 2017-12-02T08:55:15 --enforcementcount 0 &gt;&gt;%USERPROFILE%\Documents\GitHub\eaglep3-reporting\EC\2017-12-02-refined-times.txt</v>
      </c>
      <c r="AI168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{"issue":{"subject":"","project_id":79,"tracker_id":40,"status_id":1,"priority_id":2,"assigned_to_id":338,"start_date":"2017-12-02","description":"","custom_fields":[{"id":1,"name":"Subdivision","value":"NW"},{"id":4,"name":"Milepost","value":"0.0173"},{"id":17,"name":"Train ID","value":"1806-02"},{"id":16,"name":"Locomotive ID","value":"4053"},{"id":130,"name":"Impact","value":""},{"id":150,"name":"Time of Event (Mountain Time)","value":"08:55:15"},{"id":151,"name":"Denver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51"/>
        <v>start /low /b %USERPROFILE%\Documents\GitHub\eaglep3\Utilities\DownloadLogsFromS3.py --loco 4053 --day 2017-12-02</v>
      </c>
      <c r="AN168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15:55:15"},{"id":29,"name":"Sharepoint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53"/>
        <v>https://d0f6bd738d7f1b3e5a7ca70fe4ff75f0.us-east-1.aws.found.io/app/kibana#/discover/Steve-Slow-Train-Analysis-(2080s-and-2083s)?_g=(refreshInterval:(display:Off,pause:!f,section:0,value:0),time:(from:'2017-12-02T07:24:43-0700',mode:absolute,to:'2017-12-02T09:55:15-0700'))&amp;_a=(columns:!('Message%20ID',Summary),filters:!(),index:'emp_*',interval:auto,query:(query_string:(analyze_wildcard:!t,query:'%22rtdc.l.rtdc.4053%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738</v>
      </c>
      <c r="B169" s="225">
        <v>4054</v>
      </c>
      <c r="C169" s="227" t="s">
        <v>192</v>
      </c>
      <c r="D169" s="227" t="s">
        <v>576</v>
      </c>
      <c r="E169" s="226">
        <v>43071.380104166667</v>
      </c>
      <c r="F169" s="226">
        <v>43071.381736111114</v>
      </c>
      <c r="G169" s="225">
        <v>62</v>
      </c>
      <c r="H169" s="227" t="s">
        <v>581</v>
      </c>
      <c r="I169" s="226">
        <v>43071.390706018516</v>
      </c>
      <c r="J169" s="225">
        <v>0</v>
      </c>
      <c r="K169" s="237" t="str">
        <f>IF(ISEVEN(B169),(B169-1)&amp;"/"&amp;B169,B169&amp;"/"&amp;(B169+1))</f>
        <v>4053/4054</v>
      </c>
      <c r="L169" s="245" t="str">
        <f>VLOOKUP(A169,'Trips&amp;Operators'!$C$1:$G$99911,5,FALSE)</f>
        <v>LAMAR NEKESHA</v>
      </c>
      <c r="M169" s="224">
        <f>I169-F169</f>
        <v>8.9699074014788494E-3</v>
      </c>
      <c r="N169" s="225">
        <f>24*60*SUM($M169:$M169)</f>
        <v>12.916666658129543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-02T08:07:21-0700',mode:absolute,to:'2017-12-02T10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4.7699999999999999E-2</v>
      </c>
      <c r="Z169" s="247">
        <f>RIGHT(H169,LEN(H169)-4)/10000</f>
        <v>5.8975</v>
      </c>
      <c r="AA169" s="247">
        <f>ABS(Z169-Y169)</f>
        <v>5.8498000000000001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1807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/stypes="app*4054*20171202*" /stext=" 16:.+((SYSTEM_STATE.+slice.+state.+changed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49"/>
        <v>"%USERPROFILE%\Documents\GitHub\eaglep3\Utilities\RefineRTDCRunTimes.py" --tripid 1807-02 --locoid 4054 --swversion DE.1.0.9.0 --startMP 204:477 --initTime 2017-12-02T09:07:21 --startdatetime 2017-12-02T09:09:42 --delay 62 --endMP 300:58975 --enddatetime 2017-12-02T09:22:37 --enforcementcount 0 &gt;&gt;%USERPROFILE%\Documents\GitHub\eaglep3-reporting\EC\2017-12-02-refined-times.txt</v>
      </c>
      <c r="AI169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{"issue":{"subject":"","project_id":79,"tracker_id":40,"status_id":1,"priority_id":2,"assigned_to_id":338,"start_date":"2017-12-02","description":"","custom_fields":[{"id":1,"name":"Subdivision","value":"NW"},{"id":4,"name":"Milepost","value":"5.8975"},{"id":17,"name":"Train ID","value":"1807-02"},{"id":16,"name":"Locomotive ID","value":"4054"},{"id":130,"name":"Impact","value":""},{"id":150,"name":"Time of Event (Mountain Time)","value":"09:22:37"},{"id":151,"name":"Denver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51"/>
        <v>start /low /b %USERPROFILE%\Documents\GitHub\eaglep3\Utilities\DownloadLogsFromS3.py --loco 4054 --day 2017-12-02</v>
      </c>
      <c r="AN169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53"/>
        <v>https://d0f6bd738d7f1b3e5a7ca70fe4ff75f0.us-east-1.aws.found.io/app/kibana#/discover/Steve-Slow-Train-Analysis-(2080s-and-2083s)?_g=(refreshInterval:(display:Off,pause:!f,section:0,value:0),time:(from:'2017-12-02T08:07:21-0700',mode:absolute,to:'2017-12-02T10:22:37-0700'))&amp;_a=(columns:!('Message%20ID',Summary),filters:!(),index:'emp_*',interval:auto,query:(query_string:(analyze_wildcard:!t,query:'%22rtdc.l.rtdc.4054%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742</v>
      </c>
      <c r="B170" s="225">
        <v>4053</v>
      </c>
      <c r="C170" s="227" t="s">
        <v>192</v>
      </c>
      <c r="D170" s="227" t="s">
        <v>957</v>
      </c>
      <c r="E170" s="226">
        <v>43071.392152777778</v>
      </c>
      <c r="F170" s="226">
        <v>43071.404328703706</v>
      </c>
      <c r="G170" s="225">
        <v>63</v>
      </c>
      <c r="H170" s="227" t="s">
        <v>963</v>
      </c>
      <c r="I170" s="226">
        <v>43071.413530092592</v>
      </c>
      <c r="J170" s="225">
        <v>0</v>
      </c>
      <c r="K170" s="237" t="str">
        <f>IF(ISEVEN(B170),(B170-1)&amp;"/"&amp;B170,B170&amp;"/"&amp;(B170+1))</f>
        <v>4053/4054</v>
      </c>
      <c r="L170" s="245" t="str">
        <f>VLOOKUP(A170,'Trips&amp;Operators'!$C$1:$G$99911,5,FALSE)</f>
        <v>LAMAR NEKESHA</v>
      </c>
      <c r="M170" s="224">
        <f>I170-F170</f>
        <v>9.2013888861401938E-3</v>
      </c>
      <c r="N170" s="225">
        <f>24*60*SUM($M170:$M170)</f>
        <v>13.249999996041879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-02T08:24:42-0700',mode:absolute,to:'2017-12-02T10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5.867</v>
      </c>
      <c r="Z170" s="247">
        <f>RIGHT(H170,LEN(H170)-4)/10000</f>
        <v>1.66E-2</v>
      </c>
      <c r="AA170" s="247">
        <f>ABS(Z170-Y170)</f>
        <v>5.8503999999999996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1808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/stypes="app*4053*20171202*" /stext=" 16:.+((SYSTEM_STATE.+slice.+state.+changed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49"/>
        <v>"%USERPROFILE%\Documents\GitHub\eaglep3\Utilities\RefineRTDCRunTimes.py" --tripid 1808-02 --locoid 4053 --swversion DE.1.0.9.0 --startMP 300:58670 --initTime 2017-12-02T09:24:42 --startdatetime 2017-12-02T09:42:14 --delay 63 --endMP 204:166 --enddatetime 2017-12-02T09:55:29 --enforcementcount 0 &gt;&gt;%USERPROFILE%\Documents\GitHub\eaglep3-reporting\EC\2017-12-02-refined-times.txt</v>
      </c>
      <c r="AI170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{"issue":{"subject":"","project_id":79,"tracker_id":40,"status_id":1,"priority_id":2,"assigned_to_id":338,"start_date":"2017-12-02","description":"","custom_fields":[{"id":1,"name":"Subdivision","value":"NW"},{"id":4,"name":"Milepost","value":"0.0166"},{"id":17,"name":"Train ID","value":"1808-02"},{"id":16,"name":"Locomotive ID","value":"4053"},{"id":130,"name":"Impact","value":""},{"id":150,"name":"Time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51"/>
        <v>start /low /b %USERPROFILE%\Documents\GitHub\eaglep3\Utilities\DownloadLogsFromS3.py --loco 4053 --day 2017-12-02</v>
      </c>
      <c r="AN170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53"/>
        <v>https://d0f6bd738d7f1b3e5a7ca70fe4ff75f0.us-east-1.aws.found.io/app/kibana#/discover/Steve-Slow-Train-Analysis-(2080s-and-2083s)?_g=(refreshInterval:(display:Off,pause:!f,section:0,value:0),time:(from:'2017-12-02T08:24:42-0700',mode:absolute,to:'2017-12-02T10:55:29-0700'))&amp;_a=(columns:!('Message%20ID',Summary),filters:!(),index:'emp_*',interval:auto,query:(query_string:(analyze_wildcard:!t,query:'%22rtdc.l.rtdc.4053%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654</v>
      </c>
      <c r="B171" s="225">
        <v>4054</v>
      </c>
      <c r="C171" s="227" t="s">
        <v>192</v>
      </c>
      <c r="D171" s="227" t="s">
        <v>964</v>
      </c>
      <c r="E171" s="226">
        <v>43071.421516203707</v>
      </c>
      <c r="F171" s="226">
        <v>43071.423194444447</v>
      </c>
      <c r="G171" s="225">
        <v>69</v>
      </c>
      <c r="H171" s="227" t="s">
        <v>965</v>
      </c>
      <c r="I171" s="226">
        <v>43071.432060185187</v>
      </c>
      <c r="J171" s="225">
        <v>0</v>
      </c>
      <c r="K171" s="237" t="str">
        <f>IF(ISEVEN(B171),(B171-1)&amp;"/"&amp;B171,B171&amp;"/"&amp;(B171+1))</f>
        <v>4053/4054</v>
      </c>
      <c r="L171" s="245" t="str">
        <f>VLOOKUP(A171,'Trips&amp;Operators'!$C$1:$G$99911,5,FALSE)</f>
        <v>LAMAR NEKESHA</v>
      </c>
      <c r="M171" s="224">
        <f>I171-F171</f>
        <v>8.8657407395658083E-3</v>
      </c>
      <c r="N171" s="225">
        <f>24*60*SUM($M171:$M171)</f>
        <v>12.766666664974764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4.6600000000000003E-2</v>
      </c>
      <c r="Z171" s="247">
        <f>RIGHT(H171,LEN(H171)-4)/10000</f>
        <v>5.8967000000000001</v>
      </c>
      <c r="AA171" s="247">
        <f>ABS(Z171-Y171)</f>
        <v>5.8501000000000003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1809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/stypes="app*4054*20171202*" /stext=" 17:.+((SYSTEM_STATE.+slice.+state.+changed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49"/>
        <v>"%USERPROFILE%\Documents\GitHub\eaglep3\Utilities\RefineRTDCRunTimes.py" --tripid 1809-02 --locoid 4054 --swversion DE.1.0.9.0 --startMP 204:466 --initTime 2017-12-02T10:06:59 --startdatetime 2017-12-02T10:09:24 --delay 69 --endMP 300:58967 --enddatetime 2017-12-02T10:22:10 --enforcementcount 0 &gt;&gt;%USERPROFILE%\Documents\GitHub\eaglep3-reporting\EC\2017-12-02-refined-times.txt</v>
      </c>
      <c r="AI171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{"issue":{"subject":"","project_id":79,"tracker_id":40,"status_id":1,"priority_id":2,"assigned_to_id":338,"start_date":"2017-12-02","description":"","custom_fields":[{"id":1,"name":"Subdivision","value":"NW"},{"id":4,"name":"Milepost","value":"5.8967"},{"id":17,"name":"Train ID","value":"1809-02"},{"id":16,"name":"Locomotive ID","value":"4054"},{"id":130,"name":"Impact","value":""},{"id":150,"name":"Time of Event (Mountain Time)","value":"10:22:10"},{"id":151,"name":"Denver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51"/>
        <v>start /low /b %USERPROFILE%\Documents\GitHub\eaglep3\Utilities\DownloadLogsFromS3.py --loco 4054 --day 2017-12-02</v>
      </c>
      <c r="AN171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53"/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Message%20ID',Summary),filters:!(),index:'emp_*',interval:auto,query:(query_string:(analyze_wildcard:!t,query:'%22rtdc.l.rtdc.4054%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656</v>
      </c>
      <c r="B172" s="225">
        <v>4053</v>
      </c>
      <c r="C172" s="227" t="s">
        <v>192</v>
      </c>
      <c r="D172" s="227" t="s">
        <v>966</v>
      </c>
      <c r="E172" s="226">
        <v>43071.434386574074</v>
      </c>
      <c r="F172" s="226">
        <v>43071.44635416667</v>
      </c>
      <c r="G172" s="225">
        <v>60</v>
      </c>
      <c r="H172" s="227" t="s">
        <v>967</v>
      </c>
      <c r="I172" s="226">
        <v>43071.453310185185</v>
      </c>
      <c r="J172" s="225">
        <v>0</v>
      </c>
      <c r="K172" s="237" t="str">
        <f>IF(ISEVEN(B172),(B172-1)&amp;"/"&amp;B172,B172&amp;"/"&amp;(B172+1))</f>
        <v>4053/4054</v>
      </c>
      <c r="L172" s="245" t="str">
        <f>VLOOKUP(A172,'Trips&amp;Operators'!$C$1:$G$99911,5,FALSE)</f>
        <v>LAMAR NEKESHA</v>
      </c>
      <c r="M172" s="224">
        <f>I172-F172</f>
        <v>6.956018514756579E-3</v>
      </c>
      <c r="N172" s="225">
        <f>24*60*SUM($M172:$M172)</f>
        <v>10.016666661249474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247" t="str">
        <f>IF(AA172&lt;VLOOKUP(AG172,Variables!$AC$3:$AD$8,2,FALSE),"Y","N")</f>
        <v>Y</v>
      </c>
      <c r="X172" s="247">
        <f>VALUE(LEFT(AD172,4))-VALUE(LEFT(AD171,4))</f>
        <v>1</v>
      </c>
      <c r="Y172" s="247">
        <f>RIGHT(D172,LEN(D172)-4)/10000</f>
        <v>5.8648999999999996</v>
      </c>
      <c r="Z172" s="247">
        <f>RIGHT(H172,LEN(H172)-4)/10000</f>
        <v>0.45710000000000001</v>
      </c>
      <c r="AA172" s="247">
        <f>ABS(Z172-Y172)</f>
        <v>5.4077999999999999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1810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/stypes="app*4053*20171202*" /stext=" 17:.+((SYSTEM_STATE.+slice.+state.+changed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49"/>
        <v>"%USERPROFILE%\Documents\GitHub\eaglep3\Utilities\RefineRTDCRunTimes.py" --tripid 1810-02 --locoid 4053 --swversion DE.1.0.9.0 --startMP 300:58649 --initTime 2017-12-02T10:25:31 --startdatetime 2017-12-02T10:42:45 --delay 60 --endMP 204:4571 --enddatetime 2017-12-02T10:52:46 --enforcementcount 0 &gt;&gt;%USERPROFILE%\Documents\GitHub\eaglep3-reporting\EC\2017-12-02-refined-times.txt</v>
      </c>
      <c r="AI172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{"issue":{"subject":"","project_id":79,"tracker_id":40,"status_id":1,"priority_id":2,"assigned_to_id":338,"start_date":"2017-12-02","description":"","custom_fields":[{"id":1,"name":"Subdivision","value":"NW"},{"id":4,"name":"Milepost","value":"0.4571"},{"id":17,"name":"Train ID","value":"1810-02"},{"id":16,"name":"Locomotive ID","value":"4053"},{"id":130,"name":"Impact","value":""},{"id":150,"name":"Time of Event (Mountain Time)","value":"10:52:46"},{"id":151,"name":"Denver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51"/>
        <v>start /low /b %USERPROFILE%\Documents\GitHub\eaglep3\Utilities\DownloadLogsFromS3.py --loco 4053 --day 2017-12-02</v>
      </c>
      <c r="AN172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53"/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Message%20ID',Summary),filters:!(),index:'emp_*',interval:auto,query:(query_string:(analyze_wildcard:!t,query:'%22rtdc.l.rtdc.4053%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760</v>
      </c>
      <c r="B173" s="225">
        <v>4054</v>
      </c>
      <c r="C173" s="227" t="s">
        <v>192</v>
      </c>
      <c r="D173" s="227" t="s">
        <v>968</v>
      </c>
      <c r="E173" s="226">
        <v>43071.462939814817</v>
      </c>
      <c r="F173" s="226">
        <v>43071.464733796296</v>
      </c>
      <c r="G173" s="225">
        <v>56</v>
      </c>
      <c r="H173" s="227" t="s">
        <v>969</v>
      </c>
      <c r="I173" s="226">
        <v>43071.474606481483</v>
      </c>
      <c r="J173" s="225">
        <v>0</v>
      </c>
      <c r="K173" s="237" t="str">
        <f>IF(ISEVEN(B173),(B173-1)&amp;"/"&amp;B173,B173&amp;"/"&amp;(B173+1))</f>
        <v>4053/4054</v>
      </c>
      <c r="L173" s="245" t="str">
        <f>VLOOKUP(A173,'Trips&amp;Operators'!$C$1:$G$99911,5,FALSE)</f>
        <v>LAMAR NEKESHA</v>
      </c>
      <c r="M173" s="224">
        <f>I173-F173</f>
        <v>9.8726851865649223E-3</v>
      </c>
      <c r="N173" s="225">
        <f>24*60*SUM($M173:$M173)</f>
        <v>14.216666668653488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-02T10:06:38-0700',mode:absolute,to:'2017-12-02T12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4.7100000000000003E-2</v>
      </c>
      <c r="Z173" s="247">
        <f>RIGHT(H173,LEN(H173)-4)/10000</f>
        <v>5.8960999999999997</v>
      </c>
      <c r="AA173" s="247">
        <f>ABS(Z173-Y173)</f>
        <v>5.8489999999999993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1811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/stypes="app*4054*20171202*" /stext=" 18:.+((SYSTEM_STATE.+slice.+state.+changed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49"/>
        <v>"%USERPROFILE%\Documents\GitHub\eaglep3\Utilities\RefineRTDCRunTimes.py" --tripid 1811-02 --locoid 4054 --swversion DE.1.0.9.0 --startMP 204:471 --initTime 2017-12-02T11:06:38 --startdatetime 2017-12-02T11:09:13 --delay 56 --endMP 300:58961 --enddatetime 2017-12-02T11:23:26 --enforcementcount 0 &gt;&gt;%USERPROFILE%\Documents\GitHub\eaglep3-reporting\EC\2017-12-02-refined-times.txt</v>
      </c>
      <c r="AI173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{"issue":{"subject":"","project_id":79,"tracker_id":40,"status_id":1,"priority_id":2,"assigned_to_id":338,"start_date":"2017-12-02","description":"","custom_fields":[{"id":1,"name":"Subdivision","value":"NW"},{"id":4,"name":"Milepost","value":"5.8961"},{"id":17,"name":"Train ID","value":"1811-02"},{"id":16,"name":"Locomotive ID","value":"4054"},{"id":130,"name":"Impact","value":""},{"id":150,"name":"Time of Event (Mountain Time)","value":"11:23:26"},{"id":151,"name":"Denver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51"/>
        <v>start /low /b %USERPROFILE%\Documents\GitHub\eaglep3\Utilities\DownloadLogsFromS3.py --loco 4054 --day 2017-12-02</v>
      </c>
      <c r="AN173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53"/>
        <v>https://d0f6bd738d7f1b3e5a7ca70fe4ff75f0.us-east-1.aws.found.io/app/kibana#/discover/Steve-Slow-Train-Analysis-(2080s-and-2083s)?_g=(refreshInterval:(display:Off,pause:!f,section:0,value:0),time:(from:'2017-12-02T10:06:38-0700',mode:absolute,to:'2017-12-02T12:23:26-0700'))&amp;_a=(columns:!('Message%20ID',Summary),filters:!(),index:'emp_*',interval:auto,query:(query_string:(analyze_wildcard:!t,query:'%22rtdc.l.rtdc.4054%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657</v>
      </c>
      <c r="B174" s="225">
        <v>4053</v>
      </c>
      <c r="C174" s="227" t="s">
        <v>192</v>
      </c>
      <c r="D174" s="227" t="s">
        <v>970</v>
      </c>
      <c r="E174" s="226">
        <v>43071.476053240738</v>
      </c>
      <c r="F174" s="226">
        <v>43071.488125000003</v>
      </c>
      <c r="G174" s="225">
        <v>67</v>
      </c>
      <c r="H174" s="227" t="s">
        <v>971</v>
      </c>
      <c r="I174" s="226">
        <v>43071.496724537035</v>
      </c>
      <c r="J174" s="225">
        <v>0</v>
      </c>
      <c r="K174" s="237" t="str">
        <f>IF(ISEVEN(B174),(B174-1)&amp;"/"&amp;B174,B174&amp;"/"&amp;(B174+1))</f>
        <v>4053/4054</v>
      </c>
      <c r="L174" s="245" t="str">
        <f>VLOOKUP(A174,'Trips&amp;Operators'!$C$1:$G$99911,5,FALSE)</f>
        <v>LAMAR NEKESHA</v>
      </c>
      <c r="M174" s="224">
        <f>I174-F174</f>
        <v>8.5995370318414643E-3</v>
      </c>
      <c r="N174" s="225">
        <f>24*60*SUM($M174:$M174)</f>
        <v>12.383333325851709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-02T10:25:31-0700',mode:absolute,to:'2017-12-02T12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5.8651</v>
      </c>
      <c r="Z174" s="247">
        <f>RIGHT(H174,LEN(H174)-4)/10000</f>
        <v>2.1600000000000001E-2</v>
      </c>
      <c r="AA174" s="247">
        <f>ABS(Z174-Y174)</f>
        <v>5.8434999999999997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1812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/stypes="app*4053*20171202*" /stext=" 18:.+((SYSTEM_STATE.+slice.+state.+changed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49"/>
        <v>"%USERPROFILE%\Documents\GitHub\eaglep3\Utilities\RefineRTDCRunTimes.py" --tripid 1812-02 --locoid 4053 --swversion DE.1.0.9.0 --startMP 300:58651 --initTime 2017-12-02T11:25:31 --startdatetime 2017-12-02T11:42:54 --delay 67 --endMP 204:216 --enddatetime 2017-12-02T11:55:17 --enforcementcount 0 &gt;&gt;%USERPROFILE%\Documents\GitHub\eaglep3-reporting\EC\2017-12-02-refined-times.txt</v>
      </c>
      <c r="AI174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{"issue":{"subject":"","project_id":79,"tracker_id":40,"status_id":1,"priority_id":2,"assigned_to_id":338,"start_date":"2017-12-02","description":"","custom_fields":[{"id":1,"name":"Subdivision","value":"NW"},{"id":4,"name":"Milepost","value":"0.0216"},{"id":17,"name":"Train ID","value":"1812-02"},{"id":16,"name":"Locomotive ID","value":"4053"},{"id":130,"name":"Impact","value":""},{"id":150,"name":"Time of Event (Mountain Time)","value":"11:55:17"},{"id":151,"name":"Denver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51"/>
        <v>start /low /b %USERPROFILE%\Documents\GitHub\eaglep3\Utilities\DownloadLogsFromS3.py --loco 4053 --day 2017-12-02</v>
      </c>
      <c r="AN174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53"/>
        <v>https://d0f6bd738d7f1b3e5a7ca70fe4ff75f0.us-east-1.aws.found.io/app/kibana#/discover/Steve-Slow-Train-Analysis-(2080s-and-2083s)?_g=(refreshInterval:(display:Off,pause:!f,section:0,value:0),time:(from:'2017-12-02T10:25:31-0700',mode:absolute,to:'2017-12-02T12:55:17-0700'))&amp;_a=(columns:!('Message%20ID',Summary),filters:!(),index:'emp_*',interval:auto,query:(query_string:(analyze_wildcard:!t,query:'%22rtdc.l.rtdc.4053%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768</v>
      </c>
      <c r="B175" s="225">
        <v>4054</v>
      </c>
      <c r="C175" s="227" t="s">
        <v>192</v>
      </c>
      <c r="D175" s="227" t="s">
        <v>972</v>
      </c>
      <c r="E175" s="226">
        <v>43071.504837962966</v>
      </c>
      <c r="F175" s="226">
        <v>43071.506493055553</v>
      </c>
      <c r="G175" s="225">
        <v>79</v>
      </c>
      <c r="H175" s="227" t="s">
        <v>973</v>
      </c>
      <c r="I175" s="226">
        <v>43071.516006944446</v>
      </c>
      <c r="J175" s="225">
        <v>0</v>
      </c>
      <c r="K175" s="237" t="str">
        <f>IF(ISEVEN(B175),(B175-1)&amp;"/"&amp;B175,B175&amp;"/"&amp;(B175+1))</f>
        <v>4053/4054</v>
      </c>
      <c r="L175" s="245" t="str">
        <f>VLOOKUP(A175,'Trips&amp;Operators'!$C$1:$G$99911,5,FALSE)</f>
        <v>LAMAR NEKESHA</v>
      </c>
      <c r="M175" s="224">
        <f>I175-F175</f>
        <v>9.5138888937071897E-3</v>
      </c>
      <c r="N175" s="225">
        <f>24*60*SUM($M175:$M175)</f>
        <v>13.700000006938353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-02T11:06:58-0700',mode:absolute,to:'2017-12-02T13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5.2699999999999997E-2</v>
      </c>
      <c r="Z175" s="247">
        <f>RIGHT(H175,LEN(H175)-4)/10000</f>
        <v>5.8958000000000004</v>
      </c>
      <c r="AA175" s="247">
        <f>ABS(Z175-Y175)</f>
        <v>5.8431000000000006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1813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/stypes="app*4054*20171202*" /stext=" 19:.+((SYSTEM_STATE.+slice.+state.+changed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49"/>
        <v>"%USERPROFILE%\Documents\GitHub\eaglep3\Utilities\RefineRTDCRunTimes.py" --tripid 1813-02 --locoid 4054 --swversion DE.1.0.9.0 --startMP 204:527 --initTime 2017-12-02T12:06:58 --startdatetime 2017-12-02T12:09:21 --delay 79 --endMP 300:58958 --enddatetime 2017-12-02T12:23:03 --enforcementcount 0 &gt;&gt;%USERPROFILE%\Documents\GitHub\eaglep3-reporting\EC\2017-12-02-refined-times.txt</v>
      </c>
      <c r="AI175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{"issue":{"subject":"","project_id":79,"tracker_id":40,"status_id":1,"priority_id":2,"assigned_to_id":338,"start_date":"2017-12-02","description":"","custom_fields":[{"id":1,"name":"Subdivision","value":"NW"},{"id":4,"name":"Milepost","value":"5.8958"},{"id":17,"name":"Train ID","value":"1813-02"},{"id":16,"name":"Locomotive ID","value":"4054"},{"id":130,"name":"Impact","value":""},{"id":150,"name":"Time of Event (Mountain Time)","value":"12:23:03"},{"id":151,"name":"Denver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51"/>
        <v>start /low /b %USERPROFILE%\Documents\GitHub\eaglep3\Utilities\DownloadLogsFromS3.py --loco 4054 --day 2017-12-02</v>
      </c>
      <c r="AN175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53"/>
        <v>https://d0f6bd738d7f1b3e5a7ca70fe4ff75f0.us-east-1.aws.found.io/app/kibana#/discover/Steve-Slow-Train-Analysis-(2080s-and-2083s)?_g=(refreshInterval:(display:Off,pause:!f,section:0,value:0),time:(from:'2017-12-02T11:06:58-0700',mode:absolute,to:'2017-12-02T13:23:03-0700'))&amp;_a=(columns:!('Message%20ID',Summary),filters:!(),index:'emp_*',interval:auto,query:(query_string:(analyze_wildcard:!t,query:'%22rtdc.l.rtdc.4054%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9" t="s">
        <v>773</v>
      </c>
      <c r="B176" s="225">
        <v>4053</v>
      </c>
      <c r="C176" s="227" t="s">
        <v>192</v>
      </c>
      <c r="D176" s="227" t="s">
        <v>974</v>
      </c>
      <c r="E176" s="226">
        <v>43071.518067129633</v>
      </c>
      <c r="F176" s="226">
        <v>43071.52952546296</v>
      </c>
      <c r="G176" s="225">
        <v>52</v>
      </c>
      <c r="H176" s="227" t="s">
        <v>975</v>
      </c>
      <c r="I176" s="226">
        <v>43071.538043981483</v>
      </c>
      <c r="J176" s="225">
        <v>0</v>
      </c>
      <c r="K176" s="237" t="str">
        <f>IF(ISEVEN(B176),(B176-1)&amp;"/"&amp;B176,B176&amp;"/"&amp;(B176+1))</f>
        <v>4053/4054</v>
      </c>
      <c r="L176" s="245" t="str">
        <f>VLOOKUP(A176,'Trips&amp;Operators'!$C$1:$G$99911,5,FALSE)</f>
        <v>LAMAR NEKESHA</v>
      </c>
      <c r="M176" s="224">
        <f>I176-F176</f>
        <v>8.5185185234877281E-3</v>
      </c>
      <c r="N176" s="225">
        <f>24*60*SUM($M176:$M176)</f>
        <v>12.266666673822328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-02T11:26:01-0700',mode:absolute,to:'2017-12-02T13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5.8647</v>
      </c>
      <c r="Z176" s="247">
        <f>RIGHT(H176,LEN(H176)-4)/10000</f>
        <v>1.7100000000000001E-2</v>
      </c>
      <c r="AA176" s="247">
        <f>ABS(Z176-Y176)</f>
        <v>5.8475999999999999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1814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/stypes="app*4053*20171202*" /stext=" 19:.+((SYSTEM_STATE.+slice.+state.+changed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49"/>
        <v>"%USERPROFILE%\Documents\GitHub\eaglep3\Utilities\RefineRTDCRunTimes.py" --tripid 1814-02 --locoid 4053 --swversion DE.1.0.9.0 --startMP 300:58647 --initTime 2017-12-02T12:26:01 --startdatetime 2017-12-02T12:42:31 --delay 52 --endMP 204:171 --enddatetime 2017-12-02T12:54:47 --enforcementcount 0 &gt;&gt;%USERPROFILE%\Documents\GitHub\eaglep3-reporting\EC\2017-12-02-refined-times.txt</v>
      </c>
      <c r="AI176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{"issue":{"subject":"","project_id":79,"tracker_id":40,"status_id":1,"priority_id":2,"assigned_to_id":338,"start_date":"2017-12-02","description":"","custom_fields":[{"id":1,"name":"Subdivision","value":"NW"},{"id":4,"name":"Milepost","value":"0.0171"},{"id":17,"name":"Train ID","value":"1814-02"},{"id":16,"name":"Locomotive ID","value":"4053"},{"id":130,"name":"Impact","value":""},{"id":150,"name":"Time of Event (Mountain Time)","value":"12:54:47"},{"id":151,"name":"Denver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51"/>
        <v>start /low /b %USERPROFILE%\Documents\GitHub\eaglep3\Utilities\DownloadLogsFromS3.py --loco 4053 --day 2017-12-02</v>
      </c>
      <c r="AN176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53"/>
        <v>https://d0f6bd738d7f1b3e5a7ca70fe4ff75f0.us-east-1.aws.found.io/app/kibana#/discover/Steve-Slow-Train-Analysis-(2080s-and-2083s)?_g=(refreshInterval:(display:Off,pause:!f,section:0,value:0),time:(from:'2017-12-02T11:26:01-0700',mode:absolute,to:'2017-12-02T13:54:47-0700'))&amp;_a=(columns:!('Message%20ID',Summary),filters:!(),index:'emp_*',interval:auto,query:(query_string:(analyze_wildcard:!t,query:'%22rtdc.l.rtdc.4053%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780</v>
      </c>
      <c r="B177" s="225">
        <v>4054</v>
      </c>
      <c r="C177" s="227" t="s">
        <v>192</v>
      </c>
      <c r="D177" s="227" t="s">
        <v>976</v>
      </c>
      <c r="E177" s="226">
        <v>43071.546851851854</v>
      </c>
      <c r="F177" s="226">
        <v>43071.548159722224</v>
      </c>
      <c r="G177" s="225">
        <v>49</v>
      </c>
      <c r="H177" s="227" t="s">
        <v>581</v>
      </c>
      <c r="I177" s="226">
        <v>43071.558645833335</v>
      </c>
      <c r="J177" s="225">
        <v>0</v>
      </c>
      <c r="K177" s="237" t="str">
        <f>IF(ISEVEN(B177),(B177-1)&amp;"/"&amp;B177,B177&amp;"/"&amp;(B177+1))</f>
        <v>4053/4054</v>
      </c>
      <c r="L177" s="245" t="str">
        <f>VLOOKUP(A177,'Trips&amp;Operators'!$C$1:$G$99911,5,FALSE)</f>
        <v>LAMAR NEKESHA</v>
      </c>
      <c r="M177" s="224">
        <f>I177-F177</f>
        <v>1.0486111110367347E-2</v>
      </c>
      <c r="N177" s="225">
        <f>24*60*SUM($M177:$M177)</f>
        <v>15.099999998928979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-02T12:07:28-0700',mode:absolute,to:'2017-12-02T14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4.6800000000000001E-2</v>
      </c>
      <c r="Z177" s="247">
        <f>RIGHT(H177,LEN(H177)-4)/10000</f>
        <v>5.8975</v>
      </c>
      <c r="AA177" s="247">
        <f>ABS(Z177-Y177)</f>
        <v>5.8506999999999998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1815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/stypes="app*4054*20171202*" /stext=" 20:.+((SYSTEM_STATE.+slice.+state.+changed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49"/>
        <v>"%USERPROFILE%\Documents\GitHub\eaglep3\Utilities\RefineRTDCRunTimes.py" --tripid 1815-02 --locoid 4054 --swversion DE.1.0.9.0 --startMP 204:468 --initTime 2017-12-02T13:07:28 --startdatetime 2017-12-02T13:09:21 --delay 49 --endMP 300:58975 --enddatetime 2017-12-02T13:24:27 --enforcementcount 0 &gt;&gt;%USERPROFILE%\Documents\GitHub\eaglep3-reporting\EC\2017-12-02-refined-times.txt</v>
      </c>
      <c r="AI177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{"issue":{"subject":"","project_id":79,"tracker_id":40,"status_id":1,"priority_id":2,"assigned_to_id":338,"start_date":"2017-12-02","description":"","custom_fields":[{"id":1,"name":"Subdivision","value":"NW"},{"id":4,"name":"Milepost","value":"5.8975"},{"id":17,"name":"Train ID","value":"1815-02"},{"id":16,"name":"Locomotive ID","value":"4054"},{"id":130,"name":"Impact","value":""},{"id":150,"name":"Time of Event (Mountain Time)","value":"13:24:27"},{"id":151,"name":"Denver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51"/>
        <v>start /low /b %USERPROFILE%\Documents\GitHub\eaglep3\Utilities\DownloadLogsFromS3.py --loco 4054 --day 2017-12-02</v>
      </c>
      <c r="AN177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53"/>
        <v>https://d0f6bd738d7f1b3e5a7ca70fe4ff75f0.us-east-1.aws.found.io/app/kibana#/discover/Steve-Slow-Train-Analysis-(2080s-and-2083s)?_g=(refreshInterval:(display:Off,pause:!f,section:0,value:0),time:(from:'2017-12-02T12:07:28-0700',mode:absolute,to:'2017-12-02T14:24:27-0700'))&amp;_a=(columns:!('Message%20ID',Summary),filters:!(),index:'emp_*',interval:auto,query:(query_string:(analyze_wildcard:!t,query:'%22rtdc.l.rtdc.4054%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784</v>
      </c>
      <c r="B178" s="225">
        <v>4053</v>
      </c>
      <c r="C178" s="227" t="s">
        <v>192</v>
      </c>
      <c r="D178" s="227" t="s">
        <v>627</v>
      </c>
      <c r="E178" s="226">
        <v>43071.560659722221</v>
      </c>
      <c r="F178" s="226">
        <v>43071.57203703704</v>
      </c>
      <c r="G178" s="225">
        <v>48</v>
      </c>
      <c r="H178" s="227" t="s">
        <v>627</v>
      </c>
      <c r="I178" s="226">
        <v>43071.572731481479</v>
      </c>
      <c r="J178" s="225">
        <v>0</v>
      </c>
      <c r="K178" s="237" t="str">
        <f>IF(ISEVEN(B178),(B178-1)&amp;"/"&amp;B178,B178&amp;"/"&amp;(B178+1))</f>
        <v>4053/4054</v>
      </c>
      <c r="L178" s="245" t="str">
        <f>VLOOKUP(A178,'Trips&amp;Operators'!$C$1:$G$99911,5,FALSE)</f>
        <v>LAMAR NEKESHA</v>
      </c>
      <c r="M178" s="224">
        <f>I178-F178</f>
        <v>6.9444443943211809E-4</v>
      </c>
      <c r="N178" s="225"/>
      <c r="O178" s="225"/>
      <c r="P178" s="225">
        <f>24*60*SUM($M178:$M178)</f>
        <v>0.99999999278225005</v>
      </c>
      <c r="Q178" s="228"/>
      <c r="R178" s="242" t="s">
        <v>1082</v>
      </c>
      <c r="S178" s="249">
        <f>1/IF(AG178="EC",12,1)*SUM(U178:U178)</f>
        <v>0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-02T12:27:21-0700',mode:absolute,to:'2017-12-02T14:44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8" s="247" t="str">
        <f>IF(AA178&lt;VLOOKUP(AG178,Variables!$AC$3:$AD$8,2,FALSE),"Y","N")</f>
        <v>Y</v>
      </c>
      <c r="X178" s="247">
        <f>VALUE(LEFT(AD178,4))-VALUE(LEFT(AD177,4))</f>
        <v>1</v>
      </c>
      <c r="Y178" s="247">
        <f>RIGHT(D178,LEN(D178)-4)/10000</f>
        <v>5.8654999999999999</v>
      </c>
      <c r="Z178" s="247">
        <f>RIGHT(H178,LEN(H178)-4)/10000</f>
        <v>5.8654999999999999</v>
      </c>
      <c r="AA178" s="247">
        <f>ABS(Z178-Y178)</f>
        <v>0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1816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/stypes="app*4053*20171202*" /stext=" 20:.+((SYSTEM_STATE.+slice.+state.+changed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49"/>
        <v>"%USERPROFILE%\Documents\GitHub\eaglep3\Utilities\RefineRTDCRunTimes.py" --tripid 1816-02 --locoid 4053 --swversion DE.1.0.9.0 --startMP 300:58655 --initTime 2017-12-02T13:27:21 --startdatetime 2017-12-02T13:43:44 --delay 48 --endMP 300:58655 --enddatetime 2017-12-02T13:44:44 --enforcementcount 0 &gt;&gt;%USERPROFILE%\Documents\GitHub\eaglep3-reporting\EC\2017-12-02-refined-times.txt</v>
      </c>
      <c r="AI178" s="238" t="str">
        <f t="shared" si="50"/>
        <v>echo {"issue":{"subject":"Onboard en route failure prevented train from going ACTIVE","project_id":79,"tracker_id":40,"status_id":1,"priority_id":2,"assigned_to_id":338,"start_date":"2017-12-02","description":"","custom_fields":[{"id":1,"name":"Subdivision","value":"NW"},{"id":4,"name":"Milepost","value":"5.8655"},{"id":17,"name":"Train ID","value":"1816-02"},{"id":16,"name":"Locomotive ID","value":"4053"},{"id":130,"name":"Impact","value":""},{"id":150,"name":"Time of Event (Mountain Time)","value":"13:44:44"},{"id":151,"name":"Denver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51"/>
        <v>start /low /b %USERPROFILE%\Documents\GitHub\eaglep3\Utilities\DownloadLogsFromS3.py --loco 4053 --day 2017-12-02</v>
      </c>
      <c r="AN178" s="241" t="str">
        <f t="shared" si="52"/>
        <v>echo {"issue":{"subject":"Onboard en route failure prevented train from going ACTIVE","project_id":30,"tracker_id":4,"status_id":1,"priority_id":1,"assigned_to_id":10,"start_date":"2017-12-02","description":"","custom_fields":[{"id":30,"name":"Category","value":"Issue"},{"id":3,"name":"Functional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20:44:44"},{"id":29,"name":"Sharepoint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53"/>
        <v>https://d0f6bd738d7f1b3e5a7ca70fe4ff75f0.us-east-1.aws.found.io/app/kibana#/discover/Steve-Slow-Train-Analysis-(2080s-and-2083s)?_g=(refreshInterval:(display:Off,pause:!f,section:0,value:0),time:(from:'2017-12-02T12:27:21-0700',mode:absolute,to:'2017-12-02T14:44:44-0700'))&amp;_a=(columns:!('Message%20ID',Summary),filters:!(),index:'emp_*',interval:auto,query:(query_string:(analyze_wildcard:!t,query:'%22rtdc.l.rtdc.4053%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790</v>
      </c>
      <c r="B179" s="225">
        <v>4054</v>
      </c>
      <c r="C179" s="227" t="s">
        <v>192</v>
      </c>
      <c r="D179" s="227" t="s">
        <v>898</v>
      </c>
      <c r="E179" s="226">
        <v>43071.582777777781</v>
      </c>
      <c r="F179" s="226">
        <v>43071.589837962965</v>
      </c>
      <c r="G179" s="225">
        <v>127</v>
      </c>
      <c r="H179" s="227" t="s">
        <v>977</v>
      </c>
      <c r="I179" s="226">
        <v>43071.599444444444</v>
      </c>
      <c r="J179" s="225">
        <v>0</v>
      </c>
      <c r="K179" s="237" t="str">
        <f>IF(ISEVEN(B179),(B179-1)&amp;"/"&amp;B179,B179&amp;"/"&amp;(B179+1))</f>
        <v>4053/4054</v>
      </c>
      <c r="L179" s="245" t="str">
        <f>VLOOKUP(A179,'Trips&amp;Operators'!$C$1:$G$99911,5,FALSE)</f>
        <v>SMITH MICHAEL</v>
      </c>
      <c r="M179" s="224">
        <f>I179-F179</f>
        <v>9.6064814788405783E-3</v>
      </c>
      <c r="N179" s="225">
        <f>24*60*SUM($M179:$M179)</f>
        <v>13.833333329530433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-02T12:59:12-0700',mode:absolute,to:'2017-12-02T15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4.9099999999999998E-2</v>
      </c>
      <c r="Z179" s="247">
        <f>RIGHT(H179,LEN(H179)-4)/10000</f>
        <v>5.8925999999999998</v>
      </c>
      <c r="AA179" s="247">
        <f>ABS(Z179-Y179)</f>
        <v>5.8434999999999997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1817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/stypes="app*4054*20171202*" /stext=" 21:.+((SYSTEM_STATE.+slice.+state.+changed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49"/>
        <v>"%USERPROFILE%\Documents\GitHub\eaglep3\Utilities\RefineRTDCRunTimes.py" --tripid 1817-02 --locoid 4054 --swversion DE.1.0.9.0 --startMP 204:491 --initTime 2017-12-02T13:59:12 --startdatetime 2017-12-02T14:09:22 --delay 127 --endMP 300:58926 --enddatetime 2017-12-02T14:23:12 --enforcementcount 0 &gt;&gt;%USERPROFILE%\Documents\GitHub\eaglep3-reporting\EC\2017-12-02-refined-times.txt</v>
      </c>
      <c r="AI179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{"issue":{"subject":"","project_id":79,"tracker_id":40,"status_id":1,"priority_id":2,"assigned_to_id":338,"start_date":"2017-12-02","description":"","custom_fields":[{"id":1,"name":"Subdivision","value":"NW"},{"id":4,"name":"Milepost","value":"5.8926"},{"id":17,"name":"Train ID","value":"1817-02"},{"id":16,"name":"Locomotive ID","value":"4054"},{"id":130,"name":"Impact","value":""},{"id":150,"name":"Time of Event (Mountain Time)","value":"14:23:12"},{"id":151,"name":"Denver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51"/>
        <v>start /low /b %USERPROFILE%\Documents\GitHub\eaglep3\Utilities\DownloadLogsFromS3.py --loco 4054 --day 2017-12-02</v>
      </c>
      <c r="AN179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53"/>
        <v>https://d0f6bd738d7f1b3e5a7ca70fe4ff75f0.us-east-1.aws.found.io/app/kibana#/discover/Steve-Slow-Train-Analysis-(2080s-and-2083s)?_g=(refreshInterval:(display:Off,pause:!f,section:0,value:0),time:(from:'2017-12-02T12:59:12-0700',mode:absolute,to:'2017-12-02T15:23:12-0700'))&amp;_a=(columns:!('Message%20ID',Summary),filters:!(),index:'emp_*',interval:auto,query:(query_string:(analyze_wildcard:!t,query:'%22rtdc.l.rtdc.4054%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794</v>
      </c>
      <c r="B180" s="225">
        <v>4053</v>
      </c>
      <c r="C180" s="227" t="s">
        <v>192</v>
      </c>
      <c r="D180" s="227" t="s">
        <v>978</v>
      </c>
      <c r="E180" s="226">
        <v>43071.604467592595</v>
      </c>
      <c r="F180" s="226">
        <v>43071.61341435185</v>
      </c>
      <c r="G180" s="225">
        <v>81</v>
      </c>
      <c r="H180" s="227" t="s">
        <v>979</v>
      </c>
      <c r="I180" s="226">
        <v>43071.622187499997</v>
      </c>
      <c r="J180" s="225">
        <v>0</v>
      </c>
      <c r="K180" s="237" t="str">
        <f>IF(ISEVEN(B180),(B180-1)&amp;"/"&amp;B180,B180&amp;"/"&amp;(B180+1))</f>
        <v>4053/4054</v>
      </c>
      <c r="L180" s="245" t="str">
        <f>VLOOKUP(A180,'Trips&amp;Operators'!$C$1:$G$99911,5,FALSE)</f>
        <v>SMITH MICHAEL</v>
      </c>
      <c r="M180" s="224">
        <f>I180-F180</f>
        <v>8.7731481471564621E-3</v>
      </c>
      <c r="N180" s="225">
        <f>24*60*SUM($M180:$M180)</f>
        <v>12.633333331905305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-02T13:30:26-0700',mode:absolute,to:'2017-12-02T15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5.8605999999999998</v>
      </c>
      <c r="Z180" s="247">
        <f>RIGHT(H180,LEN(H180)-4)/10000</f>
        <v>1.46E-2</v>
      </c>
      <c r="AA180" s="247">
        <f>ABS(Z180-Y180)</f>
        <v>5.8460000000000001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1818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/stypes="app*4053*20171202*" /stext=" 21:.+((SYSTEM_STATE.+slice.+state.+changed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49"/>
        <v>"%USERPROFILE%\Documents\GitHub\eaglep3\Utilities\RefineRTDCRunTimes.py" --tripid 1818-02 --locoid 4053 --swversion DE.1.0.9.0 --startMP 300:58606 --initTime 2017-12-02T14:30:26 --startdatetime 2017-12-02T14:43:19 --delay 81 --endMP 204:146 --enddatetime 2017-12-02T14:55:57 --enforcementcount 0 &gt;&gt;%USERPROFILE%\Documents\GitHub\eaglep3-reporting\EC\2017-12-02-refined-times.txt</v>
      </c>
      <c r="AI180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{"issue":{"subject":"","project_id":79,"tracker_id":40,"status_id":1,"priority_id":2,"assigned_to_id":338,"start_date":"2017-12-02","description":"","custom_fields":[{"id":1,"name":"Subdivision","value":"NW"},{"id":4,"name":"Milepost","value":"0.0146"},{"id":17,"name":"Train ID","value":"1818-02"},{"id":16,"name":"Locomotive ID","value":"4053"},{"id":130,"name":"Impact","value":""},{"id":150,"name":"Time of Event (Mountain Time)","value":"14:55:57"},{"id":151,"name":"Denver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51"/>
        <v>start /low /b %USERPROFILE%\Documents\GitHub\eaglep3\Utilities\DownloadLogsFromS3.py --loco 4053 --day 2017-12-02</v>
      </c>
      <c r="AN180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53"/>
        <v>https://d0f6bd738d7f1b3e5a7ca70fe4ff75f0.us-east-1.aws.found.io/app/kibana#/discover/Steve-Slow-Train-Analysis-(2080s-and-2083s)?_g=(refreshInterval:(display:Off,pause:!f,section:0,value:0),time:(from:'2017-12-02T13:30:26-0700',mode:absolute,to:'2017-12-02T15:55:57-0700'))&amp;_a=(columns:!('Message%20ID',Summary),filters:!(),index:'emp_*',interval:auto,query:(query_string:(analyze_wildcard:!t,query:'%22rtdc.l.rtdc.4053%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799</v>
      </c>
      <c r="B181" s="225">
        <v>4054</v>
      </c>
      <c r="C181" s="227" t="s">
        <v>192</v>
      </c>
      <c r="D181" s="227" t="s">
        <v>618</v>
      </c>
      <c r="E181" s="226">
        <v>43071.624479166669</v>
      </c>
      <c r="F181" s="226">
        <v>43071.631481481483</v>
      </c>
      <c r="G181" s="225">
        <v>60</v>
      </c>
      <c r="H181" s="227" t="s">
        <v>980</v>
      </c>
      <c r="I181" s="226">
        <v>43071.641238425924</v>
      </c>
      <c r="J181" s="225">
        <v>0</v>
      </c>
      <c r="K181" s="237" t="str">
        <f>IF(ISEVEN(B181),(B181-1)&amp;"/"&amp;B181,B181&amp;"/"&amp;(B181+1))</f>
        <v>4053/4054</v>
      </c>
      <c r="L181" s="245" t="str">
        <f>VLOOKUP(A181,'Trips&amp;Operators'!$C$1:$G$99911,5,FALSE)</f>
        <v>SMITH MICHAEL</v>
      </c>
      <c r="M181" s="224">
        <f>I181-F181</f>
        <v>9.7569444405962713E-3</v>
      </c>
      <c r="N181" s="225">
        <f>24*60*SUM($M181:$M181)</f>
        <v>14.049999994458631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-02T13:59:15-0700',mode:absolute,to:'2017-12-02T16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4.8000000000000001E-2</v>
      </c>
      <c r="Z181" s="247">
        <f>RIGHT(H181,LEN(H181)-4)/10000</f>
        <v>5.8948</v>
      </c>
      <c r="AA181" s="247">
        <f>ABS(Z181-Y181)</f>
        <v>5.8468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1819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/stypes="app*4054*20171202*" /stext=" 22:.+((SYSTEM_STATE.+slice.+state.+changed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49"/>
        <v>"%USERPROFILE%\Documents\GitHub\eaglep3\Utilities\RefineRTDCRunTimes.py" --tripid 1819-02 --locoid 4054 --swversion DE.1.0.9.0 --startMP 204:480 --initTime 2017-12-02T14:59:15 --startdatetime 2017-12-02T15:09:20 --delay 60 --endMP 300:58948 --enddatetime 2017-12-02T15:23:23 --enforcementcount 0 &gt;&gt;%USERPROFILE%\Documents\GitHub\eaglep3-reporting\EC\2017-12-02-refined-times.txt</v>
      </c>
      <c r="AI181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{"issue":{"subject":"","project_id":79,"tracker_id":40,"status_id":1,"priority_id":2,"assigned_to_id":338,"start_date":"2017-12-02","description":"","custom_fields":[{"id":1,"name":"Subdivision","value":"NW"},{"id":4,"name":"Milepost","value":"5.8948"},{"id":17,"name":"Train ID","value":"1819-02"},{"id":16,"name":"Locomotive ID","value":"4054"},{"id":130,"name":"Impact","value":""},{"id":150,"name":"Time of Event (Mountain Time)","value":"15:23:23"},{"id":151,"name":"Denver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51"/>
        <v>start /low /b %USERPROFILE%\Documents\GitHub\eaglep3\Utilities\DownloadLogsFromS3.py --loco 4054 --day 2017-12-02</v>
      </c>
      <c r="AN181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53"/>
        <v>https://d0f6bd738d7f1b3e5a7ca70fe4ff75f0.us-east-1.aws.found.io/app/kibana#/discover/Steve-Slow-Train-Analysis-(2080s-and-2083s)?_g=(refreshInterval:(display:Off,pause:!f,section:0,value:0),time:(from:'2017-12-02T13:59:15-0700',mode:absolute,to:'2017-12-02T16:23:23-0700'))&amp;_a=(columns:!('Message%20ID',Summary),filters:!(),index:'emp_*',interval:auto,query:(query_string:(analyze_wildcard:!t,query:'%22rtdc.l.rtdc.4054%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804</v>
      </c>
      <c r="B182" s="225">
        <v>4053</v>
      </c>
      <c r="C182" s="227" t="s">
        <v>192</v>
      </c>
      <c r="D182" s="227" t="s">
        <v>981</v>
      </c>
      <c r="E182" s="226">
        <v>43071.643020833333</v>
      </c>
      <c r="F182" s="226">
        <v>43071.65520833333</v>
      </c>
      <c r="G182" s="225">
        <v>67</v>
      </c>
      <c r="H182" s="227" t="s">
        <v>937</v>
      </c>
      <c r="I182" s="226">
        <v>43071.663402777776</v>
      </c>
      <c r="J182" s="225">
        <v>0</v>
      </c>
      <c r="K182" s="237" t="str">
        <f>IF(ISEVEN(B182),(B182-1)&amp;"/"&amp;B182,B182&amp;"/"&amp;(B182+1))</f>
        <v>4053/4054</v>
      </c>
      <c r="L182" s="245" t="str">
        <f>VLOOKUP(A182,'Trips&amp;Operators'!$C$1:$G$99911,5,FALSE)</f>
        <v>SMITH MICHAEL</v>
      </c>
      <c r="M182" s="224">
        <f>I182-F182</f>
        <v>8.1944444464170374E-3</v>
      </c>
      <c r="N182" s="225">
        <f>24*60*SUM($M182:$M182)</f>
        <v>11.800000002840534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-02T14:25:57-0700',mode:absolute,to:'2017-12-02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5.8634000000000004</v>
      </c>
      <c r="Z182" s="247">
        <f>RIGHT(H182,LEN(H182)-4)/10000</f>
        <v>1.6E-2</v>
      </c>
      <c r="AA182" s="247">
        <f>ABS(Z182-Y182)</f>
        <v>5.8474000000000004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1820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/stypes="app*4053*20171202*" /stext=" 22:.+((SYSTEM_STATE.+slice.+state.+changed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49"/>
        <v>"%USERPROFILE%\Documents\GitHub\eaglep3\Utilities\RefineRTDCRunTimes.py" --tripid 1820-02 --locoid 4053 --swversion DE.1.0.9.0 --startMP 300:58634 --initTime 2017-12-02T15:25:57 --startdatetime 2017-12-02T15:43:30 --delay 67 --endMP 204:160 --enddatetime 2017-12-02T15:55:18 --enforcementcount 0 &gt;&gt;%USERPROFILE%\Documents\GitHub\eaglep3-reporting\EC\2017-12-02-refined-times.txt</v>
      </c>
      <c r="AI182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{"issue":{"subject":"","project_id":79,"tracker_id":40,"status_id":1,"priority_id":2,"assigned_to_id":338,"start_date":"2017-12-02","description":"","custom_fields":[{"id":1,"name":"Subdivision","value":"NW"},{"id":4,"name":"Milepost","value":"0.016"},{"id":17,"name":"Train ID","value":"1820-02"},{"id":16,"name":"Locomotive ID","value":"4053"},{"id":130,"name":"Impact","value":""},{"id":150,"name":"Time of Event (Mountain Time)","value":"15:55:18"},{"id":151,"name":"Denver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51"/>
        <v>start /low /b %USERPROFILE%\Documents\GitHub\eaglep3\Utilities\DownloadLogsFromS3.py --loco 4053 --day 2017-12-02</v>
      </c>
      <c r="AN182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53"/>
        <v>https://d0f6bd738d7f1b3e5a7ca70fe4ff75f0.us-east-1.aws.found.io/app/kibana#/discover/Steve-Slow-Train-Analysis-(2080s-and-2083s)?_g=(refreshInterval:(display:Off,pause:!f,section:0,value:0),time:(from:'2017-12-02T14:25:57-0700',mode:absolute,to:'2017-12-02T16:55:18-0700'))&amp;_a=(columns:!('Message%20ID',Summary),filters:!(),index:'emp_*',interval:auto,query:(query_string:(analyze_wildcard:!t,query:'%22rtdc.l.rtdc.4053%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810</v>
      </c>
      <c r="B183" s="225">
        <v>4054</v>
      </c>
      <c r="C183" s="227" t="s">
        <v>192</v>
      </c>
      <c r="D183" s="227" t="s">
        <v>982</v>
      </c>
      <c r="E183" s="226">
        <v>43071.665254629632</v>
      </c>
      <c r="F183" s="226">
        <v>43071.673159722224</v>
      </c>
      <c r="G183" s="225">
        <v>68</v>
      </c>
      <c r="H183" s="227" t="s">
        <v>983</v>
      </c>
      <c r="I183" s="226">
        <v>43071.682685185187</v>
      </c>
      <c r="J183" s="225">
        <v>0</v>
      </c>
      <c r="K183" s="237" t="str">
        <f>IF(ISEVEN(B183),(B183-1)&amp;"/"&amp;B183,B183&amp;"/"&amp;(B183+1))</f>
        <v>4053/4054</v>
      </c>
      <c r="L183" s="245" t="str">
        <f>VLOOKUP(A183,'Trips&amp;Operators'!$C$1:$G$99911,5,FALSE)</f>
        <v>SMITH MICHAEL</v>
      </c>
      <c r="M183" s="224">
        <f>I183-F183</f>
        <v>9.5254629632108845E-3</v>
      </c>
      <c r="N183" s="225">
        <f>24*60*SUM($M183:$M183)</f>
        <v>13.716666667023674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-02T14:57:58-0700',mode:absolute,to:'2017-12-02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4.48E-2</v>
      </c>
      <c r="Z183" s="247">
        <f>RIGHT(H183,LEN(H183)-4)/10000</f>
        <v>5.8943000000000003</v>
      </c>
      <c r="AA183" s="247">
        <f>ABS(Z183-Y183)</f>
        <v>5.8494999999999999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1821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/stypes="app*4054*20171202*" /stext=" 23:.+((SYSTEM_STATE.+slice.+state.+changed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49"/>
        <v>"%USERPROFILE%\Documents\GitHub\eaglep3\Utilities\RefineRTDCRunTimes.py" --tripid 1821-02 --locoid 4054 --swversion DE.1.0.9.0 --startMP 204:448 --initTime 2017-12-02T15:57:58 --startdatetime 2017-12-02T16:09:21 --delay 68 --endMP 300:58943 --enddatetime 2017-12-02T16:23:04 --enforcementcount 0 &gt;&gt;%USERPROFILE%\Documents\GitHub\eaglep3-reporting\EC\2017-12-02-refined-times.txt</v>
      </c>
      <c r="AI183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{"issue":{"subject":"","project_id":79,"tracker_id":40,"status_id":1,"priority_id":2,"assigned_to_id":338,"start_date":"2017-12-02","description":"","custom_fields":[{"id":1,"name":"Subdivision","value":"NW"},{"id":4,"name":"Milepost","value":"5.8943"},{"id":17,"name":"Train ID","value":"1821-02"},{"id":16,"name":"Locomotive ID","value":"4054"},{"id":130,"name":"Impact","value":""},{"id":150,"name":"Time of Event (Mountain Time)","value":"16:23:04"},{"id":151,"name":"Denver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51"/>
        <v>start /low /b %USERPROFILE%\Documents\GitHub\eaglep3\Utilities\DownloadLogsFromS3.py --loco 4054 --day 2017-12-02</v>
      </c>
      <c r="AN183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53"/>
        <v>https://d0f6bd738d7f1b3e5a7ca70fe4ff75f0.us-east-1.aws.found.io/app/kibana#/discover/Steve-Slow-Train-Analysis-(2080s-and-2083s)?_g=(refreshInterval:(display:Off,pause:!f,section:0,value:0),time:(from:'2017-12-02T14:57:58-0700',mode:absolute,to:'2017-12-02T17:23:04-0700'))&amp;_a=(columns:!('Message%20ID',Summary),filters:!(),index:'emp_*',interval:auto,query:(query_string:(analyze_wildcard:!t,query:'%22rtdc.l.rtdc.4054%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812</v>
      </c>
      <c r="B184" s="225">
        <v>4053</v>
      </c>
      <c r="C184" s="227" t="s">
        <v>192</v>
      </c>
      <c r="D184" s="227" t="s">
        <v>984</v>
      </c>
      <c r="E184" s="226">
        <v>43071.68377314815</v>
      </c>
      <c r="F184" s="226">
        <v>43071.698703703703</v>
      </c>
      <c r="G184" s="225">
        <v>63</v>
      </c>
      <c r="H184" s="227" t="s">
        <v>985</v>
      </c>
      <c r="I184" s="226">
        <v>43071.707546296297</v>
      </c>
      <c r="J184" s="225">
        <v>0</v>
      </c>
      <c r="K184" s="237" t="str">
        <f>IF(ISEVEN(B184),(B184-1)&amp;"/"&amp;B184,B184&amp;"/"&amp;(B184+1))</f>
        <v>4053/4054</v>
      </c>
      <c r="L184" s="245" t="str">
        <f>VLOOKUP(A184,'Trips&amp;Operators'!$C$1:$G$99911,5,FALSE)</f>
        <v>SMITH MICHAEL</v>
      </c>
      <c r="M184" s="224">
        <f>I184-F184</f>
        <v>8.8425925932824612E-3</v>
      </c>
      <c r="N184" s="225">
        <f>24*60*SUM($M184:$M184)</f>
        <v>12.733333334326744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-02T15:24:38-0700',mode:absolute,to:'2017-12-02T17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5.8623000000000003</v>
      </c>
      <c r="Z184" s="247">
        <f>RIGHT(H184,LEN(H184)-4)/10000</f>
        <v>1.5100000000000001E-2</v>
      </c>
      <c r="AA184" s="247">
        <f>ABS(Z184-Y184)</f>
        <v>5.8472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1822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/stypes="app*4053*20171202*" /stext=" 23:.+((SYSTEM_STATE.+slice.+state.+changed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49"/>
        <v>"%USERPROFILE%\Documents\GitHub\eaglep3\Utilities\RefineRTDCRunTimes.py" --tripid 1822-02 --locoid 4053 --swversion DE.1.0.9.0 --startMP 300:58623 --initTime 2017-12-02T16:24:38 --startdatetime 2017-12-02T16:46:08 --delay 63 --endMP 204:151 --enddatetime 2017-12-02T16:58:52 --enforcementcount 0 &gt;&gt;%USERPROFILE%\Documents\GitHub\eaglep3-reporting\EC\2017-12-02-refined-times.txt</v>
      </c>
      <c r="AI184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{"issue":{"subject":"","project_id":79,"tracker_id":40,"status_id":1,"priority_id":2,"assigned_to_id":338,"start_date":"2017-12-02","description":"","custom_fields":[{"id":1,"name":"Subdivision","value":"NW"},{"id":4,"name":"Milepost","value":"0.0151"},{"id":17,"name":"Train ID","value":"1822-02"},{"id":16,"name":"Locomotive ID","value":"4053"},{"id":130,"name":"Impact","value":""},{"id":150,"name":"Time of Event (Mountain Time)","value":"16:58:52"},{"id":151,"name":"Denver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51"/>
        <v>start /low /b %USERPROFILE%\Documents\GitHub\eaglep3\Utilities\DownloadLogsFromS3.py --loco 4053 --day 2017-12-02</v>
      </c>
      <c r="AN184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23:58:52"},{"id":29,"name":"Sharepoint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53"/>
        <v>https://d0f6bd738d7f1b3e5a7ca70fe4ff75f0.us-east-1.aws.found.io/app/kibana#/discover/Steve-Slow-Train-Analysis-(2080s-and-2083s)?_g=(refreshInterval:(display:Off,pause:!f,section:0,value:0),time:(from:'2017-12-02T15:24:38-0700',mode:absolute,to:'2017-12-02T17:58:52-0700'))&amp;_a=(columns:!('Message%20ID',Summary),filters:!(),index:'emp_*',interval:auto,query:(query_string:(analyze_wildcard:!t,query:'%22rtdc.l.rtdc.4053%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819</v>
      </c>
      <c r="B185" s="225">
        <v>4054</v>
      </c>
      <c r="C185" s="227" t="s">
        <v>192</v>
      </c>
      <c r="D185" s="227" t="s">
        <v>986</v>
      </c>
      <c r="E185" s="226">
        <v>43071.709641203706</v>
      </c>
      <c r="F185" s="226">
        <v>43071.714814814812</v>
      </c>
      <c r="G185" s="225">
        <v>86</v>
      </c>
      <c r="H185" s="227" t="s">
        <v>987</v>
      </c>
      <c r="I185" s="226">
        <v>43071.724282407406</v>
      </c>
      <c r="J185" s="225">
        <v>0</v>
      </c>
      <c r="K185" s="237" t="str">
        <f>IF(ISEVEN(B185),(B185-1)&amp;"/"&amp;B185,B185&amp;"/"&amp;(B185+1))</f>
        <v>4053/4054</v>
      </c>
      <c r="L185" s="245" t="str">
        <f>VLOOKUP(A185,'Trips&amp;Operators'!$C$1:$G$99911,5,FALSE)</f>
        <v>SMITH MICHAEL</v>
      </c>
      <c r="M185" s="224">
        <f>I185-F185</f>
        <v>9.4675925938645378E-3</v>
      </c>
      <c r="N185" s="225">
        <f>24*60*SUM($M185:$M185)</f>
        <v>13.633333335164934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-02T16:01:53-0700',mode:absolute,to:'2017-12-02T18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4.4999999999999998E-2</v>
      </c>
      <c r="Z185" s="247">
        <f>RIGHT(H185,LEN(H185)-4)/10000</f>
        <v>5.8926999999999996</v>
      </c>
      <c r="AA185" s="247">
        <f>ABS(Z185-Y185)</f>
        <v>5.8476999999999997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1823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/stypes="app*4054*20171203*" /stext=" 00:.+((SYSTEM_STATE.+slice.+state.+changed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49"/>
        <v>"%USERPROFILE%\Documents\GitHub\eaglep3\Utilities\RefineRTDCRunTimes.py" --tripid 1823-02 --locoid 4054 --swversion DE.1.0.9.0 --startMP 204:450 --initTime 2017-12-02T17:01:53 --startdatetime 2017-12-02T17:09:20 --delay 86 --endMP 300:58927 --enddatetime 2017-12-02T17:22:58 --enforcementcount 0 &gt;&gt;%USERPROFILE%\Documents\GitHub\eaglep3-reporting\EC\2017-12-02-refined-times.txt</v>
      </c>
      <c r="AI185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{"issue":{"subject":"","project_id":79,"tracker_id":40,"status_id":1,"priority_id":2,"assigned_to_id":338,"start_date":"2017-12-02","description":"","custom_fields":[{"id":1,"name":"Subdivision","value":"NW"},{"id":4,"name":"Milepost","value":"5.8927"},{"id":17,"name":"Train ID","value":"1823-02"},{"id":16,"name":"Locomotive ID","value":"4054"},{"id":130,"name":"Impact","value":""},{"id":150,"name":"Time of Event (Mountain Time)","value":"17:22:58"},{"id":151,"name":"Denver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51"/>
        <v>start /low /b %USERPROFILE%\Documents\GitHub\eaglep3\Utilities\DownloadLogsFromS3.py --loco 4054 --day 2017-12-02</v>
      </c>
      <c r="AN185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53"/>
        <v>https://d0f6bd738d7f1b3e5a7ca70fe4ff75f0.us-east-1.aws.found.io/app/kibana#/discover/Steve-Slow-Train-Analysis-(2080s-and-2083s)?_g=(refreshInterval:(display:Off,pause:!f,section:0,value:0),time:(from:'2017-12-02T16:01:53-0700',mode:absolute,to:'2017-12-02T18:22:58-0700'))&amp;_a=(columns:!('Message%20ID',Summary),filters:!(),index:'emp_*',interval:auto,query:(query_string:(analyze_wildcard:!t,query:'%22rtdc.l.rtdc.4054%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822</v>
      </c>
      <c r="B186" s="225">
        <v>4053</v>
      </c>
      <c r="C186" s="227" t="s">
        <v>192</v>
      </c>
      <c r="D186" s="227" t="s">
        <v>988</v>
      </c>
      <c r="E186" s="226">
        <v>43071.725243055553</v>
      </c>
      <c r="F186" s="226">
        <v>43071.739953703705</v>
      </c>
      <c r="G186" s="225">
        <v>70</v>
      </c>
      <c r="H186" s="227" t="s">
        <v>989</v>
      </c>
      <c r="I186" s="226">
        <v>43071.748854166668</v>
      </c>
      <c r="J186" s="225">
        <v>0</v>
      </c>
      <c r="K186" s="237" t="str">
        <f>IF(ISEVEN(B186),(B186-1)&amp;"/"&amp;B186,B186&amp;"/"&amp;(B186+1))</f>
        <v>4053/4054</v>
      </c>
      <c r="L186" s="245" t="str">
        <f>VLOOKUP(A186,'Trips&amp;Operators'!$C$1:$G$99911,5,FALSE)</f>
        <v>SMITH MICHAEL</v>
      </c>
      <c r="M186" s="224">
        <f>I186-F186</f>
        <v>8.9004629626288079E-3</v>
      </c>
      <c r="N186" s="225">
        <f>24*60*SUM($M186:$M186)</f>
        <v>12.816666666185483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-02T16:24:21-0700',mode:absolute,to:'2017-12-02T18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5.8613</v>
      </c>
      <c r="Z186" s="247">
        <f>RIGHT(H186,LEN(H186)-4)/10000</f>
        <v>1.4200000000000001E-2</v>
      </c>
      <c r="AA186" s="247">
        <f>ABS(Z186-Y186)</f>
        <v>5.8471000000000002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1824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/stypes="app*4053*20171203*" /stext=" 00:.+((SYSTEM_STATE.+slice.+state.+changed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49"/>
        <v>"%USERPROFILE%\Documents\GitHub\eaglep3\Utilities\RefineRTDCRunTimes.py" --tripid 1824-02 --locoid 4053 --swversion DE.1.0.9.0 --startMP 300:58613 --initTime 2017-12-02T17:24:21 --startdatetime 2017-12-02T17:45:32 --delay 70 --endMP 204:142 --enddatetime 2017-12-02T17:58:21 --enforcementcount 0 &gt;&gt;%USERPROFILE%\Documents\GitHub\eaglep3-reporting\EC\2017-12-02-refined-times.txt</v>
      </c>
      <c r="AI186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{"issue":{"subject":"","project_id":79,"tracker_id":40,"status_id":1,"priority_id":2,"assigned_to_id":338,"start_date":"2017-12-02","description":"","custom_fields":[{"id":1,"name":"Subdivision","value":"NW"},{"id":4,"name":"Milepost","value":"0.0142"},{"id":17,"name":"Train ID","value":"1824-02"},{"id":16,"name":"Locomotive ID","value":"4053"},{"id":130,"name":"Impact","value":""},{"id":150,"name":"Time of Event (Mountain Time)","value":"17:58:21"},{"id":151,"name":"Denver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51"/>
        <v>start /low /b %USERPROFILE%\Documents\GitHub\eaglep3\Utilities\DownloadLogsFromS3.py --loco 4053 --day 2017-12-02</v>
      </c>
      <c r="AN186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53"/>
        <v>https://d0f6bd738d7f1b3e5a7ca70fe4ff75f0.us-east-1.aws.found.io/app/kibana#/discover/Steve-Slow-Train-Analysis-(2080s-and-2083s)?_g=(refreshInterval:(display:Off,pause:!f,section:0,value:0),time:(from:'2017-12-02T16:24:21-0700',mode:absolute,to:'2017-12-02T18:58:21-0700'))&amp;_a=(columns:!('Message%20ID',Summary),filters:!(),index:'emp_*',interval:auto,query:(query_string:(analyze_wildcard:!t,query:'%22rtdc.l.rtdc.4053%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830</v>
      </c>
      <c r="B187" s="225">
        <v>4054</v>
      </c>
      <c r="C187" s="227" t="s">
        <v>192</v>
      </c>
      <c r="D187" s="227" t="s">
        <v>990</v>
      </c>
      <c r="E187" s="226">
        <v>43071.753645833334</v>
      </c>
      <c r="F187" s="226">
        <v>43071.756504629629</v>
      </c>
      <c r="G187" s="225">
        <v>84</v>
      </c>
      <c r="H187" s="227" t="s">
        <v>631</v>
      </c>
      <c r="I187" s="226">
        <v>43071.766064814816</v>
      </c>
      <c r="J187" s="225">
        <v>0</v>
      </c>
      <c r="K187" s="237" t="str">
        <f>IF(ISEVEN(B187),(B187-1)&amp;"/"&amp;B187,B187&amp;"/"&amp;(B187+1))</f>
        <v>4053/4054</v>
      </c>
      <c r="L187" s="245" t="str">
        <f>VLOOKUP(A187,'Trips&amp;Operators'!$C$1:$G$99911,5,FALSE)</f>
        <v>SMITH MICHAEL</v>
      </c>
      <c r="M187" s="224">
        <f>I187-F187</f>
        <v>9.560185186273884E-3</v>
      </c>
      <c r="N187" s="225">
        <f>24*60*SUM($M187:$M187)</f>
        <v>13.766666668234393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-02T17:05:15-0700',mode:absolute,to:'2017-12-02T19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4.4400000000000002E-2</v>
      </c>
      <c r="Z187" s="247">
        <f>RIGHT(H187,LEN(H187)-4)/10000</f>
        <v>5.8939000000000004</v>
      </c>
      <c r="AA187" s="247">
        <f>ABS(Z187-Y187)</f>
        <v>5.8494999999999999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1825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/stypes="app*4054*20171203*" /stext=" 01:.+((SYSTEM_STATE.+slice.+state.+changed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49"/>
        <v>"%USERPROFILE%\Documents\GitHub\eaglep3\Utilities\RefineRTDCRunTimes.py" --tripid 1825-02 --locoid 4054 --swversion DE.1.0.9.0 --startMP 204:444 --initTime 2017-12-02T18:05:15 --startdatetime 2017-12-02T18:09:22 --delay 84 --endMP 300:58939 --enddatetime 2017-12-02T18:23:08 --enforcementcount 0 &gt;&gt;%USERPROFILE%\Documents\GitHub\eaglep3-reporting\EC\2017-12-02-refined-times.txt</v>
      </c>
      <c r="AI187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{"issue":{"subject":"","project_id":79,"tracker_id":40,"status_id":1,"priority_id":2,"assigned_to_id":338,"start_date":"2017-12-02","description":"","custom_fields":[{"id":1,"name":"Subdivision","value":"NW"},{"id":4,"name":"Milepost","value":"5.8939"},{"id":17,"name":"Train ID","value":"1825-02"},{"id":16,"name":"Locomotive ID","value":"4054"},{"id":130,"name":"Impact","value":""},{"id":150,"name":"Time of Event (Mountain Time)","value":"18:23:08"},{"id":151,"name":"Denver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51"/>
        <v>start /low /b %USERPROFILE%\Documents\GitHub\eaglep3\Utilities\DownloadLogsFromS3.py --loco 4054 --day 2017-12-02</v>
      </c>
      <c r="AN187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53"/>
        <v>https://d0f6bd738d7f1b3e5a7ca70fe4ff75f0.us-east-1.aws.found.io/app/kibana#/discover/Steve-Slow-Train-Analysis-(2080s-and-2083s)?_g=(refreshInterval:(display:Off,pause:!f,section:0,value:0),time:(from:'2017-12-02T17:05:15-0700',mode:absolute,to:'2017-12-02T19:23:08-0700'))&amp;_a=(columns:!('Message%20ID',Summary),filters:!(),index:'emp_*',interval:auto,query:(query_string:(analyze_wildcard:!t,query:'%22rtdc.l.rtdc.4054%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667</v>
      </c>
      <c r="B188" s="225">
        <v>4053</v>
      </c>
      <c r="C188" s="227" t="s">
        <v>192</v>
      </c>
      <c r="D188" s="227" t="s">
        <v>991</v>
      </c>
      <c r="E188" s="226">
        <v>43071.767118055555</v>
      </c>
      <c r="F188" s="226">
        <v>43071.779976851853</v>
      </c>
      <c r="G188" s="225">
        <v>53</v>
      </c>
      <c r="H188" s="227" t="s">
        <v>992</v>
      </c>
      <c r="I188" s="226">
        <v>43071.786932870367</v>
      </c>
      <c r="J188" s="225">
        <v>0</v>
      </c>
      <c r="K188" s="237" t="str">
        <f>IF(ISEVEN(B188),(B188-1)&amp;"/"&amp;B188,B188&amp;"/"&amp;(B188+1))</f>
        <v>4053/4054</v>
      </c>
      <c r="L188" s="245" t="str">
        <f>VLOOKUP(A188,'Trips&amp;Operators'!$C$1:$G$99911,5,FALSE)</f>
        <v>SMITH MICHAEL</v>
      </c>
      <c r="M188" s="224">
        <f>I188-F188</f>
        <v>6.956018514756579E-3</v>
      </c>
      <c r="N188" s="225">
        <f>24*60*SUM($M188:$M188)</f>
        <v>10.016666661249474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47" t="str">
        <f>IF(AA188&lt;VLOOKUP(AG188,Variables!$AC$3:$AD$8,2,FALSE),"Y","N")</f>
        <v>Y</v>
      </c>
      <c r="X188" s="247">
        <f>VALUE(LEFT(AD188,4))-VALUE(LEFT(AD187,4))</f>
        <v>1</v>
      </c>
      <c r="Y188" s="247">
        <f>RIGHT(D188,LEN(D188)-4)/10000</f>
        <v>5.8619000000000003</v>
      </c>
      <c r="Z188" s="247">
        <f>RIGHT(H188,LEN(H188)-4)/10000</f>
        <v>0.46810000000000002</v>
      </c>
      <c r="AA188" s="247">
        <f>ABS(Z188-Y188)</f>
        <v>5.3938000000000006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1826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/stypes="app*4053*20171203*" /stext=" 01:.+((SYSTEM_STATE.+slice.+state.+changed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49"/>
        <v>"%USERPROFILE%\Documents\GitHub\eaglep3\Utilities\RefineRTDCRunTimes.py" --tripid 1826-02 --locoid 4053 --swversion DE.1.0.9.0 --startMP 300:58619 --initTime 2017-12-02T18:24:39 --startdatetime 2017-12-02T18:43:10 --delay 53 --endMP 204:4681 --enddatetime 2017-12-02T18:53:11 --enforcementcount 0 &gt;&gt;%USERPROFILE%\Documents\GitHub\eaglep3-reporting\EC\2017-12-02-refined-times.txt</v>
      </c>
      <c r="AI188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{"issue":{"subject":"","project_id":79,"tracker_id":40,"status_id":1,"priority_id":2,"assigned_to_id":338,"start_date":"2017-12-02","description":"","custom_fields":[{"id":1,"name":"Subdivision","value":"NW"},{"id":4,"name":"Milepost","value":"0.4681"},{"id":17,"name":"Train ID","value":"1826-02"},{"id":16,"name":"Locomotive ID","value":"4053"},{"id":130,"name":"Impact","value":""},{"id":150,"name":"Time of Event (Mountain Time)","value":"18:53:11"},{"id":151,"name":"Denver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51"/>
        <v>start /low /b %USERPROFILE%\Documents\GitHub\eaglep3\Utilities\DownloadLogsFromS3.py --loco 4053 --day 2017-12-02</v>
      </c>
      <c r="AN188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53"/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Message%20ID',Summary),filters:!(),index:'emp_*',interval:auto,query:(query_string:(analyze_wildcard:!t,query:'%22rtdc.l.rtdc.4053%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839</v>
      </c>
      <c r="B189" s="225">
        <v>4054</v>
      </c>
      <c r="C189" s="227" t="s">
        <v>192</v>
      </c>
      <c r="D189" s="227" t="s">
        <v>968</v>
      </c>
      <c r="E189" s="226">
        <v>43071.79173611111</v>
      </c>
      <c r="F189" s="226">
        <v>43071.798368055555</v>
      </c>
      <c r="G189" s="225">
        <v>79</v>
      </c>
      <c r="H189" s="227" t="s">
        <v>977</v>
      </c>
      <c r="I189" s="226">
        <v>43071.808263888888</v>
      </c>
      <c r="J189" s="225">
        <v>0</v>
      </c>
      <c r="K189" s="237" t="str">
        <f>IF(ISEVEN(B189),(B189-1)&amp;"/"&amp;B189,B189&amp;"/"&amp;(B189+1))</f>
        <v>4053/4054</v>
      </c>
      <c r="L189" s="245" t="str">
        <f>VLOOKUP(A189,'Trips&amp;Operators'!$C$1:$G$99911,5,FALSE)</f>
        <v>SMITH MICHAEL</v>
      </c>
      <c r="M189" s="224">
        <f>I189-F189</f>
        <v>9.8958333328482695E-3</v>
      </c>
      <c r="N189" s="225">
        <f>24*60*SUM($M189:$M189)</f>
        <v>14.249999999301508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-02T18:00:06-0700',mode:absolute,to:'2017-12-02T20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4.7100000000000003E-2</v>
      </c>
      <c r="Z189" s="247">
        <f>RIGHT(H189,LEN(H189)-4)/10000</f>
        <v>5.8925999999999998</v>
      </c>
      <c r="AA189" s="247">
        <f>ABS(Z189-Y189)</f>
        <v>5.8454999999999995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1827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/stypes="app*4054*20171203*" /stext=" 02:.+((SYSTEM_STATE.+slice.+state.+changed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49"/>
        <v>"%USERPROFILE%\Documents\GitHub\eaglep3\Utilities\RefineRTDCRunTimes.py" --tripid 1827-02 --locoid 4054 --swversion DE.1.0.9.0 --startMP 204:471 --initTime 2017-12-02T19:00:06 --startdatetime 2017-12-02T19:09:39 --delay 79 --endMP 300:58926 --enddatetime 2017-12-02T19:23:54 --enforcementcount 0 &gt;&gt;%USERPROFILE%\Documents\GitHub\eaglep3-reporting\EC\2017-12-02-refined-times.txt</v>
      </c>
      <c r="AI189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{"issue":{"subject":"","project_id":79,"tracker_id":40,"status_id":1,"priority_id":2,"assigned_to_id":338,"start_date":"2017-12-02","description":"","custom_fields":[{"id":1,"name":"Subdivision","value":"NW"},{"id":4,"name":"Milepost","value":"5.8926"},{"id":17,"name":"Train ID","value":"1827-02"},{"id":16,"name":"Locomotive ID","value":"4054"},{"id":130,"name":"Impact","value":""},{"id":150,"name":"Time of Event (Mountain Time)","value":"19:23:54"},{"id":151,"name":"Denver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51"/>
        <v>start /low /b %USERPROFILE%\Documents\GitHub\eaglep3\Utilities\DownloadLogsFromS3.py --loco 4054 --day 2017-12-02</v>
      </c>
      <c r="AN189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53"/>
        <v>https://d0f6bd738d7f1b3e5a7ca70fe4ff75f0.us-east-1.aws.found.io/app/kibana#/discover/Steve-Slow-Train-Analysis-(2080s-and-2083s)?_g=(refreshInterval:(display:Off,pause:!f,section:0,value:0),time:(from:'2017-12-02T18:00:06-0700',mode:absolute,to:'2017-12-02T20:23:54-0700'))&amp;_a=(columns:!('Message%20ID',Summary),filters:!(),index:'emp_*',interval:auto,query:(query_string:(analyze_wildcard:!t,query:'%22rtdc.l.rtdc.4054%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843</v>
      </c>
      <c r="B190" s="225">
        <v>4053</v>
      </c>
      <c r="C190" s="227" t="s">
        <v>192</v>
      </c>
      <c r="D190" s="227" t="s">
        <v>993</v>
      </c>
      <c r="E190" s="226">
        <v>43071.809513888889</v>
      </c>
      <c r="F190" s="226">
        <v>43071.821655092594</v>
      </c>
      <c r="G190" s="225">
        <v>69</v>
      </c>
      <c r="H190" s="227" t="s">
        <v>985</v>
      </c>
      <c r="I190" s="226">
        <v>43071.830567129633</v>
      </c>
      <c r="J190" s="225">
        <v>0</v>
      </c>
      <c r="K190" s="237" t="str">
        <f>IF(ISEVEN(B190),(B190-1)&amp;"/"&amp;B190,B190&amp;"/"&amp;(B190+1))</f>
        <v>4053/4054</v>
      </c>
      <c r="L190" s="245" t="str">
        <f>VLOOKUP(A190,'Trips&amp;Operators'!$C$1:$G$99911,5,FALSE)</f>
        <v>SMITH MICHAEL</v>
      </c>
      <c r="M190" s="224">
        <f>I190-F190</f>
        <v>8.9120370394084603E-3</v>
      </c>
      <c r="N190" s="225">
        <f>24*60*SUM($M190:$M190)</f>
        <v>12.833333336748183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-02T18:25:42-0700',mode:absolute,to:'2017-12-02T20:56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5.8609</v>
      </c>
      <c r="Z190" s="247">
        <f>RIGHT(H190,LEN(H190)-4)/10000</f>
        <v>1.5100000000000001E-2</v>
      </c>
      <c r="AA190" s="247">
        <f>ABS(Z190-Y190)</f>
        <v>5.8457999999999997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1828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/stypes="app*4053*20171203*" /stext=" 02:.+((SYSTEM_STATE.+slice.+state.+changed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49"/>
        <v>"%USERPROFILE%\Documents\GitHub\eaglep3\Utilities\RefineRTDCRunTimes.py" --tripid 1828-02 --locoid 4053 --swversion DE.1.0.9.0 --startMP 300:58609 --initTime 2017-12-02T19:25:42 --startdatetime 2017-12-02T19:43:11 --delay 69 --endMP 204:151 --enddatetime 2017-12-02T19:56:01 --enforcementcount 0 &gt;&gt;%USERPROFILE%\Documents\GitHub\eaglep3-reporting\EC\2017-12-02-refined-times.txt</v>
      </c>
      <c r="AI190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{"issue":{"subject":"","project_id":79,"tracker_id":40,"status_id":1,"priority_id":2,"assigned_to_id":338,"start_date":"2017-12-02","description":"","custom_fields":[{"id":1,"name":"Subdivision","value":"NW"},{"id":4,"name":"Milepost","value":"0.0151"},{"id":17,"name":"Train ID","value":"1828-02"},{"id":16,"name":"Locomotive ID","value":"4053"},{"id":130,"name":"Impact","value":""},{"id":150,"name":"Time of Event (Mountain Time)","value":"19:56:01"},{"id":151,"name":"Denver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51"/>
        <v>start /low /b %USERPROFILE%\Documents\GitHub\eaglep3\Utilities\DownloadLogsFromS3.py --loco 4053 --day 2017-12-02</v>
      </c>
      <c r="AN190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53"/>
        <v>https://d0f6bd738d7f1b3e5a7ca70fe4ff75f0.us-east-1.aws.found.io/app/kibana#/discover/Steve-Slow-Train-Analysis-(2080s-and-2083s)?_g=(refreshInterval:(display:Off,pause:!f,section:0,value:0),time:(from:'2017-12-02T18:25:42-0700',mode:absolute,to:'2017-12-02T20:56:01-0700'))&amp;_a=(columns:!('Message%20ID',Summary),filters:!(),index:'emp_*',interval:auto,query:(query_string:(analyze_wildcard:!t,query:'%22rtdc.l.rtdc.4053%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847</v>
      </c>
      <c r="B191" s="225">
        <v>4054</v>
      </c>
      <c r="C191" s="227" t="s">
        <v>192</v>
      </c>
      <c r="D191" s="227" t="s">
        <v>994</v>
      </c>
      <c r="E191" s="226">
        <v>43071.832384259258</v>
      </c>
      <c r="F191" s="226">
        <v>43071.839791666665</v>
      </c>
      <c r="G191" s="225">
        <v>93</v>
      </c>
      <c r="H191" s="227" t="s">
        <v>980</v>
      </c>
      <c r="I191" s="226">
        <v>43071.850636574076</v>
      </c>
      <c r="J191" s="225">
        <v>0</v>
      </c>
      <c r="K191" s="237" t="str">
        <f>IF(ISEVEN(B191),(B191-1)&amp;"/"&amp;B191,B191&amp;"/"&amp;(B191+1))</f>
        <v>4053/4054</v>
      </c>
      <c r="L191" s="245" t="str">
        <f>VLOOKUP(A191,'Trips&amp;Operators'!$C$1:$G$99911,5,FALSE)</f>
        <v>SMITH MICHAEL</v>
      </c>
      <c r="M191" s="224">
        <f>I191-F191</f>
        <v>1.0844907410501037E-2</v>
      </c>
      <c r="N191" s="225">
        <f>24*60*SUM($M191:$M191)</f>
        <v>15.616666671121493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-02T18:58:38-0700',mode:absolute,to:'2017-12-02T21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4.3299999999999998E-2</v>
      </c>
      <c r="Z191" s="247">
        <f>RIGHT(H191,LEN(H191)-4)/10000</f>
        <v>5.8948</v>
      </c>
      <c r="AA191" s="247">
        <f>ABS(Z191-Y191)</f>
        <v>5.8514999999999997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1829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/stypes="app*4054*20171203*" /stext=" 03:.+((SYSTEM_STATE.+slice.+state.+changed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49"/>
        <v>"%USERPROFILE%\Documents\GitHub\eaglep3\Utilities\RefineRTDCRunTimes.py" --tripid 1829-02 --locoid 4054 --swversion DE.1.0.9.0 --startMP 204:433 --initTime 2017-12-02T19:58:38 --startdatetime 2017-12-02T20:09:18 --delay 93 --endMP 300:58948 --enddatetime 2017-12-02T20:24:55 --enforcementcount 0 &gt;&gt;%USERPROFILE%\Documents\GitHub\eaglep3-reporting\EC\2017-12-02-refined-times.txt</v>
      </c>
      <c r="AI191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{"issue":{"subject":"","project_id":79,"tracker_id":40,"status_id":1,"priority_id":2,"assigned_to_id":338,"start_date":"2017-12-02","description":"","custom_fields":[{"id":1,"name":"Subdivision","value":"NW"},{"id":4,"name":"Milepost","value":"5.8948"},{"id":17,"name":"Train ID","value":"1829-02"},{"id":16,"name":"Locomotive ID","value":"4054"},{"id":130,"name":"Impact","value":""},{"id":150,"name":"Time of Event (Mountain Time)","value":"20:24:55"},{"id":151,"name":"Denver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51"/>
        <v>start /low /b %USERPROFILE%\Documents\GitHub\eaglep3\Utilities\DownloadLogsFromS3.py --loco 4054 --day 2017-12-02</v>
      </c>
      <c r="AN191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53"/>
        <v>https://d0f6bd738d7f1b3e5a7ca70fe4ff75f0.us-east-1.aws.found.io/app/kibana#/discover/Steve-Slow-Train-Analysis-(2080s-and-2083s)?_g=(refreshInterval:(display:Off,pause:!f,section:0,value:0),time:(from:'2017-12-02T18:58:38-0700',mode:absolute,to:'2017-12-02T21:24:55-0700'))&amp;_a=(columns:!('Message%20ID',Summary),filters:!(),index:'emp_*',interval:auto,query:(query_string:(analyze_wildcard:!t,query:'%22rtdc.l.rtdc.4054%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850</v>
      </c>
      <c r="B192" s="225">
        <v>4053</v>
      </c>
      <c r="C192" s="227" t="s">
        <v>192</v>
      </c>
      <c r="D192" s="227" t="s">
        <v>995</v>
      </c>
      <c r="E192" s="226">
        <v>43071.851805555554</v>
      </c>
      <c r="F192" s="226">
        <v>43071.863229166665</v>
      </c>
      <c r="G192" s="225">
        <v>66</v>
      </c>
      <c r="H192" s="227" t="s">
        <v>937</v>
      </c>
      <c r="I192" s="226">
        <v>43071.871620370373</v>
      </c>
      <c r="J192" s="225">
        <v>0</v>
      </c>
      <c r="K192" s="237" t="str">
        <f>IF(ISEVEN(B192),(B192-1)&amp;"/"&amp;B192,B192&amp;"/"&amp;(B192+1))</f>
        <v>4053/4054</v>
      </c>
      <c r="L192" s="245" t="str">
        <f>VLOOKUP(A192,'Trips&amp;Operators'!$C$1:$G$99911,5,FALSE)</f>
        <v>SMITH MICHAEL</v>
      </c>
      <c r="M192" s="224">
        <f>I192-F192</f>
        <v>8.3912037080153823E-3</v>
      </c>
      <c r="N192" s="225">
        <f>24*60*SUM($M192:$M192)</f>
        <v>12.08333333954215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-02T19:26:36-0700',mode:absolute,to:'2017-12-02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5.8635999999999999</v>
      </c>
      <c r="Z192" s="247">
        <f>RIGHT(H192,LEN(H192)-4)/10000</f>
        <v>1.6E-2</v>
      </c>
      <c r="AA192" s="247">
        <f>ABS(Z192-Y192)</f>
        <v>5.8475999999999999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1830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/stypes="app*4053*20171203*" /stext=" 03:.+((SYSTEM_STATE.+slice.+state.+changed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49"/>
        <v>"%USERPROFILE%\Documents\GitHub\eaglep3\Utilities\RefineRTDCRunTimes.py" --tripid 1830-02 --locoid 4053 --swversion DE.1.0.9.0 --startMP 300:58636 --initTime 2017-12-02T20:26:36 --startdatetime 2017-12-02T20:43:03 --delay 66 --endMP 204:160 --enddatetime 2017-12-02T20:55:08 --enforcementcount 0 &gt;&gt;%USERPROFILE%\Documents\GitHub\eaglep3-reporting\EC\2017-12-02-refined-times.txt</v>
      </c>
      <c r="AI192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{"issue":{"subject":"","project_id":79,"tracker_id":40,"status_id":1,"priority_id":2,"assigned_to_id":338,"start_date":"2017-12-02","description":"","custom_fields":[{"id":1,"name":"Subdivision","value":"NW"},{"id":4,"name":"Milepost","value":"0.016"},{"id":17,"name":"Train ID","value":"1830-02"},{"id":16,"name":"Locomotive ID","value":"4053"},{"id":130,"name":"Impact","value":""},{"id":150,"name":"Time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51"/>
        <v>start /low /b %USERPROFILE%\Documents\GitHub\eaglep3\Utilities\DownloadLogsFromS3.py --loco 4053 --day 2017-12-02</v>
      </c>
      <c r="AN192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53"/>
        <v>https://d0f6bd738d7f1b3e5a7ca70fe4ff75f0.us-east-1.aws.found.io/app/kibana#/discover/Steve-Slow-Train-Analysis-(2080s-and-2083s)?_g=(refreshInterval:(display:Off,pause:!f,section:0,value:0),time:(from:'2017-12-02T19:26:36-0700',mode:absolute,to:'2017-12-02T21:55:08-0700'))&amp;_a=(columns:!('Message%20ID',Summary),filters:!(),index:'emp_*',interval:auto,query:(query_string:(analyze_wildcard:!t,query:'%22rtdc.l.rtdc.4053%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853</v>
      </c>
      <c r="B193" s="225">
        <v>4054</v>
      </c>
      <c r="C193" s="227" t="s">
        <v>192</v>
      </c>
      <c r="D193" s="227" t="s">
        <v>996</v>
      </c>
      <c r="E193" s="226">
        <v>43071.875879629632</v>
      </c>
      <c r="F193" s="226">
        <v>43071.881493055553</v>
      </c>
      <c r="G193" s="225">
        <v>81</v>
      </c>
      <c r="H193" s="227" t="s">
        <v>580</v>
      </c>
      <c r="I193" s="226">
        <v>43071.892245370371</v>
      </c>
      <c r="J193" s="225">
        <v>0</v>
      </c>
      <c r="K193" s="237" t="str">
        <f>IF(ISEVEN(B193),(B193-1)&amp;"/"&amp;B193,B193&amp;"/"&amp;(B193+1))</f>
        <v>4053/4054</v>
      </c>
      <c r="L193" s="245" t="str">
        <f>VLOOKUP(A193,'Trips&amp;Operators'!$C$1:$G$99911,5,FALSE)</f>
        <v>SMITH MICHAEL</v>
      </c>
      <c r="M193" s="224">
        <f>I193-F193</f>
        <v>1.0752314818091691E-2</v>
      </c>
      <c r="N193" s="225">
        <f>24*60*SUM($M193:$M193)</f>
        <v>15.483333338052034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-02T20:01:16-0700',mode:absolute,to:'2017-12-02T22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4.3700000000000003E-2</v>
      </c>
      <c r="Z193" s="247">
        <f>RIGHT(H193,LEN(H193)-4)/10000</f>
        <v>5.8956</v>
      </c>
      <c r="AA193" s="247">
        <f>ABS(Z193-Y193)</f>
        <v>5.8518999999999997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1831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/stypes="app*4054*20171203*" /stext=" 04:.+((SYSTEM_STATE.+slice.+state.+changed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49"/>
        <v>"%USERPROFILE%\Documents\GitHub\eaglep3\Utilities\RefineRTDCRunTimes.py" --tripid 1831-02 --locoid 4054 --swversion DE.1.0.9.0 --startMP 204:437 --initTime 2017-12-02T21:01:16 --startdatetime 2017-12-02T21:09:21 --delay 81 --endMP 300:58956 --enddatetime 2017-12-02T21:24:50 --enforcementcount 0 &gt;&gt;%USERPROFILE%\Documents\GitHub\eaglep3-reporting\EC\2017-12-02-refined-times.txt</v>
      </c>
      <c r="AI193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{"issue":{"subject":"","project_id":79,"tracker_id":40,"status_id":1,"priority_id":2,"assigned_to_id":338,"start_date":"2017-12-02","description":"","custom_fields":[{"id":1,"name":"Subdivision","value":"NW"},{"id":4,"name":"Milepost","value":"5.8956"},{"id":17,"name":"Train ID","value":"1831-02"},{"id":16,"name":"Locomotive ID","value":"4054"},{"id":130,"name":"Impact","value":""},{"id":150,"name":"Time of Event (Mountain Time)","value":"21:24:50"},{"id":151,"name":"Denver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51"/>
        <v>start /low /b %USERPROFILE%\Documents\GitHub\eaglep3\Utilities\DownloadLogsFromS3.py --loco 4054 --day 2017-12-02</v>
      </c>
      <c r="AN193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53"/>
        <v>https://d0f6bd738d7f1b3e5a7ca70fe4ff75f0.us-east-1.aws.found.io/app/kibana#/discover/Steve-Slow-Train-Analysis-(2080s-and-2083s)?_g=(refreshInterval:(display:Off,pause:!f,section:0,value:0),time:(from:'2017-12-02T20:01:16-0700',mode:absolute,to:'2017-12-02T22:24:50-0700'))&amp;_a=(columns:!('Message%20ID',Summary),filters:!(),index:'emp_*',interval:auto,query:(query_string:(analyze_wildcard:!t,query:'%22rtdc.l.rtdc.4054%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856</v>
      </c>
      <c r="B194" s="225">
        <v>4053</v>
      </c>
      <c r="C194" s="227" t="s">
        <v>192</v>
      </c>
      <c r="D194" s="227" t="s">
        <v>629</v>
      </c>
      <c r="E194" s="226">
        <v>43071.893865740742</v>
      </c>
      <c r="F194" s="226">
        <v>43071.904687499999</v>
      </c>
      <c r="G194" s="225">
        <v>72</v>
      </c>
      <c r="H194" s="227" t="s">
        <v>997</v>
      </c>
      <c r="I194" s="226">
        <v>43071.913842592592</v>
      </c>
      <c r="J194" s="225">
        <v>0</v>
      </c>
      <c r="K194" s="237" t="str">
        <f>IF(ISEVEN(B194),(B194-1)&amp;"/"&amp;B194,B194&amp;"/"&amp;(B194+1))</f>
        <v>4053/4054</v>
      </c>
      <c r="L194" s="245" t="str">
        <f>VLOOKUP(A194,'Trips&amp;Operators'!$C$1:$G$99911,5,FALSE)</f>
        <v>SMITH MICHAEL</v>
      </c>
      <c r="M194" s="224">
        <f>I194-F194</f>
        <v>9.1550925935734995E-3</v>
      </c>
      <c r="N194" s="225">
        <f>24*60*SUM($M194:$M194)</f>
        <v>13.183333334745839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-02T20:27:10-0700',mode:absolute,to:'2017-12-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5.8642000000000003</v>
      </c>
      <c r="Z194" s="247">
        <f>RIGHT(H194,LEN(H194)-4)/10000</f>
        <v>1.49E-2</v>
      </c>
      <c r="AA194" s="247">
        <f>ABS(Z194-Y194)</f>
        <v>5.8493000000000004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1832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/stypes="app*4053*20171203*" /stext=" 04:.+((SYSTEM_STATE.+slice.+state.+changed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49"/>
        <v>"%USERPROFILE%\Documents\GitHub\eaglep3\Utilities\RefineRTDCRunTimes.py" --tripid 1832-02 --locoid 4053 --swversion DE.1.0.9.0 --startMP 300:58642 --initTime 2017-12-02T21:27:10 --startdatetime 2017-12-02T21:42:45 --delay 72 --endMP 204:149 --enddatetime 2017-12-02T21:55:56 --enforcementcount 0 &gt;&gt;%USERPROFILE%\Documents\GitHub\eaglep3-reporting\EC\2017-12-02-refined-times.txt</v>
      </c>
      <c r="AI194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{"issue":{"subject":"","project_id":79,"tracker_id":40,"status_id":1,"priority_id":2,"assigned_to_id":338,"start_date":"2017-12-02","description":"","custom_fields":[{"id":1,"name":"Subdivision","value":"NW"},{"id":4,"name":"Milepost","value":"0.0149"},{"id":17,"name":"Train ID","value":"1832-02"},{"id":16,"name":"Locomotive ID","value":"4053"},{"id":130,"name":"Impact","value":""},{"id":150,"name":"Time of Event (Mountain Time)","value":"21:55:56"},{"id":151,"name":"Denver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51"/>
        <v>start /low /b %USERPROFILE%\Documents\GitHub\eaglep3\Utilities\DownloadLogsFromS3.py --loco 4053 --day 2017-12-02</v>
      </c>
      <c r="AN194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53"/>
        <v>https://d0f6bd738d7f1b3e5a7ca70fe4ff75f0.us-east-1.aws.found.io/app/kibana#/discover/Steve-Slow-Train-Analysis-(2080s-and-2083s)?_g=(refreshInterval:(display:Off,pause:!f,section:0,value:0),time:(from:'2017-12-02T20:27:10-0700',mode:absolute,to:'2017-12-02T22:55:56-0700'))&amp;_a=(columns:!('Message%20ID',Summary),filters:!(),index:'emp_*',interval:auto,query:(query_string:(analyze_wildcard:!t,query:'%22rtdc.l.rtdc.4053%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859</v>
      </c>
      <c r="B195" s="225">
        <v>4054</v>
      </c>
      <c r="C195" s="227" t="s">
        <v>192</v>
      </c>
      <c r="D195" s="227" t="s">
        <v>998</v>
      </c>
      <c r="E195" s="226">
        <v>43071.916574074072</v>
      </c>
      <c r="F195" s="226">
        <v>43071.923391203702</v>
      </c>
      <c r="G195" s="225">
        <v>70</v>
      </c>
      <c r="H195" s="227" t="s">
        <v>628</v>
      </c>
      <c r="I195" s="226">
        <v>43071.933078703703</v>
      </c>
      <c r="J195" s="225">
        <v>0</v>
      </c>
      <c r="K195" s="237" t="str">
        <f>IF(ISEVEN(B195),(B195-1)&amp;"/"&amp;B195,B195&amp;"/"&amp;(B195+1))</f>
        <v>4053/4054</v>
      </c>
      <c r="L195" s="245" t="str">
        <f>VLOOKUP(A195,'Trips&amp;Operators'!$C$1:$G$99911,5,FALSE)</f>
        <v>SMITH MICHAEL</v>
      </c>
      <c r="M195" s="224">
        <f>I195-F195</f>
        <v>9.6875000017462298E-3</v>
      </c>
      <c r="N195" s="225">
        <f>24*60*SUM($M195:$M195)</f>
        <v>13.950000002514571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-02T20:59:52-0700',mode:absolute,to:'2017-12-02T23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4.5999999999999999E-2</v>
      </c>
      <c r="Z195" s="247">
        <f>RIGHT(H195,LEN(H195)-4)/10000</f>
        <v>5.8959999999999999</v>
      </c>
      <c r="AA195" s="247">
        <f>ABS(Z195-Y195)</f>
        <v>5.85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1833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/stypes="app*4054*20171203*" /stext=" 05:.+((SYSTEM_STATE.+slice.+state.+changed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49"/>
        <v>"%USERPROFILE%\Documents\GitHub\eaglep3\Utilities\RefineRTDCRunTimes.py" --tripid 1833-02 --locoid 4054 --swversion DE.1.0.9.0 --startMP 204:460 --initTime 2017-12-02T21:59:52 --startdatetime 2017-12-02T22:09:41 --delay 70 --endMP 300:58960 --enddatetime 2017-12-02T22:23:38 --enforcementcount 0 &gt;&gt;%USERPROFILE%\Documents\GitHub\eaglep3-reporting\EC\2017-12-02-refined-times.txt</v>
      </c>
      <c r="AI195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{"issue":{"subject":"","project_id":79,"tracker_id":40,"status_id":1,"priority_id":2,"assigned_to_id":338,"start_date":"2017-12-02","description":"","custom_fields":[{"id":1,"name":"Subdivision","value":"NW"},{"id":4,"name":"Milepost","value":"5.896"},{"id":17,"name":"Train ID","value":"1833-02"},{"id":16,"name":"Locomotive ID","value":"4054"},{"id":130,"name":"Impact","value":""},{"id":150,"name":"Time of Event (Mountain Time)","value":"22:23:38"},{"id":151,"name":"Denver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51"/>
        <v>start /low /b %USERPROFILE%\Documents\GitHub\eaglep3\Utilities\DownloadLogsFromS3.py --loco 4054 --day 2017-12-02</v>
      </c>
      <c r="AN195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53"/>
        <v>https://d0f6bd738d7f1b3e5a7ca70fe4ff75f0.us-east-1.aws.found.io/app/kibana#/discover/Steve-Slow-Train-Analysis-(2080s-and-2083s)?_g=(refreshInterval:(display:Off,pause:!f,section:0,value:0),time:(from:'2017-12-02T20:59:52-0700',mode:absolute,to:'2017-12-02T23:23:38-0700'))&amp;_a=(columns:!('Message%20ID',Summary),filters:!(),index:'emp_*',interval:auto,query:(query_string:(analyze_wildcard:!t,query:'%22rtdc.l.rtdc.4054%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862</v>
      </c>
      <c r="B196" s="225">
        <v>4053</v>
      </c>
      <c r="C196" s="227" t="s">
        <v>192</v>
      </c>
      <c r="D196" s="227" t="s">
        <v>999</v>
      </c>
      <c r="E196" s="226">
        <v>43071.934224537035</v>
      </c>
      <c r="F196" s="226">
        <v>43071.946585648147</v>
      </c>
      <c r="G196" s="225">
        <v>72</v>
      </c>
      <c r="H196" s="227" t="s">
        <v>1000</v>
      </c>
      <c r="I196" s="226">
        <v>43071.954722222225</v>
      </c>
      <c r="J196" s="225">
        <v>0</v>
      </c>
      <c r="K196" s="237" t="str">
        <f>IF(ISEVEN(B196),(B196-1)&amp;"/"&amp;B196,B196&amp;"/"&amp;(B196+1))</f>
        <v>4053/4054</v>
      </c>
      <c r="L196" s="245" t="str">
        <f>VLOOKUP(A196,'Trips&amp;Operators'!$C$1:$G$99911,5,FALSE)</f>
        <v>SMITH MICHAEL</v>
      </c>
      <c r="M196" s="224">
        <f>I196-F196</f>
        <v>8.1365740770706907E-3</v>
      </c>
      <c r="N196" s="225">
        <f>24*60*SUM($M196:$M196)</f>
        <v>11.716666670981795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-02T21:25:17-0700',mode:absolute,to:'2017-12-02T23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5.8643000000000001</v>
      </c>
      <c r="Z196" s="247">
        <f>RIGHT(H196,LEN(H196)-4)/10000</f>
        <v>1.4800000000000001E-2</v>
      </c>
      <c r="AA196" s="247">
        <f>ABS(Z196-Y196)</f>
        <v>5.8494999999999999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1834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/stypes="app*4053*20171203*" /stext=" 05:.+((SYSTEM_STATE.+slice.+state.+changed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49"/>
        <v>"%USERPROFILE%\Documents\GitHub\eaglep3\Utilities\RefineRTDCRunTimes.py" --tripid 1834-02 --locoid 4053 --swversion DE.1.0.9.0 --startMP 300:58643 --initTime 2017-12-02T22:25:17 --startdatetime 2017-12-02T22:43:05 --delay 72 --endMP 204:148 --enddatetime 2017-12-02T22:54:48 --enforcementcount 0 &gt;&gt;%USERPROFILE%\Documents\GitHub\eaglep3-reporting\EC\2017-12-02-refined-times.txt</v>
      </c>
      <c r="AI196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{"issue":{"subject":"","project_id":79,"tracker_id":40,"status_id":1,"priority_id":2,"assigned_to_id":338,"start_date":"2017-12-02","description":"","custom_fields":[{"id":1,"name":"Subdivision","value":"NW"},{"id":4,"name":"Milepost","value":"0.0148"},{"id":17,"name":"Train ID","value":"1834-02"},{"id":16,"name":"Locomotive ID","value":"4053"},{"id":130,"name":"Impact","value":""},{"id":150,"name":"Time of Event (Mountain Time)","value":"22:54:48"},{"id":151,"name":"Denver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51"/>
        <v>start /low /b %USERPROFILE%\Documents\GitHub\eaglep3\Utilities\DownloadLogsFromS3.py --loco 4053 --day 2017-12-02</v>
      </c>
      <c r="AN196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53"/>
        <v>https://d0f6bd738d7f1b3e5a7ca70fe4ff75f0.us-east-1.aws.found.io/app/kibana#/discover/Steve-Slow-Train-Analysis-(2080s-and-2083s)?_g=(refreshInterval:(display:Off,pause:!f,section:0,value:0),time:(from:'2017-12-02T21:25:17-0700',mode:absolute,to:'2017-12-02T23:54:48-0700'))&amp;_a=(columns:!('Message%20ID',Summary),filters:!(),index:'emp_*',interval:auto,query:(query_string:(analyze_wildcard:!t,query:'%22rtdc.l.rtdc.4053%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865</v>
      </c>
      <c r="B197" s="225">
        <v>4054</v>
      </c>
      <c r="C197" s="227" t="s">
        <v>192</v>
      </c>
      <c r="D197" s="227" t="s">
        <v>1001</v>
      </c>
      <c r="E197" s="226">
        <v>43071.957048611112</v>
      </c>
      <c r="F197" s="226">
        <v>43071.964826388888</v>
      </c>
      <c r="G197" s="225">
        <v>77</v>
      </c>
      <c r="H197" s="227" t="s">
        <v>1002</v>
      </c>
      <c r="I197" s="226">
        <v>43071.97457175926</v>
      </c>
      <c r="J197" s="225">
        <v>0</v>
      </c>
      <c r="K197" s="237" t="str">
        <f>IF(ISEVEN(B197),(B197-1)&amp;"/"&amp;B197,B197&amp;"/"&amp;(B197+1))</f>
        <v>4053/4054</v>
      </c>
      <c r="L197" s="245" t="str">
        <f>VLOOKUP(A197,'Trips&amp;Operators'!$C$1:$G$99911,5,FALSE)</f>
        <v>SMITH MICHAEL</v>
      </c>
      <c r="M197" s="224">
        <f>I197-F197</f>
        <v>9.7453703710925765E-3</v>
      </c>
      <c r="N197" s="225">
        <f>24*60*SUM($M197:$M197)</f>
        <v>14.03333333437331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-02T21:58:09-0700',mode:absolute,to:'2017-12-03T00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4.5100000000000001E-2</v>
      </c>
      <c r="Z197" s="247">
        <f>RIGHT(H197,LEN(H197)-4)/10000</f>
        <v>5.8963000000000001</v>
      </c>
      <c r="AA197" s="247">
        <f>ABS(Z197-Y197)</f>
        <v>5.8512000000000004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1835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/stypes="app*4054*20171203*" /stext=" 06:.+((SYSTEM_STATE.+slice.+state.+changed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49"/>
        <v>"%USERPROFILE%\Documents\GitHub\eaglep3\Utilities\RefineRTDCRunTimes.py" --tripid 1835-02 --locoid 4054 --swversion DE.1.0.9.0 --startMP 204:451 --initTime 2017-12-02T22:58:09 --startdatetime 2017-12-02T23:09:21 --delay 77 --endMP 300:58963 --enddatetime 2017-12-02T23:23:23 --enforcementcount 0 &gt;&gt;%USERPROFILE%\Documents\GitHub\eaglep3-reporting\EC\2017-12-02-refined-times.txt</v>
      </c>
      <c r="AI197" s="238" t="str">
        <f t="shared" si="50"/>
        <v>echo {"issue":{"subject":"","project_id":79,"tracker_id":40,"status_id":1,"priority_id":2,"assigned_to_id":338,"start_date":"2017-12-02","description":"","custom_fields":[{"id":1,"name":"Subdivision","value":"NW"},{"id":4,"name":"Milepost","value":"5.8963"},{"id":17,"name":"Train ID","value":"1835-02"},{"id":16,"name":"Locomotive ID","value":"4054"},{"id":130,"name":"Impact","value":""},{"id":150,"name":"Time of Event (Mountain Time)","value":"23:23:23"},{"id":151,"name":"Denver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51"/>
        <v>start /low /b %USERPROFILE%\Documents\GitHub\eaglep3\Utilities\DownloadLogsFromS3.py --loco 4054 --day 2017-12-02</v>
      </c>
      <c r="AN197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53"/>
        <v>https://d0f6bd738d7f1b3e5a7ca70fe4ff75f0.us-east-1.aws.found.io/app/kibana#/discover/Steve-Slow-Train-Analysis-(2080s-and-2083s)?_g=(refreshInterval:(display:Off,pause:!f,section:0,value:0),time:(from:'2017-12-02T21:58:09-0700',mode:absolute,to:'2017-12-03T00:23:23-0700'))&amp;_a=(columns:!('Message%20ID',Summary),filters:!(),index:'emp_*',interval:auto,query:(query_string:(analyze_wildcard:!t,query:'%22rtdc.l.rtdc.4054%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835</v>
      </c>
      <c r="B198" s="225">
        <v>4032</v>
      </c>
      <c r="C198" s="227" t="s">
        <v>192</v>
      </c>
      <c r="D198" s="227" t="s">
        <v>633</v>
      </c>
      <c r="E198" s="226">
        <v>43071.775949074072</v>
      </c>
      <c r="F198" s="226">
        <v>43071.77715277778</v>
      </c>
      <c r="G198" s="225">
        <v>53</v>
      </c>
      <c r="H198" s="227" t="s">
        <v>1039</v>
      </c>
      <c r="I198" s="226">
        <v>43071.783888888887</v>
      </c>
      <c r="J198" s="225">
        <v>0</v>
      </c>
      <c r="K198" s="237" t="str">
        <f>IF(ISEVEN(B198),(B198-1)&amp;"/"&amp;B198,B198&amp;"/"&amp;(B198+1))</f>
        <v>4031/4032</v>
      </c>
      <c r="L198" s="245" t="str">
        <f>VLOOKUP(A198,'Trips&amp;Operators'!$C$1:$G$99911,5,FALSE)</f>
        <v>GUZMAN DANNY</v>
      </c>
      <c r="M198" s="224">
        <f>I198-F198</f>
        <v>6.7361111068748869E-3</v>
      </c>
      <c r="N198" s="225">
        <f>24*60*SUM($M198:$M198)</f>
        <v>9.6999999938998371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-02T17:37:22-0700',mode:absolute,to:'2017-12-02T19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-1534</v>
      </c>
      <c r="Y198" s="247">
        <f>RIGHT(D198,LEN(D198)-4)/10000</f>
        <v>6.0100000000000001E-2</v>
      </c>
      <c r="Z198" s="247">
        <f>RIGHT(H198,LEN(H198)-4)/10000</f>
        <v>2.3300999999999998</v>
      </c>
      <c r="AA198" s="247">
        <f>ABS(Z198-Y198)</f>
        <v>2.27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301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/stypes="app*4032*20171203*" /stext=" 01:.+((SYSTEM_STATE.+slice.+state.+changed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49"/>
        <v>"%USERPROFILE%\Documents\GitHub\eaglep3\Utilities\RefineRTDCRunTimes.py" --tripid 301-02 --locoid 4032 --swversion DE.1.0.9.0 --startMP 204:601 --initTime 2017-12-02T18:37:22 --startdatetime 2017-12-02T18:39:06 --delay 53 --endMP 300:23301 --enddatetime 2017-12-02T18:48:48 --enforcementcount 0 &gt;&gt;%USERPROFILE%\Documents\GitHub\eaglep3-reporting\EC\2017-12-02-refined-times.txt</v>
      </c>
      <c r="AI198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{"issue":{"subject":"","project_id":79,"tracker_id":40,"status_id":1,"priority_id":2,"assigned_to_id":338,"start_date":"2017-12-02","description":"","custom_fields":[{"id":1,"name":"Subdivision","value":"Other"},{"id":4,"name":"Milepost","value":"2.3301"},{"id":17,"name":"Train ID","value":"301-02"},{"id":16,"name":"Locomotive ID","value":"4032"},{"id":130,"name":"Impact","value":""},{"id":150,"name":"Time of Event (Mountain Time)","value":"18:48:48"},{"id":151,"name":"Denver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51"/>
        <v>start /low /b %USERPROFILE%\Documents\GitHub\eaglep3\Utilities\DownloadLogsFromS3.py --loco 4032 --day 2017-12-02</v>
      </c>
      <c r="AN198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01:48:48"},{"id":29,"name":"Sharepoint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53"/>
        <v>https://d0f6bd738d7f1b3e5a7ca70fe4ff75f0.us-east-1.aws.found.io/app/kibana#/discover/Steve-Slow-Train-Analysis-(2080s-and-2083s)?_g=(refreshInterval:(display:Off,pause:!f,section:0,value:0),time:(from:'2017-12-02T17:37:22-0700',mode:absolute,to:'2017-12-02T19:48:48-0700'))&amp;_a=(columns:!('Message%20ID',Summary),filters:!(),index:'emp_*',interval:auto,query:(query_string:(analyze_wildcard:!t,query:'%22rtdc.l.rtdc.4032%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680</v>
      </c>
      <c r="B199" s="225">
        <v>4033</v>
      </c>
      <c r="C199" s="227" t="s">
        <v>192</v>
      </c>
      <c r="D199" s="227" t="s">
        <v>1040</v>
      </c>
      <c r="E199" s="226">
        <v>43071.135057870371</v>
      </c>
      <c r="F199" s="226">
        <v>43071.156423611108</v>
      </c>
      <c r="G199" s="225">
        <v>221</v>
      </c>
      <c r="H199" s="227" t="s">
        <v>615</v>
      </c>
      <c r="I199" s="226">
        <v>43071.18074074074</v>
      </c>
      <c r="J199" s="225">
        <v>0</v>
      </c>
      <c r="K199" s="237" t="str">
        <f>IF(ISEVEN(B199),(B199-1)&amp;"/"&amp;B199,B199&amp;"/"&amp;(B199+1))</f>
        <v>4033/4034</v>
      </c>
      <c r="L199" s="245" t="str">
        <f>VLOOKUP(A199,'Trips&amp;Operators'!$C$1:$G$99911,5,FALSE)</f>
        <v>MAELZER KURT</v>
      </c>
      <c r="M199" s="224">
        <f>I199-F199</f>
        <v>2.4317129631526768E-2</v>
      </c>
      <c r="N199" s="225">
        <f>24*60*SUM($M199:$M199)</f>
        <v>35.016666669398546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-02T02:14:29-0700',mode:absolute,to:'2017-12-02T05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1.9630000000000001</v>
      </c>
      <c r="Z199" s="247">
        <f>RIGHT(H199,LEN(H199)-4)/10000</f>
        <v>1.8499999999999999E-2</v>
      </c>
      <c r="AA199" s="247">
        <f>ABS(Z199-Y199)</f>
        <v>1.9445000000000001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302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/stypes="app*4033*20171202*" /stext=" 11:.+((SYSTEM_STATE.+slice.+state.+changed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49"/>
        <v>"%USERPROFILE%\Documents\GitHub\eaglep3\Utilities\RefineRTDCRunTimes.py" --tripid 302-02 --locoid 4033 --swversion DE.1.0.9.0 --startMP 300:19630 --initTime 2017-12-02T03:14:29 --startdatetime 2017-12-02T03:45:15 --delay 221 --endMP 204:185 --enddatetime 2017-12-02T04:20:16 --enforcementcount 0 &gt;&gt;%USERPROFILE%\Documents\GitHub\eaglep3-reporting\EC\2017-12-02-refined-times.txt</v>
      </c>
      <c r="AI199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{"issue":{"subject":"","project_id":79,"tracker_id":40,"status_id":1,"priority_id":2,"assigned_to_id":338,"start_date":"2017-12-02","description":"","custom_fields":[{"id":1,"name":"Subdivision","value":"Other"},{"id":4,"name":"Milepost","value":"0.0185"},{"id":17,"name":"Train ID","value":"302-02"},{"id":16,"name":"Locomotive ID","value":"4033"},{"id":130,"name":"Impact","value":""},{"id":150,"name":"Time of Event (Mountain Time)","value":"04:20:16"},{"id":151,"name":"Denver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51"/>
        <v>start /low /b %USERPROFILE%\Documents\GitHub\eaglep3\Utilities\DownloadLogsFromS3.py --loco 4033 --day 2017-12-02</v>
      </c>
      <c r="AN199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53"/>
        <v>https://d0f6bd738d7f1b3e5a7ca70fe4ff75f0.us-east-1.aws.found.io/app/kibana#/discover/Steve-Slow-Train-Analysis-(2080s-and-2083s)?_g=(refreshInterval:(display:Off,pause:!f,section:0,value:0),time:(from:'2017-12-02T02:14:29-0700',mode:absolute,to:'2017-12-02T05:20:16-0700'))&amp;_a=(columns:!('Message%20ID',Summary),filters:!(),index:'emp_*',interval:auto,query:(query_string:(analyze_wildcard:!t,query:'%22rtdc.l.rtdc.4033%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840</v>
      </c>
      <c r="B200" s="225">
        <v>4056</v>
      </c>
      <c r="C200" s="227" t="s">
        <v>192</v>
      </c>
      <c r="D200" s="227" t="s">
        <v>1041</v>
      </c>
      <c r="E200" s="226">
        <v>43071.797939814816</v>
      </c>
      <c r="F200" s="226">
        <v>43071.799479166664</v>
      </c>
      <c r="G200" s="225">
        <v>83</v>
      </c>
      <c r="H200" s="227" t="s">
        <v>558</v>
      </c>
      <c r="I200" s="226">
        <v>43071.805995370371</v>
      </c>
      <c r="J200" s="225">
        <v>0</v>
      </c>
      <c r="K200" s="237" t="str">
        <f>IF(ISEVEN(B200),(B200-1)&amp;"/"&amp;B200,B200&amp;"/"&amp;(B200+1))</f>
        <v>4055/4056</v>
      </c>
      <c r="L200" s="245" t="str">
        <f>VLOOKUP(A200,'Trips&amp;Operators'!$C$1:$G$99911,5,FALSE)</f>
        <v>BERLING GARY</v>
      </c>
      <c r="M200" s="224">
        <f>I200-F200</f>
        <v>6.5162037062691525E-3</v>
      </c>
      <c r="N200" s="225">
        <f>24*60*SUM($M200:$M200)</f>
        <v>9.3833333370275795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-02T18:09:02-0700',mode:absolute,to:'2017-12-02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5.2600000000000001E-2</v>
      </c>
      <c r="Z200" s="247">
        <f>RIGHT(H200,LEN(H200)-4)/10000</f>
        <v>2.3346</v>
      </c>
      <c r="AA200" s="247">
        <f>ABS(Z200-Y200)</f>
        <v>2.282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303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s3://rtdc.mdm.uploadarchive.raw/RTDC4056/ "%USERPROFILE%\AppData\Local\Temp\OnboardLogs"\RTDC4056\2017-12-02 --exclude "*" --recursive --include "*20171202*" &amp; "%USERPROFILE%\Documents\GitHub\mrs-test-scripts\Headless Mode &amp; Sideloading\WalkAndUnGZ.bat" "%USERPROFILE%\AppData\Local\Temp\OnboardLogs"\RTDC4056\2017-12-02 &amp; aws s3 cp s3://rtdc.mdm.uploadarchive.raw/RTDC4056/ "%USERPROFILE%\AppData\Local\Temp\OnboardLogs"\RTDC4056\2017-12-03 --exclude "*" --recursive --include "*20171203*" &amp; "%USERPROFILE%\Documents\GitHub\mrs-test-scripts\Headless Mode &amp; Sideloading\WalkAndUnGZ.bat" "%USERPROFILE%\AppData\Local\Temp\OnboardLogs"\RTDC4056\2017-12-03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/stypes="app*4056*20171203*"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49"/>
        <v>"%USERPROFILE%\Documents\GitHub\eaglep3\Utilities\RefineRTDCRunTimes.py" --tripid 303-02 --locoid 4056 --swversion DE.1.0.9.0 --startMP 204:526 --initTime 2017-12-02T19:09:02 --startdatetime 2017-12-02T19:11:15 --delay 83 --endMP 300:23346 --enddatetime 2017-12-02T19:20:38 --enforcementcount 0 &gt;&gt;%USERPROFILE%\Documents\GitHub\eaglep3-reporting\EC\2017-12-02-refined-times.txt</v>
      </c>
      <c r="AI200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{"issue":{"subject":"","project_id":79,"tracker_id":40,"status_id":1,"priority_id":2,"assigned_to_id":338,"start_date":"2017-12-02","description":"","custom_fields":[{"id":1,"name":"Subdivision","value":"Other"},{"id":4,"name":"Milepost","value":"2.3346"},{"id":17,"name":"Train ID","value":"303-02"},{"id":16,"name":"Locomotive ID","value":"4056"},{"id":130,"name":"Impact","value":""},{"id":150,"name":"Time of Event (Mountain Time)","value":"19:20:38"},{"id":151,"name":"Denver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51"/>
        <v>start /low /b %USERPROFILE%\Documents\GitHub\eaglep3\Utilities\DownloadLogsFromS3.py --loco 4056 --day 2017-12-02</v>
      </c>
      <c r="AN200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53"/>
        <v>https://d0f6bd738d7f1b3e5a7ca70fe4ff75f0.us-east-1.aws.found.io/app/kibana#/discover/Steve-Slow-Train-Analysis-(2080s-and-2083s)?_g=(refreshInterval:(display:Off,pause:!f,section:0,value:0),time:(from:'2017-12-02T18:09:02-0700',mode:absolute,to:'2017-12-02T20:20:38-0700'))&amp;_a=(columns:!('Message%20ID',Summary),filters:!(),index:'emp_*',interval:auto,query:(query_string:(analyze_wildcard:!t,query:'%22rtdc.l.rtdc.4056%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683</v>
      </c>
      <c r="B201" s="225">
        <v>4029</v>
      </c>
      <c r="C201" s="227" t="s">
        <v>192</v>
      </c>
      <c r="D201" s="227" t="s">
        <v>1042</v>
      </c>
      <c r="E201" s="226">
        <v>43071.156435185185</v>
      </c>
      <c r="F201" s="226">
        <v>43071.159791666665</v>
      </c>
      <c r="G201" s="225">
        <v>75</v>
      </c>
      <c r="H201" s="227" t="s">
        <v>934</v>
      </c>
      <c r="I201" s="226">
        <v>43071.165023148147</v>
      </c>
      <c r="J201" s="225">
        <v>0</v>
      </c>
      <c r="K201" s="237" t="str">
        <f>IF(ISEVEN(B201),(B201-1)&amp;"/"&amp;B201,B201&amp;"/"&amp;(B201+1))</f>
        <v>4029/4030</v>
      </c>
      <c r="L201" s="245" t="str">
        <f>VLOOKUP(A201,'Trips&amp;Operators'!$C$1:$G$99911,5,FALSE)</f>
        <v>LOPES KIMBERLY</v>
      </c>
      <c r="M201" s="224">
        <f>I201-F201</f>
        <v>5.2314814820419997E-3</v>
      </c>
      <c r="N201" s="225">
        <f>24*60*SUM($M201:$M201)</f>
        <v>7.5333333341404796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-02T02:45:16-0700',mode:absolute,to:'2017-12-02T04:57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2.3344999999999998</v>
      </c>
      <c r="Z201" s="247">
        <f>RIGHT(H201,LEN(H201)-4)/10000</f>
        <v>2.1999999999999999E-2</v>
      </c>
      <c r="AA201" s="247">
        <f>ABS(Z201-Y201)</f>
        <v>2.3125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304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s3://rtdc.mdm.uploadarchive.raw/RTDC4029/ "%USERPROFILE%\AppData\Local\Temp\OnboardLogs"\RTDC4029\2017-12-02 --exclude "*" --recursive --include "*20171202*" &amp; "%USERPROFILE%\Documents\GitHub\mrs-test-scripts\Headless Mode &amp; Sideloading\WalkAndUnGZ.bat" "%USERPROFILE%\AppData\Local\Temp\OnboardLogs"\RTDC4029\2017-12-02 &amp; aws s3 cp s3://rtdc.mdm.uploadarchive.raw/RTDC4029/ "%USERPROFILE%\AppData\Local\Temp\OnboardLogs"\RTDC4029\2017-12-03 --exclude "*" --recursive --include "*20171203*" &amp; "%USERPROFILE%\Documents\GitHub\mrs-test-scripts\Headless Mode &amp; Sideloading\WalkAndUnGZ.bat" "%USERPROFILE%\AppData\Local\Temp\OnboardLogs"\RTDC4029\2017-12-03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/stypes="app*4029*20171202*" /stext=" 10:.+((SYSTEM_STATE.+slice.+state.+changed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49"/>
        <v>"%USERPROFILE%\Documents\GitHub\eaglep3\Utilities\RefineRTDCRunTimes.py" --tripid 304-02 --locoid 4029 --swversion DE.1.0.9.0 --startMP 300:23345 --initTime 2017-12-02T03:45:16 --startdatetime 2017-12-02T03:50:06 --delay 75 --endMP 204:220 --enddatetime 2017-12-02T03:57:38 --enforcementcount 0 &gt;&gt;%USERPROFILE%\Documents\GitHub\eaglep3-reporting\EC\2017-12-02-refined-times.txt</v>
      </c>
      <c r="AI201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{"issue":{"subject":"","project_id":79,"tracker_id":40,"status_id":1,"priority_id":2,"assigned_to_id":338,"start_date":"2017-12-02","description":"","custom_fields":[{"id":1,"name":"Subdivision","value":"Other"},{"id":4,"name":"Milepost","value":"0.022"},{"id":17,"name":"Train ID","value":"304-02"},{"id":16,"name":"Locomotive ID","value":"4029"},{"id":130,"name":"Impact","value":""},{"id":150,"name":"Time of Event (Mountain Time)","value":"03:57:38"},{"id":151,"name":"Denver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51"/>
        <v>start /low /b %USERPROFILE%\Documents\GitHub\eaglep3\Utilities\DownloadLogsFromS3.py --loco 4029 --day 2017-12-02</v>
      </c>
      <c r="AN201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53"/>
        <v>https://d0f6bd738d7f1b3e5a7ca70fe4ff75f0.us-east-1.aws.found.io/app/kibana#/discover/Steve-Slow-Train-Analysis-(2080s-and-2083s)?_g=(refreshInterval:(display:Off,pause:!f,section:0,value:0),time:(from:'2017-12-02T02:45:16-0700',mode:absolute,to:'2017-12-02T04:57:38-0700'))&amp;_a=(columns:!('Message%20ID',Summary),filters:!(),index:'emp_*',interval:auto,query:(query_string:(analyze_wildcard:!t,query:'%22rtdc.l.rtdc.4029%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844</v>
      </c>
      <c r="B202" s="225">
        <v>4034</v>
      </c>
      <c r="C202" s="227" t="s">
        <v>192</v>
      </c>
      <c r="D202" s="227" t="s">
        <v>492</v>
      </c>
      <c r="E202" s="226">
        <v>43071.816400462965</v>
      </c>
      <c r="F202" s="226">
        <v>43071.81790509259</v>
      </c>
      <c r="G202" s="225">
        <v>62</v>
      </c>
      <c r="H202" s="227" t="s">
        <v>1043</v>
      </c>
      <c r="I202" s="226">
        <v>43071.823842592596</v>
      </c>
      <c r="J202" s="225">
        <v>0</v>
      </c>
      <c r="K202" s="237" t="str">
        <f>IF(ISEVEN(B202),(B202-1)&amp;"/"&amp;B202,B202&amp;"/"&amp;(B202+1))</f>
        <v>4033/4034</v>
      </c>
      <c r="L202" s="245" t="str">
        <f>VLOOKUP(A202,'Trips&amp;Operators'!$C$1:$G$99911,5,FALSE)</f>
        <v>HOLCOMB KAMDEN</v>
      </c>
      <c r="M202" s="224">
        <f>I202-F202</f>
        <v>5.9375000055297278E-3</v>
      </c>
      <c r="N202" s="225">
        <f>24*60*SUM($M202:$M202)</f>
        <v>8.550000007962808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-02T18:35:37-0700',mode:absolute,to:'2017-12-02T20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5.1499999999999997E-2</v>
      </c>
      <c r="Z202" s="247">
        <f>RIGHT(H202,LEN(H202)-4)/10000</f>
        <v>2.331</v>
      </c>
      <c r="AA202" s="247">
        <f>ABS(Z202-Y202)</f>
        <v>2.2795000000000001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305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/stypes="app*4034*20171203*" /stext=" 02:.+((SYSTEM_STATE.+slice.+state.+changed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49"/>
        <v>"%USERPROFILE%\Documents\GitHub\eaglep3\Utilities\RefineRTDCRunTimes.py" --tripid 305-02 --locoid 4034 --swversion DE.1.0.9.0 --startMP 204:515 --initTime 2017-12-02T19:35:37 --startdatetime 2017-12-02T19:37:47 --delay 62 --endMP 300:23310 --enddatetime 2017-12-02T19:46:20 --enforcementcount 0 &gt;&gt;%USERPROFILE%\Documents\GitHub\eaglep3-reporting\EC\2017-12-02-refined-times.txt</v>
      </c>
      <c r="AI202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{"issue":{"subject":"","project_id":79,"tracker_id":40,"status_id":1,"priority_id":2,"assigned_to_id":338,"start_date":"2017-12-02","description":"","custom_fields":[{"id":1,"name":"Subdivision","value":"Other"},{"id":4,"name":"Milepost","value":"2.331"},{"id":17,"name":"Train ID","value":"305-02"},{"id":16,"name":"Locomotive ID","value":"4034"},{"id":130,"name":"Impact","value":""},{"id":150,"name":"Time of Event (Mountain Time)","value":"19:46:20"},{"id":151,"name":"Denver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51"/>
        <v>start /low /b %USERPROFILE%\Documents\GitHub\eaglep3\Utilities\DownloadLogsFromS3.py --loco 4034 --day 2017-12-02</v>
      </c>
      <c r="AN202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02:46:20"},{"id":29,"name":"Sharepoint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53"/>
        <v>https://d0f6bd738d7f1b3e5a7ca70fe4ff75f0.us-east-1.aws.found.io/app/kibana#/discover/Steve-Slow-Train-Analysis-(2080s-and-2083s)?_g=(refreshInterval:(display:Off,pause:!f,section:0,value:0),time:(from:'2017-12-02T18:35:37-0700',mode:absolute,to:'2017-12-02T20:46:20-0700'))&amp;_a=(columns:!('Message%20ID',Summary),filters:!(),index:'emp_*',interval:auto,query:(query_string:(analyze_wildcard:!t,query:'%22rtdc.l.rtdc.4034%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685</v>
      </c>
      <c r="B203" s="225">
        <v>4021</v>
      </c>
      <c r="C203" s="227" t="s">
        <v>192</v>
      </c>
      <c r="D203" s="227" t="s">
        <v>1044</v>
      </c>
      <c r="E203" s="226">
        <v>43071.170983796299</v>
      </c>
      <c r="F203" s="226">
        <v>43071.176111111112</v>
      </c>
      <c r="G203" s="225">
        <v>60</v>
      </c>
      <c r="H203" s="227" t="s">
        <v>480</v>
      </c>
      <c r="I203" s="226">
        <v>43071.181574074071</v>
      </c>
      <c r="J203" s="225">
        <v>0</v>
      </c>
      <c r="K203" s="237" t="str">
        <f>IF(ISEVEN(B203),(B203-1)&amp;"/"&amp;B203,B203&amp;"/"&amp;(B203+1))</f>
        <v>4021/4022</v>
      </c>
      <c r="L203" s="245" t="str">
        <f>VLOOKUP(A203,'Trips&amp;Operators'!$C$1:$G$99911,5,FALSE)</f>
        <v>GEBRETEKLE DAGNEW</v>
      </c>
      <c r="M203" s="224">
        <f>I203-F203</f>
        <v>5.4629629594273865E-3</v>
      </c>
      <c r="N203" s="225">
        <f>24*60*SUM($M203:$M203)</f>
        <v>7.8666666615754366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-02T03:06:13-0700',mode:absolute,to:'2017-12-02T05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2.3487</v>
      </c>
      <c r="Z203" s="247">
        <f>RIGHT(H203,LEN(H203)-4)/10000</f>
        <v>1.9599999999999999E-2</v>
      </c>
      <c r="AA203" s="247">
        <f>ABS(Z203-Y203)</f>
        <v>2.3290999999999999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306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/stypes="app*4021*20171202*" /stext=" 11:.+((SYSTEM_STATE.+slice.+state.+changed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49"/>
        <v>"%USERPROFILE%\Documents\GitHub\eaglep3\Utilities\RefineRTDCRunTimes.py" --tripid 306-02 --locoid 4021 --swversion DE.1.0.9.0 --startMP 300:23487 --initTime 2017-12-02T04:06:13 --startdatetime 2017-12-02T04:13:36 --delay 60 --endMP 204:196 --enddatetime 2017-12-02T04:21:28 --enforcementcount 0 &gt;&gt;%USERPROFILE%\Documents\GitHub\eaglep3-reporting\EC\2017-12-02-refined-times.txt</v>
      </c>
      <c r="AI203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{"issue":{"subject":"","project_id":79,"tracker_id":40,"status_id":1,"priority_id":2,"assigned_to_id":338,"start_date":"2017-12-02","description":"","custom_fields":[{"id":1,"name":"Subdivision","value":"Other"},{"id":4,"name":"Milepost","value":"0.0196"},{"id":17,"name":"Train ID","value":"306-02"},{"id":16,"name":"Locomotive ID","value":"4021"},{"id":130,"name":"Impact","value":""},{"id":150,"name":"Time of Event (Mountain Time)","value":"04:21:28"},{"id":151,"name":"Denver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51"/>
        <v>start /low /b %USERPROFILE%\Documents\GitHub\eaglep3\Utilities\DownloadLogsFromS3.py --loco 4021 --day 2017-12-02</v>
      </c>
      <c r="AN203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53"/>
        <v>https://d0f6bd738d7f1b3e5a7ca70fe4ff75f0.us-east-1.aws.found.io/app/kibana#/discover/Steve-Slow-Train-Analysis-(2080s-and-2083s)?_g=(refreshInterval:(display:Off,pause:!f,section:0,value:0),time:(from:'2017-12-02T03:06:13-0700',mode:absolute,to:'2017-12-02T05:21:28-0700'))&amp;_a=(columns:!('Message%20ID',Summary),filters:!(),index:'emp_*',interval:auto,query:(query_string:(analyze_wildcard:!t,query:'%22rtdc.l.rtdc.4021%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875</v>
      </c>
      <c r="B204" s="225">
        <v>4058</v>
      </c>
      <c r="C204" s="227" t="s">
        <v>192</v>
      </c>
      <c r="D204" s="227" t="s">
        <v>449</v>
      </c>
      <c r="E204" s="226">
        <v>43072.046064814815</v>
      </c>
      <c r="F204" s="226">
        <v>43072.047500000001</v>
      </c>
      <c r="G204" s="225">
        <v>54</v>
      </c>
      <c r="H204" s="227" t="s">
        <v>558</v>
      </c>
      <c r="I204" s="226">
        <v>43072.054652777777</v>
      </c>
      <c r="J204" s="225">
        <v>0</v>
      </c>
      <c r="K204" s="237" t="str">
        <f>IF(ISEVEN(B204),(B204-1)&amp;"/"&amp;B204,B204&amp;"/"&amp;(B204+1))</f>
        <v>4057/4058</v>
      </c>
      <c r="L204" s="245" t="str">
        <f>VLOOKUP(A204,'Trips&amp;Operators'!$C$1:$G$99911,5,FALSE)</f>
        <v>FORTUNATO FRANK</v>
      </c>
      <c r="M204" s="224">
        <f>I204-F204</f>
        <v>7.1527777763549238E-3</v>
      </c>
      <c r="N204" s="225">
        <f>24*60*SUM($M204:$M204)</f>
        <v>10.29999999795109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-03T00:06:20-0700',mode:absolute,to:'2017-12-03T02:18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5.28E-2</v>
      </c>
      <c r="Z204" s="247">
        <f>RIGHT(H204,LEN(H204)-4)/10000</f>
        <v>2.3346</v>
      </c>
      <c r="AA204" s="247">
        <f>ABS(Z204-Y204)</f>
        <v>2.2818000000000001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307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 &amp; aws s3 cp s3://rtdc.mdm.uploadarchive.raw/RTDC4058/ "%USERPROFILE%\AppData\Local\Temp\OnboardLogs"\RTDC4058\2017-12-04 --exclude "*" --recursive --include "*20171204*" &amp; "%USERPROFILE%\Documents\GitHub\mrs-test-scripts\Headless Mode &amp; Sideloading\WalkAndUnGZ.bat" "%USERPROFILE%\AppData\Local\Temp\OnboardLogs"\RTDC4058\2017-12-04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/stypes="app*4058*20171203*" /stext=" 08:.+((SYSTEM_STATE.+slice.+state.+changed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49"/>
        <v>"%USERPROFILE%\Documents\GitHub\eaglep3\Utilities\RefineRTDCRunTimes.py" --tripid 307-02 --locoid 4058 --swversion DE.1.0.9.0 --startMP 204:528 --initTime 2017-12-03T01:06:20 --startdatetime 2017-12-03T01:08:24 --delay 54 --endMP 300:23346 --enddatetime 2017-12-03T01:18:42 --enforcementcount 0 &gt;&gt;%USERPROFILE%\Documents\GitHub\eaglep3-reporting\EC\2017-12-02-refined-times.txt</v>
      </c>
      <c r="AI204" s="238" t="str">
        <f t="shared" si="50"/>
        <v>echo {"issue":{"subject":"","project_id":79,"tracker_id":40,"status_id":1,"priority_id":2,"assigned_to_id":338,"start_date":"2017-12-03","description":"","custom_fields":[{"id":1,"name":"Subdivision","value":"Other"},{"id":4,"name":"Milepost","value":"2.3346"},{"id":17,"name":"Train ID","value":"307-02"},{"id":16,"name":"Locomotive ID","value":"4058"},{"id":130,"name":"Impact","value":""},{"id":150,"name":"Time of Event (Mountain Time)","value":"01:18:42"},{"id":151,"name":"Denver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51"/>
        <v>start /low /b %USERPROFILE%\Documents\GitHub\eaglep3\Utilities\DownloadLogsFromS3.py --loco 4058 --day 2017-12-03</v>
      </c>
      <c r="AN204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53"/>
        <v>https://d0f6bd738d7f1b3e5a7ca70fe4ff75f0.us-east-1.aws.found.io/app/kibana#/discover/Steve-Slow-Train-Analysis-(2080s-and-2083s)?_g=(refreshInterval:(display:Off,pause:!f,section:0,value:0),time:(from:'2017-12-03T00:06:20-0700',mode:absolute,to:'2017-12-03T02:18:42-0700'))&amp;_a=(columns:!('Message%20ID',Summary),filters:!(),index:'emp_*',interval:auto,query:(query_string:(analyze_wildcard:!t,query:'%22rtdc.l.rtdc.4058%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688</v>
      </c>
      <c r="B205" s="225">
        <v>4031</v>
      </c>
      <c r="C205" s="227" t="s">
        <v>192</v>
      </c>
      <c r="D205" s="227" t="s">
        <v>1045</v>
      </c>
      <c r="E205" s="226">
        <v>43071.178090277775</v>
      </c>
      <c r="F205" s="226">
        <v>43071.180868055555</v>
      </c>
      <c r="G205" s="225">
        <v>84</v>
      </c>
      <c r="H205" s="227" t="s">
        <v>615</v>
      </c>
      <c r="I205" s="226">
        <v>43071.186574074076</v>
      </c>
      <c r="J205" s="225">
        <v>0</v>
      </c>
      <c r="K205" s="237" t="str">
        <f>IF(ISEVEN(B205),(B205-1)&amp;"/"&amp;B205,B205&amp;"/"&amp;(B205+1))</f>
        <v>4031/4032</v>
      </c>
      <c r="L205" s="245" t="str">
        <f>VLOOKUP(A205,'Trips&amp;Operators'!$C$1:$G$99911,5,FALSE)</f>
        <v>NEWELL JAMES</v>
      </c>
      <c r="M205" s="224">
        <f>I205-F205</f>
        <v>5.7060185208683833E-3</v>
      </c>
      <c r="N205" s="225">
        <f>24*60*SUM($M205:$M205)</f>
        <v>8.216666670050472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-02T03:16:27-0700',mode:absolute,to:'2017-12-02T05:28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2.3123999999999998</v>
      </c>
      <c r="Z205" s="247">
        <f>RIGHT(H205,LEN(H205)-4)/10000</f>
        <v>1.8499999999999999E-2</v>
      </c>
      <c r="AA205" s="247">
        <f>ABS(Z205-Y205)</f>
        <v>2.2938999999999998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308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"%USERPROFILE%\AppData\Local\Temp\OnboardLogs"\RTDC4031\2017-12-02 --exclude "*" --recursive --include "*20171202*" &amp; "%USERPROFILE%\Documents\GitHub\mrs-test-scripts\Headless Mode &amp; Sideloading\WalkAndUnGZ.bat" "%USERPROFILE%\AppData\Local\Temp\OnboardLogs"\RTDC4031\2017-12-02 &amp; aws s3 cp s3://rtdc.mdm.uploadarchive.raw/RTDC4031/ "%USERPROFILE%\AppData\Local\Temp\OnboardLogs"\RTDC4031\2017-12-03 --exclude "*" --recursive --include "*20171203*" &amp; "%USERPROFILE%\Documents\GitHub\mrs-test-scripts\Headless Mode &amp; Sideloading\WalkAndUnGZ.bat" "%USERPROFILE%\AppData\Local\Temp\OnboardLogs"\RTDC4031\2017-12-03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/stypes="app*4031*20171202*" /stext=" 11:.+((SYSTEM_STATE.+slice.+state.+changed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49"/>
        <v>"%USERPROFILE%\Documents\GitHub\eaglep3\Utilities\RefineRTDCRunTimes.py" --tripid 308-02 --locoid 4031 --swversion DE.1.0.9.0 --startMP 300:23124 --initTime 2017-12-02T04:16:27 --startdatetime 2017-12-02T04:20:27 --delay 84 --endMP 204:185 --enddatetime 2017-12-02T04:28:40 --enforcementcount 0 &gt;&gt;%USERPROFILE%\Documents\GitHub\eaglep3-reporting\EC\2017-12-02-refined-times.txt</v>
      </c>
      <c r="AI205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{"issue":{"subject":"","project_id":79,"tracker_id":40,"status_id":1,"priority_id":2,"assigned_to_id":338,"start_date":"2017-12-02","description":"","custom_fields":[{"id":1,"name":"Subdivision","value":"Other"},{"id":4,"name":"Milepost","value":"0.0185"},{"id":17,"name":"Train ID","value":"308-02"},{"id":16,"name":"Locomotive ID","value":"4031"},{"id":130,"name":"Impact","value":""},{"id":150,"name":"Time of Event (Mountain Time)","value":"04:28:40"},{"id":151,"name":"Denver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51"/>
        <v>start /low /b %USERPROFILE%\Documents\GitHub\eaglep3\Utilities\DownloadLogsFromS3.py --loco 4031 --day 2017-12-02</v>
      </c>
      <c r="AN205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11:28:40"},{"id":29,"name":"Sharepoint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53"/>
        <v>https://d0f6bd738d7f1b3e5a7ca70fe4ff75f0.us-east-1.aws.found.io/app/kibana#/discover/Steve-Slow-Train-Analysis-(2080s-and-2083s)?_g=(refreshInterval:(display:Off,pause:!f,section:0,value:0),time:(from:'2017-12-02T03:16:27-0700',mode:absolute,to:'2017-12-02T05:28:40-0700'))&amp;_a=(columns:!('Message%20ID',Summary),filters:!(),index:'emp_*',interval:auto,query:(query_string:(analyze_wildcard:!t,query:'%22rtdc.l.rtdc.4031%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877</v>
      </c>
      <c r="B206" s="225">
        <v>4030</v>
      </c>
      <c r="C206" s="227" t="s">
        <v>192</v>
      </c>
      <c r="D206" s="227" t="s">
        <v>583</v>
      </c>
      <c r="E206" s="226">
        <v>43072.065625000003</v>
      </c>
      <c r="F206" s="226">
        <v>43072.067060185182</v>
      </c>
      <c r="G206" s="225">
        <v>61</v>
      </c>
      <c r="H206" s="227" t="s">
        <v>1046</v>
      </c>
      <c r="I206" s="226">
        <v>43072.075173611112</v>
      </c>
      <c r="J206" s="225">
        <v>0</v>
      </c>
      <c r="K206" s="237" t="str">
        <f>IF(ISEVEN(B206),(B206-1)&amp;"/"&amp;B206,B206&amp;"/"&amp;(B206+1))</f>
        <v>4029/4030</v>
      </c>
      <c r="L206" s="245" t="str">
        <f>VLOOKUP(A206,'Trips&amp;Operators'!$C$1:$G$99911,5,FALSE)</f>
        <v>ELBAUM MIKE</v>
      </c>
      <c r="M206" s="224">
        <f>I206-F206</f>
        <v>8.1134259307873435E-3</v>
      </c>
      <c r="N206" s="225">
        <f>24*60*SUM($M206:$M206)</f>
        <v>11.683333340333775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-03T00:34:30-0700',mode:absolute,to:'2017-12-03T02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5.57E-2</v>
      </c>
      <c r="Z206" s="247">
        <f>RIGHT(H206,LEN(H206)-4)/10000</f>
        <v>2.3304</v>
      </c>
      <c r="AA206" s="247">
        <f>ABS(Z206-Y206)</f>
        <v>2.2747000000000002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309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s3://rtdc.mdm.uploadarchive.raw/RTDC4030/ "%USERPROFILE%\AppData\Local\Temp\OnboardLogs"\RTDC4030\2017-12-03 --exclude "*" --recursive --include "*20171203*" &amp; "%USERPROFILE%\Documents\GitHub\mrs-test-scripts\Headless Mode &amp; Sideloading\WalkAndUnGZ.bat" "%USERPROFILE%\AppData\Local\Temp\OnboardLogs"\RTDC4030\2017-12-03 &amp; aws s3 cp s3://rtdc.mdm.uploadarchive.raw/RTDC4030/ "%USERPROFILE%\AppData\Local\Temp\OnboardLogs"\RTDC4030\2017-12-04 --exclude "*" --recursive --include "*20171204*" &amp; "%USERPROFILE%\Documents\GitHub\mrs-test-scripts\Headless Mode &amp; Sideloading\WalkAndUnGZ.bat" "%USERPROFILE%\AppData\Local\Temp\OnboardLogs"\RTDC4030\2017-12-04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/stypes="app*4030*20171203*" /stext=" 08:.+((SYSTEM_STATE.+slice.+state.+changed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49"/>
        <v>"%USERPROFILE%\Documents\GitHub\eaglep3\Utilities\RefineRTDCRunTimes.py" --tripid 309-02 --locoid 4030 --swversion DE.1.0.9.0 --startMP 204:557 --initTime 2017-12-03T01:34:30 --startdatetime 2017-12-03T01:36:34 --delay 61 --endMP 300:23304 --enddatetime 2017-12-03T01:48:15 --enforcementcount 0 &gt;&gt;%USERPROFILE%\Documents\GitHub\eaglep3-reporting\EC\2017-12-02-refined-times.txt</v>
      </c>
      <c r="AI206" s="238" t="str">
        <f t="shared" si="50"/>
        <v>echo {"issue":{"subject":"","project_id":79,"tracker_id":40,"status_id":1,"priority_id":2,"assigned_to_id":338,"start_date":"2017-12-03","description":"","custom_fields":[{"id":1,"name":"Subdivision","value":"Other"},{"id":4,"name":"Milepost","value":"2.3304"},{"id":17,"name":"Train ID","value":"309-02"},{"id":16,"name":"Locomotive ID","value":"4030"},{"id":130,"name":"Impact","value":""},{"id":150,"name":"Time of Event (Mountain Time)","value":"01:48:15"},{"id":151,"name":"Denver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51"/>
        <v>start /low /b %USERPROFILE%\Documents\GitHub\eaglep3\Utilities\DownloadLogsFromS3.py --loco 4030 --day 2017-12-03</v>
      </c>
      <c r="AN206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08:48:15"},{"id":29,"name":"Sharepoint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53"/>
        <v>https://d0f6bd738d7f1b3e5a7ca70fe4ff75f0.us-east-1.aws.found.io/app/kibana#/discover/Steve-Slow-Train-Analysis-(2080s-and-2083s)?_g=(refreshInterval:(display:Off,pause:!f,section:0,value:0),time:(from:'2017-12-03T00:34:30-0700',mode:absolute,to:'2017-12-03T02:48:15-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693</v>
      </c>
      <c r="B207" s="225">
        <v>4055</v>
      </c>
      <c r="C207" s="227" t="s">
        <v>192</v>
      </c>
      <c r="D207" s="227" t="s">
        <v>1047</v>
      </c>
      <c r="E207" s="226">
        <v>43071.197442129633</v>
      </c>
      <c r="F207" s="226">
        <v>43071.202060185184</v>
      </c>
      <c r="G207" s="225">
        <v>167</v>
      </c>
      <c r="H207" s="227" t="s">
        <v>570</v>
      </c>
      <c r="I207" s="226">
        <v>43071.208877314813</v>
      </c>
      <c r="J207" s="225">
        <v>0</v>
      </c>
      <c r="K207" s="237" t="str">
        <f>IF(ISEVEN(B207),(B207-1)&amp;"/"&amp;B207,B207&amp;"/"&amp;(B207+1))</f>
        <v>4055/4056</v>
      </c>
      <c r="L207" s="245" t="str">
        <f>VLOOKUP(A207,'Trips&amp;Operators'!$C$1:$G$99911,5,FALSE)</f>
        <v>MACDONALD THOMAS</v>
      </c>
      <c r="M207" s="224">
        <f>I207-F207</f>
        <v>6.8171296297805384E-3</v>
      </c>
      <c r="N207" s="225">
        <f>24*60*SUM($M207:$M207)</f>
        <v>9.8166666668839753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-02T03:44:19-0700',mode:absolute,to:'2017-12-02T06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2.3622000000000001</v>
      </c>
      <c r="Z207" s="247">
        <f>RIGHT(H207,LEN(H207)-4)/10000</f>
        <v>1.6899999999999998E-2</v>
      </c>
      <c r="AA207" s="247">
        <f>ABS(Z207-Y207)</f>
        <v>2.3452999999999999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310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/stypes="app*4055*20171202*" /stext=" 12:.+((SYSTEM_STATE.+slice.+state.+changed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49"/>
        <v>"%USERPROFILE%\Documents\GitHub\eaglep3\Utilities\RefineRTDCRunTimes.py" --tripid 310-02 --locoid 4055 --swversion DE.1.0.9.0 --startMP 300:23622 --initTime 2017-12-02T04:44:19 --startdatetime 2017-12-02T04:50:58 --delay 167 --endMP 204:169 --enddatetime 2017-12-02T05:00:47 --enforcementcount 0 &gt;&gt;%USERPROFILE%\Documents\GitHub\eaglep3-reporting\EC\2017-12-02-refined-times.txt</v>
      </c>
      <c r="AI207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{"issue":{"subject":"","project_id":79,"tracker_id":40,"status_id":1,"priority_id":2,"assigned_to_id":338,"start_date":"2017-12-02","description":"","custom_fields":[{"id":1,"name":"Subdivision","value":"Other"},{"id":4,"name":"Milepost","value":"0.0169"},{"id":17,"name":"Train ID","value":"310-02"},{"id":16,"name":"Locomotive ID","value":"4055"},{"id":130,"name":"Impact","value":""},{"id":150,"name":"Time of Event (Mountain Time)","value":"05:00:47"},{"id":151,"name":"Denver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51"/>
        <v>start /low /b %USERPROFILE%\Documents\GitHub\eaglep3\Utilities\DownloadLogsFromS3.py --loco 4055 --day 2017-12-02</v>
      </c>
      <c r="AN207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53"/>
        <v>https://d0f6bd738d7f1b3e5a7ca70fe4ff75f0.us-east-1.aws.found.io/app/kibana#/discover/Steve-Slow-Train-Analysis-(2080s-and-2083s)?_g=(refreshInterval:(display:Off,pause:!f,section:0,value:0),time:(from:'2017-12-02T03:44:19-0700',mode:absolute,to:'2017-12-02T06:00:47-0700'))&amp;_a=(columns:!('Message%20ID',Summary),filters:!(),index:'emp_*',interval:auto,query:(query_string:(analyze_wildcard:!t,query:'%22rtdc.l.rtdc.4055%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879</v>
      </c>
      <c r="B208" s="225">
        <v>4022</v>
      </c>
      <c r="C208" s="227" t="s">
        <v>192</v>
      </c>
      <c r="D208" s="227" t="s">
        <v>1048</v>
      </c>
      <c r="E208" s="226">
        <v>43072.091562499998</v>
      </c>
      <c r="F208" s="226">
        <v>43072.093229166669</v>
      </c>
      <c r="G208" s="225">
        <v>62</v>
      </c>
      <c r="H208" s="227" t="s">
        <v>1039</v>
      </c>
      <c r="I208" s="226">
        <v>43072.103344907409</v>
      </c>
      <c r="J208" s="225">
        <v>0</v>
      </c>
      <c r="K208" s="237" t="str">
        <f>IF(ISEVEN(B208),(B208-1)&amp;"/"&amp;B208,B208&amp;"/"&amp;(B208+1))</f>
        <v>4021/4022</v>
      </c>
      <c r="L208" s="245" t="str">
        <f>VLOOKUP(A208,'Trips&amp;Operators'!$C$1:$G$99911,5,FALSE)</f>
        <v>NICHOLSON WESLEY</v>
      </c>
      <c r="M208" s="224">
        <f>I208-F208</f>
        <v>1.0115740740729962E-2</v>
      </c>
      <c r="N208" s="225">
        <f>24*60*SUM($M208:$M208)</f>
        <v>14.566666666651145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-03T01:11:51-0700',mode:absolute,to:'2017-12-03T03:28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6.08E-2</v>
      </c>
      <c r="Z208" s="247">
        <f>RIGHT(H208,LEN(H208)-4)/10000</f>
        <v>2.3300999999999998</v>
      </c>
      <c r="AA208" s="247">
        <f>ABS(Z208-Y208)</f>
        <v>2.2692999999999999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311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s3://rtdc.mdm.uploadarchive.raw/RTDC4022/ "%USERPROFILE%\AppData\Local\Temp\OnboardLogs"\RTDC4022\2017-12-03 --exclude "*" --recursive --include "*20171203*" &amp; "%USERPROFILE%\Documents\GitHub\mrs-test-scripts\Headless Mode &amp; Sideloading\WalkAndUnGZ.bat" "%USERPROFILE%\AppData\Local\Temp\OnboardLogs"\RTDC4022\2017-12-03 &amp; aws s3 cp s3://rtdc.mdm.uploadarchive.raw/RTDC4022/ "%USERPROFILE%\AppData\Local\Temp\OnboardLogs"\RTDC4022\2017-12-04 --exclude "*" --recursive --include "*20171204*" &amp; "%USERPROFILE%\Documents\GitHub\mrs-test-scripts\Headless Mode &amp; Sideloading\WalkAndUnGZ.bat" "%USERPROFILE%\AppData\Local\Temp\OnboardLogs"\RTDC4022\2017-12-04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/stypes="app*4022*20171203*" /stext=" 09:.+((SYSTEM_STATE.+slice.+state.+changed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49"/>
        <v>"%USERPROFILE%\Documents\GitHub\eaglep3\Utilities\RefineRTDCRunTimes.py" --tripid 311-02 --locoid 4022 --swversion DE.1.0.9.0 --startMP 204:608 --initTime 2017-12-03T02:11:51 --startdatetime 2017-12-03T02:14:15 --delay 62 --endMP 300:23301 --enddatetime 2017-12-03T02:28:49 --enforcementcount 0 &gt;&gt;%USERPROFILE%\Documents\GitHub\eaglep3-reporting\EC\2017-12-02-refined-times.txt</v>
      </c>
      <c r="AI208" s="238" t="str">
        <f t="shared" si="50"/>
        <v>echo {"issue":{"subject":"","project_id":79,"tracker_id":40,"status_id":1,"priority_id":2,"assigned_to_id":338,"start_date":"2017-12-03","description":"","custom_fields":[{"id":1,"name":"Subdivision","value":"Other"},{"id":4,"name":"Milepost","value":"2.3301"},{"id":17,"name":"Train ID","value":"311-02"},{"id":16,"name":"Locomotive ID","value":"4022"},{"id":130,"name":"Impact","value":""},{"id":150,"name":"Time of Event (Mountain Time)","value":"02:28:49"},{"id":151,"name":"Denver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51"/>
        <v>start /low /b %USERPROFILE%\Documents\GitHub\eaglep3\Utilities\DownloadLogsFromS3.py --loco 4022 --day 2017-12-03</v>
      </c>
      <c r="AN208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09:28:49"},{"id":29,"name":"Sharepoint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53"/>
        <v>https://d0f6bd738d7f1b3e5a7ca70fe4ff75f0.us-east-1.aws.found.io/app/kibana#/discover/Steve-Slow-Train-Analysis-(2080s-and-2083s)?_g=(refreshInterval:(display:Off,pause:!f,section:0,value:0),time:(from:'2017-12-03T01:11:51-0700',mode:absolute,to:'2017-12-03T03:28:49-0700'))&amp;_a=(columns:!('Message%20ID',Summary),filters:!(),index:'emp_*',interval:auto,query:(query_string:(analyze_wildcard:!t,query:'%22rtdc.l.rtdc.4022%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699</v>
      </c>
      <c r="B209" s="225">
        <v>4027</v>
      </c>
      <c r="C209" s="227" t="s">
        <v>192</v>
      </c>
      <c r="D209" s="227" t="s">
        <v>1049</v>
      </c>
      <c r="E209" s="226">
        <v>43071.214895833335</v>
      </c>
      <c r="F209" s="226">
        <v>43071.219247685185</v>
      </c>
      <c r="G209" s="225">
        <v>110</v>
      </c>
      <c r="H209" s="227" t="s">
        <v>610</v>
      </c>
      <c r="I209" s="226">
        <v>43071.225474537037</v>
      </c>
      <c r="J209" s="225">
        <v>0</v>
      </c>
      <c r="K209" s="237" t="str">
        <f>IF(ISEVEN(B209),(B209-1)&amp;"/"&amp;B209,B209&amp;"/"&amp;(B209+1))</f>
        <v>4027/4028</v>
      </c>
      <c r="L209" s="245" t="str">
        <f>VLOOKUP(A209,'Trips&amp;Operators'!$C$1:$G$99911,5,FALSE)</f>
        <v>WILLIAMS DONTE</v>
      </c>
      <c r="M209" s="224">
        <f>I209-F209</f>
        <v>6.2268518522614613E-3</v>
      </c>
      <c r="N209" s="225">
        <f>24*60*SUM($M209:$M209)</f>
        <v>8.9666666672565043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-02T04:09:27-0700',mode:absolute,to:'2017-12-02T06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2.3319000000000001</v>
      </c>
      <c r="Z209" s="247">
        <f>RIGHT(H209,LEN(H209)-4)/10000</f>
        <v>2.0899999999999998E-2</v>
      </c>
      <c r="AA209" s="247">
        <f>ABS(Z209-Y209)</f>
        <v>2.3109999999999999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312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s3://rtdc.mdm.uploadarchive.raw/RTDC4027/ "%USERPROFILE%\AppData\Local\Temp\OnboardLogs"\RTDC4027\2017-12-02 --exclude "*" --recursive --include "*20171202*" &amp; "%USERPROFILE%\Documents\GitHub\mrs-test-scripts\Headless Mode &amp; Sideloading\WalkAndUnGZ.bat" "%USERPROFILE%\AppData\Local\Temp\OnboardLogs"\RTDC4027\2017-12-02 &amp; aws s3 cp s3://rtdc.mdm.uploadarchive.raw/RTDC4027/ "%USERPROFILE%\AppData\Local\Temp\OnboardLogs"\RTDC4027\2017-12-03 --exclude "*" --recursive --include "*20171203*" &amp; "%USERPROFILE%\Documents\GitHub\mrs-test-scripts\Headless Mode &amp; Sideloading\WalkAndUnGZ.bat" "%USERPROFILE%\AppData\Local\Temp\OnboardLogs"\RTDC4027\2017-12-03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/stypes="app*4027*20171202*" /stext=" 12:.+((SYSTEM_STATE.+slice.+state.+changed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49"/>
        <v>"%USERPROFILE%\Documents\GitHub\eaglep3\Utilities\RefineRTDCRunTimes.py" --tripid 312-02 --locoid 4027 --swversion DE.1.0.9.0 --startMP 300:23319 --initTime 2017-12-02T05:09:27 --startdatetime 2017-12-02T05:15:43 --delay 110 --endMP 204:209 --enddatetime 2017-12-02T05:24:41 --enforcementcount 0 &gt;&gt;%USERPROFILE%\Documents\GitHub\eaglep3-reporting\EC\2017-12-02-refined-times.txt</v>
      </c>
      <c r="AI209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{"issue":{"subject":"","project_id":79,"tracker_id":40,"status_id":1,"priority_id":2,"assigned_to_id":338,"start_date":"2017-12-02","description":"","custom_fields":[{"id":1,"name":"Subdivision","value":"Other"},{"id":4,"name":"Milepost","value":"0.0209"},{"id":17,"name":"Train ID","value":"312-02"},{"id":16,"name":"Locomotive ID","value":"4027"},{"id":130,"name":"Impact","value":""},{"id":150,"name":"Time of Event (Mountain Time)","value":"05:24:41"},{"id":151,"name":"Denver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51"/>
        <v>start /low /b %USERPROFILE%\Documents\GitHub\eaglep3\Utilities\DownloadLogsFromS3.py --loco 4027 --day 2017-12-02</v>
      </c>
      <c r="AN209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53"/>
        <v>https://d0f6bd738d7f1b3e5a7ca70fe4ff75f0.us-east-1.aws.found.io/app/kibana#/discover/Steve-Slow-Train-Analysis-(2080s-and-2083s)?_g=(refreshInterval:(display:Off,pause:!f,section:0,value:0),time:(from:'2017-12-02T04:09:27-0700',mode:absolute,to:'2017-12-02T06:24:41-0700'))&amp;_a=(columns:!('Message%20ID',Summary),filters:!(),index:'emp_*',interval:auto,query:(query_string:(analyze_wildcard:!t,query:'%22rtdc.l.rtdc.4027%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700</v>
      </c>
      <c r="B210" s="225">
        <v>4054</v>
      </c>
      <c r="C210" s="227" t="s">
        <v>192</v>
      </c>
      <c r="D210" s="227" t="s">
        <v>1006</v>
      </c>
      <c r="E210" s="226">
        <v>43071.224664351852</v>
      </c>
      <c r="F210" s="226">
        <v>43071.230497685188</v>
      </c>
      <c r="G210" s="225">
        <v>74</v>
      </c>
      <c r="H210" s="227" t="s">
        <v>1007</v>
      </c>
      <c r="I210" s="226">
        <v>43071.23542824074</v>
      </c>
      <c r="J210" s="225">
        <v>0</v>
      </c>
      <c r="K210" s="237" t="str">
        <f>IF(ISEVEN(B210),(B210-1)&amp;"/"&amp;B210,B210&amp;"/"&amp;(B210+1))</f>
        <v>4053/4054</v>
      </c>
      <c r="L210" s="245" t="str">
        <f>VLOOKUP(A210,'Trips&amp;Operators'!$C$1:$G$99911,5,FALSE)</f>
        <v>LAMAR NEKESHA</v>
      </c>
      <c r="M210" s="224">
        <f>I210-F210</f>
        <v>4.9305555512546562E-3</v>
      </c>
      <c r="N210" s="225">
        <f>24*60*SUM($M210:$M210)</f>
        <v>7.0999999938067049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-02T04:23:31-0700',mode:absolute,to:'2017-12-02T06:39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1589</v>
      </c>
      <c r="Y210" s="247">
        <f>RIGHT(D210,LEN(D210)-4)/10000</f>
        <v>2.9996999999999998</v>
      </c>
      <c r="Z210" s="247">
        <f>RIGHT(H210,LEN(H210)-4)/10000</f>
        <v>5.8994999999999997</v>
      </c>
      <c r="AA210" s="247">
        <f>ABS(Z210-Y210)</f>
        <v>2.8997999999999999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1901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/stypes="app*4054*20171202*" /stext=" 12:.+((SYSTEM_STATE.+slice.+state.+changed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49"/>
        <v>"%USERPROFILE%\Documents\GitHub\eaglep3\Utilities\RefineRTDCRunTimes.py" --tripid 1901-02 --locoid 4054 --swversion DE.1.0.9.0 --startMP 300:29997 --initTime 2017-12-02T05:23:31 --startdatetime 2017-12-02T05:31:55 --delay 74 --endMP 300:58995 --enddatetime 2017-12-02T05:39:01 --enforcementcount 0 &gt;&gt;%USERPROFILE%\Documents\GitHub\eaglep3-reporting\EC\2017-12-02-refined-times.txt</v>
      </c>
      <c r="AI210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{"issue":{"subject":"","project_id":79,"tracker_id":40,"status_id":1,"priority_id":2,"assigned_to_id":338,"start_date":"2017-12-02","description":"","custom_fields":[{"id":1,"name":"Subdivision","value":"Other"},{"id":4,"name":"Milepost","value":"5.8995"},{"id":17,"name":"Train ID","value":"1901-02"},{"id":16,"name":"Locomotive ID","value":"4054"},{"id":130,"name":"Impact","value":""},{"id":150,"name":"Time of Event (Mountain Time)","value":"05:39:01"},{"id":151,"name":"Denver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51"/>
        <v>start /low /b %USERPROFILE%\Documents\GitHub\eaglep3\Utilities\DownloadLogsFromS3.py --loco 4054 --day 2017-12-02</v>
      </c>
      <c r="AN210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12:39:01"},{"id":29,"name":"Sharepoint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53"/>
        <v>https://d0f6bd738d7f1b3e5a7ca70fe4ff75f0.us-east-1.aws.found.io/app/kibana#/discover/Steve-Slow-Train-Analysis-(2080s-and-2083s)?_g=(refreshInterval:(display:Off,pause:!f,section:0,value:0),time:(from:'2017-12-02T04:23:31-0700',mode:absolute,to:'2017-12-02T06:39:01-0700'))&amp;_a=(columns:!('Message%20ID',Summary),filters:!(),index:'emp_*',interval:auto,query:(query_string:(analyze_wildcard:!t,query:'%22rtdc.l.rtdc.4054%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868</v>
      </c>
      <c r="B211" s="225">
        <v>4053</v>
      </c>
      <c r="C211" s="227" t="s">
        <v>192</v>
      </c>
      <c r="D211" s="227" t="s">
        <v>1008</v>
      </c>
      <c r="E211" s="226">
        <v>43071.976747685185</v>
      </c>
      <c r="F211" s="226">
        <v>43071.978506944448</v>
      </c>
      <c r="G211" s="225">
        <v>58</v>
      </c>
      <c r="H211" s="227" t="s">
        <v>1009</v>
      </c>
      <c r="I211" s="226">
        <v>43071.988668981481</v>
      </c>
      <c r="J211" s="225">
        <v>0</v>
      </c>
      <c r="K211" s="237" t="str">
        <f>IF(ISEVEN(B211),(B211-1)&amp;"/"&amp;B211,B211&amp;"/"&amp;(B211+1))</f>
        <v>4053/4054</v>
      </c>
      <c r="L211" s="245" t="str">
        <f>VLOOKUP(A211,'Trips&amp;Operators'!$C$1:$G$99911,5,FALSE)</f>
        <v>SMITH MICHAEL</v>
      </c>
      <c r="M211" s="224">
        <f>I211-F211</f>
        <v>1.0162037033296656E-2</v>
      </c>
      <c r="N211" s="225">
        <f>24*60*SUM($M211:$M211)</f>
        <v>14.633333327947184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-02T22:26:31-0700',mode:absolute,to:'2017-12-03T00:43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5.8639999999999999</v>
      </c>
      <c r="Z211" s="247">
        <f>RIGHT(H211,LEN(H211)-4)/10000</f>
        <v>2.8788</v>
      </c>
      <c r="AA211" s="247">
        <f>ABS(Z211-Y211)</f>
        <v>2.9851999999999999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1902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/stypes="app*4053*20171203*" /stext=" 06:.+((SYSTEM_STATE.+slice.+state.+changed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49"/>
        <v>"%USERPROFILE%\Documents\GitHub\eaglep3\Utilities\RefineRTDCRunTimes.py" --tripid 1902-02 --locoid 4053 --swversion DE.1.0.9.0 --startMP 300:58640 --initTime 2017-12-02T23:26:31 --startdatetime 2017-12-02T23:29:03 --delay 58 --endMP 300:28788 --enddatetime 2017-12-02T23:43:41 --enforcementcount 0 &gt;&gt;%USERPROFILE%\Documents\GitHub\eaglep3-reporting\EC\2017-12-02-refined-times.txt</v>
      </c>
      <c r="AI211" s="238" t="str">
        <f t="shared" si="50"/>
        <v>echo {"issue":{"subject":"","project_id":79,"tracker_id":40,"status_id":1,"priority_id":2,"assigned_to_id":338,"start_date":"2017-12-02","description":"","custom_fields":[{"id":1,"name":"Subdivision","value":"Other"},{"id":4,"name":"Milepost","value":"2.8788"},{"id":17,"name":"Train ID","value":"1902-02"},{"id":16,"name":"Locomotive ID","value":"4053"},{"id":130,"name":"Impact","value":""},{"id":150,"name":"Time of Event (Mountain Time)","value":"23:43:41"},{"id":151,"name":"Denver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51"/>
        <v>start /low /b %USERPROFILE%\Documents\GitHub\eaglep3\Utilities\DownloadLogsFromS3.py --loco 4053 --day 2017-12-02</v>
      </c>
      <c r="AN211" s="241" t="str">
        <f t="shared" si="52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06:43:41"},{"id":29,"name":"Sharepoint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53"/>
        <v>https://d0f6bd738d7f1b3e5a7ca70fe4ff75f0.us-east-1.aws.found.io/app/kibana#/discover/Steve-Slow-Train-Analysis-(2080s-and-2083s)?_g=(refreshInterval:(display:Off,pause:!f,section:0,value:0),time:(from:'2017-12-02T22:26:31-0700',mode:absolute,to:'2017-12-03T00:43:41-0700'))&amp;_a=(columns:!('Message%20ID',Summary),filters:!(),index:'emp_*',interval:auto,query:(query_string:(analyze_wildcard:!t,query:'%22rtdc.l.rtdc.4053%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681</v>
      </c>
      <c r="B212" s="225">
        <v>4009</v>
      </c>
      <c r="C212" s="227" t="s">
        <v>192</v>
      </c>
      <c r="D212" s="227" t="s">
        <v>1050</v>
      </c>
      <c r="E212" s="226">
        <v>43071.139340277776</v>
      </c>
      <c r="F212" s="226">
        <v>43071.140821759262</v>
      </c>
      <c r="G212" s="225">
        <v>60</v>
      </c>
      <c r="H212" s="227" t="s">
        <v>1051</v>
      </c>
      <c r="I212" s="226">
        <v>43071.141921296294</v>
      </c>
      <c r="J212" s="225">
        <v>0</v>
      </c>
      <c r="K212" s="237" t="str">
        <f>IF(ISEVEN(B212),(B212-1)&amp;"/"&amp;B212,B212&amp;"/"&amp;(B212+1))</f>
        <v>4009/4010</v>
      </c>
      <c r="L212" s="245" t="str">
        <f>VLOOKUP(A212,'Trips&amp;Operators'!$C$1:$G$99911,5,FALSE)</f>
        <v>DE LA ROSA ALEX</v>
      </c>
      <c r="M212" s="224">
        <f>I212-F212</f>
        <v>1.0995370321325026E-3</v>
      </c>
      <c r="N212" s="225">
        <f>24*60*SUM($M212:$M212)</f>
        <v>1.5833333262708038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-02T02:20:39-0700',mode:absolute,to:'2017-12-02T04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-1852</v>
      </c>
      <c r="Y212" s="247">
        <f>RIGHT(D212,LEN(D212)-4)/10000</f>
        <v>0.32069999999999999</v>
      </c>
      <c r="Z212" s="247">
        <f>RIGHT(H212,LEN(H212)-4)/10000</f>
        <v>0.1152</v>
      </c>
      <c r="AA212" s="247">
        <f>ABS(Z212-Y212)</f>
        <v>0.20549999999999999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50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/stypes="app*4009*20171202*" /stext=" 10:.+((SYSTEM_STATE.+slice.+state.+changed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49"/>
        <v>"%USERPROFILE%\Documents\GitHub\eaglep3\Utilities\RefineRTDCRunTimes.py" --tripid 50-02 --locoid 4009 --swversion DE.1.0.9.0 --startMP 204:3207 --initTime 2017-12-02T03:20:39 --startdatetime 2017-12-02T03:22:47 --delay 60 --endMP 204:1152 --enddatetime 2017-12-02T03:24:22 --enforcementcount 0 &gt;&gt;%USERPROFILE%\Documents\GitHub\eaglep3-reporting\EC\2017-12-02-refined-times.txt</v>
      </c>
      <c r="AI212" s="238" t="str">
        <f t="shared" si="50"/>
        <v>echo {"issue":{"subject":"","project_id":79,"tracker_id":40,"status_id":1,"priority_id":2,"assigned_to_id":338,"start_date":"2017-12-02","description":"","custom_fields":[{"id":1,"name":"Subdivision","value":"Shuttle/Test"},{"id":4,"name":"Milepost","value":"0.1152"},{"id":17,"name":"Train ID","value":"50-02"},{"id":16,"name":"Locomotive ID","value":"4009"},{"id":130,"name":"Impact","value":""},{"id":150,"name":"Time of Event (Mountain Time)","value":"03:24:22"},{"id":151,"name":"Denver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51"/>
        <v>start /low /b %USERPROFILE%\Documents\GitHub\eaglep3\Utilities\DownloadLogsFromS3.py --loco 4009 --day 2017-12-02</v>
      </c>
      <c r="AN212" s="241" t="str">
        <f t="shared" si="52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3"/>
        <v>https://d0f6bd738d7f1b3e5a7ca70fe4ff75f0.us-east-1.aws.found.io/app/kibana#/discover/Steve-Slow-Train-Analysis-(2080s-and-2083s)?_g=(refreshInterval:(display:Off,pause:!f,section:0,value:0),time:(from:'2017-12-02T02:20:39-0700',mode:absolute,to:'2017-12-02T04:24:22-0700'))&amp;_a=(columns:!('Message%20ID',Summary),filters:!(),index:'emp_*',interval:auto,query:(query_string:(analyze_wildcard:!t,query:'%22rtdc.l.rtdc.4009%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677</v>
      </c>
      <c r="B213" s="225">
        <v>4010</v>
      </c>
      <c r="C213" s="227" t="s">
        <v>192</v>
      </c>
      <c r="D213" s="227" t="s">
        <v>895</v>
      </c>
      <c r="E213" s="226">
        <v>43071.128692129627</v>
      </c>
      <c r="F213" s="226">
        <v>43071.137407407405</v>
      </c>
      <c r="G213" s="225">
        <v>59</v>
      </c>
      <c r="H213" s="227" t="s">
        <v>1052</v>
      </c>
      <c r="I213" s="226">
        <v>43071.13857638889</v>
      </c>
      <c r="J213" s="225">
        <v>0</v>
      </c>
      <c r="K213" s="237" t="str">
        <f>IF(ISEVEN(B213),(B213-1)&amp;"/"&amp;B213,B213&amp;"/"&amp;(B213+1))</f>
        <v>4009/4010</v>
      </c>
      <c r="L213" s="245" t="str">
        <f>VLOOKUP(A213,'Trips&amp;Operators'!$C$1:$G$99911,5,FALSE)</f>
        <v>DE LA ROSA ALEX</v>
      </c>
      <c r="M213" s="224">
        <f>I213-F213</f>
        <v>1.1689814855344594E-3</v>
      </c>
      <c r="N213" s="225">
        <f>24*60*SUM($M213:$M213)</f>
        <v>1.6833333391696215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-02T02:05:19-0700',mode:absolute,to:'2017-12-02T04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4.7800000000000002E-2</v>
      </c>
      <c r="Z213" s="247">
        <f>RIGHT(H213,LEN(H213)-4)/10000</f>
        <v>0.34889999999999999</v>
      </c>
      <c r="AA213" s="247">
        <f>ABS(Z213-Y213)</f>
        <v>0.30109999999999998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51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/stypes="app*4010*20171202*"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ref="AH213:AH221" si="64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51-02 --locoid 4010 --swversion DE.1.0.9.0 --startMP 204:478 --initTime 2017-12-02T03:05:19 --startdatetime 2017-12-02T03:17:52 --delay 59 --endMP 204:3489 --enddatetime 2017-12-02T03:19:33 --enforcementcount 0 &gt;&gt;%USERPROFILE%\Documents\GitHub\eaglep3-reporting\EC\2017-12-02-refined-times.txt</v>
      </c>
      <c r="AI213" s="238" t="str">
        <f t="shared" ref="AI213:AI221" si="65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Shuttle/Test"},{"id":4,"name":"Milepost","value":"0.3489"},{"id":17,"name":"Train ID","value":"51-02"},{"id":16,"name":"Locomotive ID","value":"4010"},{"id":130,"name":"Impact","value":""},{"id":150,"name":"Time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ref="AM213:AM221" si="66">"start /low /b "&amp;dls3logs&amp;" --loco "&amp;B213&amp;" --day "&amp;TEXT(F213,"YYYY-MM-DD")</f>
        <v>start /low /b %USERPROFILE%\Documents\GitHub\eaglep3\Utilities\DownloadLogsFromS3.py --loco 4010 --day 2017-12-02</v>
      </c>
      <c r="AN213" s="241" t="str">
        <f t="shared" ref="AN213:AN221" si="67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ref="AO213:AO221" si="68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-02T02:05:19-0700',mode:absolute,to:'2017-12-02T04:19:33-0700'))&amp;_a=(columns:!('Message%20ID',Summary),filters:!(),index:'emp_*',interval:auto,query:(query_string:(analyze_wildcard:!t,query:'%22rtdc.l.rtdc.4010%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711</v>
      </c>
      <c r="B214" s="225">
        <v>4009</v>
      </c>
      <c r="C214" s="227" t="s">
        <v>192</v>
      </c>
      <c r="D214" s="227" t="s">
        <v>1053</v>
      </c>
      <c r="E214" s="226">
        <v>43071.272604166668</v>
      </c>
      <c r="F214" s="226">
        <v>43071.274004629631</v>
      </c>
      <c r="G214" s="225">
        <v>69</v>
      </c>
      <c r="H214" s="227" t="s">
        <v>493</v>
      </c>
      <c r="I214" s="226">
        <v>43071.275196759256</v>
      </c>
      <c r="J214" s="225">
        <v>0</v>
      </c>
      <c r="K214" s="237" t="str">
        <f>IF(ISEVEN(B214),(B214-1)&amp;"/"&amp;B214,B214&amp;"/"&amp;(B214+1))</f>
        <v>4009/4010</v>
      </c>
      <c r="L214" s="245" t="str">
        <f>VLOOKUP(A214,'Trips&amp;Operators'!$C$1:$G$99911,5,FALSE)</f>
        <v>DE LA ROSA ALEX</v>
      </c>
      <c r="M214" s="224">
        <f>I214-F214</f>
        <v>1.1921296245418489E-3</v>
      </c>
      <c r="N214" s="225">
        <f>24*60*SUM($M214:$M214)</f>
        <v>1.7166666593402624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-02T05:32:33-0700',mode:absolute,to:'2017-12-02T07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2</v>
      </c>
      <c r="Y214" s="247">
        <f>RIGHT(D214,LEN(D214)-4)/10000</f>
        <v>0.32569999999999999</v>
      </c>
      <c r="Z214" s="247">
        <f>RIGHT(H214,LEN(H214)-4)/10000</f>
        <v>2.4E-2</v>
      </c>
      <c r="AA214" s="247">
        <f>ABS(Z214-Y214)</f>
        <v>0.30169999999999997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53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/stypes="app*4009*20171202*" /stext=" 13:.+((SYSTEM_STATE.+slice.+state.+changed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64"/>
        <v>"%USERPROFILE%\Documents\GitHub\eaglep3\Utilities\RefineRTDCRunTimes.py" --tripid 53-02 --locoid 4009 --swversion DE.1.0.9.0 --startMP 204:3257 --initTime 2017-12-02T06:32:33 --startdatetime 2017-12-02T06:34:34 --delay 69 --endMP 204:240 --enddatetime 2017-12-02T06:36:17 --enforcementcount 0 &gt;&gt;%USERPROFILE%\Documents\GitHub\eaglep3-reporting\EC\2017-12-02-refined-times.txt</v>
      </c>
      <c r="AI214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0.024"},{"id":17,"name":"Train ID","value":"53-02"},{"id":16,"name":"Locomotive ID","value":"4009"},{"id":130,"name":"Impact","value":""},{"id":150,"name":"Time of Event (Mountain Time)","value":"06:36:17"},{"id":151,"name":"Denver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66"/>
        <v>start /low /b %USERPROFILE%\Documents\GitHub\eaglep3\Utilities\DownloadLogsFromS3.py --loco 4009 --day 2017-12-02</v>
      </c>
      <c r="AN214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68"/>
        <v>https://d0f6bd738d7f1b3e5a7ca70fe4ff75f0.us-east-1.aws.found.io/app/kibana#/discover/Steve-Slow-Train-Analysis-(2080s-and-2083s)?_g=(refreshInterval:(display:Off,pause:!f,section:0,value:0),time:(from:'2017-12-02T05:32:33-0700',mode:absolute,to:'2017-12-02T07:36:17-0700'))&amp;_a=(columns:!('Message%20ID',Summary),filters:!(),index:'emp_*',interval:auto,query:(query_string:(analyze_wildcard:!t,query:'%22rtdc.l.rtdc.4009%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711</v>
      </c>
      <c r="B215" s="225">
        <v>4010</v>
      </c>
      <c r="C215" s="227" t="s">
        <v>192</v>
      </c>
      <c r="D215" s="227" t="s">
        <v>1054</v>
      </c>
      <c r="E215" s="226">
        <v>43071.26934027778</v>
      </c>
      <c r="F215" s="226">
        <v>43071.274004629631</v>
      </c>
      <c r="G215" s="225">
        <v>59</v>
      </c>
      <c r="H215" s="227" t="s">
        <v>1055</v>
      </c>
      <c r="I215" s="226">
        <v>43071.275196759256</v>
      </c>
      <c r="J215" s="225">
        <v>0</v>
      </c>
      <c r="K215" s="237" t="str">
        <f>IF(ISEVEN(B215),(B215-1)&amp;"/"&amp;B215,B215&amp;"/"&amp;(B215+1))</f>
        <v>4009/4010</v>
      </c>
      <c r="L215" s="245" t="str">
        <f>VLOOKUP(A215,'Trips&amp;Operators'!$C$1:$G$99911,5,FALSE)</f>
        <v>DE LA ROSA ALEX</v>
      </c>
      <c r="M215" s="224">
        <f>I215-F215</f>
        <v>1.1921296245418489E-3</v>
      </c>
      <c r="N215" s="225">
        <f>24*60*SUM($M215:$M215)</f>
        <v>1.7166666593402624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-02T05:27:51-0700',mode:absolute,to:'2017-12-02T07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0.1484</v>
      </c>
      <c r="Z215" s="247">
        <f>RIGHT(H215,LEN(H215)-4)/10000</f>
        <v>0.35820000000000002</v>
      </c>
      <c r="AA215" s="247">
        <f>ABS(Z215-Y215)</f>
        <v>0.20980000000000001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53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s3://rtdc.mdm.uploadarchive.raw/RTDC4010/ "%USERPROFILE%\AppData\Local\Temp\OnboardLogs"\RTDC4010\2017-12-02 --exclude "*" --recursive --include "*20171202*" &amp; "%USERPROFILE%\Documents\GitHub\mrs-test-scripts\Headless Mode &amp; Sideloading\WalkAndUnGZ.bat" "%USERPROFILE%\AppData\Local\Temp\OnboardLogs"\RTDC4010\2017-12-02 &amp; aws s3 cp s3://rtdc.mdm.uploadarchive.raw/RTDC4010/ "%USERPROFILE%\AppData\Local\Temp\OnboardLogs"\RTDC4010\2017-12-03 --exclude "*" --recursive --include "*20171203*" &amp; "%USERPROFILE%\Documents\GitHub\mrs-test-scripts\Headless Mode &amp; Sideloading\WalkAndUnGZ.bat" "%USERPROFILE%\AppData\Local\Temp\OnboardLogs"\RTDC4010\2017-12-03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/stypes="app*4010*20171202*" /stext=" 13:.+((SYSTEM_STATE.+slice.+state.+changed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64"/>
        <v>"%USERPROFILE%\Documents\GitHub\eaglep3\Utilities\RefineRTDCRunTimes.py" --tripid 53-02 --locoid 4010 --swversion DE.1.0.9.0 --startMP 204:1484 --initTime 2017-12-02T06:27:51 --startdatetime 2017-12-02T06:34:34 --delay 59 --endMP 204:3582 --enddatetime 2017-12-02T06:36:17 --enforcementcount 0 &gt;&gt;%USERPROFILE%\Documents\GitHub\eaglep3-reporting\EC\2017-12-02-refined-times.txt</v>
      </c>
      <c r="AI215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0.3582"},{"id":17,"name":"Train ID","value":"53-02"},{"id":16,"name":"Locomotive ID","value":"4010"},{"id":130,"name":"Impact","value":""},{"id":150,"name":"Time of Event (Mountain Time)","value":"06:36:17"},{"id":151,"name":"Denver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66"/>
        <v>start /low /b %USERPROFILE%\Documents\GitHub\eaglep3\Utilities\DownloadLogsFromS3.py --loco 4010 --day 2017-12-02</v>
      </c>
      <c r="AN215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68"/>
        <v>https://d0f6bd738d7f1b3e5a7ca70fe4ff75f0.us-east-1.aws.found.io/app/kibana#/discover/Steve-Slow-Train-Analysis-(2080s-and-2083s)?_g=(refreshInterval:(display:Off,pause:!f,section:0,value:0),time:(from:'2017-12-02T05:27:51-0700',mode:absolute,to:'2017-12-02T07:36:17-0700'))&amp;_a=(columns:!('Message%20ID',Summary),filters:!(),index:'emp_*',interval:auto,query:(query_string:(analyze_wildcard:!t,query:'%22rtdc.l.rtdc.4010%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747</v>
      </c>
      <c r="B216" s="225">
        <v>4058</v>
      </c>
      <c r="C216" s="227" t="s">
        <v>192</v>
      </c>
      <c r="D216" s="227" t="s">
        <v>1056</v>
      </c>
      <c r="E216" s="226">
        <v>43071.421840277777</v>
      </c>
      <c r="F216" s="226">
        <v>43071.432546296295</v>
      </c>
      <c r="G216" s="225">
        <v>60</v>
      </c>
      <c r="H216" s="227" t="s">
        <v>1057</v>
      </c>
      <c r="I216" s="226">
        <v>43071.43377314815</v>
      </c>
      <c r="J216" s="225">
        <v>0</v>
      </c>
      <c r="K216" s="237" t="str">
        <f>IF(ISEVEN(B216),(B216-1)&amp;"/"&amp;B216,B216&amp;"/"&amp;(B216+1))</f>
        <v>4057/4058</v>
      </c>
      <c r="L216" s="245" t="str">
        <f>VLOOKUP(A216,'Trips&amp;Operators'!$C$1:$G$99911,5,FALSE)</f>
        <v>BROWN JACOB</v>
      </c>
      <c r="M216" s="224">
        <f>I216-F216</f>
        <v>1.2268518548808061E-3</v>
      </c>
      <c r="N216" s="225">
        <f>24*60*SUM($M216:$M216)</f>
        <v>1.7666666710283607</v>
      </c>
      <c r="O216" s="225"/>
      <c r="P216" s="225"/>
      <c r="Q216" s="228"/>
      <c r="R216" s="242"/>
      <c r="S216" s="249">
        <f>1/IF(AG216="EC",12,1)*SUM(U216:U216)</f>
        <v>0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-02T09:07:27-0700',mode:absolute,to:'2017-12-02T11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2</v>
      </c>
      <c r="Y216" s="247">
        <f>RIGHT(D216,LEN(D216)-4)/10000</f>
        <v>0.11559999999999999</v>
      </c>
      <c r="Z216" s="247">
        <f>RIGHT(H216,LEN(H216)-4)/10000</f>
        <v>0.36930000000000002</v>
      </c>
      <c r="AA216" s="247">
        <f>ABS(Z216-Y216)</f>
        <v>0.25370000000000004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55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 &amp; aws s3 cp s3://rtdc.mdm.uploadarchive.raw/RTDC4058/ "%USERPROFILE%\AppData\Local\Temp\OnboardLogs"\RTDC4058\2017-12-03 --exclude "*" --recursive --include "*20171203*" &amp; "%USERPROFILE%\Documents\GitHub\mrs-test-scripts\Headless Mode &amp; Sideloading\WalkAndUnGZ.bat" "%USERPROFILE%\AppData\Local\Temp\OnboardLogs"\RTDC4058\2017-12-03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/stypes="app*4058*20171202*" /stext=" 17:.+((SYSTEM_STATE.+slice.+state.+changed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64"/>
        <v>"%USERPROFILE%\Documents\GitHub\eaglep3\Utilities\RefineRTDCRunTimes.py" --tripid 55-02 --locoid 4058 --swversion DE.1.0.9.0 --startMP 204:1156 --initTime 2017-12-02T10:07:27 --startdatetime 2017-12-02T10:22:52 --delay 60 --endMP 204:3693 --enddatetime 2017-12-02T10:24:38 --enforcementcount 0 &gt;&gt;%USERPROFILE%\Documents\GitHub\eaglep3-reporting\EC\2017-12-02-refined-times.txt</v>
      </c>
      <c r="AI216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0.3693"},{"id":17,"name":"Train ID","value":"55-02"},{"id":16,"name":"Locomotive ID","value":"4058"},{"id":130,"name":"Impact","value":""},{"id":150,"name":"Time of Event (Mountain Time)","value":"10:24:38"},{"id":151,"name":"Denver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66"/>
        <v>start /low /b %USERPROFILE%\Documents\GitHub\eaglep3\Utilities\DownloadLogsFromS3.py --loco 4058 --day 2017-12-02</v>
      </c>
      <c r="AN216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8"/>
        <v>https://d0f6bd738d7f1b3e5a7ca70fe4ff75f0.us-east-1.aws.found.io/app/kibana#/discover/Steve-Slow-Train-Analysis-(2080s-and-2083s)?_g=(refreshInterval:(display:Off,pause:!f,section:0,value:0),time:(from:'2017-12-02T09:07:27-0700',mode:absolute,to:'2017-12-02T11:24:38-0700'))&amp;_a=(columns:!('Message%20ID',Summary),filters:!(),index:'emp_*',interval:auto,query:(query_string:(analyze_wildcard:!t,query:'%22rtdc.l.rtdc.4058%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747</v>
      </c>
      <c r="B217" s="225">
        <v>4057</v>
      </c>
      <c r="C217" s="227" t="s">
        <v>192</v>
      </c>
      <c r="D217" s="227" t="s">
        <v>1058</v>
      </c>
      <c r="E217" s="226">
        <v>43071.430972222224</v>
      </c>
      <c r="F217" s="226">
        <v>43071.432546296295</v>
      </c>
      <c r="G217" s="225">
        <v>86</v>
      </c>
      <c r="H217" s="227" t="s">
        <v>937</v>
      </c>
      <c r="I217" s="226">
        <v>43071.43377314815</v>
      </c>
      <c r="J217" s="225">
        <v>0</v>
      </c>
      <c r="K217" s="237" t="str">
        <f>IF(ISEVEN(B217),(B217-1)&amp;"/"&amp;B217,B217&amp;"/"&amp;(B217+1))</f>
        <v>4057/4058</v>
      </c>
      <c r="L217" s="245" t="str">
        <f>VLOOKUP(A217,'Trips&amp;Operators'!$C$1:$G$99911,5,FALSE)</f>
        <v>BROWN JACOB</v>
      </c>
      <c r="M217" s="224">
        <f>I217-F217</f>
        <v>1.2268518548808061E-3</v>
      </c>
      <c r="N217" s="225">
        <f>24*60*SUM($M217:$M217)</f>
        <v>1.7666666710283607</v>
      </c>
      <c r="O217" s="225"/>
      <c r="P217" s="225"/>
      <c r="Q217" s="228"/>
      <c r="R217" s="242"/>
      <c r="S217" s="249">
        <f>1/IF(AG217="EC",12,1)*SUM(U217:U217)</f>
        <v>0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-02T09:20:36-0700',mode:absolute,to:'2017-12-02T11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0</v>
      </c>
      <c r="Y217" s="247">
        <f>RIGHT(D217,LEN(D217)-4)/10000</f>
        <v>0.33850000000000002</v>
      </c>
      <c r="Z217" s="247">
        <f>RIGHT(H217,LEN(H217)-4)/10000</f>
        <v>1.6E-2</v>
      </c>
      <c r="AA217" s="247">
        <f>ABS(Z217-Y217)</f>
        <v>0.32250000000000001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55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 &amp; aws s3 cp s3://rtdc.mdm.uploadarchive.raw/RTDC4057/ "%USERPROFILE%\AppData\Local\Temp\OnboardLogs"\RTDC4057\2017-12-03 --exclude "*" --recursive --include "*20171203*" &amp; "%USERPROFILE%\Documents\GitHub\mrs-test-scripts\Headless Mode &amp; Sideloading\WalkAndUnGZ.bat" "%USERPROFILE%\AppData\Local\Temp\OnboardLogs"\RTDC4057\2017-12-03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/stypes="app*4057*20171202*" /stext=" 17:.+((SYSTEM_STATE.+slice.+state.+changed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64"/>
        <v>"%USERPROFILE%\Documents\GitHub\eaglep3\Utilities\RefineRTDCRunTimes.py" --tripid 55-02 --locoid 4057 --swversion DE.1.0.9.0 --startMP 204:3385 --initTime 2017-12-02T10:20:36 --startdatetime 2017-12-02T10:22:52 --delay 86 --endMP 204:160 --enddatetime 2017-12-02T10:24:38 --enforcementcount 0 &gt;&gt;%USERPROFILE%\Documents\GitHub\eaglep3-reporting\EC\2017-12-02-refined-times.txt</v>
      </c>
      <c r="AI217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0.016"},{"id":17,"name":"Train ID","value":"55-02"},{"id":16,"name":"Locomotive ID","value":"4057"},{"id":130,"name":"Impact","value":""},{"id":150,"name":"Time of Event (Mountain Time)","value":"10:24:38"},{"id":151,"name":"Denver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66"/>
        <v>start /low /b %USERPROFILE%\Documents\GitHub\eaglep3\Utilities\DownloadLogsFromS3.py --loco 4057 --day 2017-12-02</v>
      </c>
      <c r="AN217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17:24:38"},{"id":29,"name":"Sharepoint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8"/>
        <v>https://d0f6bd738d7f1b3e5a7ca70fe4ff75f0.us-east-1.aws.found.io/app/kibana#/discover/Steve-Slow-Train-Analysis-(2080s-and-2083s)?_g=(refreshInterval:(display:Off,pause:!f,section:0,value:0),time:(from:'2017-12-02T09:20:36-0700',mode:absolute,to:'2017-12-02T11:24:38-0700'))&amp;_a=(columns:!('Message%20ID',Summary),filters:!(),index:'emp_*',interval:auto,query:(query_string:(analyze_wildcard:!t,query:'%22rtdc.l.rtdc.4057%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770</v>
      </c>
      <c r="B218" s="225">
        <v>4007</v>
      </c>
      <c r="C218" s="227" t="s">
        <v>192</v>
      </c>
      <c r="D218" s="227" t="s">
        <v>1059</v>
      </c>
      <c r="E218" s="226">
        <v>43071.507835648146</v>
      </c>
      <c r="F218" s="226">
        <v>43071.511747685188</v>
      </c>
      <c r="G218" s="225">
        <v>64</v>
      </c>
      <c r="H218" s="227" t="s">
        <v>1060</v>
      </c>
      <c r="I218" s="226">
        <v>43071.517071759263</v>
      </c>
      <c r="J218" s="225">
        <v>0</v>
      </c>
      <c r="K218" s="237" t="str">
        <f>IF(ISEVEN(B218),(B218-1)&amp;"/"&amp;B218,B218&amp;"/"&amp;(B218+1))</f>
        <v>4007/4008</v>
      </c>
      <c r="L218" s="245" t="str">
        <f>VLOOKUP(A218,'Trips&amp;Operators'!$C$1:$G$99911,5,FALSE)</f>
        <v>BIRENBAUM THOMAS</v>
      </c>
      <c r="M218" s="224">
        <f>I218-F218</f>
        <v>5.324074074451346E-3</v>
      </c>
      <c r="N218" s="225">
        <f>24*60*SUM($M218:$M218)</f>
        <v>7.6666666672099382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-02T11:11:17-0700',mode:absolute,to:'2017-12-02T13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5</v>
      </c>
      <c r="Y218" s="247">
        <f>RIGHT(D218,LEN(D218)-4)/10000</f>
        <v>2.323</v>
      </c>
      <c r="Z218" s="247">
        <f>RIGHT(H218,LEN(H218)-4)/10000</f>
        <v>0.19170000000000001</v>
      </c>
      <c r="AA218" s="247">
        <f>ABS(Z218-Y218)</f>
        <v>2.1313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60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s3://rtdc.mdm.uploadarchive.raw/RTDC4007/ "%USERPROFILE%\AppData\Local\Temp\OnboardLogs"\RTDC4007\2017-12-02 --exclude "*" --recursive --include "*20171202*" &amp; "%USERPROFILE%\Documents\GitHub\mrs-test-scripts\Headless Mode &amp; Sideloading\WalkAndUnGZ.bat" "%USERPROFILE%\AppData\Local\Temp\OnboardLogs"\RTDC4007\2017-12-02 &amp; aws s3 cp s3://rtdc.mdm.uploadarchive.raw/RTDC4007/ "%USERPROFILE%\AppData\Local\Temp\OnboardLogs"\RTDC4007\2017-12-03 --exclude "*" --recursive --include "*20171203*" &amp; "%USERPROFILE%\Documents\GitHub\mrs-test-scripts\Headless Mode &amp; Sideloading\WalkAndUnGZ.bat" "%USERPROFILE%\AppData\Local\Temp\OnboardLogs"\RTDC4007\2017-12-03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/stypes="app*4007*20171202*" /stext=" 19:.+((SYSTEM_STATE.+slice.+state.+changed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64"/>
        <v>"%USERPROFILE%\Documents\GitHub\eaglep3\Utilities\RefineRTDCRunTimes.py" --tripid 60-02 --locoid 4007 --swversion DE.1.0.9.0 --startMP 300:23230 --initTime 2017-12-02T12:11:17 --startdatetime 2017-12-02T12:16:55 --delay 64 --endMP 204:1917 --enddatetime 2017-12-02T12:24:35 --enforcementcount 0 &gt;&gt;%USERPROFILE%\Documents\GitHub\eaglep3-reporting\EC\2017-12-02-refined-times.txt</v>
      </c>
      <c r="AI218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0.1917"},{"id":17,"name":"Train ID","value":"60-02"},{"id":16,"name":"Locomotive ID","value":"4007"},{"id":130,"name":"Impact","value":""},{"id":150,"name":"Time of Event (Mountain Time)","value":"12:24:35"},{"id":151,"name":"Denver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66"/>
        <v>start /low /b %USERPROFILE%\Documents\GitHub\eaglep3\Utilities\DownloadLogsFromS3.py --loco 4007 --day 2017-12-02</v>
      </c>
      <c r="AN218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19:24:35"},{"id":29,"name":"Sharepoint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68"/>
        <v>https://d0f6bd738d7f1b3e5a7ca70fe4ff75f0.us-east-1.aws.found.io/app/kibana#/discover/Steve-Slow-Train-Analysis-(2080s-and-2083s)?_g=(refreshInterval:(display:Off,pause:!f,section:0,value:0),time:(from:'2017-12-02T11:11:17-0700',mode:absolute,to:'2017-12-02T13:24:35-0700'))&amp;_a=(columns:!('Message%20ID',Summary),filters:!(),index:'emp_*',interval:auto,query:(query_string:(analyze_wildcard:!t,query:'%22rtdc.l.rtdc.4007%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775</v>
      </c>
      <c r="B219" s="225">
        <v>4043</v>
      </c>
      <c r="C219" s="227" t="s">
        <v>192</v>
      </c>
      <c r="D219" s="227" t="s">
        <v>1061</v>
      </c>
      <c r="E219" s="226">
        <v>43071.542129629626</v>
      </c>
      <c r="F219" s="226">
        <v>43071.547986111109</v>
      </c>
      <c r="G219" s="225">
        <v>82</v>
      </c>
      <c r="H219" s="227" t="s">
        <v>1062</v>
      </c>
      <c r="I219" s="226">
        <v>43071.549930555557</v>
      </c>
      <c r="J219" s="225">
        <v>0</v>
      </c>
      <c r="K219" s="237" t="str">
        <f>IF(ISEVEN(B219),(B219-1)&amp;"/"&amp;B219,B219&amp;"/"&amp;(B219+1))</f>
        <v>4043/4044</v>
      </c>
      <c r="L219" s="245" t="str">
        <f>VLOOKUP(A219,'Trips&amp;Operators'!$C$1:$G$99911,5,FALSE)</f>
        <v>GONZALEZ ARMANDO</v>
      </c>
      <c r="M219" s="224">
        <f>I219-F219</f>
        <v>1.9444444478722289E-3</v>
      </c>
      <c r="N219" s="225">
        <f>24*60*SUM($M219:$M219)</f>
        <v>2.8000000049360096</v>
      </c>
      <c r="O219" s="225"/>
      <c r="P219" s="225"/>
      <c r="Q219" s="228"/>
      <c r="R219" s="242"/>
      <c r="S219" s="249">
        <f>1/IF(AG219="EC",12,1)*SUM(U219:U219)</f>
        <v>0</v>
      </c>
      <c r="T219" s="242" t="str">
        <f>IF(ISEVEN(LEFT(AD219,4)),"Southbound","NorthBound")</f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-02T12:00:40-0700',mode:absolute,to:'2017-12-02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0.51729999999999998</v>
      </c>
      <c r="Z219" s="247">
        <f>RIGHT(H219,LEN(H219)-4)/10000</f>
        <v>0.1158</v>
      </c>
      <c r="AA219" s="247">
        <f>ABS(Z219-Y219)</f>
        <v>0.40149999999999997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61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s3://rtdc.mdm.uploadarchive.raw/RTDC4043/ "%USERPROFILE%\AppData\Local\Temp\OnboardLogs"\RTDC4043\2017-12-02 --exclude "*" --recursive --include "*20171202*" &amp; "%USERPROFILE%\Documents\GitHub\mrs-test-scripts\Headless Mode &amp; Sideloading\WalkAndUnGZ.bat" "%USERPROFILE%\AppData\Local\Temp\OnboardLogs"\RTDC4043\2017-12-02 &amp; 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/stypes="app*4043*20171202*" /stext=" 20:.+((SYSTEM_STATE.+slice.+state.+changed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64"/>
        <v>"%USERPROFILE%\Documents\GitHub\eaglep3\Utilities\RefineRTDCRunTimes.py" --tripid 61-02 --locoid 4043 --swversion DE.1.0.9.0 --startMP 300:5173 --initTime 2017-12-02T13:00:40 --startdatetime 2017-12-02T13:09:06 --delay 82 --endMP 204:1158 --enddatetime 2017-12-02T13:11:54 --enforcementcount 0 &gt;&gt;%USERPROFILE%\Documents\GitHub\eaglep3-reporting\EC\2017-12-02-refined-times.txt</v>
      </c>
      <c r="AI219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0.1158"},{"id":17,"name":"Train ID","value":"61-02"},{"id":16,"name":"Locomotive ID","value":"4043"},{"id":130,"name":"Impact","value":""},{"id":150,"name":"Time of Event (Mountain Time)","value":"13:11:54"},{"id":151,"name":"Denver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66"/>
        <v>start /low /b %USERPROFILE%\Documents\GitHub\eaglep3\Utilities\DownloadLogsFromS3.py --loco 4043 --day 2017-12-02</v>
      </c>
      <c r="AN219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68"/>
        <v>https://d0f6bd738d7f1b3e5a7ca70fe4ff75f0.us-east-1.aws.found.io/app/kibana#/discover/Steve-Slow-Train-Analysis-(2080s-and-2083s)?_g=(refreshInterval:(display:Off,pause:!f,section:0,value:0),time:(from:'2017-12-02T12:00:40-0700',mode:absolute,to:'2017-12-02T14:11:54-0700'))&amp;_a=(columns:!('Message%20ID',Summary),filters:!(),index:'emp_*',interval:auto,query:(query_string:(analyze_wildcard:!t,query:'%22rtdc.l.rtdc.4043%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775</v>
      </c>
      <c r="B220" s="225">
        <v>4044</v>
      </c>
      <c r="C220" s="227" t="s">
        <v>192</v>
      </c>
      <c r="D220" s="227" t="s">
        <v>1063</v>
      </c>
      <c r="E220" s="226">
        <v>43071.536458333336</v>
      </c>
      <c r="F220" s="226">
        <v>43071.547986111109</v>
      </c>
      <c r="G220" s="225">
        <v>100</v>
      </c>
      <c r="H220" s="227" t="s">
        <v>1064</v>
      </c>
      <c r="I220" s="226">
        <v>43071.549930555557</v>
      </c>
      <c r="J220" s="225">
        <v>0</v>
      </c>
      <c r="K220" s="237" t="str">
        <f>IF(ISEVEN(B220),(B220-1)&amp;"/"&amp;B220,B220&amp;"/"&amp;(B220+1))</f>
        <v>4043/4044</v>
      </c>
      <c r="L220" s="245" t="str">
        <f>VLOOKUP(A220,'Trips&amp;Operators'!$C$1:$G$99911,5,FALSE)</f>
        <v>GONZALEZ ARMANDO</v>
      </c>
      <c r="M220" s="224">
        <f>I220-F220</f>
        <v>1.9444444478722289E-3</v>
      </c>
      <c r="N220" s="225">
        <f>24*60*SUM($M220:$M220)</f>
        <v>2.8000000049360096</v>
      </c>
      <c r="O220" s="225"/>
      <c r="P220" s="225"/>
      <c r="Q220" s="228"/>
      <c r="R220" s="242"/>
      <c r="S220" s="249">
        <f>1/IF(AG220="EC",12,1)*SUM(U220:U220)</f>
        <v>0</v>
      </c>
      <c r="T220" s="242" t="str">
        <f>IF(ISEVEN(LEFT(AD220,4)),"Southbound","NorthBound")</f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-02T11:52:30-0700',mode:absolute,to:'2017-12-02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0</v>
      </c>
      <c r="Y220" s="247">
        <f>RIGHT(D220,LEN(D220)-4)/10000</f>
        <v>0.1149</v>
      </c>
      <c r="Z220" s="247">
        <f>RIGHT(H220,LEN(H220)-4)/10000</f>
        <v>0.55000000000000004</v>
      </c>
      <c r="AA220" s="247">
        <f>ABS(Z220-Y220)</f>
        <v>0.43510000000000004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61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s3://rtdc.mdm.uploadarchive.raw/RTDC4044/ "%USERPROFILE%\AppData\Local\Temp\OnboardLogs"\RTDC4044\2017-12-02 --exclude "*" --recursive --include "*20171202*" &amp; "%USERPROFILE%\Documents\GitHub\mrs-test-scripts\Headless Mode &amp; Sideloading\WalkAndUnGZ.bat" "%USERPROFILE%\AppData\Local\Temp\OnboardLogs"\RTDC4044\2017-12-02 &amp; 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/stypes="app*4044*20171202*" /stext=" 20:.+((SYSTEM_STATE.+slice.+state.+changed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si="64"/>
        <v>"%USERPROFILE%\Documents\GitHub\eaglep3\Utilities\RefineRTDCRunTimes.py" --tripid 61-02 --locoid 4044 --swversion DE.1.0.9.0 --startMP 204:1149 --initTime 2017-12-02T12:52:30 --startdatetime 2017-12-02T13:09:06 --delay 100 --endMP 300:5500 --enddatetime 2017-12-02T13:11:54 --enforcementcount 0 &gt;&gt;%USERPROFILE%\Documents\GitHub\eaglep3-reporting\EC\2017-12-02-refined-times.txt</v>
      </c>
      <c r="AI220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0.55"},{"id":17,"name":"Train ID","value":"61-02"},{"id":16,"name":"Locomotive ID","value":"4044"},{"id":130,"name":"Impact","value":""},{"id":150,"name":"Time of Event (Mountain Time)","value":"13:11:54"},{"id":151,"name":"Denver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66"/>
        <v>start /low /b %USERPROFILE%\Documents\GitHub\eaglep3\Utilities\DownloadLogsFromS3.py --loco 4044 --day 2017-12-02</v>
      </c>
      <c r="AN220" s="241" t="str">
        <f t="shared" si="67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20:11:54"},{"id":29,"name":"Sharepoint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68"/>
        <v>https://d0f6bd738d7f1b3e5a7ca70fe4ff75f0.us-east-1.aws.found.io/app/kibana#/discover/Steve-Slow-Train-Analysis-(2080s-and-2083s)?_g=(refreshInterval:(display:Off,pause:!f,section:0,value:0),time:(from:'2017-12-02T11:52:30-0700',mode:absolute,to:'2017-12-02T14:11:54-0700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825</v>
      </c>
      <c r="B221" s="225">
        <v>4008</v>
      </c>
      <c r="C221" s="227" t="s">
        <v>192</v>
      </c>
      <c r="D221" s="227" t="s">
        <v>1051</v>
      </c>
      <c r="E221" s="226">
        <v>43071.734525462962</v>
      </c>
      <c r="F221" s="226">
        <v>43071.736250000002</v>
      </c>
      <c r="G221" s="225">
        <v>84</v>
      </c>
      <c r="H221" s="227" t="s">
        <v>1043</v>
      </c>
      <c r="I221" s="226">
        <v>43071.744942129626</v>
      </c>
      <c r="J221" s="225">
        <v>0</v>
      </c>
      <c r="K221" s="237" t="str">
        <f>IF(ISEVEN(B221),(B221-1)&amp;"/"&amp;B221,B221&amp;"/"&amp;(B221+1))</f>
        <v>4007/4008</v>
      </c>
      <c r="L221" s="245" t="str">
        <f>VLOOKUP(A221,'Trips&amp;Operators'!$C$1:$G$99911,5,FALSE)</f>
        <v>GONZALEZ ARMANDO</v>
      </c>
      <c r="M221" s="224">
        <f>I221-F221</f>
        <v>8.6921296242508106E-3</v>
      </c>
      <c r="N221" s="225">
        <f>24*60*SUM($M221:$M221)</f>
        <v>12.516666658921167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-02T16:37:43-0700',mode:absolute,to:'2017-12-02T18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16</v>
      </c>
      <c r="Y221" s="247">
        <f>RIGHT(D221,LEN(D221)-4)/10000</f>
        <v>0.1152</v>
      </c>
      <c r="Z221" s="247">
        <f>RIGHT(H221,LEN(H221)-4)/10000</f>
        <v>2.331</v>
      </c>
      <c r="AA221" s="247">
        <f>ABS(Z221-Y221)</f>
        <v>2.2157999999999998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77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s3://rtdc.mdm.uploadarchive.raw/RTDC4008/ "%USERPROFILE%\AppData\Local\Temp\OnboardLogs"\RTDC4008\2017-12-02 --exclude "*" --recursive --include "*20171202*" &amp; "%USERPROFILE%\Documents\GitHub\mrs-test-scripts\Headless Mode &amp; Sideloading\WalkAndUnGZ.bat" "%USERPROFILE%\AppData\Local\Temp\OnboardLogs"\RTDC4008\2017-12-02 &amp; aws s3 cp s3://rtdc.mdm.uploadarchive.raw/RTDC4008/ "%USERPROFILE%\AppData\Local\Temp\OnboardLogs"\RTDC4008\2017-12-03 --exclude "*" --recursive --include "*20171203*" &amp; "%USERPROFILE%\Documents\GitHub\mrs-test-scripts\Headless Mode &amp; Sideloading\WalkAndUnGZ.bat" "%USERPROFILE%\AppData\Local\Temp\OnboardLogs"\RTDC4008\2017-12-03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/stypes="app*4008*20171203*" /stext=" 00:.+((SYSTEM_STATE.+slice.+state.+changed )|(ment ac)|(multiple cpu faults)|(system.+state.+changed )|(\[timeout)|(PRM\|1\|D)|(kpr)|(kdp)|(train st.+moving)|(\|lc)|(penalty))"</v>
      </c>
      <c r="AG221" s="244" t="str">
        <f>DetSubdiv(A221)</f>
        <v>Shuttle/Test</v>
      </c>
      <c r="AH221" s="236" t="str">
        <f t="shared" si="64"/>
        <v>"%USERPROFILE%\Documents\GitHub\eaglep3\Utilities\RefineRTDCRunTimes.py" --tripid 77-02 --locoid 4008 --swversion DE.1.0.9.0 --startMP 204:1152 --initTime 2017-12-02T17:37:43 --startdatetime 2017-12-02T17:40:12 --delay 84 --endMP 300:23310 --enddatetime 2017-12-02T17:52:43 --enforcementcount 0 &gt;&gt;%USERPROFILE%\Documents\GitHub\eaglep3-reporting\EC\2017-12-02-refined-times.txt</v>
      </c>
      <c r="AI221" s="238" t="str">
        <f t="shared" si="65"/>
        <v>echo {"issue":{"subject":"","project_id":79,"tracker_id":40,"status_id":1,"priority_id":2,"assigned_to_id":338,"start_date":"2017-12-02","description":"","custom_fields":[{"id":1,"name":"Subdivision","value":"Shuttle/Test"},{"id":4,"name":"Milepost","value":"2.331"},{"id":17,"name":"Train ID","value":"77-02"},{"id":16,"name":"Locomotive ID","value":"4008"},{"id":130,"name":"Impact","value":""},{"id":150,"name":"Time of Event (Mountain Time)","value":"17:52:43"},{"id":151,"name":"Denver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66"/>
        <v>start /low /b %USERPROFILE%\Documents\GitHub\eaglep3\Utilities\DownloadLogsFromS3.py --loco 4008 --day 2017-12-02</v>
      </c>
      <c r="AN221" s="241" t="str">
        <f t="shared" si="6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00:52:43"},{"id":29,"name":"Sharepoint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68"/>
        <v>https://d0f6bd738d7f1b3e5a7ca70fe4ff75f0.us-east-1.aws.found.io/app/kibana#/discover/Steve-Slow-Train-Analysis-(2080s-and-2083s)?_g=(refreshInterval:(display:Off,pause:!f,section:0,value:0),time:(from:'2017-12-02T16:37:43-0700',mode:absolute,to:'2017-12-02T18:52:43-0700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</sheetData>
  <autoFilter ref="A12:AG503">
    <sortState ref="A13:AG503">
      <sortCondition ref="AG13:AG221"/>
      <sortCondition ref="AD13:AD221"/>
    </sortState>
  </autoFilter>
  <sortState ref="A13:AN408">
    <sortCondition ref="AG13:AG408"/>
    <sortCondition ref="AD13:AD408"/>
  </sortState>
  <mergeCells count="1">
    <mergeCell ref="A11:P11"/>
  </mergeCells>
  <conditionalFormatting sqref="W11:W12 W509:X1048576 W13:X221">
    <cfRule type="cellIs" dxfId="10" priority="465" operator="equal">
      <formula>"Y"</formula>
    </cfRule>
  </conditionalFormatting>
  <conditionalFormatting sqref="X509:X1048576 X13:X221">
    <cfRule type="cellIs" dxfId="9" priority="448" operator="greaterThan">
      <formula>1</formula>
    </cfRule>
  </conditionalFormatting>
  <conditionalFormatting sqref="X509:X1048576 X12:X221">
    <cfRule type="cellIs" dxfId="8" priority="445" operator="equal">
      <formula>0</formula>
    </cfRule>
  </conditionalFormatting>
  <conditionalFormatting sqref="A13:S221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1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COUNTIF($O$7:$O$180,"=Y")</f>
        <v>4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COUNTA($O$7:$O$180)-O2</f>
        <v>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- 2017-12-02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43071.733414351853</v>
      </c>
      <c r="B7" s="30" t="s">
        <v>658</v>
      </c>
      <c r="C7" s="30" t="s">
        <v>664</v>
      </c>
      <c r="D7" s="30" t="s">
        <v>49</v>
      </c>
      <c r="E7" s="30" t="s">
        <v>183</v>
      </c>
      <c r="F7" s="42">
        <v>0</v>
      </c>
      <c r="G7" s="42">
        <v>272</v>
      </c>
      <c r="H7" s="42">
        <v>58649</v>
      </c>
      <c r="I7" s="42">
        <v>57892</v>
      </c>
      <c r="J7" s="30" t="s">
        <v>184</v>
      </c>
      <c r="K7" s="42">
        <v>58301</v>
      </c>
      <c r="L7" s="131" t="s">
        <v>51</v>
      </c>
      <c r="M7" s="132">
        <f>CONVERT((I7-K7)/10000,"mi","ft")*IF(L7="Increasing Mileposts (1)",-1,1)</f>
        <v>-215.952</v>
      </c>
      <c r="N7" s="133" t="str">
        <f>VLOOKUP(C7,'Trips&amp;Operators'!$C$1:$G$99911,5,FALSE)</f>
        <v>HOLCOMB KAMDEN</v>
      </c>
      <c r="O7" s="175" t="s">
        <v>178</v>
      </c>
      <c r="P7" s="239" t="s">
        <v>1083</v>
      </c>
      <c r="Q7" s="30"/>
      <c r="R7" s="81" t="str">
        <f>VLOOKUP(C7,'Train Runs'!$A$13:$AE$10162,31,0)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S7" s="84" t="str">
        <f>VLOOKUP(C7,'Train Runs'!$A$13:$AE$10162,22,0)</f>
        <v>https://d0f6bd738d7f1b3e5a7ca70fe4ff75f0.us-east-1.aws.found.io/app/kibana#/discover/Steve-Slow-Train-Analysis-(2080s-and-2083s)?_g=(refreshInterval:(display:Off,pause:!f,section:0,value:0),time:(from:'2017-12-02T16:07:09-0700',mode:absolute,to:'2017-12-02T18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/stypes="*4033*201712030*" /stext=" 00:.+((SYSTEM_STATE.+slice.+state.+changed )|(ment ac)|(multiple cpu faults)|(system.+state.+changed )|(\[timeout)|(PRM\|1\|D)|(kpr)|(kdp)|(train st.+moving)|(\|lc)|(penalty))"</v>
      </c>
      <c r="U7" s="9" t="str">
        <f>MID(B7,13,4)</f>
        <v>4033</v>
      </c>
      <c r="V7" s="31">
        <f>A7-utc_offset/24</f>
        <v>43072.025081018517</v>
      </c>
      <c r="W7" s="45" t="str">
        <f>DetSubdiv(C7)</f>
        <v>EC</v>
      </c>
      <c r="X7" s="22">
        <f>VALUE(LEFT(C7,LEN(C7)-3))</f>
        <v>202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arrival","project_id":79,"tracker_id":40,"status_id":1,"priority_id":2,"assigned_to_id":338,"start_date":"2017-12-02","description":"","custom_fields":[{"id":1,"name":"Subdivision","value":"EC"},{"id":4,"name":"Milepost","value":"5.8301"},{"id":17,"name":"Train ID","value":"202-02"},{"id":16,"name":"Locomotive ID","value":"4033"},{"id":130,"name":"Impact","value":""},{"id":150,"name":"Time of Event (Mountain Time)","value":"17:36:07"},{"id":151,"name":"Denver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/c/Users/stu/AppData/Local/Temp/OnboardLogs/RTDC4033 --include="*4033*201712030*"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"%USERPROFILE%\AppData\Local\Temp\OnboardLogs"\RTDC4033\*4033*201712030* &gt;&gt; 2017-12-02-SliceDisagreementCheck.txt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4033 --day 2017-12-03</v>
      </c>
    </row>
    <row r="8" spans="1:32" s="1" customFormat="1" x14ac:dyDescent="0.3">
      <c r="A8" s="31">
        <v>43071.278287037036</v>
      </c>
      <c r="B8" s="30" t="s">
        <v>351</v>
      </c>
      <c r="C8" s="30" t="s">
        <v>652</v>
      </c>
      <c r="D8" s="30" t="s">
        <v>95</v>
      </c>
      <c r="E8" s="30" t="s">
        <v>183</v>
      </c>
      <c r="F8" s="42">
        <v>0</v>
      </c>
      <c r="G8" s="42">
        <v>93</v>
      </c>
      <c r="H8" s="42">
        <v>63309</v>
      </c>
      <c r="I8" s="42">
        <v>63200</v>
      </c>
      <c r="J8" s="30" t="s">
        <v>184</v>
      </c>
      <c r="K8" s="42">
        <v>63309</v>
      </c>
      <c r="L8" s="131" t="s">
        <v>51</v>
      </c>
      <c r="M8" s="132">
        <f>CONVERT((I8-K8)/10000,"mi","ft")*IF(L8="Increasing Mileposts (1)",-1,1)</f>
        <v>-57.552</v>
      </c>
      <c r="N8" s="133" t="str">
        <f>VLOOKUP(C8,'Trips&amp;Operators'!$C$1:$G$99911,5,FALSE)</f>
        <v>MACDONALD THOMAS</v>
      </c>
      <c r="O8" s="175" t="s">
        <v>178</v>
      </c>
      <c r="P8" s="239" t="s">
        <v>1083</v>
      </c>
      <c r="Q8" s="30"/>
      <c r="R8" s="81" t="str">
        <f>VLOOKUP(C8,'Train Runs'!$A$13:$AE$10162,31,0)</f>
        <v>aws s3 cp s3://rtdc.mdm.uploadarchive.raw/RTDC4055/ "%USERPROFILE%\AppData\Local\Temp\OnboardLogs"\RTDC4055\2017-12-02 --exclude "*" --recursive --include "*20171202*" &amp; "%USERPROFILE%\Documents\GitHub\mrs-test-scripts\Headless Mode &amp; Sideloading\WalkAndUnGZ.bat" "%USERPROFILE%\AppData\Local\Temp\OnboardLogs"\RTDC4055\2017-12-02 &amp; aws s3 cp s3://rtdc.mdm.uploadarchive.raw/RTDC4055/ "%USERPROFILE%\AppData\Local\Temp\OnboardLogs"\RTDC4055\2017-12-03 --exclude "*" --recursive --include "*20171203*" &amp; "%USERPROFILE%\Documents\GitHub\mrs-test-scripts\Headless Mode &amp; Sideloading\WalkAndUnGZ.bat" "%USERPROFILE%\AppData\Local\Temp\OnboardLogs"\RTDC4055\2017-12-03</v>
      </c>
      <c r="S8" s="84" t="str">
        <f>VLOOKUP(C8,'Train Runs'!$A$13:$AE$10162,22,0)</f>
        <v>https://d0f6bd738d7f1b3e5a7ca70fe4ff75f0.us-east-1.aws.found.io/app/kibana#/discover/Steve-Slow-Train-Analysis-(2080s-and-2083s)?_g=(refreshInterval:(display:Off,pause:!f,section:0,value:0),time:(from:'2017-12-02T05:08:39-0700',mode:absolute,to:'2017-12-02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/stypes="*4055*201712021*" /stext=" 13:.+((SYSTEM_STATE.+slice.+state.+changed )|(ment ac)|(multiple cpu faults)|(system.+state.+changed )|(\[timeout)|(PRM\|1\|D)|(kpr)|(kdp)|(train st.+moving)|(\|lc)|(penalty))"</v>
      </c>
      <c r="U8" s="9" t="str">
        <f>MID(B8,13,4)</f>
        <v>4055</v>
      </c>
      <c r="V8" s="31">
        <f>A8-utc_offset/24</f>
        <v>43071.5699537037</v>
      </c>
      <c r="W8" s="45" t="str">
        <f>DetSubdiv(C8)</f>
        <v>EC</v>
      </c>
      <c r="X8" s="228">
        <f>VALUE(LEFT(C8,LEN(C8)-3))</f>
        <v>114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arrival","project_id":79,"tracker_id":40,"status_id":1,"priority_id":2,"assigned_to_id":338,"start_date":"2017-12-02","description":"","custom_fields":[{"id":1,"name":"Subdivision","value":"EC"},{"id":4,"name":"Milepost","value":"6.3309"},{"id":17,"name":"Train ID","value":"114-02"},{"id":16,"name":"Locomotive ID","value":"4055"},{"id":130,"name":"Impact","value":""},{"id":150,"name":"Time of Event (Mountain Time)","value":"06:40:44"},{"id":151,"name":"Denver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/c/Users/stu/AppData/Local/Temp/OnboardLogs/RTDC4055 --include="*4055*201712021*"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"%USERPROFILE%\AppData\Local\Temp\OnboardLogs"\RTDC4055\*4055*201712021* &gt;&gt; 2017-12-02-SliceDisagreementCheck.txt</v>
      </c>
      <c r="AE8" s="144" t="str">
        <f t="shared" ref="AE8:AE17" si="1">"start /low /b "&amp;dls3logs&amp;" --loco "&amp;U8&amp;" --day "&amp;TEXT(V8,"YYYY-MM-DD")</f>
        <v>start /low /b %USERPROFILE%\Documents\GitHub\eaglep3\Utilities\DownloadLogsFromS3.py --loco 4055 --day 2017-12-02</v>
      </c>
    </row>
    <row r="9" spans="1:32" s="1" customFormat="1" x14ac:dyDescent="0.3">
      <c r="A9" s="31">
        <v>43071.537511574075</v>
      </c>
      <c r="B9" s="30" t="s">
        <v>560</v>
      </c>
      <c r="C9" s="30" t="s">
        <v>660</v>
      </c>
      <c r="D9" s="30" t="s">
        <v>49</v>
      </c>
      <c r="E9" s="30" t="s">
        <v>190</v>
      </c>
      <c r="F9" s="42">
        <v>650</v>
      </c>
      <c r="G9" s="42">
        <v>704</v>
      </c>
      <c r="H9" s="42">
        <v>44203</v>
      </c>
      <c r="I9" s="42">
        <v>41009</v>
      </c>
      <c r="J9" s="30" t="s">
        <v>191</v>
      </c>
      <c r="K9" s="42">
        <v>42793</v>
      </c>
      <c r="L9" s="131" t="s">
        <v>51</v>
      </c>
      <c r="M9" s="132">
        <f>CONVERT((I9-K9)/10000,"mi","ft")*IF(L9="Increasing Mileposts (1)",-1,1)</f>
        <v>-941.952</v>
      </c>
      <c r="N9" s="133" t="str">
        <f>VLOOKUP(C9,'Trips&amp;Operators'!$C$1:$G$99911,5,FALSE)</f>
        <v>SAFIEF AEIMEN</v>
      </c>
      <c r="O9" s="175" t="s">
        <v>178</v>
      </c>
      <c r="P9" s="239"/>
      <c r="Q9" s="30"/>
      <c r="R9" s="81" t="str">
        <f>VLOOKUP(C9,'Train Runs'!$A$13:$AE$10162,31,0)</f>
        <v>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 &amp; aws s3 cp s3://rtdc.mdm.uploadarchive.raw/RTDC4021/ "%USERPROFILE%\AppData\Local\Temp\OnboardLogs"\RTDC4021\2017-12-03 --exclude "*" --recursive --include "*20171203*" &amp; "%USERPROFILE%\Documents\GitHub\mrs-test-scripts\Headless Mode &amp; Sideloading\WalkAndUnGZ.bat" "%USERPROFILE%\AppData\Local\Temp\OnboardLogs"\RTDC4021\2017-12-03</v>
      </c>
      <c r="S9" s="84" t="str">
        <f>VLOOKUP(C9,'Train Runs'!$A$13:$AE$10162,22,0)</f>
        <v>https://d0f6bd738d7f1b3e5a7ca70fe4ff75f0.us-east-1.aws.found.io/app/kibana#/discover/Steve-Slow-Train-Analysis-(2080s-and-2083s)?_g=(refreshInterval:(display:Off,pause:!f,section:0,value:0),time:(from:'2017-12-02T11:10:51-0700',mode:absolute,to:'2017-12-02T14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/stypes="*4021*201712021*" /stext=" 19:.+((SYSTEM_STATE.+slice.+state.+changed )|(ment ac)|(multiple cpu faults)|(system.+state.+changed )|(\[timeout)|(PRM\|1\|D)|(kpr)|(kdp)|(train st.+moving)|(\|lc)|(penalty))"</v>
      </c>
      <c r="U9" s="9" t="str">
        <f>MID(B9,13,4)</f>
        <v>4021</v>
      </c>
      <c r="V9" s="31">
        <f>A9-utc_offset/24</f>
        <v>43071.82917824074</v>
      </c>
      <c r="W9" s="45" t="str">
        <f>DetSubdiv(C9)</f>
        <v>EC</v>
      </c>
      <c r="X9" s="228">
        <f>VALUE(LEFT(C9,LEN(C9)-3))</f>
        <v>164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{"issue":{"subject":"","project_id":79,"tracker_id":40,"status_id":1,"priority_id":2,"assigned_to_id":338,"start_date":"2017-12-02","description":"","custom_fields":[{"id":1,"name":"Subdivision","value":"EC"},{"id":4,"name":"Milepost","value":"4.2793"},{"id":17,"name":"Train ID","value":"164-02"},{"id":16,"name":"Locomotive ID","value":"4021"},{"id":130,"name":"Impact","value":""},{"id":150,"name":"Time of Event (Mountain Time)","value":"12:54:01"},{"id":151,"name":"Denver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/c/Users/stu/AppData/Local/Temp/OnboardLogs/RTDC4021 --include="*4021*201712021*"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"%USERPROFILE%\AppData\Local\Temp\OnboardLogs"\RTDC4021\*4021*201712021* &gt;&gt; 2017-12-02-SliceDisagreementCheck.txt</v>
      </c>
      <c r="AE9" s="144" t="str">
        <f t="shared" si="1"/>
        <v>start /low /b %USERPROFILE%\Documents\GitHub\eaglep3\Utilities\DownloadLogsFromS3.py --loco 4021 --day 2017-12-02</v>
      </c>
    </row>
    <row r="10" spans="1:32" x14ac:dyDescent="0.3">
      <c r="A10" s="31">
        <v>43071.54451388889</v>
      </c>
      <c r="B10" s="30" t="s">
        <v>589</v>
      </c>
      <c r="C10" s="30" t="s">
        <v>661</v>
      </c>
      <c r="D10" s="30" t="s">
        <v>95</v>
      </c>
      <c r="E10" s="30" t="s">
        <v>190</v>
      </c>
      <c r="F10" s="42">
        <v>600</v>
      </c>
      <c r="G10" s="42">
        <v>650</v>
      </c>
      <c r="H10" s="42">
        <v>184317</v>
      </c>
      <c r="I10" s="42">
        <v>181573</v>
      </c>
      <c r="J10" s="30" t="s">
        <v>191</v>
      </c>
      <c r="K10" s="42">
        <v>190834</v>
      </c>
      <c r="L10" s="131" t="s">
        <v>51</v>
      </c>
      <c r="M10" s="132">
        <f>CONVERT((I10-K10)/10000,"mi","ft")*IF(L10="Increasing Mileposts (1)",-1,1)</f>
        <v>-4889.808</v>
      </c>
      <c r="N10" s="133" t="str">
        <f>VLOOKUP(C10,'Trips&amp;Operators'!$C$1:$G$99911,5,FALSE)</f>
        <v>BADERTSCHER DIANE</v>
      </c>
      <c r="O10" s="175" t="s">
        <v>178</v>
      </c>
      <c r="P10" s="239"/>
      <c r="Q10" s="30"/>
      <c r="R10" s="81" t="str">
        <f>VLOOKUP(C10,'Train Runs'!$A$13:$AE$10162,31,0)</f>
        <v>aws s3 cp s3://rtdc.mdm.uploadarchive.raw/RTDC4009/ "%USERPROFILE%\AppData\Local\Temp\OnboardLogs"\RTDC4009\2017-12-02 --exclude "*" --recursive --include "*20171202*" &amp; "%USERPROFILE%\Documents\GitHub\mrs-test-scripts\Headless Mode &amp; Sideloading\WalkAndUnGZ.bat" "%USERPROFILE%\AppData\Local\Temp\OnboardLogs"\RTDC4009\2017-12-02 &amp; aws s3 cp s3://rtdc.mdm.uploadarchive.raw/RTDC4009/ "%USERPROFILE%\AppData\Local\Temp\OnboardLogs"\RTDC4009\2017-12-03 --exclude "*" --recursive --include "*20171203*" &amp; "%USERPROFILE%\Documents\GitHub\mrs-test-scripts\Headless Mode &amp; Sideloading\WalkAndUnGZ.bat" "%USERPROFILE%\AppData\Local\Temp\OnboardLogs"\RTDC4009\2017-12-03</v>
      </c>
      <c r="S10" s="84" t="str">
        <f>VLOOKUP(C10,'Train Runs'!$A$13:$AE$10162,22,0)</f>
        <v>https://d0f6bd738d7f1b3e5a7ca70fe4ff75f0.us-east-1.aws.found.io/app/kibana#/discover/Steve-Slow-Train-Analysis-(2080s-and-2083s)?_g=(refreshInterval:(display:Off,pause:!f,section:0,value:0),time:(from:'2017-12-02T11:47:43-0700',mode:absolute,to:'2017-12-02T14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/stypes="*4009*201712022*" /stext=" 20:.+((SYSTEM_STATE.+slice.+state.+changed )|(ment ac)|(multiple cpu faults)|(system.+state.+changed )|(\[timeout)|(PRM\|1\|D)|(kpr)|(kdp)|(train st.+moving)|(\|lc)|(penalty))"</v>
      </c>
      <c r="U10" s="9" t="str">
        <f>MID(B10,13,4)</f>
        <v>4009</v>
      </c>
      <c r="V10" s="31">
        <f>A10-utc_offset/24</f>
        <v>43071.836180555554</v>
      </c>
      <c r="W10" s="45" t="str">
        <f>DetSubdiv(C10)</f>
        <v>EC</v>
      </c>
      <c r="X10" s="228">
        <f>VALUE(LEFT(C10,LEN(C10)-3))</f>
        <v>168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{"issue":{"subject":"","project_id":79,"tracker_id":40,"status_id":1,"priority_id":2,"assigned_to_id":338,"start_date":"2017-12-02","description":"","custom_fields":[{"id":1,"name":"Subdivision","value":"EC"},{"id":4,"name":"Milepost","value":"19.0834"},{"id":17,"name":"Train ID","value":"168-02"},{"id":16,"name":"Locomotive ID","value":"4009"},{"id":130,"name":"Impact","value":""},{"id":150,"name":"Time of Event (Mountain Time)","value":"13:04:06"},{"id":151,"name":"Denver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/c/Users/stu/AppData/Local/Temp/OnboardLogs/RTDC4009 --include="*4009*201712022*"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"%USERPROFILE%\AppData\Local\Temp\OnboardLogs"\RTDC4009\*4009*201712022* &gt;&gt; 2017-12-02-SliceDisagreementCheck.txt</v>
      </c>
      <c r="AE10" s="144" t="str">
        <f t="shared" si="1"/>
        <v>start /low /b %USERPROFILE%\Documents\GitHub\eaglep3\Utilities\DownloadLogsFromS3.py --loco 4009 --day 2017-12-02</v>
      </c>
      <c r="AF10" s="1"/>
    </row>
    <row r="11" spans="1:32" x14ac:dyDescent="0.3">
      <c r="A11" s="31">
        <v>43071.701238425929</v>
      </c>
      <c r="B11" s="30" t="s">
        <v>662</v>
      </c>
      <c r="C11" s="30" t="s">
        <v>663</v>
      </c>
      <c r="D11" s="30" t="s">
        <v>95</v>
      </c>
      <c r="E11" s="30" t="s">
        <v>190</v>
      </c>
      <c r="F11" s="42">
        <v>350</v>
      </c>
      <c r="G11" s="42">
        <v>400</v>
      </c>
      <c r="H11" s="42">
        <v>229266</v>
      </c>
      <c r="I11" s="42">
        <v>230344</v>
      </c>
      <c r="J11" s="30" t="s">
        <v>191</v>
      </c>
      <c r="K11" s="42">
        <v>224578</v>
      </c>
      <c r="L11" s="131" t="s">
        <v>50</v>
      </c>
      <c r="M11" s="132">
        <f>CONVERT((I11-K11)/10000,"mi","ft")*IF(L11="Increasing Mileposts (1)",-1,1)</f>
        <v>-3044.4479999999999</v>
      </c>
      <c r="N11" s="133" t="str">
        <f>VLOOKUP(C11,'Trips&amp;Operators'!$C$1:$G$99911,5,FALSE)</f>
        <v>HOLCOMB KAMDEN</v>
      </c>
      <c r="O11" s="175" t="s">
        <v>178</v>
      </c>
      <c r="P11" s="239"/>
      <c r="Q11" s="30"/>
      <c r="R11" s="81" t="str">
        <f>VLOOKUP(C11,'Train Runs'!$A$13:$AE$10162,31,0)</f>
        <v>aws s3 cp s3://rtdc.mdm.uploadarchive.raw/RTDC4034/ "%USERPROFILE%\AppData\Local\Temp\OnboardLogs"\RTDC4034\2017-12-02 --exclude "*" --recursive --include "*20171202*" &amp; "%USERPROFILE%\Documents\GitHub\mrs-test-scripts\Headless Mode &amp; Sideloading\WalkAndUnGZ.bat" "%USERPROFILE%\AppData\Local\Temp\OnboardLogs"\RTDC4034\2017-12-02 &amp; aws s3 cp s3://rtdc.mdm.uploadarchive.raw/RTDC4034/ "%USERPROFILE%\AppData\Local\Temp\OnboardLogs"\RTDC4034\2017-12-03 --exclude "*" --recursive --include "*20171203*" &amp; "%USERPROFILE%\Documents\GitHub\mrs-test-scripts\Headless Mode &amp; Sideloading\WalkAndUnGZ.bat" "%USERPROFILE%\AppData\Local\Temp\OnboardLogs"\RTDC4034\2017-12-03</v>
      </c>
      <c r="S11" s="84" t="str">
        <f>VLOOKUP(C11,'Train Runs'!$A$13:$AE$10162,22,0)</f>
        <v>https://d0f6bd738d7f1b3e5a7ca70fe4ff75f0.us-east-1.aws.found.io/app/kibana#/discover/Steve-Slow-Train-Analysis-(2080s-and-2083s)?_g=(refreshInterval:(display:Off,pause:!f,section:0,value:0),time:(from:'2017-12-02T15:10:04-0700',mode:absolute,to:'2017-12-02T17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/stypes="*4034*201712022*" /stext=" 23:.+((SYSTEM_STATE.+slice.+state.+changed )|(ment ac)|(multiple cpu faults)|(system.+state.+changed )|(\[timeout)|(PRM\|1\|D)|(kpr)|(kdp)|(train st.+moving)|(\|lc)|(penalty))"</v>
      </c>
      <c r="U11" s="9" t="str">
        <f>MID(B11,13,4)</f>
        <v>4034</v>
      </c>
      <c r="V11" s="31">
        <f>A11-utc_offset/24</f>
        <v>43071.992905092593</v>
      </c>
      <c r="W11" s="45" t="str">
        <f>DetSubdiv(C11)</f>
        <v>EC</v>
      </c>
      <c r="X11" s="228">
        <f>VALUE(LEFT(C11,LEN(C11)-3))</f>
        <v>201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{"issue":{"subject":"","project_id":79,"tracker_id":40,"status_id":1,"priority_id":2,"assigned_to_id":338,"start_date":"2017-12-02","description":"","custom_fields":[{"id":1,"name":"Subdivision","value":"EC"},{"id":4,"name":"Milepost","value":"22.4578"},{"id":17,"name":"Train ID","value":"201-02"},{"id":16,"name":"Locomotive ID","value":"4034"},{"id":130,"name":"Impact","value":""},{"id":150,"name":"Time of Event (Mountain Time)","value":"16:49:47"},{"id":151,"name":"Denver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/c/Users/stu/AppData/Local/Temp/OnboardLogs/RTDC4034 --include="*4034*201712022*"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"%USERPROFILE%\AppData\Local\Temp\OnboardLogs"\RTDC4034\*4034*201712022* &gt;&gt; 2017-12-02-SliceDisagreementCheck.txt</v>
      </c>
      <c r="AE11" s="144" t="str">
        <f t="shared" si="1"/>
        <v>start /low /b %USERPROFILE%\Documents\GitHub\eaglep3\Utilities\DownloadLogsFromS3.py --loco 4034 --day 2017-12-02</v>
      </c>
      <c r="AF11" s="1"/>
    </row>
    <row r="12" spans="1:32" x14ac:dyDescent="0.3">
      <c r="A12" s="31">
        <v>43071.437361111108</v>
      </c>
      <c r="B12" s="30" t="s">
        <v>559</v>
      </c>
      <c r="C12" s="30" t="s">
        <v>655</v>
      </c>
      <c r="D12" s="30" t="s">
        <v>49</v>
      </c>
      <c r="E12" s="30" t="s">
        <v>354</v>
      </c>
      <c r="F12" s="42">
        <v>0</v>
      </c>
      <c r="G12" s="42">
        <v>802</v>
      </c>
      <c r="H12" s="42">
        <v>143038</v>
      </c>
      <c r="I12" s="42">
        <v>147431</v>
      </c>
      <c r="J12" s="30" t="s">
        <v>355</v>
      </c>
      <c r="K12" s="42">
        <v>144300</v>
      </c>
      <c r="L12" s="131" t="s">
        <v>50</v>
      </c>
      <c r="M12" s="132">
        <f>CONVERT((I12-K12)/10000,"mi","ft")*IF(L12="Increasing Mileposts (1)",-1,1)</f>
        <v>-1653.1679999999999</v>
      </c>
      <c r="N12" s="133" t="str">
        <f>VLOOKUP(C12,'Trips&amp;Operators'!$C$1:$G$99911,5,FALSE)</f>
        <v>NEWELL JAMES</v>
      </c>
      <c r="O12" s="175" t="s">
        <v>348</v>
      </c>
      <c r="P12" s="239" t="s">
        <v>482</v>
      </c>
      <c r="Q12" s="30"/>
      <c r="R12" s="81" t="str">
        <f>VLOOKUP(C12,'Train Runs'!$A$13:$AE$10162,31,0)</f>
        <v>aws s3 cp s3://rtdc.mdm.uploadarchive.raw/RTDC4032/ "%USERPROFILE%\AppData\Local\Temp\OnboardLogs"\RTDC4032\2017-12-02 --exclude "*" --recursive --include "*20171202*" &amp; "%USERPROFILE%\Documents\GitHub\mrs-test-scripts\Headless Mode &amp; Sideloading\WalkAndUnGZ.bat" "%USERPROFILE%\AppData\Local\Temp\OnboardLogs"\RTDC4032\2017-12-02 &amp; aws s3 cp s3://rtdc.mdm.uploadarchive.raw/RTDC4032/ "%USERPROFILE%\AppData\Local\Temp\OnboardLogs"\RTDC4032\2017-12-03 --exclude "*" --recursive --include "*20171203*" &amp; "%USERPROFILE%\Documents\GitHub\mrs-test-scripts\Headless Mode &amp; Sideloading\WalkAndUnGZ.bat" "%USERPROFILE%\AppData\Local\Temp\OnboardLogs"\RTDC4032\2017-12-03</v>
      </c>
      <c r="S12" s="84" t="str">
        <f>VLOOKUP(C12,'Train Runs'!$A$13:$AE$10162,22,0)</f>
        <v>https://d0f6bd738d7f1b3e5a7ca70fe4ff75f0.us-east-1.aws.found.io/app/kibana#/discover/Steve-Slow-Train-Analysis-(2080s-and-2083s)?_g=(refreshInterval:(display:Off,pause:!f,section:0,value:0),time:(from:'2017-12-02T08:55:34-0700',mode:absolute,to:'2017-12-02T11:42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/stypes="*4032*201712021*" /stext=" 17:.+((SYSTEM_STATE.+slice.+state.+changed )|(ment ac)|(multiple cpu faults)|(system.+state.+changed )|(\[timeout)|(PRM\|1\|D)|(kpr)|(kdp)|(train st.+moving)|(\|lc)|(penalty))"</v>
      </c>
      <c r="U12" s="9" t="str">
        <f>MID(B12,13,4)</f>
        <v>4032</v>
      </c>
      <c r="V12" s="31">
        <f>A12-utc_offset/24</f>
        <v>43071.729027777772</v>
      </c>
      <c r="W12" s="45" t="str">
        <f>DetSubdiv(C12)</f>
        <v>EC</v>
      </c>
      <c r="X12" s="228">
        <f>VALUE(LEFT(C12,LEN(C12)-3))</f>
        <v>151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drop","project_id":79,"tracker_id":40,"status_id":1,"priority_id":2,"assigned_to_id":338,"start_date":"2017-12-02","description":"","custom_fields":[{"id":1,"name":"Subdivision","value":"EC"},{"id":4,"name":"Milepost","value":"14.43"},{"id":17,"name":"Train ID","value":"151-02"},{"id":16,"name":"Locomotive ID","value":"4032"},{"id":130,"name":"Impact","value":""},{"id":150,"name":"Time of Event (Mountain Time)","value":"10:29:48"},{"id":151,"name":"Denver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/c/Users/stu/AppData/Local/Temp/OnboardLogs/RTDC4032 --include="*4032*201712021*"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"%USERPROFILE%\AppData\Local\Temp\OnboardLogs"\RTDC4032\*4032*201712021* &gt;&gt; 2017-12-02-SliceDisagreementCheck.txt</v>
      </c>
      <c r="AE12" s="144" t="str">
        <f t="shared" si="1"/>
        <v>start /low /b %USERPROFILE%\Documents\GitHub\eaglep3\Utilities\DownloadLogsFromS3.py --loco 4032 --day 2017-12-02</v>
      </c>
      <c r="AF12" s="1"/>
    </row>
    <row r="13" spans="1:32" x14ac:dyDescent="0.3">
      <c r="A13" s="31">
        <v>43071.515266203707</v>
      </c>
      <c r="B13" s="30" t="s">
        <v>658</v>
      </c>
      <c r="C13" s="30" t="s">
        <v>659</v>
      </c>
      <c r="D13" s="30" t="s">
        <v>49</v>
      </c>
      <c r="E13" s="30" t="s">
        <v>452</v>
      </c>
      <c r="F13" s="42">
        <v>0</v>
      </c>
      <c r="G13" s="42">
        <v>400</v>
      </c>
      <c r="H13" s="42">
        <v>59884</v>
      </c>
      <c r="I13" s="42">
        <v>58717</v>
      </c>
      <c r="J13" s="30" t="s">
        <v>453</v>
      </c>
      <c r="K13" s="42">
        <v>57801</v>
      </c>
      <c r="L13" s="131" t="s">
        <v>51</v>
      </c>
      <c r="M13" s="132">
        <f>CONVERT((I13-K13)/10000,"mi","ft")*IF(L13="Increasing Mileposts (1)",-1,1)</f>
        <v>483.64800000000002</v>
      </c>
      <c r="N13" s="133" t="str">
        <f>VLOOKUP(C13,'Trips&amp;Operators'!$C$1:$G$99911,5,FALSE)</f>
        <v>BROWN JACOB</v>
      </c>
      <c r="O13" s="175" t="s">
        <v>348</v>
      </c>
      <c r="P13" s="239" t="s">
        <v>482</v>
      </c>
      <c r="Q13" s="30"/>
      <c r="R13" s="81" t="str">
        <f>VLOOKUP(C13,'Train Runs'!$A$13:$AE$10162,31,0)</f>
        <v>aws s3 cp s3://rtdc.mdm.uploadarchive.raw/RTDC4033/ "%USERPROFILE%\AppData\Local\Temp\OnboardLogs"\RTDC4033\2017-12-02 --exclude "*" --recursive --include "*20171202*" &amp; "%USERPROFILE%\Documents\GitHub\mrs-test-scripts\Headless Mode &amp; Sideloading\WalkAndUnGZ.bat" "%USERPROFILE%\AppData\Local\Temp\OnboardLogs"\RTDC4033\2017-12-02 &amp; aws s3 cp s3://rtdc.mdm.uploadarchive.raw/RTDC4033/ "%USERPROFILE%\AppData\Local\Temp\OnboardLogs"\RTDC4033\2017-12-03 --exclude "*" --recursive --include "*20171203*" &amp; "%USERPROFILE%\Documents\GitHub\mrs-test-scripts\Headless Mode &amp; Sideloading\WalkAndUnGZ.bat" "%USERPROFILE%\AppData\Local\Temp\OnboardLogs"\RTDC4033\2017-12-03</v>
      </c>
      <c r="S13" s="84" t="str">
        <f>VLOOKUP(C13,'Train Runs'!$A$13:$AE$10162,22,0)</f>
        <v>https://d0f6bd738d7f1b3e5a7ca70fe4ff75f0.us-east-1.aws.found.io/app/kibana#/discover/Steve-Slow-Train-Analysis-(2080s-and-2083s)?_g=(refreshInterval:(display:Off,pause:!f,section:0,value:0),time:(from:'2017-12-02T10:52:46-0700',mode:absolute,to:'2017-12-02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/stypes="*4033*201712021*" /stext=" 19:.+((SYSTEM_STATE.+slice.+state.+changed )|(ment ac)|(multiple cpu faults)|(system.+state.+changed )|(\[timeout)|(PRM\|1\|D)|(kpr)|(kdp)|(train st.+moving)|(\|lc)|(penalty))"</v>
      </c>
      <c r="U13" s="9" t="str">
        <f>MID(B13,13,4)</f>
        <v>4033</v>
      </c>
      <c r="V13" s="31">
        <f>A13-utc_offset/24</f>
        <v>43071.806932870371</v>
      </c>
      <c r="W13" s="45" t="str">
        <f>DetSubdiv(C13)</f>
        <v>EC</v>
      </c>
      <c r="X13" s="228">
        <f>VALUE(LEFT(C13,LEN(C13)-3))</f>
        <v>160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drop","project_id":79,"tracker_id":40,"status_id":1,"priority_id":2,"assigned_to_id":338,"start_date":"2017-12-02","description":"","custom_fields":[{"id":1,"name":"Subdivision","value":"EC"},{"id":4,"name":"Milepost","value":"5.7801"},{"id":17,"name":"Train ID","value":"160-02"},{"id":16,"name":"Locomotive ID","value":"4033"},{"id":130,"name":"Impact","value":""},{"id":150,"name":"Time of Event (Mountain Time)","value":"12:21:59"},{"id":151,"name":"Denver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/c/Users/stu/AppData/Local/Temp/OnboardLogs/RTDC4033 --include="*4033*201712021*"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"%USERPROFILE%\AppData\Local\Temp\OnboardLogs"\RTDC4033\*4033*201712021* &gt;&gt; 2017-12-02-SliceDisagreementCheck.txt</v>
      </c>
      <c r="AE13" s="144" t="str">
        <f t="shared" si="1"/>
        <v>start /low /b %USERPROFILE%\Documents\GitHub\eaglep3\Utilities\DownloadLogsFromS3.py --loco 4033 --day 2017-12-02</v>
      </c>
      <c r="AF13" s="1"/>
    </row>
    <row r="14" spans="1:32" x14ac:dyDescent="0.3">
      <c r="A14" s="31">
        <v>43071.304479166669</v>
      </c>
      <c r="B14" s="30" t="s">
        <v>495</v>
      </c>
      <c r="C14" s="30" t="s">
        <v>653</v>
      </c>
      <c r="D14" s="30" t="s">
        <v>49</v>
      </c>
      <c r="E14" s="30" t="s">
        <v>190</v>
      </c>
      <c r="F14" s="42">
        <v>400</v>
      </c>
      <c r="G14" s="42">
        <v>500</v>
      </c>
      <c r="H14" s="42">
        <v>46228</v>
      </c>
      <c r="I14" s="42">
        <v>47746</v>
      </c>
      <c r="J14" s="30" t="s">
        <v>191</v>
      </c>
      <c r="K14" s="42">
        <v>47810</v>
      </c>
      <c r="L14" s="131" t="s">
        <v>50</v>
      </c>
      <c r="M14" s="132">
        <f>CONVERT((I14-K14)/10000,"mi","ft")*IF(L14="Increasing Mileposts (1)",-1,1)</f>
        <v>33.792000000000002</v>
      </c>
      <c r="N14" s="133" t="str">
        <f>VLOOKUP(C14,'Trips&amp;Operators'!$C$1:$G$99911,5,FALSE)</f>
        <v>LAMAR NEKESHA</v>
      </c>
      <c r="O14" s="175" t="s">
        <v>178</v>
      </c>
      <c r="P14" s="239"/>
      <c r="Q14" s="30"/>
      <c r="R14" s="81" t="str">
        <f>VLOOKUP(C14,'Train Runs'!$A$13:$AE$10162,31,0)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S14" s="84" t="str">
        <f>VLOOKUP(C14,'Train Runs'!$A$13:$AE$10162,22,0)</f>
        <v>https://d0f6bd738d7f1b3e5a7ca70fe4ff75f0.us-east-1.aws.found.io/app/kibana#/discover/Steve-Slow-Train-Analysis-(2080s-and-2083s)?_g=(refreshInterval:(display:Off,pause:!f,section:0,value:0),time:(from:'2017-12-02T06:04:57-0700',mode:absolute,to:'2017-12-02T08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/stypes="*4054*201712021*" /stext=" 14:.+((SYSTEM_STATE.+slice.+state.+changed )|(ment ac)|(multiple cpu faults)|(system.+state.+changed )|(\[timeout)|(PRM\|1\|D)|(kpr)|(kdp)|(train st.+moving)|(\|lc)|(penalty))"</v>
      </c>
      <c r="U14" s="9" t="str">
        <f>MID(B14,13,4)</f>
        <v>4054</v>
      </c>
      <c r="V14" s="31">
        <f>A14-utc_offset/24</f>
        <v>43071.596145833333</v>
      </c>
      <c r="W14" s="45" t="str">
        <f>DetSubdiv(C14)</f>
        <v>NW</v>
      </c>
      <c r="X14" s="228">
        <f>VALUE(LEFT(C14,LEN(C14)-3))</f>
        <v>1803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{"issue":{"subject":"","project_id":79,"tracker_id":40,"status_id":1,"priority_id":2,"assigned_to_id":338,"start_date":"2017-12-02","description":"","custom_fields":[{"id":1,"name":"Subdivision","value":"NW"},{"id":4,"name":"Milepost","value":"4.781"},{"id":17,"name":"Train ID","value":"1803-02"},{"id":16,"name":"Locomotive ID","value":"4054"},{"id":130,"name":"Impact","value":""},{"id":150,"name":"Time of Event (Mountain Time)","value":"07:18:27"},{"id":151,"name":"Denver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/c/Users/stu/AppData/Local/Temp/OnboardLogs/RTDC4054 --include="*4054*201712021*"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"%USERPROFILE%\AppData\Local\Temp\OnboardLogs"\RTDC4054\*4054*201712021* &gt;&gt; 2017-12-02-SliceDisagreementCheck.txt</v>
      </c>
      <c r="AE14" s="144" t="str">
        <f t="shared" si="1"/>
        <v>start /low /b %USERPROFILE%\Documents\GitHub\eaglep3\Utilities\DownloadLogsFromS3.py --loco 4054 --day 2017-12-02</v>
      </c>
      <c r="AF14" s="1"/>
    </row>
    <row r="15" spans="1:32" x14ac:dyDescent="0.3">
      <c r="A15" s="31">
        <v>43071.453298611108</v>
      </c>
      <c r="B15" s="30" t="s">
        <v>496</v>
      </c>
      <c r="C15" s="30" t="s">
        <v>656</v>
      </c>
      <c r="D15" s="30" t="s">
        <v>95</v>
      </c>
      <c r="E15" s="30" t="s">
        <v>354</v>
      </c>
      <c r="F15" s="42">
        <v>0</v>
      </c>
      <c r="G15" s="42">
        <v>87</v>
      </c>
      <c r="H15" s="42">
        <v>4774</v>
      </c>
      <c r="I15" s="42">
        <v>4666</v>
      </c>
      <c r="J15" s="30" t="s">
        <v>355</v>
      </c>
      <c r="K15" s="42">
        <v>4798</v>
      </c>
      <c r="L15" s="131" t="s">
        <v>51</v>
      </c>
      <c r="M15" s="132">
        <f>CONVERT((I15-K15)/10000,"mi","ft")*IF(L15="Increasing Mileposts (1)",-1,1)</f>
        <v>-69.695999999999998</v>
      </c>
      <c r="N15" s="133" t="str">
        <f>VLOOKUP(C15,'Trips&amp;Operators'!$C$1:$G$99911,5,FALSE)</f>
        <v>LAMAR NEKESHA</v>
      </c>
      <c r="O15" s="175" t="s">
        <v>348</v>
      </c>
      <c r="P15" s="239" t="s">
        <v>648</v>
      </c>
      <c r="Q15" s="30"/>
      <c r="R15" s="81" t="str">
        <f>VLOOKUP(C15,'Train Runs'!$A$13:$AE$10162,31,0)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S15" s="84" t="str">
        <f>VLOOKUP(C15,'Train Runs'!$A$13:$AE$10162,22,0)</f>
        <v>https://d0f6bd738d7f1b3e5a7ca70fe4ff75f0.us-east-1.aws.found.io/app/kibana#/discover/Steve-Slow-Train-Analysis-(2080s-and-2083s)?_g=(refreshInterval:(display:Off,pause:!f,section:0,value:0),time:(from:'2017-12-02T09:25:31-0700',mode:absolute,to:'2017-12-02T11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/stypes="*4053*201712021*" /stext=" 17:.+((SYSTEM_STATE.+slice.+state.+changed )|(ment ac)|(multiple cpu faults)|(system.+state.+changed )|(\[timeout)|(PRM\|1\|D)|(kpr)|(kdp)|(train st.+moving)|(\|lc)|(penalty))"</v>
      </c>
      <c r="U15" s="9" t="str">
        <f>MID(B15,13,4)</f>
        <v>4053</v>
      </c>
      <c r="V15" s="31">
        <f>A15-utc_offset/24</f>
        <v>43071.744965277772</v>
      </c>
      <c r="W15" s="45" t="str">
        <f>DetSubdiv(C15)</f>
        <v>NW</v>
      </c>
      <c r="X15" s="228">
        <f>VALUE(LEFT(C15,LEN(C15)-3))</f>
        <v>1810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overpass","project_id":79,"tracker_id":40,"status_id":1,"priority_id":2,"assigned_to_id":338,"start_date":"2017-12-02","description":"","custom_fields":[{"id":1,"name":"Subdivision","value":"NW"},{"id":4,"name":"Milepost","value":"0.4798"},{"id":17,"name":"Train ID","value":"1810-02"},{"id":16,"name":"Locomotive ID","value":"4053"},{"id":130,"name":"Impact","value":""},{"id":150,"name":"Time of Event (Mountain Time)","value":"10:52:45"},{"id":151,"name":"Denver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/c/Users/stu/AppData/Local/Temp/OnboardLogs/RTDC4053 --include="*4053*201712021*"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"%USERPROFILE%\AppData\Local\Temp\OnboardLogs"\RTDC4053\*4053*201712021* &gt;&gt; 2017-12-02-SliceDisagreementCheck.txt</v>
      </c>
      <c r="AE15" s="144" t="str">
        <f t="shared" si="1"/>
        <v>start /low /b %USERPROFILE%\Documents\GitHub\eaglep3\Utilities\DownloadLogsFromS3.py --loco 4053 --day 2017-12-02</v>
      </c>
      <c r="AF15" s="1"/>
    </row>
    <row r="16" spans="1:32" x14ac:dyDescent="0.3">
      <c r="A16" s="31">
        <v>43071.786944444444</v>
      </c>
      <c r="B16" s="30" t="s">
        <v>496</v>
      </c>
      <c r="C16" s="30" t="s">
        <v>667</v>
      </c>
      <c r="D16" s="30" t="s">
        <v>49</v>
      </c>
      <c r="E16" s="30" t="s">
        <v>354</v>
      </c>
      <c r="F16" s="42">
        <v>0</v>
      </c>
      <c r="G16" s="42">
        <v>43</v>
      </c>
      <c r="H16" s="42">
        <v>4800</v>
      </c>
      <c r="I16" s="42">
        <v>4658</v>
      </c>
      <c r="J16" s="30" t="s">
        <v>355</v>
      </c>
      <c r="K16" s="42">
        <v>4798</v>
      </c>
      <c r="L16" s="131" t="s">
        <v>51</v>
      </c>
      <c r="M16" s="132">
        <f>CONVERT((I16-K16)/10000,"mi","ft")*IF(L16="Increasing Mileposts (1)",-1,1)</f>
        <v>-73.92</v>
      </c>
      <c r="N16" s="133" t="str">
        <f>VLOOKUP(C16,'Trips&amp;Operators'!$C$1:$G$99911,5,FALSE)</f>
        <v>SMITH MICHAEL</v>
      </c>
      <c r="O16" s="175" t="s">
        <v>348</v>
      </c>
      <c r="P16" s="239" t="s">
        <v>648</v>
      </c>
      <c r="Q16" s="30"/>
      <c r="R16" s="81" t="str">
        <f>VLOOKUP(C16,'Train Runs'!$A$13:$AE$10162,31,0)</f>
        <v>aws s3 cp s3://rtdc.mdm.uploadarchive.raw/RTDC4053/ "%USERPROFILE%\AppData\Local\Temp\OnboardLogs"\RTDC4053\2017-12-02 --exclude "*" --recursive --include "*20171202*" &amp; "%USERPROFILE%\Documents\GitHub\mrs-test-scripts\Headless Mode &amp; Sideloading\WalkAndUnGZ.bat" "%USERPROFILE%\AppData\Local\Temp\OnboardLogs"\RTDC4053\2017-12-02 &amp; 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</v>
      </c>
      <c r="S16" s="84" t="str">
        <f>VLOOKUP(C16,'Train Runs'!$A$13:$AE$10162,22,0)</f>
        <v>https://d0f6bd738d7f1b3e5a7ca70fe4ff75f0.us-east-1.aws.found.io/app/kibana#/discover/Steve-Slow-Train-Analysis-(2080s-and-2083s)?_g=(refreshInterval:(display:Off,pause:!f,section:0,value:0),time:(from:'2017-12-02T17:24:39-0700',mode:absolute,to:'2017-12-02T19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/stypes="*4053*201712030*" /stext=" 01:.+((SYSTEM_STATE.+slice.+state.+changed )|(ment ac)|(multiple cpu faults)|(system.+state.+changed )|(\[timeout)|(PRM\|1\|D)|(kpr)|(kdp)|(train st.+moving)|(\|lc)|(penalty))"</v>
      </c>
      <c r="U16" s="9" t="str">
        <f>MID(B16,13,4)</f>
        <v>4053</v>
      </c>
      <c r="V16" s="31">
        <f>A16-utc_offset/24</f>
        <v>43072.078611111108</v>
      </c>
      <c r="W16" s="45" t="str">
        <f>DetSubdiv(C16)</f>
        <v>NW</v>
      </c>
      <c r="X16" s="228">
        <f>VALUE(LEFT(C16,LEN(C16)-3))</f>
        <v>1826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overpass","project_id":79,"tracker_id":40,"status_id":1,"priority_id":2,"assigned_to_id":338,"start_date":"2017-12-02","description":"","custom_fields":[{"id":1,"name":"Subdivision","value":"NW"},{"id":4,"name":"Milepost","value":"0.4798"},{"id":17,"name":"Train ID","value":"1826-02"},{"id":16,"name":"Locomotive ID","value":"4053"},{"id":130,"name":"Impact","value":""},{"id":150,"name":"Time of Event (Mountain Time)","value":"18:53:12"},{"id":151,"name":"Denver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/c/Users/stu/AppData/Local/Temp/OnboardLogs/RTDC4053 --include="*4053*201712030*"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"%USERPROFILE%\AppData\Local\Temp\OnboardLogs"\RTDC4053\*4053*201712030* &gt;&gt; 2017-12-02-SliceDisagreementCheck.txt</v>
      </c>
      <c r="AE16" s="144" t="str">
        <f t="shared" si="1"/>
        <v>start /low /b %USERPROFILE%\Documents\GitHub\eaglep3\Utilities\DownloadLogsFromS3.py --loco 4053 --day 2017-12-03</v>
      </c>
      <c r="AF16" s="1"/>
    </row>
    <row r="17" spans="1:32" x14ac:dyDescent="0.3">
      <c r="A17" s="31">
        <v>43071.432071759256</v>
      </c>
      <c r="B17" s="30" t="s">
        <v>495</v>
      </c>
      <c r="C17" s="30" t="s">
        <v>654</v>
      </c>
      <c r="D17" s="30" t="s">
        <v>49</v>
      </c>
      <c r="E17" s="30" t="s">
        <v>650</v>
      </c>
      <c r="F17" s="42">
        <v>0</v>
      </c>
      <c r="G17" s="42">
        <v>110</v>
      </c>
      <c r="H17" s="42">
        <v>58643</v>
      </c>
      <c r="I17" s="42">
        <v>58801</v>
      </c>
      <c r="J17" s="30" t="s">
        <v>651</v>
      </c>
      <c r="K17" s="42">
        <v>59048</v>
      </c>
      <c r="L17" s="131" t="s">
        <v>50</v>
      </c>
      <c r="M17" s="132">
        <f>CONVERT((I17-K17)/10000,"mi","ft")*IF(L17="Increasing Mileposts (1)",-1,1)</f>
        <v>130.416</v>
      </c>
      <c r="N17" s="133" t="str">
        <f>VLOOKUP(C17,'Trips&amp;Operators'!$C$1:$G$99911,5,FALSE)</f>
        <v>LAMAR NEKESHA</v>
      </c>
      <c r="O17" s="175" t="s">
        <v>178</v>
      </c>
      <c r="P17" s="239"/>
      <c r="Q17" s="30"/>
      <c r="R17" s="81" t="str">
        <f>VLOOKUP(C17,'Train Runs'!$A$13:$AE$10162,31,0)</f>
        <v>aws s3 cp s3://rtdc.mdm.uploadarchive.raw/RTDC4054/ "%USERPROFILE%\AppData\Local\Temp\OnboardLogs"\RTDC4054\2017-12-02 --exclude "*" --recursive --include "*20171202*" &amp; "%USERPROFILE%\Documents\GitHub\mrs-test-scripts\Headless Mode &amp; Sideloading\WalkAndUnGZ.bat" "%USERPROFILE%\AppData\Local\Temp\OnboardLogs"\RTDC4054\2017-12-02 &amp; 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</v>
      </c>
      <c r="S17" s="84" t="str">
        <f>VLOOKUP(C17,'Train Runs'!$A$13:$AE$10162,22,0)</f>
        <v>https://d0f6bd738d7f1b3e5a7ca70fe4ff75f0.us-east-1.aws.found.io/app/kibana#/discover/Steve-Slow-Train-Analysis-(2080s-and-2083s)?_g=(refreshInterval:(display:Off,pause:!f,section:0,value:0),time:(from:'2017-12-02T09:06:59-0700',mode:absolute,to:'2017-12-02T11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/stypes="*4054*201712021*" /stext=" 17:.+((SYSTEM_STATE.+slice.+state.+changed )|(ment ac)|(multiple cpu faults)|(system.+state.+changed )|(\[timeout)|(PRM\|1\|D)|(kpr)|(kdp)|(train st.+moving)|(\|lc)|(penalty))"</v>
      </c>
      <c r="U17" s="9" t="str">
        <f>MID(B17,13,4)</f>
        <v>4054</v>
      </c>
      <c r="V17" s="31">
        <f>A17-utc_offset/24</f>
        <v>43071.723738425921</v>
      </c>
      <c r="W17" s="45" t="str">
        <f>DetSubdiv(C17)</f>
        <v>NW</v>
      </c>
      <c r="X17" s="228">
        <f>VALUE(LEFT(C17,LEN(C17)-3))</f>
        <v>1809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{"issue":{"subject":"","project_id":79,"tracker_id":40,"status_id":1,"priority_id":2,"assigned_to_id":338,"start_date":"2017-12-02","description":"","custom_fields":[{"id":1,"name":"Subdivision","value":"NW"},{"id":4,"name":"Milepost","value":"5.9048"},{"id":17,"name":"Train ID","value":"1809-02"},{"id":16,"name":"Locomotive ID","value":"4054"},{"id":130,"name":"Impact","value":""},{"id":150,"name":"Time of Event (Mountain Time)","value":"10:22:11"},{"id":151,"name":"Denver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/c/Users/stu/AppData/Local/Temp/OnboardLogs/RTDC4054 --include="*4054*201712021*"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"%USERPROFILE%\AppData\Local\Temp\OnboardLogs"\RTDC4054\*4054*201712021* &gt;&gt; 2017-12-02-SliceDisagreementCheck.txt</v>
      </c>
      <c r="AE17" s="144" t="str">
        <f t="shared" si="1"/>
        <v>start /low /b %USERPROFILE%\Documents\GitHub\eaglep3\Utilities\DownloadLogsFromS3.py --loco 4054 --day 2017-12-02</v>
      </c>
      <c r="AF17" s="1"/>
    </row>
    <row r="18" spans="1:32" x14ac:dyDescent="0.3">
      <c r="A18"/>
      <c r="D18"/>
      <c r="E18"/>
      <c r="F18"/>
      <c r="G18"/>
      <c r="H18"/>
      <c r="I18"/>
      <c r="J18"/>
      <c r="K18"/>
      <c r="L18"/>
      <c r="M18"/>
      <c r="N18"/>
      <c r="O18"/>
      <c r="P18"/>
      <c r="R18"/>
      <c r="S18"/>
      <c r="T18"/>
      <c r="V18"/>
      <c r="X18"/>
      <c r="Z18"/>
      <c r="AC18"/>
      <c r="AE18"/>
    </row>
    <row r="19" spans="1:32" x14ac:dyDescent="0.3">
      <c r="A19"/>
      <c r="D19"/>
      <c r="E19"/>
      <c r="F19"/>
      <c r="G19"/>
      <c r="H19"/>
      <c r="I19"/>
      <c r="J19"/>
      <c r="K19"/>
      <c r="L19"/>
      <c r="M19"/>
      <c r="N19"/>
      <c r="O19"/>
      <c r="P19"/>
      <c r="R19"/>
      <c r="S19"/>
      <c r="T19"/>
      <c r="V19"/>
      <c r="X19"/>
      <c r="Z19"/>
      <c r="AC19"/>
      <c r="AE19"/>
    </row>
    <row r="20" spans="1:32" x14ac:dyDescent="0.3">
      <c r="A20"/>
      <c r="D20"/>
      <c r="E20"/>
      <c r="F20"/>
      <c r="G20"/>
      <c r="H20"/>
      <c r="I20"/>
      <c r="J20"/>
      <c r="K20"/>
      <c r="L20"/>
      <c r="M20"/>
      <c r="N20"/>
      <c r="O20"/>
      <c r="P20"/>
      <c r="R20"/>
      <c r="S20"/>
      <c r="T20"/>
      <c r="V20"/>
      <c r="X20"/>
      <c r="Z20"/>
      <c r="AC20"/>
      <c r="AE20"/>
    </row>
    <row r="21" spans="1:32" x14ac:dyDescent="0.3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</sheetData>
  <autoFilter ref="A6:AC16">
    <sortState ref="A7:AC17">
      <sortCondition ref="W7:W17"/>
      <sortCondition ref="E7:E17"/>
      <sortCondition ref="K7:K17"/>
      <sortCondition ref="F7:F17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22:O1048576 O7:O1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1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AA7:AA17</xm:sqref>
        </x14:dataValidation>
        <x14:dataValidation type="list" allowBlank="1" showInputMessage="1" showErrorMessage="1">
          <x14:formula1>
            <xm:f>'Redmine List Values'!$C$2:$C$15</xm:f>
          </x14:formula1>
          <xm:sqref>AB7:AB17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2017-12-02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-02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Runs'!$A$13:$A$100159,1,FALSE)</f>
        <v>#N/A</v>
      </c>
    </row>
    <row r="4" spans="1:10" x14ac:dyDescent="0.3">
      <c r="A4" s="197"/>
      <c r="B4" s="42" t="str">
        <f>A4&amp;"-"&amp;IF(DAY(Variables!$A$2)&lt;10,0,"")&amp;DAY(Variables!$A$2)</f>
        <v>-02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Runs'!$A$13:$A$100159,1,FALSE)</f>
        <v>#N/A</v>
      </c>
    </row>
    <row r="5" spans="1:10" x14ac:dyDescent="0.3">
      <c r="A5" s="197"/>
      <c r="B5" s="42" t="str">
        <f>A5&amp;"-"&amp;IF(DAY(Variables!$A$2)&lt;10,0,"")&amp;DAY(Variables!$A$2)</f>
        <v>-02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Runs'!$A$13:$A$100159,1,FALSE)</f>
        <v>#N/A</v>
      </c>
    </row>
    <row r="6" spans="1:10" x14ac:dyDescent="0.3">
      <c r="A6" s="197"/>
      <c r="B6" s="42" t="str">
        <f>A6&amp;"-"&amp;IF(DAY(Variables!$A$2)&lt;10,0,"")&amp;DAY(Variables!$A$2)</f>
        <v>-02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Runs'!$A$13:$A$100159,1,FALSE)</f>
        <v>#N/A</v>
      </c>
    </row>
    <row r="7" spans="1:10" x14ac:dyDescent="0.3">
      <c r="A7" s="197"/>
      <c r="B7" s="42" t="str">
        <f>A7&amp;"-"&amp;IF(DAY(Variables!$A$2)&lt;10,0,"")&amp;DAY(Variables!$A$2)</f>
        <v>-02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Runs'!$A$13:$A$100159,1,FALSE)</f>
        <v>#N/A</v>
      </c>
    </row>
    <row r="8" spans="1:10" x14ac:dyDescent="0.3">
      <c r="A8" s="197"/>
      <c r="B8" s="42" t="str">
        <f>A8&amp;"-"&amp;IF(DAY(Variables!$A$2)&lt;10,0,"")&amp;DAY(Variables!$A$2)</f>
        <v>-02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Runs'!$A$13:$A$100159,1,FALSE)</f>
        <v>#N/A</v>
      </c>
    </row>
    <row r="9" spans="1:10" x14ac:dyDescent="0.3">
      <c r="A9" s="197"/>
      <c r="B9" s="42" t="str">
        <f>A9&amp;"-"&amp;IF(DAY(Variables!$A$2)&lt;10,0,"")&amp;DAY(Variables!$A$2)</f>
        <v>-02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Runs'!$A$13:$A$100159,1,FALSE)</f>
        <v>#N/A</v>
      </c>
    </row>
    <row r="10" spans="1:10" x14ac:dyDescent="0.3">
      <c r="A10" s="197"/>
      <c r="B10" s="42" t="str">
        <f>A10&amp;"-"&amp;IF(DAY(Variables!$A$2)&lt;10,0,"")&amp;DAY(Variables!$A$2)</f>
        <v>-02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Runs'!$A$13:$A$100159,1,FALSE)</f>
        <v>#N/A</v>
      </c>
    </row>
    <row r="11" spans="1:10" x14ac:dyDescent="0.3">
      <c r="A11" s="197"/>
      <c r="B11" s="42" t="str">
        <f>A11&amp;"-"&amp;IF(DAY(Variables!$A$2)&lt;10,0,"")&amp;DAY(Variables!$A$2)</f>
        <v>-02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Runs'!$A$13:$A$100159,1,FALSE)</f>
        <v>#N/A</v>
      </c>
    </row>
    <row r="12" spans="1:10" x14ac:dyDescent="0.3">
      <c r="A12" s="197"/>
      <c r="B12" s="42" t="str">
        <f>A12&amp;"-"&amp;IF(DAY(Variables!$A$2)&lt;10,0,"")&amp;DAY(Variables!$A$2)</f>
        <v>-02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Runs'!$A$13:$A$100159,1,FALSE)</f>
        <v>#N/A</v>
      </c>
    </row>
    <row r="13" spans="1:10" x14ac:dyDescent="0.3">
      <c r="A13" s="197"/>
      <c r="B13" s="42" t="str">
        <f>A13&amp;"-"&amp;IF(DAY(Variables!$A$2)&lt;10,0,"")&amp;DAY(Variables!$A$2)</f>
        <v>-02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Runs'!$A$13:$A$100159,1,FALSE)</f>
        <v>#N/A</v>
      </c>
    </row>
    <row r="14" spans="1:10" x14ac:dyDescent="0.3">
      <c r="A14" s="197"/>
      <c r="B14" s="42" t="str">
        <f>A14&amp;"-"&amp;IF(DAY(Variables!$A$2)&lt;10,0,"")&amp;DAY(Variables!$A$2)</f>
        <v>-02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Runs'!$A$13:$A$100159,1,FALSE)</f>
        <v>#N/A</v>
      </c>
    </row>
    <row r="15" spans="1:10" x14ac:dyDescent="0.3">
      <c r="A15" s="197"/>
      <c r="B15" s="42" t="str">
        <f>A15&amp;"-"&amp;IF(DAY(Variables!$A$2)&lt;10,0,"")&amp;DAY(Variables!$A$2)</f>
        <v>-02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Runs'!$A$13:$A$100159,1,FALSE)</f>
        <v>#N/A</v>
      </c>
    </row>
    <row r="16" spans="1:10" x14ac:dyDescent="0.3">
      <c r="A16" s="197"/>
      <c r="B16" s="42" t="str">
        <f>A16&amp;"-"&amp;IF(DAY(Variables!$A$2)&lt;10,0,"")&amp;DAY(Variables!$A$2)</f>
        <v>-02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Runs'!$A$13:$A$100159,1,FALSE)</f>
        <v>#N/A</v>
      </c>
    </row>
    <row r="17" spans="1:10" x14ac:dyDescent="0.3">
      <c r="A17" s="197"/>
      <c r="B17" s="42" t="str">
        <f>A17&amp;"-"&amp;IF(DAY(Variables!$A$2)&lt;10,0,"")&amp;DAY(Variables!$A$2)</f>
        <v>-02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Runs'!$A$13:$A$100159,1,FALSE)</f>
        <v>#N/A</v>
      </c>
    </row>
    <row r="18" spans="1:10" x14ac:dyDescent="0.3">
      <c r="A18" s="197"/>
      <c r="B18" s="42" t="str">
        <f>A18&amp;"-"&amp;IF(DAY(Variables!$A$2)&lt;10,0,"")&amp;DAY(Variables!$A$2)</f>
        <v>-02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Runs'!$A$13:$A$100159,1,FALSE)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3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43071.036261574074</v>
      </c>
      <c r="B2" s="20" t="s">
        <v>668</v>
      </c>
      <c r="C2" s="20" t="s">
        <v>669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4039</v>
      </c>
    </row>
    <row r="3" spans="1:8" x14ac:dyDescent="0.3">
      <c r="A3" s="8">
        <v>43071.048171296294</v>
      </c>
      <c r="B3" s="20" t="s">
        <v>517</v>
      </c>
      <c r="C3" s="20" t="s">
        <v>670</v>
      </c>
      <c r="D3" s="137">
        <v>3340000</v>
      </c>
      <c r="E3" s="20" t="s">
        <v>471</v>
      </c>
      <c r="F3" s="20" t="s">
        <v>472</v>
      </c>
      <c r="G3" s="8" t="str">
        <f t="shared" ref="G3:G66" si="0">E3&amp;" "&amp;F3</f>
        <v>ELBAUM MIKE</v>
      </c>
      <c r="H3" s="20" t="str">
        <f t="shared" ref="H3:H66" si="1">MID(B3,13,4)</f>
        <v>4023</v>
      </c>
    </row>
    <row r="4" spans="1:8" x14ac:dyDescent="0.3">
      <c r="A4" s="8">
        <v>43071.049143518518</v>
      </c>
      <c r="B4" s="20" t="s">
        <v>524</v>
      </c>
      <c r="C4" s="20" t="s">
        <v>671</v>
      </c>
      <c r="D4" s="137">
        <v>2600000</v>
      </c>
      <c r="E4" s="20" t="s">
        <v>478</v>
      </c>
      <c r="F4" s="20" t="s">
        <v>473</v>
      </c>
      <c r="G4" s="8" t="str">
        <f t="shared" si="0"/>
        <v>DAVIDSON DAVID</v>
      </c>
      <c r="H4" s="20" t="str">
        <f t="shared" si="1"/>
        <v>4002</v>
      </c>
    </row>
    <row r="5" spans="1:8" x14ac:dyDescent="0.3">
      <c r="A5" s="8">
        <v>43071.071076388886</v>
      </c>
      <c r="B5" s="20" t="s">
        <v>672</v>
      </c>
      <c r="C5" s="20" t="s">
        <v>673</v>
      </c>
      <c r="D5" s="137">
        <v>3320000</v>
      </c>
      <c r="E5" s="20" t="s">
        <v>363</v>
      </c>
      <c r="F5" s="20" t="s">
        <v>364</v>
      </c>
      <c r="G5" s="8" t="str">
        <f t="shared" si="0"/>
        <v>NICHOLSON WESLEY</v>
      </c>
      <c r="H5" s="20" t="str">
        <f t="shared" si="1"/>
        <v>4040</v>
      </c>
    </row>
    <row r="6" spans="1:8" x14ac:dyDescent="0.3">
      <c r="A6" s="8">
        <v>43071.074247685188</v>
      </c>
      <c r="B6" s="20" t="s">
        <v>525</v>
      </c>
      <c r="C6" s="20" t="s">
        <v>674</v>
      </c>
      <c r="D6" s="137">
        <v>3310000</v>
      </c>
      <c r="E6" s="20" t="s">
        <v>567</v>
      </c>
      <c r="F6" s="20" t="s">
        <v>568</v>
      </c>
      <c r="G6" s="8" t="str">
        <f t="shared" si="0"/>
        <v>ANDERS STEVEN</v>
      </c>
      <c r="H6" s="20" t="str">
        <f t="shared" si="1"/>
        <v>4005</v>
      </c>
    </row>
    <row r="7" spans="1:8" x14ac:dyDescent="0.3">
      <c r="A7" s="8">
        <v>43071.112384259257</v>
      </c>
      <c r="B7" s="20" t="s">
        <v>520</v>
      </c>
      <c r="C7" s="20" t="s">
        <v>675</v>
      </c>
      <c r="D7" s="137">
        <v>3310000</v>
      </c>
      <c r="E7" s="20" t="s">
        <v>567</v>
      </c>
      <c r="F7" s="20" t="s">
        <v>568</v>
      </c>
      <c r="G7" s="8" t="str">
        <f t="shared" si="0"/>
        <v>ANDERS STEVEN</v>
      </c>
      <c r="H7" s="20" t="str">
        <f t="shared" si="1"/>
        <v>4006</v>
      </c>
    </row>
    <row r="8" spans="1:8" x14ac:dyDescent="0.3">
      <c r="A8" s="8">
        <v>43071.115023148152</v>
      </c>
      <c r="B8" s="20" t="s">
        <v>589</v>
      </c>
      <c r="C8" s="20" t="s">
        <v>676</v>
      </c>
      <c r="D8" s="137">
        <v>3120000</v>
      </c>
      <c r="E8" s="20" t="s">
        <v>369</v>
      </c>
      <c r="F8" s="20" t="s">
        <v>590</v>
      </c>
      <c r="G8" s="8" t="str">
        <f t="shared" si="0"/>
        <v>THOMPSON LESTER</v>
      </c>
      <c r="H8" s="20" t="str">
        <f t="shared" si="1"/>
        <v>4009</v>
      </c>
    </row>
    <row r="9" spans="1:8" ht="15" thickBot="1" x14ac:dyDescent="0.35">
      <c r="A9" s="24">
        <v>43071.129155092596</v>
      </c>
      <c r="B9" s="20" t="s">
        <v>444</v>
      </c>
      <c r="C9" s="20" t="s">
        <v>677</v>
      </c>
      <c r="D9" s="137">
        <v>1780000</v>
      </c>
      <c r="E9" s="20" t="s">
        <v>504</v>
      </c>
      <c r="F9" s="20" t="s">
        <v>505</v>
      </c>
      <c r="G9" s="8" t="str">
        <f t="shared" si="0"/>
        <v>DE LA ROSA ALEX</v>
      </c>
      <c r="H9" s="20" t="str">
        <f t="shared" si="1"/>
        <v>4010</v>
      </c>
    </row>
    <row r="10" spans="1:8" x14ac:dyDescent="0.3">
      <c r="A10" s="8">
        <v>43071.129652777781</v>
      </c>
      <c r="B10" s="20" t="s">
        <v>678</v>
      </c>
      <c r="C10" s="20" t="s">
        <v>679</v>
      </c>
      <c r="D10" s="137">
        <v>3120000</v>
      </c>
      <c r="E10" s="20" t="s">
        <v>369</v>
      </c>
      <c r="F10" s="20" t="s">
        <v>590</v>
      </c>
      <c r="G10" s="8" t="str">
        <f t="shared" si="0"/>
        <v>THOMPSON LESTER</v>
      </c>
      <c r="H10" s="20" t="str">
        <f t="shared" si="1"/>
        <v>4044</v>
      </c>
    </row>
    <row r="11" spans="1:8" x14ac:dyDescent="0.3">
      <c r="A11" s="8">
        <v>43071.137395833335</v>
      </c>
      <c r="B11" s="20" t="s">
        <v>658</v>
      </c>
      <c r="C11" s="20" t="s">
        <v>680</v>
      </c>
      <c r="D11" s="137">
        <v>2010000</v>
      </c>
      <c r="E11" s="20" t="s">
        <v>562</v>
      </c>
      <c r="F11" s="20" t="s">
        <v>563</v>
      </c>
      <c r="G11" s="8" t="str">
        <f t="shared" si="0"/>
        <v>MAELZER KURT</v>
      </c>
      <c r="H11" s="20" t="str">
        <f t="shared" si="1"/>
        <v>4033</v>
      </c>
    </row>
    <row r="12" spans="1:8" x14ac:dyDescent="0.3">
      <c r="A12" s="8">
        <v>43071.139814814815</v>
      </c>
      <c r="B12" s="20" t="s">
        <v>589</v>
      </c>
      <c r="C12" s="20" t="s">
        <v>681</v>
      </c>
      <c r="D12" s="137">
        <v>1780000</v>
      </c>
      <c r="E12" s="20" t="s">
        <v>504</v>
      </c>
      <c r="F12" s="20" t="s">
        <v>505</v>
      </c>
      <c r="G12" s="8" t="str">
        <f t="shared" si="0"/>
        <v>DE LA ROSA ALEX</v>
      </c>
      <c r="H12" s="20" t="str">
        <f t="shared" si="1"/>
        <v>4009</v>
      </c>
    </row>
    <row r="13" spans="1:8" x14ac:dyDescent="0.3">
      <c r="A13" s="8">
        <v>43071.149710648147</v>
      </c>
      <c r="B13" s="20" t="s">
        <v>662</v>
      </c>
      <c r="C13" s="20" t="s">
        <v>680</v>
      </c>
      <c r="D13" s="137">
        <v>2010000</v>
      </c>
      <c r="E13" s="20" t="s">
        <v>562</v>
      </c>
      <c r="F13" s="20" t="s">
        <v>563</v>
      </c>
      <c r="G13" s="8" t="str">
        <f t="shared" si="0"/>
        <v>MAELZER KURT</v>
      </c>
      <c r="H13" s="20" t="str">
        <f t="shared" si="1"/>
        <v>4034</v>
      </c>
    </row>
    <row r="14" spans="1:8" x14ac:dyDescent="0.3">
      <c r="A14" s="8">
        <v>43071.150243055556</v>
      </c>
      <c r="B14" s="20" t="s">
        <v>662</v>
      </c>
      <c r="C14" s="20" t="s">
        <v>682</v>
      </c>
      <c r="D14" s="137">
        <v>2010000</v>
      </c>
      <c r="E14" s="20" t="s">
        <v>562</v>
      </c>
      <c r="F14" s="20" t="s">
        <v>563</v>
      </c>
      <c r="G14" s="8" t="str">
        <f t="shared" si="0"/>
        <v>MAELZER KURT</v>
      </c>
      <c r="H14" s="20" t="str">
        <f t="shared" si="1"/>
        <v>4034</v>
      </c>
    </row>
    <row r="15" spans="1:8" x14ac:dyDescent="0.3">
      <c r="A15" s="8">
        <v>43071.157083333332</v>
      </c>
      <c r="B15" s="20" t="s">
        <v>386</v>
      </c>
      <c r="C15" s="20" t="s">
        <v>683</v>
      </c>
      <c r="D15" s="137">
        <v>2440000</v>
      </c>
      <c r="E15" s="20" t="s">
        <v>457</v>
      </c>
      <c r="F15" s="20" t="s">
        <v>458</v>
      </c>
      <c r="G15" s="8" t="str">
        <f t="shared" si="0"/>
        <v>LOPES KIMBERLY</v>
      </c>
      <c r="H15" s="20" t="str">
        <f t="shared" si="1"/>
        <v>4029</v>
      </c>
    </row>
    <row r="16" spans="1:8" x14ac:dyDescent="0.3">
      <c r="A16" s="8">
        <v>43071.168576388889</v>
      </c>
      <c r="B16" s="20" t="s">
        <v>392</v>
      </c>
      <c r="C16" s="20" t="s">
        <v>684</v>
      </c>
      <c r="D16" s="137">
        <v>2440000</v>
      </c>
      <c r="E16" s="20" t="s">
        <v>457</v>
      </c>
      <c r="F16" s="20" t="s">
        <v>458</v>
      </c>
      <c r="G16" s="8" t="str">
        <f t="shared" si="0"/>
        <v>LOPES KIMBERLY</v>
      </c>
      <c r="H16" s="20" t="str">
        <f t="shared" si="1"/>
        <v>4030</v>
      </c>
    </row>
    <row r="17" spans="1:8" x14ac:dyDescent="0.3">
      <c r="A17" s="8">
        <v>43071.171458333331</v>
      </c>
      <c r="B17" s="20" t="s">
        <v>560</v>
      </c>
      <c r="C17" s="20" t="s">
        <v>685</v>
      </c>
      <c r="D17" s="137">
        <v>1100000</v>
      </c>
      <c r="E17" s="20" t="s">
        <v>591</v>
      </c>
      <c r="F17" s="20" t="s">
        <v>592</v>
      </c>
      <c r="G17" s="8" t="str">
        <f t="shared" si="0"/>
        <v>GEBRETEKLE DAGNEW</v>
      </c>
      <c r="H17" s="20" t="str">
        <f t="shared" si="1"/>
        <v>4021</v>
      </c>
    </row>
    <row r="18" spans="1:8" x14ac:dyDescent="0.3">
      <c r="A18" s="8">
        <v>43071.174351851849</v>
      </c>
      <c r="B18" s="20" t="s">
        <v>686</v>
      </c>
      <c r="C18" s="20" t="s">
        <v>687</v>
      </c>
      <c r="D18" s="137">
        <v>3120000</v>
      </c>
      <c r="E18" s="20" t="s">
        <v>369</v>
      </c>
      <c r="F18" s="20" t="s">
        <v>590</v>
      </c>
      <c r="G18" s="8" t="str">
        <f t="shared" si="0"/>
        <v>THOMPSON LESTER</v>
      </c>
      <c r="H18" s="20" t="str">
        <f t="shared" si="1"/>
        <v>4043</v>
      </c>
    </row>
    <row r="19" spans="1:8" x14ac:dyDescent="0.3">
      <c r="A19" s="8">
        <v>43071.178715277776</v>
      </c>
      <c r="B19" s="20" t="s">
        <v>561</v>
      </c>
      <c r="C19" s="20" t="s">
        <v>688</v>
      </c>
      <c r="D19" s="137">
        <v>1810000</v>
      </c>
      <c r="E19" s="20" t="s">
        <v>689</v>
      </c>
      <c r="F19" s="20" t="s">
        <v>395</v>
      </c>
      <c r="G19" s="8" t="str">
        <f t="shared" si="0"/>
        <v>NEWELL JAMES</v>
      </c>
      <c r="H19" s="20" t="str">
        <f t="shared" si="1"/>
        <v>4031</v>
      </c>
    </row>
    <row r="20" spans="1:8" x14ac:dyDescent="0.3">
      <c r="A20" s="8">
        <v>43071.184293981481</v>
      </c>
      <c r="B20" s="20" t="s">
        <v>384</v>
      </c>
      <c r="C20" s="20" t="s">
        <v>690</v>
      </c>
      <c r="D20" s="137">
        <v>1100000</v>
      </c>
      <c r="E20" s="20" t="s">
        <v>591</v>
      </c>
      <c r="F20" s="20" t="s">
        <v>592</v>
      </c>
      <c r="G20" s="8" t="str">
        <f t="shared" si="0"/>
        <v>GEBRETEKLE DAGNEW</v>
      </c>
      <c r="H20" s="20" t="str">
        <f t="shared" si="1"/>
        <v>4022</v>
      </c>
    </row>
    <row r="21" spans="1:8" x14ac:dyDescent="0.3">
      <c r="A21" s="8">
        <v>43071.185578703706</v>
      </c>
      <c r="B21" s="20" t="s">
        <v>658</v>
      </c>
      <c r="C21" s="20" t="s">
        <v>691</v>
      </c>
      <c r="D21" s="137">
        <v>2010000</v>
      </c>
      <c r="E21" s="20" t="s">
        <v>562</v>
      </c>
      <c r="F21" s="20" t="s">
        <v>563</v>
      </c>
      <c r="G21" s="8" t="str">
        <f t="shared" si="0"/>
        <v>MAELZER KURT</v>
      </c>
      <c r="H21" s="20" t="str">
        <f t="shared" si="1"/>
        <v>4033</v>
      </c>
    </row>
    <row r="22" spans="1:8" x14ac:dyDescent="0.3">
      <c r="A22" s="26">
        <v>43071.190300925926</v>
      </c>
      <c r="B22" s="20" t="s">
        <v>559</v>
      </c>
      <c r="C22" s="20" t="s">
        <v>692</v>
      </c>
      <c r="D22" s="137">
        <v>1810000</v>
      </c>
      <c r="E22" s="20" t="s">
        <v>689</v>
      </c>
      <c r="F22" s="20" t="s">
        <v>395</v>
      </c>
      <c r="G22" s="8" t="str">
        <f t="shared" si="0"/>
        <v>NEWELL JAMES</v>
      </c>
      <c r="H22" s="20" t="str">
        <f t="shared" si="1"/>
        <v>4032</v>
      </c>
    </row>
    <row r="23" spans="1:8" x14ac:dyDescent="0.3">
      <c r="A23" s="8">
        <v>43071.199155092596</v>
      </c>
      <c r="B23" s="20" t="s">
        <v>351</v>
      </c>
      <c r="C23" s="20" t="s">
        <v>693</v>
      </c>
      <c r="D23" s="137">
        <v>2560000</v>
      </c>
      <c r="E23" s="20" t="s">
        <v>593</v>
      </c>
      <c r="F23" s="20" t="s">
        <v>594</v>
      </c>
      <c r="G23" s="8" t="str">
        <f t="shared" si="0"/>
        <v>MACDONALD THOMAS</v>
      </c>
      <c r="H23" s="20" t="str">
        <f t="shared" si="1"/>
        <v>4055</v>
      </c>
    </row>
    <row r="24" spans="1:8" x14ac:dyDescent="0.3">
      <c r="A24" s="8">
        <v>43071.204907407409</v>
      </c>
      <c r="B24" s="20" t="s">
        <v>678</v>
      </c>
      <c r="C24" s="20" t="s">
        <v>694</v>
      </c>
      <c r="D24" s="137">
        <v>3120000</v>
      </c>
      <c r="E24" s="20" t="s">
        <v>369</v>
      </c>
      <c r="F24" s="20" t="s">
        <v>590</v>
      </c>
      <c r="G24" s="8" t="str">
        <f t="shared" si="0"/>
        <v>THOMPSON LESTER</v>
      </c>
      <c r="H24" s="20" t="str">
        <f t="shared" si="1"/>
        <v>4044</v>
      </c>
    </row>
    <row r="25" spans="1:8" x14ac:dyDescent="0.3">
      <c r="A25" s="8">
        <v>43071.211689814816</v>
      </c>
      <c r="B25" s="20" t="s">
        <v>386</v>
      </c>
      <c r="C25" s="20" t="s">
        <v>695</v>
      </c>
      <c r="D25" s="137">
        <v>2440000</v>
      </c>
      <c r="E25" s="20" t="s">
        <v>457</v>
      </c>
      <c r="F25" s="20" t="s">
        <v>458</v>
      </c>
      <c r="G25" s="8" t="str">
        <f t="shared" si="0"/>
        <v>LOPES KIMBERLY</v>
      </c>
      <c r="H25" s="20" t="str">
        <f t="shared" si="1"/>
        <v>4029</v>
      </c>
    </row>
    <row r="26" spans="1:8" x14ac:dyDescent="0.3">
      <c r="A26" s="8">
        <v>43071.213310185187</v>
      </c>
      <c r="B26" s="20" t="s">
        <v>560</v>
      </c>
      <c r="C26" s="20" t="s">
        <v>696</v>
      </c>
      <c r="D26" s="137">
        <v>1100000</v>
      </c>
      <c r="E26" s="20" t="s">
        <v>591</v>
      </c>
      <c r="F26" s="20" t="s">
        <v>592</v>
      </c>
      <c r="G26" s="8" t="str">
        <f t="shared" si="0"/>
        <v>GEBRETEKLE DAGNEW</v>
      </c>
      <c r="H26" s="20" t="str">
        <f t="shared" si="1"/>
        <v>4021</v>
      </c>
    </row>
    <row r="27" spans="1:8" x14ac:dyDescent="0.3">
      <c r="A27" s="8">
        <v>43071.213796296295</v>
      </c>
      <c r="B27" s="20" t="s">
        <v>494</v>
      </c>
      <c r="C27" s="20" t="s">
        <v>697</v>
      </c>
      <c r="D27" s="137">
        <v>2560000</v>
      </c>
      <c r="E27" s="20" t="s">
        <v>593</v>
      </c>
      <c r="F27" s="20" t="s">
        <v>594</v>
      </c>
      <c r="G27" s="8" t="str">
        <f t="shared" si="0"/>
        <v>MACDONALD THOMAS</v>
      </c>
      <c r="H27" s="20" t="str">
        <f t="shared" si="1"/>
        <v>4056</v>
      </c>
    </row>
    <row r="28" spans="1:8" x14ac:dyDescent="0.3">
      <c r="A28" s="8">
        <v>43071.215925925928</v>
      </c>
      <c r="B28" s="20" t="s">
        <v>698</v>
      </c>
      <c r="C28" s="20" t="s">
        <v>699</v>
      </c>
      <c r="D28" s="137">
        <v>3040000</v>
      </c>
      <c r="E28" s="20" t="s">
        <v>368</v>
      </c>
      <c r="F28" s="20" t="s">
        <v>564</v>
      </c>
      <c r="G28" s="8" t="str">
        <f t="shared" si="0"/>
        <v>WILLIAMS DONTE</v>
      </c>
      <c r="H28" s="20" t="str">
        <f t="shared" si="1"/>
        <v>4027</v>
      </c>
    </row>
    <row r="29" spans="1:8" x14ac:dyDescent="0.3">
      <c r="A29" s="8">
        <v>43071.225300925929</v>
      </c>
      <c r="B29" s="20" t="s">
        <v>495</v>
      </c>
      <c r="C29" s="20" t="s">
        <v>700</v>
      </c>
      <c r="D29" s="137">
        <v>3090000</v>
      </c>
      <c r="E29" s="20" t="s">
        <v>595</v>
      </c>
      <c r="F29" s="20" t="s">
        <v>596</v>
      </c>
      <c r="G29" s="8" t="str">
        <f t="shared" si="0"/>
        <v>LAMAR NEKESHA</v>
      </c>
      <c r="H29" s="20" t="str">
        <f t="shared" si="1"/>
        <v>4054</v>
      </c>
    </row>
    <row r="30" spans="1:8" x14ac:dyDescent="0.3">
      <c r="A30" s="8">
        <v>43071.225462962961</v>
      </c>
      <c r="B30" s="20" t="s">
        <v>561</v>
      </c>
      <c r="C30" s="20" t="s">
        <v>701</v>
      </c>
      <c r="D30" s="137">
        <v>1810000</v>
      </c>
      <c r="E30" s="20" t="s">
        <v>689</v>
      </c>
      <c r="F30" s="20" t="s">
        <v>395</v>
      </c>
      <c r="G30" s="8" t="str">
        <f t="shared" si="0"/>
        <v>NEWELL JAMES</v>
      </c>
      <c r="H30" s="20" t="str">
        <f t="shared" si="1"/>
        <v>4031</v>
      </c>
    </row>
    <row r="31" spans="1:8" x14ac:dyDescent="0.3">
      <c r="A31" s="8">
        <v>43071.226331018515</v>
      </c>
      <c r="B31" s="20" t="s">
        <v>662</v>
      </c>
      <c r="C31" s="20" t="s">
        <v>702</v>
      </c>
      <c r="D31" s="137">
        <v>2010000</v>
      </c>
      <c r="E31" s="20" t="s">
        <v>562</v>
      </c>
      <c r="F31" s="20" t="s">
        <v>563</v>
      </c>
      <c r="G31" s="8" t="str">
        <f t="shared" si="0"/>
        <v>MAELZER KURT</v>
      </c>
      <c r="H31" s="20" t="str">
        <f t="shared" si="1"/>
        <v>4034</v>
      </c>
    </row>
    <row r="32" spans="1:8" x14ac:dyDescent="0.3">
      <c r="A32" s="8">
        <v>43071.2268287037</v>
      </c>
      <c r="B32" s="20" t="s">
        <v>560</v>
      </c>
      <c r="C32" s="20" t="s">
        <v>696</v>
      </c>
      <c r="D32" s="137">
        <v>1100000</v>
      </c>
      <c r="E32" s="20" t="s">
        <v>591</v>
      </c>
      <c r="F32" s="20" t="s">
        <v>592</v>
      </c>
      <c r="G32" s="8" t="str">
        <f t="shared" si="0"/>
        <v>GEBRETEKLE DAGNEW</v>
      </c>
      <c r="H32" s="20" t="str">
        <f t="shared" si="1"/>
        <v>4021</v>
      </c>
    </row>
    <row r="33" spans="1:8" x14ac:dyDescent="0.3">
      <c r="A33" s="8">
        <v>43071.236157407409</v>
      </c>
      <c r="B33" s="20" t="s">
        <v>391</v>
      </c>
      <c r="C33" s="20" t="s">
        <v>703</v>
      </c>
      <c r="D33" s="137">
        <v>3040000</v>
      </c>
      <c r="E33" s="20" t="s">
        <v>368</v>
      </c>
      <c r="F33" s="20" t="s">
        <v>564</v>
      </c>
      <c r="G33" s="8" t="str">
        <f t="shared" si="0"/>
        <v>WILLIAMS DONTE</v>
      </c>
      <c r="H33" s="20" t="str">
        <f t="shared" si="1"/>
        <v>4028</v>
      </c>
    </row>
    <row r="34" spans="1:8" x14ac:dyDescent="0.3">
      <c r="A34" s="8">
        <v>43071.237361111111</v>
      </c>
      <c r="B34" s="20" t="s">
        <v>496</v>
      </c>
      <c r="C34" s="20" t="s">
        <v>649</v>
      </c>
      <c r="D34" s="137">
        <v>3090000</v>
      </c>
      <c r="E34" s="20" t="s">
        <v>595</v>
      </c>
      <c r="F34" s="20" t="s">
        <v>596</v>
      </c>
      <c r="G34" s="8" t="str">
        <f t="shared" si="0"/>
        <v>LAMAR NEKESHA</v>
      </c>
      <c r="H34" s="20" t="str">
        <f t="shared" si="1"/>
        <v>4053</v>
      </c>
    </row>
    <row r="35" spans="1:8" x14ac:dyDescent="0.3">
      <c r="A35" s="8">
        <v>43071.244988425926</v>
      </c>
      <c r="B35" s="20" t="s">
        <v>392</v>
      </c>
      <c r="C35" s="20" t="s">
        <v>704</v>
      </c>
      <c r="D35" s="137">
        <v>2440000</v>
      </c>
      <c r="E35" s="20" t="s">
        <v>457</v>
      </c>
      <c r="F35" s="20" t="s">
        <v>458</v>
      </c>
      <c r="G35" s="8" t="str">
        <f t="shared" si="0"/>
        <v>LOPES KIMBERLY</v>
      </c>
      <c r="H35" s="20" t="str">
        <f t="shared" si="1"/>
        <v>4030</v>
      </c>
    </row>
    <row r="36" spans="1:8" x14ac:dyDescent="0.3">
      <c r="A36" s="8">
        <v>43071.246168981481</v>
      </c>
      <c r="B36" s="20" t="s">
        <v>686</v>
      </c>
      <c r="C36" s="20" t="s">
        <v>705</v>
      </c>
      <c r="D36" s="137">
        <v>3120000</v>
      </c>
      <c r="E36" s="20" t="s">
        <v>369</v>
      </c>
      <c r="F36" s="20" t="s">
        <v>590</v>
      </c>
      <c r="G36" s="8" t="str">
        <f t="shared" si="0"/>
        <v>THOMPSON LESTER</v>
      </c>
      <c r="H36" s="20" t="str">
        <f t="shared" si="1"/>
        <v>4043</v>
      </c>
    </row>
    <row r="37" spans="1:8" x14ac:dyDescent="0.3">
      <c r="A37" s="8">
        <v>43071.255219907405</v>
      </c>
      <c r="B37" s="20" t="s">
        <v>495</v>
      </c>
      <c r="C37" s="20" t="s">
        <v>706</v>
      </c>
      <c r="D37" s="137">
        <v>3090000</v>
      </c>
      <c r="E37" s="20" t="s">
        <v>595</v>
      </c>
      <c r="F37" s="20" t="s">
        <v>596</v>
      </c>
      <c r="G37" s="8" t="str">
        <f t="shared" si="0"/>
        <v>LAMAR NEKESHA</v>
      </c>
      <c r="H37" s="20" t="str">
        <f t="shared" si="1"/>
        <v>4054</v>
      </c>
    </row>
    <row r="38" spans="1:8" x14ac:dyDescent="0.3">
      <c r="A38" s="8">
        <v>43071.256331018521</v>
      </c>
      <c r="B38" s="20" t="s">
        <v>384</v>
      </c>
      <c r="C38" s="20" t="s">
        <v>707</v>
      </c>
      <c r="D38" s="137">
        <v>1100000</v>
      </c>
      <c r="E38" s="20" t="s">
        <v>591</v>
      </c>
      <c r="F38" s="20" t="s">
        <v>592</v>
      </c>
      <c r="G38" s="8" t="str">
        <f t="shared" si="0"/>
        <v>GEBRETEKLE DAGNEW</v>
      </c>
      <c r="H38" s="20" t="str">
        <f t="shared" si="1"/>
        <v>4022</v>
      </c>
    </row>
    <row r="39" spans="1:8" x14ac:dyDescent="0.3">
      <c r="A39" s="8">
        <v>43071.256608796299</v>
      </c>
      <c r="B39" s="20" t="s">
        <v>351</v>
      </c>
      <c r="C39" s="20" t="s">
        <v>652</v>
      </c>
      <c r="D39" s="137">
        <v>2560000</v>
      </c>
      <c r="E39" s="20" t="s">
        <v>593</v>
      </c>
      <c r="F39" s="20" t="s">
        <v>594</v>
      </c>
      <c r="G39" s="8" t="str">
        <f t="shared" si="0"/>
        <v>MACDONALD THOMAS</v>
      </c>
      <c r="H39" s="20" t="str">
        <f t="shared" si="1"/>
        <v>4055</v>
      </c>
    </row>
    <row r="40" spans="1:8" x14ac:dyDescent="0.3">
      <c r="A40" s="8">
        <v>43071.262881944444</v>
      </c>
      <c r="B40" s="25" t="s">
        <v>658</v>
      </c>
      <c r="C40" s="20" t="s">
        <v>708</v>
      </c>
      <c r="D40" s="137">
        <v>2010000</v>
      </c>
      <c r="E40" s="20" t="s">
        <v>562</v>
      </c>
      <c r="F40" s="20" t="s">
        <v>563</v>
      </c>
      <c r="G40" s="8" t="str">
        <f t="shared" si="0"/>
        <v>MAELZER KURT</v>
      </c>
      <c r="H40" s="20" t="str">
        <f t="shared" si="1"/>
        <v>4033</v>
      </c>
    </row>
    <row r="41" spans="1:8" x14ac:dyDescent="0.3">
      <c r="A41" s="8">
        <v>43071.265277777777</v>
      </c>
      <c r="B41" s="20" t="s">
        <v>559</v>
      </c>
      <c r="C41" s="20" t="s">
        <v>709</v>
      </c>
      <c r="D41" s="137">
        <v>1810000</v>
      </c>
      <c r="E41" s="20" t="s">
        <v>689</v>
      </c>
      <c r="F41" s="20" t="s">
        <v>395</v>
      </c>
      <c r="G41" s="8" t="str">
        <f t="shared" si="0"/>
        <v>NEWELL JAMES</v>
      </c>
      <c r="H41" s="20" t="str">
        <f t="shared" si="1"/>
        <v>4032</v>
      </c>
    </row>
    <row r="42" spans="1:8" x14ac:dyDescent="0.3">
      <c r="A42" s="8">
        <v>43071.269560185188</v>
      </c>
      <c r="B42" s="20" t="s">
        <v>496</v>
      </c>
      <c r="C42" s="20" t="s">
        <v>710</v>
      </c>
      <c r="D42" s="137">
        <v>3090000</v>
      </c>
      <c r="E42" s="20" t="s">
        <v>595</v>
      </c>
      <c r="F42" s="20" t="s">
        <v>596</v>
      </c>
      <c r="G42" s="8" t="str">
        <f t="shared" si="0"/>
        <v>LAMAR NEKESHA</v>
      </c>
      <c r="H42" s="20" t="str">
        <f t="shared" si="1"/>
        <v>4053</v>
      </c>
    </row>
    <row r="43" spans="1:8" x14ac:dyDescent="0.3">
      <c r="A43" s="8">
        <v>43071.269803240742</v>
      </c>
      <c r="B43" s="20" t="s">
        <v>444</v>
      </c>
      <c r="C43" s="20" t="s">
        <v>711</v>
      </c>
      <c r="D43" s="137">
        <v>1780000</v>
      </c>
      <c r="E43" s="20" t="s">
        <v>504</v>
      </c>
      <c r="F43" s="20" t="s">
        <v>505</v>
      </c>
      <c r="G43" s="8" t="str">
        <f t="shared" si="0"/>
        <v>DE LA ROSA ALEX</v>
      </c>
      <c r="H43" s="20" t="str">
        <f t="shared" si="1"/>
        <v>4010</v>
      </c>
    </row>
    <row r="44" spans="1:8" x14ac:dyDescent="0.3">
      <c r="A44" s="8">
        <v>43071.273182870369</v>
      </c>
      <c r="B44" s="20" t="s">
        <v>589</v>
      </c>
      <c r="C44" s="20" t="s">
        <v>711</v>
      </c>
      <c r="D44" s="137">
        <v>1780000</v>
      </c>
      <c r="E44" s="20" t="s">
        <v>504</v>
      </c>
      <c r="F44" s="20" t="s">
        <v>505</v>
      </c>
      <c r="G44" s="8" t="str">
        <f t="shared" si="0"/>
        <v>DE LA ROSA ALEX</v>
      </c>
      <c r="H44" s="20" t="str">
        <f t="shared" si="1"/>
        <v>4009</v>
      </c>
    </row>
    <row r="45" spans="1:8" x14ac:dyDescent="0.3">
      <c r="A45" s="8">
        <v>43071.273194444446</v>
      </c>
      <c r="B45" s="20" t="s">
        <v>496</v>
      </c>
      <c r="C45" s="20" t="s">
        <v>710</v>
      </c>
      <c r="D45" s="137">
        <v>3090000</v>
      </c>
      <c r="E45" s="20" t="s">
        <v>595</v>
      </c>
      <c r="F45" s="20" t="s">
        <v>596</v>
      </c>
      <c r="G45" s="8" t="str">
        <f t="shared" si="0"/>
        <v>LAMAR NEKESHA</v>
      </c>
      <c r="H45" s="20" t="str">
        <f t="shared" si="1"/>
        <v>4053</v>
      </c>
    </row>
    <row r="46" spans="1:8" x14ac:dyDescent="0.3">
      <c r="A46" s="8">
        <v>43071.276122685187</v>
      </c>
      <c r="B46" s="20" t="s">
        <v>698</v>
      </c>
      <c r="C46" s="20" t="s">
        <v>712</v>
      </c>
      <c r="D46" s="137">
        <v>3040000</v>
      </c>
      <c r="E46" s="20" t="s">
        <v>368</v>
      </c>
      <c r="F46" s="20" t="s">
        <v>564</v>
      </c>
      <c r="G46" s="8" t="str">
        <f t="shared" si="0"/>
        <v>WILLIAMS DONTE</v>
      </c>
      <c r="H46" s="20" t="str">
        <f t="shared" si="1"/>
        <v>4027</v>
      </c>
    </row>
    <row r="47" spans="1:8" x14ac:dyDescent="0.3">
      <c r="A47" s="8">
        <v>43071.276180555556</v>
      </c>
      <c r="B47" s="20" t="s">
        <v>386</v>
      </c>
      <c r="C47" s="20" t="s">
        <v>713</v>
      </c>
      <c r="D47" s="137">
        <v>2440000</v>
      </c>
      <c r="E47" s="20" t="s">
        <v>457</v>
      </c>
      <c r="F47" s="20" t="s">
        <v>458</v>
      </c>
      <c r="G47" s="8" t="str">
        <f t="shared" si="0"/>
        <v>LOPES KIMBERLY</v>
      </c>
      <c r="H47" s="20" t="str">
        <f t="shared" si="1"/>
        <v>4029</v>
      </c>
    </row>
    <row r="48" spans="1:8" x14ac:dyDescent="0.3">
      <c r="A48" s="8">
        <v>43071.277557870373</v>
      </c>
      <c r="B48" s="20" t="s">
        <v>444</v>
      </c>
      <c r="C48" s="20" t="s">
        <v>714</v>
      </c>
      <c r="D48" s="137">
        <v>1780000</v>
      </c>
      <c r="E48" s="20" t="s">
        <v>504</v>
      </c>
      <c r="F48" s="20" t="s">
        <v>505</v>
      </c>
      <c r="G48" s="8" t="str">
        <f t="shared" si="0"/>
        <v>DE LA ROSA ALEX</v>
      </c>
      <c r="H48" s="20" t="str">
        <f t="shared" si="1"/>
        <v>4010</v>
      </c>
    </row>
    <row r="49" spans="1:8" x14ac:dyDescent="0.3">
      <c r="A49" s="8">
        <v>43071.287314814814</v>
      </c>
      <c r="B49" s="20" t="s">
        <v>560</v>
      </c>
      <c r="C49" s="20" t="s">
        <v>715</v>
      </c>
      <c r="D49" s="137">
        <v>1100000</v>
      </c>
      <c r="E49" s="20" t="s">
        <v>591</v>
      </c>
      <c r="F49" s="20" t="s">
        <v>592</v>
      </c>
      <c r="G49" s="8" t="str">
        <f t="shared" si="0"/>
        <v>GEBRETEKLE DAGNEW</v>
      </c>
      <c r="H49" s="20" t="str">
        <f t="shared" si="1"/>
        <v>4021</v>
      </c>
    </row>
    <row r="50" spans="1:8" x14ac:dyDescent="0.3">
      <c r="A50" s="8">
        <v>43071.290682870371</v>
      </c>
      <c r="B50" s="20" t="s">
        <v>494</v>
      </c>
      <c r="C50" s="20" t="s">
        <v>716</v>
      </c>
      <c r="D50" s="137">
        <v>2560000</v>
      </c>
      <c r="E50" s="20" t="s">
        <v>593</v>
      </c>
      <c r="F50" s="20" t="s">
        <v>594</v>
      </c>
      <c r="G50" s="8" t="str">
        <f t="shared" si="0"/>
        <v>MACDONALD THOMAS</v>
      </c>
      <c r="H50" s="20" t="str">
        <f t="shared" si="1"/>
        <v>4056</v>
      </c>
    </row>
    <row r="51" spans="1:8" x14ac:dyDescent="0.3">
      <c r="A51" s="8">
        <v>43071.295578703706</v>
      </c>
      <c r="B51" s="20" t="s">
        <v>495</v>
      </c>
      <c r="C51" s="20" t="s">
        <v>653</v>
      </c>
      <c r="D51" s="137">
        <v>3090000</v>
      </c>
      <c r="E51" s="20" t="s">
        <v>595</v>
      </c>
      <c r="F51" s="20" t="s">
        <v>596</v>
      </c>
      <c r="G51" s="8" t="str">
        <f t="shared" si="0"/>
        <v>LAMAR NEKESHA</v>
      </c>
      <c r="H51" s="20" t="str">
        <f t="shared" si="1"/>
        <v>4054</v>
      </c>
    </row>
    <row r="52" spans="1:8" x14ac:dyDescent="0.3">
      <c r="A52" s="8">
        <v>43071.297349537039</v>
      </c>
      <c r="B52" s="20" t="s">
        <v>662</v>
      </c>
      <c r="C52" s="20" t="s">
        <v>717</v>
      </c>
      <c r="D52" s="137">
        <v>2010000</v>
      </c>
      <c r="E52" s="20" t="s">
        <v>562</v>
      </c>
      <c r="F52" s="20" t="s">
        <v>563</v>
      </c>
      <c r="G52" s="8" t="str">
        <f t="shared" si="0"/>
        <v>MAELZER KURT</v>
      </c>
      <c r="H52" s="20" t="str">
        <f t="shared" si="1"/>
        <v>4034</v>
      </c>
    </row>
    <row r="53" spans="1:8" x14ac:dyDescent="0.3">
      <c r="A53" s="8">
        <v>43071.299571759257</v>
      </c>
      <c r="B53" s="20" t="s">
        <v>561</v>
      </c>
      <c r="C53" s="20" t="s">
        <v>718</v>
      </c>
      <c r="D53" s="137">
        <v>1810000</v>
      </c>
      <c r="E53" s="20" t="s">
        <v>689</v>
      </c>
      <c r="F53" s="20" t="s">
        <v>395</v>
      </c>
      <c r="G53" s="8" t="str">
        <f t="shared" si="0"/>
        <v>NEWELL JAMES</v>
      </c>
      <c r="H53" s="20" t="str">
        <f t="shared" si="1"/>
        <v>4031</v>
      </c>
    </row>
    <row r="54" spans="1:8" x14ac:dyDescent="0.3">
      <c r="A54" s="8">
        <v>43071.308067129627</v>
      </c>
      <c r="B54" s="20" t="s">
        <v>391</v>
      </c>
      <c r="C54" s="20" t="s">
        <v>719</v>
      </c>
      <c r="D54" s="137">
        <v>3040000</v>
      </c>
      <c r="E54" s="20" t="s">
        <v>368</v>
      </c>
      <c r="F54" s="20" t="s">
        <v>564</v>
      </c>
      <c r="G54" s="8" t="str">
        <f t="shared" si="0"/>
        <v>WILLIAMS DONTE</v>
      </c>
      <c r="H54" s="20" t="str">
        <f t="shared" si="1"/>
        <v>4028</v>
      </c>
    </row>
    <row r="55" spans="1:8" x14ac:dyDescent="0.3">
      <c r="A55" s="8">
        <v>43071.310069444444</v>
      </c>
      <c r="B55" s="20" t="s">
        <v>496</v>
      </c>
      <c r="C55" s="20" t="s">
        <v>720</v>
      </c>
      <c r="D55" s="137">
        <v>3090000</v>
      </c>
      <c r="E55" s="20" t="s">
        <v>595</v>
      </c>
      <c r="F55" s="20" t="s">
        <v>596</v>
      </c>
      <c r="G55" s="8" t="str">
        <f t="shared" si="0"/>
        <v>LAMAR NEKESHA</v>
      </c>
      <c r="H55" s="20" t="str">
        <f t="shared" si="1"/>
        <v>4053</v>
      </c>
    </row>
    <row r="56" spans="1:8" x14ac:dyDescent="0.3">
      <c r="A56" s="8">
        <v>43071.317870370367</v>
      </c>
      <c r="B56" s="20" t="s">
        <v>392</v>
      </c>
      <c r="C56" s="20" t="s">
        <v>721</v>
      </c>
      <c r="D56" s="137">
        <v>1760000</v>
      </c>
      <c r="E56" s="20" t="s">
        <v>597</v>
      </c>
      <c r="F56" s="20" t="s">
        <v>598</v>
      </c>
      <c r="G56" s="8" t="str">
        <f t="shared" si="0"/>
        <v>STRICKLAND EVAN</v>
      </c>
      <c r="H56" s="20" t="str">
        <f t="shared" si="1"/>
        <v>4030</v>
      </c>
    </row>
    <row r="57" spans="1:8" x14ac:dyDescent="0.3">
      <c r="A57" s="8">
        <v>43071.318182870367</v>
      </c>
      <c r="B57" s="20" t="s">
        <v>589</v>
      </c>
      <c r="C57" s="20" t="s">
        <v>722</v>
      </c>
      <c r="D57" s="137">
        <v>1780000</v>
      </c>
      <c r="E57" s="20" t="s">
        <v>504</v>
      </c>
      <c r="F57" s="20" t="s">
        <v>505</v>
      </c>
      <c r="G57" s="8" t="str">
        <f t="shared" si="0"/>
        <v>DE LA ROSA ALEX</v>
      </c>
      <c r="H57" s="20" t="str">
        <f t="shared" si="1"/>
        <v>4009</v>
      </c>
    </row>
    <row r="58" spans="1:8" x14ac:dyDescent="0.3">
      <c r="A58" s="8">
        <v>43071.328738425924</v>
      </c>
      <c r="B58" s="20" t="s">
        <v>351</v>
      </c>
      <c r="C58" s="20" t="s">
        <v>723</v>
      </c>
      <c r="D58" s="137">
        <v>2560000</v>
      </c>
      <c r="E58" s="20" t="s">
        <v>593</v>
      </c>
      <c r="F58" s="20" t="s">
        <v>594</v>
      </c>
      <c r="G58" s="8" t="str">
        <f t="shared" si="0"/>
        <v>MACDONALD THOMAS</v>
      </c>
      <c r="H58" s="20" t="str">
        <f t="shared" si="1"/>
        <v>4055</v>
      </c>
    </row>
    <row r="59" spans="1:8" x14ac:dyDescent="0.3">
      <c r="A59" s="8">
        <v>43071.328865740739</v>
      </c>
      <c r="B59" s="20" t="s">
        <v>384</v>
      </c>
      <c r="C59" s="20" t="s">
        <v>724</v>
      </c>
      <c r="D59" s="137">
        <v>3260000</v>
      </c>
      <c r="E59" s="20" t="s">
        <v>725</v>
      </c>
      <c r="F59" s="20" t="s">
        <v>726</v>
      </c>
      <c r="G59" s="8" t="str">
        <f t="shared" si="0"/>
        <v>PAGE MARCUS</v>
      </c>
      <c r="H59" s="20" t="str">
        <f t="shared" si="1"/>
        <v>4022</v>
      </c>
    </row>
    <row r="60" spans="1:8" x14ac:dyDescent="0.3">
      <c r="A60" s="8">
        <v>43071.338530092595</v>
      </c>
      <c r="B60" s="20" t="s">
        <v>658</v>
      </c>
      <c r="C60" s="20" t="s">
        <v>727</v>
      </c>
      <c r="D60" s="137">
        <v>2010000</v>
      </c>
      <c r="E60" s="20" t="s">
        <v>562</v>
      </c>
      <c r="F60" s="20" t="s">
        <v>563</v>
      </c>
      <c r="G60" s="8" t="str">
        <f t="shared" si="0"/>
        <v>MAELZER KURT</v>
      </c>
      <c r="H60" s="20" t="str">
        <f t="shared" si="1"/>
        <v>4033</v>
      </c>
    </row>
    <row r="61" spans="1:8" x14ac:dyDescent="0.3">
      <c r="A61" s="8">
        <v>43071.338634259257</v>
      </c>
      <c r="B61" s="20" t="s">
        <v>495</v>
      </c>
      <c r="C61" s="20" t="s">
        <v>728</v>
      </c>
      <c r="D61" s="137">
        <v>3090000</v>
      </c>
      <c r="E61" s="20" t="s">
        <v>595</v>
      </c>
      <c r="F61" s="20" t="s">
        <v>596</v>
      </c>
      <c r="G61" s="8" t="str">
        <f t="shared" si="0"/>
        <v>LAMAR NEKESHA</v>
      </c>
      <c r="H61" s="20" t="str">
        <f t="shared" si="1"/>
        <v>4054</v>
      </c>
    </row>
    <row r="62" spans="1:8" x14ac:dyDescent="0.3">
      <c r="A62" s="8">
        <v>43071.33902777778</v>
      </c>
      <c r="B62" s="20" t="s">
        <v>559</v>
      </c>
      <c r="C62" s="20" t="s">
        <v>729</v>
      </c>
      <c r="D62" s="137">
        <v>1810000</v>
      </c>
      <c r="E62" s="20" t="s">
        <v>689</v>
      </c>
      <c r="F62" s="20" t="s">
        <v>395</v>
      </c>
      <c r="G62" s="8" t="str">
        <f t="shared" si="0"/>
        <v>NEWELL JAMES</v>
      </c>
      <c r="H62" s="20" t="str">
        <f t="shared" si="1"/>
        <v>4032</v>
      </c>
    </row>
    <row r="63" spans="1:8" x14ac:dyDescent="0.3">
      <c r="A63" s="8">
        <v>43071.348356481481</v>
      </c>
      <c r="B63" s="20" t="s">
        <v>698</v>
      </c>
      <c r="C63" s="20" t="s">
        <v>730</v>
      </c>
      <c r="D63" s="137">
        <v>3040000</v>
      </c>
      <c r="E63" s="20" t="s">
        <v>368</v>
      </c>
      <c r="F63" s="20" t="s">
        <v>564</v>
      </c>
      <c r="G63" s="8" t="str">
        <f t="shared" si="0"/>
        <v>WILLIAMS DONTE</v>
      </c>
      <c r="H63" s="20" t="str">
        <f t="shared" si="1"/>
        <v>4027</v>
      </c>
    </row>
    <row r="64" spans="1:8" x14ac:dyDescent="0.3">
      <c r="A64" s="26">
        <v>43071.349976851852</v>
      </c>
      <c r="B64" s="20" t="s">
        <v>386</v>
      </c>
      <c r="C64" s="20" t="s">
        <v>731</v>
      </c>
      <c r="D64" s="137">
        <v>1760000</v>
      </c>
      <c r="E64" s="20" t="s">
        <v>597</v>
      </c>
      <c r="F64" s="20" t="s">
        <v>598</v>
      </c>
      <c r="G64" s="8" t="str">
        <f t="shared" si="0"/>
        <v>STRICKLAND EVAN</v>
      </c>
      <c r="H64" s="20" t="str">
        <f t="shared" si="1"/>
        <v>4029</v>
      </c>
    </row>
    <row r="65" spans="1:8" x14ac:dyDescent="0.3">
      <c r="A65" s="8">
        <v>43071.350578703707</v>
      </c>
      <c r="B65" s="20" t="s">
        <v>444</v>
      </c>
      <c r="C65" s="20" t="s">
        <v>732</v>
      </c>
      <c r="D65" s="137">
        <v>3120000</v>
      </c>
      <c r="E65" s="20" t="s">
        <v>369</v>
      </c>
      <c r="F65" s="20" t="s">
        <v>590</v>
      </c>
      <c r="G65" s="8" t="str">
        <f t="shared" si="0"/>
        <v>THOMPSON LESTER</v>
      </c>
      <c r="H65" s="20" t="str">
        <f t="shared" si="1"/>
        <v>4010</v>
      </c>
    </row>
    <row r="66" spans="1:8" x14ac:dyDescent="0.3">
      <c r="A66" s="8">
        <v>43071.350937499999</v>
      </c>
      <c r="B66" s="20" t="s">
        <v>496</v>
      </c>
      <c r="C66" s="20" t="s">
        <v>733</v>
      </c>
      <c r="D66" s="137">
        <v>3090000</v>
      </c>
      <c r="E66" s="20" t="s">
        <v>595</v>
      </c>
      <c r="F66" s="20" t="s">
        <v>596</v>
      </c>
      <c r="G66" s="8" t="str">
        <f t="shared" si="0"/>
        <v>LAMAR NEKESHA</v>
      </c>
      <c r="H66" s="20" t="str">
        <f t="shared" si="1"/>
        <v>4053</v>
      </c>
    </row>
    <row r="67" spans="1:8" x14ac:dyDescent="0.3">
      <c r="A67" s="8">
        <v>43071.360914351855</v>
      </c>
      <c r="B67" s="20" t="s">
        <v>560</v>
      </c>
      <c r="C67" s="20" t="s">
        <v>734</v>
      </c>
      <c r="D67" s="137">
        <v>3260000</v>
      </c>
      <c r="E67" s="20" t="s">
        <v>725</v>
      </c>
      <c r="F67" s="20" t="s">
        <v>726</v>
      </c>
      <c r="G67" s="8" t="str">
        <f t="shared" ref="G67:G130" si="2">E67&amp;" "&amp;F67</f>
        <v>PAGE MARCUS</v>
      </c>
      <c r="H67" s="20" t="str">
        <f t="shared" ref="H67:H130" si="3">MID(B67,13,4)</f>
        <v>4021</v>
      </c>
    </row>
    <row r="68" spans="1:8" x14ac:dyDescent="0.3">
      <c r="A68" s="8">
        <v>43071.363506944443</v>
      </c>
      <c r="B68" s="20" t="s">
        <v>494</v>
      </c>
      <c r="C68" s="20" t="s">
        <v>735</v>
      </c>
      <c r="D68" s="137">
        <v>2560000</v>
      </c>
      <c r="E68" s="20" t="s">
        <v>593</v>
      </c>
      <c r="F68" s="20" t="s">
        <v>594</v>
      </c>
      <c r="G68" s="8" t="str">
        <f t="shared" si="2"/>
        <v>MACDONALD THOMAS</v>
      </c>
      <c r="H68" s="20" t="str">
        <f t="shared" si="3"/>
        <v>4056</v>
      </c>
    </row>
    <row r="69" spans="1:8" x14ac:dyDescent="0.3">
      <c r="A69" s="8">
        <v>43071.369629629633</v>
      </c>
      <c r="B69" s="20" t="s">
        <v>494</v>
      </c>
      <c r="C69" s="20" t="s">
        <v>735</v>
      </c>
      <c r="D69" s="137">
        <v>2560000</v>
      </c>
      <c r="E69" s="20" t="s">
        <v>593</v>
      </c>
      <c r="F69" s="20" t="s">
        <v>594</v>
      </c>
      <c r="G69" s="8" t="str">
        <f t="shared" si="2"/>
        <v>MACDONALD THOMAS</v>
      </c>
      <c r="H69" s="20" t="str">
        <f t="shared" si="3"/>
        <v>4056</v>
      </c>
    </row>
    <row r="70" spans="1:8" x14ac:dyDescent="0.3">
      <c r="A70" s="8">
        <v>43071.371377314812</v>
      </c>
      <c r="B70" s="20" t="s">
        <v>662</v>
      </c>
      <c r="C70" s="20" t="s">
        <v>736</v>
      </c>
      <c r="D70" s="137">
        <v>2010000</v>
      </c>
      <c r="E70" s="20" t="s">
        <v>562</v>
      </c>
      <c r="F70" s="20" t="s">
        <v>563</v>
      </c>
      <c r="G70" s="8" t="str">
        <f t="shared" si="2"/>
        <v>MAELZER KURT</v>
      </c>
      <c r="H70" s="20" t="str">
        <f t="shared" si="3"/>
        <v>4034</v>
      </c>
    </row>
    <row r="71" spans="1:8" x14ac:dyDescent="0.3">
      <c r="A71" s="8">
        <v>43071.372453703705</v>
      </c>
      <c r="B71" s="20" t="s">
        <v>561</v>
      </c>
      <c r="C71" s="20" t="s">
        <v>737</v>
      </c>
      <c r="D71" s="137">
        <v>1810000</v>
      </c>
      <c r="E71" s="20" t="s">
        <v>689</v>
      </c>
      <c r="F71" s="20" t="s">
        <v>395</v>
      </c>
      <c r="G71" s="8" t="str">
        <f t="shared" si="2"/>
        <v>NEWELL JAMES</v>
      </c>
      <c r="H71" s="20" t="str">
        <f t="shared" si="3"/>
        <v>4031</v>
      </c>
    </row>
    <row r="72" spans="1:8" x14ac:dyDescent="0.3">
      <c r="A72" s="8">
        <v>43071.380613425928</v>
      </c>
      <c r="B72" s="20" t="s">
        <v>495</v>
      </c>
      <c r="C72" s="20" t="s">
        <v>738</v>
      </c>
      <c r="D72" s="137">
        <v>3090000</v>
      </c>
      <c r="E72" s="20" t="s">
        <v>595</v>
      </c>
      <c r="F72" s="20" t="s">
        <v>596</v>
      </c>
      <c r="G72" s="8" t="str">
        <f t="shared" si="2"/>
        <v>LAMAR NEKESHA</v>
      </c>
      <c r="H72" s="20" t="str">
        <f t="shared" si="3"/>
        <v>4054</v>
      </c>
    </row>
    <row r="73" spans="1:8" x14ac:dyDescent="0.3">
      <c r="A73" s="8">
        <v>43071.381388888891</v>
      </c>
      <c r="B73" s="20" t="s">
        <v>391</v>
      </c>
      <c r="C73" s="20" t="s">
        <v>739</v>
      </c>
      <c r="D73" s="137">
        <v>3180000</v>
      </c>
      <c r="E73" s="20" t="s">
        <v>527</v>
      </c>
      <c r="F73" s="20" t="s">
        <v>528</v>
      </c>
      <c r="G73" s="8" t="str">
        <f t="shared" si="2"/>
        <v>HUFFSMITH MONTY</v>
      </c>
      <c r="H73" s="20" t="str">
        <f t="shared" si="3"/>
        <v>4028</v>
      </c>
    </row>
    <row r="74" spans="1:8" x14ac:dyDescent="0.3">
      <c r="A74" s="8">
        <v>43071.39130787037</v>
      </c>
      <c r="B74" s="20" t="s">
        <v>392</v>
      </c>
      <c r="C74" s="20" t="s">
        <v>740</v>
      </c>
      <c r="D74" s="137">
        <v>2440000</v>
      </c>
      <c r="E74" s="20" t="s">
        <v>457</v>
      </c>
      <c r="F74" s="20" t="s">
        <v>458</v>
      </c>
      <c r="G74" s="8" t="str">
        <f t="shared" si="2"/>
        <v>LOPES KIMBERLY</v>
      </c>
      <c r="H74" s="20" t="str">
        <f t="shared" si="3"/>
        <v>4030</v>
      </c>
    </row>
    <row r="75" spans="1:8" x14ac:dyDescent="0.3">
      <c r="A75" s="8">
        <v>43071.391944444447</v>
      </c>
      <c r="B75" s="20" t="s">
        <v>589</v>
      </c>
      <c r="C75" s="20" t="s">
        <v>741</v>
      </c>
      <c r="D75" s="137">
        <v>3120000</v>
      </c>
      <c r="E75" s="20" t="s">
        <v>369</v>
      </c>
      <c r="F75" s="20" t="s">
        <v>590</v>
      </c>
      <c r="G75" s="8" t="str">
        <f t="shared" si="2"/>
        <v>THOMPSON LESTER</v>
      </c>
      <c r="H75" s="20" t="str">
        <f t="shared" si="3"/>
        <v>4009</v>
      </c>
    </row>
    <row r="76" spans="1:8" x14ac:dyDescent="0.3">
      <c r="A76" s="8">
        <v>43071.392638888887</v>
      </c>
      <c r="B76" s="20" t="s">
        <v>496</v>
      </c>
      <c r="C76" s="20" t="s">
        <v>742</v>
      </c>
      <c r="D76" s="137">
        <v>3090000</v>
      </c>
      <c r="E76" s="20" t="s">
        <v>595</v>
      </c>
      <c r="F76" s="20" t="s">
        <v>596</v>
      </c>
      <c r="G76" s="8" t="str">
        <f t="shared" si="2"/>
        <v>LAMAR NEKESHA</v>
      </c>
      <c r="H76" s="20" t="str">
        <f t="shared" si="3"/>
        <v>4053</v>
      </c>
    </row>
    <row r="77" spans="1:8" x14ac:dyDescent="0.3">
      <c r="A77" s="8">
        <v>43071.400219907409</v>
      </c>
      <c r="B77" s="20" t="s">
        <v>351</v>
      </c>
      <c r="C77" s="20" t="s">
        <v>743</v>
      </c>
      <c r="D77" s="137">
        <v>2560000</v>
      </c>
      <c r="E77" s="20" t="s">
        <v>593</v>
      </c>
      <c r="F77" s="20" t="s">
        <v>594</v>
      </c>
      <c r="G77" s="8" t="str">
        <f t="shared" si="2"/>
        <v>MACDONALD THOMAS</v>
      </c>
      <c r="H77" s="20" t="str">
        <f t="shared" si="3"/>
        <v>4055</v>
      </c>
    </row>
    <row r="78" spans="1:8" x14ac:dyDescent="0.3">
      <c r="A78" s="8">
        <v>43071.40247685185</v>
      </c>
      <c r="B78" s="20" t="s">
        <v>384</v>
      </c>
      <c r="C78" s="20" t="s">
        <v>744</v>
      </c>
      <c r="D78" s="137">
        <v>1100000</v>
      </c>
      <c r="E78" s="20" t="s">
        <v>591</v>
      </c>
      <c r="F78" s="20" t="s">
        <v>592</v>
      </c>
      <c r="G78" s="8" t="str">
        <f t="shared" si="2"/>
        <v>GEBRETEKLE DAGNEW</v>
      </c>
      <c r="H78" s="20" t="str">
        <f t="shared" si="3"/>
        <v>4022</v>
      </c>
    </row>
    <row r="79" spans="1:8" x14ac:dyDescent="0.3">
      <c r="A79" s="8">
        <v>43071.404606481483</v>
      </c>
      <c r="B79" s="20" t="s">
        <v>658</v>
      </c>
      <c r="C79" s="20" t="s">
        <v>745</v>
      </c>
      <c r="D79" s="137">
        <v>2010000</v>
      </c>
      <c r="E79" s="20" t="s">
        <v>562</v>
      </c>
      <c r="F79" s="20" t="s">
        <v>563</v>
      </c>
      <c r="G79" s="8" t="str">
        <f t="shared" si="2"/>
        <v>MAELZER KURT</v>
      </c>
      <c r="H79" s="20" t="str">
        <f t="shared" si="3"/>
        <v>4033</v>
      </c>
    </row>
    <row r="80" spans="1:8" x14ac:dyDescent="0.3">
      <c r="A80" s="8">
        <v>43071.413935185185</v>
      </c>
      <c r="B80" s="20" t="s">
        <v>559</v>
      </c>
      <c r="C80" s="20" t="s">
        <v>655</v>
      </c>
      <c r="D80" s="137">
        <v>1810000</v>
      </c>
      <c r="E80" s="20" t="s">
        <v>689</v>
      </c>
      <c r="F80" s="20" t="s">
        <v>395</v>
      </c>
      <c r="G80" s="8" t="str">
        <f t="shared" si="2"/>
        <v>NEWELL JAMES</v>
      </c>
      <c r="H80" s="20" t="str">
        <f t="shared" si="3"/>
        <v>4032</v>
      </c>
    </row>
    <row r="81" spans="1:8" x14ac:dyDescent="0.3">
      <c r="A81" s="8">
        <v>43071.422106481485</v>
      </c>
      <c r="B81" s="20" t="s">
        <v>495</v>
      </c>
      <c r="C81" s="20" t="s">
        <v>654</v>
      </c>
      <c r="D81" s="137">
        <v>3090000</v>
      </c>
      <c r="E81" s="20" t="s">
        <v>595</v>
      </c>
      <c r="F81" s="20" t="s">
        <v>596</v>
      </c>
      <c r="G81" s="8" t="str">
        <f t="shared" si="2"/>
        <v>LAMAR NEKESHA</v>
      </c>
      <c r="H81" s="20" t="str">
        <f t="shared" si="3"/>
        <v>4054</v>
      </c>
    </row>
    <row r="82" spans="1:8" x14ac:dyDescent="0.3">
      <c r="A82" s="8">
        <v>43071.422291666669</v>
      </c>
      <c r="B82" s="20" t="s">
        <v>746</v>
      </c>
      <c r="C82" s="20" t="s">
        <v>747</v>
      </c>
      <c r="D82" s="137">
        <v>2270000</v>
      </c>
      <c r="E82" s="20" t="s">
        <v>748</v>
      </c>
      <c r="F82" s="20" t="s">
        <v>749</v>
      </c>
      <c r="G82" s="8" t="str">
        <f t="shared" si="2"/>
        <v>BROWN JACOB</v>
      </c>
      <c r="H82" s="20" t="str">
        <f t="shared" si="3"/>
        <v>4058</v>
      </c>
    </row>
    <row r="83" spans="1:8" x14ac:dyDescent="0.3">
      <c r="A83" s="8">
        <v>43071.424791666665</v>
      </c>
      <c r="B83" s="20" t="s">
        <v>444</v>
      </c>
      <c r="C83" s="20" t="s">
        <v>750</v>
      </c>
      <c r="D83" s="137">
        <v>2550000</v>
      </c>
      <c r="E83" s="20" t="s">
        <v>565</v>
      </c>
      <c r="F83" s="20" t="s">
        <v>566</v>
      </c>
      <c r="G83" s="8" t="str">
        <f t="shared" si="2"/>
        <v>BADERTSCHER DIANE</v>
      </c>
      <c r="H83" s="20" t="str">
        <f t="shared" si="3"/>
        <v>4010</v>
      </c>
    </row>
    <row r="84" spans="1:8" x14ac:dyDescent="0.3">
      <c r="A84" s="8">
        <v>43071.425821759258</v>
      </c>
      <c r="B84" s="20" t="s">
        <v>386</v>
      </c>
      <c r="C84" s="20" t="s">
        <v>751</v>
      </c>
      <c r="D84" s="137">
        <v>2440000</v>
      </c>
      <c r="E84" s="20" t="s">
        <v>457</v>
      </c>
      <c r="F84" s="20" t="s">
        <v>458</v>
      </c>
      <c r="G84" s="8" t="str">
        <f t="shared" si="2"/>
        <v>LOPES KIMBERLY</v>
      </c>
      <c r="H84" s="20" t="str">
        <f t="shared" si="3"/>
        <v>4029</v>
      </c>
    </row>
    <row r="85" spans="1:8" x14ac:dyDescent="0.3">
      <c r="A85" s="8">
        <v>43071.43173611111</v>
      </c>
      <c r="B85" s="20" t="s">
        <v>752</v>
      </c>
      <c r="C85" s="20" t="s">
        <v>747</v>
      </c>
      <c r="D85" s="137">
        <v>2270000</v>
      </c>
      <c r="E85" s="20" t="s">
        <v>748</v>
      </c>
      <c r="F85" s="20" t="s">
        <v>749</v>
      </c>
      <c r="G85" s="8" t="str">
        <f t="shared" si="2"/>
        <v>BROWN JACOB</v>
      </c>
      <c r="H85" s="20" t="str">
        <f t="shared" si="3"/>
        <v>4057</v>
      </c>
    </row>
    <row r="86" spans="1:8" x14ac:dyDescent="0.3">
      <c r="A86" s="8">
        <v>43071.43482638889</v>
      </c>
      <c r="B86" s="20" t="s">
        <v>496</v>
      </c>
      <c r="C86" s="20" t="s">
        <v>656</v>
      </c>
      <c r="D86" s="137">
        <v>3090000</v>
      </c>
      <c r="E86" s="20" t="s">
        <v>595</v>
      </c>
      <c r="F86" s="20" t="s">
        <v>596</v>
      </c>
      <c r="G86" s="8" t="str">
        <f t="shared" si="2"/>
        <v>LAMAR NEKESHA</v>
      </c>
      <c r="H86" s="20" t="str">
        <f t="shared" si="3"/>
        <v>4053</v>
      </c>
    </row>
    <row r="87" spans="1:8" x14ac:dyDescent="0.3">
      <c r="A87" s="8">
        <v>43071.435173611113</v>
      </c>
      <c r="B87" s="20" t="s">
        <v>698</v>
      </c>
      <c r="C87" s="20" t="s">
        <v>753</v>
      </c>
      <c r="D87" s="137">
        <v>3180000</v>
      </c>
      <c r="E87" s="20" t="s">
        <v>527</v>
      </c>
      <c r="F87" s="20" t="s">
        <v>528</v>
      </c>
      <c r="G87" s="8" t="str">
        <f t="shared" si="2"/>
        <v>HUFFSMITH MONTY</v>
      </c>
      <c r="H87" s="20" t="str">
        <f t="shared" si="3"/>
        <v>4027</v>
      </c>
    </row>
    <row r="88" spans="1:8" x14ac:dyDescent="0.3">
      <c r="A88" s="8">
        <v>43071.437488425923</v>
      </c>
      <c r="B88" s="20" t="s">
        <v>560</v>
      </c>
      <c r="C88" s="20" t="s">
        <v>754</v>
      </c>
      <c r="D88" s="137">
        <v>1100000</v>
      </c>
      <c r="E88" s="20" t="s">
        <v>591</v>
      </c>
      <c r="F88" s="20" t="s">
        <v>592</v>
      </c>
      <c r="G88" s="8" t="str">
        <f t="shared" si="2"/>
        <v>GEBRETEKLE DAGNEW</v>
      </c>
      <c r="H88" s="20" t="str">
        <f t="shared" si="3"/>
        <v>4021</v>
      </c>
    </row>
    <row r="89" spans="1:8" x14ac:dyDescent="0.3">
      <c r="A89" s="8">
        <v>43071.439513888887</v>
      </c>
      <c r="B89" s="20" t="s">
        <v>494</v>
      </c>
      <c r="C89" s="20" t="s">
        <v>755</v>
      </c>
      <c r="D89" s="137">
        <v>2560000</v>
      </c>
      <c r="E89" s="20" t="s">
        <v>593</v>
      </c>
      <c r="F89" s="20" t="s">
        <v>594</v>
      </c>
      <c r="G89" s="8" t="str">
        <f t="shared" si="2"/>
        <v>MACDONALD THOMAS</v>
      </c>
      <c r="H89" s="20" t="str">
        <f t="shared" si="3"/>
        <v>4056</v>
      </c>
    </row>
    <row r="90" spans="1:8" x14ac:dyDescent="0.3">
      <c r="A90" s="8">
        <v>43071.444675925923</v>
      </c>
      <c r="B90" s="20" t="s">
        <v>746</v>
      </c>
      <c r="C90" s="20" t="s">
        <v>756</v>
      </c>
      <c r="D90" s="137">
        <v>1770000</v>
      </c>
      <c r="E90" s="20" t="s">
        <v>502</v>
      </c>
      <c r="F90" s="20" t="s">
        <v>503</v>
      </c>
      <c r="G90" s="8" t="str">
        <f t="shared" si="2"/>
        <v>BRUDER RICHARD</v>
      </c>
      <c r="H90" s="20" t="str">
        <f t="shared" si="3"/>
        <v>4058</v>
      </c>
    </row>
    <row r="91" spans="1:8" x14ac:dyDescent="0.3">
      <c r="A91" s="8">
        <v>43071.450925925928</v>
      </c>
      <c r="B91" s="20" t="s">
        <v>662</v>
      </c>
      <c r="C91" s="20" t="s">
        <v>757</v>
      </c>
      <c r="D91" s="137">
        <v>2270000</v>
      </c>
      <c r="E91" s="20" t="s">
        <v>748</v>
      </c>
      <c r="F91" s="20" t="s">
        <v>749</v>
      </c>
      <c r="G91" s="8" t="str">
        <f t="shared" si="2"/>
        <v>BROWN JACOB</v>
      </c>
      <c r="H91" s="20" t="str">
        <f t="shared" si="3"/>
        <v>4034</v>
      </c>
    </row>
    <row r="92" spans="1:8" x14ac:dyDescent="0.3">
      <c r="A92" s="8">
        <v>43071.454664351855</v>
      </c>
      <c r="B92" s="20" t="s">
        <v>561</v>
      </c>
      <c r="C92" s="20" t="s">
        <v>758</v>
      </c>
      <c r="D92" s="137">
        <v>1810000</v>
      </c>
      <c r="E92" s="20" t="s">
        <v>689</v>
      </c>
      <c r="F92" s="20" t="s">
        <v>395</v>
      </c>
      <c r="G92" s="8" t="str">
        <f t="shared" si="2"/>
        <v>NEWELL JAMES</v>
      </c>
      <c r="H92" s="20" t="str">
        <f t="shared" si="3"/>
        <v>4031</v>
      </c>
    </row>
    <row r="93" spans="1:8" x14ac:dyDescent="0.3">
      <c r="A93" s="8">
        <v>43071.462523148148</v>
      </c>
      <c r="B93" s="20" t="s">
        <v>392</v>
      </c>
      <c r="C93" s="20" t="s">
        <v>759</v>
      </c>
      <c r="D93" s="137">
        <v>2370000</v>
      </c>
      <c r="E93" s="20" t="s">
        <v>602</v>
      </c>
      <c r="F93" s="20" t="s">
        <v>603</v>
      </c>
      <c r="G93" s="8" t="str">
        <f t="shared" si="2"/>
        <v>DELGADO DIANAH</v>
      </c>
      <c r="H93" s="20" t="str">
        <f t="shared" si="3"/>
        <v>4030</v>
      </c>
    </row>
    <row r="94" spans="1:8" x14ac:dyDescent="0.3">
      <c r="A94" s="8">
        <v>43071.463333333333</v>
      </c>
      <c r="B94" s="20" t="s">
        <v>495</v>
      </c>
      <c r="C94" s="20" t="s">
        <v>760</v>
      </c>
      <c r="D94" s="137">
        <v>3090000</v>
      </c>
      <c r="E94" s="20" t="s">
        <v>595</v>
      </c>
      <c r="F94" s="20" t="s">
        <v>596</v>
      </c>
      <c r="G94" s="8" t="str">
        <f t="shared" si="2"/>
        <v>LAMAR NEKESHA</v>
      </c>
      <c r="H94" s="20" t="str">
        <f t="shared" si="3"/>
        <v>4054</v>
      </c>
    </row>
    <row r="95" spans="1:8" x14ac:dyDescent="0.3">
      <c r="A95" s="8">
        <v>43071.46429398148</v>
      </c>
      <c r="B95" s="20" t="s">
        <v>589</v>
      </c>
      <c r="C95" s="20" t="s">
        <v>761</v>
      </c>
      <c r="D95" s="137">
        <v>2550000</v>
      </c>
      <c r="E95" s="20" t="s">
        <v>565</v>
      </c>
      <c r="F95" s="20" t="s">
        <v>566</v>
      </c>
      <c r="G95" s="8" t="str">
        <f t="shared" si="2"/>
        <v>BADERTSCHER DIANE</v>
      </c>
      <c r="H95" s="20" t="str">
        <f t="shared" si="3"/>
        <v>4009</v>
      </c>
    </row>
    <row r="96" spans="1:8" x14ac:dyDescent="0.3">
      <c r="A96" s="8">
        <v>43071.474976851852</v>
      </c>
      <c r="B96" s="20" t="s">
        <v>351</v>
      </c>
      <c r="C96" s="20" t="s">
        <v>762</v>
      </c>
      <c r="D96" s="137">
        <v>2560000</v>
      </c>
      <c r="E96" s="20" t="s">
        <v>593</v>
      </c>
      <c r="F96" s="20" t="s">
        <v>594</v>
      </c>
      <c r="G96" s="8" t="str">
        <f t="shared" si="2"/>
        <v>MACDONALD THOMAS</v>
      </c>
      <c r="H96" s="20" t="str">
        <f t="shared" si="3"/>
        <v>4055</v>
      </c>
    </row>
    <row r="97" spans="1:8" x14ac:dyDescent="0.3">
      <c r="A97" s="8">
        <v>43071.476585648146</v>
      </c>
      <c r="B97" s="20" t="s">
        <v>496</v>
      </c>
      <c r="C97" s="20" t="s">
        <v>657</v>
      </c>
      <c r="D97" s="137">
        <v>3090000</v>
      </c>
      <c r="E97" s="20" t="s">
        <v>595</v>
      </c>
      <c r="F97" s="20" t="s">
        <v>596</v>
      </c>
      <c r="G97" s="8" t="str">
        <f t="shared" si="2"/>
        <v>LAMAR NEKESHA</v>
      </c>
      <c r="H97" s="20" t="str">
        <f t="shared" si="3"/>
        <v>4053</v>
      </c>
    </row>
    <row r="98" spans="1:8" x14ac:dyDescent="0.3">
      <c r="A98" s="8">
        <v>43071.477303240739</v>
      </c>
      <c r="B98" s="20" t="s">
        <v>384</v>
      </c>
      <c r="C98" s="20" t="s">
        <v>763</v>
      </c>
      <c r="D98" s="137">
        <v>2630000</v>
      </c>
      <c r="E98" s="20" t="s">
        <v>372</v>
      </c>
      <c r="F98" s="20" t="s">
        <v>373</v>
      </c>
      <c r="G98" s="8" t="str">
        <f t="shared" si="2"/>
        <v>SAFIEF AEIMEN</v>
      </c>
      <c r="H98" s="20" t="str">
        <f t="shared" si="3"/>
        <v>4022</v>
      </c>
    </row>
    <row r="99" spans="1:8" x14ac:dyDescent="0.3">
      <c r="A99" s="8">
        <v>43071.484976851854</v>
      </c>
      <c r="B99" s="20" t="s">
        <v>752</v>
      </c>
      <c r="C99" s="20" t="s">
        <v>764</v>
      </c>
      <c r="D99" s="137">
        <v>1770000</v>
      </c>
      <c r="E99" s="20" t="s">
        <v>502</v>
      </c>
      <c r="F99" s="20" t="s">
        <v>503</v>
      </c>
      <c r="G99" s="8" t="str">
        <f t="shared" si="2"/>
        <v>BRUDER RICHARD</v>
      </c>
      <c r="H99" s="20" t="str">
        <f t="shared" si="3"/>
        <v>4057</v>
      </c>
    </row>
    <row r="100" spans="1:8" x14ac:dyDescent="0.3">
      <c r="A100" s="8">
        <v>43071.485231481478</v>
      </c>
      <c r="B100" s="20" t="s">
        <v>559</v>
      </c>
      <c r="C100" s="20" t="s">
        <v>765</v>
      </c>
      <c r="D100" s="137">
        <v>2970000</v>
      </c>
      <c r="E100" s="20" t="s">
        <v>374</v>
      </c>
      <c r="F100" s="20" t="s">
        <v>375</v>
      </c>
      <c r="G100" s="8" t="str">
        <f t="shared" si="2"/>
        <v>GUZMAN DANNY</v>
      </c>
      <c r="H100" s="20" t="str">
        <f t="shared" si="3"/>
        <v>4032</v>
      </c>
    </row>
    <row r="101" spans="1:8" x14ac:dyDescent="0.3">
      <c r="A101" s="8">
        <v>43071.495416666665</v>
      </c>
      <c r="B101" s="20" t="s">
        <v>658</v>
      </c>
      <c r="C101" s="20" t="s">
        <v>659</v>
      </c>
      <c r="D101" s="137">
        <v>2270000</v>
      </c>
      <c r="E101" s="20" t="s">
        <v>748</v>
      </c>
      <c r="F101" s="20" t="s">
        <v>749</v>
      </c>
      <c r="G101" s="8" t="str">
        <f t="shared" si="2"/>
        <v>BROWN JACOB</v>
      </c>
      <c r="H101" s="20" t="str">
        <f t="shared" si="3"/>
        <v>4033</v>
      </c>
    </row>
    <row r="102" spans="1:8" x14ac:dyDescent="0.3">
      <c r="A102" s="8">
        <v>43071.496805555558</v>
      </c>
      <c r="B102" s="20" t="s">
        <v>386</v>
      </c>
      <c r="C102" s="20" t="s">
        <v>766</v>
      </c>
      <c r="D102" s="137">
        <v>2370000</v>
      </c>
      <c r="E102" s="20" t="s">
        <v>602</v>
      </c>
      <c r="F102" s="20" t="s">
        <v>603</v>
      </c>
      <c r="G102" s="8" t="str">
        <f t="shared" si="2"/>
        <v>DELGADO DIANAH</v>
      </c>
      <c r="H102" s="20" t="str">
        <f t="shared" si="3"/>
        <v>4029</v>
      </c>
    </row>
    <row r="103" spans="1:8" x14ac:dyDescent="0.3">
      <c r="A103" s="8">
        <v>43071.497048611112</v>
      </c>
      <c r="B103" s="20" t="s">
        <v>444</v>
      </c>
      <c r="C103" s="20" t="s">
        <v>767</v>
      </c>
      <c r="D103" s="137">
        <v>2550000</v>
      </c>
      <c r="E103" s="20" t="s">
        <v>565</v>
      </c>
      <c r="F103" s="20" t="s">
        <v>566</v>
      </c>
      <c r="G103" s="8" t="str">
        <f t="shared" si="2"/>
        <v>BADERTSCHER DIANE</v>
      </c>
      <c r="H103" s="20" t="str">
        <f t="shared" si="3"/>
        <v>4010</v>
      </c>
    </row>
    <row r="104" spans="1:8" x14ac:dyDescent="0.3">
      <c r="A104" s="8">
        <v>43071.498124999998</v>
      </c>
      <c r="B104" s="20" t="s">
        <v>444</v>
      </c>
      <c r="C104" s="20" t="s">
        <v>767</v>
      </c>
      <c r="D104" s="137">
        <v>2550000</v>
      </c>
      <c r="E104" s="20" t="s">
        <v>565</v>
      </c>
      <c r="F104" s="20" t="s">
        <v>566</v>
      </c>
      <c r="G104" s="8" t="str">
        <f t="shared" si="2"/>
        <v>BADERTSCHER DIANE</v>
      </c>
      <c r="H104" s="20" t="str">
        <f t="shared" si="3"/>
        <v>4010</v>
      </c>
    </row>
    <row r="105" spans="1:8" x14ac:dyDescent="0.3">
      <c r="A105" s="8">
        <v>43071.505416666667</v>
      </c>
      <c r="B105" s="20" t="s">
        <v>495</v>
      </c>
      <c r="C105" s="20" t="s">
        <v>768</v>
      </c>
      <c r="D105" s="137">
        <v>3090000</v>
      </c>
      <c r="E105" s="20" t="s">
        <v>595</v>
      </c>
      <c r="F105" s="20" t="s">
        <v>596</v>
      </c>
      <c r="G105" s="8" t="str">
        <f t="shared" si="2"/>
        <v>LAMAR NEKESHA</v>
      </c>
      <c r="H105" s="20" t="str">
        <f t="shared" si="3"/>
        <v>4054</v>
      </c>
    </row>
    <row r="106" spans="1:8" x14ac:dyDescent="0.3">
      <c r="A106" s="8">
        <v>43071.507743055554</v>
      </c>
      <c r="B106" s="20" t="s">
        <v>494</v>
      </c>
      <c r="C106" s="20" t="s">
        <v>769</v>
      </c>
      <c r="D106" s="137">
        <v>2350000</v>
      </c>
      <c r="E106" s="20" t="s">
        <v>529</v>
      </c>
      <c r="F106" s="20" t="s">
        <v>530</v>
      </c>
      <c r="G106" s="8" t="str">
        <f t="shared" si="2"/>
        <v>BERLING GARY</v>
      </c>
      <c r="H106" s="20" t="str">
        <f t="shared" si="3"/>
        <v>4056</v>
      </c>
    </row>
    <row r="107" spans="1:8" x14ac:dyDescent="0.3">
      <c r="A107" s="8">
        <v>43071.508217592593</v>
      </c>
      <c r="B107" s="20" t="s">
        <v>560</v>
      </c>
      <c r="C107" s="20" t="s">
        <v>660</v>
      </c>
      <c r="D107" s="137">
        <v>2630000</v>
      </c>
      <c r="E107" s="20" t="s">
        <v>372</v>
      </c>
      <c r="F107" s="20" t="s">
        <v>373</v>
      </c>
      <c r="G107" s="8" t="str">
        <f t="shared" si="2"/>
        <v>SAFIEF AEIMEN</v>
      </c>
      <c r="H107" s="20" t="str">
        <f t="shared" si="3"/>
        <v>4021</v>
      </c>
    </row>
    <row r="108" spans="1:8" x14ac:dyDescent="0.3">
      <c r="A108" s="8">
        <v>43071.508344907408</v>
      </c>
      <c r="B108" s="20" t="s">
        <v>361</v>
      </c>
      <c r="C108" s="20" t="s">
        <v>770</v>
      </c>
      <c r="D108" s="137">
        <v>3030000</v>
      </c>
      <c r="E108" s="20" t="s">
        <v>601</v>
      </c>
      <c r="F108" s="20" t="s">
        <v>594</v>
      </c>
      <c r="G108" s="8" t="str">
        <f t="shared" si="2"/>
        <v>BIRENBAUM THOMAS</v>
      </c>
      <c r="H108" s="20" t="str">
        <f t="shared" si="3"/>
        <v>4007</v>
      </c>
    </row>
    <row r="109" spans="1:8" x14ac:dyDescent="0.3">
      <c r="A109" s="8">
        <v>43071.516875000001</v>
      </c>
      <c r="B109" s="20" t="s">
        <v>561</v>
      </c>
      <c r="C109" s="20" t="s">
        <v>771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4031</v>
      </c>
    </row>
    <row r="110" spans="1:8" x14ac:dyDescent="0.3">
      <c r="A110" s="8">
        <v>43071.517893518518</v>
      </c>
      <c r="B110" s="20" t="s">
        <v>746</v>
      </c>
      <c r="C110" s="20" t="s">
        <v>772</v>
      </c>
      <c r="D110" s="137">
        <v>1770000</v>
      </c>
      <c r="E110" s="20" t="s">
        <v>502</v>
      </c>
      <c r="F110" s="20" t="s">
        <v>503</v>
      </c>
      <c r="G110" s="8" t="str">
        <f t="shared" si="2"/>
        <v>BRUDER RICHARD</v>
      </c>
      <c r="H110" s="20" t="str">
        <f t="shared" si="3"/>
        <v>4058</v>
      </c>
    </row>
    <row r="111" spans="1:8" x14ac:dyDescent="0.3">
      <c r="A111" s="8">
        <v>43071.518449074072</v>
      </c>
      <c r="B111" s="20" t="s">
        <v>496</v>
      </c>
      <c r="C111" s="20" t="s">
        <v>773</v>
      </c>
      <c r="D111" s="137">
        <v>3090000</v>
      </c>
      <c r="E111" s="20" t="s">
        <v>595</v>
      </c>
      <c r="F111" s="20" t="s">
        <v>596</v>
      </c>
      <c r="G111" s="8" t="str">
        <f t="shared" si="2"/>
        <v>LAMAR NEKESHA</v>
      </c>
      <c r="H111" s="20" t="str">
        <f t="shared" si="3"/>
        <v>4053</v>
      </c>
    </row>
    <row r="112" spans="1:8" x14ac:dyDescent="0.3">
      <c r="A112" s="8">
        <v>43071.528680555559</v>
      </c>
      <c r="B112" s="20" t="s">
        <v>662</v>
      </c>
      <c r="C112" s="20" t="s">
        <v>774</v>
      </c>
      <c r="D112" s="137">
        <v>2420000</v>
      </c>
      <c r="E112" s="20" t="s">
        <v>599</v>
      </c>
      <c r="F112" s="20" t="s">
        <v>600</v>
      </c>
      <c r="G112" s="8" t="str">
        <f t="shared" si="2"/>
        <v>HOLCOMB KAMDEN</v>
      </c>
      <c r="H112" s="20" t="str">
        <f t="shared" si="3"/>
        <v>4034</v>
      </c>
    </row>
    <row r="113" spans="1:8" x14ac:dyDescent="0.3">
      <c r="A113" s="8">
        <v>43071.534016203703</v>
      </c>
      <c r="B113" s="20" t="s">
        <v>589</v>
      </c>
      <c r="C113" s="20" t="s">
        <v>661</v>
      </c>
      <c r="D113" s="137">
        <v>2550000</v>
      </c>
      <c r="E113" s="20" t="s">
        <v>565</v>
      </c>
      <c r="F113" s="20" t="s">
        <v>566</v>
      </c>
      <c r="G113" s="8" t="str">
        <f t="shared" si="2"/>
        <v>BADERTSCHER DIANE</v>
      </c>
      <c r="H113" s="20" t="str">
        <f t="shared" si="3"/>
        <v>4009</v>
      </c>
    </row>
    <row r="114" spans="1:8" x14ac:dyDescent="0.3">
      <c r="A114" s="8">
        <v>43071.535995370374</v>
      </c>
      <c r="B114" s="20" t="s">
        <v>678</v>
      </c>
      <c r="C114" s="20" t="s">
        <v>775</v>
      </c>
      <c r="D114" s="137">
        <v>3330000</v>
      </c>
      <c r="E114" s="20" t="s">
        <v>776</v>
      </c>
      <c r="F114" s="20" t="s">
        <v>777</v>
      </c>
      <c r="G114" s="8" t="str">
        <f t="shared" si="2"/>
        <v>GONZALEZ ARMANDO</v>
      </c>
      <c r="H114" s="20" t="str">
        <f t="shared" si="3"/>
        <v>4044</v>
      </c>
    </row>
    <row r="115" spans="1:8" x14ac:dyDescent="0.3">
      <c r="A115" s="8">
        <v>43071.536840277775</v>
      </c>
      <c r="B115" s="20" t="s">
        <v>678</v>
      </c>
      <c r="C115" s="20" t="s">
        <v>775</v>
      </c>
      <c r="D115" s="137">
        <v>3330000</v>
      </c>
      <c r="E115" s="20" t="s">
        <v>776</v>
      </c>
      <c r="F115" s="20" t="s">
        <v>777</v>
      </c>
      <c r="G115" s="8" t="str">
        <f t="shared" si="2"/>
        <v>GONZALEZ ARMANDO</v>
      </c>
      <c r="H115" s="20" t="str">
        <f t="shared" si="3"/>
        <v>4044</v>
      </c>
    </row>
    <row r="116" spans="1:8" x14ac:dyDescent="0.3">
      <c r="A116" s="8">
        <v>43071.539930555555</v>
      </c>
      <c r="B116" s="20" t="s">
        <v>392</v>
      </c>
      <c r="C116" s="20" t="s">
        <v>778</v>
      </c>
      <c r="D116" s="137">
        <v>2370000</v>
      </c>
      <c r="E116" s="20" t="s">
        <v>602</v>
      </c>
      <c r="F116" s="20" t="s">
        <v>603</v>
      </c>
      <c r="G116" s="8" t="str">
        <f t="shared" si="2"/>
        <v>DELGADO DIANAH</v>
      </c>
      <c r="H116" s="20" t="str">
        <f t="shared" si="3"/>
        <v>4030</v>
      </c>
    </row>
    <row r="117" spans="1:8" x14ac:dyDescent="0.3">
      <c r="A117" s="8">
        <v>43071.542627314811</v>
      </c>
      <c r="B117" s="20" t="s">
        <v>686</v>
      </c>
      <c r="C117" s="20" t="s">
        <v>775</v>
      </c>
      <c r="D117" s="137">
        <v>3330000</v>
      </c>
      <c r="E117" s="20" t="s">
        <v>776</v>
      </c>
      <c r="F117" s="20" t="s">
        <v>777</v>
      </c>
      <c r="G117" s="8" t="str">
        <f t="shared" si="2"/>
        <v>GONZALEZ ARMANDO</v>
      </c>
      <c r="H117" s="20" t="str">
        <f t="shared" si="3"/>
        <v>4043</v>
      </c>
    </row>
    <row r="118" spans="1:8" x14ac:dyDescent="0.3">
      <c r="A118" s="8">
        <v>43071.544918981483</v>
      </c>
      <c r="B118" s="20" t="s">
        <v>351</v>
      </c>
      <c r="C118" s="20" t="s">
        <v>779</v>
      </c>
      <c r="D118" s="137">
        <v>2350000</v>
      </c>
      <c r="E118" s="20" t="s">
        <v>529</v>
      </c>
      <c r="F118" s="20" t="s">
        <v>530</v>
      </c>
      <c r="G118" s="8" t="str">
        <f t="shared" si="2"/>
        <v>BERLING GARY</v>
      </c>
      <c r="H118" s="20" t="str">
        <f t="shared" si="3"/>
        <v>4055</v>
      </c>
    </row>
    <row r="119" spans="1:8" x14ac:dyDescent="0.3">
      <c r="A119" s="8">
        <v>43071.5471875</v>
      </c>
      <c r="B119" s="20" t="s">
        <v>495</v>
      </c>
      <c r="C119" s="20" t="s">
        <v>780</v>
      </c>
      <c r="D119" s="137">
        <v>3090000</v>
      </c>
      <c r="E119" s="20" t="s">
        <v>595</v>
      </c>
      <c r="F119" s="20" t="s">
        <v>596</v>
      </c>
      <c r="G119" s="8" t="str">
        <f t="shared" si="2"/>
        <v>LAMAR NEKESHA</v>
      </c>
      <c r="H119" s="20" t="str">
        <f t="shared" si="3"/>
        <v>4054</v>
      </c>
    </row>
    <row r="120" spans="1:8" x14ac:dyDescent="0.3">
      <c r="A120" s="8">
        <v>43071.550138888888</v>
      </c>
      <c r="B120" s="20" t="s">
        <v>384</v>
      </c>
      <c r="C120" s="20" t="s">
        <v>781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4022</v>
      </c>
    </row>
    <row r="121" spans="1:8" x14ac:dyDescent="0.3">
      <c r="A121" s="8">
        <v>43071.557372685187</v>
      </c>
      <c r="B121" s="20" t="s">
        <v>559</v>
      </c>
      <c r="C121" s="20" t="s">
        <v>782</v>
      </c>
      <c r="D121" s="137">
        <v>2970000</v>
      </c>
      <c r="E121" s="20" t="s">
        <v>374</v>
      </c>
      <c r="F121" s="20" t="s">
        <v>375</v>
      </c>
      <c r="G121" s="8" t="str">
        <f t="shared" si="2"/>
        <v>GUZMAN DANNY</v>
      </c>
      <c r="H121" s="20" t="str">
        <f t="shared" si="3"/>
        <v>4032</v>
      </c>
    </row>
    <row r="122" spans="1:8" x14ac:dyDescent="0.3">
      <c r="A122" s="8">
        <v>43071.558067129627</v>
      </c>
      <c r="B122" s="25" t="s">
        <v>752</v>
      </c>
      <c r="C122" s="20" t="s">
        <v>783</v>
      </c>
      <c r="D122" s="137">
        <v>1770000</v>
      </c>
      <c r="E122" s="20" t="s">
        <v>502</v>
      </c>
      <c r="F122" s="20" t="s">
        <v>503</v>
      </c>
      <c r="G122" s="8" t="str">
        <f t="shared" si="2"/>
        <v>BRUDER RICHARD</v>
      </c>
      <c r="H122" s="20" t="str">
        <f t="shared" si="3"/>
        <v>4057</v>
      </c>
    </row>
    <row r="123" spans="1:8" x14ac:dyDescent="0.3">
      <c r="A123" s="8">
        <v>43071.560972222222</v>
      </c>
      <c r="B123" s="20" t="s">
        <v>496</v>
      </c>
      <c r="C123" s="20" t="s">
        <v>784</v>
      </c>
      <c r="D123" s="137">
        <v>3090000</v>
      </c>
      <c r="E123" s="20" t="s">
        <v>595</v>
      </c>
      <c r="F123" s="20" t="s">
        <v>596</v>
      </c>
      <c r="G123" s="8" t="str">
        <f t="shared" si="2"/>
        <v>LAMAR NEKESHA</v>
      </c>
      <c r="H123" s="20" t="str">
        <f t="shared" si="3"/>
        <v>4053</v>
      </c>
    </row>
    <row r="124" spans="1:8" x14ac:dyDescent="0.3">
      <c r="A124" s="8">
        <v>43071.567858796298</v>
      </c>
      <c r="B124" s="20" t="s">
        <v>658</v>
      </c>
      <c r="C124" s="20" t="s">
        <v>785</v>
      </c>
      <c r="D124" s="137">
        <v>2420000</v>
      </c>
      <c r="E124" s="20" t="s">
        <v>599</v>
      </c>
      <c r="F124" s="20" t="s">
        <v>600</v>
      </c>
      <c r="G124" s="8" t="str">
        <f t="shared" si="2"/>
        <v>HOLCOMB KAMDEN</v>
      </c>
      <c r="H124" s="20" t="str">
        <f t="shared" si="3"/>
        <v>4033</v>
      </c>
    </row>
    <row r="125" spans="1:8" x14ac:dyDescent="0.3">
      <c r="A125" s="8">
        <v>43071.569374999999</v>
      </c>
      <c r="B125" s="20" t="s">
        <v>444</v>
      </c>
      <c r="C125" s="20" t="s">
        <v>786</v>
      </c>
      <c r="D125" s="137">
        <v>2550000</v>
      </c>
      <c r="E125" s="20" t="s">
        <v>565</v>
      </c>
      <c r="F125" s="20" t="s">
        <v>566</v>
      </c>
      <c r="G125" s="8" t="str">
        <f t="shared" si="2"/>
        <v>BADERTSCHER DIANE</v>
      </c>
      <c r="H125" s="20" t="str">
        <f t="shared" si="3"/>
        <v>4010</v>
      </c>
    </row>
    <row r="126" spans="1:8" x14ac:dyDescent="0.3">
      <c r="A126" s="8">
        <v>43071.571226851855</v>
      </c>
      <c r="B126" s="20" t="s">
        <v>386</v>
      </c>
      <c r="C126" s="20" t="s">
        <v>787</v>
      </c>
      <c r="D126" s="137">
        <v>2370000</v>
      </c>
      <c r="E126" s="20" t="s">
        <v>602</v>
      </c>
      <c r="F126" s="20" t="s">
        <v>603</v>
      </c>
      <c r="G126" s="8" t="str">
        <f t="shared" si="2"/>
        <v>DELGADO DIANAH</v>
      </c>
      <c r="H126" s="20" t="str">
        <f t="shared" si="3"/>
        <v>4029</v>
      </c>
    </row>
    <row r="127" spans="1:8" x14ac:dyDescent="0.3">
      <c r="A127" s="8">
        <v>43071.578958333332</v>
      </c>
      <c r="B127" s="20" t="s">
        <v>560</v>
      </c>
      <c r="C127" s="20" t="s">
        <v>788</v>
      </c>
      <c r="D127" s="137">
        <v>2630000</v>
      </c>
      <c r="E127" s="20" t="s">
        <v>372</v>
      </c>
      <c r="F127" s="20" t="s">
        <v>373</v>
      </c>
      <c r="G127" s="8" t="str">
        <f t="shared" si="2"/>
        <v>SAFIEF AEIMEN</v>
      </c>
      <c r="H127" s="20" t="str">
        <f t="shared" si="3"/>
        <v>4021</v>
      </c>
    </row>
    <row r="128" spans="1:8" x14ac:dyDescent="0.3">
      <c r="A128" s="8">
        <v>43071.580104166664</v>
      </c>
      <c r="B128" s="20" t="s">
        <v>494</v>
      </c>
      <c r="C128" s="20" t="s">
        <v>789</v>
      </c>
      <c r="D128" s="137">
        <v>2350000</v>
      </c>
      <c r="E128" s="20" t="s">
        <v>529</v>
      </c>
      <c r="F128" s="20" t="s">
        <v>530</v>
      </c>
      <c r="G128" s="8" t="str">
        <f t="shared" si="2"/>
        <v>BERLING GARY</v>
      </c>
      <c r="H128" s="20" t="str">
        <f t="shared" si="3"/>
        <v>4056</v>
      </c>
    </row>
    <row r="129" spans="1:8" x14ac:dyDescent="0.3">
      <c r="A129" s="8">
        <v>43071.584027777775</v>
      </c>
      <c r="B129" s="20" t="s">
        <v>495</v>
      </c>
      <c r="C129" s="20" t="s">
        <v>790</v>
      </c>
      <c r="D129" s="137">
        <v>2230000</v>
      </c>
      <c r="E129" s="20" t="s">
        <v>393</v>
      </c>
      <c r="F129" s="20" t="s">
        <v>352</v>
      </c>
      <c r="G129" s="8" t="str">
        <f t="shared" si="2"/>
        <v>SMITH MICHAEL</v>
      </c>
      <c r="H129" s="20" t="str">
        <f t="shared" si="3"/>
        <v>4054</v>
      </c>
    </row>
    <row r="130" spans="1:8" x14ac:dyDescent="0.3">
      <c r="A130" s="8">
        <v>43071.590266203704</v>
      </c>
      <c r="B130" s="20" t="s">
        <v>561</v>
      </c>
      <c r="C130" s="20" t="s">
        <v>791</v>
      </c>
      <c r="D130" s="137">
        <v>2970000</v>
      </c>
      <c r="E130" s="20" t="s">
        <v>374</v>
      </c>
      <c r="F130" s="20" t="s">
        <v>375</v>
      </c>
      <c r="G130" s="8" t="str">
        <f t="shared" si="2"/>
        <v>GUZMAN DANNY</v>
      </c>
      <c r="H130" s="20" t="str">
        <f t="shared" si="3"/>
        <v>4031</v>
      </c>
    </row>
    <row r="131" spans="1:8" x14ac:dyDescent="0.3">
      <c r="A131" s="8">
        <v>43071.590902777774</v>
      </c>
      <c r="B131" s="20" t="s">
        <v>746</v>
      </c>
      <c r="C131" s="20" t="s">
        <v>792</v>
      </c>
      <c r="D131" s="137">
        <v>1770000</v>
      </c>
      <c r="E131" s="20" t="s">
        <v>502</v>
      </c>
      <c r="F131" s="20" t="s">
        <v>503</v>
      </c>
      <c r="G131" s="8" t="str">
        <f t="shared" ref="G131:G194" si="4">E131&amp;" "&amp;F131</f>
        <v>BRUDER RICHARD</v>
      </c>
      <c r="H131" s="20" t="str">
        <f t="shared" ref="H131:H194" si="5">MID(B131,13,4)</f>
        <v>4058</v>
      </c>
    </row>
    <row r="132" spans="1:8" x14ac:dyDescent="0.3">
      <c r="A132" s="8">
        <v>43071.603067129632</v>
      </c>
      <c r="B132" s="20" t="s">
        <v>662</v>
      </c>
      <c r="C132" s="20" t="s">
        <v>793</v>
      </c>
      <c r="D132" s="137">
        <v>2420000</v>
      </c>
      <c r="E132" s="20" t="s">
        <v>599</v>
      </c>
      <c r="F132" s="20" t="s">
        <v>600</v>
      </c>
      <c r="G132" s="8" t="str">
        <f t="shared" si="4"/>
        <v>HOLCOMB KAMDEN</v>
      </c>
      <c r="H132" s="20" t="str">
        <f t="shared" si="5"/>
        <v>4034</v>
      </c>
    </row>
    <row r="133" spans="1:8" x14ac:dyDescent="0.3">
      <c r="A133" s="8">
        <v>43071.605138888888</v>
      </c>
      <c r="B133" s="20" t="s">
        <v>496</v>
      </c>
      <c r="C133" s="20" t="s">
        <v>794</v>
      </c>
      <c r="D133" s="137">
        <v>2230000</v>
      </c>
      <c r="E133" s="20" t="s">
        <v>393</v>
      </c>
      <c r="F133" s="20" t="s">
        <v>352</v>
      </c>
      <c r="G133" s="8" t="str">
        <f t="shared" si="4"/>
        <v>SMITH MICHAEL</v>
      </c>
      <c r="H133" s="20" t="str">
        <f t="shared" si="5"/>
        <v>4053</v>
      </c>
    </row>
    <row r="134" spans="1:8" x14ac:dyDescent="0.3">
      <c r="A134" s="8">
        <v>43071.607442129629</v>
      </c>
      <c r="B134" s="20" t="s">
        <v>589</v>
      </c>
      <c r="C134" s="20" t="s">
        <v>795</v>
      </c>
      <c r="D134" s="137">
        <v>2550000</v>
      </c>
      <c r="E134" s="20" t="s">
        <v>565</v>
      </c>
      <c r="F134" s="20" t="s">
        <v>566</v>
      </c>
      <c r="G134" s="8" t="str">
        <f t="shared" si="4"/>
        <v>BADERTSCHER DIANE</v>
      </c>
      <c r="H134" s="20" t="str">
        <f t="shared" si="5"/>
        <v>4009</v>
      </c>
    </row>
    <row r="135" spans="1:8" x14ac:dyDescent="0.3">
      <c r="A135" s="8">
        <v>43071.609201388892</v>
      </c>
      <c r="B135" s="20" t="s">
        <v>392</v>
      </c>
      <c r="C135" s="20" t="s">
        <v>796</v>
      </c>
      <c r="D135" s="137">
        <v>3330000</v>
      </c>
      <c r="E135" s="20" t="s">
        <v>776</v>
      </c>
      <c r="F135" s="20" t="s">
        <v>777</v>
      </c>
      <c r="G135" s="8" t="str">
        <f t="shared" si="4"/>
        <v>GONZALEZ ARMANDO</v>
      </c>
      <c r="H135" s="20" t="str">
        <f t="shared" si="5"/>
        <v>4030</v>
      </c>
    </row>
    <row r="136" spans="1:8" x14ac:dyDescent="0.3">
      <c r="A136" s="8">
        <v>43071.617488425924</v>
      </c>
      <c r="B136" s="20" t="s">
        <v>351</v>
      </c>
      <c r="C136" s="20" t="s">
        <v>797</v>
      </c>
      <c r="D136" s="137">
        <v>2350000</v>
      </c>
      <c r="E136" s="20" t="s">
        <v>529</v>
      </c>
      <c r="F136" s="20" t="s">
        <v>530</v>
      </c>
      <c r="G136" s="8" t="str">
        <f t="shared" si="4"/>
        <v>BERLING GARY</v>
      </c>
      <c r="H136" s="20" t="str">
        <f t="shared" si="5"/>
        <v>4055</v>
      </c>
    </row>
    <row r="137" spans="1:8" x14ac:dyDescent="0.3">
      <c r="A137" s="8">
        <v>43071.623101851852</v>
      </c>
      <c r="B137" s="20" t="s">
        <v>384</v>
      </c>
      <c r="C137" s="20" t="s">
        <v>798</v>
      </c>
      <c r="D137" s="137">
        <v>2630000</v>
      </c>
      <c r="E137" s="20" t="s">
        <v>372</v>
      </c>
      <c r="F137" s="20" t="s">
        <v>373</v>
      </c>
      <c r="G137" s="8" t="str">
        <f t="shared" si="4"/>
        <v>SAFIEF AEIMEN</v>
      </c>
      <c r="H137" s="20" t="str">
        <f t="shared" si="5"/>
        <v>4022</v>
      </c>
    </row>
    <row r="138" spans="1:8" x14ac:dyDescent="0.3">
      <c r="A138" s="8">
        <v>43071.6249537037</v>
      </c>
      <c r="B138" s="20" t="s">
        <v>495</v>
      </c>
      <c r="C138" s="20" t="s">
        <v>799</v>
      </c>
      <c r="D138" s="137">
        <v>2230000</v>
      </c>
      <c r="E138" s="20" t="s">
        <v>393</v>
      </c>
      <c r="F138" s="20" t="s">
        <v>352</v>
      </c>
      <c r="G138" s="8" t="str">
        <f t="shared" si="4"/>
        <v>SMITH MICHAEL</v>
      </c>
      <c r="H138" s="20" t="str">
        <f t="shared" si="5"/>
        <v>4054</v>
      </c>
    </row>
    <row r="139" spans="1:8" x14ac:dyDescent="0.3">
      <c r="A139" s="8">
        <v>43071.630289351851</v>
      </c>
      <c r="B139" s="20" t="s">
        <v>559</v>
      </c>
      <c r="C139" s="20" t="s">
        <v>800</v>
      </c>
      <c r="D139" s="137">
        <v>2970000</v>
      </c>
      <c r="E139" s="20" t="s">
        <v>374</v>
      </c>
      <c r="F139" s="20" t="s">
        <v>375</v>
      </c>
      <c r="G139" s="8" t="str">
        <f t="shared" si="4"/>
        <v>GUZMAN DANNY</v>
      </c>
      <c r="H139" s="20" t="str">
        <f t="shared" si="5"/>
        <v>4032</v>
      </c>
    </row>
    <row r="140" spans="1:8" x14ac:dyDescent="0.3">
      <c r="A140" s="8">
        <v>43071.630370370367</v>
      </c>
      <c r="B140" s="20" t="s">
        <v>752</v>
      </c>
      <c r="C140" s="20" t="s">
        <v>801</v>
      </c>
      <c r="D140" s="137">
        <v>1770000</v>
      </c>
      <c r="E140" s="20" t="s">
        <v>502</v>
      </c>
      <c r="F140" s="20" t="s">
        <v>503</v>
      </c>
      <c r="G140" s="8" t="str">
        <f t="shared" si="4"/>
        <v>BRUDER RICHARD</v>
      </c>
      <c r="H140" s="20" t="str">
        <f t="shared" si="5"/>
        <v>4057</v>
      </c>
    </row>
    <row r="141" spans="1:8" x14ac:dyDescent="0.3">
      <c r="A141" s="8">
        <v>43071.641342592593</v>
      </c>
      <c r="B141" s="20" t="s">
        <v>658</v>
      </c>
      <c r="C141" s="20" t="s">
        <v>802</v>
      </c>
      <c r="D141" s="137">
        <v>2420000</v>
      </c>
      <c r="E141" s="20" t="s">
        <v>599</v>
      </c>
      <c r="F141" s="20" t="s">
        <v>600</v>
      </c>
      <c r="G141" s="8" t="str">
        <f t="shared" si="4"/>
        <v>HOLCOMB KAMDEN</v>
      </c>
      <c r="H141" s="20" t="str">
        <f t="shared" si="5"/>
        <v>4033</v>
      </c>
    </row>
    <row r="142" spans="1:8" x14ac:dyDescent="0.3">
      <c r="A142" s="8">
        <v>43071.642835648148</v>
      </c>
      <c r="B142" s="20" t="s">
        <v>444</v>
      </c>
      <c r="C142" s="20" t="s">
        <v>803</v>
      </c>
      <c r="D142" s="137">
        <v>2550000</v>
      </c>
      <c r="E142" s="20" t="s">
        <v>565</v>
      </c>
      <c r="F142" s="20" t="s">
        <v>566</v>
      </c>
      <c r="G142" s="8" t="str">
        <f t="shared" si="4"/>
        <v>BADERTSCHER DIANE</v>
      </c>
      <c r="H142" s="20" t="str">
        <f t="shared" si="5"/>
        <v>4010</v>
      </c>
    </row>
    <row r="143" spans="1:8" x14ac:dyDescent="0.3">
      <c r="A143" s="8">
        <v>43071.643587962964</v>
      </c>
      <c r="B143" s="20" t="s">
        <v>496</v>
      </c>
      <c r="C143" s="20" t="s">
        <v>804</v>
      </c>
      <c r="D143" s="137">
        <v>2230000</v>
      </c>
      <c r="E143" s="20" t="s">
        <v>393</v>
      </c>
      <c r="F143" s="20" t="s">
        <v>352</v>
      </c>
      <c r="G143" s="8" t="str">
        <f t="shared" si="4"/>
        <v>SMITH MICHAEL</v>
      </c>
      <c r="H143" s="20" t="str">
        <f t="shared" si="5"/>
        <v>4053</v>
      </c>
    </row>
    <row r="144" spans="1:8" x14ac:dyDescent="0.3">
      <c r="A144" s="8">
        <v>43071.651053240741</v>
      </c>
      <c r="B144" s="20" t="s">
        <v>386</v>
      </c>
      <c r="C144" s="20" t="s">
        <v>805</v>
      </c>
      <c r="D144" s="137">
        <v>3330000</v>
      </c>
      <c r="E144" s="20" t="s">
        <v>776</v>
      </c>
      <c r="F144" s="20" t="s">
        <v>777</v>
      </c>
      <c r="G144" s="8" t="str">
        <f t="shared" si="4"/>
        <v>GONZALEZ ARMANDO</v>
      </c>
      <c r="H144" s="20" t="str">
        <f t="shared" si="5"/>
        <v>4029</v>
      </c>
    </row>
    <row r="145" spans="1:8" x14ac:dyDescent="0.3">
      <c r="A145" s="8">
        <v>43071.652499999997</v>
      </c>
      <c r="B145" s="20" t="s">
        <v>560</v>
      </c>
      <c r="C145" s="20" t="s">
        <v>806</v>
      </c>
      <c r="D145" s="137">
        <v>2630000</v>
      </c>
      <c r="E145" s="20" t="s">
        <v>372</v>
      </c>
      <c r="F145" s="20" t="s">
        <v>373</v>
      </c>
      <c r="G145" s="8" t="str">
        <f t="shared" si="4"/>
        <v>SAFIEF AEIMEN</v>
      </c>
      <c r="H145" s="20" t="str">
        <f t="shared" si="5"/>
        <v>4021</v>
      </c>
    </row>
    <row r="146" spans="1:8" x14ac:dyDescent="0.3">
      <c r="A146" s="8">
        <v>43071.655543981484</v>
      </c>
      <c r="B146" s="20" t="s">
        <v>494</v>
      </c>
      <c r="C146" s="20" t="s">
        <v>807</v>
      </c>
      <c r="D146" s="137">
        <v>2350000</v>
      </c>
      <c r="E146" s="20" t="s">
        <v>529</v>
      </c>
      <c r="F146" s="20" t="s">
        <v>530</v>
      </c>
      <c r="G146" s="8" t="str">
        <f t="shared" si="4"/>
        <v>BERLING GARY</v>
      </c>
      <c r="H146" s="20" t="str">
        <f t="shared" si="5"/>
        <v>4056</v>
      </c>
    </row>
    <row r="147" spans="1:8" x14ac:dyDescent="0.3">
      <c r="A147" s="8">
        <v>43071.662812499999</v>
      </c>
      <c r="B147" s="20" t="s">
        <v>561</v>
      </c>
      <c r="C147" s="20" t="s">
        <v>808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4031</v>
      </c>
    </row>
    <row r="148" spans="1:8" x14ac:dyDescent="0.3">
      <c r="A148" s="8">
        <v>43071.663703703707</v>
      </c>
      <c r="B148" s="20" t="s">
        <v>746</v>
      </c>
      <c r="C148" s="20" t="s">
        <v>809</v>
      </c>
      <c r="D148" s="137">
        <v>1770000</v>
      </c>
      <c r="E148" s="20" t="s">
        <v>502</v>
      </c>
      <c r="F148" s="20" t="s">
        <v>503</v>
      </c>
      <c r="G148" s="8" t="str">
        <f t="shared" si="4"/>
        <v>BRUDER RICHARD</v>
      </c>
      <c r="H148" s="20" t="str">
        <f t="shared" si="5"/>
        <v>4058</v>
      </c>
    </row>
    <row r="149" spans="1:8" x14ac:dyDescent="0.3">
      <c r="A149" s="8">
        <v>43071.665833333333</v>
      </c>
      <c r="B149" s="20" t="s">
        <v>495</v>
      </c>
      <c r="C149" s="20" t="s">
        <v>810</v>
      </c>
      <c r="D149" s="137">
        <v>2230000</v>
      </c>
      <c r="E149" s="20" t="s">
        <v>393</v>
      </c>
      <c r="F149" s="20" t="s">
        <v>352</v>
      </c>
      <c r="G149" s="8" t="str">
        <f t="shared" si="4"/>
        <v>SMITH MICHAEL</v>
      </c>
      <c r="H149" s="20" t="str">
        <f t="shared" si="5"/>
        <v>4054</v>
      </c>
    </row>
    <row r="150" spans="1:8" x14ac:dyDescent="0.3">
      <c r="A150" s="8">
        <v>43071.674421296295</v>
      </c>
      <c r="B150" s="20" t="s">
        <v>662</v>
      </c>
      <c r="C150" s="20" t="s">
        <v>663</v>
      </c>
      <c r="D150" s="137">
        <v>2420000</v>
      </c>
      <c r="E150" s="20" t="s">
        <v>599</v>
      </c>
      <c r="F150" s="20" t="s">
        <v>600</v>
      </c>
      <c r="G150" s="8" t="str">
        <f t="shared" si="4"/>
        <v>HOLCOMB KAMDEN</v>
      </c>
      <c r="H150" s="20" t="str">
        <f t="shared" si="5"/>
        <v>4034</v>
      </c>
    </row>
    <row r="151" spans="1:8" x14ac:dyDescent="0.3">
      <c r="A151" s="8">
        <v>43071.68304398148</v>
      </c>
      <c r="B151" s="20" t="s">
        <v>589</v>
      </c>
      <c r="C151" s="20" t="s">
        <v>811</v>
      </c>
      <c r="D151" s="137">
        <v>2550000</v>
      </c>
      <c r="E151" s="20" t="s">
        <v>565</v>
      </c>
      <c r="F151" s="20" t="s">
        <v>566</v>
      </c>
      <c r="G151" s="8" t="str">
        <f t="shared" si="4"/>
        <v>BADERTSCHER DIANE</v>
      </c>
      <c r="H151" s="20" t="str">
        <f t="shared" si="5"/>
        <v>4009</v>
      </c>
    </row>
    <row r="152" spans="1:8" x14ac:dyDescent="0.3">
      <c r="A152" s="8">
        <v>43071.684293981481</v>
      </c>
      <c r="B152" s="20" t="s">
        <v>496</v>
      </c>
      <c r="C152" s="20" t="s">
        <v>812</v>
      </c>
      <c r="D152" s="137">
        <v>2230000</v>
      </c>
      <c r="E152" s="20" t="s">
        <v>393</v>
      </c>
      <c r="F152" s="20" t="s">
        <v>352</v>
      </c>
      <c r="G152" s="8" t="str">
        <f t="shared" si="4"/>
        <v>SMITH MICHAEL</v>
      </c>
      <c r="H152" s="20" t="str">
        <f t="shared" si="5"/>
        <v>4053</v>
      </c>
    </row>
    <row r="153" spans="1:8" x14ac:dyDescent="0.3">
      <c r="A153" s="8">
        <v>43071.685648148145</v>
      </c>
      <c r="B153" s="20" t="s">
        <v>392</v>
      </c>
      <c r="C153" s="20" t="s">
        <v>813</v>
      </c>
      <c r="D153" s="137">
        <v>2370000</v>
      </c>
      <c r="E153" s="20" t="s">
        <v>602</v>
      </c>
      <c r="F153" s="20" t="s">
        <v>603</v>
      </c>
      <c r="G153" s="8" t="str">
        <f t="shared" si="4"/>
        <v>DELGADO DIANAH</v>
      </c>
      <c r="H153" s="20" t="str">
        <f t="shared" si="5"/>
        <v>4030</v>
      </c>
    </row>
    <row r="154" spans="1:8" x14ac:dyDescent="0.3">
      <c r="A154" s="8">
        <v>43071.690300925926</v>
      </c>
      <c r="B154" s="20" t="s">
        <v>351</v>
      </c>
      <c r="C154" s="20" t="s">
        <v>814</v>
      </c>
      <c r="D154" s="137">
        <v>2350000</v>
      </c>
      <c r="E154" s="20" t="s">
        <v>529</v>
      </c>
      <c r="F154" s="20" t="s">
        <v>530</v>
      </c>
      <c r="G154" s="8" t="str">
        <f t="shared" si="4"/>
        <v>BERLING GARY</v>
      </c>
      <c r="H154" s="20" t="str">
        <f t="shared" si="5"/>
        <v>4055</v>
      </c>
    </row>
    <row r="155" spans="1:8" x14ac:dyDescent="0.3">
      <c r="A155" s="8">
        <v>43071.691192129627</v>
      </c>
      <c r="B155" s="20" t="s">
        <v>678</v>
      </c>
      <c r="C155" s="20" t="s">
        <v>815</v>
      </c>
      <c r="D155" s="137">
        <v>3030000</v>
      </c>
      <c r="E155" s="20" t="s">
        <v>601</v>
      </c>
      <c r="F155" s="20" t="s">
        <v>594</v>
      </c>
      <c r="G155" s="8" t="str">
        <f t="shared" si="4"/>
        <v>BIRENBAUM THOMAS</v>
      </c>
      <c r="H155" s="20" t="str">
        <f t="shared" si="5"/>
        <v>4044</v>
      </c>
    </row>
    <row r="156" spans="1:8" x14ac:dyDescent="0.3">
      <c r="A156" s="8">
        <v>43071.695023148146</v>
      </c>
      <c r="B156" s="20" t="s">
        <v>384</v>
      </c>
      <c r="C156" s="20" t="s">
        <v>816</v>
      </c>
      <c r="D156" s="137">
        <v>2630000</v>
      </c>
      <c r="E156" s="20" t="s">
        <v>372</v>
      </c>
      <c r="F156" s="20" t="s">
        <v>373</v>
      </c>
      <c r="G156" s="8" t="str">
        <f t="shared" si="4"/>
        <v>SAFIEF AEIMEN</v>
      </c>
      <c r="H156" s="20" t="str">
        <f t="shared" si="5"/>
        <v>4022</v>
      </c>
    </row>
    <row r="157" spans="1:8" x14ac:dyDescent="0.3">
      <c r="A157" s="8">
        <v>43071.703634259262</v>
      </c>
      <c r="B157" s="20" t="s">
        <v>752</v>
      </c>
      <c r="C157" s="20" t="s">
        <v>817</v>
      </c>
      <c r="D157" s="137">
        <v>1770000</v>
      </c>
      <c r="E157" s="20" t="s">
        <v>502</v>
      </c>
      <c r="F157" s="20" t="s">
        <v>503</v>
      </c>
      <c r="G157" s="8" t="str">
        <f t="shared" si="4"/>
        <v>BRUDER RICHARD</v>
      </c>
      <c r="H157" s="20" t="str">
        <f t="shared" si="5"/>
        <v>4057</v>
      </c>
    </row>
    <row r="158" spans="1:8" x14ac:dyDescent="0.3">
      <c r="A158" s="8">
        <v>43071.705775462964</v>
      </c>
      <c r="B158" s="20" t="s">
        <v>559</v>
      </c>
      <c r="C158" s="20" t="s">
        <v>818</v>
      </c>
      <c r="D158" s="137">
        <v>2970000</v>
      </c>
      <c r="E158" s="20" t="s">
        <v>374</v>
      </c>
      <c r="F158" s="20" t="s">
        <v>375</v>
      </c>
      <c r="G158" s="8" t="str">
        <f t="shared" si="4"/>
        <v>GUZMAN DANNY</v>
      </c>
      <c r="H158" s="20" t="str">
        <f t="shared" si="5"/>
        <v>4032</v>
      </c>
    </row>
    <row r="159" spans="1:8" x14ac:dyDescent="0.3">
      <c r="A159" s="8">
        <v>43071.710428240738</v>
      </c>
      <c r="B159" s="20" t="s">
        <v>495</v>
      </c>
      <c r="C159" s="20" t="s">
        <v>819</v>
      </c>
      <c r="D159" s="137">
        <v>2230000</v>
      </c>
      <c r="E159" s="20" t="s">
        <v>393</v>
      </c>
      <c r="F159" s="20" t="s">
        <v>352</v>
      </c>
      <c r="G159" s="8" t="str">
        <f t="shared" si="4"/>
        <v>SMITH MICHAEL</v>
      </c>
      <c r="H159" s="20" t="str">
        <f t="shared" si="5"/>
        <v>4054</v>
      </c>
    </row>
    <row r="160" spans="1:8" x14ac:dyDescent="0.3">
      <c r="A160" s="8">
        <v>43071.71366898148</v>
      </c>
      <c r="B160" s="20" t="s">
        <v>658</v>
      </c>
      <c r="C160" s="20" t="s">
        <v>664</v>
      </c>
      <c r="D160" s="137">
        <v>2420000</v>
      </c>
      <c r="E160" s="20" t="s">
        <v>599</v>
      </c>
      <c r="F160" s="20" t="s">
        <v>600</v>
      </c>
      <c r="G160" s="8" t="str">
        <f t="shared" si="4"/>
        <v>HOLCOMB KAMDEN</v>
      </c>
      <c r="H160" s="20" t="str">
        <f t="shared" si="5"/>
        <v>4033</v>
      </c>
    </row>
    <row r="161" spans="1:8" x14ac:dyDescent="0.3">
      <c r="A161" s="8">
        <v>43071.714618055557</v>
      </c>
      <c r="B161" s="20" t="s">
        <v>386</v>
      </c>
      <c r="C161" s="20" t="s">
        <v>820</v>
      </c>
      <c r="D161" s="137">
        <v>2370000</v>
      </c>
      <c r="E161" s="20" t="s">
        <v>602</v>
      </c>
      <c r="F161" s="20" t="s">
        <v>603</v>
      </c>
      <c r="G161" s="8" t="str">
        <f t="shared" si="4"/>
        <v>DELGADO DIANAH</v>
      </c>
      <c r="H161" s="20" t="str">
        <f t="shared" si="5"/>
        <v>4029</v>
      </c>
    </row>
    <row r="162" spans="1:8" x14ac:dyDescent="0.3">
      <c r="A162" s="8">
        <v>43071.716354166667</v>
      </c>
      <c r="B162" s="20" t="s">
        <v>444</v>
      </c>
      <c r="C162" s="20" t="s">
        <v>821</v>
      </c>
      <c r="D162" s="137">
        <v>2550000</v>
      </c>
      <c r="E162" s="20" t="s">
        <v>565</v>
      </c>
      <c r="F162" s="20" t="s">
        <v>566</v>
      </c>
      <c r="G162" s="8" t="str">
        <f t="shared" si="4"/>
        <v>BADERTSCHER DIANE</v>
      </c>
      <c r="H162" s="20" t="str">
        <f t="shared" si="5"/>
        <v>4010</v>
      </c>
    </row>
    <row r="163" spans="1:8" x14ac:dyDescent="0.3">
      <c r="A163" s="8">
        <v>43071.725844907407</v>
      </c>
      <c r="B163" s="20" t="s">
        <v>496</v>
      </c>
      <c r="C163" s="20" t="s">
        <v>822</v>
      </c>
      <c r="D163" s="137">
        <v>2230000</v>
      </c>
      <c r="E163" s="20" t="s">
        <v>393</v>
      </c>
      <c r="F163" s="20" t="s">
        <v>352</v>
      </c>
      <c r="G163" s="8" t="str">
        <f t="shared" si="4"/>
        <v>SMITH MICHAEL</v>
      </c>
      <c r="H163" s="20" t="str">
        <f t="shared" si="5"/>
        <v>4053</v>
      </c>
    </row>
    <row r="164" spans="1:8" x14ac:dyDescent="0.3">
      <c r="A164" s="8">
        <v>43071.726238425923</v>
      </c>
      <c r="B164" s="20" t="s">
        <v>560</v>
      </c>
      <c r="C164" s="20" t="s">
        <v>823</v>
      </c>
      <c r="D164" s="137">
        <v>2630000</v>
      </c>
      <c r="E164" s="20" t="s">
        <v>372</v>
      </c>
      <c r="F164" s="20" t="s">
        <v>373</v>
      </c>
      <c r="G164" s="8" t="str">
        <f t="shared" si="4"/>
        <v>SAFIEF AEIMEN</v>
      </c>
      <c r="H164" s="20" t="str">
        <f t="shared" si="5"/>
        <v>4021</v>
      </c>
    </row>
    <row r="165" spans="1:8" x14ac:dyDescent="0.3">
      <c r="A165" s="8">
        <v>43071.7265162037</v>
      </c>
      <c r="B165" s="20" t="s">
        <v>494</v>
      </c>
      <c r="C165" s="20" t="s">
        <v>824</v>
      </c>
      <c r="D165" s="137">
        <v>2350000</v>
      </c>
      <c r="E165" s="20" t="s">
        <v>529</v>
      </c>
      <c r="F165" s="20" t="s">
        <v>530</v>
      </c>
      <c r="G165" s="8" t="str">
        <f t="shared" si="4"/>
        <v>BERLING GARY</v>
      </c>
      <c r="H165" s="20" t="str">
        <f t="shared" si="5"/>
        <v>4056</v>
      </c>
    </row>
    <row r="166" spans="1:8" x14ac:dyDescent="0.3">
      <c r="A166" s="8">
        <v>43071.735289351855</v>
      </c>
      <c r="B166" s="20" t="s">
        <v>356</v>
      </c>
      <c r="C166" s="20" t="s">
        <v>825</v>
      </c>
      <c r="D166" s="137">
        <v>3330000</v>
      </c>
      <c r="E166" s="20" t="s">
        <v>776</v>
      </c>
      <c r="F166" s="20" t="s">
        <v>777</v>
      </c>
      <c r="G166" s="8" t="str">
        <f t="shared" si="4"/>
        <v>GONZALEZ ARMANDO</v>
      </c>
      <c r="H166" s="20" t="str">
        <f t="shared" si="5"/>
        <v>4008</v>
      </c>
    </row>
    <row r="167" spans="1:8" x14ac:dyDescent="0.3">
      <c r="A167" s="8">
        <v>43071.736597222225</v>
      </c>
      <c r="B167" s="20" t="s">
        <v>561</v>
      </c>
      <c r="C167" s="20" t="s">
        <v>826</v>
      </c>
      <c r="D167" s="137">
        <v>2970000</v>
      </c>
      <c r="E167" s="20" t="s">
        <v>374</v>
      </c>
      <c r="F167" s="20" t="s">
        <v>375</v>
      </c>
      <c r="G167" s="8" t="str">
        <f t="shared" si="4"/>
        <v>GUZMAN DANNY</v>
      </c>
      <c r="H167" s="20" t="str">
        <f t="shared" si="5"/>
        <v>4031</v>
      </c>
    </row>
    <row r="168" spans="1:8" x14ac:dyDescent="0.3">
      <c r="A168" s="8">
        <v>43071.736828703702</v>
      </c>
      <c r="B168" s="20" t="s">
        <v>665</v>
      </c>
      <c r="C168" s="20" t="s">
        <v>666</v>
      </c>
      <c r="D168" s="137">
        <v>2040000</v>
      </c>
      <c r="E168" s="20" t="s">
        <v>396</v>
      </c>
      <c r="F168" s="20" t="s">
        <v>397</v>
      </c>
      <c r="G168" s="8" t="str">
        <f t="shared" si="4"/>
        <v>MOSES BRADLEY</v>
      </c>
      <c r="H168" s="20" t="str">
        <f t="shared" si="5"/>
        <v>4025</v>
      </c>
    </row>
    <row r="169" spans="1:8" x14ac:dyDescent="0.3">
      <c r="A169" s="8">
        <v>43071.737199074072</v>
      </c>
      <c r="B169" s="20" t="s">
        <v>746</v>
      </c>
      <c r="C169" s="20" t="s">
        <v>827</v>
      </c>
      <c r="D169" s="137">
        <v>3000000</v>
      </c>
      <c r="E169" s="20" t="s">
        <v>483</v>
      </c>
      <c r="F169" s="20" t="s">
        <v>484</v>
      </c>
      <c r="G169" s="8" t="str">
        <f t="shared" si="4"/>
        <v>FORTUNATO FRANK</v>
      </c>
      <c r="H169" s="20" t="str">
        <f t="shared" si="5"/>
        <v>4058</v>
      </c>
    </row>
    <row r="170" spans="1:8" x14ac:dyDescent="0.3">
      <c r="A170" s="8">
        <v>43071.749062499999</v>
      </c>
      <c r="B170" s="20" t="s">
        <v>662</v>
      </c>
      <c r="C170" s="20" t="s">
        <v>828</v>
      </c>
      <c r="D170" s="137">
        <v>2420000</v>
      </c>
      <c r="E170" s="20" t="s">
        <v>599</v>
      </c>
      <c r="F170" s="20" t="s">
        <v>600</v>
      </c>
      <c r="G170" s="8" t="str">
        <f t="shared" si="4"/>
        <v>HOLCOMB KAMDEN</v>
      </c>
      <c r="H170" s="20" t="str">
        <f t="shared" si="5"/>
        <v>4034</v>
      </c>
    </row>
    <row r="171" spans="1:8" x14ac:dyDescent="0.3">
      <c r="A171" s="8">
        <v>43071.754363425927</v>
      </c>
      <c r="B171" s="20" t="s">
        <v>589</v>
      </c>
      <c r="C171" s="20" t="s">
        <v>829</v>
      </c>
      <c r="D171" s="137">
        <v>2550000</v>
      </c>
      <c r="E171" s="20" t="s">
        <v>565</v>
      </c>
      <c r="F171" s="20" t="s">
        <v>566</v>
      </c>
      <c r="G171" s="8" t="str">
        <f t="shared" si="4"/>
        <v>BADERTSCHER DIANE</v>
      </c>
      <c r="H171" s="20" t="str">
        <f t="shared" si="5"/>
        <v>4009</v>
      </c>
    </row>
    <row r="172" spans="1:8" x14ac:dyDescent="0.3">
      <c r="A172" s="8">
        <v>43071.75439814815</v>
      </c>
      <c r="B172" s="20" t="s">
        <v>495</v>
      </c>
      <c r="C172" s="20" t="s">
        <v>830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4054</v>
      </c>
    </row>
    <row r="173" spans="1:8" x14ac:dyDescent="0.3">
      <c r="A173" s="8">
        <v>43071.755798611113</v>
      </c>
      <c r="B173" s="20" t="s">
        <v>392</v>
      </c>
      <c r="C173" s="20" t="s">
        <v>831</v>
      </c>
      <c r="D173" s="137">
        <v>3340000</v>
      </c>
      <c r="E173" s="20" t="s">
        <v>471</v>
      </c>
      <c r="F173" s="20" t="s">
        <v>472</v>
      </c>
      <c r="G173" s="8" t="str">
        <f t="shared" si="4"/>
        <v>ELBAUM MIKE</v>
      </c>
      <c r="H173" s="20" t="str">
        <f t="shared" si="5"/>
        <v>4030</v>
      </c>
    </row>
    <row r="174" spans="1:8" x14ac:dyDescent="0.3">
      <c r="A174" s="8">
        <v>43071.765081018515</v>
      </c>
      <c r="B174" s="20" t="s">
        <v>351</v>
      </c>
      <c r="C174" s="20" t="s">
        <v>832</v>
      </c>
      <c r="D174" s="137">
        <v>2350000</v>
      </c>
      <c r="E174" s="20" t="s">
        <v>529</v>
      </c>
      <c r="F174" s="20" t="s">
        <v>530</v>
      </c>
      <c r="G174" s="8" t="str">
        <f t="shared" si="4"/>
        <v>BERLING GARY</v>
      </c>
      <c r="H174" s="20" t="str">
        <f t="shared" si="5"/>
        <v>4055</v>
      </c>
    </row>
    <row r="175" spans="1:8" x14ac:dyDescent="0.3">
      <c r="A175" s="8">
        <v>43071.767511574071</v>
      </c>
      <c r="B175" s="20" t="s">
        <v>496</v>
      </c>
      <c r="C175" s="20" t="s">
        <v>667</v>
      </c>
      <c r="D175" s="137">
        <v>2230000</v>
      </c>
      <c r="E175" s="20" t="s">
        <v>393</v>
      </c>
      <c r="F175" s="20" t="s">
        <v>352</v>
      </c>
      <c r="G175" s="8" t="str">
        <f t="shared" si="4"/>
        <v>SMITH MICHAEL</v>
      </c>
      <c r="H175" s="20" t="str">
        <f t="shared" si="5"/>
        <v>4053</v>
      </c>
    </row>
    <row r="176" spans="1:8" x14ac:dyDescent="0.3">
      <c r="A176" s="8">
        <v>43071.768657407411</v>
      </c>
      <c r="B176" s="20" t="s">
        <v>384</v>
      </c>
      <c r="C176" s="20" t="s">
        <v>833</v>
      </c>
      <c r="D176" s="137">
        <v>3320000</v>
      </c>
      <c r="E176" s="20" t="s">
        <v>363</v>
      </c>
      <c r="F176" s="20" t="s">
        <v>364</v>
      </c>
      <c r="G176" s="8" t="str">
        <f t="shared" si="4"/>
        <v>NICHOLSON WESLEY</v>
      </c>
      <c r="H176" s="20" t="str">
        <f t="shared" si="5"/>
        <v>4022</v>
      </c>
    </row>
    <row r="177" spans="1:8" x14ac:dyDescent="0.3">
      <c r="A177" s="8">
        <v>43071.769479166665</v>
      </c>
      <c r="B177" s="20" t="s">
        <v>752</v>
      </c>
      <c r="C177" s="20" t="s">
        <v>834</v>
      </c>
      <c r="D177" s="137">
        <v>3000000</v>
      </c>
      <c r="E177" s="20" t="s">
        <v>483</v>
      </c>
      <c r="F177" s="20" t="s">
        <v>484</v>
      </c>
      <c r="G177" s="8" t="str">
        <f t="shared" si="4"/>
        <v>FORTUNATO FRANK</v>
      </c>
      <c r="H177" s="20" t="str">
        <f t="shared" si="5"/>
        <v>4057</v>
      </c>
    </row>
    <row r="178" spans="1:8" x14ac:dyDescent="0.3">
      <c r="A178" s="8">
        <v>43071.776354166665</v>
      </c>
      <c r="B178" s="20" t="s">
        <v>559</v>
      </c>
      <c r="C178" s="20" t="s">
        <v>835</v>
      </c>
      <c r="D178" s="137">
        <v>2970000</v>
      </c>
      <c r="E178" s="20" t="s">
        <v>374</v>
      </c>
      <c r="F178" s="20" t="s">
        <v>375</v>
      </c>
      <c r="G178" s="8" t="str">
        <f t="shared" si="4"/>
        <v>GUZMAN DANNY</v>
      </c>
      <c r="H178" s="20" t="str">
        <f t="shared" si="5"/>
        <v>4032</v>
      </c>
    </row>
    <row r="179" spans="1:8" x14ac:dyDescent="0.3">
      <c r="A179" s="8">
        <v>43071.786898148152</v>
      </c>
      <c r="B179" s="20" t="s">
        <v>386</v>
      </c>
      <c r="C179" s="20" t="s">
        <v>836</v>
      </c>
      <c r="D179" s="137">
        <v>3340000</v>
      </c>
      <c r="E179" s="20" t="s">
        <v>471</v>
      </c>
      <c r="F179" s="20" t="s">
        <v>472</v>
      </c>
      <c r="G179" s="8" t="str">
        <f t="shared" si="4"/>
        <v>ELBAUM MIKE</v>
      </c>
      <c r="H179" s="20" t="str">
        <f t="shared" si="5"/>
        <v>4029</v>
      </c>
    </row>
    <row r="180" spans="1:8" x14ac:dyDescent="0.3">
      <c r="A180" s="8">
        <v>43071.787916666668</v>
      </c>
      <c r="B180" s="20" t="s">
        <v>658</v>
      </c>
      <c r="C180" s="20" t="s">
        <v>837</v>
      </c>
      <c r="D180" s="137">
        <v>2420000</v>
      </c>
      <c r="E180" s="20" t="s">
        <v>599</v>
      </c>
      <c r="F180" s="20" t="s">
        <v>600</v>
      </c>
      <c r="G180" s="8" t="str">
        <f t="shared" si="4"/>
        <v>HOLCOMB KAMDEN</v>
      </c>
      <c r="H180" s="20" t="str">
        <f t="shared" si="5"/>
        <v>4033</v>
      </c>
    </row>
    <row r="181" spans="1:8" x14ac:dyDescent="0.3">
      <c r="A181" s="8">
        <v>43071.789247685185</v>
      </c>
      <c r="B181" s="20" t="s">
        <v>444</v>
      </c>
      <c r="C181" s="20" t="s">
        <v>838</v>
      </c>
      <c r="D181" s="137">
        <v>3310000</v>
      </c>
      <c r="E181" s="20" t="s">
        <v>567</v>
      </c>
      <c r="F181" s="20" t="s">
        <v>568</v>
      </c>
      <c r="G181" s="8" t="str">
        <f t="shared" si="4"/>
        <v>ANDERS STEVEN</v>
      </c>
      <c r="H181" s="20" t="str">
        <f t="shared" si="5"/>
        <v>4010</v>
      </c>
    </row>
    <row r="182" spans="1:8" x14ac:dyDescent="0.3">
      <c r="A182" s="8">
        <v>43071.792430555557</v>
      </c>
      <c r="B182" s="20" t="s">
        <v>495</v>
      </c>
      <c r="C182" s="20" t="s">
        <v>839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4054</v>
      </c>
    </row>
    <row r="183" spans="1:8" x14ac:dyDescent="0.3">
      <c r="A183" s="8">
        <v>43071.798703703702</v>
      </c>
      <c r="B183" s="20" t="s">
        <v>494</v>
      </c>
      <c r="C183" s="20" t="s">
        <v>840</v>
      </c>
      <c r="D183" s="137">
        <v>2350000</v>
      </c>
      <c r="E183" s="20" t="s">
        <v>529</v>
      </c>
      <c r="F183" s="20" t="s">
        <v>530</v>
      </c>
      <c r="G183" s="8" t="str">
        <f t="shared" si="4"/>
        <v>BERLING GARY</v>
      </c>
      <c r="H183" s="20" t="str">
        <f t="shared" si="5"/>
        <v>4056</v>
      </c>
    </row>
    <row r="184" spans="1:8" x14ac:dyDescent="0.3">
      <c r="A184" s="8">
        <v>43071.802175925928</v>
      </c>
      <c r="B184" s="20" t="s">
        <v>560</v>
      </c>
      <c r="C184" s="20" t="s">
        <v>841</v>
      </c>
      <c r="D184" s="137">
        <v>3320000</v>
      </c>
      <c r="E184" s="20" t="s">
        <v>363</v>
      </c>
      <c r="F184" s="20" t="s">
        <v>364</v>
      </c>
      <c r="G184" s="8" t="str">
        <f t="shared" si="4"/>
        <v>NICHOLSON WESLEY</v>
      </c>
      <c r="H184" s="20" t="str">
        <f t="shared" si="5"/>
        <v>4021</v>
      </c>
    </row>
    <row r="185" spans="1:8" x14ac:dyDescent="0.3">
      <c r="A185" s="8">
        <v>43071.808379629627</v>
      </c>
      <c r="B185" s="20" t="s">
        <v>746</v>
      </c>
      <c r="C185" s="20" t="s">
        <v>842</v>
      </c>
      <c r="D185" s="137">
        <v>3500000</v>
      </c>
      <c r="E185" s="20" t="s">
        <v>376</v>
      </c>
      <c r="F185" s="20" t="s">
        <v>377</v>
      </c>
      <c r="G185" s="8" t="str">
        <f t="shared" si="4"/>
        <v>GUNTHIER ERIC</v>
      </c>
      <c r="H185" s="20" t="str">
        <f t="shared" si="5"/>
        <v>4058</v>
      </c>
    </row>
    <row r="186" spans="1:8" x14ac:dyDescent="0.3">
      <c r="A186" s="8">
        <v>43071.810046296298</v>
      </c>
      <c r="B186" s="20" t="s">
        <v>496</v>
      </c>
      <c r="C186" s="20" t="s">
        <v>843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4053</v>
      </c>
    </row>
    <row r="187" spans="1:8" x14ac:dyDescent="0.3">
      <c r="A187" s="8">
        <v>43071.81690972222</v>
      </c>
      <c r="B187" s="20" t="s">
        <v>662</v>
      </c>
      <c r="C187" s="20" t="s">
        <v>844</v>
      </c>
      <c r="D187" s="137">
        <v>2420000</v>
      </c>
      <c r="E187" s="20" t="s">
        <v>599</v>
      </c>
      <c r="F187" s="20" t="s">
        <v>600</v>
      </c>
      <c r="G187" s="8" t="str">
        <f t="shared" si="4"/>
        <v>HOLCOMB KAMDEN</v>
      </c>
      <c r="H187" s="20" t="str">
        <f t="shared" si="5"/>
        <v>4034</v>
      </c>
    </row>
    <row r="188" spans="1:8" x14ac:dyDescent="0.3">
      <c r="A188" s="8">
        <v>43071.827766203707</v>
      </c>
      <c r="B188" s="20" t="s">
        <v>392</v>
      </c>
      <c r="C188" s="20" t="s">
        <v>845</v>
      </c>
      <c r="D188" s="137">
        <v>3340000</v>
      </c>
      <c r="E188" s="20" t="s">
        <v>471</v>
      </c>
      <c r="F188" s="20" t="s">
        <v>472</v>
      </c>
      <c r="G188" s="8" t="str">
        <f t="shared" si="4"/>
        <v>ELBAUM MIKE</v>
      </c>
      <c r="H188" s="20" t="str">
        <f t="shared" si="5"/>
        <v>4030</v>
      </c>
    </row>
    <row r="189" spans="1:8" x14ac:dyDescent="0.3">
      <c r="A189" s="8">
        <v>43071.827905092592</v>
      </c>
      <c r="B189" s="20" t="s">
        <v>589</v>
      </c>
      <c r="C189" s="20" t="s">
        <v>846</v>
      </c>
      <c r="D189" s="137">
        <v>3310000</v>
      </c>
      <c r="E189" s="20" t="s">
        <v>567</v>
      </c>
      <c r="F189" s="20" t="s">
        <v>568</v>
      </c>
      <c r="G189" s="8" t="str">
        <f t="shared" si="4"/>
        <v>ANDERS STEVEN</v>
      </c>
      <c r="H189" s="20" t="str">
        <f t="shared" si="5"/>
        <v>4009</v>
      </c>
    </row>
    <row r="190" spans="1:8" x14ac:dyDescent="0.3">
      <c r="A190" s="8">
        <v>43071.83321759259</v>
      </c>
      <c r="B190" s="20" t="s">
        <v>495</v>
      </c>
      <c r="C190" s="20" t="s">
        <v>847</v>
      </c>
      <c r="D190" s="137">
        <v>2230000</v>
      </c>
      <c r="E190" s="20" t="s">
        <v>393</v>
      </c>
      <c r="F190" s="20" t="s">
        <v>352</v>
      </c>
      <c r="G190" s="8" t="str">
        <f t="shared" si="4"/>
        <v>SMITH MICHAEL</v>
      </c>
      <c r="H190" s="20" t="str">
        <f t="shared" si="5"/>
        <v>4054</v>
      </c>
    </row>
    <row r="191" spans="1:8" x14ac:dyDescent="0.3">
      <c r="A191" s="8">
        <v>43071.844502314816</v>
      </c>
      <c r="B191" s="20" t="s">
        <v>752</v>
      </c>
      <c r="C191" s="20" t="s">
        <v>848</v>
      </c>
      <c r="D191" s="137">
        <v>3500000</v>
      </c>
      <c r="E191" s="20" t="s">
        <v>376</v>
      </c>
      <c r="F191" s="20" t="s">
        <v>377</v>
      </c>
      <c r="G191" s="8" t="str">
        <f t="shared" si="4"/>
        <v>GUNTHIER ERIC</v>
      </c>
      <c r="H191" s="20" t="str">
        <f t="shared" si="5"/>
        <v>4057</v>
      </c>
    </row>
    <row r="192" spans="1:8" x14ac:dyDescent="0.3">
      <c r="A192" s="8">
        <v>43071.844618055555</v>
      </c>
      <c r="B192" s="20" t="s">
        <v>384</v>
      </c>
      <c r="C192" s="20" t="s">
        <v>849</v>
      </c>
      <c r="D192" s="137">
        <v>2040000</v>
      </c>
      <c r="E192" s="20" t="s">
        <v>396</v>
      </c>
      <c r="F192" s="20" t="s">
        <v>397</v>
      </c>
      <c r="G192" s="8" t="str">
        <f t="shared" si="4"/>
        <v>MOSES BRADLEY</v>
      </c>
      <c r="H192" s="20" t="str">
        <f t="shared" si="5"/>
        <v>4022</v>
      </c>
    </row>
    <row r="193" spans="1:8" x14ac:dyDescent="0.3">
      <c r="A193" s="8">
        <v>43071.852361111109</v>
      </c>
      <c r="B193" s="20" t="s">
        <v>496</v>
      </c>
      <c r="C193" s="20" t="s">
        <v>850</v>
      </c>
      <c r="D193" s="137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4053</v>
      </c>
    </row>
    <row r="194" spans="1:8" x14ac:dyDescent="0.3">
      <c r="A194" s="8">
        <v>43071.860706018517</v>
      </c>
      <c r="B194" s="20" t="s">
        <v>386</v>
      </c>
      <c r="C194" s="20" t="s">
        <v>851</v>
      </c>
      <c r="D194" s="137">
        <v>3340000</v>
      </c>
      <c r="E194" s="20" t="s">
        <v>471</v>
      </c>
      <c r="F194" s="20" t="s">
        <v>472</v>
      </c>
      <c r="G194" s="8" t="str">
        <f t="shared" si="4"/>
        <v>ELBAUM MIKE</v>
      </c>
      <c r="H194" s="20" t="str">
        <f t="shared" si="5"/>
        <v>4029</v>
      </c>
    </row>
    <row r="195" spans="1:8" x14ac:dyDescent="0.3">
      <c r="A195" s="8">
        <v>43071.871377314812</v>
      </c>
      <c r="B195" s="20" t="s">
        <v>444</v>
      </c>
      <c r="C195" s="20" t="s">
        <v>852</v>
      </c>
      <c r="D195" s="137">
        <v>3310000</v>
      </c>
      <c r="E195" s="20" t="s">
        <v>567</v>
      </c>
      <c r="F195" s="20" t="s">
        <v>568</v>
      </c>
      <c r="G195" s="8" t="str">
        <f t="shared" ref="G195:G258" si="6">E195&amp;" "&amp;F195</f>
        <v>ANDERS STEVEN</v>
      </c>
      <c r="H195" s="20" t="str">
        <f t="shared" ref="H195:H258" si="7">MID(B195,13,4)</f>
        <v>4010</v>
      </c>
    </row>
    <row r="196" spans="1:8" x14ac:dyDescent="0.3">
      <c r="A196" s="8">
        <v>43071.876597222225</v>
      </c>
      <c r="B196" s="20" t="s">
        <v>495</v>
      </c>
      <c r="C196" s="20" t="s">
        <v>853</v>
      </c>
      <c r="D196" s="137">
        <v>2230000</v>
      </c>
      <c r="E196" s="20" t="s">
        <v>393</v>
      </c>
      <c r="F196" s="20" t="s">
        <v>352</v>
      </c>
      <c r="G196" s="8" t="str">
        <f t="shared" si="6"/>
        <v>SMITH MICHAEL</v>
      </c>
      <c r="H196" s="20" t="str">
        <f t="shared" si="7"/>
        <v>4054</v>
      </c>
    </row>
    <row r="197" spans="1:8" x14ac:dyDescent="0.3">
      <c r="A197" s="8">
        <v>43071.890682870369</v>
      </c>
      <c r="B197" s="20" t="s">
        <v>746</v>
      </c>
      <c r="C197" s="20" t="s">
        <v>854</v>
      </c>
      <c r="D197" s="137">
        <v>3000000</v>
      </c>
      <c r="E197" s="20" t="s">
        <v>483</v>
      </c>
      <c r="F197" s="20" t="s">
        <v>484</v>
      </c>
      <c r="G197" s="8" t="str">
        <f t="shared" si="6"/>
        <v>FORTUNATO FRANK</v>
      </c>
      <c r="H197" s="20" t="str">
        <f t="shared" si="7"/>
        <v>4058</v>
      </c>
    </row>
    <row r="198" spans="1:8" x14ac:dyDescent="0.3">
      <c r="A198" s="8">
        <v>43071.891226851854</v>
      </c>
      <c r="B198" s="20" t="s">
        <v>560</v>
      </c>
      <c r="C198" s="20" t="s">
        <v>855</v>
      </c>
      <c r="D198" s="137">
        <v>2040000</v>
      </c>
      <c r="E198" s="20" t="s">
        <v>396</v>
      </c>
      <c r="F198" s="20" t="s">
        <v>397</v>
      </c>
      <c r="G198" s="8" t="str">
        <f t="shared" si="6"/>
        <v>MOSES BRADLEY</v>
      </c>
      <c r="H198" s="20" t="str">
        <f t="shared" si="7"/>
        <v>4021</v>
      </c>
    </row>
    <row r="199" spans="1:8" x14ac:dyDescent="0.3">
      <c r="A199" s="8">
        <v>43071.894479166665</v>
      </c>
      <c r="B199" s="20" t="s">
        <v>496</v>
      </c>
      <c r="C199" s="20" t="s">
        <v>856</v>
      </c>
      <c r="D199" s="137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4053</v>
      </c>
    </row>
    <row r="200" spans="1:8" x14ac:dyDescent="0.3">
      <c r="A200" s="8">
        <v>43071.903020833335</v>
      </c>
      <c r="B200" s="20" t="s">
        <v>392</v>
      </c>
      <c r="C200" s="20" t="s">
        <v>857</v>
      </c>
      <c r="D200" s="137">
        <v>3340000</v>
      </c>
      <c r="E200" s="20" t="s">
        <v>471</v>
      </c>
      <c r="F200" s="20" t="s">
        <v>472</v>
      </c>
      <c r="G200" s="8" t="str">
        <f t="shared" si="6"/>
        <v>ELBAUM MIKE</v>
      </c>
      <c r="H200" s="20" t="str">
        <f t="shared" si="7"/>
        <v>4030</v>
      </c>
    </row>
    <row r="201" spans="1:8" x14ac:dyDescent="0.3">
      <c r="A201" s="8">
        <v>43071.913148148145</v>
      </c>
      <c r="B201" s="20" t="s">
        <v>589</v>
      </c>
      <c r="C201" s="20" t="s">
        <v>858</v>
      </c>
      <c r="D201" s="137">
        <v>3310000</v>
      </c>
      <c r="E201" s="20" t="s">
        <v>567</v>
      </c>
      <c r="F201" s="20" t="s">
        <v>568</v>
      </c>
      <c r="G201" s="8" t="str">
        <f t="shared" si="6"/>
        <v>ANDERS STEVEN</v>
      </c>
      <c r="H201" s="20" t="str">
        <f t="shared" si="7"/>
        <v>4009</v>
      </c>
    </row>
    <row r="202" spans="1:8" x14ac:dyDescent="0.3">
      <c r="A202" s="26">
        <v>43071.917164351849</v>
      </c>
      <c r="B202" s="20" t="s">
        <v>495</v>
      </c>
      <c r="C202" s="20" t="s">
        <v>859</v>
      </c>
      <c r="D202" s="137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4054</v>
      </c>
    </row>
    <row r="203" spans="1:8" x14ac:dyDescent="0.3">
      <c r="A203" s="8">
        <v>43071.923576388886</v>
      </c>
      <c r="B203" s="20" t="s">
        <v>752</v>
      </c>
      <c r="C203" s="20" t="s">
        <v>860</v>
      </c>
      <c r="D203" s="137">
        <v>3000000</v>
      </c>
      <c r="E203" s="20" t="s">
        <v>483</v>
      </c>
      <c r="F203" s="20" t="s">
        <v>484</v>
      </c>
      <c r="G203" s="8" t="str">
        <f t="shared" si="6"/>
        <v>FORTUNATO FRANK</v>
      </c>
      <c r="H203" s="20" t="str">
        <f t="shared" si="7"/>
        <v>4057</v>
      </c>
    </row>
    <row r="204" spans="1:8" x14ac:dyDescent="0.3">
      <c r="A204" s="8">
        <v>43071.933935185189</v>
      </c>
      <c r="B204" s="20" t="s">
        <v>384</v>
      </c>
      <c r="C204" s="20" t="s">
        <v>861</v>
      </c>
      <c r="D204" s="137">
        <v>3320000</v>
      </c>
      <c r="E204" s="20" t="s">
        <v>363</v>
      </c>
      <c r="F204" s="20" t="s">
        <v>364</v>
      </c>
      <c r="G204" s="8" t="str">
        <f t="shared" si="6"/>
        <v>NICHOLSON WESLEY</v>
      </c>
      <c r="H204" s="20" t="str">
        <f t="shared" si="7"/>
        <v>4022</v>
      </c>
    </row>
    <row r="205" spans="1:8" x14ac:dyDescent="0.3">
      <c r="A205" s="8">
        <v>43071.934837962966</v>
      </c>
      <c r="B205" s="20" t="s">
        <v>496</v>
      </c>
      <c r="C205" s="20" t="s">
        <v>862</v>
      </c>
      <c r="D205" s="137">
        <v>2230000</v>
      </c>
      <c r="E205" s="20" t="s">
        <v>393</v>
      </c>
      <c r="F205" s="20" t="s">
        <v>352</v>
      </c>
      <c r="G205" s="8" t="str">
        <f t="shared" si="6"/>
        <v>SMITH MICHAEL</v>
      </c>
      <c r="H205" s="20" t="str">
        <f t="shared" si="7"/>
        <v>4053</v>
      </c>
    </row>
    <row r="206" spans="1:8" x14ac:dyDescent="0.3">
      <c r="A206" s="8">
        <v>43071.945428240739</v>
      </c>
      <c r="B206" s="20" t="s">
        <v>386</v>
      </c>
      <c r="C206" s="20" t="s">
        <v>863</v>
      </c>
      <c r="D206" s="137">
        <v>3340000</v>
      </c>
      <c r="E206" s="20" t="s">
        <v>471</v>
      </c>
      <c r="F206" s="20" t="s">
        <v>472</v>
      </c>
      <c r="G206" s="8" t="str">
        <f t="shared" si="6"/>
        <v>ELBAUM MIKE</v>
      </c>
      <c r="H206" s="20" t="str">
        <f t="shared" si="7"/>
        <v>4029</v>
      </c>
    </row>
    <row r="207" spans="1:8" x14ac:dyDescent="0.3">
      <c r="A207" s="8">
        <v>43071.956956018519</v>
      </c>
      <c r="B207" s="20" t="s">
        <v>444</v>
      </c>
      <c r="C207" s="20" t="s">
        <v>864</v>
      </c>
      <c r="D207" s="137">
        <v>3310000</v>
      </c>
      <c r="E207" s="20" t="s">
        <v>567</v>
      </c>
      <c r="F207" s="20" t="s">
        <v>568</v>
      </c>
      <c r="G207" s="8" t="str">
        <f t="shared" si="6"/>
        <v>ANDERS STEVEN</v>
      </c>
      <c r="H207" s="20" t="str">
        <f t="shared" si="7"/>
        <v>4010</v>
      </c>
    </row>
    <row r="208" spans="1:8" x14ac:dyDescent="0.3">
      <c r="A208" s="8">
        <v>43071.957673611112</v>
      </c>
      <c r="B208" s="20" t="s">
        <v>495</v>
      </c>
      <c r="C208" s="20" t="s">
        <v>865</v>
      </c>
      <c r="D208" s="137">
        <v>2230000</v>
      </c>
      <c r="E208" s="20" t="s">
        <v>393</v>
      </c>
      <c r="F208" s="20" t="s">
        <v>352</v>
      </c>
      <c r="G208" s="8" t="str">
        <f t="shared" si="6"/>
        <v>SMITH MICHAEL</v>
      </c>
      <c r="H208" s="20" t="str">
        <f t="shared" si="7"/>
        <v>4054</v>
      </c>
    </row>
    <row r="209" spans="1:8" x14ac:dyDescent="0.3">
      <c r="A209" s="8">
        <v>43071.963587962964</v>
      </c>
      <c r="B209" s="20" t="s">
        <v>746</v>
      </c>
      <c r="C209" s="20" t="s">
        <v>866</v>
      </c>
      <c r="D209" s="137">
        <v>3000000</v>
      </c>
      <c r="E209" s="20" t="s">
        <v>483</v>
      </c>
      <c r="F209" s="20" t="s">
        <v>484</v>
      </c>
      <c r="G209" s="8" t="str">
        <f t="shared" si="6"/>
        <v>FORTUNATO FRANK</v>
      </c>
      <c r="H209" s="20" t="str">
        <f t="shared" si="7"/>
        <v>4058</v>
      </c>
    </row>
    <row r="210" spans="1:8" x14ac:dyDescent="0.3">
      <c r="A210" s="8">
        <v>43071.971319444441</v>
      </c>
      <c r="B210" s="20" t="s">
        <v>560</v>
      </c>
      <c r="C210" s="20" t="s">
        <v>867</v>
      </c>
      <c r="D210" s="137">
        <v>3320000</v>
      </c>
      <c r="E210" s="20" t="s">
        <v>363</v>
      </c>
      <c r="F210" s="20" t="s">
        <v>364</v>
      </c>
      <c r="G210" s="8" t="str">
        <f t="shared" si="6"/>
        <v>NICHOLSON WESLEY</v>
      </c>
      <c r="H210" s="20" t="str">
        <f t="shared" si="7"/>
        <v>4021</v>
      </c>
    </row>
    <row r="211" spans="1:8" x14ac:dyDescent="0.3">
      <c r="A211" s="8">
        <v>43071.977199074077</v>
      </c>
      <c r="B211" s="20" t="s">
        <v>496</v>
      </c>
      <c r="C211" s="20" t="s">
        <v>868</v>
      </c>
      <c r="D211" s="137">
        <v>2230000</v>
      </c>
      <c r="E211" s="20" t="s">
        <v>393</v>
      </c>
      <c r="F211" s="20" t="s">
        <v>352</v>
      </c>
      <c r="G211" s="8" t="str">
        <f t="shared" si="6"/>
        <v>SMITH MICHAEL</v>
      </c>
      <c r="H211" s="20" t="str">
        <f t="shared" si="7"/>
        <v>4053</v>
      </c>
    </row>
    <row r="212" spans="1:8" x14ac:dyDescent="0.3">
      <c r="A212" s="8">
        <v>43071.987210648149</v>
      </c>
      <c r="B212" s="20" t="s">
        <v>392</v>
      </c>
      <c r="C212" s="20" t="s">
        <v>869</v>
      </c>
      <c r="D212" s="137">
        <v>3340000</v>
      </c>
      <c r="E212" s="20" t="s">
        <v>471</v>
      </c>
      <c r="F212" s="20" t="s">
        <v>472</v>
      </c>
      <c r="G212" s="8" t="str">
        <f t="shared" si="6"/>
        <v>ELBAUM MIKE</v>
      </c>
      <c r="H212" s="20" t="str">
        <f t="shared" si="7"/>
        <v>4030</v>
      </c>
    </row>
    <row r="213" spans="1:8" x14ac:dyDescent="0.3">
      <c r="A213" s="8">
        <v>43071.996319444443</v>
      </c>
      <c r="B213" s="20" t="s">
        <v>589</v>
      </c>
      <c r="C213" s="20" t="s">
        <v>870</v>
      </c>
      <c r="D213" s="137">
        <v>3310000</v>
      </c>
      <c r="E213" s="20" t="s">
        <v>567</v>
      </c>
      <c r="F213" s="20" t="s">
        <v>568</v>
      </c>
      <c r="G213" s="8" t="str">
        <f t="shared" si="6"/>
        <v>ANDERS STEVEN</v>
      </c>
      <c r="H213" s="20" t="str">
        <f t="shared" si="7"/>
        <v>4009</v>
      </c>
    </row>
    <row r="214" spans="1:8" x14ac:dyDescent="0.3">
      <c r="A214" s="8">
        <v>43072.004976851851</v>
      </c>
      <c r="B214" s="20" t="s">
        <v>752</v>
      </c>
      <c r="C214" s="20" t="s">
        <v>871</v>
      </c>
      <c r="D214" s="137">
        <v>3000000</v>
      </c>
      <c r="E214" s="20" t="s">
        <v>483</v>
      </c>
      <c r="F214" s="20" t="s">
        <v>484</v>
      </c>
      <c r="G214" s="8" t="str">
        <f t="shared" si="6"/>
        <v>FORTUNATO FRANK</v>
      </c>
      <c r="H214" s="20" t="str">
        <f t="shared" si="7"/>
        <v>4057</v>
      </c>
    </row>
    <row r="215" spans="1:8" x14ac:dyDescent="0.3">
      <c r="A215" s="8">
        <v>43072.01190972222</v>
      </c>
      <c r="B215" s="20" t="s">
        <v>384</v>
      </c>
      <c r="C215" s="20" t="s">
        <v>872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4022</v>
      </c>
    </row>
    <row r="216" spans="1:8" x14ac:dyDescent="0.3">
      <c r="A216" s="8">
        <v>43072.02611111111</v>
      </c>
      <c r="B216" s="20" t="s">
        <v>386</v>
      </c>
      <c r="C216" s="20" t="s">
        <v>873</v>
      </c>
      <c r="D216" s="137">
        <v>3340000</v>
      </c>
      <c r="E216" s="20" t="s">
        <v>471</v>
      </c>
      <c r="F216" s="20" t="s">
        <v>472</v>
      </c>
      <c r="G216" s="8" t="str">
        <f t="shared" si="6"/>
        <v>ELBAUM MIKE</v>
      </c>
      <c r="H216" s="20" t="str">
        <f t="shared" si="7"/>
        <v>4029</v>
      </c>
    </row>
    <row r="217" spans="1:8" x14ac:dyDescent="0.3">
      <c r="A217" s="8">
        <v>43072.027951388889</v>
      </c>
      <c r="B217" s="20" t="s">
        <v>444</v>
      </c>
      <c r="C217" s="20" t="s">
        <v>874</v>
      </c>
      <c r="D217" s="137">
        <v>3310000</v>
      </c>
      <c r="E217" s="20" t="s">
        <v>567</v>
      </c>
      <c r="F217" s="20" t="s">
        <v>568</v>
      </c>
      <c r="G217" s="8" t="str">
        <f t="shared" si="6"/>
        <v>ANDERS STEVEN</v>
      </c>
      <c r="H217" s="20" t="str">
        <f t="shared" si="7"/>
        <v>4010</v>
      </c>
    </row>
    <row r="218" spans="1:8" x14ac:dyDescent="0.3">
      <c r="A218" s="8">
        <v>43072.046481481484</v>
      </c>
      <c r="B218" s="20" t="s">
        <v>746</v>
      </c>
      <c r="C218" s="20" t="s">
        <v>875</v>
      </c>
      <c r="D218" s="137">
        <v>3000000</v>
      </c>
      <c r="E218" s="20" t="s">
        <v>483</v>
      </c>
      <c r="F218" s="20" t="s">
        <v>484</v>
      </c>
      <c r="G218" s="8" t="str">
        <f t="shared" si="6"/>
        <v>FORTUNATO FRANK</v>
      </c>
      <c r="H218" s="20" t="str">
        <f t="shared" si="7"/>
        <v>4058</v>
      </c>
    </row>
    <row r="219" spans="1:8" x14ac:dyDescent="0.3">
      <c r="A219" s="8">
        <v>43072.054629629631</v>
      </c>
      <c r="B219" s="20" t="s">
        <v>560</v>
      </c>
      <c r="C219" s="20" t="s">
        <v>876</v>
      </c>
      <c r="D219" s="137">
        <v>3320000</v>
      </c>
      <c r="E219" s="20" t="s">
        <v>363</v>
      </c>
      <c r="F219" s="20" t="s">
        <v>364</v>
      </c>
      <c r="G219" s="8" t="str">
        <f t="shared" si="6"/>
        <v>NICHOLSON WESLEY</v>
      </c>
      <c r="H219" s="20" t="str">
        <f t="shared" si="7"/>
        <v>4021</v>
      </c>
    </row>
    <row r="220" spans="1:8" x14ac:dyDescent="0.3">
      <c r="A220" s="8">
        <v>43072.066111111111</v>
      </c>
      <c r="B220" s="20" t="s">
        <v>392</v>
      </c>
      <c r="C220" s="20" t="s">
        <v>877</v>
      </c>
      <c r="D220" s="137">
        <v>3340000</v>
      </c>
      <c r="E220" s="20" t="s">
        <v>471</v>
      </c>
      <c r="F220" s="20" t="s">
        <v>472</v>
      </c>
      <c r="G220" s="8" t="str">
        <f t="shared" si="6"/>
        <v>ELBAUM MIKE</v>
      </c>
      <c r="H220" s="20" t="str">
        <f t="shared" si="7"/>
        <v>4030</v>
      </c>
    </row>
    <row r="221" spans="1:8" x14ac:dyDescent="0.3">
      <c r="A221" s="8">
        <v>43072.080127314817</v>
      </c>
      <c r="B221" s="20" t="s">
        <v>589</v>
      </c>
      <c r="C221" s="20" t="s">
        <v>878</v>
      </c>
      <c r="D221" s="137">
        <v>3310000</v>
      </c>
      <c r="E221" s="20" t="s">
        <v>567</v>
      </c>
      <c r="F221" s="20" t="s">
        <v>568</v>
      </c>
      <c r="G221" s="8" t="str">
        <f t="shared" si="6"/>
        <v>ANDERS STEVEN</v>
      </c>
      <c r="H221" s="20" t="str">
        <f t="shared" si="7"/>
        <v>4009</v>
      </c>
    </row>
    <row r="222" spans="1:8" x14ac:dyDescent="0.3">
      <c r="A222" s="8">
        <v>43072.09207175926</v>
      </c>
      <c r="B222" s="20" t="s">
        <v>384</v>
      </c>
      <c r="C222" s="20" t="s">
        <v>879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3">
      <c r="A223" s="8">
        <v>43072.111863425926</v>
      </c>
      <c r="B223" s="20" t="s">
        <v>444</v>
      </c>
      <c r="C223" s="20" t="s">
        <v>880</v>
      </c>
      <c r="D223" s="137">
        <v>3310000</v>
      </c>
      <c r="E223" s="20" t="s">
        <v>567</v>
      </c>
      <c r="F223" s="20" t="s">
        <v>568</v>
      </c>
      <c r="G223" s="8" t="str">
        <f t="shared" si="6"/>
        <v>ANDERS STEVEN</v>
      </c>
      <c r="H223" s="20" t="str">
        <f t="shared" si="7"/>
        <v>4010</v>
      </c>
    </row>
    <row r="224" spans="1:8" x14ac:dyDescent="0.3">
      <c r="A224" s="8">
        <v>43061.930405092593</v>
      </c>
      <c r="B224" t="s">
        <v>519</v>
      </c>
      <c r="C224" t="s">
        <v>531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4001</v>
      </c>
    </row>
    <row r="225" spans="1:8" x14ac:dyDescent="0.3">
      <c r="A225" s="8">
        <v>43061.939259259256</v>
      </c>
      <c r="B225" t="s">
        <v>517</v>
      </c>
      <c r="C225" t="s">
        <v>532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4023</v>
      </c>
    </row>
    <row r="226" spans="1:8" x14ac:dyDescent="0.3">
      <c r="A226" s="8">
        <v>43061.939837962964</v>
      </c>
      <c r="B226" t="s">
        <v>517</v>
      </c>
      <c r="C226" t="s">
        <v>532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4023</v>
      </c>
    </row>
    <row r="227" spans="1:8" x14ac:dyDescent="0.3">
      <c r="A227" s="8">
        <v>43061.940532407411</v>
      </c>
      <c r="B227" t="s">
        <v>517</v>
      </c>
      <c r="C227" t="s">
        <v>532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4023</v>
      </c>
    </row>
    <row r="228" spans="1:8" x14ac:dyDescent="0.3">
      <c r="A228" s="8">
        <v>43061.941168981481</v>
      </c>
      <c r="B228" t="s">
        <v>517</v>
      </c>
      <c r="C228" t="s">
        <v>532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4023</v>
      </c>
    </row>
    <row r="229" spans="1:8" x14ac:dyDescent="0.3">
      <c r="A229" s="8">
        <v>43061.944571759261</v>
      </c>
      <c r="B229" t="s">
        <v>360</v>
      </c>
      <c r="C229" t="s">
        <v>533</v>
      </c>
      <c r="D229" s="137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4018</v>
      </c>
    </row>
    <row r="230" spans="1:8" x14ac:dyDescent="0.3">
      <c r="A230" s="8">
        <v>43061.951909722222</v>
      </c>
      <c r="B230" t="s">
        <v>518</v>
      </c>
      <c r="C230" t="s">
        <v>534</v>
      </c>
      <c r="D230" s="137">
        <v>890000</v>
      </c>
      <c r="E230" t="s">
        <v>344</v>
      </c>
      <c r="F230" s="20" t="s">
        <v>345</v>
      </c>
      <c r="G230" s="8" t="str">
        <f t="shared" si="6"/>
        <v>LOZA FIDEL</v>
      </c>
      <c r="H230" s="20" t="str">
        <f t="shared" si="7"/>
        <v>4015</v>
      </c>
    </row>
    <row r="231" spans="1:8" x14ac:dyDescent="0.3">
      <c r="A231" s="8">
        <v>43061.962141203701</v>
      </c>
      <c r="B231" t="s">
        <v>526</v>
      </c>
      <c r="C231" t="s">
        <v>535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4024</v>
      </c>
    </row>
    <row r="232" spans="1:8" x14ac:dyDescent="0.3">
      <c r="A232" s="8">
        <v>43061.969398148147</v>
      </c>
      <c r="B232" t="s">
        <v>525</v>
      </c>
      <c r="C232" t="s">
        <v>536</v>
      </c>
      <c r="D232" s="137">
        <v>2540000</v>
      </c>
      <c r="E232" t="s">
        <v>459</v>
      </c>
      <c r="F232" s="20" t="s">
        <v>460</v>
      </c>
      <c r="G232" s="8" t="str">
        <f t="shared" si="6"/>
        <v>MCREYNOLDS KYLE</v>
      </c>
      <c r="H232" s="20" t="str">
        <f t="shared" si="7"/>
        <v>4005</v>
      </c>
    </row>
    <row r="233" spans="1:8" x14ac:dyDescent="0.3">
      <c r="A233" s="8">
        <v>43061.97016203704</v>
      </c>
      <c r="B233" t="s">
        <v>518</v>
      </c>
      <c r="C233" t="s">
        <v>534</v>
      </c>
      <c r="D233" s="137">
        <v>3680000</v>
      </c>
      <c r="E233" t="s">
        <v>485</v>
      </c>
      <c r="F233" s="20" t="s">
        <v>486</v>
      </c>
      <c r="G233" s="8" t="str">
        <f t="shared" si="6"/>
        <v>HAMMOND JUSTYNN</v>
      </c>
      <c r="H233" s="20" t="str">
        <f t="shared" si="7"/>
        <v>4015</v>
      </c>
    </row>
    <row r="234" spans="1:8" x14ac:dyDescent="0.3">
      <c r="A234" s="8">
        <v>43061.976215277777</v>
      </c>
      <c r="B234" t="s">
        <v>524</v>
      </c>
      <c r="C234" t="s">
        <v>537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4002</v>
      </c>
    </row>
    <row r="235" spans="1:8" x14ac:dyDescent="0.3">
      <c r="A235" s="8">
        <v>43061.990925925929</v>
      </c>
      <c r="B235" t="s">
        <v>521</v>
      </c>
      <c r="C235" t="s">
        <v>522</v>
      </c>
      <c r="D235" s="137">
        <v>3680000</v>
      </c>
      <c r="E235" t="s">
        <v>485</v>
      </c>
      <c r="F235" s="20" t="s">
        <v>486</v>
      </c>
      <c r="G235" s="8" t="str">
        <f t="shared" si="6"/>
        <v>HAMMOND JUSTYNN</v>
      </c>
      <c r="H235" s="20" t="str">
        <f t="shared" si="7"/>
        <v>4016</v>
      </c>
    </row>
    <row r="236" spans="1:8" x14ac:dyDescent="0.3">
      <c r="A236" s="8">
        <v>43061.9919212963</v>
      </c>
      <c r="B236" t="s">
        <v>362</v>
      </c>
      <c r="C236" t="s">
        <v>538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520</v>
      </c>
      <c r="C237" t="s">
        <v>539</v>
      </c>
      <c r="D237" s="137">
        <v>2440000</v>
      </c>
      <c r="E237" t="s">
        <v>457</v>
      </c>
      <c r="F237" s="20" t="s">
        <v>458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519</v>
      </c>
      <c r="C238" t="s">
        <v>523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360</v>
      </c>
      <c r="C239" t="s">
        <v>540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518</v>
      </c>
      <c r="C240" t="s">
        <v>541</v>
      </c>
      <c r="D240" s="137">
        <v>3680000</v>
      </c>
      <c r="E240" t="s">
        <v>485</v>
      </c>
      <c r="F240" s="20" t="s">
        <v>486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524</v>
      </c>
      <c r="C241" t="s">
        <v>542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525</v>
      </c>
      <c r="C242" t="s">
        <v>543</v>
      </c>
      <c r="D242" s="137">
        <v>2440000</v>
      </c>
      <c r="E242" t="s">
        <v>457</v>
      </c>
      <c r="F242" s="20" t="s">
        <v>458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521</v>
      </c>
      <c r="C243" t="s">
        <v>544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520</v>
      </c>
      <c r="C244" t="s">
        <v>545</v>
      </c>
      <c r="D244" s="137">
        <v>2440000</v>
      </c>
      <c r="E244" t="s">
        <v>457</v>
      </c>
      <c r="F244" s="20" t="s">
        <v>458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494</v>
      </c>
      <c r="C245" t="s">
        <v>506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499</v>
      </c>
      <c r="C246" t="s">
        <v>507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496</v>
      </c>
      <c r="C247" t="s">
        <v>508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444</v>
      </c>
      <c r="C248" t="s">
        <v>509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351</v>
      </c>
      <c r="C249" t="s">
        <v>510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495</v>
      </c>
      <c r="C250" t="s">
        <v>511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500</v>
      </c>
      <c r="C251" t="s">
        <v>512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494</v>
      </c>
      <c r="C252" t="s">
        <v>513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499</v>
      </c>
      <c r="C253" t="s">
        <v>501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366</v>
      </c>
      <c r="C254" t="s">
        <v>487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450</v>
      </c>
      <c r="C255" t="s">
        <v>488</v>
      </c>
      <c r="D255" s="137">
        <v>3340000</v>
      </c>
      <c r="E255" t="s">
        <v>471</v>
      </c>
      <c r="F255" s="20" t="s">
        <v>472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444</v>
      </c>
      <c r="C256" t="s">
        <v>489</v>
      </c>
      <c r="D256" s="137">
        <v>3680000</v>
      </c>
      <c r="E256" t="s">
        <v>485</v>
      </c>
      <c r="F256" s="20" t="s">
        <v>486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446</v>
      </c>
      <c r="C257" t="s">
        <v>461</v>
      </c>
      <c r="D257" s="137">
        <v>2540000</v>
      </c>
      <c r="E257" t="s">
        <v>459</v>
      </c>
      <c r="F257" s="20" t="s">
        <v>460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455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444</v>
      </c>
      <c r="C259" t="s">
        <v>462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456</v>
      </c>
      <c r="C260" t="s">
        <v>463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447</v>
      </c>
      <c r="C261" t="s">
        <v>464</v>
      </c>
      <c r="D261" s="137">
        <v>2440000</v>
      </c>
      <c r="E261" t="s">
        <v>457</v>
      </c>
      <c r="F261" s="20" t="s">
        <v>458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465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454</v>
      </c>
      <c r="C263" t="s">
        <v>466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467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881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3">
      <c r="A2" s="195">
        <v>36.22</v>
      </c>
      <c r="B2" s="195">
        <v>0.24</v>
      </c>
      <c r="C2" s="195">
        <v>22.02</v>
      </c>
      <c r="D2" s="8">
        <v>43071</v>
      </c>
      <c r="E2" s="195">
        <v>0.56000000000000005</v>
      </c>
      <c r="F2" s="195" t="s">
        <v>469</v>
      </c>
      <c r="G2" s="195">
        <v>249.04</v>
      </c>
      <c r="H2" s="195">
        <v>0</v>
      </c>
      <c r="I2" s="195">
        <v>0</v>
      </c>
      <c r="J2" s="195"/>
      <c r="K2" s="195">
        <v>1017.59</v>
      </c>
      <c r="L2" s="195" t="s">
        <v>468</v>
      </c>
      <c r="M2" s="195">
        <v>36.22</v>
      </c>
      <c r="N2" s="195">
        <v>1512198000</v>
      </c>
      <c r="O2" s="195">
        <v>0</v>
      </c>
      <c r="P2" s="195">
        <v>2.93</v>
      </c>
      <c r="Q2" s="195">
        <v>168</v>
      </c>
      <c r="R2" s="195">
        <v>3.71</v>
      </c>
      <c r="S2" s="195">
        <v>1.1499999999999999</v>
      </c>
      <c r="T2"/>
    </row>
    <row r="3" spans="1:20" x14ac:dyDescent="0.3">
      <c r="A3" s="195">
        <v>35</v>
      </c>
      <c r="B3" s="195">
        <v>0.31</v>
      </c>
      <c r="C3" s="195">
        <v>22.02</v>
      </c>
      <c r="D3" s="8">
        <v>43071.041666666664</v>
      </c>
      <c r="E3" s="195">
        <v>0.59</v>
      </c>
      <c r="F3" s="195" t="s">
        <v>882</v>
      </c>
      <c r="G3" s="195">
        <v>249.31</v>
      </c>
      <c r="H3" s="195">
        <v>0</v>
      </c>
      <c r="I3" s="195">
        <v>0</v>
      </c>
      <c r="J3" s="195"/>
      <c r="K3" s="195">
        <v>1017.38</v>
      </c>
      <c r="L3" s="195" t="s">
        <v>883</v>
      </c>
      <c r="M3" s="195">
        <v>35</v>
      </c>
      <c r="N3" s="195">
        <v>1512201600</v>
      </c>
      <c r="O3" s="195">
        <v>0</v>
      </c>
      <c r="P3" s="195">
        <v>2.9</v>
      </c>
      <c r="Q3" s="195">
        <v>183</v>
      </c>
      <c r="R3" s="195">
        <v>3.34</v>
      </c>
      <c r="S3" s="195">
        <v>1.05</v>
      </c>
      <c r="T3"/>
    </row>
    <row r="4" spans="1:20" x14ac:dyDescent="0.3">
      <c r="A4" s="195">
        <v>33.92</v>
      </c>
      <c r="B4" s="195">
        <v>0.28000000000000003</v>
      </c>
      <c r="C4" s="195">
        <v>22.03</v>
      </c>
      <c r="D4" s="8">
        <v>43071.083333333336</v>
      </c>
      <c r="E4" s="195">
        <v>0.61</v>
      </c>
      <c r="F4" s="195" t="s">
        <v>882</v>
      </c>
      <c r="G4" s="195">
        <v>249.57</v>
      </c>
      <c r="H4" s="195">
        <v>0</v>
      </c>
      <c r="I4" s="195">
        <v>0</v>
      </c>
      <c r="J4" s="195"/>
      <c r="K4" s="195">
        <v>1019.37</v>
      </c>
      <c r="L4" s="195" t="s">
        <v>883</v>
      </c>
      <c r="M4" s="195">
        <v>33.92</v>
      </c>
      <c r="N4" s="195">
        <v>1512205200</v>
      </c>
      <c r="O4" s="195">
        <v>0</v>
      </c>
      <c r="P4" s="195">
        <v>2.6</v>
      </c>
      <c r="Q4" s="195">
        <v>173</v>
      </c>
      <c r="R4" s="195">
        <v>3.25</v>
      </c>
      <c r="S4" s="195">
        <v>1.34</v>
      </c>
      <c r="T4"/>
    </row>
    <row r="5" spans="1:20" x14ac:dyDescent="0.3">
      <c r="A5" s="195">
        <v>34.380000000000003</v>
      </c>
      <c r="B5" s="195">
        <v>0.38</v>
      </c>
      <c r="C5" s="195">
        <v>22.23</v>
      </c>
      <c r="D5" s="8">
        <v>43071.125</v>
      </c>
      <c r="E5" s="195">
        <v>0.61</v>
      </c>
      <c r="F5" s="195" t="s">
        <v>882</v>
      </c>
      <c r="G5" s="195">
        <v>249.17</v>
      </c>
      <c r="H5" s="195">
        <v>0</v>
      </c>
      <c r="I5" s="195">
        <v>0</v>
      </c>
      <c r="J5" s="195"/>
      <c r="K5" s="195">
        <v>1016.32</v>
      </c>
      <c r="L5" s="195" t="s">
        <v>883</v>
      </c>
      <c r="M5" s="195">
        <v>34.380000000000003</v>
      </c>
      <c r="N5" s="195">
        <v>1512208800</v>
      </c>
      <c r="O5" s="195">
        <v>0</v>
      </c>
      <c r="P5" s="195">
        <v>3.29</v>
      </c>
      <c r="Q5" s="195">
        <v>193</v>
      </c>
      <c r="R5" s="195">
        <v>2.9</v>
      </c>
      <c r="S5" s="195">
        <v>1.03</v>
      </c>
      <c r="T5"/>
    </row>
    <row r="6" spans="1:20" x14ac:dyDescent="0.3">
      <c r="A6" s="195">
        <v>33.880000000000003</v>
      </c>
      <c r="B6" s="195">
        <v>0.48</v>
      </c>
      <c r="C6" s="195">
        <v>22.4</v>
      </c>
      <c r="D6" s="8">
        <v>43071.166666666664</v>
      </c>
      <c r="E6" s="195">
        <v>0.62</v>
      </c>
      <c r="F6" s="195" t="s">
        <v>882</v>
      </c>
      <c r="G6" s="195">
        <v>248.9</v>
      </c>
      <c r="H6" s="195">
        <v>0</v>
      </c>
      <c r="I6" s="195">
        <v>0</v>
      </c>
      <c r="J6" s="195"/>
      <c r="K6" s="195">
        <v>1017.28</v>
      </c>
      <c r="L6" s="195" t="s">
        <v>883</v>
      </c>
      <c r="M6" s="195">
        <v>33.880000000000003</v>
      </c>
      <c r="N6" s="195">
        <v>1512212400</v>
      </c>
      <c r="O6" s="195">
        <v>0</v>
      </c>
      <c r="P6" s="195">
        <v>3.27</v>
      </c>
      <c r="Q6" s="195">
        <v>194</v>
      </c>
      <c r="R6" s="195">
        <v>3.43</v>
      </c>
      <c r="S6" s="195">
        <v>0.7</v>
      </c>
      <c r="T6"/>
    </row>
    <row r="7" spans="1:20" x14ac:dyDescent="0.3">
      <c r="A7" s="195">
        <v>33.380000000000003</v>
      </c>
      <c r="B7" s="195">
        <v>0.56999999999999995</v>
      </c>
      <c r="C7" s="195">
        <v>22.51</v>
      </c>
      <c r="D7" s="8">
        <v>43071.208333333336</v>
      </c>
      <c r="E7" s="195">
        <v>0.64</v>
      </c>
      <c r="F7" s="195" t="s">
        <v>882</v>
      </c>
      <c r="G7" s="195">
        <v>247.82</v>
      </c>
      <c r="H7" s="195">
        <v>0</v>
      </c>
      <c r="I7" s="195">
        <v>0</v>
      </c>
      <c r="J7" s="195"/>
      <c r="K7" s="195">
        <v>1016.72</v>
      </c>
      <c r="L7" s="195" t="s">
        <v>883</v>
      </c>
      <c r="M7" s="195">
        <v>33.380000000000003</v>
      </c>
      <c r="N7" s="195">
        <v>1512216000</v>
      </c>
      <c r="O7" s="195">
        <v>0</v>
      </c>
      <c r="P7" s="195">
        <v>2.96</v>
      </c>
      <c r="Q7" s="195">
        <v>207</v>
      </c>
      <c r="R7" s="195">
        <v>3.96</v>
      </c>
      <c r="S7" s="195">
        <v>0.71</v>
      </c>
      <c r="T7"/>
    </row>
    <row r="8" spans="1:20" x14ac:dyDescent="0.3">
      <c r="A8" s="195">
        <v>33.369999999999997</v>
      </c>
      <c r="B8" s="195">
        <v>0.49</v>
      </c>
      <c r="C8" s="195">
        <v>22.62</v>
      </c>
      <c r="D8" s="8">
        <v>43071.25</v>
      </c>
      <c r="E8" s="195">
        <v>0.64</v>
      </c>
      <c r="F8" s="195" t="s">
        <v>882</v>
      </c>
      <c r="G8" s="195">
        <v>247.55</v>
      </c>
      <c r="H8" s="195">
        <v>0</v>
      </c>
      <c r="I8" s="195">
        <v>0</v>
      </c>
      <c r="J8" s="195"/>
      <c r="K8" s="195">
        <v>1017.25</v>
      </c>
      <c r="L8" s="195" t="s">
        <v>883</v>
      </c>
      <c r="M8" s="195">
        <v>33.369999999999997</v>
      </c>
      <c r="N8" s="195">
        <v>1512219600</v>
      </c>
      <c r="O8" s="195">
        <v>0</v>
      </c>
      <c r="P8" s="195">
        <v>3.6</v>
      </c>
      <c r="Q8" s="195">
        <v>249</v>
      </c>
      <c r="R8" s="195">
        <v>4.3099999999999996</v>
      </c>
      <c r="S8" s="195">
        <v>0.55000000000000004</v>
      </c>
      <c r="T8"/>
    </row>
    <row r="9" spans="1:20" x14ac:dyDescent="0.3">
      <c r="A9" s="195">
        <v>33.07</v>
      </c>
      <c r="B9" s="195">
        <v>0.38</v>
      </c>
      <c r="C9" s="195">
        <v>23.04</v>
      </c>
      <c r="D9" s="8">
        <v>43071.291666666664</v>
      </c>
      <c r="E9" s="195">
        <v>0.66</v>
      </c>
      <c r="F9" s="195" t="s">
        <v>882</v>
      </c>
      <c r="G9" s="195">
        <v>247.28</v>
      </c>
      <c r="H9" s="195">
        <v>0</v>
      </c>
      <c r="I9" s="195">
        <v>0</v>
      </c>
      <c r="J9" s="195"/>
      <c r="K9" s="195">
        <v>1018.43</v>
      </c>
      <c r="L9" s="195" t="s">
        <v>883</v>
      </c>
      <c r="M9" s="195">
        <v>33.07</v>
      </c>
      <c r="N9" s="195">
        <v>1512223200</v>
      </c>
      <c r="O9" s="195">
        <v>0</v>
      </c>
      <c r="P9" s="195">
        <v>4.3099999999999996</v>
      </c>
      <c r="Q9" s="195">
        <v>248</v>
      </c>
      <c r="R9" s="195">
        <v>4.1500000000000004</v>
      </c>
      <c r="S9" s="195">
        <v>0.44</v>
      </c>
      <c r="T9"/>
    </row>
    <row r="10" spans="1:20" x14ac:dyDescent="0.3">
      <c r="A10" s="195">
        <v>35.15</v>
      </c>
      <c r="B10" s="195">
        <v>0.28000000000000003</v>
      </c>
      <c r="C10" s="195">
        <v>24.05</v>
      </c>
      <c r="D10" s="8">
        <v>43071.333333333336</v>
      </c>
      <c r="E10" s="195">
        <v>0.64</v>
      </c>
      <c r="F10" s="195" t="s">
        <v>884</v>
      </c>
      <c r="G10" s="195">
        <v>246.88</v>
      </c>
      <c r="H10" s="195">
        <v>0</v>
      </c>
      <c r="I10" s="195">
        <v>0</v>
      </c>
      <c r="J10" s="195"/>
      <c r="K10" s="195">
        <v>1019.29</v>
      </c>
      <c r="L10" s="195" t="s">
        <v>883</v>
      </c>
      <c r="M10" s="195">
        <v>35.15</v>
      </c>
      <c r="N10" s="195">
        <v>1512226800</v>
      </c>
      <c r="O10" s="195">
        <v>1</v>
      </c>
      <c r="P10" s="195">
        <v>4.79</v>
      </c>
      <c r="Q10" s="195">
        <v>194</v>
      </c>
      <c r="R10" s="195">
        <v>3.9</v>
      </c>
      <c r="S10" s="195">
        <v>0.83</v>
      </c>
      <c r="T10"/>
    </row>
    <row r="11" spans="1:20" x14ac:dyDescent="0.3">
      <c r="A11" s="195">
        <v>42.25</v>
      </c>
      <c r="B11" s="195">
        <v>7.0000000000000007E-2</v>
      </c>
      <c r="C11" s="195">
        <v>25.85</v>
      </c>
      <c r="D11" s="8">
        <v>43071.375</v>
      </c>
      <c r="E11" s="195">
        <v>0.52</v>
      </c>
      <c r="F11" s="195" t="s">
        <v>546</v>
      </c>
      <c r="G11" s="195">
        <v>246.47</v>
      </c>
      <c r="H11" s="195">
        <v>0</v>
      </c>
      <c r="I11" s="195">
        <v>0</v>
      </c>
      <c r="J11" s="195"/>
      <c r="K11" s="195">
        <v>1018.68</v>
      </c>
      <c r="L11" s="195" t="s">
        <v>468</v>
      </c>
      <c r="M11" s="195">
        <v>42.25</v>
      </c>
      <c r="N11" s="195">
        <v>1512230400</v>
      </c>
      <c r="O11" s="195">
        <v>1</v>
      </c>
      <c r="P11" s="195">
        <v>4.82</v>
      </c>
      <c r="Q11" s="195">
        <v>167</v>
      </c>
      <c r="R11" s="195">
        <v>5.46</v>
      </c>
      <c r="S11" s="195">
        <v>1.01</v>
      </c>
      <c r="T11"/>
    </row>
    <row r="12" spans="1:20" x14ac:dyDescent="0.3">
      <c r="A12" s="195">
        <v>49.58</v>
      </c>
      <c r="B12" s="195">
        <v>7.0000000000000007E-2</v>
      </c>
      <c r="C12" s="195">
        <v>26.92</v>
      </c>
      <c r="D12" s="8">
        <v>43071.416666666664</v>
      </c>
      <c r="E12" s="195">
        <v>0.41</v>
      </c>
      <c r="F12" s="195" t="s">
        <v>546</v>
      </c>
      <c r="G12" s="195">
        <v>245.93</v>
      </c>
      <c r="H12" s="195">
        <v>0</v>
      </c>
      <c r="I12" s="195">
        <v>0</v>
      </c>
      <c r="J12" s="195"/>
      <c r="K12" s="195">
        <v>1017.94</v>
      </c>
      <c r="L12" s="195" t="s">
        <v>468</v>
      </c>
      <c r="M12" s="195">
        <v>49.58</v>
      </c>
      <c r="N12" s="195">
        <v>1512234000</v>
      </c>
      <c r="O12" s="195">
        <v>2</v>
      </c>
      <c r="P12" s="195">
        <v>4.8</v>
      </c>
      <c r="Q12" s="195">
        <v>174</v>
      </c>
      <c r="R12" s="195">
        <v>5.0199999999999996</v>
      </c>
      <c r="S12" s="195">
        <v>0.93</v>
      </c>
      <c r="T12"/>
    </row>
    <row r="13" spans="1:20" x14ac:dyDescent="0.3">
      <c r="A13" s="195">
        <v>55.52</v>
      </c>
      <c r="B13" s="195">
        <v>0.05</v>
      </c>
      <c r="C13" s="195">
        <v>27.21</v>
      </c>
      <c r="D13" s="8">
        <v>43071.458333333336</v>
      </c>
      <c r="E13" s="195">
        <v>0.33</v>
      </c>
      <c r="F13" s="195" t="s">
        <v>546</v>
      </c>
      <c r="G13" s="195">
        <v>244.42</v>
      </c>
      <c r="H13" s="195">
        <v>0</v>
      </c>
      <c r="I13" s="195">
        <v>0</v>
      </c>
      <c r="J13" s="195"/>
      <c r="K13" s="195">
        <v>1016.86</v>
      </c>
      <c r="L13" s="195" t="s">
        <v>468</v>
      </c>
      <c r="M13" s="195">
        <v>55.52</v>
      </c>
      <c r="N13" s="195">
        <v>1512237600</v>
      </c>
      <c r="O13" s="195">
        <v>2</v>
      </c>
      <c r="P13" s="195">
        <v>4.79</v>
      </c>
      <c r="Q13" s="195">
        <v>180</v>
      </c>
      <c r="R13" s="195">
        <v>5.95</v>
      </c>
      <c r="S13" s="195">
        <v>0.79</v>
      </c>
      <c r="T13"/>
    </row>
    <row r="14" spans="1:20" x14ac:dyDescent="0.3">
      <c r="A14" s="195">
        <v>60.03</v>
      </c>
      <c r="B14" s="195">
        <v>0.08</v>
      </c>
      <c r="C14" s="195">
        <v>26.46</v>
      </c>
      <c r="D14" s="8">
        <v>43071.5</v>
      </c>
      <c r="E14" s="195">
        <v>0.28000000000000003</v>
      </c>
      <c r="F14" s="195" t="s">
        <v>546</v>
      </c>
      <c r="G14" s="195">
        <v>244.29</v>
      </c>
      <c r="H14" s="195">
        <v>1E-4</v>
      </c>
      <c r="I14" s="195">
        <v>0.02</v>
      </c>
      <c r="J14" s="195" t="s">
        <v>885</v>
      </c>
      <c r="K14" s="195">
        <v>1015.32</v>
      </c>
      <c r="L14" s="195" t="s">
        <v>468</v>
      </c>
      <c r="M14" s="195">
        <v>60.03</v>
      </c>
      <c r="N14" s="195">
        <v>1512241200</v>
      </c>
      <c r="O14" s="195">
        <v>3</v>
      </c>
      <c r="P14" s="195">
        <v>4.79</v>
      </c>
      <c r="Q14" s="195">
        <v>103</v>
      </c>
      <c r="R14" s="195">
        <v>6.17</v>
      </c>
      <c r="S14" s="195">
        <v>0.85</v>
      </c>
      <c r="T14"/>
    </row>
    <row r="15" spans="1:20" x14ac:dyDescent="0.3">
      <c r="A15" s="195">
        <v>61.98</v>
      </c>
      <c r="B15" s="195">
        <v>0.14000000000000001</v>
      </c>
      <c r="C15" s="195">
        <v>24.91</v>
      </c>
      <c r="D15" s="8">
        <v>43071.541666666664</v>
      </c>
      <c r="E15" s="195">
        <v>0.24</v>
      </c>
      <c r="F15" s="195" t="s">
        <v>546</v>
      </c>
      <c r="G15" s="195">
        <v>244.29</v>
      </c>
      <c r="H15" s="195">
        <v>1E-4</v>
      </c>
      <c r="I15" s="195">
        <v>0.02</v>
      </c>
      <c r="J15" s="195" t="s">
        <v>885</v>
      </c>
      <c r="K15" s="195">
        <v>1013.94</v>
      </c>
      <c r="L15" s="195" t="s">
        <v>468</v>
      </c>
      <c r="M15" s="195">
        <v>61.98</v>
      </c>
      <c r="N15" s="195">
        <v>1512244800</v>
      </c>
      <c r="O15" s="195">
        <v>2</v>
      </c>
      <c r="P15" s="195">
        <v>4.6100000000000003</v>
      </c>
      <c r="Q15" s="195">
        <v>96</v>
      </c>
      <c r="R15" s="195">
        <v>6.59</v>
      </c>
      <c r="S15" s="195">
        <v>1.29</v>
      </c>
      <c r="T15"/>
    </row>
    <row r="16" spans="1:20" x14ac:dyDescent="0.3">
      <c r="A16" s="195">
        <v>63.74</v>
      </c>
      <c r="B16" s="195">
        <v>0.11</v>
      </c>
      <c r="C16" s="195">
        <v>24.54</v>
      </c>
      <c r="D16" s="8">
        <v>43071.583333333336</v>
      </c>
      <c r="E16" s="195">
        <v>0.22</v>
      </c>
      <c r="F16" s="195" t="s">
        <v>546</v>
      </c>
      <c r="G16" s="195">
        <v>244.43</v>
      </c>
      <c r="H16" s="195">
        <v>0</v>
      </c>
      <c r="I16" s="195">
        <v>0</v>
      </c>
      <c r="J16" s="195"/>
      <c r="K16" s="195">
        <v>1013.46</v>
      </c>
      <c r="L16" s="195" t="s">
        <v>468</v>
      </c>
      <c r="M16" s="195">
        <v>63.74</v>
      </c>
      <c r="N16" s="195">
        <v>1512248400</v>
      </c>
      <c r="O16" s="195">
        <v>2</v>
      </c>
      <c r="P16" s="195">
        <v>4.78</v>
      </c>
      <c r="Q16" s="195">
        <v>62</v>
      </c>
      <c r="R16" s="195">
        <v>6.34</v>
      </c>
      <c r="S16" s="195">
        <v>1.64</v>
      </c>
      <c r="T16"/>
    </row>
    <row r="17" spans="1:20" x14ac:dyDescent="0.3">
      <c r="A17" s="195">
        <v>63.42</v>
      </c>
      <c r="B17" s="195">
        <v>7.0000000000000007E-2</v>
      </c>
      <c r="C17" s="195">
        <v>24.22</v>
      </c>
      <c r="D17" s="8">
        <v>43071.625</v>
      </c>
      <c r="E17" s="195">
        <v>0.22</v>
      </c>
      <c r="F17" s="195" t="s">
        <v>546</v>
      </c>
      <c r="G17" s="195">
        <v>244.29</v>
      </c>
      <c r="H17" s="195">
        <v>0</v>
      </c>
      <c r="I17" s="195">
        <v>0</v>
      </c>
      <c r="J17" s="195"/>
      <c r="K17" s="195">
        <v>1012.9</v>
      </c>
      <c r="L17" s="195" t="s">
        <v>468</v>
      </c>
      <c r="M17" s="195">
        <v>63.42</v>
      </c>
      <c r="N17" s="195">
        <v>1512252000</v>
      </c>
      <c r="O17" s="195">
        <v>1</v>
      </c>
      <c r="P17" s="195">
        <v>4.62</v>
      </c>
      <c r="Q17" s="195">
        <v>59</v>
      </c>
      <c r="R17" s="195">
        <v>6.4</v>
      </c>
      <c r="S17" s="195">
        <v>2.3199999999999998</v>
      </c>
      <c r="T17"/>
    </row>
    <row r="18" spans="1:20" x14ac:dyDescent="0.3">
      <c r="A18" s="195">
        <v>61.66</v>
      </c>
      <c r="B18" s="195">
        <v>0.08</v>
      </c>
      <c r="C18" s="195">
        <v>24.29</v>
      </c>
      <c r="D18" s="8">
        <v>43071.666666666664</v>
      </c>
      <c r="E18" s="195">
        <v>0.24</v>
      </c>
      <c r="F18" s="195" t="s">
        <v>546</v>
      </c>
      <c r="G18" s="195">
        <v>244.01</v>
      </c>
      <c r="H18" s="195">
        <v>0</v>
      </c>
      <c r="I18" s="195">
        <v>0</v>
      </c>
      <c r="J18" s="195"/>
      <c r="K18" s="195">
        <v>1013.85</v>
      </c>
      <c r="L18" s="195" t="s">
        <v>468</v>
      </c>
      <c r="M18" s="195">
        <v>61.66</v>
      </c>
      <c r="N18" s="195">
        <v>1512255600</v>
      </c>
      <c r="O18" s="195">
        <v>0</v>
      </c>
      <c r="P18" s="195">
        <v>4.59</v>
      </c>
      <c r="Q18" s="195">
        <v>58</v>
      </c>
      <c r="R18" s="195">
        <v>5.7</v>
      </c>
      <c r="S18" s="195">
        <v>1.75</v>
      </c>
      <c r="T18"/>
    </row>
    <row r="19" spans="1:20" x14ac:dyDescent="0.3">
      <c r="A19" s="195">
        <v>55.58</v>
      </c>
      <c r="B19" s="195">
        <v>0.06</v>
      </c>
      <c r="C19" s="195">
        <v>25.15</v>
      </c>
      <c r="D19" s="8">
        <v>43071.708333333336</v>
      </c>
      <c r="E19" s="195">
        <v>0.31</v>
      </c>
      <c r="F19" s="195" t="s">
        <v>469</v>
      </c>
      <c r="G19" s="195">
        <v>243.73</v>
      </c>
      <c r="H19" s="195">
        <v>0</v>
      </c>
      <c r="I19" s="195">
        <v>0</v>
      </c>
      <c r="J19" s="195"/>
      <c r="K19" s="195">
        <v>1014.76</v>
      </c>
      <c r="L19" s="195" t="s">
        <v>468</v>
      </c>
      <c r="M19" s="195">
        <v>55.58</v>
      </c>
      <c r="N19" s="195">
        <v>1512259200</v>
      </c>
      <c r="O19" s="195">
        <v>0</v>
      </c>
      <c r="P19" s="195">
        <v>4.05</v>
      </c>
      <c r="Q19" s="195">
        <v>80</v>
      </c>
      <c r="R19" s="195">
        <v>3.85</v>
      </c>
      <c r="S19" s="195">
        <v>0.68</v>
      </c>
      <c r="T19"/>
    </row>
    <row r="20" spans="1:20" x14ac:dyDescent="0.3">
      <c r="A20" s="195">
        <v>51.67</v>
      </c>
      <c r="B20" s="195">
        <v>0.1</v>
      </c>
      <c r="C20" s="195">
        <v>24.83</v>
      </c>
      <c r="D20" s="8">
        <v>43071.75</v>
      </c>
      <c r="E20" s="195">
        <v>0.35</v>
      </c>
      <c r="F20" s="195" t="s">
        <v>469</v>
      </c>
      <c r="G20" s="195">
        <v>244.01</v>
      </c>
      <c r="H20" s="195">
        <v>0</v>
      </c>
      <c r="I20" s="195">
        <v>0</v>
      </c>
      <c r="J20" s="195"/>
      <c r="K20" s="195">
        <v>1014.73</v>
      </c>
      <c r="L20" s="195" t="s">
        <v>468</v>
      </c>
      <c r="M20" s="195">
        <v>51.67</v>
      </c>
      <c r="N20" s="195">
        <v>1512262800</v>
      </c>
      <c r="O20" s="195">
        <v>0</v>
      </c>
      <c r="P20" s="195">
        <v>2.67</v>
      </c>
      <c r="Q20" s="195">
        <v>133</v>
      </c>
      <c r="R20" s="195">
        <v>4</v>
      </c>
      <c r="S20" s="195">
        <v>0.13</v>
      </c>
      <c r="T20"/>
    </row>
    <row r="21" spans="1:20" x14ac:dyDescent="0.3">
      <c r="A21" s="195">
        <v>47.29</v>
      </c>
      <c r="B21" s="195">
        <v>0.11</v>
      </c>
      <c r="C21" s="195">
        <v>24.93</v>
      </c>
      <c r="D21" s="8">
        <v>43071.791666666664</v>
      </c>
      <c r="E21" s="195">
        <v>0.41</v>
      </c>
      <c r="F21" s="195" t="s">
        <v>469</v>
      </c>
      <c r="G21" s="195">
        <v>244.7</v>
      </c>
      <c r="H21" s="195">
        <v>0</v>
      </c>
      <c r="I21" s="195">
        <v>0</v>
      </c>
      <c r="J21" s="195"/>
      <c r="K21" s="195">
        <v>1015.25</v>
      </c>
      <c r="L21" s="195" t="s">
        <v>468</v>
      </c>
      <c r="M21" s="195">
        <v>47.29</v>
      </c>
      <c r="N21" s="195">
        <v>1512266400</v>
      </c>
      <c r="O21" s="195">
        <v>0</v>
      </c>
      <c r="P21" s="195">
        <v>3.54</v>
      </c>
      <c r="Q21" s="195">
        <v>247</v>
      </c>
      <c r="R21" s="195">
        <v>3.65</v>
      </c>
      <c r="S21" s="195">
        <v>0.82</v>
      </c>
      <c r="T21"/>
    </row>
    <row r="22" spans="1:20" x14ac:dyDescent="0.3">
      <c r="A22" s="195">
        <v>44.7</v>
      </c>
      <c r="B22" s="195">
        <v>0.08</v>
      </c>
      <c r="C22" s="195">
        <v>24.59</v>
      </c>
      <c r="D22" s="8">
        <v>43071.833333333336</v>
      </c>
      <c r="E22" s="195">
        <v>0.45</v>
      </c>
      <c r="F22" s="195" t="s">
        <v>469</v>
      </c>
      <c r="G22" s="195">
        <v>245.25</v>
      </c>
      <c r="H22" s="195">
        <v>0</v>
      </c>
      <c r="I22" s="195">
        <v>0</v>
      </c>
      <c r="J22" s="195"/>
      <c r="K22" s="195">
        <v>1015.31</v>
      </c>
      <c r="L22" s="195" t="s">
        <v>468</v>
      </c>
      <c r="M22" s="195">
        <v>44.7</v>
      </c>
      <c r="N22" s="195">
        <v>1512270000</v>
      </c>
      <c r="O22" s="195">
        <v>0</v>
      </c>
      <c r="P22" s="195">
        <v>3.7</v>
      </c>
      <c r="Q22" s="195">
        <v>189</v>
      </c>
      <c r="R22" s="195">
        <v>2.99</v>
      </c>
      <c r="S22" s="195">
        <v>1.02</v>
      </c>
      <c r="T22"/>
    </row>
    <row r="23" spans="1:20" x14ac:dyDescent="0.3">
      <c r="A23" s="195">
        <v>42.88</v>
      </c>
      <c r="B23" s="195">
        <v>0.21</v>
      </c>
      <c r="C23" s="195">
        <v>23.69</v>
      </c>
      <c r="D23" s="8">
        <v>43071.875</v>
      </c>
      <c r="E23" s="195">
        <v>0.46</v>
      </c>
      <c r="F23" s="195" t="s">
        <v>469</v>
      </c>
      <c r="G23" s="195">
        <v>245.66</v>
      </c>
      <c r="H23" s="195">
        <v>0</v>
      </c>
      <c r="I23" s="195">
        <v>0</v>
      </c>
      <c r="J23" s="195"/>
      <c r="K23" s="195">
        <v>1014.69</v>
      </c>
      <c r="L23" s="195" t="s">
        <v>468</v>
      </c>
      <c r="M23" s="195">
        <v>42.88</v>
      </c>
      <c r="N23" s="195">
        <v>1512273600</v>
      </c>
      <c r="O23" s="195">
        <v>0</v>
      </c>
      <c r="P23" s="195">
        <v>3.51</v>
      </c>
      <c r="Q23" s="195">
        <v>178</v>
      </c>
      <c r="R23" s="195">
        <v>3.34</v>
      </c>
      <c r="S23" s="195">
        <v>1.23</v>
      </c>
      <c r="T23"/>
    </row>
    <row r="24" spans="1:20" x14ac:dyDescent="0.3">
      <c r="A24" s="195">
        <v>41.27</v>
      </c>
      <c r="B24" s="195">
        <v>0.11</v>
      </c>
      <c r="C24" s="195">
        <v>23.47</v>
      </c>
      <c r="D24" s="8">
        <v>43071.916666666664</v>
      </c>
      <c r="E24" s="195">
        <v>0.49</v>
      </c>
      <c r="F24" s="195" t="s">
        <v>469</v>
      </c>
      <c r="G24" s="195">
        <v>245.94</v>
      </c>
      <c r="H24" s="195">
        <v>0</v>
      </c>
      <c r="I24" s="195">
        <v>0</v>
      </c>
      <c r="J24" s="195"/>
      <c r="K24" s="195">
        <v>1013.84</v>
      </c>
      <c r="L24" s="195" t="s">
        <v>468</v>
      </c>
      <c r="M24" s="195">
        <v>41.27</v>
      </c>
      <c r="N24" s="195">
        <v>1512277200</v>
      </c>
      <c r="O24" s="195">
        <v>0</v>
      </c>
      <c r="P24" s="195">
        <v>3.09</v>
      </c>
      <c r="Q24" s="195">
        <v>201</v>
      </c>
      <c r="R24" s="195">
        <v>3.23</v>
      </c>
      <c r="S24" s="195">
        <v>0.83</v>
      </c>
      <c r="T24"/>
    </row>
    <row r="25" spans="1:20" x14ac:dyDescent="0.3">
      <c r="A25" s="195">
        <v>39.9</v>
      </c>
      <c r="B25" s="195">
        <v>0.12</v>
      </c>
      <c r="C25" s="195">
        <v>23.1</v>
      </c>
      <c r="D25" s="8">
        <v>43071.958333333336</v>
      </c>
      <c r="E25" s="195">
        <v>0.51</v>
      </c>
      <c r="F25" s="195" t="s">
        <v>469</v>
      </c>
      <c r="G25" s="195">
        <v>246.49</v>
      </c>
      <c r="H25" s="195">
        <v>0</v>
      </c>
      <c r="I25" s="195">
        <v>0</v>
      </c>
      <c r="J25" s="195"/>
      <c r="K25" s="195">
        <v>1012.82</v>
      </c>
      <c r="L25" s="195" t="s">
        <v>468</v>
      </c>
      <c r="M25" s="195">
        <v>39.9</v>
      </c>
      <c r="N25" s="195">
        <v>1512280800</v>
      </c>
      <c r="O25" s="195">
        <v>0</v>
      </c>
      <c r="P25" s="195">
        <v>2.71</v>
      </c>
      <c r="Q25" s="195">
        <v>218</v>
      </c>
      <c r="R25" s="195">
        <v>3.13</v>
      </c>
      <c r="S25" s="195">
        <v>0.86</v>
      </c>
      <c r="T25"/>
    </row>
    <row r="26" spans="1:20" x14ac:dyDescent="0.3">
      <c r="A26" s="195">
        <v>39.19</v>
      </c>
      <c r="B26" s="195">
        <v>0.09</v>
      </c>
      <c r="C26" s="195">
        <v>22.89</v>
      </c>
      <c r="D26" s="8">
        <v>43072</v>
      </c>
      <c r="E26" s="195">
        <v>0.52</v>
      </c>
      <c r="F26" s="195" t="s">
        <v>469</v>
      </c>
      <c r="G26" s="195">
        <v>247.17</v>
      </c>
      <c r="H26" s="195">
        <v>0</v>
      </c>
      <c r="I26" s="195">
        <v>0</v>
      </c>
      <c r="J26" s="195"/>
      <c r="K26" s="195">
        <v>1011.95</v>
      </c>
      <c r="L26" s="195" t="s">
        <v>468</v>
      </c>
      <c r="M26" s="195">
        <v>39.19</v>
      </c>
      <c r="N26" s="195">
        <v>1512284400</v>
      </c>
      <c r="O26" s="195">
        <v>0</v>
      </c>
      <c r="P26" s="195">
        <v>3.16</v>
      </c>
      <c r="Q26" s="195">
        <v>219</v>
      </c>
      <c r="R26" s="195">
        <v>3.16</v>
      </c>
      <c r="S26" s="195">
        <v>1.1100000000000001</v>
      </c>
      <c r="T26"/>
    </row>
    <row r="27" spans="1:20" x14ac:dyDescent="0.3">
      <c r="A27" s="195">
        <v>37.549999999999997</v>
      </c>
      <c r="B27" s="195">
        <v>0.12</v>
      </c>
      <c r="C27" s="195">
        <v>22.17</v>
      </c>
      <c r="D27" s="8">
        <v>43072.041666666664</v>
      </c>
      <c r="E27" s="195">
        <v>0.53</v>
      </c>
      <c r="F27" s="195" t="s">
        <v>469</v>
      </c>
      <c r="G27" s="195">
        <v>248.12</v>
      </c>
      <c r="H27" s="195">
        <v>0</v>
      </c>
      <c r="I27" s="195">
        <v>0</v>
      </c>
      <c r="J27" s="195"/>
      <c r="K27" s="195">
        <v>1011.91</v>
      </c>
      <c r="L27" s="195" t="s">
        <v>468</v>
      </c>
      <c r="M27" s="195">
        <v>37.549999999999997</v>
      </c>
      <c r="N27" s="195">
        <v>1512288000</v>
      </c>
      <c r="O27" s="195">
        <v>0</v>
      </c>
      <c r="P27" s="195">
        <v>2.62</v>
      </c>
      <c r="Q27" s="195">
        <v>196</v>
      </c>
      <c r="R27" s="195">
        <v>2.94</v>
      </c>
      <c r="S27" s="195">
        <v>0.82</v>
      </c>
      <c r="T27"/>
    </row>
    <row r="28" spans="1:20" x14ac:dyDescent="0.3">
      <c r="A28" s="195">
        <v>37.479999999999997</v>
      </c>
      <c r="B28" s="195">
        <v>0.13</v>
      </c>
      <c r="C28" s="195">
        <v>21.96</v>
      </c>
      <c r="D28" s="8">
        <v>43072.083333333336</v>
      </c>
      <c r="E28" s="195">
        <v>0.53</v>
      </c>
      <c r="F28" s="195" t="s">
        <v>469</v>
      </c>
      <c r="G28" s="195">
        <v>249.06</v>
      </c>
      <c r="H28" s="195">
        <v>0</v>
      </c>
      <c r="I28" s="195">
        <v>0</v>
      </c>
      <c r="J28" s="195"/>
      <c r="K28" s="195">
        <v>1010.75</v>
      </c>
      <c r="L28" s="195" t="s">
        <v>468</v>
      </c>
      <c r="M28" s="195">
        <v>37.479999999999997</v>
      </c>
      <c r="N28" s="195">
        <v>1512291600</v>
      </c>
      <c r="O28" s="195">
        <v>0</v>
      </c>
      <c r="P28" s="195">
        <v>2.8</v>
      </c>
      <c r="Q28" s="195">
        <v>200</v>
      </c>
      <c r="R28" s="195">
        <v>3.17</v>
      </c>
      <c r="S28" s="195">
        <v>1.03</v>
      </c>
      <c r="T28"/>
    </row>
    <row r="29" spans="1:20" x14ac:dyDescent="0.3">
      <c r="A29" s="195">
        <v>37.270000000000003</v>
      </c>
      <c r="B29" s="195">
        <v>0.3</v>
      </c>
      <c r="C29" s="195">
        <v>21.44</v>
      </c>
      <c r="D29" s="8">
        <v>43072.125</v>
      </c>
      <c r="E29" s="195">
        <v>0.52</v>
      </c>
      <c r="F29" s="195" t="s">
        <v>882</v>
      </c>
      <c r="G29" s="195">
        <v>250.14</v>
      </c>
      <c r="H29" s="195">
        <v>0</v>
      </c>
      <c r="I29" s="195">
        <v>0</v>
      </c>
      <c r="J29" s="195"/>
      <c r="K29" s="195">
        <v>1011.1</v>
      </c>
      <c r="L29" s="195" t="s">
        <v>883</v>
      </c>
      <c r="M29" s="195">
        <v>37.270000000000003</v>
      </c>
      <c r="N29" s="195">
        <v>1512295200</v>
      </c>
      <c r="O29" s="195">
        <v>0</v>
      </c>
      <c r="P29" s="195">
        <v>4.7</v>
      </c>
      <c r="Q29" s="195">
        <v>190</v>
      </c>
      <c r="R29" s="195">
        <v>3.61</v>
      </c>
      <c r="S29" s="195">
        <v>1.7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43071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1065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1066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1067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1068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1069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1072</v>
      </c>
      <c r="J25" s="139" t="s">
        <v>144</v>
      </c>
      <c r="M25" s="153" t="b">
        <v>1</v>
      </c>
    </row>
    <row r="26" spans="3:24" x14ac:dyDescent="0.3">
      <c r="C26" t="s">
        <v>1073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%USERPROFILE%\Documents\GitHub\eaglep3-reporting\EC\2017-12-02-refined-times.txt</v>
      </c>
    </row>
    <row r="27" spans="3:24" x14ac:dyDescent="0.3">
      <c r="C27" t="s">
        <v>1074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%USERPROFILE%\Documents\GitHub\eaglep3-reporting\EC\2017-12-02-Enforcements.txt</v>
      </c>
    </row>
    <row r="28" spans="3:24" x14ac:dyDescent="0.3">
      <c r="C28" t="s">
        <v>1075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%USERPROFILE%\Documents\GitHub\eaglep3-reporting\EC\2017-12-02-Runs-refined.txt</v>
      </c>
    </row>
    <row r="29" spans="3:24" x14ac:dyDescent="0.3">
      <c r="C29" t="s">
        <v>1076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%USERPROFILE%\Documents\GitHub\eaglep3-reporting\EC\2017-12-02-Trips.txt</v>
      </c>
    </row>
    <row r="30" spans="3:24" x14ac:dyDescent="0.3">
      <c r="C30" t="s">
        <v>1077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%USERPROFILE%\Documents\GitHub\eaglep3-reporting\EC\2017-12-02-Weather.txt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2017-12-04T16:11:17Z</dcterms:modified>
</cp:coreProperties>
</file>