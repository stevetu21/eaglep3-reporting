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M204" i="1"/>
  <c r="N204" i="1" s="1"/>
  <c r="AA204" i="1"/>
  <c r="AB204" i="1"/>
  <c r="AC204" i="1"/>
  <c r="AD204" i="1"/>
  <c r="T204" i="1" s="1"/>
  <c r="AE204" i="1"/>
  <c r="AM204" i="1"/>
  <c r="K200" i="1"/>
  <c r="M200" i="1"/>
  <c r="N200" i="1" s="1"/>
  <c r="T200" i="1"/>
  <c r="AA200" i="1"/>
  <c r="AB200" i="1"/>
  <c r="AC200" i="1"/>
  <c r="AD200" i="1"/>
  <c r="AE200" i="1"/>
  <c r="AM200" i="1"/>
  <c r="K194" i="1"/>
  <c r="M194" i="1"/>
  <c r="N194" i="1" s="1"/>
  <c r="AA194" i="1"/>
  <c r="AB194" i="1"/>
  <c r="AC194" i="1"/>
  <c r="AD194" i="1"/>
  <c r="T194" i="1" s="1"/>
  <c r="AE194" i="1"/>
  <c r="AM194" i="1"/>
  <c r="K196" i="1"/>
  <c r="M196" i="1"/>
  <c r="N196" i="1" s="1"/>
  <c r="AA196" i="1"/>
  <c r="AB196" i="1"/>
  <c r="AC196" i="1"/>
  <c r="AD196" i="1"/>
  <c r="X196" i="1" s="1"/>
  <c r="AE196" i="1"/>
  <c r="AM196" i="1"/>
  <c r="K195" i="1"/>
  <c r="M195" i="1"/>
  <c r="N195" i="1" s="1"/>
  <c r="Y195" i="1"/>
  <c r="Z195" i="1"/>
  <c r="AB195" i="1"/>
  <c r="AC195" i="1"/>
  <c r="AD195" i="1"/>
  <c r="T195" i="1" s="1"/>
  <c r="AE195" i="1"/>
  <c r="AG200" i="1"/>
  <c r="AG194" i="1"/>
  <c r="AG196" i="1"/>
  <c r="AG204" i="1"/>
  <c r="AG195" i="1"/>
  <c r="T196" i="1" l="1"/>
  <c r="X195" i="1"/>
  <c r="AA195" i="1"/>
  <c r="W195" i="1" s="1"/>
  <c r="AI204" i="1"/>
  <c r="U204" i="1"/>
  <c r="S204" i="1" s="1"/>
  <c r="W204" i="1"/>
  <c r="AI200" i="1"/>
  <c r="U200" i="1"/>
  <c r="S200" i="1" s="1"/>
  <c r="W200" i="1"/>
  <c r="AI194" i="1"/>
  <c r="U194" i="1"/>
  <c r="S194" i="1" s="1"/>
  <c r="W194" i="1"/>
  <c r="AI196" i="1"/>
  <c r="U196" i="1"/>
  <c r="S196" i="1" s="1"/>
  <c r="W196" i="1"/>
  <c r="U195" i="1"/>
  <c r="S195" i="1" s="1"/>
  <c r="AI195" i="1"/>
  <c r="AM195" i="1"/>
  <c r="K188" i="1"/>
  <c r="M188" i="1"/>
  <c r="N188" i="1" s="1"/>
  <c r="AA188" i="1"/>
  <c r="AB188" i="1"/>
  <c r="AC188" i="1"/>
  <c r="AD188" i="1"/>
  <c r="T188" i="1" s="1"/>
  <c r="AE188" i="1"/>
  <c r="AM188" i="1"/>
  <c r="K156" i="1"/>
  <c r="M156" i="1"/>
  <c r="N156" i="1" s="1"/>
  <c r="AA156" i="1"/>
  <c r="AB156" i="1"/>
  <c r="AC156" i="1"/>
  <c r="AD156" i="1"/>
  <c r="T156" i="1" s="1"/>
  <c r="AE156" i="1"/>
  <c r="AM156" i="1"/>
  <c r="K157" i="1"/>
  <c r="M157" i="1"/>
  <c r="N157" i="1"/>
  <c r="Y157" i="1"/>
  <c r="Z157" i="1"/>
  <c r="AB157" i="1"/>
  <c r="AC157" i="1"/>
  <c r="AD157" i="1"/>
  <c r="T157" i="1" s="1"/>
  <c r="AE157" i="1"/>
  <c r="AM157" i="1"/>
  <c r="K140" i="1"/>
  <c r="M140" i="1"/>
  <c r="N140" i="1" s="1"/>
  <c r="AA140" i="1"/>
  <c r="AB140" i="1"/>
  <c r="AC140" i="1"/>
  <c r="AD140" i="1"/>
  <c r="T140" i="1" s="1"/>
  <c r="AE140" i="1"/>
  <c r="AM140" i="1"/>
  <c r="K118" i="1"/>
  <c r="M118" i="1"/>
  <c r="N118" i="1" s="1"/>
  <c r="AA118" i="1"/>
  <c r="AB118" i="1"/>
  <c r="AC118" i="1"/>
  <c r="AD118" i="1"/>
  <c r="T118" i="1" s="1"/>
  <c r="AE118" i="1"/>
  <c r="AM118" i="1"/>
  <c r="K14" i="1"/>
  <c r="M14" i="1"/>
  <c r="N14" i="1" s="1"/>
  <c r="Y14" i="1"/>
  <c r="Z14" i="1"/>
  <c r="AB14" i="1"/>
  <c r="AC14" i="1"/>
  <c r="AD14" i="1"/>
  <c r="AE14" i="1"/>
  <c r="AM14" i="1"/>
  <c r="K15" i="1"/>
  <c r="M15" i="1"/>
  <c r="N15" i="1" s="1"/>
  <c r="Y15" i="1"/>
  <c r="Z15" i="1"/>
  <c r="AB15" i="1"/>
  <c r="AC15" i="1"/>
  <c r="AD15" i="1"/>
  <c r="AE15" i="1"/>
  <c r="AM15" i="1"/>
  <c r="K16" i="1"/>
  <c r="M16" i="1"/>
  <c r="N16" i="1" s="1"/>
  <c r="Y16" i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AE17" i="1"/>
  <c r="AM17" i="1"/>
  <c r="K18" i="1"/>
  <c r="M18" i="1"/>
  <c r="N18" i="1" s="1"/>
  <c r="Y18" i="1"/>
  <c r="Z18" i="1"/>
  <c r="AB18" i="1"/>
  <c r="AC18" i="1"/>
  <c r="AD18" i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A34" i="1" s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P36" i="1" s="1"/>
  <c r="Y36" i="1"/>
  <c r="Z36" i="1"/>
  <c r="AB36" i="1"/>
  <c r="AC36" i="1"/>
  <c r="AD36" i="1"/>
  <c r="AE36" i="1"/>
  <c r="AM36" i="1"/>
  <c r="K37" i="1"/>
  <c r="M37" i="1"/>
  <c r="P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X38" i="1" s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R25" i="3" s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AA50" i="1" s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/>
  <c r="Y54" i="1"/>
  <c r="AA54" i="1" s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R26" i="3" s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A57" i="1" s="1"/>
  <c r="AB57" i="1"/>
  <c r="AC57" i="1"/>
  <c r="AD57" i="1"/>
  <c r="AE57" i="1"/>
  <c r="AM57" i="1"/>
  <c r="K58" i="1"/>
  <c r="M58" i="1"/>
  <c r="N58" i="1"/>
  <c r="Y58" i="1"/>
  <c r="Z58" i="1"/>
  <c r="AA58" i="1" s="1"/>
  <c r="AB58" i="1"/>
  <c r="AC58" i="1"/>
  <c r="AD58" i="1"/>
  <c r="T58" i="1" s="1"/>
  <c r="AE58" i="1"/>
  <c r="R10" i="3" s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T60" i="1"/>
  <c r="Y60" i="1"/>
  <c r="Z60" i="1"/>
  <c r="AA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8" i="3" s="1"/>
  <c r="AM64" i="1"/>
  <c r="K65" i="1"/>
  <c r="M65" i="1"/>
  <c r="N65" i="1" s="1"/>
  <c r="Y65" i="1"/>
  <c r="Z65" i="1"/>
  <c r="AA65" i="1" s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R20" i="3" s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AA74" i="1" s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R23" i="3" s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R12" i="3" s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A81" i="1" s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A91" i="1" s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R15" i="3" s="1"/>
  <c r="AM92" i="1"/>
  <c r="K93" i="1"/>
  <c r="M93" i="1"/>
  <c r="N93" i="1" s="1"/>
  <c r="Y93" i="1"/>
  <c r="AA93" i="1" s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A95" i="1" s="1"/>
  <c r="AB95" i="1"/>
  <c r="AC95" i="1"/>
  <c r="AD95" i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A99" i="1" s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T100" i="1" s="1"/>
  <c r="AE100" i="1"/>
  <c r="AM100" i="1"/>
  <c r="K101" i="1"/>
  <c r="M101" i="1"/>
  <c r="N101" i="1" s="1"/>
  <c r="X101" i="1"/>
  <c r="Y101" i="1"/>
  <c r="Z101" i="1"/>
  <c r="AB101" i="1"/>
  <c r="AC101" i="1"/>
  <c r="AD101" i="1"/>
  <c r="T101" i="1" s="1"/>
  <c r="AE101" i="1"/>
  <c r="AM101" i="1"/>
  <c r="K102" i="1"/>
  <c r="M102" i="1"/>
  <c r="N102" i="1" s="1"/>
  <c r="Y102" i="1"/>
  <c r="Z102" i="1"/>
  <c r="AB102" i="1"/>
  <c r="AC102" i="1"/>
  <c r="AD102" i="1"/>
  <c r="T102" i="1" s="1"/>
  <c r="AE102" i="1"/>
  <c r="R19" i="3" s="1"/>
  <c r="AM102" i="1"/>
  <c r="K103" i="1"/>
  <c r="M103" i="1"/>
  <c r="P103" i="1" s="1"/>
  <c r="Y103" i="1"/>
  <c r="Z103" i="1"/>
  <c r="AB103" i="1"/>
  <c r="AC103" i="1"/>
  <c r="AD103" i="1"/>
  <c r="AE103" i="1"/>
  <c r="AM103" i="1"/>
  <c r="K104" i="1"/>
  <c r="M104" i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AE112" i="1"/>
  <c r="R17" i="3" s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T114" i="1" s="1"/>
  <c r="AE114" i="1"/>
  <c r="AM114" i="1"/>
  <c r="K115" i="1"/>
  <c r="M115" i="1"/>
  <c r="N115" i="1"/>
  <c r="Y115" i="1"/>
  <c r="Z115" i="1"/>
  <c r="AA115" i="1" s="1"/>
  <c r="AB115" i="1"/>
  <c r="AC115" i="1"/>
  <c r="AD115" i="1"/>
  <c r="T115" i="1" s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R13" i="3" s="1"/>
  <c r="AM117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P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T123" i="1" s="1"/>
  <c r="AE123" i="1"/>
  <c r="AM123" i="1"/>
  <c r="K124" i="1"/>
  <c r="M124" i="1"/>
  <c r="N124" i="1" s="1"/>
  <c r="Y124" i="1"/>
  <c r="Z124" i="1"/>
  <c r="AB124" i="1"/>
  <c r="AC124" i="1"/>
  <c r="AD124" i="1"/>
  <c r="AE124" i="1"/>
  <c r="AM124" i="1"/>
  <c r="K125" i="1"/>
  <c r="M125" i="1"/>
  <c r="N125" i="1" s="1"/>
  <c r="Y125" i="1"/>
  <c r="Z125" i="1"/>
  <c r="AB125" i="1"/>
  <c r="AC125" i="1"/>
  <c r="AD125" i="1"/>
  <c r="X126" i="1" s="1"/>
  <c r="AE125" i="1"/>
  <c r="AM125" i="1"/>
  <c r="K126" i="1"/>
  <c r="M126" i="1"/>
  <c r="N126" i="1" s="1"/>
  <c r="Y126" i="1"/>
  <c r="Z126" i="1"/>
  <c r="AA126" i="1" s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T132" i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T135" i="1" s="1"/>
  <c r="AE135" i="1"/>
  <c r="AM135" i="1"/>
  <c r="K136" i="1"/>
  <c r="M136" i="1"/>
  <c r="N136" i="1" s="1"/>
  <c r="Y136" i="1"/>
  <c r="Z136" i="1"/>
  <c r="AB136" i="1"/>
  <c r="AC136" i="1"/>
  <c r="AD136" i="1"/>
  <c r="T136" i="1" s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1" i="1"/>
  <c r="M141" i="1"/>
  <c r="N141" i="1" s="1"/>
  <c r="Y141" i="1"/>
  <c r="Z141" i="1"/>
  <c r="AB141" i="1"/>
  <c r="AC141" i="1"/>
  <c r="AD141" i="1"/>
  <c r="AE141" i="1"/>
  <c r="R24" i="3" s="1"/>
  <c r="AM141" i="1"/>
  <c r="K142" i="1"/>
  <c r="M142" i="1"/>
  <c r="N142" i="1" s="1"/>
  <c r="Y142" i="1"/>
  <c r="Z142" i="1"/>
  <c r="AA142" i="1" s="1"/>
  <c r="AB142" i="1"/>
  <c r="AC142" i="1"/>
  <c r="AD142" i="1"/>
  <c r="AE142" i="1"/>
  <c r="R27" i="3" s="1"/>
  <c r="AM142" i="1"/>
  <c r="K143" i="1"/>
  <c r="M143" i="1"/>
  <c r="N143" i="1" s="1"/>
  <c r="Y143" i="1"/>
  <c r="Z143" i="1"/>
  <c r="AA143" i="1" s="1"/>
  <c r="AB143" i="1"/>
  <c r="AC143" i="1"/>
  <c r="AD143" i="1"/>
  <c r="AE143" i="1"/>
  <c r="AM143" i="1"/>
  <c r="K144" i="1"/>
  <c r="M144" i="1"/>
  <c r="N144" i="1" s="1"/>
  <c r="T144" i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A145" i="1" s="1"/>
  <c r="AB145" i="1"/>
  <c r="AC145" i="1"/>
  <c r="AD145" i="1"/>
  <c r="X145" i="1" s="1"/>
  <c r="AE145" i="1"/>
  <c r="AM145" i="1"/>
  <c r="K146" i="1"/>
  <c r="M146" i="1"/>
  <c r="N146" i="1" s="1"/>
  <c r="Y146" i="1"/>
  <c r="Z146" i="1"/>
  <c r="AB146" i="1"/>
  <c r="AC146" i="1"/>
  <c r="AD146" i="1"/>
  <c r="T146" i="1" s="1"/>
  <c r="AE146" i="1"/>
  <c r="R18" i="3" s="1"/>
  <c r="AM146" i="1"/>
  <c r="K147" i="1"/>
  <c r="M147" i="1"/>
  <c r="N147" i="1" s="1"/>
  <c r="Y147" i="1"/>
  <c r="Z147" i="1"/>
  <c r="AA147" i="1" s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A149" i="1" s="1"/>
  <c r="AB149" i="1"/>
  <c r="AC149" i="1"/>
  <c r="AD149" i="1"/>
  <c r="T149" i="1" s="1"/>
  <c r="AE149" i="1"/>
  <c r="AM149" i="1"/>
  <c r="K150" i="1"/>
  <c r="M150" i="1"/>
  <c r="P150" i="1" s="1"/>
  <c r="Y150" i="1"/>
  <c r="Z150" i="1"/>
  <c r="AB150" i="1"/>
  <c r="AC150" i="1"/>
  <c r="AD150" i="1"/>
  <c r="AE150" i="1"/>
  <c r="R9" i="3" s="1"/>
  <c r="AM150" i="1"/>
  <c r="K151" i="1"/>
  <c r="M151" i="1"/>
  <c r="N151" i="1" s="1"/>
  <c r="Y151" i="1"/>
  <c r="Z151" i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T153" i="1" s="1"/>
  <c r="AE153" i="1"/>
  <c r="AM153" i="1"/>
  <c r="K154" i="1"/>
  <c r="M154" i="1"/>
  <c r="N154" i="1" s="1"/>
  <c r="Y154" i="1"/>
  <c r="Z154" i="1"/>
  <c r="AA154" i="1" s="1"/>
  <c r="AB154" i="1"/>
  <c r="AC154" i="1"/>
  <c r="AD154" i="1"/>
  <c r="T154" i="1" s="1"/>
  <c r="AE154" i="1"/>
  <c r="AM154" i="1"/>
  <c r="K155" i="1"/>
  <c r="M155" i="1"/>
  <c r="N155" i="1" s="1"/>
  <c r="Y155" i="1"/>
  <c r="Z155" i="1"/>
  <c r="AB155" i="1"/>
  <c r="AC155" i="1"/>
  <c r="AD155" i="1"/>
  <c r="X155" i="1" s="1"/>
  <c r="AE155" i="1"/>
  <c r="AM155" i="1"/>
  <c r="K207" i="1"/>
  <c r="M207" i="1"/>
  <c r="N207" i="1" s="1"/>
  <c r="Y207" i="1"/>
  <c r="Z207" i="1"/>
  <c r="AA207" i="1" s="1"/>
  <c r="AB207" i="1"/>
  <c r="AC207" i="1"/>
  <c r="AD207" i="1"/>
  <c r="T207" i="1" s="1"/>
  <c r="AE207" i="1"/>
  <c r="AM158" i="1"/>
  <c r="K208" i="1"/>
  <c r="M208" i="1"/>
  <c r="N208" i="1" s="1"/>
  <c r="Y208" i="1"/>
  <c r="Z208" i="1"/>
  <c r="AB208" i="1"/>
  <c r="AC208" i="1"/>
  <c r="AD208" i="1"/>
  <c r="T208" i="1" s="1"/>
  <c r="AE208" i="1"/>
  <c r="AM159" i="1"/>
  <c r="K209" i="1"/>
  <c r="M209" i="1"/>
  <c r="N209" i="1" s="1"/>
  <c r="Y209" i="1"/>
  <c r="Z209" i="1"/>
  <c r="AB209" i="1"/>
  <c r="AC209" i="1"/>
  <c r="AD209" i="1"/>
  <c r="T209" i="1" s="1"/>
  <c r="AE209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A212" i="1" s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T213" i="1" s="1"/>
  <c r="AE213" i="1"/>
  <c r="AM164" i="1"/>
  <c r="K214" i="1"/>
  <c r="M214" i="1"/>
  <c r="N214" i="1" s="1"/>
  <c r="Y214" i="1"/>
  <c r="Z214" i="1"/>
  <c r="AB214" i="1"/>
  <c r="AC214" i="1"/>
  <c r="AD214" i="1"/>
  <c r="AE214" i="1"/>
  <c r="R33" i="3" s="1"/>
  <c r="AM165" i="1"/>
  <c r="K215" i="1"/>
  <c r="M215" i="1"/>
  <c r="N215" i="1" s="1"/>
  <c r="Y215" i="1"/>
  <c r="Z215" i="1"/>
  <c r="AB215" i="1"/>
  <c r="AC215" i="1"/>
  <c r="AD215" i="1"/>
  <c r="T215" i="1" s="1"/>
  <c r="AE215" i="1"/>
  <c r="AM166" i="1"/>
  <c r="K216" i="1"/>
  <c r="M216" i="1"/>
  <c r="N216" i="1" s="1"/>
  <c r="X216" i="1"/>
  <c r="Y216" i="1"/>
  <c r="Z216" i="1"/>
  <c r="AB216" i="1"/>
  <c r="AC216" i="1"/>
  <c r="AD216" i="1"/>
  <c r="T216" i="1" s="1"/>
  <c r="AE216" i="1"/>
  <c r="AM167" i="1"/>
  <c r="K217" i="1"/>
  <c r="M217" i="1"/>
  <c r="N217" i="1"/>
  <c r="Y217" i="1"/>
  <c r="Z217" i="1"/>
  <c r="AA217" i="1" s="1"/>
  <c r="AB217" i="1"/>
  <c r="AC217" i="1"/>
  <c r="AD217" i="1"/>
  <c r="T217" i="1" s="1"/>
  <c r="AE217" i="1"/>
  <c r="AM168" i="1"/>
  <c r="K218" i="1"/>
  <c r="M218" i="1"/>
  <c r="N218" i="1" s="1"/>
  <c r="Y218" i="1"/>
  <c r="Z218" i="1"/>
  <c r="AA218" i="1" s="1"/>
  <c r="AB218" i="1"/>
  <c r="AC218" i="1"/>
  <c r="AD218" i="1"/>
  <c r="T218" i="1" s="1"/>
  <c r="AE218" i="1"/>
  <c r="AM169" i="1"/>
  <c r="K225" i="1"/>
  <c r="M225" i="1"/>
  <c r="N225" i="1" s="1"/>
  <c r="Y225" i="1"/>
  <c r="Z225" i="1"/>
  <c r="AB225" i="1"/>
  <c r="AC225" i="1"/>
  <c r="AD225" i="1"/>
  <c r="AE225" i="1"/>
  <c r="AM170" i="1"/>
  <c r="K226" i="1"/>
  <c r="M226" i="1"/>
  <c r="N226" i="1" s="1"/>
  <c r="Y226" i="1"/>
  <c r="Z226" i="1"/>
  <c r="AB226" i="1"/>
  <c r="AC226" i="1"/>
  <c r="AD226" i="1"/>
  <c r="T226" i="1" s="1"/>
  <c r="AE226" i="1"/>
  <c r="AM171" i="1"/>
  <c r="K227" i="1"/>
  <c r="M227" i="1"/>
  <c r="N227" i="1" s="1"/>
  <c r="Y227" i="1"/>
  <c r="Z227" i="1"/>
  <c r="AA227" i="1" s="1"/>
  <c r="AB227" i="1"/>
  <c r="AC227" i="1"/>
  <c r="AD227" i="1"/>
  <c r="T227" i="1" s="1"/>
  <c r="AE227" i="1"/>
  <c r="AM172" i="1"/>
  <c r="K228" i="1"/>
  <c r="M228" i="1"/>
  <c r="N228" i="1" s="1"/>
  <c r="Y228" i="1"/>
  <c r="Z228" i="1"/>
  <c r="AB228" i="1"/>
  <c r="AC228" i="1"/>
  <c r="AD228" i="1"/>
  <c r="T228" i="1" s="1"/>
  <c r="AE228" i="1"/>
  <c r="AM173" i="1"/>
  <c r="K229" i="1"/>
  <c r="M229" i="1"/>
  <c r="N229" i="1" s="1"/>
  <c r="Y229" i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B230" i="1"/>
  <c r="AC230" i="1"/>
  <c r="AD230" i="1"/>
  <c r="T230" i="1" s="1"/>
  <c r="AE230" i="1"/>
  <c r="AM175" i="1"/>
  <c r="K231" i="1"/>
  <c r="M231" i="1"/>
  <c r="N231" i="1" s="1"/>
  <c r="Y231" i="1"/>
  <c r="Z231" i="1"/>
  <c r="AA231" i="1" s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T233" i="1" s="1"/>
  <c r="AE233" i="1"/>
  <c r="R34" i="3" s="1"/>
  <c r="AM178" i="1"/>
  <c r="K234" i="1"/>
  <c r="M234" i="1"/>
  <c r="N234" i="1" s="1"/>
  <c r="Y234" i="1"/>
  <c r="Z234" i="1"/>
  <c r="AB234" i="1"/>
  <c r="AC234" i="1"/>
  <c r="AD234" i="1"/>
  <c r="T234" i="1" s="1"/>
  <c r="AE234" i="1"/>
  <c r="AM179" i="1"/>
  <c r="K235" i="1"/>
  <c r="M235" i="1"/>
  <c r="N235" i="1" s="1"/>
  <c r="Y235" i="1"/>
  <c r="Z235" i="1"/>
  <c r="AA235" i="1" s="1"/>
  <c r="AB235" i="1"/>
  <c r="AC235" i="1"/>
  <c r="AD235" i="1"/>
  <c r="T235" i="1" s="1"/>
  <c r="AE235" i="1"/>
  <c r="AM180" i="1"/>
  <c r="K236" i="1"/>
  <c r="M236" i="1"/>
  <c r="N236" i="1" s="1"/>
  <c r="Y236" i="1"/>
  <c r="Z236" i="1"/>
  <c r="AB236" i="1"/>
  <c r="AC236" i="1"/>
  <c r="AD236" i="1"/>
  <c r="T236" i="1" s="1"/>
  <c r="AE236" i="1"/>
  <c r="AM181" i="1"/>
  <c r="K237" i="1"/>
  <c r="M237" i="1"/>
  <c r="N237" i="1" s="1"/>
  <c r="Y237" i="1"/>
  <c r="Z237" i="1"/>
  <c r="AB237" i="1"/>
  <c r="AC237" i="1"/>
  <c r="AD237" i="1"/>
  <c r="T237" i="1" s="1"/>
  <c r="AE237" i="1"/>
  <c r="AM182" i="1"/>
  <c r="K238" i="1"/>
  <c r="M238" i="1"/>
  <c r="N238" i="1" s="1"/>
  <c r="Y238" i="1"/>
  <c r="Z238" i="1"/>
  <c r="AB238" i="1"/>
  <c r="AC238" i="1"/>
  <c r="AD238" i="1"/>
  <c r="T238" i="1" s="1"/>
  <c r="AE238" i="1"/>
  <c r="AM183" i="1"/>
  <c r="K239" i="1"/>
  <c r="M239" i="1"/>
  <c r="N239" i="1" s="1"/>
  <c r="Y239" i="1"/>
  <c r="Z239" i="1"/>
  <c r="AA239" i="1" s="1"/>
  <c r="AB239" i="1"/>
  <c r="AC239" i="1"/>
  <c r="AD239" i="1"/>
  <c r="T239" i="1" s="1"/>
  <c r="AE239" i="1"/>
  <c r="AM184" i="1"/>
  <c r="K240" i="1"/>
  <c r="M240" i="1"/>
  <c r="N240" i="1" s="1"/>
  <c r="Y240" i="1"/>
  <c r="Z240" i="1"/>
  <c r="AB240" i="1"/>
  <c r="AC240" i="1"/>
  <c r="AD240" i="1"/>
  <c r="T240" i="1" s="1"/>
  <c r="AE240" i="1"/>
  <c r="AM185" i="1"/>
  <c r="K241" i="1"/>
  <c r="M241" i="1"/>
  <c r="N241" i="1" s="1"/>
  <c r="Y241" i="1"/>
  <c r="Z241" i="1"/>
  <c r="AB241" i="1"/>
  <c r="AC241" i="1"/>
  <c r="AD241" i="1"/>
  <c r="T241" i="1" s="1"/>
  <c r="AE241" i="1"/>
  <c r="AM186" i="1"/>
  <c r="K158" i="1"/>
  <c r="M158" i="1"/>
  <c r="N158" i="1" s="1"/>
  <c r="Y158" i="1"/>
  <c r="Z158" i="1"/>
  <c r="AB158" i="1"/>
  <c r="AC158" i="1"/>
  <c r="AD158" i="1"/>
  <c r="T158" i="1" s="1"/>
  <c r="AE158" i="1"/>
  <c r="AM187" i="1"/>
  <c r="K159" i="1"/>
  <c r="M159" i="1"/>
  <c r="N159" i="1" s="1"/>
  <c r="Y159" i="1"/>
  <c r="Z159" i="1"/>
  <c r="AA159" i="1" s="1"/>
  <c r="AB159" i="1"/>
  <c r="AC159" i="1"/>
  <c r="AD159" i="1"/>
  <c r="T159" i="1" s="1"/>
  <c r="AE159" i="1"/>
  <c r="AM189" i="1"/>
  <c r="K160" i="1"/>
  <c r="M160" i="1"/>
  <c r="N160" i="1" s="1"/>
  <c r="Y160" i="1"/>
  <c r="Z160" i="1"/>
  <c r="AB160" i="1"/>
  <c r="AC160" i="1"/>
  <c r="AD160" i="1"/>
  <c r="T160" i="1" s="1"/>
  <c r="AE160" i="1"/>
  <c r="AM190" i="1"/>
  <c r="K161" i="1"/>
  <c r="M161" i="1"/>
  <c r="N161" i="1" s="1"/>
  <c r="Y161" i="1"/>
  <c r="Z161" i="1"/>
  <c r="AB161" i="1"/>
  <c r="AC161" i="1"/>
  <c r="AD161" i="1"/>
  <c r="AE161" i="1"/>
  <c r="AM191" i="1"/>
  <c r="K162" i="1"/>
  <c r="M162" i="1"/>
  <c r="N162" i="1" s="1"/>
  <c r="Y162" i="1"/>
  <c r="Z162" i="1"/>
  <c r="AB162" i="1"/>
  <c r="AC162" i="1"/>
  <c r="AD162" i="1"/>
  <c r="AE162" i="1"/>
  <c r="AM192" i="1"/>
  <c r="K163" i="1"/>
  <c r="M163" i="1"/>
  <c r="N163" i="1" s="1"/>
  <c r="Y163" i="1"/>
  <c r="Z163" i="1"/>
  <c r="AA163" i="1" s="1"/>
  <c r="AB163" i="1"/>
  <c r="AC163" i="1"/>
  <c r="AD163" i="1"/>
  <c r="AE163" i="1"/>
  <c r="AM193" i="1"/>
  <c r="K164" i="1"/>
  <c r="M164" i="1"/>
  <c r="N164" i="1" s="1"/>
  <c r="Y164" i="1"/>
  <c r="Z164" i="1"/>
  <c r="AB164" i="1"/>
  <c r="AC164" i="1"/>
  <c r="AD164" i="1"/>
  <c r="AE164" i="1"/>
  <c r="K165" i="1"/>
  <c r="M165" i="1"/>
  <c r="N165" i="1" s="1"/>
  <c r="Y165" i="1"/>
  <c r="Z165" i="1"/>
  <c r="AA165" i="1" s="1"/>
  <c r="AB165" i="1"/>
  <c r="AC165" i="1"/>
  <c r="AD165" i="1"/>
  <c r="AE165" i="1"/>
  <c r="AM197" i="1"/>
  <c r="K166" i="1"/>
  <c r="M166" i="1"/>
  <c r="N166" i="1" s="1"/>
  <c r="Y166" i="1"/>
  <c r="AA166" i="1" s="1"/>
  <c r="Z166" i="1"/>
  <c r="AB166" i="1"/>
  <c r="AC166" i="1"/>
  <c r="AD166" i="1"/>
  <c r="AE166" i="1"/>
  <c r="AM198" i="1"/>
  <c r="K167" i="1"/>
  <c r="M167" i="1"/>
  <c r="N167" i="1" s="1"/>
  <c r="Y167" i="1"/>
  <c r="Z167" i="1"/>
  <c r="AB167" i="1"/>
  <c r="AC167" i="1"/>
  <c r="AD167" i="1"/>
  <c r="AE167" i="1"/>
  <c r="AM199" i="1"/>
  <c r="K242" i="1"/>
  <c r="M242" i="1"/>
  <c r="N242" i="1" s="1"/>
  <c r="Y242" i="1"/>
  <c r="Z242" i="1"/>
  <c r="AB242" i="1"/>
  <c r="AC242" i="1"/>
  <c r="AD242" i="1"/>
  <c r="AE242" i="1"/>
  <c r="AM201" i="1"/>
  <c r="K168" i="1"/>
  <c r="M168" i="1"/>
  <c r="N168" i="1" s="1"/>
  <c r="Y168" i="1"/>
  <c r="Z168" i="1"/>
  <c r="AA168" i="1"/>
  <c r="AB168" i="1"/>
  <c r="AC168" i="1"/>
  <c r="AD168" i="1"/>
  <c r="AE168" i="1"/>
  <c r="AM202" i="1"/>
  <c r="K169" i="1"/>
  <c r="M169" i="1"/>
  <c r="N169" i="1" s="1"/>
  <c r="Y169" i="1"/>
  <c r="Z169" i="1"/>
  <c r="AB169" i="1"/>
  <c r="AC169" i="1"/>
  <c r="AD169" i="1"/>
  <c r="AE169" i="1"/>
  <c r="AM203" i="1"/>
  <c r="K170" i="1"/>
  <c r="M170" i="1"/>
  <c r="N170" i="1" s="1"/>
  <c r="Y170" i="1"/>
  <c r="AA170" i="1" s="1"/>
  <c r="Z170" i="1"/>
  <c r="AB170" i="1"/>
  <c r="AC170" i="1"/>
  <c r="AD170" i="1"/>
  <c r="AE170" i="1"/>
  <c r="AM205" i="1"/>
  <c r="K171" i="1"/>
  <c r="M171" i="1"/>
  <c r="N171" i="1" s="1"/>
  <c r="Y171" i="1"/>
  <c r="AA171" i="1" s="1"/>
  <c r="Z171" i="1"/>
  <c r="AB171" i="1"/>
  <c r="AC171" i="1"/>
  <c r="AD171" i="1"/>
  <c r="AE171" i="1"/>
  <c r="R31" i="3" s="1"/>
  <c r="AM206" i="1"/>
  <c r="K172" i="1"/>
  <c r="M172" i="1"/>
  <c r="N172" i="1" s="1"/>
  <c r="Y172" i="1"/>
  <c r="Z172" i="1"/>
  <c r="AB172" i="1"/>
  <c r="AC172" i="1"/>
  <c r="AD172" i="1"/>
  <c r="AE172" i="1"/>
  <c r="AM207" i="1"/>
  <c r="K173" i="1"/>
  <c r="M173" i="1"/>
  <c r="N173" i="1" s="1"/>
  <c r="Y173" i="1"/>
  <c r="Z173" i="1"/>
  <c r="AB173" i="1"/>
  <c r="AC173" i="1"/>
  <c r="AD173" i="1"/>
  <c r="AE173" i="1"/>
  <c r="AM208" i="1"/>
  <c r="K174" i="1"/>
  <c r="M174" i="1"/>
  <c r="N174" i="1" s="1"/>
  <c r="Y174" i="1"/>
  <c r="Z174" i="1"/>
  <c r="AB174" i="1"/>
  <c r="AC174" i="1"/>
  <c r="AD174" i="1"/>
  <c r="AE174" i="1"/>
  <c r="AM209" i="1"/>
  <c r="K175" i="1"/>
  <c r="M175" i="1"/>
  <c r="N175" i="1" s="1"/>
  <c r="Y175" i="1"/>
  <c r="Z175" i="1"/>
  <c r="AB175" i="1"/>
  <c r="AC175" i="1"/>
  <c r="AD175" i="1"/>
  <c r="AE175" i="1"/>
  <c r="AM210" i="1"/>
  <c r="K176" i="1"/>
  <c r="M176" i="1"/>
  <c r="N176" i="1" s="1"/>
  <c r="Y176" i="1"/>
  <c r="Z176" i="1"/>
  <c r="AA176" i="1" s="1"/>
  <c r="AB176" i="1"/>
  <c r="AC176" i="1"/>
  <c r="AD176" i="1"/>
  <c r="AE176" i="1"/>
  <c r="AM211" i="1"/>
  <c r="K177" i="1"/>
  <c r="M177" i="1"/>
  <c r="N177" i="1" s="1"/>
  <c r="Y177" i="1"/>
  <c r="Z177" i="1"/>
  <c r="AB177" i="1"/>
  <c r="AC177" i="1"/>
  <c r="AD177" i="1"/>
  <c r="AE177" i="1"/>
  <c r="AM212" i="1"/>
  <c r="K178" i="1"/>
  <c r="M178" i="1"/>
  <c r="N178" i="1" s="1"/>
  <c r="Y178" i="1"/>
  <c r="AA178" i="1" s="1"/>
  <c r="Z178" i="1"/>
  <c r="AB178" i="1"/>
  <c r="AC178" i="1"/>
  <c r="AD178" i="1"/>
  <c r="AE178" i="1"/>
  <c r="AM213" i="1"/>
  <c r="K179" i="1"/>
  <c r="M179" i="1"/>
  <c r="N179" i="1" s="1"/>
  <c r="Y179" i="1"/>
  <c r="Z179" i="1"/>
  <c r="AB179" i="1"/>
  <c r="AC179" i="1"/>
  <c r="AD179" i="1"/>
  <c r="AE179" i="1"/>
  <c r="AM214" i="1"/>
  <c r="K180" i="1"/>
  <c r="M180" i="1"/>
  <c r="N180" i="1" s="1"/>
  <c r="Y180" i="1"/>
  <c r="Z180" i="1"/>
  <c r="AB180" i="1"/>
  <c r="AC180" i="1"/>
  <c r="AD180" i="1"/>
  <c r="AE180" i="1"/>
  <c r="AM215" i="1"/>
  <c r="K181" i="1"/>
  <c r="M181" i="1"/>
  <c r="N181" i="1" s="1"/>
  <c r="Y181" i="1"/>
  <c r="Z181" i="1"/>
  <c r="AB181" i="1"/>
  <c r="AC181" i="1"/>
  <c r="AD181" i="1"/>
  <c r="AE181" i="1"/>
  <c r="AM216" i="1"/>
  <c r="K182" i="1"/>
  <c r="M182" i="1"/>
  <c r="N182" i="1" s="1"/>
  <c r="Y182" i="1"/>
  <c r="Z182" i="1"/>
  <c r="AA182" i="1" s="1"/>
  <c r="AB182" i="1"/>
  <c r="AC182" i="1"/>
  <c r="AD182" i="1"/>
  <c r="AE182" i="1"/>
  <c r="AM217" i="1"/>
  <c r="K183" i="1"/>
  <c r="M183" i="1"/>
  <c r="N183" i="1" s="1"/>
  <c r="Y183" i="1"/>
  <c r="Z183" i="1"/>
  <c r="AB183" i="1"/>
  <c r="AC183" i="1"/>
  <c r="AD183" i="1"/>
  <c r="AE183" i="1"/>
  <c r="AM218" i="1"/>
  <c r="K184" i="1"/>
  <c r="M184" i="1"/>
  <c r="N184" i="1" s="1"/>
  <c r="Y184" i="1"/>
  <c r="Z184" i="1"/>
  <c r="AB184" i="1"/>
  <c r="AC184" i="1"/>
  <c r="AD184" i="1"/>
  <c r="AE184" i="1"/>
  <c r="AM219" i="1"/>
  <c r="K185" i="1"/>
  <c r="M185" i="1"/>
  <c r="N185" i="1" s="1"/>
  <c r="Y185" i="1"/>
  <c r="Z185" i="1"/>
  <c r="AB185" i="1"/>
  <c r="AC185" i="1"/>
  <c r="AD185" i="1"/>
  <c r="AE185" i="1"/>
  <c r="AM220" i="1"/>
  <c r="K186" i="1"/>
  <c r="M186" i="1"/>
  <c r="N186" i="1" s="1"/>
  <c r="Y186" i="1"/>
  <c r="Z186" i="1"/>
  <c r="AB186" i="1"/>
  <c r="AC186" i="1"/>
  <c r="AD186" i="1"/>
  <c r="AE186" i="1"/>
  <c r="AM221" i="1"/>
  <c r="K187" i="1"/>
  <c r="M187" i="1"/>
  <c r="N187" i="1" s="1"/>
  <c r="Y187" i="1"/>
  <c r="Z187" i="1"/>
  <c r="AB187" i="1"/>
  <c r="AC187" i="1"/>
  <c r="AD187" i="1"/>
  <c r="AE187" i="1"/>
  <c r="AM222" i="1"/>
  <c r="K189" i="1"/>
  <c r="M189" i="1"/>
  <c r="N189" i="1" s="1"/>
  <c r="Y189" i="1"/>
  <c r="Z189" i="1"/>
  <c r="AB189" i="1"/>
  <c r="AC189" i="1"/>
  <c r="AD189" i="1"/>
  <c r="X189" i="1" s="1"/>
  <c r="AE189" i="1"/>
  <c r="AM223" i="1"/>
  <c r="K190" i="1"/>
  <c r="M190" i="1"/>
  <c r="N190" i="1" s="1"/>
  <c r="Y190" i="1"/>
  <c r="Z190" i="1"/>
  <c r="AB190" i="1"/>
  <c r="AC190" i="1"/>
  <c r="AD190" i="1"/>
  <c r="AE190" i="1"/>
  <c r="AM224" i="1"/>
  <c r="K191" i="1"/>
  <c r="M191" i="1"/>
  <c r="N191" i="1" s="1"/>
  <c r="Y191" i="1"/>
  <c r="Z191" i="1"/>
  <c r="AA191" i="1" s="1"/>
  <c r="AB191" i="1"/>
  <c r="AC191" i="1"/>
  <c r="AD191" i="1"/>
  <c r="AE191" i="1"/>
  <c r="AM225" i="1"/>
  <c r="K192" i="1"/>
  <c r="M192" i="1"/>
  <c r="P192" i="1" s="1"/>
  <c r="Y192" i="1"/>
  <c r="Z192" i="1"/>
  <c r="AB192" i="1"/>
  <c r="AC192" i="1"/>
  <c r="AD192" i="1"/>
  <c r="AE192" i="1"/>
  <c r="AM226" i="1"/>
  <c r="K193" i="1"/>
  <c r="M193" i="1"/>
  <c r="P193" i="1" s="1"/>
  <c r="Y193" i="1"/>
  <c r="Z193" i="1"/>
  <c r="AB193" i="1"/>
  <c r="AC193" i="1"/>
  <c r="AD193" i="1"/>
  <c r="X194" i="1" s="1"/>
  <c r="AE193" i="1"/>
  <c r="AM227" i="1"/>
  <c r="AM228" i="1"/>
  <c r="K197" i="1"/>
  <c r="M197" i="1"/>
  <c r="N197" i="1" s="1"/>
  <c r="Y197" i="1"/>
  <c r="Z197" i="1"/>
  <c r="AB197" i="1"/>
  <c r="AC197" i="1"/>
  <c r="AD197" i="1"/>
  <c r="X197" i="1" s="1"/>
  <c r="AE197" i="1"/>
  <c r="AM229" i="1"/>
  <c r="K198" i="1"/>
  <c r="M198" i="1"/>
  <c r="N198" i="1" s="1"/>
  <c r="Y198" i="1"/>
  <c r="Z198" i="1"/>
  <c r="AB198" i="1"/>
  <c r="AC198" i="1"/>
  <c r="AD198" i="1"/>
  <c r="AE198" i="1"/>
  <c r="R30" i="3" s="1"/>
  <c r="AM230" i="1"/>
  <c r="K199" i="1"/>
  <c r="M199" i="1"/>
  <c r="N199" i="1" s="1"/>
  <c r="Y199" i="1"/>
  <c r="Z199" i="1"/>
  <c r="AB199" i="1"/>
  <c r="AC199" i="1"/>
  <c r="AD199" i="1"/>
  <c r="X200" i="1" s="1"/>
  <c r="AE199" i="1"/>
  <c r="R28" i="3" s="1"/>
  <c r="AM231" i="1"/>
  <c r="K201" i="1"/>
  <c r="M201" i="1"/>
  <c r="N201" i="1" s="1"/>
  <c r="Y201" i="1"/>
  <c r="Z201" i="1"/>
  <c r="AB201" i="1"/>
  <c r="AC201" i="1"/>
  <c r="AD201" i="1"/>
  <c r="X201" i="1" s="1"/>
  <c r="AE201" i="1"/>
  <c r="R32" i="3" s="1"/>
  <c r="AM232" i="1"/>
  <c r="K202" i="1"/>
  <c r="M202" i="1"/>
  <c r="N202" i="1" s="1"/>
  <c r="Y202" i="1"/>
  <c r="Z202" i="1"/>
  <c r="AB202" i="1"/>
  <c r="AC202" i="1"/>
  <c r="AD202" i="1"/>
  <c r="AE202" i="1"/>
  <c r="AM233" i="1"/>
  <c r="K203" i="1"/>
  <c r="M203" i="1"/>
  <c r="N203" i="1" s="1"/>
  <c r="Y203" i="1"/>
  <c r="Z203" i="1"/>
  <c r="AB203" i="1"/>
  <c r="AC203" i="1"/>
  <c r="AD203" i="1"/>
  <c r="X204" i="1" s="1"/>
  <c r="AE203" i="1"/>
  <c r="AM234" i="1"/>
  <c r="K205" i="1"/>
  <c r="M205" i="1"/>
  <c r="N205" i="1" s="1"/>
  <c r="Y205" i="1"/>
  <c r="AA205" i="1" s="1"/>
  <c r="Z205" i="1"/>
  <c r="AB205" i="1"/>
  <c r="AC205" i="1"/>
  <c r="AD205" i="1"/>
  <c r="X205" i="1" s="1"/>
  <c r="AE205" i="1"/>
  <c r="AM235" i="1"/>
  <c r="K206" i="1"/>
  <c r="M206" i="1"/>
  <c r="N206" i="1" s="1"/>
  <c r="Y206" i="1"/>
  <c r="Z206" i="1"/>
  <c r="AB206" i="1"/>
  <c r="AC206" i="1"/>
  <c r="AD206" i="1"/>
  <c r="AE206" i="1"/>
  <c r="AM236" i="1"/>
  <c r="K219" i="1"/>
  <c r="M219" i="1"/>
  <c r="N219" i="1" s="1"/>
  <c r="Y219" i="1"/>
  <c r="AA219" i="1" s="1"/>
  <c r="Z219" i="1"/>
  <c r="AB219" i="1"/>
  <c r="AC219" i="1"/>
  <c r="AD219" i="1"/>
  <c r="AE219" i="1"/>
  <c r="AM237" i="1"/>
  <c r="K220" i="1"/>
  <c r="M220" i="1"/>
  <c r="N220" i="1" s="1"/>
  <c r="Y220" i="1"/>
  <c r="Z220" i="1"/>
  <c r="AB220" i="1"/>
  <c r="AC220" i="1"/>
  <c r="AD220" i="1"/>
  <c r="AE220" i="1"/>
  <c r="AM238" i="1"/>
  <c r="K221" i="1"/>
  <c r="M221" i="1"/>
  <c r="N221" i="1" s="1"/>
  <c r="Y221" i="1"/>
  <c r="Z221" i="1"/>
  <c r="AA221" i="1" s="1"/>
  <c r="AB221" i="1"/>
  <c r="AC221" i="1"/>
  <c r="AD221" i="1"/>
  <c r="AE221" i="1"/>
  <c r="AM239" i="1"/>
  <c r="K222" i="1"/>
  <c r="M222" i="1"/>
  <c r="N222" i="1" s="1"/>
  <c r="Y222" i="1"/>
  <c r="Z222" i="1"/>
  <c r="AB222" i="1"/>
  <c r="AC222" i="1"/>
  <c r="AD222" i="1"/>
  <c r="AE222" i="1"/>
  <c r="AM240" i="1"/>
  <c r="K223" i="1"/>
  <c r="M223" i="1"/>
  <c r="N223" i="1" s="1"/>
  <c r="Y223" i="1"/>
  <c r="AA223" i="1" s="1"/>
  <c r="Z223" i="1"/>
  <c r="AB223" i="1"/>
  <c r="AC223" i="1"/>
  <c r="AD223" i="1"/>
  <c r="AE223" i="1"/>
  <c r="AM241" i="1"/>
  <c r="K224" i="1"/>
  <c r="M224" i="1"/>
  <c r="N224" i="1" s="1"/>
  <c r="Y224" i="1"/>
  <c r="Z224" i="1"/>
  <c r="AB224" i="1"/>
  <c r="AC224" i="1"/>
  <c r="AD224" i="1"/>
  <c r="AE224" i="1"/>
  <c r="AM242" i="1"/>
  <c r="M25" i="3"/>
  <c r="U25" i="3"/>
  <c r="X25" i="3"/>
  <c r="M31" i="3"/>
  <c r="U31" i="3"/>
  <c r="X31" i="3"/>
  <c r="M26" i="3"/>
  <c r="U26" i="3"/>
  <c r="X26" i="3"/>
  <c r="M10" i="3"/>
  <c r="U10" i="3"/>
  <c r="X10" i="3"/>
  <c r="M7" i="3"/>
  <c r="U7" i="3"/>
  <c r="X7" i="3"/>
  <c r="M34" i="3"/>
  <c r="U34" i="3"/>
  <c r="X34" i="3"/>
  <c r="M8" i="3"/>
  <c r="U8" i="3"/>
  <c r="X8" i="3"/>
  <c r="M20" i="3"/>
  <c r="U20" i="3"/>
  <c r="X20" i="3"/>
  <c r="M22" i="3"/>
  <c r="R22" i="3"/>
  <c r="U22" i="3"/>
  <c r="X22" i="3"/>
  <c r="M16" i="3"/>
  <c r="U16" i="3"/>
  <c r="X16" i="3"/>
  <c r="M12" i="3"/>
  <c r="U12" i="3"/>
  <c r="X12" i="3"/>
  <c r="M23" i="3"/>
  <c r="U23" i="3"/>
  <c r="X23" i="3"/>
  <c r="M15" i="3"/>
  <c r="U15" i="3"/>
  <c r="X15" i="3"/>
  <c r="M17" i="3"/>
  <c r="U17" i="3"/>
  <c r="X17" i="3"/>
  <c r="M19" i="3"/>
  <c r="U19" i="3"/>
  <c r="X19" i="3"/>
  <c r="M13" i="3"/>
  <c r="U13" i="3"/>
  <c r="X13" i="3"/>
  <c r="M14" i="3"/>
  <c r="U14" i="3"/>
  <c r="X14" i="3"/>
  <c r="M29" i="3"/>
  <c r="R29" i="3"/>
  <c r="U29" i="3"/>
  <c r="X29" i="3"/>
  <c r="M28" i="3"/>
  <c r="U28" i="3"/>
  <c r="X28" i="3"/>
  <c r="M30" i="3"/>
  <c r="U30" i="3"/>
  <c r="X30" i="3"/>
  <c r="M32" i="3"/>
  <c r="U32" i="3"/>
  <c r="X32" i="3"/>
  <c r="M27" i="3"/>
  <c r="U27" i="3"/>
  <c r="X27" i="3"/>
  <c r="M18" i="3"/>
  <c r="U18" i="3"/>
  <c r="X18" i="3"/>
  <c r="M24" i="3"/>
  <c r="U24" i="3"/>
  <c r="X24" i="3"/>
  <c r="M9" i="3"/>
  <c r="U9" i="3"/>
  <c r="X9" i="3"/>
  <c r="M21" i="3"/>
  <c r="R21" i="3"/>
  <c r="U21" i="3"/>
  <c r="X21" i="3"/>
  <c r="M33" i="3"/>
  <c r="U33" i="3"/>
  <c r="X33" i="3"/>
  <c r="AG188" i="1"/>
  <c r="AG118" i="1"/>
  <c r="AG27" i="1"/>
  <c r="AG42" i="1"/>
  <c r="AG58" i="1"/>
  <c r="AG81" i="1"/>
  <c r="AG102" i="1"/>
  <c r="AG119" i="1"/>
  <c r="AG135" i="1"/>
  <c r="AG152" i="1"/>
  <c r="AG86" i="1"/>
  <c r="AG88" i="1"/>
  <c r="AG160" i="1"/>
  <c r="AG167" i="1"/>
  <c r="AG162" i="1"/>
  <c r="AG16" i="1"/>
  <c r="AG155" i="1"/>
  <c r="AG17" i="1"/>
  <c r="AG68" i="1"/>
  <c r="AG124" i="1"/>
  <c r="AG238" i="1"/>
  <c r="AG191" i="1"/>
  <c r="AG26" i="1"/>
  <c r="AG53" i="1"/>
  <c r="AG83" i="1"/>
  <c r="AG108" i="1"/>
  <c r="AG130" i="1"/>
  <c r="AG153" i="1"/>
  <c r="AG231" i="1"/>
  <c r="AG186" i="1"/>
  <c r="AG168" i="1"/>
  <c r="AG224" i="1"/>
  <c r="AG34" i="1"/>
  <c r="AG55" i="1"/>
  <c r="AG85" i="1"/>
  <c r="AG109" i="1"/>
  <c r="AG132" i="1"/>
  <c r="AG154" i="1"/>
  <c r="AG232" i="1"/>
  <c r="AG193" i="1"/>
  <c r="AG180" i="1"/>
  <c r="AG192" i="1"/>
  <c r="AG179" i="1"/>
  <c r="AG22" i="1"/>
  <c r="AG45" i="1"/>
  <c r="AG67" i="1"/>
  <c r="AG100" i="1"/>
  <c r="AG122" i="1"/>
  <c r="AG145" i="1"/>
  <c r="AG236" i="1"/>
  <c r="AG203" i="1"/>
  <c r="AG25" i="1"/>
  <c r="AG63" i="1"/>
  <c r="AG117" i="1"/>
  <c r="AG213" i="1"/>
  <c r="AG220" i="1"/>
  <c r="W17" i="3"/>
  <c r="W24" i="3"/>
  <c r="W12" i="3"/>
  <c r="W32" i="3"/>
  <c r="W18" i="3"/>
  <c r="W16" i="3"/>
  <c r="W30" i="3"/>
  <c r="AG156" i="1"/>
  <c r="AG15" i="1"/>
  <c r="AG31" i="1"/>
  <c r="AG46" i="1"/>
  <c r="AG62" i="1"/>
  <c r="AG89" i="1"/>
  <c r="AG106" i="1"/>
  <c r="AG123" i="1"/>
  <c r="AG139" i="1"/>
  <c r="AG207" i="1"/>
  <c r="AG227" i="1"/>
  <c r="AG230" i="1"/>
  <c r="AG183" i="1"/>
  <c r="AG174" i="1"/>
  <c r="AG185" i="1"/>
  <c r="AG20" i="1"/>
  <c r="AG177" i="1"/>
  <c r="AG32" i="1"/>
  <c r="AG91" i="1"/>
  <c r="AG134" i="1"/>
  <c r="AG233" i="1"/>
  <c r="AG206" i="1"/>
  <c r="AG33" i="1"/>
  <c r="AG59" i="1"/>
  <c r="AG93" i="1"/>
  <c r="AG113" i="1"/>
  <c r="AG136" i="1"/>
  <c r="AG209" i="1"/>
  <c r="AG240" i="1"/>
  <c r="AG166" i="1"/>
  <c r="AG178" i="1"/>
  <c r="AG175" i="1"/>
  <c r="AG39" i="1"/>
  <c r="AG60" i="1"/>
  <c r="AG95" i="1"/>
  <c r="AG115" i="1"/>
  <c r="AG137" i="1"/>
  <c r="AG210" i="1"/>
  <c r="AG84" i="1"/>
  <c r="AG171" i="1"/>
  <c r="AG202" i="1"/>
  <c r="AG150" i="1"/>
  <c r="AG146" i="1"/>
  <c r="AG30" i="1"/>
  <c r="AG51" i="1"/>
  <c r="AG76" i="1"/>
  <c r="AG105" i="1"/>
  <c r="AG128" i="1"/>
  <c r="AG212" i="1"/>
  <c r="AG92" i="1"/>
  <c r="AG163" i="1"/>
  <c r="AG37" i="1"/>
  <c r="AG79" i="1"/>
  <c r="AG129" i="1"/>
  <c r="AG229" i="1"/>
  <c r="AG176" i="1"/>
  <c r="W26" i="3"/>
  <c r="W15" i="3"/>
  <c r="W33" i="3"/>
  <c r="W31" i="3"/>
  <c r="W23" i="3"/>
  <c r="W21" i="3"/>
  <c r="W22" i="3"/>
  <c r="AG140" i="1"/>
  <c r="AG38" i="1"/>
  <c r="AG54" i="1"/>
  <c r="AG71" i="1"/>
  <c r="AG131" i="1"/>
  <c r="AG215" i="1"/>
  <c r="AG189" i="1"/>
  <c r="AG199" i="1"/>
  <c r="AG28" i="1"/>
  <c r="AG52" i="1"/>
  <c r="AG78" i="1"/>
  <c r="AG18" i="1"/>
  <c r="AG69" i="1"/>
  <c r="AG125" i="1"/>
  <c r="AG94" i="1"/>
  <c r="AG90" i="1"/>
  <c r="AG29" i="1"/>
  <c r="AG72" i="1"/>
  <c r="AG126" i="1"/>
  <c r="AG218" i="1"/>
  <c r="AG170" i="1"/>
  <c r="AG172" i="1"/>
  <c r="AG40" i="1"/>
  <c r="AG99" i="1"/>
  <c r="AG138" i="1"/>
  <c r="AG205" i="1"/>
  <c r="AG57" i="1"/>
  <c r="AG151" i="1"/>
  <c r="AG169" i="1"/>
  <c r="W27" i="3"/>
  <c r="W8" i="3"/>
  <c r="W10" i="3"/>
  <c r="AG157" i="1"/>
  <c r="AG19" i="1"/>
  <c r="AG35" i="1"/>
  <c r="AG50" i="1"/>
  <c r="AG66" i="1"/>
  <c r="AG97" i="1"/>
  <c r="AG110" i="1"/>
  <c r="AG127" i="1"/>
  <c r="AG144" i="1"/>
  <c r="AG211" i="1"/>
  <c r="AG234" i="1"/>
  <c r="AG239" i="1"/>
  <c r="AG198" i="1"/>
  <c r="AG182" i="1"/>
  <c r="AG159" i="1"/>
  <c r="AG24" i="1"/>
  <c r="AG184" i="1"/>
  <c r="AG41" i="1"/>
  <c r="AG101" i="1"/>
  <c r="AG208" i="1"/>
  <c r="AG219" i="1"/>
  <c r="AG222" i="1"/>
  <c r="AG43" i="1"/>
  <c r="AG64" i="1"/>
  <c r="AG77" i="1"/>
  <c r="AG120" i="1"/>
  <c r="AG142" i="1"/>
  <c r="AG214" i="1"/>
  <c r="AG96" i="1"/>
  <c r="AG190" i="1"/>
  <c r="AG197" i="1"/>
  <c r="AG21" i="1"/>
  <c r="AG44" i="1"/>
  <c r="AG65" i="1"/>
  <c r="AG75" i="1"/>
  <c r="AG121" i="1"/>
  <c r="AG143" i="1"/>
  <c r="AG216" i="1"/>
  <c r="AG226" i="1"/>
  <c r="AG161" i="1"/>
  <c r="AG173" i="1"/>
  <c r="AG241" i="1"/>
  <c r="AG165" i="1"/>
  <c r="AG36" i="1"/>
  <c r="AG56" i="1"/>
  <c r="AG87" i="1"/>
  <c r="AG111" i="1"/>
  <c r="AG133" i="1"/>
  <c r="AG217" i="1"/>
  <c r="AG228" i="1"/>
  <c r="AG221" i="1"/>
  <c r="AG47" i="1"/>
  <c r="AG73" i="1"/>
  <c r="AG141" i="1"/>
  <c r="AG80" i="1"/>
  <c r="AG223" i="1"/>
  <c r="W28" i="3"/>
  <c r="W34" i="3"/>
  <c r="W13" i="3"/>
  <c r="W29" i="3"/>
  <c r="W25" i="3"/>
  <c r="W19" i="3"/>
  <c r="W9" i="3"/>
  <c r="AG23" i="1"/>
  <c r="AG70" i="1"/>
  <c r="AG114" i="1"/>
  <c r="AG148" i="1"/>
  <c r="AG74" i="1"/>
  <c r="AG158" i="1"/>
  <c r="AG181" i="1"/>
  <c r="AG164" i="1"/>
  <c r="AG112" i="1"/>
  <c r="AG187" i="1"/>
  <c r="AG48" i="1"/>
  <c r="AG103" i="1"/>
  <c r="AG147" i="1"/>
  <c r="AG235" i="1"/>
  <c r="AG242" i="1"/>
  <c r="AG49" i="1"/>
  <c r="AG104" i="1"/>
  <c r="AG149" i="1"/>
  <c r="AG237" i="1"/>
  <c r="AG82" i="1"/>
  <c r="AG14" i="1"/>
  <c r="AG61" i="1"/>
  <c r="AG116" i="1"/>
  <c r="AG225" i="1"/>
  <c r="AG201" i="1"/>
  <c r="AG107" i="1"/>
  <c r="AG98" i="1"/>
  <c r="W20" i="3"/>
  <c r="W7" i="3"/>
  <c r="W14" i="3"/>
  <c r="AA201" i="1" l="1"/>
  <c r="AA197" i="1"/>
  <c r="AA199" i="1"/>
  <c r="X217" i="1"/>
  <c r="AA184" i="1"/>
  <c r="X214" i="1"/>
  <c r="AA155" i="1"/>
  <c r="AA151" i="1"/>
  <c r="AA146" i="1"/>
  <c r="T141" i="1"/>
  <c r="X141" i="1"/>
  <c r="AA132" i="1"/>
  <c r="AA213" i="1"/>
  <c r="AA209" i="1"/>
  <c r="AA153" i="1"/>
  <c r="AA148" i="1"/>
  <c r="AA139" i="1"/>
  <c r="X134" i="1"/>
  <c r="T119" i="1"/>
  <c r="X119" i="1"/>
  <c r="AA101" i="1"/>
  <c r="AA100" i="1"/>
  <c r="AA97" i="1"/>
  <c r="AA89" i="1"/>
  <c r="AA72" i="1"/>
  <c r="X103" i="1"/>
  <c r="AA41" i="1"/>
  <c r="AA38" i="1"/>
  <c r="AA45" i="1"/>
  <c r="R7" i="3"/>
  <c r="U188" i="1"/>
  <c r="S188" i="1" s="1"/>
  <c r="AI188" i="1"/>
  <c r="W188" i="1"/>
  <c r="X188" i="1"/>
  <c r="AA157" i="1"/>
  <c r="W157" i="1" s="1"/>
  <c r="AI157" i="1"/>
  <c r="U157" i="1"/>
  <c r="S157" i="1" s="1"/>
  <c r="AI156" i="1"/>
  <c r="U156" i="1"/>
  <c r="S156" i="1" s="1"/>
  <c r="W156" i="1"/>
  <c r="X157" i="1"/>
  <c r="X156" i="1"/>
  <c r="U140" i="1"/>
  <c r="S140" i="1" s="1"/>
  <c r="AI140" i="1"/>
  <c r="W140" i="1"/>
  <c r="X140" i="1"/>
  <c r="R16" i="3"/>
  <c r="U118" i="1"/>
  <c r="S118" i="1" s="1"/>
  <c r="AI118" i="1"/>
  <c r="W118" i="1"/>
  <c r="X118" i="1"/>
  <c r="AA186" i="1"/>
  <c r="AA138" i="1"/>
  <c r="X136" i="1"/>
  <c r="AA135" i="1"/>
  <c r="AA128" i="1"/>
  <c r="AA85" i="1"/>
  <c r="W85" i="1" s="1"/>
  <c r="AA46" i="1"/>
  <c r="AA35" i="1"/>
  <c r="AA193" i="1"/>
  <c r="AA187" i="1"/>
  <c r="AA174" i="1"/>
  <c r="AA161" i="1"/>
  <c r="AA241" i="1"/>
  <c r="AA237" i="1"/>
  <c r="AA233" i="1"/>
  <c r="W233" i="1" s="1"/>
  <c r="AA229" i="1"/>
  <c r="AA225" i="1"/>
  <c r="AA214" i="1"/>
  <c r="X208" i="1"/>
  <c r="AA150" i="1"/>
  <c r="AA141" i="1"/>
  <c r="AA130" i="1"/>
  <c r="AA124" i="1"/>
  <c r="W124" i="1" s="1"/>
  <c r="AA87" i="1"/>
  <c r="AA83" i="1"/>
  <c r="AA62" i="1"/>
  <c r="X61" i="1"/>
  <c r="X58" i="1"/>
  <c r="AA53" i="1"/>
  <c r="AA42" i="1"/>
  <c r="AA181" i="1"/>
  <c r="W181" i="1" s="1"/>
  <c r="AA202" i="1"/>
  <c r="AA180" i="1"/>
  <c r="AA167" i="1"/>
  <c r="W167" i="1" s="1"/>
  <c r="AA158" i="1"/>
  <c r="AA238" i="1"/>
  <c r="AA234" i="1"/>
  <c r="AA230" i="1"/>
  <c r="W230" i="1" s="1"/>
  <c r="AA226" i="1"/>
  <c r="AA215" i="1"/>
  <c r="AA210" i="1"/>
  <c r="X209" i="1"/>
  <c r="AA152" i="1"/>
  <c r="T145" i="1"/>
  <c r="AA137" i="1"/>
  <c r="AA136" i="1"/>
  <c r="W136" i="1" s="1"/>
  <c r="AA104" i="1"/>
  <c r="AA79" i="1"/>
  <c r="AA71" i="1"/>
  <c r="AA63" i="1"/>
  <c r="AA49" i="1"/>
  <c r="R14" i="3"/>
  <c r="AA220" i="1"/>
  <c r="AA198" i="1"/>
  <c r="W198" i="1" s="1"/>
  <c r="AA179" i="1"/>
  <c r="AA173" i="1"/>
  <c r="AA164" i="1"/>
  <c r="X218" i="1"/>
  <c r="X210" i="1"/>
  <c r="X147" i="1"/>
  <c r="AA240" i="1"/>
  <c r="AA236" i="1"/>
  <c r="W236" i="1" s="1"/>
  <c r="AA232" i="1"/>
  <c r="AA228" i="1"/>
  <c r="AA211" i="1"/>
  <c r="T155" i="1"/>
  <c r="U155" i="1" s="1"/>
  <c r="S155" i="1" s="1"/>
  <c r="X151" i="1"/>
  <c r="AA144" i="1"/>
  <c r="AA134" i="1"/>
  <c r="W134" i="1" s="1"/>
  <c r="AA133" i="1"/>
  <c r="X132" i="1"/>
  <c r="AA131" i="1"/>
  <c r="AA120" i="1"/>
  <c r="W120" i="1" s="1"/>
  <c r="X102" i="1"/>
  <c r="AA94" i="1"/>
  <c r="AA86" i="1"/>
  <c r="AA77" i="1"/>
  <c r="W77" i="1" s="1"/>
  <c r="AA64" i="1"/>
  <c r="AA55" i="1"/>
  <c r="AA51" i="1"/>
  <c r="AA47" i="1"/>
  <c r="W47" i="1" s="1"/>
  <c r="AA43" i="1"/>
  <c r="AA39" i="1"/>
  <c r="AA36" i="1"/>
  <c r="X225" i="1"/>
  <c r="X148" i="1"/>
  <c r="X114" i="1"/>
  <c r="AA103" i="1"/>
  <c r="AA102" i="1"/>
  <c r="W102" i="1" s="1"/>
  <c r="AA76" i="1"/>
  <c r="AA70" i="1"/>
  <c r="AA61" i="1"/>
  <c r="AA190" i="1"/>
  <c r="W190" i="1" s="1"/>
  <c r="AA222" i="1"/>
  <c r="T225" i="1"/>
  <c r="AA216" i="1"/>
  <c r="X152" i="1"/>
  <c r="T152" i="1"/>
  <c r="X137" i="1"/>
  <c r="T137" i="1"/>
  <c r="AA189" i="1"/>
  <c r="W189" i="1" s="1"/>
  <c r="AA172" i="1"/>
  <c r="T214" i="1"/>
  <c r="AA208" i="1"/>
  <c r="X138" i="1"/>
  <c r="X143" i="1"/>
  <c r="T143" i="1"/>
  <c r="X211" i="1"/>
  <c r="T211" i="1"/>
  <c r="U211" i="1" s="1"/>
  <c r="S211" i="1" s="1"/>
  <c r="X139" i="1"/>
  <c r="T139" i="1"/>
  <c r="T124" i="1"/>
  <c r="X124" i="1"/>
  <c r="X110" i="1"/>
  <c r="T110" i="1"/>
  <c r="U110" i="1" s="1"/>
  <c r="S110" i="1" s="1"/>
  <c r="X111" i="1"/>
  <c r="AA224" i="1"/>
  <c r="AA203" i="1"/>
  <c r="AA206" i="1"/>
  <c r="W206" i="1" s="1"/>
  <c r="AA185" i="1"/>
  <c r="AA177" i="1"/>
  <c r="AA169" i="1"/>
  <c r="W169" i="1" s="1"/>
  <c r="AA162" i="1"/>
  <c r="X215" i="1"/>
  <c r="X207" i="1"/>
  <c r="T148" i="1"/>
  <c r="U148" i="1" s="1"/>
  <c r="S148" i="1" s="1"/>
  <c r="X142" i="1"/>
  <c r="T142" i="1"/>
  <c r="X131" i="1"/>
  <c r="T131" i="1"/>
  <c r="U131" i="1" s="1"/>
  <c r="S131" i="1" s="1"/>
  <c r="X129" i="1"/>
  <c r="X130" i="1"/>
  <c r="T129" i="1"/>
  <c r="T116" i="1"/>
  <c r="U116" i="1" s="1"/>
  <c r="S116" i="1" s="1"/>
  <c r="X116" i="1"/>
  <c r="X106" i="1"/>
  <c r="T106" i="1"/>
  <c r="X107" i="1"/>
  <c r="X213" i="1"/>
  <c r="X212" i="1"/>
  <c r="X154" i="1"/>
  <c r="X153" i="1"/>
  <c r="X149" i="1"/>
  <c r="X146" i="1"/>
  <c r="T134" i="1"/>
  <c r="T121" i="1"/>
  <c r="U121" i="1" s="1"/>
  <c r="S121" i="1" s="1"/>
  <c r="X121" i="1"/>
  <c r="X108" i="1"/>
  <c r="T108" i="1"/>
  <c r="X109" i="1"/>
  <c r="AA75" i="1"/>
  <c r="AA56" i="1"/>
  <c r="AA52" i="1"/>
  <c r="AA48" i="1"/>
  <c r="W48" i="1" s="1"/>
  <c r="AA44" i="1"/>
  <c r="AA40" i="1"/>
  <c r="AA37" i="1"/>
  <c r="AA33" i="1"/>
  <c r="W33" i="1" s="1"/>
  <c r="AA192" i="1"/>
  <c r="AA183" i="1"/>
  <c r="AA175" i="1"/>
  <c r="AA242" i="1"/>
  <c r="W242" i="1" s="1"/>
  <c r="AA160" i="1"/>
  <c r="X150" i="1"/>
  <c r="T150" i="1"/>
  <c r="X127" i="1"/>
  <c r="X128" i="1"/>
  <c r="T127" i="1"/>
  <c r="X112" i="1"/>
  <c r="T112" i="1"/>
  <c r="U112" i="1" s="1"/>
  <c r="S112" i="1" s="1"/>
  <c r="X105" i="1"/>
  <c r="X104" i="1"/>
  <c r="T66" i="1"/>
  <c r="X66" i="1"/>
  <c r="X133" i="1"/>
  <c r="AA125" i="1"/>
  <c r="X123" i="1"/>
  <c r="AA122" i="1"/>
  <c r="W122" i="1" s="1"/>
  <c r="AA117" i="1"/>
  <c r="AA113" i="1"/>
  <c r="AA73" i="1"/>
  <c r="AA59" i="1"/>
  <c r="X57" i="1"/>
  <c r="AA129" i="1"/>
  <c r="AA127" i="1"/>
  <c r="X125" i="1"/>
  <c r="X122" i="1"/>
  <c r="AA121" i="1"/>
  <c r="X117" i="1"/>
  <c r="AA116" i="1"/>
  <c r="W116" i="1" s="1"/>
  <c r="X113" i="1"/>
  <c r="AA112" i="1"/>
  <c r="AA110" i="1"/>
  <c r="AA108" i="1"/>
  <c r="W108" i="1" s="1"/>
  <c r="AA106" i="1"/>
  <c r="T103" i="1"/>
  <c r="X71" i="1"/>
  <c r="AA69" i="1"/>
  <c r="W69" i="1" s="1"/>
  <c r="AA68" i="1"/>
  <c r="AA67" i="1"/>
  <c r="AA66" i="1"/>
  <c r="X62" i="1"/>
  <c r="AA32" i="1"/>
  <c r="AA31" i="1"/>
  <c r="AA30" i="1"/>
  <c r="AA29" i="1"/>
  <c r="W29" i="1" s="1"/>
  <c r="AA28" i="1"/>
  <c r="AA27" i="1"/>
  <c r="AA26" i="1"/>
  <c r="AA25" i="1"/>
  <c r="W25" i="1" s="1"/>
  <c r="AA24" i="1"/>
  <c r="AA23" i="1"/>
  <c r="AA22" i="1"/>
  <c r="AA21" i="1"/>
  <c r="W21" i="1" s="1"/>
  <c r="AA20" i="1"/>
  <c r="AA19" i="1"/>
  <c r="AA18" i="1"/>
  <c r="AA17" i="1"/>
  <c r="W17" i="1" s="1"/>
  <c r="AA16" i="1"/>
  <c r="AA15" i="1"/>
  <c r="AA14" i="1"/>
  <c r="X144" i="1"/>
  <c r="X135" i="1"/>
  <c r="T133" i="1"/>
  <c r="T125" i="1"/>
  <c r="AA123" i="1"/>
  <c r="T122" i="1"/>
  <c r="X120" i="1"/>
  <c r="AA119" i="1"/>
  <c r="T117" i="1"/>
  <c r="U117" i="1" s="1"/>
  <c r="S117" i="1" s="1"/>
  <c r="X115" i="1"/>
  <c r="AA114" i="1"/>
  <c r="T113" i="1"/>
  <c r="AA111" i="1"/>
  <c r="W111" i="1" s="1"/>
  <c r="AA109" i="1"/>
  <c r="AA107" i="1"/>
  <c r="AA105" i="1"/>
  <c r="X100" i="1"/>
  <c r="AA78" i="1"/>
  <c r="AI240" i="1"/>
  <c r="AI232" i="1"/>
  <c r="AI226" i="1"/>
  <c r="AI216" i="1"/>
  <c r="AI210" i="1"/>
  <c r="AI203" i="1"/>
  <c r="AI189" i="1"/>
  <c r="U159" i="1"/>
  <c r="S159" i="1" s="1"/>
  <c r="W159" i="1"/>
  <c r="AI82" i="1"/>
  <c r="AI242" i="1"/>
  <c r="AI236" i="1"/>
  <c r="AI220" i="1"/>
  <c r="AI214" i="1"/>
  <c r="AI208" i="1"/>
  <c r="AI201" i="1"/>
  <c r="AI192" i="1"/>
  <c r="AI241" i="1"/>
  <c r="AI239" i="1"/>
  <c r="AI233" i="1"/>
  <c r="AI231" i="1"/>
  <c r="AI229" i="1"/>
  <c r="AI225" i="1"/>
  <c r="AI219" i="1"/>
  <c r="AI217" i="1"/>
  <c r="AI215" i="1"/>
  <c r="AI213" i="1"/>
  <c r="AI211" i="1"/>
  <c r="AI209" i="1"/>
  <c r="AI207" i="1"/>
  <c r="AI205" i="1"/>
  <c r="AI202" i="1"/>
  <c r="AI199" i="1"/>
  <c r="AI197" i="1"/>
  <c r="AI193" i="1"/>
  <c r="AI191" i="1"/>
  <c r="U158" i="1"/>
  <c r="S158" i="1" s="1"/>
  <c r="AI187" i="1"/>
  <c r="AI90" i="1"/>
  <c r="AI238" i="1"/>
  <c r="AI234" i="1"/>
  <c r="AI230" i="1"/>
  <c r="AI228" i="1"/>
  <c r="AI224" i="1"/>
  <c r="AI222" i="1"/>
  <c r="AI218" i="1"/>
  <c r="AI212" i="1"/>
  <c r="AI206" i="1"/>
  <c r="AI198" i="1"/>
  <c r="U160" i="1"/>
  <c r="S160" i="1" s="1"/>
  <c r="AI190" i="1"/>
  <c r="AI237" i="1"/>
  <c r="AI235" i="1"/>
  <c r="AI227" i="1"/>
  <c r="AI223" i="1"/>
  <c r="AI221" i="1"/>
  <c r="AI98" i="1"/>
  <c r="U241" i="1"/>
  <c r="S241" i="1" s="1"/>
  <c r="W241" i="1"/>
  <c r="AI186" i="1"/>
  <c r="U239" i="1"/>
  <c r="S239" i="1" s="1"/>
  <c r="AI184" i="1"/>
  <c r="W239" i="1"/>
  <c r="U237" i="1"/>
  <c r="S237" i="1" s="1"/>
  <c r="W237" i="1"/>
  <c r="AI182" i="1"/>
  <c r="U235" i="1"/>
  <c r="S235" i="1" s="1"/>
  <c r="AI180" i="1"/>
  <c r="W235" i="1"/>
  <c r="U233" i="1"/>
  <c r="S233" i="1" s="1"/>
  <c r="AI178" i="1"/>
  <c r="U230" i="1"/>
  <c r="S230" i="1" s="1"/>
  <c r="AI175" i="1"/>
  <c r="U228" i="1"/>
  <c r="S228" i="1" s="1"/>
  <c r="AI173" i="1"/>
  <c r="U226" i="1"/>
  <c r="S226" i="1" s="1"/>
  <c r="AI171" i="1"/>
  <c r="AI96" i="1"/>
  <c r="AI88" i="1"/>
  <c r="AI80" i="1"/>
  <c r="AI92" i="1"/>
  <c r="AI84" i="1"/>
  <c r="AI74" i="1"/>
  <c r="U74" i="1"/>
  <c r="S74" i="1" s="1"/>
  <c r="U240" i="1"/>
  <c r="S240" i="1" s="1"/>
  <c r="AI185" i="1"/>
  <c r="U238" i="1"/>
  <c r="S238" i="1" s="1"/>
  <c r="AI183" i="1"/>
  <c r="U236" i="1"/>
  <c r="S236" i="1" s="1"/>
  <c r="AI181" i="1"/>
  <c r="U234" i="1"/>
  <c r="S234" i="1" s="1"/>
  <c r="AI179" i="1"/>
  <c r="U232" i="1"/>
  <c r="S232" i="1" s="1"/>
  <c r="AI177" i="1"/>
  <c r="U231" i="1"/>
  <c r="S231" i="1" s="1"/>
  <c r="W231" i="1"/>
  <c r="AI176" i="1"/>
  <c r="U229" i="1"/>
  <c r="S229" i="1" s="1"/>
  <c r="W229" i="1"/>
  <c r="AI174" i="1"/>
  <c r="U227" i="1"/>
  <c r="S227" i="1" s="1"/>
  <c r="AI172" i="1"/>
  <c r="W227" i="1"/>
  <c r="U225" i="1"/>
  <c r="S225" i="1" s="1"/>
  <c r="AI170" i="1"/>
  <c r="U218" i="1"/>
  <c r="S218" i="1" s="1"/>
  <c r="AI169" i="1"/>
  <c r="AI94" i="1"/>
  <c r="AI86" i="1"/>
  <c r="AI78" i="1"/>
  <c r="U78" i="1"/>
  <c r="S78" i="1" s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AI155" i="1"/>
  <c r="U154" i="1"/>
  <c r="S154" i="1" s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39" i="1"/>
  <c r="S139" i="1" s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AI121" i="1"/>
  <c r="AI120" i="1"/>
  <c r="U120" i="1"/>
  <c r="S120" i="1" s="1"/>
  <c r="AI119" i="1"/>
  <c r="U119" i="1"/>
  <c r="S119" i="1" s="1"/>
  <c r="AI117" i="1"/>
  <c r="AI116" i="1"/>
  <c r="AI115" i="1"/>
  <c r="U115" i="1"/>
  <c r="S115" i="1" s="1"/>
  <c r="AI114" i="1"/>
  <c r="U114" i="1"/>
  <c r="S114" i="1" s="1"/>
  <c r="AI113" i="1"/>
  <c r="U113" i="1"/>
  <c r="S113" i="1" s="1"/>
  <c r="AI112" i="1"/>
  <c r="AI111" i="1"/>
  <c r="U111" i="1"/>
  <c r="S111" i="1" s="1"/>
  <c r="AI110" i="1"/>
  <c r="AI109" i="1"/>
  <c r="U109" i="1"/>
  <c r="S109" i="1" s="1"/>
  <c r="AI108" i="1"/>
  <c r="U108" i="1"/>
  <c r="S108" i="1" s="1"/>
  <c r="AI107" i="1"/>
  <c r="U107" i="1"/>
  <c r="S107" i="1" s="1"/>
  <c r="AI106" i="1"/>
  <c r="U106" i="1"/>
  <c r="S106" i="1" s="1"/>
  <c r="AI105" i="1"/>
  <c r="U105" i="1"/>
  <c r="S105" i="1" s="1"/>
  <c r="AI104" i="1"/>
  <c r="U104" i="1"/>
  <c r="AI103" i="1"/>
  <c r="U103" i="1"/>
  <c r="AI102" i="1"/>
  <c r="U102" i="1"/>
  <c r="S102" i="1" s="1"/>
  <c r="AI101" i="1"/>
  <c r="U101" i="1"/>
  <c r="S101" i="1" s="1"/>
  <c r="AI100" i="1"/>
  <c r="U100" i="1"/>
  <c r="S100" i="1" s="1"/>
  <c r="U75" i="1"/>
  <c r="S75" i="1" s="1"/>
  <c r="AI75" i="1"/>
  <c r="W75" i="1"/>
  <c r="AI71" i="1"/>
  <c r="U71" i="1"/>
  <c r="S71" i="1" s="1"/>
  <c r="AI77" i="1"/>
  <c r="U77" i="1"/>
  <c r="S77" i="1" s="1"/>
  <c r="AI73" i="1"/>
  <c r="U73" i="1"/>
  <c r="S73" i="1" s="1"/>
  <c r="AI99" i="1"/>
  <c r="AI97" i="1"/>
  <c r="AI95" i="1"/>
  <c r="AI93" i="1"/>
  <c r="AI91" i="1"/>
  <c r="AI89" i="1"/>
  <c r="AI87" i="1"/>
  <c r="AI85" i="1"/>
  <c r="AI83" i="1"/>
  <c r="AI81" i="1"/>
  <c r="AI79" i="1"/>
  <c r="U76" i="1"/>
  <c r="S76" i="1" s="1"/>
  <c r="AI76" i="1"/>
  <c r="U72" i="1"/>
  <c r="S72" i="1" s="1"/>
  <c r="AI72" i="1"/>
  <c r="U70" i="1"/>
  <c r="S70" i="1" s="1"/>
  <c r="AI70" i="1"/>
  <c r="AI69" i="1"/>
  <c r="U68" i="1"/>
  <c r="S68" i="1" s="1"/>
  <c r="AI68" i="1"/>
  <c r="AI67" i="1"/>
  <c r="U66" i="1"/>
  <c r="S66" i="1" s="1"/>
  <c r="AI66" i="1"/>
  <c r="U65" i="1"/>
  <c r="S65" i="1" s="1"/>
  <c r="AI65" i="1"/>
  <c r="U64" i="1"/>
  <c r="S64" i="1" s="1"/>
  <c r="AI64" i="1"/>
  <c r="W63" i="1"/>
  <c r="AI63" i="1"/>
  <c r="U62" i="1"/>
  <c r="S62" i="1" s="1"/>
  <c r="AI62" i="1"/>
  <c r="AI61" i="1"/>
  <c r="U60" i="1"/>
  <c r="S60" i="1" s="1"/>
  <c r="AI60" i="1"/>
  <c r="W59" i="1"/>
  <c r="AI59" i="1"/>
  <c r="U58" i="1"/>
  <c r="S58" i="1" s="1"/>
  <c r="AI58" i="1"/>
  <c r="AI57" i="1"/>
  <c r="U56" i="1"/>
  <c r="S56" i="1" s="1"/>
  <c r="AI56" i="1"/>
  <c r="W55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4" i="1"/>
  <c r="W219" i="1"/>
  <c r="W197" i="1"/>
  <c r="W186" i="1"/>
  <c r="W178" i="1"/>
  <c r="W170" i="1"/>
  <c r="W221" i="1"/>
  <c r="W199" i="1"/>
  <c r="W177" i="1"/>
  <c r="W172" i="1"/>
  <c r="W165" i="1"/>
  <c r="W162" i="1"/>
  <c r="W216" i="1"/>
  <c r="W208" i="1"/>
  <c r="W149" i="1"/>
  <c r="W141" i="1"/>
  <c r="W132" i="1"/>
  <c r="W203" i="1"/>
  <c r="W183" i="1"/>
  <c r="W175" i="1"/>
  <c r="W160" i="1"/>
  <c r="W218" i="1"/>
  <c r="W210" i="1"/>
  <c r="W143" i="1"/>
  <c r="W185" i="1"/>
  <c r="W180" i="1"/>
  <c r="W223" i="1"/>
  <c r="W220" i="1"/>
  <c r="W202" i="1"/>
  <c r="W191" i="1"/>
  <c r="W187" i="1"/>
  <c r="W182" i="1"/>
  <c r="W179" i="1"/>
  <c r="W174" i="1"/>
  <c r="W171" i="1"/>
  <c r="W164" i="1"/>
  <c r="W158" i="1"/>
  <c r="W240" i="1"/>
  <c r="W238" i="1"/>
  <c r="W234" i="1"/>
  <c r="W232" i="1"/>
  <c r="W228" i="1"/>
  <c r="W226" i="1"/>
  <c r="W225" i="1"/>
  <c r="W214" i="1"/>
  <c r="W155" i="1"/>
  <c r="W147" i="1"/>
  <c r="W138" i="1"/>
  <c r="W130" i="1"/>
  <c r="W128" i="1"/>
  <c r="W126" i="1"/>
  <c r="W192" i="1"/>
  <c r="W163" i="1"/>
  <c r="W151" i="1"/>
  <c r="W222" i="1"/>
  <c r="W205" i="1"/>
  <c r="W201" i="1"/>
  <c r="W193" i="1"/>
  <c r="W184" i="1"/>
  <c r="W176" i="1"/>
  <c r="W173" i="1"/>
  <c r="W168" i="1"/>
  <c r="W166" i="1"/>
  <c r="W161" i="1"/>
  <c r="W212" i="1"/>
  <c r="W153" i="1"/>
  <c r="W145" i="1"/>
  <c r="W213" i="1"/>
  <c r="W154" i="1"/>
  <c r="W150" i="1"/>
  <c r="W146" i="1"/>
  <c r="W142" i="1"/>
  <c r="W137" i="1"/>
  <c r="W133" i="1"/>
  <c r="W129" i="1"/>
  <c r="W115" i="1"/>
  <c r="W89" i="1"/>
  <c r="W73" i="1"/>
  <c r="T223" i="1"/>
  <c r="U223" i="1" s="1"/>
  <c r="S223" i="1" s="1"/>
  <c r="X223" i="1"/>
  <c r="T221" i="1"/>
  <c r="U221" i="1" s="1"/>
  <c r="S221" i="1" s="1"/>
  <c r="X221" i="1"/>
  <c r="T219" i="1"/>
  <c r="U219" i="1" s="1"/>
  <c r="S219" i="1" s="1"/>
  <c r="X219" i="1"/>
  <c r="T205" i="1"/>
  <c r="U205" i="1" s="1"/>
  <c r="S205" i="1" s="1"/>
  <c r="T202" i="1"/>
  <c r="U202" i="1" s="1"/>
  <c r="S202" i="1" s="1"/>
  <c r="X202" i="1"/>
  <c r="T199" i="1"/>
  <c r="U199" i="1" s="1"/>
  <c r="S199" i="1" s="1"/>
  <c r="X199" i="1"/>
  <c r="T197" i="1"/>
  <c r="U197" i="1" s="1"/>
  <c r="S197" i="1" s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W127" i="1"/>
  <c r="W125" i="1"/>
  <c r="W123" i="1"/>
  <c r="W109" i="1"/>
  <c r="W107" i="1"/>
  <c r="W105" i="1"/>
  <c r="W97" i="1"/>
  <c r="W74" i="1"/>
  <c r="W209" i="1"/>
  <c r="W215" i="1"/>
  <c r="W211" i="1"/>
  <c r="W207" i="1"/>
  <c r="W152" i="1"/>
  <c r="W148" i="1"/>
  <c r="W144" i="1"/>
  <c r="W139" i="1"/>
  <c r="W135" i="1"/>
  <c r="W131" i="1"/>
  <c r="W117" i="1"/>
  <c r="W113" i="1"/>
  <c r="W86" i="1"/>
  <c r="W72" i="1"/>
  <c r="W71" i="1"/>
  <c r="W68" i="1"/>
  <c r="W51" i="1"/>
  <c r="W43" i="1"/>
  <c r="W39" i="1"/>
  <c r="W217" i="1"/>
  <c r="T224" i="1"/>
  <c r="U224" i="1" s="1"/>
  <c r="S224" i="1" s="1"/>
  <c r="X224" i="1"/>
  <c r="T222" i="1"/>
  <c r="U222" i="1" s="1"/>
  <c r="S222" i="1" s="1"/>
  <c r="X222" i="1"/>
  <c r="T220" i="1"/>
  <c r="U220" i="1" s="1"/>
  <c r="S220" i="1" s="1"/>
  <c r="X220" i="1"/>
  <c r="T206" i="1"/>
  <c r="U206" i="1" s="1"/>
  <c r="S206" i="1" s="1"/>
  <c r="X206" i="1"/>
  <c r="T203" i="1"/>
  <c r="U203" i="1" s="1"/>
  <c r="S203" i="1" s="1"/>
  <c r="X203" i="1"/>
  <c r="T201" i="1"/>
  <c r="U201" i="1" s="1"/>
  <c r="S201" i="1" s="1"/>
  <c r="T198" i="1"/>
  <c r="U198" i="1" s="1"/>
  <c r="S198" i="1" s="1"/>
  <c r="X198" i="1"/>
  <c r="T192" i="1"/>
  <c r="U192" i="1" s="1"/>
  <c r="S192" i="1" s="1"/>
  <c r="X192" i="1"/>
  <c r="T190" i="1"/>
  <c r="U190" i="1" s="1"/>
  <c r="S190" i="1" s="1"/>
  <c r="X190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242" i="1"/>
  <c r="U242" i="1" s="1"/>
  <c r="S242" i="1" s="1"/>
  <c r="X242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W94" i="1"/>
  <c r="W81" i="1"/>
  <c r="X160" i="1"/>
  <c r="X159" i="1"/>
  <c r="X158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W101" i="1"/>
  <c r="W95" i="1"/>
  <c r="AA92" i="1"/>
  <c r="W92" i="1" s="1"/>
  <c r="W87" i="1"/>
  <c r="AA84" i="1"/>
  <c r="W84" i="1" s="1"/>
  <c r="W79" i="1"/>
  <c r="W70" i="1"/>
  <c r="T67" i="1"/>
  <c r="U67" i="1" s="1"/>
  <c r="S67" i="1" s="1"/>
  <c r="X67" i="1"/>
  <c r="W64" i="1"/>
  <c r="W103" i="1"/>
  <c r="W100" i="1"/>
  <c r="W99" i="1"/>
  <c r="AA96" i="1"/>
  <c r="W96" i="1" s="1"/>
  <c r="W91" i="1"/>
  <c r="AA88" i="1"/>
  <c r="W88" i="1" s="1"/>
  <c r="W83" i="1"/>
  <c r="AA80" i="1"/>
  <c r="W80" i="1" s="1"/>
  <c r="W78" i="1"/>
  <c r="W76" i="1"/>
  <c r="W62" i="1"/>
  <c r="W58" i="1"/>
  <c r="W121" i="1"/>
  <c r="W119" i="1"/>
  <c r="W114" i="1"/>
  <c r="W112" i="1"/>
  <c r="W110" i="1"/>
  <c r="W106" i="1"/>
  <c r="W104" i="1"/>
  <c r="AA98" i="1"/>
  <c r="W98" i="1" s="1"/>
  <c r="W93" i="1"/>
  <c r="AA90" i="1"/>
  <c r="W90" i="1" s="1"/>
  <c r="AA82" i="1"/>
  <c r="W82" i="1" s="1"/>
  <c r="X63" i="1"/>
  <c r="T63" i="1"/>
  <c r="U63" i="1" s="1"/>
  <c r="S63" i="1" s="1"/>
  <c r="X59" i="1"/>
  <c r="X60" i="1"/>
  <c r="T59" i="1"/>
  <c r="U59" i="1" s="1"/>
  <c r="S59" i="1" s="1"/>
  <c r="X55" i="1"/>
  <c r="X56" i="1"/>
  <c r="T55" i="1"/>
  <c r="U55" i="1" s="1"/>
  <c r="S55" i="1" s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X69" i="1"/>
  <c r="W67" i="1"/>
  <c r="X65" i="1"/>
  <c r="W52" i="1"/>
  <c r="W44" i="1"/>
  <c r="W40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W65" i="1"/>
  <c r="W61" i="1"/>
  <c r="W57" i="1"/>
  <c r="W54" i="1"/>
  <c r="W50" i="1"/>
  <c r="W46" i="1"/>
  <c r="W42" i="1"/>
  <c r="W38" i="1"/>
  <c r="T69" i="1"/>
  <c r="U69" i="1" s="1"/>
  <c r="S69" i="1" s="1"/>
  <c r="X70" i="1"/>
  <c r="X68" i="1"/>
  <c r="W66" i="1"/>
  <c r="X64" i="1"/>
  <c r="W60" i="1"/>
  <c r="W56" i="1"/>
  <c r="W53" i="1"/>
  <c r="W49" i="1"/>
  <c r="W45" i="1"/>
  <c r="W41" i="1"/>
  <c r="X78" i="1"/>
  <c r="X77" i="1"/>
  <c r="X76" i="1"/>
  <c r="X75" i="1"/>
  <c r="X74" i="1"/>
  <c r="X73" i="1"/>
  <c r="X72" i="1"/>
  <c r="T57" i="1"/>
  <c r="U57" i="1" s="1"/>
  <c r="S57" i="1" s="1"/>
  <c r="T61" i="1"/>
  <c r="U61" i="1" s="1"/>
  <c r="S61" i="1" s="1"/>
  <c r="W32" i="1"/>
  <c r="W31" i="1"/>
  <c r="W30" i="1"/>
  <c r="W28" i="1"/>
  <c r="W27" i="1"/>
  <c r="W26" i="1"/>
  <c r="W24" i="1"/>
  <c r="W23" i="1"/>
  <c r="W22" i="1"/>
  <c r="W20" i="1"/>
  <c r="W19" i="1"/>
  <c r="W18" i="1"/>
  <c r="W16" i="1"/>
  <c r="W15" i="1"/>
  <c r="W14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Y9" i="3"/>
  <c r="Y32" i="3"/>
  <c r="Y14" i="3"/>
  <c r="Y15" i="3"/>
  <c r="Y22" i="3"/>
  <c r="Y7" i="3"/>
  <c r="Y25" i="3"/>
  <c r="Y24" i="3"/>
  <c r="Y30" i="3"/>
  <c r="Y13" i="3"/>
  <c r="Y23" i="3"/>
  <c r="Y20" i="3"/>
  <c r="Y10" i="3"/>
  <c r="Y33" i="3"/>
  <c r="Y18" i="3"/>
  <c r="Y28" i="3"/>
  <c r="Y19" i="3"/>
  <c r="Y12" i="3"/>
  <c r="Y8" i="3"/>
  <c r="Y26" i="3"/>
  <c r="Y21" i="3"/>
  <c r="Y27" i="3"/>
  <c r="Y29" i="3"/>
  <c r="Y17" i="3"/>
  <c r="Y16" i="3"/>
  <c r="Y34" i="3"/>
  <c r="Y31" i="3"/>
  <c r="S103" i="1" l="1"/>
  <c r="R11" i="3"/>
  <c r="M11" i="3"/>
  <c r="U11" i="3"/>
  <c r="X11" i="3"/>
  <c r="W11" i="3"/>
  <c r="Y11" i="3" l="1"/>
  <c r="M30" i="5" l="1"/>
  <c r="M29" i="5"/>
  <c r="M28" i="5"/>
  <c r="M27" i="5"/>
  <c r="M26" i="5"/>
  <c r="AH204" i="1" l="1"/>
  <c r="AH200" i="1"/>
  <c r="AH194" i="1"/>
  <c r="AH196" i="1"/>
  <c r="AH195" i="1"/>
  <c r="AH17" i="1"/>
  <c r="AH21" i="1"/>
  <c r="AH25" i="1"/>
  <c r="AH29" i="1"/>
  <c r="AH33" i="1"/>
  <c r="AH37" i="1"/>
  <c r="AH38" i="1"/>
  <c r="AH43" i="1"/>
  <c r="AH47" i="1"/>
  <c r="AH51" i="1"/>
  <c r="AH56" i="1"/>
  <c r="AH156" i="1"/>
  <c r="AH157" i="1"/>
  <c r="AH140" i="1"/>
  <c r="AH16" i="1"/>
  <c r="AH20" i="1"/>
  <c r="AH24" i="1"/>
  <c r="AH28" i="1"/>
  <c r="AH32" i="1"/>
  <c r="AH36" i="1"/>
  <c r="AH41" i="1"/>
  <c r="AH42" i="1"/>
  <c r="AH46" i="1"/>
  <c r="AH50" i="1"/>
  <c r="AH55" i="1"/>
  <c r="AH188" i="1"/>
  <c r="AH118" i="1"/>
  <c r="AH15" i="1"/>
  <c r="AH19" i="1"/>
  <c r="AH23" i="1"/>
  <c r="AH27" i="1"/>
  <c r="AH31" i="1"/>
  <c r="AH35" i="1"/>
  <c r="AH40" i="1"/>
  <c r="AH45" i="1"/>
  <c r="AH49" i="1"/>
  <c r="AH53" i="1"/>
  <c r="AH54" i="1"/>
  <c r="AH59" i="1"/>
  <c r="AH14" i="1"/>
  <c r="AH18" i="1"/>
  <c r="AH22" i="1"/>
  <c r="AH26" i="1"/>
  <c r="AH30" i="1"/>
  <c r="AH34" i="1"/>
  <c r="AH39" i="1"/>
  <c r="AH44" i="1"/>
  <c r="AH48" i="1"/>
  <c r="AH52" i="1"/>
  <c r="AH57" i="1"/>
  <c r="AH58" i="1"/>
  <c r="AH60" i="1"/>
  <c r="AH64" i="1"/>
  <c r="AH68" i="1"/>
  <c r="AH72" i="1"/>
  <c r="AH76" i="1"/>
  <c r="AH80" i="1"/>
  <c r="AH81" i="1"/>
  <c r="AH85" i="1"/>
  <c r="AH89" i="1"/>
  <c r="AH93" i="1"/>
  <c r="AH97" i="1"/>
  <c r="AH102" i="1"/>
  <c r="AH106" i="1"/>
  <c r="AH110" i="1"/>
  <c r="AH114" i="1"/>
  <c r="AH116" i="1"/>
  <c r="AH61" i="1"/>
  <c r="AH63" i="1"/>
  <c r="AH67" i="1"/>
  <c r="AH71" i="1"/>
  <c r="AH75" i="1"/>
  <c r="AH79" i="1"/>
  <c r="AH84" i="1"/>
  <c r="AH88" i="1"/>
  <c r="AH92" i="1"/>
  <c r="AH96" i="1"/>
  <c r="AH100" i="1"/>
  <c r="AH101" i="1"/>
  <c r="AH105" i="1"/>
  <c r="AH109" i="1"/>
  <c r="AH62" i="1"/>
  <c r="AH66" i="1"/>
  <c r="AH70" i="1"/>
  <c r="AH74" i="1"/>
  <c r="AH78" i="1"/>
  <c r="AH83" i="1"/>
  <c r="AH87" i="1"/>
  <c r="AH91" i="1"/>
  <c r="AH95" i="1"/>
  <c r="AH99" i="1"/>
  <c r="AH104" i="1"/>
  <c r="AH108" i="1"/>
  <c r="AH112" i="1"/>
  <c r="AH65" i="1"/>
  <c r="AH69" i="1"/>
  <c r="AH73" i="1"/>
  <c r="AH77" i="1"/>
  <c r="AH82" i="1"/>
  <c r="AH86" i="1"/>
  <c r="AH90" i="1"/>
  <c r="AH94" i="1"/>
  <c r="AH98" i="1"/>
  <c r="AH103" i="1"/>
  <c r="AH107" i="1"/>
  <c r="AH111" i="1"/>
  <c r="AH113" i="1"/>
  <c r="AH117" i="1"/>
  <c r="AH122" i="1"/>
  <c r="AH123" i="1"/>
  <c r="AH124" i="1"/>
  <c r="AH128" i="1"/>
  <c r="AH134" i="1"/>
  <c r="AH138" i="1"/>
  <c r="AH147" i="1"/>
  <c r="AH152" i="1"/>
  <c r="AH158" i="1"/>
  <c r="AH159" i="1"/>
  <c r="AH115" i="1"/>
  <c r="AH121" i="1"/>
  <c r="AH127" i="1"/>
  <c r="AH133" i="1"/>
  <c r="AH137" i="1"/>
  <c r="AH146" i="1"/>
  <c r="AH151" i="1"/>
  <c r="AH155" i="1"/>
  <c r="AH162" i="1"/>
  <c r="AH120" i="1"/>
  <c r="AH126" i="1"/>
  <c r="AH130" i="1"/>
  <c r="AH131" i="1"/>
  <c r="AH132" i="1"/>
  <c r="AH136" i="1"/>
  <c r="AH141" i="1"/>
  <c r="AH142" i="1"/>
  <c r="AH143" i="1"/>
  <c r="AH144" i="1"/>
  <c r="AH145" i="1"/>
  <c r="AH150" i="1"/>
  <c r="AH154" i="1"/>
  <c r="AH161" i="1"/>
  <c r="AH165" i="1"/>
  <c r="AH119" i="1"/>
  <c r="AH125" i="1"/>
  <c r="AH129" i="1"/>
  <c r="AH135" i="1"/>
  <c r="AH139" i="1"/>
  <c r="AH148" i="1"/>
  <c r="AH149" i="1"/>
  <c r="AH153" i="1"/>
  <c r="AH160" i="1"/>
  <c r="AH164" i="1"/>
  <c r="AH168" i="1"/>
  <c r="AH172" i="1"/>
  <c r="AH176" i="1"/>
  <c r="AH166" i="1"/>
  <c r="AH170" i="1"/>
  <c r="AH173" i="1"/>
  <c r="AH178" i="1"/>
  <c r="AH182" i="1"/>
  <c r="AH186" i="1"/>
  <c r="AH191" i="1"/>
  <c r="AH197" i="1"/>
  <c r="AH203" i="1"/>
  <c r="AH208" i="1"/>
  <c r="AH212" i="1"/>
  <c r="AH213" i="1"/>
  <c r="AH217" i="1"/>
  <c r="AH221" i="1"/>
  <c r="AH163" i="1"/>
  <c r="AH171" i="1"/>
  <c r="AH181" i="1"/>
  <c r="AH185" i="1"/>
  <c r="AH190" i="1"/>
  <c r="AH201" i="1"/>
  <c r="AH202" i="1"/>
  <c r="AH207" i="1"/>
  <c r="AH211" i="1"/>
  <c r="AH216" i="1"/>
  <c r="AH220" i="1"/>
  <c r="AH224" i="1"/>
  <c r="AH229" i="1"/>
  <c r="AH233" i="1"/>
  <c r="AH169" i="1"/>
  <c r="AH174" i="1"/>
  <c r="AH177" i="1"/>
  <c r="AH180" i="1"/>
  <c r="AH184" i="1"/>
  <c r="AH189" i="1"/>
  <c r="AH193" i="1"/>
  <c r="AH199" i="1"/>
  <c r="AH206" i="1"/>
  <c r="AH210" i="1"/>
  <c r="AH215" i="1"/>
  <c r="AH219" i="1"/>
  <c r="AH223" i="1"/>
  <c r="AH167" i="1"/>
  <c r="AH175" i="1"/>
  <c r="AH179" i="1"/>
  <c r="AH183" i="1"/>
  <c r="AH187" i="1"/>
  <c r="AH192" i="1"/>
  <c r="AH198" i="1"/>
  <c r="AH209" i="1"/>
  <c r="AH218" i="1"/>
  <c r="AH232" i="1"/>
  <c r="AH236" i="1"/>
  <c r="AH240" i="1"/>
  <c r="AH241" i="1"/>
  <c r="AH230" i="1"/>
  <c r="AH239" i="1"/>
  <c r="AH242" i="1"/>
  <c r="AH234" i="1"/>
  <c r="AH205" i="1"/>
  <c r="AH214" i="1"/>
  <c r="AH222" i="1"/>
  <c r="AH225" i="1"/>
  <c r="AH226" i="1"/>
  <c r="AH228" i="1"/>
  <c r="AH235" i="1"/>
  <c r="AH238" i="1"/>
  <c r="AH227" i="1"/>
  <c r="AH231" i="1"/>
  <c r="AH237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45" i="1" s="1"/>
  <c r="G225" i="4"/>
  <c r="L204" i="1" s="1"/>
  <c r="G226" i="4"/>
  <c r="L150" i="1" s="1"/>
  <c r="G227" i="4"/>
  <c r="L147" i="1" s="1"/>
  <c r="G228" i="4"/>
  <c r="L206" i="1" s="1"/>
  <c r="G229" i="4"/>
  <c r="L149" i="1" s="1"/>
  <c r="G230" i="4"/>
  <c r="L152" i="1" s="1"/>
  <c r="G231" i="4"/>
  <c r="L224" i="1" s="1"/>
  <c r="G232" i="4"/>
  <c r="L151" i="1" s="1"/>
  <c r="G233" i="4"/>
  <c r="L154" i="1" s="1"/>
  <c r="G234" i="4"/>
  <c r="L242" i="1" s="1"/>
  <c r="G235" i="4"/>
  <c r="G236" i="4"/>
  <c r="L156" i="1" s="1"/>
  <c r="G237" i="4"/>
  <c r="L153" i="1" s="1"/>
  <c r="G238" i="4"/>
  <c r="L218" i="1" s="1"/>
  <c r="G239" i="4"/>
  <c r="L155" i="1" s="1"/>
  <c r="G240" i="4"/>
  <c r="L212" i="1" s="1"/>
  <c r="G241" i="4"/>
  <c r="L157" i="1" s="1"/>
  <c r="G242" i="4"/>
  <c r="G243" i="4"/>
  <c r="G244" i="4"/>
  <c r="G245" i="4"/>
  <c r="G246" i="4"/>
  <c r="L216" i="1" s="1"/>
  <c r="G247" i="4"/>
  <c r="G248" i="4"/>
  <c r="G249" i="4"/>
  <c r="N33" i="3" l="1"/>
  <c r="L214" i="1"/>
  <c r="N9" i="3"/>
  <c r="N21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N196" i="1" l="1"/>
  <c r="V204" i="1"/>
  <c r="V200" i="1"/>
  <c r="V196" i="1"/>
  <c r="AN200" i="1"/>
  <c r="V194" i="1"/>
  <c r="S29" i="3" s="1"/>
  <c r="AO204" i="1"/>
  <c r="AO200" i="1"/>
  <c r="AN194" i="1"/>
  <c r="AO196" i="1"/>
  <c r="V195" i="1"/>
  <c r="AO194" i="1"/>
  <c r="AN204" i="1"/>
  <c r="AO195" i="1"/>
  <c r="AN188" i="1"/>
  <c r="AO156" i="1"/>
  <c r="AO157" i="1"/>
  <c r="AO140" i="1"/>
  <c r="AN118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V38" i="1"/>
  <c r="AN40" i="1"/>
  <c r="AO41" i="1"/>
  <c r="AO42" i="1"/>
  <c r="V43" i="1"/>
  <c r="AN45" i="1"/>
  <c r="AO46" i="1"/>
  <c r="V47" i="1"/>
  <c r="AN49" i="1"/>
  <c r="AO50" i="1"/>
  <c r="V51" i="1"/>
  <c r="AN53" i="1"/>
  <c r="AN54" i="1"/>
  <c r="AO55" i="1"/>
  <c r="V56" i="1"/>
  <c r="AN59" i="1"/>
  <c r="AN61" i="1"/>
  <c r="AO188" i="1"/>
  <c r="V157" i="1"/>
  <c r="AO118" i="1"/>
  <c r="AN14" i="1"/>
  <c r="AO15" i="1"/>
  <c r="V16" i="1"/>
  <c r="AN18" i="1"/>
  <c r="AO19" i="1"/>
  <c r="V20" i="1"/>
  <c r="AN22" i="1"/>
  <c r="AO23" i="1"/>
  <c r="V24" i="1"/>
  <c r="AN26" i="1"/>
  <c r="AO27" i="1"/>
  <c r="V28" i="1"/>
  <c r="AN30" i="1"/>
  <c r="AO31" i="1"/>
  <c r="V32" i="1"/>
  <c r="AN34" i="1"/>
  <c r="AO35" i="1"/>
  <c r="V36" i="1"/>
  <c r="S11" i="3" s="1"/>
  <c r="AN39" i="1"/>
  <c r="AO40" i="1"/>
  <c r="V41" i="1"/>
  <c r="S25" i="3" s="1"/>
  <c r="V42" i="1"/>
  <c r="AN44" i="1"/>
  <c r="AO45" i="1"/>
  <c r="V46" i="1"/>
  <c r="AN48" i="1"/>
  <c r="AO49" i="1"/>
  <c r="V50" i="1"/>
  <c r="AN52" i="1"/>
  <c r="AO53" i="1"/>
  <c r="AO54" i="1"/>
  <c r="V55" i="1"/>
  <c r="S26" i="3" s="1"/>
  <c r="AN57" i="1"/>
  <c r="AN58" i="1"/>
  <c r="AO59" i="1"/>
  <c r="V156" i="1"/>
  <c r="V140" i="1"/>
  <c r="AO14" i="1"/>
  <c r="V15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N38" i="1"/>
  <c r="AO39" i="1"/>
  <c r="V40" i="1"/>
  <c r="AN43" i="1"/>
  <c r="AO44" i="1"/>
  <c r="V45" i="1"/>
  <c r="AN47" i="1"/>
  <c r="AO48" i="1"/>
  <c r="V49" i="1"/>
  <c r="AN51" i="1"/>
  <c r="AO52" i="1"/>
  <c r="V53" i="1"/>
  <c r="V54" i="1"/>
  <c r="AN56" i="1"/>
  <c r="AO57" i="1"/>
  <c r="AO58" i="1"/>
  <c r="V59" i="1"/>
  <c r="AN195" i="1"/>
  <c r="V188" i="1"/>
  <c r="AN156" i="1"/>
  <c r="AN157" i="1"/>
  <c r="AN140" i="1"/>
  <c r="V118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AO38" i="1"/>
  <c r="V39" i="1"/>
  <c r="AN41" i="1"/>
  <c r="AN42" i="1"/>
  <c r="AO43" i="1"/>
  <c r="V44" i="1"/>
  <c r="AN46" i="1"/>
  <c r="AO47" i="1"/>
  <c r="V48" i="1"/>
  <c r="AN50" i="1"/>
  <c r="AO51" i="1"/>
  <c r="V52" i="1"/>
  <c r="AN55" i="1"/>
  <c r="AO56" i="1"/>
  <c r="V57" i="1"/>
  <c r="V58" i="1"/>
  <c r="AN62" i="1"/>
  <c r="AO63" i="1"/>
  <c r="V64" i="1"/>
  <c r="AN66" i="1"/>
  <c r="AO67" i="1"/>
  <c r="V68" i="1"/>
  <c r="S20" i="3" s="1"/>
  <c r="AN70" i="1"/>
  <c r="AO71" i="1"/>
  <c r="V72" i="1"/>
  <c r="AN74" i="1"/>
  <c r="AO75" i="1"/>
  <c r="V76" i="1"/>
  <c r="S23" i="3" s="1"/>
  <c r="AN78" i="1"/>
  <c r="AO79" i="1"/>
  <c r="V80" i="1"/>
  <c r="AN83" i="1"/>
  <c r="AO84" i="1"/>
  <c r="V85" i="1"/>
  <c r="AN87" i="1"/>
  <c r="AO88" i="1"/>
  <c r="V89" i="1"/>
  <c r="AN91" i="1"/>
  <c r="AO92" i="1"/>
  <c r="V93" i="1"/>
  <c r="AN95" i="1"/>
  <c r="AO96" i="1"/>
  <c r="V97" i="1"/>
  <c r="AN99" i="1"/>
  <c r="AO100" i="1"/>
  <c r="V101" i="1"/>
  <c r="AO101" i="1"/>
  <c r="V102" i="1"/>
  <c r="S19" i="3" s="1"/>
  <c r="AN104" i="1"/>
  <c r="AO105" i="1"/>
  <c r="V106" i="1"/>
  <c r="AN108" i="1"/>
  <c r="AO109" i="1"/>
  <c r="V110" i="1"/>
  <c r="AN112" i="1"/>
  <c r="AO113" i="1"/>
  <c r="V114" i="1"/>
  <c r="AO115" i="1"/>
  <c r="V116" i="1"/>
  <c r="AN60" i="1"/>
  <c r="V61" i="1"/>
  <c r="AO62" i="1"/>
  <c r="V63" i="1"/>
  <c r="AN65" i="1"/>
  <c r="AO66" i="1"/>
  <c r="V67" i="1"/>
  <c r="AN69" i="1"/>
  <c r="AO70" i="1"/>
  <c r="V71" i="1"/>
  <c r="AN73" i="1"/>
  <c r="AO74" i="1"/>
  <c r="V75" i="1"/>
  <c r="AN77" i="1"/>
  <c r="AO78" i="1"/>
  <c r="V79" i="1"/>
  <c r="AN82" i="1"/>
  <c r="AO83" i="1"/>
  <c r="V84" i="1"/>
  <c r="AN86" i="1"/>
  <c r="AO87" i="1"/>
  <c r="V88" i="1"/>
  <c r="AN90" i="1"/>
  <c r="AO91" i="1"/>
  <c r="V92" i="1"/>
  <c r="S15" i="3" s="1"/>
  <c r="AN94" i="1"/>
  <c r="AO95" i="1"/>
  <c r="V96" i="1"/>
  <c r="AN98" i="1"/>
  <c r="AO99" i="1"/>
  <c r="V100" i="1"/>
  <c r="AN103" i="1"/>
  <c r="AO104" i="1"/>
  <c r="V105" i="1"/>
  <c r="AN107" i="1"/>
  <c r="AO108" i="1"/>
  <c r="V109" i="1"/>
  <c r="AO60" i="1"/>
  <c r="AN64" i="1"/>
  <c r="AO65" i="1"/>
  <c r="V66" i="1"/>
  <c r="AN68" i="1"/>
  <c r="AO69" i="1"/>
  <c r="V70" i="1"/>
  <c r="AN72" i="1"/>
  <c r="AO73" i="1"/>
  <c r="V74" i="1"/>
  <c r="AN76" i="1"/>
  <c r="AO77" i="1"/>
  <c r="V78" i="1"/>
  <c r="AN80" i="1"/>
  <c r="AN81" i="1"/>
  <c r="AO82" i="1"/>
  <c r="V83" i="1"/>
  <c r="AN85" i="1"/>
  <c r="AO86" i="1"/>
  <c r="V87" i="1"/>
  <c r="AN89" i="1"/>
  <c r="AO90" i="1"/>
  <c r="V91" i="1"/>
  <c r="AN93" i="1"/>
  <c r="AO94" i="1"/>
  <c r="V95" i="1"/>
  <c r="AN97" i="1"/>
  <c r="AO98" i="1"/>
  <c r="V99" i="1"/>
  <c r="AN102" i="1"/>
  <c r="AO103" i="1"/>
  <c r="V104" i="1"/>
  <c r="AN106" i="1"/>
  <c r="AO107" i="1"/>
  <c r="V108" i="1"/>
  <c r="AN110" i="1"/>
  <c r="AO111" i="1"/>
  <c r="V112" i="1"/>
  <c r="S17" i="3" s="1"/>
  <c r="V60" i="1"/>
  <c r="AO61" i="1"/>
  <c r="V62" i="1"/>
  <c r="AN63" i="1"/>
  <c r="AO64" i="1"/>
  <c r="V65" i="1"/>
  <c r="AN67" i="1"/>
  <c r="AO68" i="1"/>
  <c r="V69" i="1"/>
  <c r="AN71" i="1"/>
  <c r="AO72" i="1"/>
  <c r="V73" i="1"/>
  <c r="AN75" i="1"/>
  <c r="AO76" i="1"/>
  <c r="V77" i="1"/>
  <c r="AN79" i="1"/>
  <c r="AO80" i="1"/>
  <c r="V81" i="1"/>
  <c r="AO81" i="1"/>
  <c r="V82" i="1"/>
  <c r="AN84" i="1"/>
  <c r="AO85" i="1"/>
  <c r="V86" i="1"/>
  <c r="AN88" i="1"/>
  <c r="AO89" i="1"/>
  <c r="V90" i="1"/>
  <c r="AN92" i="1"/>
  <c r="AO93" i="1"/>
  <c r="V94" i="1"/>
  <c r="AN96" i="1"/>
  <c r="AO97" i="1"/>
  <c r="V98" i="1"/>
  <c r="AN100" i="1"/>
  <c r="AN101" i="1"/>
  <c r="AO102" i="1"/>
  <c r="V103" i="1"/>
  <c r="AN105" i="1"/>
  <c r="AO106" i="1"/>
  <c r="V107" i="1"/>
  <c r="AN109" i="1"/>
  <c r="AO110" i="1"/>
  <c r="V111" i="1"/>
  <c r="AN113" i="1"/>
  <c r="AN114" i="1"/>
  <c r="AO116" i="1"/>
  <c r="V117" i="1"/>
  <c r="AN120" i="1"/>
  <c r="AO121" i="1"/>
  <c r="V122" i="1"/>
  <c r="V123" i="1"/>
  <c r="V124" i="1"/>
  <c r="AN126" i="1"/>
  <c r="AO127" i="1"/>
  <c r="V128" i="1"/>
  <c r="AN130" i="1"/>
  <c r="AN131" i="1"/>
  <c r="AN132" i="1"/>
  <c r="AO133" i="1"/>
  <c r="V134" i="1"/>
  <c r="AN136" i="1"/>
  <c r="AO137" i="1"/>
  <c r="V138" i="1"/>
  <c r="AN141" i="1"/>
  <c r="AN142" i="1"/>
  <c r="AN143" i="1"/>
  <c r="AN144" i="1"/>
  <c r="AN145" i="1"/>
  <c r="AO146" i="1"/>
  <c r="V147" i="1"/>
  <c r="AN150" i="1"/>
  <c r="AO151" i="1"/>
  <c r="V152" i="1"/>
  <c r="AN154" i="1"/>
  <c r="AO155" i="1"/>
  <c r="V207" i="1"/>
  <c r="V208" i="1"/>
  <c r="V113" i="1"/>
  <c r="AO114" i="1"/>
  <c r="AN119" i="1"/>
  <c r="AO120" i="1"/>
  <c r="V121" i="1"/>
  <c r="AN125" i="1"/>
  <c r="AO126" i="1"/>
  <c r="V127" i="1"/>
  <c r="AN129" i="1"/>
  <c r="AO130" i="1"/>
  <c r="AO131" i="1"/>
  <c r="AO132" i="1"/>
  <c r="V133" i="1"/>
  <c r="AN135" i="1"/>
  <c r="AO136" i="1"/>
  <c r="V137" i="1"/>
  <c r="AN139" i="1"/>
  <c r="AO141" i="1"/>
  <c r="AO142" i="1"/>
  <c r="AO143" i="1"/>
  <c r="AO144" i="1"/>
  <c r="AO145" i="1"/>
  <c r="V146" i="1"/>
  <c r="S18" i="3" s="1"/>
  <c r="AN148" i="1"/>
  <c r="AN149" i="1"/>
  <c r="AO150" i="1"/>
  <c r="V151" i="1"/>
  <c r="AN153" i="1"/>
  <c r="AO154" i="1"/>
  <c r="V155" i="1"/>
  <c r="AN160" i="1"/>
  <c r="AO161" i="1"/>
  <c r="V211" i="1"/>
  <c r="AN164" i="1"/>
  <c r="AO165" i="1"/>
  <c r="V215" i="1"/>
  <c r="AO112" i="1"/>
  <c r="V115" i="1"/>
  <c r="AN117" i="1"/>
  <c r="AO119" i="1"/>
  <c r="V120" i="1"/>
  <c r="AN122" i="1"/>
  <c r="AN123" i="1"/>
  <c r="AN124" i="1"/>
  <c r="AO125" i="1"/>
  <c r="V126" i="1"/>
  <c r="AN128" i="1"/>
  <c r="AO129" i="1"/>
  <c r="V130" i="1"/>
  <c r="V131" i="1"/>
  <c r="V132" i="1"/>
  <c r="AN134" i="1"/>
  <c r="AO135" i="1"/>
  <c r="V136" i="1"/>
  <c r="AN138" i="1"/>
  <c r="AO139" i="1"/>
  <c r="V141" i="1"/>
  <c r="S24" i="3" s="1"/>
  <c r="V142" i="1"/>
  <c r="S27" i="3" s="1"/>
  <c r="V143" i="1"/>
  <c r="V144" i="1"/>
  <c r="V145" i="1"/>
  <c r="AN147" i="1"/>
  <c r="AO148" i="1"/>
  <c r="V149" i="1"/>
  <c r="AO149" i="1"/>
  <c r="V150" i="1"/>
  <c r="AN152" i="1"/>
  <c r="AO153" i="1"/>
  <c r="V154" i="1"/>
  <c r="AN158" i="1"/>
  <c r="AN159" i="1"/>
  <c r="AO160" i="1"/>
  <c r="V210" i="1"/>
  <c r="AN163" i="1"/>
  <c r="AO164" i="1"/>
  <c r="V214" i="1"/>
  <c r="S33" i="3" s="1"/>
  <c r="AN111" i="1"/>
  <c r="AN115" i="1"/>
  <c r="AN116" i="1"/>
  <c r="AO117" i="1"/>
  <c r="V119" i="1"/>
  <c r="AN121" i="1"/>
  <c r="AO122" i="1"/>
  <c r="AO123" i="1"/>
  <c r="AO124" i="1"/>
  <c r="V125" i="1"/>
  <c r="AN127" i="1"/>
  <c r="AO128" i="1"/>
  <c r="V129" i="1"/>
  <c r="AN133" i="1"/>
  <c r="AO134" i="1"/>
  <c r="V135" i="1"/>
  <c r="AN137" i="1"/>
  <c r="AO138" i="1"/>
  <c r="V139" i="1"/>
  <c r="AN146" i="1"/>
  <c r="AO147" i="1"/>
  <c r="V148" i="1"/>
  <c r="AN151" i="1"/>
  <c r="AO152" i="1"/>
  <c r="V153" i="1"/>
  <c r="AN155" i="1"/>
  <c r="AO158" i="1"/>
  <c r="AO159" i="1"/>
  <c r="V209" i="1"/>
  <c r="AN162" i="1"/>
  <c r="AO163" i="1"/>
  <c r="V213" i="1"/>
  <c r="AN166" i="1"/>
  <c r="AN167" i="1"/>
  <c r="AN170" i="1"/>
  <c r="AO171" i="1"/>
  <c r="V227" i="1"/>
  <c r="AN174" i="1"/>
  <c r="AO175" i="1"/>
  <c r="V231" i="1"/>
  <c r="AN161" i="1"/>
  <c r="AN169" i="1"/>
  <c r="V225" i="1"/>
  <c r="AO172" i="1"/>
  <c r="V228" i="1"/>
  <c r="AO174" i="1"/>
  <c r="V230" i="1"/>
  <c r="AN177" i="1"/>
  <c r="V233" i="1"/>
  <c r="S34" i="3" s="1"/>
  <c r="AN180" i="1"/>
  <c r="AO181" i="1"/>
  <c r="V237" i="1"/>
  <c r="AN184" i="1"/>
  <c r="AO185" i="1"/>
  <c r="V241" i="1"/>
  <c r="AN189" i="1"/>
  <c r="AO190" i="1"/>
  <c r="V161" i="1"/>
  <c r="AN193" i="1"/>
  <c r="V165" i="1"/>
  <c r="AN199" i="1"/>
  <c r="AO201" i="1"/>
  <c r="V168" i="1"/>
  <c r="AO202" i="1"/>
  <c r="V169" i="1"/>
  <c r="AN206" i="1"/>
  <c r="AO207" i="1"/>
  <c r="V173" i="1"/>
  <c r="AN210" i="1"/>
  <c r="AO211" i="1"/>
  <c r="V177" i="1"/>
  <c r="AN215" i="1"/>
  <c r="AO216" i="1"/>
  <c r="V182" i="1"/>
  <c r="AN219" i="1"/>
  <c r="AO220" i="1"/>
  <c r="V186" i="1"/>
  <c r="AO167" i="1"/>
  <c r="AN168" i="1"/>
  <c r="AO169" i="1"/>
  <c r="AN175" i="1"/>
  <c r="AN176" i="1"/>
  <c r="AO177" i="1"/>
  <c r="AN179" i="1"/>
  <c r="AO180" i="1"/>
  <c r="V236" i="1"/>
  <c r="AN183" i="1"/>
  <c r="AO184" i="1"/>
  <c r="V240" i="1"/>
  <c r="AN187" i="1"/>
  <c r="AO189" i="1"/>
  <c r="V160" i="1"/>
  <c r="AN192" i="1"/>
  <c r="AO193" i="1"/>
  <c r="V164" i="1"/>
  <c r="AN198" i="1"/>
  <c r="AO199" i="1"/>
  <c r="V242" i="1"/>
  <c r="AN205" i="1"/>
  <c r="AO206" i="1"/>
  <c r="V172" i="1"/>
  <c r="AN209" i="1"/>
  <c r="AO210" i="1"/>
  <c r="V176" i="1"/>
  <c r="AN214" i="1"/>
  <c r="AO215" i="1"/>
  <c r="V181" i="1"/>
  <c r="AN218" i="1"/>
  <c r="AO219" i="1"/>
  <c r="V185" i="1"/>
  <c r="AN222" i="1"/>
  <c r="AO223" i="1"/>
  <c r="V190" i="1"/>
  <c r="AN226" i="1"/>
  <c r="AO227" i="1"/>
  <c r="AO228" i="1"/>
  <c r="V197" i="1"/>
  <c r="AN231" i="1"/>
  <c r="AO232" i="1"/>
  <c r="V202" i="1"/>
  <c r="V212" i="1"/>
  <c r="AN165" i="1"/>
  <c r="AO166" i="1"/>
  <c r="V216" i="1"/>
  <c r="AO168" i="1"/>
  <c r="V218" i="1"/>
  <c r="AO170" i="1"/>
  <c r="V226" i="1"/>
  <c r="AN173" i="1"/>
  <c r="V229" i="1"/>
  <c r="AO176" i="1"/>
  <c r="V232" i="1"/>
  <c r="AN178" i="1"/>
  <c r="AO179" i="1"/>
  <c r="V235" i="1"/>
  <c r="AN182" i="1"/>
  <c r="AO183" i="1"/>
  <c r="V239" i="1"/>
  <c r="AN186" i="1"/>
  <c r="AO187" i="1"/>
  <c r="V159" i="1"/>
  <c r="AN191" i="1"/>
  <c r="AO192" i="1"/>
  <c r="V163" i="1"/>
  <c r="AN197" i="1"/>
  <c r="AO198" i="1"/>
  <c r="V167" i="1"/>
  <c r="AN203" i="1"/>
  <c r="AO205" i="1"/>
  <c r="V171" i="1"/>
  <c r="S31" i="3" s="1"/>
  <c r="AN208" i="1"/>
  <c r="AO209" i="1"/>
  <c r="V175" i="1"/>
  <c r="AN212" i="1"/>
  <c r="AN213" i="1"/>
  <c r="AO214" i="1"/>
  <c r="V180" i="1"/>
  <c r="AN217" i="1"/>
  <c r="AO218" i="1"/>
  <c r="V184" i="1"/>
  <c r="AN221" i="1"/>
  <c r="AO222" i="1"/>
  <c r="V189" i="1"/>
  <c r="AN225" i="1"/>
  <c r="AO162" i="1"/>
  <c r="V217" i="1"/>
  <c r="AN171" i="1"/>
  <c r="AN172" i="1"/>
  <c r="AO173" i="1"/>
  <c r="AO178" i="1"/>
  <c r="V234" i="1"/>
  <c r="AN181" i="1"/>
  <c r="AO182" i="1"/>
  <c r="V238" i="1"/>
  <c r="AN185" i="1"/>
  <c r="AO186" i="1"/>
  <c r="V158" i="1"/>
  <c r="AN190" i="1"/>
  <c r="AO191" i="1"/>
  <c r="V162" i="1"/>
  <c r="AO197" i="1"/>
  <c r="V166" i="1"/>
  <c r="AO203" i="1"/>
  <c r="AO212" i="1"/>
  <c r="AO213" i="1"/>
  <c r="AO221" i="1"/>
  <c r="AO225" i="1"/>
  <c r="AO226" i="1"/>
  <c r="V193" i="1"/>
  <c r="AN228" i="1"/>
  <c r="AN229" i="1"/>
  <c r="AO230" i="1"/>
  <c r="AN235" i="1"/>
  <c r="V206" i="1"/>
  <c r="AN238" i="1"/>
  <c r="AO239" i="1"/>
  <c r="V222" i="1"/>
  <c r="AN242" i="1"/>
  <c r="AN239" i="1"/>
  <c r="AO240" i="1"/>
  <c r="V223" i="1"/>
  <c r="AN202" i="1"/>
  <c r="V174" i="1"/>
  <c r="AN211" i="1"/>
  <c r="V183" i="1"/>
  <c r="AN220" i="1"/>
  <c r="AN227" i="1"/>
  <c r="AO229" i="1"/>
  <c r="V198" i="1"/>
  <c r="S30" i="3" s="1"/>
  <c r="AO231" i="1"/>
  <c r="V201" i="1"/>
  <c r="S32" i="3" s="1"/>
  <c r="AN234" i="1"/>
  <c r="V205" i="1"/>
  <c r="AO235" i="1"/>
  <c r="AN237" i="1"/>
  <c r="AO238" i="1"/>
  <c r="V221" i="1"/>
  <c r="AN241" i="1"/>
  <c r="AO242" i="1"/>
  <c r="V25" i="3"/>
  <c r="AE25" i="3" s="1"/>
  <c r="V31" i="3"/>
  <c r="AE31" i="3" s="1"/>
  <c r="V26" i="3"/>
  <c r="AE26" i="3" s="1"/>
  <c r="V10" i="3"/>
  <c r="AE10" i="3" s="1"/>
  <c r="V7" i="3"/>
  <c r="V34" i="3"/>
  <c r="AE34" i="3" s="1"/>
  <c r="V8" i="3"/>
  <c r="AE8" i="3" s="1"/>
  <c r="V20" i="3"/>
  <c r="AE20" i="3" s="1"/>
  <c r="V29" i="3"/>
  <c r="AE29" i="3" s="1"/>
  <c r="V28" i="3"/>
  <c r="AE28" i="3" s="1"/>
  <c r="V30" i="3"/>
  <c r="AE30" i="3" s="1"/>
  <c r="V32" i="3"/>
  <c r="AE32" i="3" s="1"/>
  <c r="V27" i="3"/>
  <c r="AE27" i="3" s="1"/>
  <c r="V18" i="3"/>
  <c r="AE18" i="3" s="1"/>
  <c r="V24" i="3"/>
  <c r="AE24" i="3" s="1"/>
  <c r="V9" i="3"/>
  <c r="AE9" i="3" s="1"/>
  <c r="AN240" i="1"/>
  <c r="AO241" i="1"/>
  <c r="V224" i="1"/>
  <c r="AO233" i="1"/>
  <c r="V203" i="1"/>
  <c r="AN201" i="1"/>
  <c r="AO208" i="1"/>
  <c r="AO217" i="1"/>
  <c r="AN223" i="1"/>
  <c r="AN224" i="1"/>
  <c r="V191" i="1"/>
  <c r="AN232" i="1"/>
  <c r="AN233" i="1"/>
  <c r="AO234" i="1"/>
  <c r="AN236" i="1"/>
  <c r="AO237" i="1"/>
  <c r="V220" i="1"/>
  <c r="V22" i="3"/>
  <c r="AE22" i="3" s="1"/>
  <c r="V16" i="3"/>
  <c r="AE16" i="3" s="1"/>
  <c r="V12" i="3"/>
  <c r="AE12" i="3" s="1"/>
  <c r="V23" i="3"/>
  <c r="AE23" i="3" s="1"/>
  <c r="V15" i="3"/>
  <c r="AE15" i="3" s="1"/>
  <c r="V17" i="3"/>
  <c r="AE17" i="3" s="1"/>
  <c r="V21" i="3"/>
  <c r="AE21" i="3" s="1"/>
  <c r="V33" i="3"/>
  <c r="AE33" i="3" s="1"/>
  <c r="V170" i="1"/>
  <c r="AN207" i="1"/>
  <c r="V178" i="1"/>
  <c r="V179" i="1"/>
  <c r="AN216" i="1"/>
  <c r="V187" i="1"/>
  <c r="AO224" i="1"/>
  <c r="V192" i="1"/>
  <c r="AN230" i="1"/>
  <c r="V199" i="1"/>
  <c r="S28" i="3" s="1"/>
  <c r="AO236" i="1"/>
  <c r="V219" i="1"/>
  <c r="V19" i="3"/>
  <c r="AE19" i="3" s="1"/>
  <c r="V13" i="3"/>
  <c r="AE13" i="3" s="1"/>
  <c r="V14" i="3"/>
  <c r="AE14" i="3" s="1"/>
  <c r="AC33" i="3"/>
  <c r="AD16" i="3"/>
  <c r="AC24" i="3"/>
  <c r="AC28" i="3"/>
  <c r="AC10" i="3"/>
  <c r="AD29" i="3"/>
  <c r="AD28" i="3"/>
  <c r="AD33" i="3"/>
  <c r="AD23" i="3"/>
  <c r="AD15" i="3"/>
  <c r="AD24" i="3"/>
  <c r="AD8" i="3"/>
  <c r="AC32" i="3"/>
  <c r="AC7" i="3"/>
  <c r="AC29" i="3"/>
  <c r="AC31" i="3"/>
  <c r="AD30" i="3"/>
  <c r="AD14" i="3"/>
  <c r="AC17" i="3"/>
  <c r="AD34" i="3"/>
  <c r="AD18" i="3"/>
  <c r="AD10" i="3"/>
  <c r="AC13" i="3"/>
  <c r="AC18" i="3"/>
  <c r="AC20" i="3"/>
  <c r="AC26" i="3"/>
  <c r="AD25" i="3"/>
  <c r="AD21" i="3"/>
  <c r="AD12" i="3"/>
  <c r="AC14" i="3"/>
  <c r="AC19" i="3"/>
  <c r="AC23" i="3"/>
  <c r="AC8" i="3"/>
  <c r="AD31" i="3"/>
  <c r="AD17" i="3"/>
  <c r="AD27" i="3"/>
  <c r="AD19" i="3"/>
  <c r="AC15" i="3"/>
  <c r="AC21" i="3"/>
  <c r="AC16" i="3"/>
  <c r="AD22" i="3"/>
  <c r="AC12" i="3"/>
  <c r="AC30" i="3"/>
  <c r="AD32" i="3"/>
  <c r="AC25" i="3"/>
  <c r="AD20" i="3"/>
  <c r="AD13" i="3"/>
  <c r="AD9" i="3"/>
  <c r="AC9" i="3"/>
  <c r="AC22" i="3"/>
  <c r="AC27" i="3"/>
  <c r="AC34" i="3"/>
  <c r="AD26" i="3"/>
  <c r="V11" i="3"/>
  <c r="AE11" i="3" s="1"/>
  <c r="AC11" i="3"/>
  <c r="AD11" i="3"/>
  <c r="V13" i="1"/>
  <c r="AO13" i="1"/>
  <c r="AN13" i="1"/>
  <c r="AD7" i="3"/>
  <c r="S8" i="3" l="1"/>
  <c r="S22" i="3"/>
  <c r="S12" i="3"/>
  <c r="S16" i="3"/>
  <c r="S21" i="3"/>
  <c r="S9" i="3"/>
  <c r="S13" i="3"/>
  <c r="S14" i="3"/>
  <c r="S10" i="3"/>
  <c r="S7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L228" i="1" s="1"/>
  <c r="G10" i="4"/>
  <c r="L208" i="1" s="1"/>
  <c r="G11" i="4"/>
  <c r="L15" i="1" s="1"/>
  <c r="G12" i="4"/>
  <c r="L210" i="1" s="1"/>
  <c r="G13" i="4"/>
  <c r="L14" i="1" s="1"/>
  <c r="G14" i="4"/>
  <c r="L211" i="1" s="1"/>
  <c r="G15" i="4"/>
  <c r="L17" i="1" s="1"/>
  <c r="G16" i="4"/>
  <c r="L213" i="1" s="1"/>
  <c r="G17" i="4"/>
  <c r="L19" i="1" s="1"/>
  <c r="G18" i="4"/>
  <c r="L16" i="1" s="1"/>
  <c r="G19" i="4"/>
  <c r="L215" i="1" s="1"/>
  <c r="G20" i="4"/>
  <c r="L21" i="1" s="1"/>
  <c r="G21" i="4"/>
  <c r="L219" i="1" s="1"/>
  <c r="G22" i="4"/>
  <c r="L23" i="1" s="1"/>
  <c r="G23" i="4"/>
  <c r="L18" i="1" s="1"/>
  <c r="G24" i="4"/>
  <c r="L158" i="1" s="1"/>
  <c r="G25" i="4"/>
  <c r="L25" i="1" s="1"/>
  <c r="G26" i="4"/>
  <c r="L20" i="1" s="1"/>
  <c r="G27" i="4"/>
  <c r="L217" i="1" s="1"/>
  <c r="G28" i="4"/>
  <c r="L27" i="1" s="1"/>
  <c r="G29" i="4"/>
  <c r="L22" i="1" s="1"/>
  <c r="G30" i="4"/>
  <c r="L159" i="1" s="1"/>
  <c r="G31" i="4"/>
  <c r="L24" i="1" s="1"/>
  <c r="G32" i="4"/>
  <c r="L29" i="1" s="1"/>
  <c r="G33" i="4"/>
  <c r="L220" i="1" s="1"/>
  <c r="G34" i="4"/>
  <c r="L26" i="1" s="1"/>
  <c r="G35" i="4"/>
  <c r="L160" i="1" s="1"/>
  <c r="G36" i="4"/>
  <c r="L31" i="1" s="1"/>
  <c r="G37" i="4"/>
  <c r="L161" i="1" s="1"/>
  <c r="G38" i="4"/>
  <c r="L33" i="1" s="1"/>
  <c r="G39" i="4"/>
  <c r="L28" i="1" s="1"/>
  <c r="G40" i="4"/>
  <c r="L35" i="1" s="1"/>
  <c r="G41" i="4"/>
  <c r="L162" i="1" s="1"/>
  <c r="G42" i="4"/>
  <c r="L163" i="1" s="1"/>
  <c r="G43" i="4"/>
  <c r="L37" i="1" s="1"/>
  <c r="G44" i="4"/>
  <c r="L30" i="1" s="1"/>
  <c r="G45" i="4"/>
  <c r="L32" i="1" s="1"/>
  <c r="G46" i="4"/>
  <c r="G47" i="4"/>
  <c r="L39" i="1" s="1"/>
  <c r="G48" i="4"/>
  <c r="L34" i="1" s="1"/>
  <c r="G49" i="4"/>
  <c r="L164" i="1" s="1"/>
  <c r="G50" i="4"/>
  <c r="L165" i="1" s="1"/>
  <c r="G51" i="4"/>
  <c r="G52" i="4"/>
  <c r="L36" i="1" s="1"/>
  <c r="G53" i="4"/>
  <c r="L166" i="1" s="1"/>
  <c r="G54" i="4"/>
  <c r="L43" i="1" s="1"/>
  <c r="G55" i="4"/>
  <c r="L167" i="1" s="1"/>
  <c r="G56" i="4"/>
  <c r="L40" i="1" s="1"/>
  <c r="G57" i="4"/>
  <c r="L38" i="1" s="1"/>
  <c r="G58" i="4"/>
  <c r="L45" i="1" s="1"/>
  <c r="G59" i="4"/>
  <c r="G60" i="4"/>
  <c r="L47" i="1" s="1"/>
  <c r="G61" i="4"/>
  <c r="L168" i="1" s="1"/>
  <c r="G62" i="4"/>
  <c r="L169" i="1" s="1"/>
  <c r="G63" i="4"/>
  <c r="L42" i="1" s="1"/>
  <c r="G64" i="4"/>
  <c r="G65" i="4"/>
  <c r="L49" i="1" s="1"/>
  <c r="G66" i="4"/>
  <c r="L51" i="1" s="1"/>
  <c r="G67" i="4"/>
  <c r="L44" i="1" s="1"/>
  <c r="G68" i="4"/>
  <c r="L46" i="1" s="1"/>
  <c r="G69" i="4"/>
  <c r="L170" i="1" s="1"/>
  <c r="G70" i="4"/>
  <c r="L221" i="1" s="1"/>
  <c r="G71" i="4"/>
  <c r="L53" i="1" s="1"/>
  <c r="G72" i="4"/>
  <c r="L48" i="1" s="1"/>
  <c r="G73" i="4"/>
  <c r="G74" i="4"/>
  <c r="L50" i="1" s="1"/>
  <c r="G75" i="4"/>
  <c r="G76" i="4"/>
  <c r="L52" i="1" s="1"/>
  <c r="G77" i="4"/>
  <c r="L57" i="1" s="1"/>
  <c r="G78" i="4"/>
  <c r="L59" i="1" s="1"/>
  <c r="G79" i="4"/>
  <c r="L54" i="1" s="1"/>
  <c r="G80" i="4"/>
  <c r="L172" i="1" s="1"/>
  <c r="G81" i="4"/>
  <c r="L61" i="1" s="1"/>
  <c r="G82" i="4"/>
  <c r="L225" i="1" s="1"/>
  <c r="G83" i="4"/>
  <c r="L56" i="1" s="1"/>
  <c r="G84" i="4"/>
  <c r="L63" i="1" s="1"/>
  <c r="G85" i="4"/>
  <c r="L173" i="1" s="1"/>
  <c r="G86" i="4"/>
  <c r="G87" i="4"/>
  <c r="L60" i="1" s="1"/>
  <c r="G88" i="4"/>
  <c r="L65" i="1" s="1"/>
  <c r="G89" i="4"/>
  <c r="L58" i="1" s="1"/>
  <c r="G90" i="4"/>
  <c r="L62" i="1" s="1"/>
  <c r="G91" i="4"/>
  <c r="L67" i="1" s="1"/>
  <c r="G92" i="4"/>
  <c r="L174" i="1" s="1"/>
  <c r="G93" i="4"/>
  <c r="G94" i="4"/>
  <c r="G95" i="4"/>
  <c r="G96" i="4"/>
  <c r="L69" i="1" s="1"/>
  <c r="G97" i="4"/>
  <c r="L64" i="1" s="1"/>
  <c r="G98" i="4"/>
  <c r="L71" i="1" s="1"/>
  <c r="G99" i="4"/>
  <c r="L175" i="1" s="1"/>
  <c r="G100" i="4"/>
  <c r="L66" i="1" s="1"/>
  <c r="G101" i="4"/>
  <c r="G102" i="4"/>
  <c r="L73" i="1" s="1"/>
  <c r="G103" i="4"/>
  <c r="L75" i="1" s="1"/>
  <c r="G104" i="4"/>
  <c r="L176" i="1" s="1"/>
  <c r="G105" i="4"/>
  <c r="L235" i="1" s="1"/>
  <c r="G106" i="4"/>
  <c r="L234" i="1" s="1"/>
  <c r="G107" i="4"/>
  <c r="G108" i="4"/>
  <c r="L77" i="1" s="1"/>
  <c r="G109" i="4"/>
  <c r="L70" i="1" s="1"/>
  <c r="G110" i="4"/>
  <c r="L72" i="1" s="1"/>
  <c r="G111" i="4"/>
  <c r="L79" i="1" s="1"/>
  <c r="G112" i="4"/>
  <c r="L236" i="1" s="1"/>
  <c r="G113" i="4"/>
  <c r="L177" i="1" s="1"/>
  <c r="G114" i="4"/>
  <c r="L237" i="1" s="1"/>
  <c r="G115" i="4"/>
  <c r="L74" i="1" s="1"/>
  <c r="G116" i="4"/>
  <c r="L81" i="1" s="1"/>
  <c r="G117" i="4"/>
  <c r="G118" i="4"/>
  <c r="L178" i="1" s="1"/>
  <c r="G119" i="4"/>
  <c r="L83" i="1" s="1"/>
  <c r="G120" i="4"/>
  <c r="L78" i="1" s="1"/>
  <c r="G121" i="4"/>
  <c r="L85" i="1" s="1"/>
  <c r="G122" i="4"/>
  <c r="G123" i="4"/>
  <c r="G124" i="4"/>
  <c r="L80" i="1" s="1"/>
  <c r="G125" i="4"/>
  <c r="L87" i="1" s="1"/>
  <c r="G126" i="4"/>
  <c r="L82" i="1" s="1"/>
  <c r="G127" i="4"/>
  <c r="L179" i="1" s="1"/>
  <c r="G128" i="4"/>
  <c r="L89" i="1" s="1"/>
  <c r="G129" i="4"/>
  <c r="L84" i="1" s="1"/>
  <c r="G130" i="4"/>
  <c r="L86" i="1" s="1"/>
  <c r="G131" i="4"/>
  <c r="L91" i="1" s="1"/>
  <c r="G132" i="4"/>
  <c r="L180" i="1" s="1"/>
  <c r="G133" i="4"/>
  <c r="L93" i="1" s="1"/>
  <c r="G134" i="4"/>
  <c r="L88" i="1" s="1"/>
  <c r="G135" i="4"/>
  <c r="L95" i="1" s="1"/>
  <c r="G136" i="4"/>
  <c r="L181" i="1" s="1"/>
  <c r="G137" i="4"/>
  <c r="L90" i="1" s="1"/>
  <c r="G138" i="4"/>
  <c r="L97" i="1" s="1"/>
  <c r="G139" i="4"/>
  <c r="G140" i="4"/>
  <c r="L99" i="1" s="1"/>
  <c r="G141" i="4"/>
  <c r="L182" i="1" s="1"/>
  <c r="G142" i="4"/>
  <c r="L94" i="1" s="1"/>
  <c r="G143" i="4"/>
  <c r="L101" i="1" s="1"/>
  <c r="G144" i="4"/>
  <c r="L96" i="1" s="1"/>
  <c r="G145" i="4"/>
  <c r="G146" i="4"/>
  <c r="L183" i="1" s="1"/>
  <c r="G147" i="4"/>
  <c r="L106" i="1" s="1"/>
  <c r="G148" i="4"/>
  <c r="L98" i="1" s="1"/>
  <c r="G149" i="4"/>
  <c r="G150" i="4"/>
  <c r="L222" i="1" s="1"/>
  <c r="G151" i="4"/>
  <c r="L100" i="1" s="1"/>
  <c r="G152" i="4"/>
  <c r="L108" i="1" s="1"/>
  <c r="G153" i="4"/>
  <c r="L184" i="1" s="1"/>
  <c r="G154" i="4"/>
  <c r="L185" i="1" s="1"/>
  <c r="G155" i="4"/>
  <c r="G156" i="4"/>
  <c r="L110" i="1" s="1"/>
  <c r="G157" i="4"/>
  <c r="L105" i="1" s="1"/>
  <c r="G158" i="4"/>
  <c r="L186" i="1" s="1"/>
  <c r="G159" i="4"/>
  <c r="L107" i="1" s="1"/>
  <c r="G160" i="4"/>
  <c r="G161" i="4"/>
  <c r="L187" i="1" s="1"/>
  <c r="G162" i="4"/>
  <c r="L114" i="1" s="1"/>
  <c r="G163" i="4"/>
  <c r="L109" i="1" s="1"/>
  <c r="G164" i="4"/>
  <c r="L116" i="1" s="1"/>
  <c r="G165" i="4"/>
  <c r="L188" i="1" s="1"/>
  <c r="G166" i="4"/>
  <c r="L111" i="1" s="1"/>
  <c r="G167" i="4"/>
  <c r="L240" i="1" s="1"/>
  <c r="G168" i="4"/>
  <c r="L189" i="1" s="1"/>
  <c r="G169" i="4"/>
  <c r="L118" i="1" s="1"/>
  <c r="G170" i="4"/>
  <c r="L113" i="1" s="1"/>
  <c r="G171" i="4"/>
  <c r="L190" i="1" s="1"/>
  <c r="G172" i="4"/>
  <c r="L120" i="1" s="1"/>
  <c r="G173" i="4"/>
  <c r="L115" i="1" s="1"/>
  <c r="G174" i="4"/>
  <c r="L191" i="1" s="1"/>
  <c r="G175" i="4"/>
  <c r="L122" i="1" s="1"/>
  <c r="G176" i="4"/>
  <c r="L117" i="1" s="1"/>
  <c r="G177" i="4"/>
  <c r="L124" i="1" s="1"/>
  <c r="G178" i="4"/>
  <c r="L192" i="1" s="1"/>
  <c r="G179" i="4"/>
  <c r="L241" i="1" s="1"/>
  <c r="G180" i="4"/>
  <c r="L193" i="1" s="1"/>
  <c r="G181" i="4"/>
  <c r="L119" i="1" s="1"/>
  <c r="G182" i="4"/>
  <c r="G183" i="4"/>
  <c r="G184" i="4"/>
  <c r="L126" i="1" s="1"/>
  <c r="G185" i="4"/>
  <c r="L129" i="1" s="1"/>
  <c r="G186" i="4"/>
  <c r="G187" i="4"/>
  <c r="L128" i="1" s="1"/>
  <c r="G188" i="4"/>
  <c r="L123" i="1" s="1"/>
  <c r="G189" i="4"/>
  <c r="L195" i="1" s="1"/>
  <c r="G190" i="4"/>
  <c r="L130" i="1" s="1"/>
  <c r="G191" i="4"/>
  <c r="L121" i="1" s="1"/>
  <c r="G192" i="4"/>
  <c r="L125" i="1" s="1"/>
  <c r="G193" i="4"/>
  <c r="L196" i="1" s="1"/>
  <c r="G194" i="4"/>
  <c r="L127" i="1" s="1"/>
  <c r="G195" i="4"/>
  <c r="L132" i="1" s="1"/>
  <c r="G196" i="4"/>
  <c r="L197" i="1" s="1"/>
  <c r="G197" i="4"/>
  <c r="G198" i="4"/>
  <c r="G199" i="4"/>
  <c r="L134" i="1" s="1"/>
  <c r="G200" i="4"/>
  <c r="L223" i="1" s="1"/>
  <c r="G201" i="4"/>
  <c r="G202" i="4"/>
  <c r="L131" i="1" s="1"/>
  <c r="G203" i="4"/>
  <c r="L209" i="1" s="1"/>
  <c r="G204" i="4"/>
  <c r="L133" i="1" s="1"/>
  <c r="G205" i="4"/>
  <c r="G206" i="4"/>
  <c r="L136" i="1" s="1"/>
  <c r="G207" i="4"/>
  <c r="G208" i="4"/>
  <c r="L135" i="1" s="1"/>
  <c r="G209" i="4"/>
  <c r="L138" i="1" s="1"/>
  <c r="G210" i="4"/>
  <c r="G211" i="4"/>
  <c r="L140" i="1" s="1"/>
  <c r="G212" i="4"/>
  <c r="L137" i="1" s="1"/>
  <c r="G213" i="4"/>
  <c r="L200" i="1" s="1"/>
  <c r="G214" i="4"/>
  <c r="G215" i="4"/>
  <c r="L139" i="1" s="1"/>
  <c r="G216" i="4"/>
  <c r="L203" i="1" s="1"/>
  <c r="G217" i="4"/>
  <c r="L144" i="1" s="1"/>
  <c r="G218" i="4"/>
  <c r="G219" i="4"/>
  <c r="L202" i="1" s="1"/>
  <c r="G220" i="4"/>
  <c r="G221" i="4"/>
  <c r="L143" i="1" s="1"/>
  <c r="G222" i="4"/>
  <c r="L205" i="1" s="1"/>
  <c r="G223" i="4"/>
  <c r="L148" i="1" s="1"/>
  <c r="G2" i="4"/>
  <c r="N18" i="3" l="1"/>
  <c r="L146" i="1"/>
  <c r="N24" i="3"/>
  <c r="L141" i="1"/>
  <c r="N27" i="3"/>
  <c r="L142" i="1"/>
  <c r="N32" i="3"/>
  <c r="L201" i="1"/>
  <c r="N29" i="3"/>
  <c r="L194" i="1"/>
  <c r="L239" i="1"/>
  <c r="L238" i="1"/>
  <c r="N30" i="3"/>
  <c r="L198" i="1"/>
  <c r="N28" i="3"/>
  <c r="L199" i="1"/>
  <c r="N11" i="3"/>
  <c r="L207" i="1"/>
  <c r="L104" i="1"/>
  <c r="L103" i="1"/>
  <c r="N23" i="3"/>
  <c r="L76" i="1"/>
  <c r="N20" i="3"/>
  <c r="L68" i="1"/>
  <c r="L232" i="1"/>
  <c r="L231" i="1"/>
  <c r="N26" i="3"/>
  <c r="L55" i="1"/>
  <c r="N17" i="3"/>
  <c r="L112" i="1"/>
  <c r="N19" i="3"/>
  <c r="L102" i="1"/>
  <c r="N15" i="3"/>
  <c r="L92" i="1"/>
  <c r="N34" i="3"/>
  <c r="L233" i="1"/>
  <c r="N31" i="3"/>
  <c r="L171" i="1"/>
  <c r="L229" i="1"/>
  <c r="L230" i="1"/>
  <c r="N25" i="3"/>
  <c r="L41" i="1"/>
  <c r="L226" i="1"/>
  <c r="L227" i="1"/>
  <c r="N22" i="3"/>
  <c r="N8" i="3"/>
  <c r="N10" i="3"/>
  <c r="N7" i="3"/>
  <c r="N13" i="3"/>
  <c r="N14" i="3"/>
  <c r="N16" i="3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95" i="1" l="1"/>
  <c r="AF204" i="1"/>
  <c r="AF200" i="1"/>
  <c r="AF196" i="1"/>
  <c r="AF194" i="1"/>
  <c r="AF156" i="1"/>
  <c r="AF157" i="1"/>
  <c r="AF140" i="1"/>
  <c r="AF16" i="1"/>
  <c r="AF20" i="1"/>
  <c r="AF24" i="1"/>
  <c r="AF28" i="1"/>
  <c r="AF32" i="1"/>
  <c r="AF36" i="1"/>
  <c r="AF41" i="1"/>
  <c r="AF42" i="1"/>
  <c r="AF46" i="1"/>
  <c r="AF50" i="1"/>
  <c r="AF55" i="1"/>
  <c r="AF62" i="1"/>
  <c r="AF188" i="1"/>
  <c r="AF118" i="1"/>
  <c r="AF15" i="1"/>
  <c r="AF19" i="1"/>
  <c r="AF23" i="1"/>
  <c r="AF27" i="1"/>
  <c r="AF31" i="1"/>
  <c r="AF35" i="1"/>
  <c r="AF40" i="1"/>
  <c r="AF45" i="1"/>
  <c r="AF49" i="1"/>
  <c r="AF53" i="1"/>
  <c r="AF54" i="1"/>
  <c r="AF59" i="1"/>
  <c r="AF14" i="1"/>
  <c r="AF18" i="1"/>
  <c r="AF22" i="1"/>
  <c r="AF26" i="1"/>
  <c r="AF30" i="1"/>
  <c r="AF34" i="1"/>
  <c r="AF39" i="1"/>
  <c r="AF44" i="1"/>
  <c r="AF48" i="1"/>
  <c r="AF52" i="1"/>
  <c r="AF57" i="1"/>
  <c r="AF58" i="1"/>
  <c r="AF17" i="1"/>
  <c r="AF21" i="1"/>
  <c r="AF25" i="1"/>
  <c r="AF29" i="1"/>
  <c r="AF33" i="1"/>
  <c r="AF37" i="1"/>
  <c r="AF38" i="1"/>
  <c r="AF43" i="1"/>
  <c r="AF47" i="1"/>
  <c r="AF51" i="1"/>
  <c r="AF56" i="1"/>
  <c r="AF61" i="1"/>
  <c r="AF63" i="1"/>
  <c r="AF67" i="1"/>
  <c r="AF71" i="1"/>
  <c r="AF75" i="1"/>
  <c r="AF79" i="1"/>
  <c r="AF84" i="1"/>
  <c r="AF88" i="1"/>
  <c r="AF92" i="1"/>
  <c r="AF96" i="1"/>
  <c r="AF100" i="1"/>
  <c r="AF101" i="1"/>
  <c r="AF105" i="1"/>
  <c r="AF109" i="1"/>
  <c r="AF113" i="1"/>
  <c r="AF115" i="1"/>
  <c r="AF66" i="1"/>
  <c r="AF70" i="1"/>
  <c r="AF74" i="1"/>
  <c r="AF78" i="1"/>
  <c r="AF83" i="1"/>
  <c r="AF87" i="1"/>
  <c r="AF91" i="1"/>
  <c r="AF95" i="1"/>
  <c r="AF99" i="1"/>
  <c r="AF104" i="1"/>
  <c r="AF108" i="1"/>
  <c r="AF65" i="1"/>
  <c r="AF69" i="1"/>
  <c r="AF73" i="1"/>
  <c r="AF77" i="1"/>
  <c r="AF82" i="1"/>
  <c r="AF86" i="1"/>
  <c r="AF90" i="1"/>
  <c r="AF94" i="1"/>
  <c r="AF98" i="1"/>
  <c r="AF103" i="1"/>
  <c r="AF107" i="1"/>
  <c r="AF111" i="1"/>
  <c r="AF60" i="1"/>
  <c r="AF64" i="1"/>
  <c r="AF68" i="1"/>
  <c r="AF72" i="1"/>
  <c r="AF76" i="1"/>
  <c r="AF80" i="1"/>
  <c r="AF81" i="1"/>
  <c r="AF85" i="1"/>
  <c r="AF89" i="1"/>
  <c r="AF93" i="1"/>
  <c r="AF97" i="1"/>
  <c r="AF102" i="1"/>
  <c r="AF106" i="1"/>
  <c r="AF110" i="1"/>
  <c r="AF114" i="1"/>
  <c r="AF112" i="1"/>
  <c r="AF121" i="1"/>
  <c r="AF127" i="1"/>
  <c r="AF133" i="1"/>
  <c r="AF137" i="1"/>
  <c r="AF146" i="1"/>
  <c r="AF151" i="1"/>
  <c r="AF155" i="1"/>
  <c r="AF116" i="1"/>
  <c r="AF120" i="1"/>
  <c r="AF126" i="1"/>
  <c r="AF130" i="1"/>
  <c r="AF131" i="1"/>
  <c r="AF132" i="1"/>
  <c r="AF136" i="1"/>
  <c r="AF141" i="1"/>
  <c r="AF142" i="1"/>
  <c r="AF143" i="1"/>
  <c r="AF144" i="1"/>
  <c r="AF145" i="1"/>
  <c r="AF150" i="1"/>
  <c r="AF154" i="1"/>
  <c r="AF210" i="1"/>
  <c r="AF214" i="1"/>
  <c r="AF119" i="1"/>
  <c r="AF125" i="1"/>
  <c r="AF129" i="1"/>
  <c r="AF135" i="1"/>
  <c r="AF139" i="1"/>
  <c r="AF148" i="1"/>
  <c r="AF149" i="1"/>
  <c r="AF153" i="1"/>
  <c r="AF209" i="1"/>
  <c r="AF213" i="1"/>
  <c r="AF117" i="1"/>
  <c r="AF122" i="1"/>
  <c r="AF123" i="1"/>
  <c r="AF124" i="1"/>
  <c r="AF128" i="1"/>
  <c r="AF134" i="1"/>
  <c r="AF138" i="1"/>
  <c r="AF147" i="1"/>
  <c r="AF152" i="1"/>
  <c r="AF207" i="1"/>
  <c r="AF208" i="1"/>
  <c r="AF212" i="1"/>
  <c r="AF226" i="1"/>
  <c r="AF230" i="1"/>
  <c r="AF236" i="1"/>
  <c r="AF240" i="1"/>
  <c r="AF160" i="1"/>
  <c r="AF164" i="1"/>
  <c r="AF242" i="1"/>
  <c r="AF168" i="1"/>
  <c r="AF172" i="1"/>
  <c r="AF176" i="1"/>
  <c r="AF181" i="1"/>
  <c r="AF185" i="1"/>
  <c r="AF211" i="1"/>
  <c r="AF218" i="1"/>
  <c r="AF227" i="1"/>
  <c r="AF229" i="1"/>
  <c r="AF232" i="1"/>
  <c r="AF235" i="1"/>
  <c r="AF239" i="1"/>
  <c r="AF159" i="1"/>
  <c r="AF163" i="1"/>
  <c r="AF167" i="1"/>
  <c r="AF171" i="1"/>
  <c r="AF175" i="1"/>
  <c r="AF180" i="1"/>
  <c r="AF184" i="1"/>
  <c r="AF189" i="1"/>
  <c r="AF193" i="1"/>
  <c r="AF201" i="1"/>
  <c r="AF216" i="1"/>
  <c r="AF234" i="1"/>
  <c r="AF238" i="1"/>
  <c r="AF158" i="1"/>
  <c r="AF162" i="1"/>
  <c r="AF166" i="1"/>
  <c r="AF170" i="1"/>
  <c r="AF174" i="1"/>
  <c r="AF179" i="1"/>
  <c r="AF183" i="1"/>
  <c r="AF187" i="1"/>
  <c r="AF192" i="1"/>
  <c r="AF215" i="1"/>
  <c r="AF217" i="1"/>
  <c r="AF225" i="1"/>
  <c r="AF228" i="1"/>
  <c r="AF231" i="1"/>
  <c r="AF233" i="1"/>
  <c r="AF237" i="1"/>
  <c r="AF241" i="1"/>
  <c r="AF161" i="1"/>
  <c r="AF165" i="1"/>
  <c r="AF173" i="1"/>
  <c r="AF182" i="1"/>
  <c r="AF190" i="1"/>
  <c r="AF198" i="1"/>
  <c r="AF202" i="1"/>
  <c r="AF221" i="1"/>
  <c r="AF222" i="1"/>
  <c r="AF191" i="1"/>
  <c r="AF205" i="1"/>
  <c r="AF220" i="1"/>
  <c r="AF224" i="1"/>
  <c r="AF223" i="1"/>
  <c r="AF169" i="1"/>
  <c r="AF177" i="1"/>
  <c r="AF178" i="1"/>
  <c r="AF186" i="1"/>
  <c r="AF197" i="1"/>
  <c r="AF199" i="1"/>
  <c r="AF203" i="1"/>
  <c r="AF219" i="1"/>
  <c r="AF206" i="1"/>
  <c r="T14" i="3"/>
  <c r="T19" i="3"/>
  <c r="T28" i="3"/>
  <c r="T17" i="3"/>
  <c r="T29" i="3"/>
  <c r="T31" i="3"/>
  <c r="T15" i="3"/>
  <c r="T22" i="3"/>
  <c r="T24" i="3"/>
  <c r="T13" i="3"/>
  <c r="T20" i="3"/>
  <c r="T16" i="3"/>
  <c r="T32" i="3"/>
  <c r="T26" i="3"/>
  <c r="T10" i="3"/>
  <c r="T18" i="3"/>
  <c r="T12" i="3"/>
  <c r="T33" i="3"/>
  <c r="T8" i="3"/>
  <c r="T27" i="3"/>
  <c r="T34" i="3"/>
  <c r="T9" i="3"/>
  <c r="T7" i="3"/>
  <c r="T25" i="3"/>
  <c r="T30" i="3"/>
  <c r="T23" i="3"/>
  <c r="T21" i="3"/>
  <c r="T11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<sst xmlns="http://schemas.openxmlformats.org/spreadsheetml/2006/main" count="3701" uniqueCount="1023">
  <si>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</si>
  <si>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</si>
  <si>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</si>
  <si>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</si>
  <si>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</si>
  <si>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</si>
  <si>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</si>
  <si>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</si>
  <si>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</si>
  <si>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</si>
  <si>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</si>
  <si>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</si>
  <si>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</si>
  <si>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</si>
  <si>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</si>
  <si>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</si>
  <si>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</si>
  <si>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</si>
  <si>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</si>
  <si>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</si>
  <si>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</si>
  <si>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</si>
  <si>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</si>
  <si>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</si>
  <si>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</si>
  <si>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</si>
  <si>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</si>
  <si>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</si>
  <si>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</si>
  <si>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</si>
  <si>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</si>
  <si>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</si>
  <si>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</si>
  <si>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</si>
  <si>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</si>
  <si>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</si>
  <si>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</si>
  <si>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</si>
  <si>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</si>
  <si>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</si>
  <si>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</si>
  <si>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</si>
  <si>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</si>
  <si>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</si>
  <si>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</si>
  <si>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</si>
  <si>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</si>
  <si>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</si>
  <si>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</si>
  <si>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</si>
  <si>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</si>
  <si>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</si>
  <si>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</si>
  <si>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</si>
  <si>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</si>
  <si>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</si>
  <si>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</si>
  <si>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</si>
  <si>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</si>
  <si>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</si>
  <si>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</si>
  <si>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</si>
  <si>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</si>
  <si>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</si>
  <si>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</si>
  <si>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</si>
  <si>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</si>
  <si>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</si>
  <si>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</si>
  <si>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</si>
  <si>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</si>
  <si>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</si>
  <si>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</si>
  <si>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</si>
  <si>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</si>
  <si>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</si>
  <si>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</si>
  <si>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</si>
  <si>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</si>
  <si>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</si>
  <si>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</si>
  <si>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</si>
  <si>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</si>
  <si>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</si>
  <si>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</si>
  <si>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</si>
  <si>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</si>
  <si>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</si>
  <si>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</si>
  <si>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</si>
  <si>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</si>
  <si>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</si>
  <si>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</si>
  <si>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</si>
  <si>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</si>
  <si>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</si>
  <si>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</si>
  <si>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</si>
  <si>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</si>
  <si>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</si>
  <si>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</si>
  <si>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</si>
  <si>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</si>
  <si>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</si>
  <si>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</si>
  <si>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</si>
  <si>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</si>
  <si>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</si>
  <si>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</si>
  <si>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</si>
  <si>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</si>
  <si>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</si>
  <si>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</si>
  <si>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</si>
  <si>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</si>
  <si>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</si>
  <si>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</si>
  <si>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</si>
  <si>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</si>
  <si>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</si>
  <si>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</si>
  <si>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</si>
  <si>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</si>
  <si>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</si>
  <si>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</si>
  <si>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</si>
  <si>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</si>
  <si>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</si>
  <si>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</si>
  <si>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</si>
  <si>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</si>
  <si>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</si>
  <si>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</si>
  <si>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</si>
  <si>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</si>
  <si>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</si>
  <si>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</si>
  <si>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</si>
  <si>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</si>
  <si>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</si>
  <si>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</si>
  <si>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</si>
  <si>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</si>
  <si>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</si>
  <si>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</si>
  <si>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</si>
  <si>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</si>
  <si>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</si>
  <si>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</si>
  <si>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</si>
  <si>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</si>
  <si>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</si>
  <si>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</si>
  <si>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</si>
  <si>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</si>
  <si>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</si>
  <si>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</si>
  <si>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</si>
  <si>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</si>
  <si>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</si>
  <si>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</si>
  <si>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</si>
  <si>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</si>
  <si>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</si>
  <si>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</si>
  <si>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</si>
  <si>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</si>
  <si>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</si>
  <si>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</si>
  <si>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</si>
  <si>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</si>
  <si>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</si>
  <si>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</si>
  <si>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</si>
  <si>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</si>
  <si>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</si>
  <si>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</si>
  <si>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</si>
  <si>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</si>
  <si>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</si>
  <si>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</si>
  <si>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</si>
  <si>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</si>
  <si>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</si>
  <si>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</si>
  <si>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</si>
  <si>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</si>
  <si>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</si>
  <si>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</si>
  <si>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</si>
  <si>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</si>
  <si>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</si>
  <si>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</si>
  <si>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</si>
  <si>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</si>
  <si>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</si>
  <si>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</si>
  <si>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</si>
  <si>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</si>
  <si>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</si>
  <si>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</si>
  <si>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</si>
  <si>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</si>
  <si>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</si>
  <si>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</si>
  <si>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</si>
  <si>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</si>
  <si>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</si>
  <si>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</si>
  <si>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</si>
  <si>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</si>
  <si>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</si>
  <si>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</si>
  <si>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</si>
  <si>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</si>
  <si>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</si>
  <si>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</si>
  <si>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</si>
  <si>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</si>
  <si>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</si>
  <si>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</si>
  <si>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</si>
  <si>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</si>
  <si>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</si>
  <si>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</si>
  <si>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</si>
  <si>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</si>
  <si>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</si>
  <si>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</si>
  <si>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</si>
  <si>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</si>
  <si>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</si>
  <si>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</si>
  <si>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</si>
  <si>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</si>
  <si>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</si>
  <si>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</si>
  <si>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</si>
  <si>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</si>
  <si>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</si>
  <si>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</si>
  <si>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</si>
  <si>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</si>
  <si>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</si>
  <si>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</si>
  <si>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</si>
  <si>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</si>
  <si>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</si>
  <si>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</si>
  <si>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</si>
  <si>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</si>
  <si>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</si>
  <si>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</si>
  <si>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</si>
  <si>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</si>
  <si>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</si>
  <si>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</si>
  <si>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</si>
  <si>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</si>
  <si>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</si>
  <si>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</si>
  <si>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</si>
  <si>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</si>
  <si>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</si>
  <si>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</si>
  <si>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</si>
  <si>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</si>
  <si>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</si>
  <si>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</si>
  <si>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</si>
  <si>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</si>
  <si>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</si>
  <si>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</si>
  <si>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</si>
  <si>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</si>
  <si>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</si>
  <si>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</si>
  <si>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</si>
  <si>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</si>
  <si>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</si>
  <si>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</si>
  <si>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</si>
  <si>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</si>
  <si>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</si>
  <si>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</si>
  <si>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</si>
  <si>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</si>
  <si>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</si>
  <si>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</si>
  <si>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</si>
  <si>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</si>
  <si>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</si>
  <si>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</si>
  <si>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</si>
  <si>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</si>
  <si>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</si>
  <si>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</si>
  <si>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</si>
  <si>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</si>
  <si>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</si>
  <si>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</si>
  <si>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</si>
  <si>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</si>
  <si>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</si>
  <si>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</si>
  <si>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</si>
  <si>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</si>
  <si>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</si>
  <si>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</si>
  <si>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</si>
  <si>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</si>
  <si>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</si>
  <si>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</si>
  <si>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</si>
  <si>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</si>
  <si>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</si>
  <si>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</si>
  <si>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</si>
  <si>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</si>
  <si>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</si>
  <si>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</si>
  <si>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</si>
  <si>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</si>
  <si>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</si>
  <si>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</si>
  <si>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</si>
  <si>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</si>
  <si>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</si>
  <si>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</si>
  <si>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</si>
  <si>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</si>
  <si>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</si>
  <si>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</si>
  <si>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</si>
  <si>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</si>
  <si>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</si>
  <si>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</si>
  <si>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</si>
  <si>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</si>
  <si>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</si>
  <si>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</si>
  <si>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</si>
  <si>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</si>
  <si>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</si>
  <si>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</si>
  <si>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</si>
  <si>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</si>
  <si>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</si>
  <si>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</si>
  <si>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</si>
  <si>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</si>
  <si>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</si>
  <si>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</si>
  <si>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</si>
  <si>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</si>
  <si>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</si>
  <si>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</si>
  <si>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</si>
  <si>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</si>
  <si>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</si>
  <si>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</si>
  <si>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</si>
  <si>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</si>
  <si>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</si>
  <si>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</si>
  <si>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</si>
  <si>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</si>
  <si>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</si>
  <si>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</si>
  <si>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</si>
  <si>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</si>
  <si>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</si>
  <si>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</si>
  <si>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</si>
  <si>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rtdc.l.rtdc.4058:itc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</si>
  <si>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</si>
  <si>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</si>
  <si>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</si>
  <si>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</si>
  <si>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</si>
  <si>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</si>
  <si>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</si>
  <si>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</si>
  <si>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</si>
  <si>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rtdc.l.rtdc.4039:itc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</si>
  <si>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</si>
  <si>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</si>
  <si>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</si>
  <si>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</si>
  <si>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</si>
  <si>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</si>
  <si>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</si>
  <si>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204:233000</t>
  </si>
  <si>
    <t>rtdc.l.rtdc.4050:itc</t>
  </si>
  <si>
    <t>204:233291</t>
  </si>
  <si>
    <t>204:233297</t>
  </si>
  <si>
    <t>204:467</t>
  </si>
  <si>
    <t>204:473</t>
  </si>
  <si>
    <t>204:233300</t>
  </si>
  <si>
    <t>rtdc.l.rtdc.4061:itc</t>
  </si>
  <si>
    <t>rtdc.l.rtdc.4055:itc</t>
  </si>
  <si>
    <t>rtdc.l.rtdc.4056:itc</t>
  </si>
  <si>
    <t>204:469</t>
  </si>
  <si>
    <t>204:233015</t>
  </si>
  <si>
    <t>204:232992</t>
  </si>
  <si>
    <t>Wi-MAX data drop</t>
  </si>
  <si>
    <t>MICHAEL</t>
  </si>
  <si>
    <t>rtdc.l.rtdc.4008:itc</t>
  </si>
  <si>
    <t>204:475</t>
  </si>
  <si>
    <t>204:233308</t>
  </si>
  <si>
    <t>204:233302</t>
  </si>
  <si>
    <t>204:974</t>
  </si>
  <si>
    <t>204:233010</t>
  </si>
  <si>
    <t>204:160</t>
  </si>
  <si>
    <t>SPECTOR</t>
  </si>
  <si>
    <t>BONDS</t>
  </si>
  <si>
    <t>REYNALDO</t>
  </si>
  <si>
    <t>YANAI</t>
  </si>
  <si>
    <t>IAN</t>
  </si>
  <si>
    <t>LEVERE</t>
  </si>
  <si>
    <t>CRAIG</t>
  </si>
  <si>
    <t>LEVIN</t>
  </si>
  <si>
    <t>SCOTT</t>
  </si>
  <si>
    <t>204:233325</t>
  </si>
  <si>
    <t>204:437</t>
  </si>
  <si>
    <t>204:233336</t>
  </si>
  <si>
    <t>204:232980</t>
  </si>
  <si>
    <t>204:478</t>
  </si>
  <si>
    <t>204:983</t>
  </si>
  <si>
    <t>204:694</t>
  </si>
  <si>
    <t>300:58933</t>
  </si>
  <si>
    <t>rtdc.l.rtdc.4007:itc</t>
  </si>
  <si>
    <t>rtdc.l.rtdc.4049:itc</t>
  </si>
  <si>
    <t>BIRKHOLZ</t>
  </si>
  <si>
    <t>NADINE</t>
  </si>
  <si>
    <t>clear-night</t>
  </si>
  <si>
    <t>Clear</t>
  </si>
  <si>
    <t>204:232959</t>
  </si>
  <si>
    <t>204:233357</t>
  </si>
  <si>
    <t>204:233318</t>
  </si>
  <si>
    <t>204:232983</t>
  </si>
  <si>
    <t>204:232986</t>
  </si>
  <si>
    <t>rtdc.l.rtdc.4066:itc</t>
  </si>
  <si>
    <t>rtdc.l.rtdc.4027:itc</t>
  </si>
  <si>
    <t>rtdc.l.rtdc.4028:itc</t>
  </si>
  <si>
    <t>rtdc.l.rtdc.4018:itc</t>
  </si>
  <si>
    <t>rtdc.l.rtdc.4017:itc</t>
  </si>
  <si>
    <t>rtdc.l.rtdc.4065:itc</t>
  </si>
  <si>
    <t>230-04</t>
  </si>
  <si>
    <t>239-04</t>
  </si>
  <si>
    <t>240-04</t>
  </si>
  <si>
    <t>309-04</t>
  </si>
  <si>
    <t>MCREYNOLDS</t>
  </si>
  <si>
    <t>KYLE</t>
  </si>
  <si>
    <t>228-04</t>
  </si>
  <si>
    <t>844-04</t>
  </si>
  <si>
    <t>233-04</t>
  </si>
  <si>
    <t>847-04</t>
  </si>
  <si>
    <t>232-04</t>
  </si>
  <si>
    <t>235-04</t>
  </si>
  <si>
    <t>846-04</t>
  </si>
  <si>
    <t>234-04</t>
  </si>
  <si>
    <t>237-04</t>
  </si>
  <si>
    <t>849-04</t>
  </si>
  <si>
    <t>236-04</t>
  </si>
  <si>
    <t>WHITED</t>
  </si>
  <si>
    <t>DUSTIN</t>
  </si>
  <si>
    <t>908-04</t>
  </si>
  <si>
    <t>241-04</t>
  </si>
  <si>
    <t>238-04</t>
  </si>
  <si>
    <t>243-04</t>
  </si>
  <si>
    <t>71-04</t>
  </si>
  <si>
    <t>313-04</t>
  </si>
  <si>
    <t>242-04</t>
  </si>
  <si>
    <t>307-04</t>
  </si>
  <si>
    <t>244-04</t>
  </si>
  <si>
    <t>311-04</t>
  </si>
  <si>
    <t>50-05</t>
  </si>
  <si>
    <t>300-05</t>
  </si>
  <si>
    <t>204:233306</t>
  </si>
  <si>
    <t>204:232974</t>
  </si>
  <si>
    <t>204:233017</t>
  </si>
  <si>
    <t>204:233280</t>
  </si>
  <si>
    <t>204:232975</t>
  </si>
  <si>
    <t>204:233314</t>
  </si>
  <si>
    <t>204:233305</t>
  </si>
  <si>
    <t>204:134</t>
  </si>
  <si>
    <t>204:233316</t>
  </si>
  <si>
    <t>300:23310</t>
  </si>
  <si>
    <t>204:719</t>
  </si>
  <si>
    <t>204:992</t>
  </si>
  <si>
    <t>300:58963</t>
  </si>
  <si>
    <t>300:58617</t>
  </si>
  <si>
    <t>300:58931</t>
  </si>
  <si>
    <t>%REDMINEAPIKEY%</t>
  </si>
  <si>
    <t>rtdc.l.rtdc.4036:itc</t>
  </si>
  <si>
    <t>rtdc.l.rtdc.4041:itc</t>
  </si>
  <si>
    <t>WILLIAMS</t>
  </si>
  <si>
    <t>DONTE</t>
  </si>
  <si>
    <t>MACDONALD</t>
  </si>
  <si>
    <t>THOMAS</t>
  </si>
  <si>
    <t>LALONDE</t>
  </si>
  <si>
    <t>GREGORY</t>
  </si>
  <si>
    <t>SAFIEF</t>
  </si>
  <si>
    <t>AEIMEN</t>
  </si>
  <si>
    <t>SMITH</t>
  </si>
  <si>
    <t>GUNTHIER</t>
  </si>
  <si>
    <t>ERIC</t>
  </si>
  <si>
    <t>204:232971</t>
  </si>
  <si>
    <t>204:163</t>
  </si>
  <si>
    <t>204:232977</t>
  </si>
  <si>
    <t>204:232973</t>
  </si>
  <si>
    <t>204:233023</t>
  </si>
  <si>
    <t>204:136</t>
  </si>
  <si>
    <t>204:233317</t>
  </si>
  <si>
    <t>204:464</t>
  </si>
  <si>
    <t>204:233295</t>
  </si>
  <si>
    <t>204:233028</t>
  </si>
  <si>
    <t>204:232991</t>
  </si>
  <si>
    <t>204:233013</t>
  </si>
  <si>
    <t>204:233326</t>
  </si>
  <si>
    <t>300:58621</t>
  </si>
  <si>
    <t>300:58624</t>
  </si>
  <si>
    <t>204:971</t>
  </si>
  <si>
    <t>300:58939</t>
  </si>
  <si>
    <t>300:58615</t>
  </si>
  <si>
    <t>300:58638</t>
  </si>
  <si>
    <t>rtdc.l.rtdc.4024:itc</t>
  </si>
  <si>
    <t>rtdc.l.rtdc.4052:itc</t>
  </si>
  <si>
    <t>rtdc.l.rtdc.4051:itc</t>
  </si>
  <si>
    <t>rtdc.l.rtdc.4023:itc</t>
  </si>
  <si>
    <t>rtdc.l.rtdc.4046:itc</t>
  </si>
  <si>
    <t>LANGERAK</t>
  </si>
  <si>
    <t>WILLIAM</t>
  </si>
  <si>
    <t>rtdc.l.rtdc.4016:itc</t>
  </si>
  <si>
    <t>YANG</t>
  </si>
  <si>
    <t>JAN</t>
  </si>
  <si>
    <t>BROWN</t>
  </si>
  <si>
    <t>JACOB</t>
  </si>
  <si>
    <t>GUZMAN</t>
  </si>
  <si>
    <t>DANNY</t>
  </si>
  <si>
    <t>STEWART</t>
  </si>
  <si>
    <t>307-09</t>
  </si>
  <si>
    <t>244-09</t>
  </si>
  <si>
    <t>309-09</t>
  </si>
  <si>
    <t>311-09</t>
  </si>
  <si>
    <t>300-10</t>
  </si>
  <si>
    <t>204:232985</t>
  </si>
  <si>
    <t>204:165</t>
  </si>
  <si>
    <t>204:429</t>
  </si>
  <si>
    <t>204:233268</t>
  </si>
  <si>
    <t>204:233347</t>
  </si>
  <si>
    <t>204:233021</t>
  </si>
  <si>
    <t>204:232972</t>
  </si>
  <si>
    <t>204:420</t>
  </si>
  <si>
    <t>204:233303</t>
  </si>
  <si>
    <t>204:232984</t>
  </si>
  <si>
    <t>204:233372</t>
  </si>
  <si>
    <t>204:233327</t>
  </si>
  <si>
    <t>204:130</t>
  </si>
  <si>
    <t>204:233096</t>
  </si>
  <si>
    <t>204:233009</t>
  </si>
  <si>
    <t>204:233322</t>
  </si>
  <si>
    <t>204:232994</t>
  </si>
  <si>
    <t>204:233378</t>
  </si>
  <si>
    <t>204:167</t>
  </si>
  <si>
    <t>300:23314</t>
  </si>
  <si>
    <t>300:23302</t>
  </si>
  <si>
    <t>300:23312</t>
  </si>
  <si>
    <t>204:1184</t>
  </si>
  <si>
    <t>204:1150</t>
  </si>
  <si>
    <t>204:670</t>
  </si>
  <si>
    <t>300:58937</t>
  </si>
  <si>
    <t>204:965</t>
  </si>
  <si>
    <t>204:981</t>
  </si>
  <si>
    <t>300:58960</t>
  </si>
  <si>
    <t>204:663</t>
  </si>
  <si>
    <t>204:698</t>
  </si>
  <si>
    <t>300:58944</t>
  </si>
  <si>
    <t>300:58626</t>
  </si>
  <si>
    <t>204:939</t>
  </si>
  <si>
    <t>300:58958</t>
  </si>
  <si>
    <t>300:58948</t>
  </si>
  <si>
    <t>204:680</t>
  </si>
  <si>
    <t>300:58943</t>
  </si>
  <si>
    <t>300:58630</t>
  </si>
  <si>
    <t>204:967</t>
  </si>
  <si>
    <t>300:58946</t>
  </si>
  <si>
    <t>204:668</t>
  </si>
  <si>
    <t>start /low /b %USERPROFILE%\Documents\GitHub\eaglep3\Utilities\DownloadLogsFromS3.py --loco 4051 --day 2017-10-10</t>
  </si>
  <si>
    <t>rtdc.l.rtdc.4043:itc</t>
  </si>
  <si>
    <t>124-10</t>
  </si>
  <si>
    <t>129-10</t>
  </si>
  <si>
    <t>813-10</t>
  </si>
  <si>
    <t>143-10</t>
  </si>
  <si>
    <t>rtdc.l.rtdc.4053:itc</t>
  </si>
  <si>
    <t>146-10</t>
  </si>
  <si>
    <t>56-10</t>
  </si>
  <si>
    <t>152-10</t>
  </si>
  <si>
    <t>156-10</t>
  </si>
  <si>
    <t>166-10</t>
  </si>
  <si>
    <t>164-10</t>
  </si>
  <si>
    <t>180-10</t>
  </si>
  <si>
    <t>199-10</t>
  </si>
  <si>
    <t>rtdc.l.rtdc.4019:itc</t>
  </si>
  <si>
    <t>190-10</t>
  </si>
  <si>
    <t>204-10</t>
  </si>
  <si>
    <t>rtdc.l.rtdc.4059:itc</t>
  </si>
  <si>
    <t>836-10</t>
  </si>
  <si>
    <t>841-10</t>
  </si>
  <si>
    <t>rtdc.l.rtdc.4035:itc</t>
  </si>
  <si>
    <t>840-10</t>
  </si>
  <si>
    <t>843-10</t>
  </si>
  <si>
    <t>229-10</t>
  </si>
  <si>
    <t>rtdc.l.rtdc.4020:itc</t>
  </si>
  <si>
    <t>233-10</t>
  </si>
  <si>
    <t>228-10</t>
  </si>
  <si>
    <t>237-10</t>
  </si>
  <si>
    <t>SWITCH UNKNOWN</t>
  </si>
  <si>
    <t>Track device (7)</t>
  </si>
  <si>
    <t>309-10</t>
  </si>
  <si>
    <t>rtdc.l.rtdc.4042:itc</t>
  </si>
  <si>
    <t>51-10</t>
  </si>
  <si>
    <t>101-10</t>
  </si>
  <si>
    <t>52-10</t>
  </si>
  <si>
    <t>302-10</t>
  </si>
  <si>
    <t>103-10</t>
  </si>
  <si>
    <t>304-10</t>
  </si>
  <si>
    <t>102-10</t>
  </si>
  <si>
    <t>306-10</t>
  </si>
  <si>
    <t>105-10</t>
  </si>
  <si>
    <t>308-10</t>
  </si>
  <si>
    <t>107-10</t>
  </si>
  <si>
    <t>104-10</t>
  </si>
  <si>
    <t>310-10</t>
  </si>
  <si>
    <t>rtdc.l.rtdc.4044:itc</t>
  </si>
  <si>
    <t>109-10</t>
  </si>
  <si>
    <t>rtdc.l.rtdc.4060:itc</t>
  </si>
  <si>
    <t>901-10</t>
  </si>
  <si>
    <t>111-10</t>
  </si>
  <si>
    <t>106-10</t>
  </si>
  <si>
    <t>800-10</t>
  </si>
  <si>
    <t>113-10</t>
  </si>
  <si>
    <t>108-10</t>
  </si>
  <si>
    <t>312-10</t>
  </si>
  <si>
    <t>115-10</t>
  </si>
  <si>
    <t>110-10</t>
  </si>
  <si>
    <t>801-10</t>
  </si>
  <si>
    <t>112-10</t>
  </si>
  <si>
    <t>rtdc.l.rtdc.4054:itc</t>
  </si>
  <si>
    <t>117-10</t>
  </si>
  <si>
    <t>902-10</t>
  </si>
  <si>
    <t>FORTUNATO</t>
  </si>
  <si>
    <t>FRANK</t>
  </si>
  <si>
    <t>114-10</t>
  </si>
  <si>
    <t>802-10</t>
  </si>
  <si>
    <t>119-10</t>
  </si>
  <si>
    <t>STARKS</t>
  </si>
  <si>
    <t>ANGELINA</t>
  </si>
  <si>
    <t>803-10</t>
  </si>
  <si>
    <t>121-10</t>
  </si>
  <si>
    <t>116-10</t>
  </si>
  <si>
    <t>123-10</t>
  </si>
  <si>
    <t>804-10</t>
  </si>
  <si>
    <t>805-10</t>
  </si>
  <si>
    <t>125-10</t>
  </si>
  <si>
    <t>118-10</t>
  </si>
  <si>
    <t>120-10</t>
  </si>
  <si>
    <t>GEBRETEKLE</t>
  </si>
  <si>
    <t>DAGNEW</t>
  </si>
  <si>
    <t>127-10</t>
  </si>
  <si>
    <t>122-10</t>
  </si>
  <si>
    <t>ROMERO</t>
  </si>
  <si>
    <t>CHAD</t>
  </si>
  <si>
    <t>806-10</t>
  </si>
  <si>
    <t>807-10</t>
  </si>
  <si>
    <t>808-10</t>
  </si>
  <si>
    <t>131-10</t>
  </si>
  <si>
    <t>809-10</t>
  </si>
  <si>
    <t>128-10</t>
  </si>
  <si>
    <t>126-10</t>
  </si>
  <si>
    <t>133-10</t>
  </si>
  <si>
    <t>53-10</t>
  </si>
  <si>
    <t>135-10</t>
  </si>
  <si>
    <t>810-10</t>
  </si>
  <si>
    <t>811-10</t>
  </si>
  <si>
    <t>130-10</t>
  </si>
  <si>
    <t>137-10</t>
  </si>
  <si>
    <t>139-10</t>
  </si>
  <si>
    <t>132-10</t>
  </si>
  <si>
    <t>134-10</t>
  </si>
  <si>
    <t>812-10</t>
  </si>
  <si>
    <t>903-10</t>
  </si>
  <si>
    <t>141-10</t>
  </si>
  <si>
    <t>136-10</t>
  </si>
  <si>
    <t>138-10</t>
  </si>
  <si>
    <t>140-10</t>
  </si>
  <si>
    <t>145-10</t>
  </si>
  <si>
    <t>147-10</t>
  </si>
  <si>
    <t>142-10</t>
  </si>
  <si>
    <t>814-10</t>
  </si>
  <si>
    <t>149-10</t>
  </si>
  <si>
    <t>50-10</t>
  </si>
  <si>
    <t>144-10</t>
  </si>
  <si>
    <t>151-10</t>
  </si>
  <si>
    <t>815-10</t>
  </si>
  <si>
    <t>148-10</t>
  </si>
  <si>
    <t>153-10</t>
  </si>
  <si>
    <t>150-10</t>
  </si>
  <si>
    <t>155-10</t>
  </si>
  <si>
    <t>816-10</t>
  </si>
  <si>
    <t>55-10</t>
  </si>
  <si>
    <t>DE LA ROSA</t>
  </si>
  <si>
    <t>ALEX</t>
  </si>
  <si>
    <t>157-10</t>
  </si>
  <si>
    <t>159-10</t>
  </si>
  <si>
    <t>817-10</t>
  </si>
  <si>
    <t>154-10</t>
  </si>
  <si>
    <t>161-10</t>
  </si>
  <si>
    <t>BRUDER</t>
  </si>
  <si>
    <t>RICHARD</t>
  </si>
  <si>
    <t>163-10</t>
  </si>
  <si>
    <t>818-10</t>
  </si>
  <si>
    <t>58-10</t>
  </si>
  <si>
    <t>MOSES</t>
  </si>
  <si>
    <t>BRADLEY</t>
  </si>
  <si>
    <t>57-10</t>
  </si>
  <si>
    <t>165-10</t>
  </si>
  <si>
    <t>158-10</t>
  </si>
  <si>
    <t>160-10</t>
  </si>
  <si>
    <t>167-10</t>
  </si>
  <si>
    <t>60-10</t>
  </si>
  <si>
    <t>819-10</t>
  </si>
  <si>
    <t>61-10</t>
  </si>
  <si>
    <t>162-10</t>
  </si>
  <si>
    <t>169-10</t>
  </si>
  <si>
    <t>820-10</t>
  </si>
  <si>
    <t>171-10</t>
  </si>
  <si>
    <t>173-10</t>
  </si>
  <si>
    <t>62-10</t>
  </si>
  <si>
    <t>168-10</t>
  </si>
  <si>
    <t>175-10</t>
  </si>
  <si>
    <t>170-10</t>
  </si>
  <si>
    <t>821-10</t>
  </si>
  <si>
    <t>177-10</t>
  </si>
  <si>
    <t>172-10</t>
  </si>
  <si>
    <t>174-10</t>
  </si>
  <si>
    <t>179-10</t>
  </si>
  <si>
    <t>822-10</t>
  </si>
  <si>
    <t>181-10</t>
  </si>
  <si>
    <t>176-10</t>
  </si>
  <si>
    <t>183-10</t>
  </si>
  <si>
    <t>823-10</t>
  </si>
  <si>
    <t>178-10</t>
  </si>
  <si>
    <t>185-10</t>
  </si>
  <si>
    <t>187-10</t>
  </si>
  <si>
    <t>824-10</t>
  </si>
  <si>
    <t>182-10</t>
  </si>
  <si>
    <t>189-10</t>
  </si>
  <si>
    <t>184-10</t>
  </si>
  <si>
    <t>191-10</t>
  </si>
  <si>
    <t>825-10</t>
  </si>
  <si>
    <t>193-10</t>
  </si>
  <si>
    <t>186-10</t>
  </si>
  <si>
    <t>904-10</t>
  </si>
  <si>
    <t>188-10</t>
  </si>
  <si>
    <t>195-10</t>
  </si>
  <si>
    <t>826-10</t>
  </si>
  <si>
    <t>827-10</t>
  </si>
  <si>
    <t>197-10</t>
  </si>
  <si>
    <t>192-10</t>
  </si>
  <si>
    <t>828-10</t>
  </si>
  <si>
    <t>194-10</t>
  </si>
  <si>
    <t>829-10</t>
  </si>
  <si>
    <t>201-10</t>
  </si>
  <si>
    <t>196-10</t>
  </si>
  <si>
    <t>203-10</t>
  </si>
  <si>
    <t>830-10</t>
  </si>
  <si>
    <t>198-10</t>
  </si>
  <si>
    <t>75-10</t>
  </si>
  <si>
    <t>NEWELL</t>
  </si>
  <si>
    <t>831-10</t>
  </si>
  <si>
    <t>205-10</t>
  </si>
  <si>
    <t>200-10</t>
  </si>
  <si>
    <t>832-10</t>
  </si>
  <si>
    <t>207-10</t>
  </si>
  <si>
    <t>202-10</t>
  </si>
  <si>
    <t>833-10</t>
  </si>
  <si>
    <t>209-10</t>
  </si>
  <si>
    <t>211-10</t>
  </si>
  <si>
    <t>834-10</t>
  </si>
  <si>
    <t>77-10</t>
  </si>
  <si>
    <t>835-10</t>
  </si>
  <si>
    <t>206-10</t>
  </si>
  <si>
    <t>BARRON</t>
  </si>
  <si>
    <t>PERLA</t>
  </si>
  <si>
    <t>213-10</t>
  </si>
  <si>
    <t>216-10</t>
  </si>
  <si>
    <t>215-10</t>
  </si>
  <si>
    <t>210-10</t>
  </si>
  <si>
    <t>837-10</t>
  </si>
  <si>
    <t>217-10</t>
  </si>
  <si>
    <t>208-10</t>
  </si>
  <si>
    <t>212-10</t>
  </si>
  <si>
    <t>838-10</t>
  </si>
  <si>
    <t>214-10</t>
  </si>
  <si>
    <t>219-10</t>
  </si>
  <si>
    <t>839-10</t>
  </si>
  <si>
    <t>301-10</t>
  </si>
  <si>
    <t>221-10</t>
  </si>
  <si>
    <t>906-10</t>
  </si>
  <si>
    <t>ZEWDU</t>
  </si>
  <si>
    <t>DEREJE</t>
  </si>
  <si>
    <t>218-10</t>
  </si>
  <si>
    <t>303-10</t>
  </si>
  <si>
    <t>220-10</t>
  </si>
  <si>
    <t>223-10</t>
  </si>
  <si>
    <t>305-10</t>
  </si>
  <si>
    <t>222-10</t>
  </si>
  <si>
    <t>225-10</t>
  </si>
  <si>
    <t>227-10</t>
  </si>
  <si>
    <t>224-10</t>
  </si>
  <si>
    <t>842-10</t>
  </si>
  <si>
    <t>226-10</t>
  </si>
  <si>
    <t>845-10</t>
  </si>
  <si>
    <t>231-10</t>
  </si>
  <si>
    <t>844-10</t>
  </si>
  <si>
    <t>ROBINSON</t>
  </si>
  <si>
    <t>KADDIBA</t>
  </si>
  <si>
    <t>230-10</t>
  </si>
  <si>
    <t>847-10</t>
  </si>
  <si>
    <t>235-10</t>
  </si>
  <si>
    <t>232-10</t>
  </si>
  <si>
    <t>846-10</t>
  </si>
  <si>
    <t>234-10</t>
  </si>
  <si>
    <t>849-10</t>
  </si>
  <si>
    <t>236-10</t>
  </si>
  <si>
    <t>239-10</t>
  </si>
  <si>
    <t>908-10</t>
  </si>
  <si>
    <t>238-10</t>
  </si>
  <si>
    <t>241-10</t>
  </si>
  <si>
    <t>81-10</t>
  </si>
  <si>
    <t>82-10</t>
  </si>
  <si>
    <t>243-10</t>
  </si>
  <si>
    <t>240-10</t>
  </si>
  <si>
    <t>313-10</t>
  </si>
  <si>
    <t>242-10</t>
  </si>
  <si>
    <t>307-10</t>
  </si>
  <si>
    <t>244-10</t>
  </si>
  <si>
    <t>311-10</t>
  </si>
  <si>
    <t>clear-day</t>
  </si>
  <si>
    <t>204:735</t>
  </si>
  <si>
    <t>204:233299</t>
  </si>
  <si>
    <t>204:233315</t>
  </si>
  <si>
    <t>204:233255</t>
  </si>
  <si>
    <t>204:232944</t>
  </si>
  <si>
    <t>204:233284</t>
  </si>
  <si>
    <t>204:170</t>
  </si>
  <si>
    <t>204:442</t>
  </si>
  <si>
    <t>204:233002</t>
  </si>
  <si>
    <t>204:233282</t>
  </si>
  <si>
    <t>204:232965</t>
  </si>
  <si>
    <t>204:232966</t>
  </si>
  <si>
    <t>204:233320</t>
  </si>
  <si>
    <t>204:127</t>
  </si>
  <si>
    <t>204:233304</t>
  </si>
  <si>
    <t>204:233006</t>
  </si>
  <si>
    <t>204:63171</t>
  </si>
  <si>
    <t>204:19126</t>
  </si>
  <si>
    <t>204:232990</t>
  </si>
  <si>
    <t>204:132</t>
  </si>
  <si>
    <t>204:233259</t>
  </si>
  <si>
    <t>204:232929</t>
  </si>
  <si>
    <t>204:449</t>
  </si>
  <si>
    <t>204:233003</t>
  </si>
  <si>
    <t>204:462</t>
  </si>
  <si>
    <t>204:232982</t>
  </si>
  <si>
    <t>204:233338</t>
  </si>
  <si>
    <t>204:125</t>
  </si>
  <si>
    <t>204:491</t>
  </si>
  <si>
    <t>204:232946</t>
  </si>
  <si>
    <t>204:233283</t>
  </si>
  <si>
    <t>204:232947</t>
  </si>
  <si>
    <t>204:426</t>
  </si>
  <si>
    <t>204:233310</t>
  </si>
  <si>
    <t>204:302</t>
  </si>
  <si>
    <t>204:435</t>
  </si>
  <si>
    <t>204:232989</t>
  </si>
  <si>
    <t>204:232968</t>
  </si>
  <si>
    <t>204:212</t>
  </si>
  <si>
    <t>204:573</t>
  </si>
  <si>
    <t>204:233321</t>
  </si>
  <si>
    <t>204:233332</t>
  </si>
  <si>
    <t>204:232998</t>
  </si>
  <si>
    <t>204:233389</t>
  </si>
  <si>
    <t>204:524</t>
  </si>
  <si>
    <t>204:233334</t>
  </si>
  <si>
    <t>204:233307</t>
  </si>
  <si>
    <t>204:233346</t>
  </si>
  <si>
    <t>204:233079</t>
  </si>
  <si>
    <t>204:233309</t>
  </si>
  <si>
    <t>204:37190</t>
  </si>
  <si>
    <t>204:233007</t>
  </si>
  <si>
    <t>204:233008</t>
  </si>
  <si>
    <t>204:233298</t>
  </si>
  <si>
    <t>204:127857</t>
  </si>
  <si>
    <t>204:232996</t>
  </si>
  <si>
    <t>204:232981</t>
  </si>
  <si>
    <t>204:233266</t>
  </si>
  <si>
    <t>204:233319</t>
  </si>
  <si>
    <t>204:233034</t>
  </si>
  <si>
    <t>204:123</t>
  </si>
  <si>
    <t>204:233289</t>
  </si>
  <si>
    <t>204:233393</t>
  </si>
  <si>
    <t>204:232987</t>
  </si>
  <si>
    <t>204:127360</t>
  </si>
  <si>
    <t>204:233081</t>
  </si>
  <si>
    <t>300:23546</t>
  </si>
  <si>
    <t>300:23297</t>
  </si>
  <si>
    <t>300:22058</t>
  </si>
  <si>
    <t>300:23569</t>
  </si>
  <si>
    <t>300:23635</t>
  </si>
  <si>
    <t>300:23730</t>
  </si>
  <si>
    <t>300:25772</t>
  </si>
  <si>
    <t>300:23346</t>
  </si>
  <si>
    <t>300:23627</t>
  </si>
  <si>
    <t>204:140</t>
  </si>
  <si>
    <t>204:3590</t>
  </si>
  <si>
    <t>300:24205</t>
  </si>
  <si>
    <t>204:3264</t>
  </si>
  <si>
    <t>204:1186</t>
  </si>
  <si>
    <t>204:3242</t>
  </si>
  <si>
    <t>204:1483</t>
  </si>
  <si>
    <t>204:3545</t>
  </si>
  <si>
    <t>204:1210</t>
  </si>
  <si>
    <t>300:5199</t>
  </si>
  <si>
    <t>300:4877</t>
  </si>
  <si>
    <t>204:1156</t>
  </si>
  <si>
    <t>300:23516</t>
  </si>
  <si>
    <t>204:1171</t>
  </si>
  <si>
    <t>300:24226</t>
  </si>
  <si>
    <t>300:22153</t>
  </si>
  <si>
    <t>204:117</t>
  </si>
  <si>
    <t>300:23332</t>
  </si>
  <si>
    <t>204:869</t>
  </si>
  <si>
    <t>204:439</t>
  </si>
  <si>
    <t>300:24212</t>
  </si>
  <si>
    <t>300:24277</t>
  </si>
  <si>
    <t>300:23917</t>
  </si>
  <si>
    <t>300:19795</t>
  </si>
  <si>
    <t>204:1475</t>
  </si>
  <si>
    <t>300:23306</t>
  </si>
  <si>
    <t>300:23299</t>
  </si>
  <si>
    <t>204:671</t>
  </si>
  <si>
    <t>204:964</t>
  </si>
  <si>
    <t>300:58980</t>
  </si>
  <si>
    <t>300:58672</t>
  </si>
  <si>
    <t>204:689</t>
  </si>
  <si>
    <t>300:58651</t>
  </si>
  <si>
    <t>204:722</t>
  </si>
  <si>
    <t>204:976</t>
  </si>
  <si>
    <t>204:1167</t>
  </si>
  <si>
    <t>300:5436</t>
  </si>
  <si>
    <t>204:155</t>
  </si>
  <si>
    <t>204:985</t>
  </si>
  <si>
    <t>204:979</t>
  </si>
  <si>
    <t>300:58632</t>
  </si>
  <si>
    <t>204:999</t>
  </si>
  <si>
    <t>300:58988</t>
  </si>
  <si>
    <t>300:58679</t>
  </si>
  <si>
    <t>204:673</t>
  </si>
  <si>
    <t>300:58984</t>
  </si>
  <si>
    <t>300:58670</t>
  </si>
  <si>
    <t>300:58655</t>
  </si>
  <si>
    <t>204:729</t>
  </si>
  <si>
    <t>204:675</t>
  </si>
  <si>
    <t>204:958</t>
  </si>
  <si>
    <t>300:58619</t>
  </si>
  <si>
    <t>204:682</t>
  </si>
  <si>
    <t>204:969</t>
  </si>
  <si>
    <t>300:58649</t>
  </si>
  <si>
    <t>204:934</t>
  </si>
  <si>
    <t>300:58941</t>
  </si>
  <si>
    <t>300:58929</t>
  </si>
  <si>
    <t>300:57236</t>
  </si>
  <si>
    <t>300:35445</t>
  </si>
  <si>
    <t>204:978</t>
  </si>
  <si>
    <t>300:58666</t>
  </si>
  <si>
    <t>204:708</t>
  </si>
  <si>
    <t>204:656</t>
  </si>
  <si>
    <t>204:972</t>
  </si>
  <si>
    <t>300:58952</t>
  </si>
  <si>
    <t>300:29710</t>
  </si>
  <si>
    <t>204:432</t>
  </si>
  <si>
    <t>300:24237</t>
  </si>
  <si>
    <t>300:25126</t>
  </si>
  <si>
    <t>300:28789</t>
  </si>
  <si>
    <t>300:58628</t>
  </si>
  <si>
    <t>300:28772</t>
  </si>
  <si>
    <t>start /low /b %USERPROFILE%\Documents\GitHub\eaglep3\Utilities\DownloadLogsFromS3.py --loco 4043 --day 2017-10-10</t>
  </si>
  <si>
    <t>start /low /b %USERPROFILE%\Documents\GitHub\eaglep3\Utilities\DownloadLogsFromS3.py --loco 4050 --day 2017-10-10</t>
  </si>
  <si>
    <t>start /low /b %USERPROFILE%\Documents\GitHub\eaglep3\Utilities\DownloadLogsFromS3.py --loco 4052 --day 2017-10-10</t>
  </si>
  <si>
    <t>start /low /b %USERPROFILE%\Documents\GitHub\eaglep3\Utilities\DownloadLogsFromS3.py --loco 4041 --day 2017-10-10</t>
  </si>
  <si>
    <t>start /low /b %USERPROFILE%\Documents\GitHub\eaglep3\Utilities\DownloadLogsFromS3.py --loco 4035 --day 2017-10-10</t>
  </si>
  <si>
    <t>start /low /b %USERPROFILE%\Documents\GitHub\eaglep3\Utilities\DownloadLogsFromS3.py --loco 4060 --day 2017-10-10</t>
  </si>
  <si>
    <t>start /low /b %USERPROFILE%\Documents\GitHub\eaglep3\Utilities\DownloadLogsFromS3.py --loco 4053 --day 2017-10-10</t>
  </si>
  <si>
    <t>start /low /b %USERPROFILE%\Documents\GitHub\eaglep3\Utilities\DownloadLogsFromS3.py --loco 4050 --day 2017-10-11</t>
  </si>
  <si>
    <t>start /low /b %USERPROFILE%\Documents\GitHub\eaglep3\Utilities\DownloadLogsFromS3.py --loco 4019 --day 2017-10-10</t>
  </si>
  <si>
    <t>start /low /b %USERPROFILE%\Documents\GitHub\eaglep3\Utilities\DownloadLogsFromS3.py --loco 4066 --day 2017-10-10</t>
  </si>
  <si>
    <t>start /low /b %USERPROFILE%\Documents\GitHub\eaglep3\Utilities\DownloadLogsFromS3.py --loco 4020 --day 2017-10-11</t>
  </si>
  <si>
    <t>start /low /b %USERPROFILE%\Documents\GitHub\eaglep3\Utilities\DownloadLogsFromS3.py --loco 4055 --day 2017-10-10</t>
  </si>
  <si>
    <t>start /low /b %USERPROFILE%\Documents\GitHub\eaglep3\Utilities\DownloadLogsFromS3.py --loco 4051 --day 2017-10-11</t>
  </si>
  <si>
    <t>start /low /b %USERPROFILE%\Documents\GitHub\eaglep3\Utilities\DownloadLogsFromS3.py --loco 4036 --day 2017-10-11</t>
  </si>
  <si>
    <t>start /low /b %USERPROFILE%\Documents\GitHub\eaglep3\Utilities\DownloadLogsFromS3.py --loco 4059 --day 2017-10-11</t>
  </si>
  <si>
    <t>start /low /b %USERPROFILE%\Documents\GitHub\eaglep3\Utilities\DownloadLogsFromS3.py --loco 4035 --day 2017-10-11</t>
  </si>
  <si>
    <t>start /low /b %USERPROFILE%\Documents\GitHub\eaglep3\Utilities\DownloadLogsFromS3.py --loco 4036 --day 2017-10-10</t>
  </si>
  <si>
    <t>Onboard en route failure</t>
  </si>
  <si>
    <t>Went active beyond Westminster 2S</t>
  </si>
  <si>
    <t>Observed Wi-MAX data drop, no enforcement</t>
  </si>
  <si>
    <t>Braking without banner</t>
  </si>
  <si>
    <t>Observed unhealthy crossing banner, no enforcement</t>
  </si>
  <si>
    <t>Mid-block init</t>
  </si>
  <si>
    <t xml:space="preserve">Unable to init at DIA due to TMDS crash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</si>
</sst>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64"/>
  <sheetViews>
    <sheetView tabSelected="1" topLeftCell="A106" zoomScaleNormal="100" workbookViewId="0">
      <selection activeCell="R122" sqref="R12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COUNTIFS($N$13:$N$9407,"&gt;0",$AG$13:$AG$9407,I1)</f>
        <v>139</v>
      </c>
      <c r="K5" s="39"/>
      <c r="L5" s="172"/>
      <c r="M5" s="40">
        <f>AVERAGEIFS($N$13:$N$9407,$AG$13:$AG$9407,I1)</f>
        <v>37.372901678468914</v>
      </c>
      <c r="N5" s="38">
        <f t="array" ref="N5">MIN(IF($AG$13:$AG$9407=I1,IF(ISNUMBER($N$13:$N$9407),IF($N$13:$N$9407&gt;0,$N$13:$N$9407))))</f>
        <v>33.466666673775762</v>
      </c>
      <c r="O5" s="3">
        <f t="array" ref="O5">MAX(IF($AG$13:$AG$9407=I1,IF(ISNUMBER($N$13:$N$9407),IF($N$13:$N$9407&gt;0,$N$13:$N$9407))))</f>
        <v>45.166666663717479</v>
      </c>
      <c r="P5" s="2"/>
      <c r="R5" s="163" t="s">
        <v>17</v>
      </c>
      <c r="S5" s="207">
        <f>COUNTIFS($N$13:$N$9407,"&gt;0",$AG$13:$AG$9407,R1)</f>
        <v>47</v>
      </c>
      <c r="T5" s="172"/>
      <c r="U5" s="195"/>
      <c r="V5" s="211">
        <f>AVERAGEIFS($N$13:$N$9407,$AG$13:$AG$9407,R1)</f>
        <v>13.61702127639759</v>
      </c>
      <c r="W5" s="212">
        <f t="array" ref="W5">MIN(IF($AG$13:$AG$9407=R1,IF(ISNUMBER($N$13:$N$9407),IF($N$13:$N$9407&gt;0,$N$13:$N$9407))))</f>
        <v>11.533333326224238</v>
      </c>
      <c r="X5" s="200">
        <f t="array" ref="X5">MAX(IF($AG$13:$AG$9407=R1,IF(ISNUMBER($N$13:$N$9407),IF($N$13:$N$9407&gt;0,$N$13:$N$9407))))</f>
        <v>21.933333337074146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COUNT($O$13:$O$170)</f>
        <v>0</v>
      </c>
      <c r="K6" s="39"/>
      <c r="L6" s="172"/>
      <c r="M6" s="40">
        <f>IFERROR(AVERAGE($O$13:$O$170),0)</f>
        <v>0</v>
      </c>
      <c r="N6" s="38">
        <f>MIN($O$13:$O$170)</f>
        <v>0</v>
      </c>
      <c r="O6" s="3">
        <f>MAX($O$13:$O$170)</f>
        <v>0</v>
      </c>
      <c r="P6" s="2"/>
      <c r="R6" s="164" t="s">
        <v>43</v>
      </c>
      <c r="S6" s="207">
        <f>COUNT($O$13:$O$170)</f>
        <v>0</v>
      </c>
      <c r="T6" s="172"/>
      <c r="U6" s="195"/>
      <c r="V6" s="211">
        <f>IFERROR(AVERAGE($O$13:$O$170),0)</f>
        <v>0</v>
      </c>
      <c r="W6" s="212">
        <f>MIN($O$13:$O$170)</f>
        <v>0</v>
      </c>
      <c r="X6" s="200">
        <f>MAX($O$13:$O$170)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COUNTIFS($P$13:$P$9407,"&gt;0",$AG$13:$AG$9407,I1)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COUNTIFS($P$13:$P$9407,"&gt;0",$AG$13:$AG$9407,R1)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37.372901678468914</v>
      </c>
      <c r="N8" s="38">
        <f>N5</f>
        <v>33.466666673775762</v>
      </c>
      <c r="O8" s="3">
        <f>O5</f>
        <v>45.166666663717479</v>
      </c>
      <c r="P8" s="2"/>
      <c r="R8" s="163" t="s">
        <v>16</v>
      </c>
      <c r="S8" s="207">
        <f>S5</f>
        <v>47</v>
      </c>
      <c r="T8" s="172"/>
      <c r="U8" s="195"/>
      <c r="V8" s="211">
        <f>V5</f>
        <v>13.61702127639759</v>
      </c>
      <c r="W8" s="212">
        <f>W5</f>
        <v>11.533333326224238</v>
      </c>
      <c r="X8" s="200">
        <f>X5</f>
        <v>21.933333337074146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0.95918367346938771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- 2017-10-10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0.99054982817869408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623</v>
      </c>
      <c r="B13" s="7">
        <v>4050</v>
      </c>
      <c r="C13" s="21" t="s">
        <v>194</v>
      </c>
      <c r="D13" s="21" t="s">
        <v>851</v>
      </c>
      <c r="E13" s="13">
        <v>43018.126076388886</v>
      </c>
      <c r="F13" s="13">
        <v>43018.135960648149</v>
      </c>
      <c r="G13" s="7">
        <v>60</v>
      </c>
      <c r="H13" s="21" t="s">
        <v>852</v>
      </c>
      <c r="I13" s="13">
        <v>43018.159884259258</v>
      </c>
      <c r="J13" s="7">
        <v>0</v>
      </c>
      <c r="K13" s="89" t="str">
        <f t="shared" ref="K13:K44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44" si="1">I13-F13</f>
        <v>2.3923611108330078E-2</v>
      </c>
      <c r="N13" s="7">
        <f t="shared" ref="N13:N35" si="2">24*60*SUM($M13:$M13)</f>
        <v>34.449999995995313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44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-10T02:01:33-0600',mode:absolute,to:'2017-10-10T04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7.3499999999999996E-2</v>
      </c>
      <c r="Z13" s="204">
        <f t="shared" ref="Z13:Z44" si="8">RIGHT(H13,LEN(H13)-4)/10000</f>
        <v>23.329899999999999</v>
      </c>
      <c r="AA13" s="204">
        <f t="shared" ref="AA13:AA44" si="9">ABS(Z13-Y13)</f>
        <v>23.256399999999999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/stypes="app*4050*20171010*" /stext=" 09:.+((SYSTEM_STATE.+slice.+state.+changed )|(ment ac)|(multiple cpu faults)|(system.+state.+changed )|(\[timeout)|(PRM\|1\|D)|(kpr)|(kdp)|(train st.+moving)|(\|lc)|(penalty))"</v>
      </c>
      <c r="AG13" s="182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4050 --swversion DE.1.0.9.0 --startMP 204:735 --initTime 2017-10-10T03:01:33 --startdatetime 2017-10-10T03:15:47 --delay 60 --endMP 204:233299 --enddatetime 2017-10-10T03:50:14 --enforcementcount 0 &gt;&gt;%USERPROFILE%\Documents\GitHub\eaglep3-reporting\EC\2017-10-10-refined-times.txt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{"issue":{"subject":"","project_id":79,"tracker_id":40,"status_id":1,"priority_id":2,"assigned_to_id":338,"start_date":"2017-10-10","description":"","custom_fields":[{"id":1,"name":"Subdivision","value":"EC"},{"id":4,"name":"Milepost","value":"23.3299"},{"id":17,"name":"Train ID","value":"101-10"},{"id":16,"name":"Locomotive ID","value":"4050"},{"id":130,"name":"Impact","value":""},{"id":150,"name":"Time of Event (Mountain Time)","value":"03:50:14"},{"id":151,"name":"Denver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2017-10-10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-10T02:01:33-0600',mode:absolute,to:'2017-10-10T04:50:14-0600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628</v>
      </c>
      <c r="B14" s="7">
        <v>4049</v>
      </c>
      <c r="C14" s="21" t="s">
        <v>194</v>
      </c>
      <c r="D14" s="21" t="s">
        <v>511</v>
      </c>
      <c r="E14" s="13">
        <v>43018.160868055558</v>
      </c>
      <c r="F14" s="13">
        <v>43018.175266203703</v>
      </c>
      <c r="G14" s="7">
        <v>51</v>
      </c>
      <c r="H14" s="21" t="s">
        <v>509</v>
      </c>
      <c r="I14" s="13">
        <v>43018.200543981482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2.527777777868323E-2</v>
      </c>
      <c r="N14" s="7">
        <f t="shared" si="2"/>
        <v>36.400000001303852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-10T02:51:39-0600',mode:absolute,to:'2017-10-10T05:48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23.2973</v>
      </c>
      <c r="Z14" s="204">
        <f t="shared" si="8"/>
        <v>1.6299999999999999E-2</v>
      </c>
      <c r="AA14" s="204">
        <f t="shared" si="9"/>
        <v>23.280999999999999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4" s="74" t="str">
        <f t="shared" si="12"/>
        <v>"C:\Program Files (x86)\AstroGrep\AstroGrep.exe" /e /r /s /spath="%USERPROFILE%\AppData\Local\Temp\OnboardLogs" /stypes="app*4049*20171010*"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4049 --swversion DE.1.0.9.0 --startMP 204:232973 --initTime 2017-10-10T03:51:39 --startdatetime 2017-10-10T04:12:23 --delay 51 --endMP 204:163 --enddatetime 2017-10-10T04:48:47 --enforcementcount 0 &gt;&gt;%USERPROFILE%\Documents\GitHub\eaglep3-reporting\EC\2017-10-10-refined-times.txt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{"issue":{"subject":"","project_id":79,"tracker_id":40,"status_id":1,"priority_id":2,"assigned_to_id":338,"start_date":"2017-10-10","description":"","custom_fields":[{"id":1,"name":"Subdivision","value":"EC"},{"id":4,"name":"Milepost","value":"0.0163"},{"id":17,"name":"Train ID","value":"102-10"},{"id":16,"name":"Locomotive ID","value":"4049"},{"id":130,"name":"Impact","value":""},{"id":150,"name":"Time of Event (Mountain Time)","value":"04:48:47"},{"id":151,"name":"Denver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21">"start /low /b "&amp;dls3logs&amp;" --loco "&amp;B14&amp;" --day "&amp;TEXT(F14,"YYYY-MM-DD")</f>
        <v>start /low /b %USERPROFILE%\Documents\GitHub\eaglep3\Utilities\DownloadLogsFromS3.py --loco 4049 --day 2017-10-10</v>
      </c>
      <c r="AN14" s="15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10:48:47"},{"id":29,"name":"Sharepoint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-10T02:51:39-0600',mode:absolute,to:'2017-10-10T05:48:47-0600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626</v>
      </c>
      <c r="B15" s="7">
        <v>4066</v>
      </c>
      <c r="C15" s="21" t="s">
        <v>194</v>
      </c>
      <c r="D15" s="21" t="s">
        <v>370</v>
      </c>
      <c r="E15" s="13">
        <v>43018.152974537035</v>
      </c>
      <c r="F15" s="13">
        <v>43018.156423611108</v>
      </c>
      <c r="G15" s="7">
        <v>62</v>
      </c>
      <c r="H15" s="21" t="s">
        <v>853</v>
      </c>
      <c r="I15" s="13">
        <v>43018.181377314817</v>
      </c>
      <c r="J15" s="7">
        <v>0</v>
      </c>
      <c r="K15" s="89" t="str">
        <f t="shared" si="0"/>
        <v>4065/4066</v>
      </c>
      <c r="L15" s="185" t="str">
        <f>VLOOKUP(A15,'Trips&amp;Operators'!$C$1:$G$99911,5,FALSE)</f>
        <v>BONDS REYNALDO</v>
      </c>
      <c r="M15" s="6">
        <f t="shared" si="1"/>
        <v>2.4953703708888497E-2</v>
      </c>
      <c r="N15" s="7">
        <f t="shared" si="2"/>
        <v>35.933333340799436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-10T02:40:17-0600',mode:absolute,to:'2017-10-10T05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4.5100000000000001E-2</v>
      </c>
      <c r="Z15" s="204">
        <f t="shared" si="8"/>
        <v>23.331499999999998</v>
      </c>
      <c r="AA15" s="204">
        <f t="shared" si="9"/>
        <v>23.286399999999997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5" s="74" t="str">
        <f t="shared" si="12"/>
        <v>"C:\Program Files (x86)\AstroGrep\AstroGrep.exe" /e /r /s /spath="%USERPROFILE%\AppData\Local\Temp\OnboardLogs" /stypes="app*4066*20171010*"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103-10 --locoid 4066 --swversion DE.1.0.9.0 --startMP 204:451 --initTime 2017-10-10T03:40:17 --startdatetime 2017-10-10T03:45:15 --delay 62 --endMP 204:233315 --enddatetime 2017-10-10T04:21:11 --enforcementcount 0 &gt;&gt;%USERPROFILE%\Documents\GitHub\eaglep3-reporting\EC\2017-10-10-refined-times.txt</v>
      </c>
      <c r="AI1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{"issue":{"subject":"","project_id":79,"tracker_id":40,"status_id":1,"priority_id":2,"assigned_to_id":338,"start_date":"2017-10-10","description":"","custom_fields":[{"id":1,"name":"Subdivision","value":"EC"},{"id":4,"name":"Milepost","value":"23.3315"},{"id":17,"name":"Train ID","value":"103-10"},{"id":16,"name":"Locomotive ID","value":"4066"},{"id":130,"name":"Impact","value":""},{"id":150,"name":"Time of Event (Mountain Time)","value":"04:21:11"},{"id":151,"name":"Denver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4066 --day 2017-10-10</v>
      </c>
      <c r="AN1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-10T02:40:17-0600',mode:absolute,to:'2017-10-10T05:21:11-0600'))&amp;_a=(columns:!('Message%20ID',Summary),filters:!(),index:'emp_*',interval:auto,query:(query_string:(analyze_wildcard:!t,query:'%22rtdc.l.rtdc.4066%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4065</v>
      </c>
      <c r="C16" s="21" t="s">
        <v>194</v>
      </c>
      <c r="D16" s="21" t="s">
        <v>518</v>
      </c>
      <c r="E16" s="13">
        <v>43018.186805555553</v>
      </c>
      <c r="F16" s="13">
        <v>43018.196099537039</v>
      </c>
      <c r="G16" s="7">
        <v>73</v>
      </c>
      <c r="H16" s="21" t="s">
        <v>356</v>
      </c>
      <c r="I16" s="13">
        <v>43018.222384259258</v>
      </c>
      <c r="J16" s="7">
        <v>0</v>
      </c>
      <c r="K16" s="89" t="str">
        <f t="shared" si="0"/>
        <v>4065/4066</v>
      </c>
      <c r="L16" s="185" t="str">
        <f>VLOOKUP(A16,'Trips&amp;Operators'!$C$1:$G$99911,5,FALSE)</f>
        <v>BONDS REYNALDO</v>
      </c>
      <c r="M16" s="6">
        <f t="shared" si="1"/>
        <v>2.6284722218406387E-2</v>
      </c>
      <c r="N16" s="7">
        <f t="shared" si="2"/>
        <v>37.849999994505197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-10T03:29:00-0600',mode:absolute,to:'2017-10-10T06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23.299099999999999</v>
      </c>
      <c r="Z16" s="204">
        <f t="shared" si="8"/>
        <v>1.4500000000000001E-2</v>
      </c>
      <c r="AA16" s="204">
        <f t="shared" si="9"/>
        <v>23.284599999999998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6" s="74" t="str">
        <f t="shared" si="12"/>
        <v>"C:\Program Files (x86)\AstroGrep\AstroGrep.exe" /e /r /s /spath="%USERPROFILE%\AppData\Local\Temp\OnboardLogs" /stypes="app*4065*20171010*"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104-10 --locoid 4065 --swversion DE.1.0.9.0 --startMP 204:232991 --initTime 2017-10-10T04:29:00 --startdatetime 2017-10-10T04:42:23 --delay 73 --endMP 204:145 --enddatetime 2017-10-10T05:20:14 --enforcementcount 0 &gt;&gt;%USERPROFILE%\Documents\GitHub\eaglep3-reporting\EC\2017-10-10-refined-times.txt</v>
      </c>
      <c r="AI1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ID","value":"104-10"},{"id":16,"name":"Locomotive ID","value":"4065"},{"id":130,"name":"Impact","value":""},{"id":150,"name":"Time of Event (Mountain Time)","value":"05:20:14"},{"id":151,"name":"Denver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4065 --day 2017-10-10</v>
      </c>
      <c r="AN1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-10T03:29:00-0600',mode:absolute,to:'2017-10-10T06:20:14-0600'))&amp;_a=(columns:!('Message%20ID',Summary),filters:!(),index:'emp_*',interval:auto,query:(query_string:(analyze_wildcard:!t,query:'%22rtdc.l.rtdc.4065%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630</v>
      </c>
      <c r="B17" s="7">
        <v>4020</v>
      </c>
      <c r="C17" s="21" t="s">
        <v>194</v>
      </c>
      <c r="D17" s="21" t="s">
        <v>408</v>
      </c>
      <c r="E17" s="13">
        <v>43018.171990740739</v>
      </c>
      <c r="F17" s="13">
        <v>43018.177268518521</v>
      </c>
      <c r="G17" s="7">
        <v>84</v>
      </c>
      <c r="H17" s="21" t="s">
        <v>854</v>
      </c>
      <c r="I17" s="13">
        <v>43018.2031712963</v>
      </c>
      <c r="J17" s="7">
        <v>0</v>
      </c>
      <c r="K17" s="89" t="str">
        <f t="shared" si="0"/>
        <v>4019/4020</v>
      </c>
      <c r="L17" s="185" t="str">
        <f>VLOOKUP(A17,'Trips&amp;Operators'!$C$1:$G$99911,5,FALSE)</f>
        <v>LANGERAK WILLIAM</v>
      </c>
      <c r="M17" s="6">
        <f t="shared" si="1"/>
        <v>2.5902777779265307E-2</v>
      </c>
      <c r="N17" s="7">
        <f t="shared" si="2"/>
        <v>37.300000002142042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-10T03:07:40-0600',mode:absolute,to:'2017-10-10T05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4.7500000000000001E-2</v>
      </c>
      <c r="Z17" s="204">
        <f t="shared" si="8"/>
        <v>23.325500000000002</v>
      </c>
      <c r="AA17" s="204">
        <f t="shared" si="9"/>
        <v>23.278000000000002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7" s="74" t="str">
        <f t="shared" si="12"/>
        <v>"C:\Program Files (x86)\AstroGrep\AstroGrep.exe" /e /r /s /spath="%USERPROFILE%\AppData\Local\Temp\OnboardLogs" /stypes="app*4020*20171010*"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105-10 --locoid 4020 --swversion DE.1.0.9.0 --startMP 204:475 --initTime 2017-10-10T04:07:40 --startdatetime 2017-10-10T04:15:16 --delay 84 --endMP 204:233255 --enddatetime 2017-10-10T04:52:34 --enforcementcount 0 &gt;&gt;%USERPROFILE%\Documents\GitHub\eaglep3-reporting\EC\2017-10-10-refined-times.txt</v>
      </c>
      <c r="AI1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{"issue":{"subject":"","project_id":79,"tracker_id":40,"status_id":1,"priority_id":2,"assigned_to_id":338,"start_date":"2017-10-10","description":"","custom_fields":[{"id":1,"name":"Subdivision","value":"EC"},{"id":4,"name":"Milepost","value":"23.3255"},{"id":17,"name":"Train ID","value":"105-10"},{"id":16,"name":"Locomotive ID","value":"4020"},{"id":130,"name":"Impact","value":""},{"id":150,"name":"Time of Event (Mountain Time)","value":"04:52:34"},{"id":151,"name":"Denver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4020 --day 2017-10-10</v>
      </c>
      <c r="AN1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-10T03:07:40-0600',mode:absolute,to:'2017-10-10T05:52:34-0600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640</v>
      </c>
      <c r="B18" s="7">
        <v>4019</v>
      </c>
      <c r="C18" s="21" t="s">
        <v>194</v>
      </c>
      <c r="D18" s="21" t="s">
        <v>855</v>
      </c>
      <c r="E18" s="13">
        <v>43018.204988425925</v>
      </c>
      <c r="F18" s="13">
        <v>43018.216851851852</v>
      </c>
      <c r="G18" s="7">
        <v>53</v>
      </c>
      <c r="H18" s="21" t="s">
        <v>355</v>
      </c>
      <c r="I18" s="13">
        <v>43018.244328703702</v>
      </c>
      <c r="J18" s="7">
        <v>0</v>
      </c>
      <c r="K18" s="89" t="str">
        <f t="shared" si="0"/>
        <v>4019/4020</v>
      </c>
      <c r="L18" s="185" t="str">
        <f>VLOOKUP(A18,'Trips&amp;Operators'!$C$1:$G$99911,5,FALSE)</f>
        <v>LANGERAK WILLIAM</v>
      </c>
      <c r="M18" s="6">
        <f t="shared" si="1"/>
        <v>2.7476851850224193E-2</v>
      </c>
      <c r="N18" s="7">
        <f t="shared" si="2"/>
        <v>39.566666664322838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-10T03:55:11-0600',mode:absolute,to:'2017-10-10T06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23.2944</v>
      </c>
      <c r="Z18" s="204">
        <f t="shared" si="8"/>
        <v>1.52E-2</v>
      </c>
      <c r="AA18" s="204">
        <f t="shared" si="9"/>
        <v>23.279199999999999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8" s="74" t="str">
        <f t="shared" si="12"/>
        <v>"C:\Program Files (x86)\AstroGrep\AstroGrep.exe" /e /r /s /spath="%USERPROFILE%\AppData\Local\Temp\OnboardLogs" /stypes="app*4019*20171010*"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106-10 --locoid 4019 --swversion DE.1.0.9.0 --startMP 204:232944 --initTime 2017-10-10T04:55:11 --startdatetime 2017-10-10T05:12:16 --delay 53 --endMP 204:152 --enddatetime 2017-10-10T05:51:50 --enforcementcount 0 &gt;&gt;%USERPROFILE%\Documents\GitHub\eaglep3-reporting\EC\2017-10-10-refined-times.txt</v>
      </c>
      <c r="AI1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ID","value":"106-10"},{"id":16,"name":"Locomotive ID","value":"4019"},{"id":130,"name":"Impact","value":""},{"id":150,"name":"Time of Event (Mountain Time)","value":"05:51:50"},{"id":151,"name":"Denver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4019 --day 2017-10-10</v>
      </c>
      <c r="AN1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-10T03:55:11-0600',mode:absolute,to:'2017-10-10T06:51:50-0600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632</v>
      </c>
      <c r="B19" s="7">
        <v>4052</v>
      </c>
      <c r="C19" s="21" t="s">
        <v>194</v>
      </c>
      <c r="D19" s="21" t="s">
        <v>402</v>
      </c>
      <c r="E19" s="13">
        <v>43018.181215277778</v>
      </c>
      <c r="F19" s="13">
        <v>43018.187685185185</v>
      </c>
      <c r="G19" s="7">
        <v>87</v>
      </c>
      <c r="H19" s="21" t="s">
        <v>423</v>
      </c>
      <c r="I19" s="13">
        <v>43018.211469907408</v>
      </c>
      <c r="J19" s="7">
        <v>0</v>
      </c>
      <c r="K19" s="89" t="str">
        <f t="shared" si="0"/>
        <v>4051/4052</v>
      </c>
      <c r="L19" s="185" t="str">
        <f>VLOOKUP(A19,'Trips&amp;Operators'!$C$1:$G$99911,5,FALSE)</f>
        <v>LALONDE GREGORY</v>
      </c>
      <c r="M19" s="6">
        <f t="shared" si="1"/>
        <v>2.3784722223354038E-2</v>
      </c>
      <c r="N19" s="7">
        <f t="shared" si="2"/>
        <v>34.250000001629815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-10T03:20:57-0600',mode:absolute,to:'2017-10-10T06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4.6899999999999997E-2</v>
      </c>
      <c r="Z19" s="204">
        <f t="shared" si="8"/>
        <v>23.3325</v>
      </c>
      <c r="AA19" s="204">
        <f t="shared" si="9"/>
        <v>23.285599999999999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9" s="74" t="str">
        <f t="shared" si="12"/>
        <v>"C:\Program Files (x86)\AstroGrep\AstroGrep.exe" /e /r /s /spath="%USERPROFILE%\AppData\Local\Temp\OnboardLogs" /stypes="app*4052*20171010*"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107-10 --locoid 4052 --swversion DE.1.0.9.0 --startMP 204:469 --initTime 2017-10-10T04:20:57 --startdatetime 2017-10-10T04:30:16 --delay 87 --endMP 204:233325 --enddatetime 2017-10-10T05:04:31 --enforcementcount 0 &gt;&gt;%USERPROFILE%\Documents\GitHub\eaglep3-reporting\EC\2017-10-10-refined-times.txt</v>
      </c>
      <c r="AI1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{"issue":{"subject":"","project_id":79,"tracker_id":40,"status_id":1,"priority_id":2,"assigned_to_id":338,"start_date":"2017-10-10","description":"","custom_fields":[{"id":1,"name":"Subdivision","value":"EC"},{"id":4,"name":"Milepost","value":"23.3325"},{"id":17,"name":"Train ID","value":"107-10"},{"id":16,"name":"Locomotive ID","value":"4052"},{"id":130,"name":"Impact","value":""},{"id":150,"name":"Time of Event (Mountain Time)","value":"05:04:31"},{"id":151,"name":"Denver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4052 --day 2017-10-10</v>
      </c>
      <c r="AN1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-10T03:20:57-0600',mode:absolute,to:'2017-10-10T06:04:31-0600'))&amp;_a=(columns:!('Message%20ID',Summary),filters:!(),index:'emp_*',interval:auto,query:(query_string:(analyze_wildcard:!t,query:'%22rtdc.l.rtdc.4052%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4051</v>
      </c>
      <c r="C20" s="21" t="s">
        <v>194</v>
      </c>
      <c r="D20" s="21" t="s">
        <v>412</v>
      </c>
      <c r="E20" s="13">
        <v>43018.213159722225</v>
      </c>
      <c r="F20" s="13">
        <v>43018.22724537037</v>
      </c>
      <c r="G20" s="7">
        <v>45</v>
      </c>
      <c r="H20" s="21" t="s">
        <v>335</v>
      </c>
      <c r="I20" s="13">
        <v>43018.252442129633</v>
      </c>
      <c r="J20" s="7">
        <v>0</v>
      </c>
      <c r="K20" s="89" t="str">
        <f t="shared" si="0"/>
        <v>4051/4052</v>
      </c>
      <c r="L20" s="185" t="str">
        <f>VLOOKUP(A20,'Trips&amp;Operators'!$C$1:$G$99911,5,FALSE)</f>
        <v>LALONDE GREGORY</v>
      </c>
      <c r="M20" s="6">
        <f t="shared" si="1"/>
        <v>2.5196759263053536E-2</v>
      </c>
      <c r="N20" s="7">
        <f t="shared" si="2"/>
        <v>36.283333338797092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-10T04:06:57-0600',mode:absolute,to:'2017-10-10T07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23.300999999999998</v>
      </c>
      <c r="Z20" s="204">
        <f t="shared" si="8"/>
        <v>1.4999999999999999E-2</v>
      </c>
      <c r="AA20" s="204">
        <f t="shared" si="9"/>
        <v>23.285999999999998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20" s="74" t="str">
        <f t="shared" si="12"/>
        <v>"C:\Program Files (x86)\AstroGrep\AstroGrep.exe" /e /r /s /spath="%USERPROFILE%\AppData\Local\Temp\OnboardLogs" /stypes="app*4051*20171010*"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108-10 --locoid 4051 --swversion DE.1.0.9.0 --startMP 204:233010 --initTime 2017-10-10T05:06:57 --startdatetime 2017-10-10T05:27:14 --delay 45 --endMP 204:150 --enddatetime 2017-10-10T06:03:31 --enforcementcount 0 &gt;&gt;%USERPROFILE%\Documents\GitHub\eaglep3-reporting\EC\2017-10-10-refined-times.txt</v>
      </c>
      <c r="AI2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ID","value":"108-10"},{"id":16,"name":"Locomotive ID","value":"4051"},{"id":130,"name":"Impact","value":""},{"id":150,"name":"Time of Event (Mountain Time)","value":"06:03:31"},{"id":151,"name":"Denver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4051 --day 2017-10-10</v>
      </c>
      <c r="AN2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-10T04:06:57-0600',mode:absolute,to:'2017-10-10T07:03:31-0600'))&amp;_a=(columns:!('Message%20ID',Summary),filters:!(),index:'emp_*',interval:auto,query:(query_string:(analyze_wildcard:!t,query:'%22rtdc.l.rtdc.4051%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4044</v>
      </c>
      <c r="C21" s="21" t="s">
        <v>194</v>
      </c>
      <c r="D21" s="21" t="s">
        <v>515</v>
      </c>
      <c r="E21" s="13">
        <v>43018.195034722223</v>
      </c>
      <c r="F21" s="13">
        <v>43018.198078703703</v>
      </c>
      <c r="G21" s="7">
        <v>62</v>
      </c>
      <c r="H21" s="21" t="s">
        <v>487</v>
      </c>
      <c r="I21" s="13">
        <v>43018.223807870374</v>
      </c>
      <c r="J21" s="7">
        <v>0</v>
      </c>
      <c r="K21" s="89" t="str">
        <f t="shared" si="0"/>
        <v>4043/4044</v>
      </c>
      <c r="L21" s="185" t="str">
        <f>VLOOKUP(A21,'Trips&amp;Operators'!$C$1:$G$99911,5,FALSE)</f>
        <v>BROWN JACOB</v>
      </c>
      <c r="M21" s="6">
        <f t="shared" si="1"/>
        <v>2.5729166671226267E-2</v>
      </c>
      <c r="N21" s="7">
        <f t="shared" si="2"/>
        <v>37.050000006565824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-10T03:40:51-0600',mode:absolute,to:'2017-10-10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4.6399999999999997E-2</v>
      </c>
      <c r="Z21" s="204">
        <f t="shared" si="8"/>
        <v>23.331600000000002</v>
      </c>
      <c r="AA21" s="204">
        <f t="shared" si="9"/>
        <v>23.285200000000003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1" s="74" t="str">
        <f t="shared" si="12"/>
        <v>"C:\Program Files (x86)\AstroGrep\AstroGrep.exe" /e /r /s /spath="%USERPROFILE%\AppData\Local\Temp\OnboardLogs" /stypes="app*4044*20171010*"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109-10 --locoid 4044 --swversion DE.1.0.9.0 --startMP 204:464 --initTime 2017-10-10T04:40:51 --startdatetime 2017-10-10T04:45:14 --delay 62 --endMP 204:233316 --enddatetime 2017-10-10T05:22:17 --enforcementcount 0 &gt;&gt;%USERPROFILE%\Documents\GitHub\eaglep3-reporting\EC\2017-10-10-refined-times.txt</v>
      </c>
      <c r="AI2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{"issue":{"subject":"","project_id":79,"tracker_id":40,"status_id":1,"priority_id":2,"assigned_to_id":338,"start_date":"2017-10-10","description":"","custom_fields":[{"id":1,"name":"Subdivision","value":"EC"},{"id":4,"name":"Milepost","value":"23.3316"},{"id":17,"name":"Train ID","value":"109-10"},{"id":16,"name":"Locomotive ID","value":"4044"},{"id":130,"name":"Impact","value":""},{"id":150,"name":"Time of Event (Mountain Time)","value":"05:22:17"},{"id":151,"name":"Denver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4044 --day 2017-10-10</v>
      </c>
      <c r="AN2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-10T03:40:51-0600',mode:absolute,to:'2017-10-10T06:22:17-0600'))&amp;_a=(columns:!('Message%20ID',Summary),filters:!(),index:'emp_*',interval:auto,query:(query_string:(analyze_wildcard:!t,query:'%22rtdc.l.rtdc.4044%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4043</v>
      </c>
      <c r="C22" s="21" t="s">
        <v>194</v>
      </c>
      <c r="D22" s="21" t="s">
        <v>392</v>
      </c>
      <c r="E22" s="13">
        <v>43018.228634259256</v>
      </c>
      <c r="F22" s="13">
        <v>43018.237638888888</v>
      </c>
      <c r="G22" s="7">
        <v>52</v>
      </c>
      <c r="H22" s="21" t="s">
        <v>375</v>
      </c>
      <c r="I22" s="13">
        <v>43018.265046296299</v>
      </c>
      <c r="J22" s="7">
        <v>0</v>
      </c>
      <c r="K22" s="89" t="str">
        <f t="shared" si="0"/>
        <v>4043/4044</v>
      </c>
      <c r="L22" s="185" t="str">
        <f>VLOOKUP(A22,'Trips&amp;Operators'!$C$1:$G$99911,5,FALSE)</f>
        <v>BROWN JACOB</v>
      </c>
      <c r="M22" s="6">
        <f t="shared" si="1"/>
        <v>2.7407407411374152E-2</v>
      </c>
      <c r="N22" s="7">
        <f t="shared" si="2"/>
        <v>39.466666672378778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-10T04:29:14-0600',mode:absolute,to:'2017-10-10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</v>
      </c>
      <c r="Z22" s="204">
        <f t="shared" si="8"/>
        <v>1.54E-2</v>
      </c>
      <c r="AA22" s="204">
        <f t="shared" si="9"/>
        <v>23.284600000000001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2" s="74" t="str">
        <f t="shared" si="12"/>
        <v>"C:\Program Files (x86)\AstroGrep\AstroGrep.exe" /e /r /s /spath="%USERPROFILE%\AppData\Local\Temp\OnboardLogs" /stypes="app*4043*20171010*"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110-10 --locoid 4043 --swversion DE.1.0.9.0 --startMP 204:233000 --initTime 2017-10-10T05:29:14 --startdatetime 2017-10-10T05:42:12 --delay 52 --endMP 204:154 --enddatetime 2017-10-10T06:21:40 --enforcementcount 0 &gt;&gt;%USERPROFILE%\Documents\GitHub\eaglep3-reporting\EC\2017-10-10-refined-times.txt</v>
      </c>
      <c r="AI2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ID","value":"110-10"},{"id":16,"name":"Locomotive ID","value":"4043"},{"id":130,"name":"Impact","value":""},{"id":150,"name":"Time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4043 --day 2017-10-10</v>
      </c>
      <c r="AN2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-10T04:29:14-0600',mode:absolute,to:'2017-10-10T07:21:40-0600'))&amp;_a=(columns:!('Message%20ID',Summary),filters:!(),index:'emp_*',interval:auto,query:(query_string:(analyze_wildcard:!t,query:'%22rtdc.l.rtdc.4043%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639</v>
      </c>
      <c r="B23" s="7">
        <v>4050</v>
      </c>
      <c r="C23" s="21" t="s">
        <v>194</v>
      </c>
      <c r="D23" s="21" t="s">
        <v>381</v>
      </c>
      <c r="E23" s="13">
        <v>43018.202881944446</v>
      </c>
      <c r="F23" s="13">
        <v>43018.20857638889</v>
      </c>
      <c r="G23" s="7">
        <v>70</v>
      </c>
      <c r="H23" s="21" t="s">
        <v>516</v>
      </c>
      <c r="I23" s="13">
        <v>43018.232974537037</v>
      </c>
      <c r="J23" s="7">
        <v>0</v>
      </c>
      <c r="K23" s="89" t="str">
        <f t="shared" si="0"/>
        <v>4049/4050</v>
      </c>
      <c r="L23" s="185" t="str">
        <f>VLOOKUP(A23,'Trips&amp;Operators'!$C$1:$G$99911,5,FALSE)</f>
        <v>YORK EDGAR</v>
      </c>
      <c r="M23" s="6">
        <f t="shared" si="1"/>
        <v>2.4398148147156462E-2</v>
      </c>
      <c r="N23" s="7">
        <f t="shared" si="2"/>
        <v>35.133333331905305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-10T03:52:09-0600',mode:absolute,to:'2017-10-10T06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4.5699999999999998E-2</v>
      </c>
      <c r="Z23" s="204">
        <f t="shared" si="8"/>
        <v>23.329499999999999</v>
      </c>
      <c r="AA23" s="204">
        <f t="shared" si="9"/>
        <v>23.283799999999999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23" s="74" t="str">
        <f t="shared" si="12"/>
        <v>"C:\Program Files (x86)\AstroGrep\AstroGrep.exe" /e /r /s /spath="%USERPROFILE%\AppData\Local\Temp\OnboardLogs" /stypes="app*4050*20171010*"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111-10 --locoid 4050 --swversion DE.1.0.9.0 --startMP 204:457 --initTime 2017-10-10T04:52:09 --startdatetime 2017-10-10T05:00:21 --delay 70 --endMP 204:233295 --enddatetime 2017-10-10T05:35:29 --enforcementcount 0 &gt;&gt;%USERPROFILE%\Documents\GitHub\eaglep3-reporting\EC\2017-10-10-refined-times.txt</v>
      </c>
      <c r="AI2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ID","value":"111-10"},{"id":16,"name":"Locomotive ID","value":"4050"},{"id":130,"name":"Impact","value":""},{"id":150,"name":"Time of Event (Mountain Time)","value":"05:35:29"},{"id":151,"name":"Denver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4050 --day 2017-10-10</v>
      </c>
      <c r="AN2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-10T03:52:09-0600',mode:absolute,to:'2017-10-10T06:35:29-0600'))&amp;_a=(columns:!('Message%20ID',Summary),filters:!(),index:'emp_*',interval:auto,query:(query_string:(analyze_wildcard:!t,query:'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648</v>
      </c>
      <c r="B24" s="7">
        <v>4049</v>
      </c>
      <c r="C24" s="21" t="s">
        <v>194</v>
      </c>
      <c r="D24" s="21" t="s">
        <v>510</v>
      </c>
      <c r="E24" s="13">
        <v>43018.233854166669</v>
      </c>
      <c r="F24" s="13">
        <v>43018.248356481483</v>
      </c>
      <c r="G24" s="7">
        <v>43</v>
      </c>
      <c r="H24" s="21" t="s">
        <v>548</v>
      </c>
      <c r="I24" s="13">
        <v>43018.274270833332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2.5914351848769002E-2</v>
      </c>
      <c r="N24" s="7">
        <f t="shared" si="2"/>
        <v>37.316666662227362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-10T04:36:45-0600',mode:absolute,to:'2017-10-10T07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23.297699999999999</v>
      </c>
      <c r="Z24" s="204">
        <f t="shared" si="8"/>
        <v>1.6500000000000001E-2</v>
      </c>
      <c r="AA24" s="204">
        <f t="shared" si="9"/>
        <v>23.281199999999998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24" s="74" t="str">
        <f t="shared" si="12"/>
        <v>"C:\Program Files (x86)\AstroGrep\AstroGrep.exe" /e /r /s /spath="%USERPROFILE%\AppData\Local\Temp\OnboardLogs" /stypes="app*4049*20171010*"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112-10 --locoid 4049 --swversion DE.1.0.9.0 --startMP 204:232977 --initTime 2017-10-10T05:36:45 --startdatetime 2017-10-10T05:57:38 --delay 43 --endMP 204:165 --enddatetime 2017-10-10T06:34:57 --enforcementcount 0 &gt;&gt;%USERPROFILE%\Documents\GitHub\eaglep3-reporting\EC\2017-10-10-refined-times.txt</v>
      </c>
      <c r="AI2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{"issue":{"subject":"","project_id":79,"tracker_id":40,"status_id":1,"priority_id":2,"assigned_to_id":338,"start_date":"2017-10-10","description":"","custom_fields":[{"id":1,"name":"Subdivision","value":"EC"},{"id":4,"name":"Milepost","value":"0.0165"},{"id":17,"name":"Train ID","value":"112-10"},{"id":16,"name":"Locomotive ID","value":"4049"},{"id":130,"name":"Impact","value":""},{"id":150,"name":"Time of Event (Mountain Time)","value":"06:34:57"},{"id":151,"name":"Denver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4049 --day 2017-10-10</v>
      </c>
      <c r="AN2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-10T04:36:45-0600',mode:absolute,to:'2017-10-10T07:34:57-0600'))&amp;_a=(columns:!('Message%20ID',Summary),filters:!(),index:'emp_*',interval:auto,query:(query_string:(analyze_wildcard:!t,query:'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642</v>
      </c>
      <c r="B25" s="7">
        <v>4056</v>
      </c>
      <c r="C25" s="21" t="s">
        <v>194</v>
      </c>
      <c r="D25" s="21" t="s">
        <v>363</v>
      </c>
      <c r="E25" s="13">
        <v>43018.21020833333</v>
      </c>
      <c r="F25" s="13">
        <v>43018.218900462962</v>
      </c>
      <c r="G25" s="7">
        <v>57</v>
      </c>
      <c r="H25" s="21" t="s">
        <v>856</v>
      </c>
      <c r="I25" s="13">
        <v>43018.243402777778</v>
      </c>
      <c r="J25" s="7">
        <v>0</v>
      </c>
      <c r="K25" s="89" t="str">
        <f t="shared" si="0"/>
        <v>4055/4056</v>
      </c>
      <c r="L25" s="185" t="str">
        <f>VLOOKUP(A25,'Trips&amp;Operators'!$C$1:$G$99911,5,FALSE)</f>
        <v>YANAI IAN</v>
      </c>
      <c r="M25" s="6">
        <f t="shared" si="1"/>
        <v>2.4502314816345461E-2</v>
      </c>
      <c r="N25" s="7">
        <f t="shared" si="2"/>
        <v>35.283333335537463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-10T04:02:42-0600',mode:absolute,to:'2017-10-10T06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4.5999999999999999E-2</v>
      </c>
      <c r="Z25" s="204">
        <f t="shared" si="8"/>
        <v>23.328399999999998</v>
      </c>
      <c r="AA25" s="204">
        <f t="shared" si="9"/>
        <v>23.282399999999999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25" s="74" t="str">
        <f t="shared" si="12"/>
        <v>"C:\Program Files (x86)\AstroGrep\AstroGrep.exe" /e /r /s /spath="%USERPROFILE%\AppData\Local\Temp\OnboardLogs" /stypes="app*4056*20171010*"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113-10 --locoid 4056 --swversion DE.1.0.9.0 --startMP 204:460 --initTime 2017-10-10T05:02:42 --startdatetime 2017-10-10T05:15:13 --delay 57 --endMP 204:233284 --enddatetime 2017-10-10T05:50:30 --enforcementcount 0 &gt;&gt;%USERPROFILE%\Documents\GitHub\eaglep3-reporting\EC\2017-10-10-refined-times.txt</v>
      </c>
      <c r="AI2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{"issue":{"subject":"","project_id":79,"tracker_id":40,"status_id":1,"priority_id":2,"assigned_to_id":338,"start_date":"2017-10-10","description":"","custom_fields":[{"id":1,"name":"Subdivision","value":"EC"},{"id":4,"name":"Milepost","value":"23.3284"},{"id":17,"name":"Train ID","value":"113-10"},{"id":16,"name":"Locomotive ID","value":"4056"},{"id":130,"name":"Impact","value":""},{"id":150,"name":"Time of Event (Mountain Time)","value":"05:50:30"},{"id":151,"name":"Denver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4056 --day 2017-10-10</v>
      </c>
      <c r="AN2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-10T04:02:42-0600',mode:absolute,to:'2017-10-10T06:50:30-0600'))&amp;_a=(columns:!('Message%20ID',Summary),filters:!(),index:'emp_*',interval:auto,query:(query_string:(analyze_wildcard:!t,query:'%22rtdc.l.rtdc.4056%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654</v>
      </c>
      <c r="B26" s="7">
        <v>4055</v>
      </c>
      <c r="C26" s="21" t="s">
        <v>194</v>
      </c>
      <c r="D26" s="21" t="s">
        <v>508</v>
      </c>
      <c r="E26" s="13">
        <v>43018.244942129626</v>
      </c>
      <c r="F26" s="13">
        <v>43018.258692129632</v>
      </c>
      <c r="G26" s="7">
        <v>46</v>
      </c>
      <c r="H26" s="21" t="s">
        <v>857</v>
      </c>
      <c r="I26" s="13">
        <v>43018.28496527778</v>
      </c>
      <c r="J26" s="7">
        <v>0</v>
      </c>
      <c r="K26" s="89" t="str">
        <f t="shared" si="0"/>
        <v>4055/4056</v>
      </c>
      <c r="L26" s="185" t="str">
        <f>VLOOKUP(A26,'Trips&amp;Operators'!$C$1:$G$99911,5,FALSE)</f>
        <v>YANAI IAN</v>
      </c>
      <c r="M26" s="6">
        <f t="shared" si="1"/>
        <v>2.6273148148902692E-2</v>
      </c>
      <c r="N26" s="7">
        <f t="shared" si="2"/>
        <v>37.833333334419876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-10T04:52:43-0600',mode:absolute,to:'2017-10-10T07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23.2971</v>
      </c>
      <c r="Z26" s="204">
        <f t="shared" si="8"/>
        <v>1.7000000000000001E-2</v>
      </c>
      <c r="AA26" s="204">
        <f t="shared" si="9"/>
        <v>23.280100000000001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26" s="74" t="str">
        <f t="shared" si="12"/>
        <v>"C:\Program Files (x86)\AstroGrep\AstroGrep.exe" /e /r /s /spath="%USERPROFILE%\AppData\Local\Temp\OnboardLogs" /stypes="app*4055*20171010*"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114-10 --locoid 4055 --swversion DE.1.0.9.0 --startMP 204:232971 --initTime 2017-10-10T05:52:43 --startdatetime 2017-10-10T06:12:31 --delay 46 --endMP 204:170 --enddatetime 2017-10-10T06:50:21 --enforcementcount 0 &gt;&gt;%USERPROFILE%\Documents\GitHub\eaglep3-reporting\EC\2017-10-10-refined-times.txt</v>
      </c>
      <c r="AI2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ID","value":"114-10"},{"id":16,"name":"Locomotive ID","value":"4055"},{"id":130,"name":"Impact","value":""},{"id":150,"name":"Time of Event (Mountain Time)","value":"06:50:21"},{"id":151,"name":"Denver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4055 --day 2017-10-10</v>
      </c>
      <c r="AN2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-10T04:52:43-0600',mode:absolute,to:'2017-10-10T07:50:21-0600'))&amp;_a=(columns:!('Message%20ID',Summary),filters:!(),index:'emp_*',interval:auto,query:(query_string:(analyze_wildcard:!t,query:'%22rtdc.l.rtdc.4055%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645</v>
      </c>
      <c r="B27" s="7">
        <v>4066</v>
      </c>
      <c r="C27" s="21" t="s">
        <v>194</v>
      </c>
      <c r="D27" s="21" t="s">
        <v>858</v>
      </c>
      <c r="E27" s="13">
        <v>43018.224027777775</v>
      </c>
      <c r="F27" s="13">
        <v>43018.229351851849</v>
      </c>
      <c r="G27" s="7">
        <v>266</v>
      </c>
      <c r="H27" s="21" t="s">
        <v>558</v>
      </c>
      <c r="I27" s="13">
        <v>43018.254502314812</v>
      </c>
      <c r="J27" s="7">
        <v>0</v>
      </c>
      <c r="K27" s="89" t="str">
        <f t="shared" si="0"/>
        <v>4065/4066</v>
      </c>
      <c r="L27" s="185" t="str">
        <f>VLOOKUP(A27,'Trips&amp;Operators'!$C$1:$G$99911,5,FALSE)</f>
        <v>BONDS REYNALDO</v>
      </c>
      <c r="M27" s="6">
        <f t="shared" si="1"/>
        <v>2.5150462963210884E-2</v>
      </c>
      <c r="N27" s="7">
        <f t="shared" si="2"/>
        <v>36.216666667023674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-10T04:22:36-0600',mode:absolute,to:'2017-10-10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4.4200000000000003E-2</v>
      </c>
      <c r="Z27" s="204">
        <f t="shared" si="8"/>
        <v>23.332699999999999</v>
      </c>
      <c r="AA27" s="204">
        <f t="shared" si="9"/>
        <v>23.288499999999999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27" s="74" t="str">
        <f t="shared" si="12"/>
        <v>"C:\Program Files (x86)\AstroGrep\AstroGrep.exe" /e /r /s /spath="%USERPROFILE%\AppData\Local\Temp\OnboardLogs" /stypes="app*4066*20171010*"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115-10 --locoid 4066 --swversion DE.1.0.9.0 --startMP 204:442 --initTime 2017-10-10T05:22:36 --startdatetime 2017-10-10T05:30:16 --delay 266 --endMP 204:233327 --enddatetime 2017-10-10T06:06:29 --enforcementcount 0 &gt;&gt;%USERPROFILE%\Documents\GitHub\eaglep3-reporting\EC\2017-10-10-refined-times.txt</v>
      </c>
      <c r="AI2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ID","value":"115-10"},{"id":16,"name":"Locomotive ID","value":"4066"},{"id":130,"name":"Impact","value":""},{"id":150,"name":"Time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4066 --day 2017-10-10</v>
      </c>
      <c r="AN2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-10T04:22:36-0600',mode:absolute,to:'2017-10-10T07:06:29-0600'))&amp;_a=(columns:!('Message%20ID',Summary),filters:!(),index:'emp_*',interval:auto,query:(query_string:(analyze_wildcard:!t,query:'%22rtdc.l.rtdc.4066%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661</v>
      </c>
      <c r="B28" s="7">
        <v>4065</v>
      </c>
      <c r="C28" s="21" t="s">
        <v>194</v>
      </c>
      <c r="D28" s="21" t="s">
        <v>859</v>
      </c>
      <c r="E28" s="13">
        <v>43018.263009259259</v>
      </c>
      <c r="F28" s="13">
        <v>43018.268923611111</v>
      </c>
      <c r="G28" s="7">
        <v>51</v>
      </c>
      <c r="H28" s="21" t="s">
        <v>339</v>
      </c>
      <c r="I28" s="13">
        <v>43018.295810185184</v>
      </c>
      <c r="J28" s="7">
        <v>0</v>
      </c>
      <c r="K28" s="89" t="str">
        <f t="shared" si="0"/>
        <v>4065/4066</v>
      </c>
      <c r="L28" s="185" t="str">
        <f>VLOOKUP(A28,'Trips&amp;Operators'!$C$1:$G$99911,5,FALSE)</f>
        <v>BONDS REYNALDO</v>
      </c>
      <c r="M28" s="6">
        <f t="shared" si="1"/>
        <v>2.6886574072705116E-2</v>
      </c>
      <c r="N28" s="7">
        <f t="shared" si="2"/>
        <v>38.716666664695367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-10T05:18:44-0600',mode:absolute,to:'2017-10-10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23.3002</v>
      </c>
      <c r="Z28" s="204">
        <f t="shared" si="8"/>
        <v>1.47E-2</v>
      </c>
      <c r="AA28" s="204">
        <f t="shared" si="9"/>
        <v>23.285499999999999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28" s="74" t="str">
        <f t="shared" si="12"/>
        <v>"C:\Program Files (x86)\AstroGrep\AstroGrep.exe" /e /r /s /spath="%USERPROFILE%\AppData\Local\Temp\OnboardLogs" /stypes="app*4065*20171010*"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116-10 --locoid 4065 --swversion DE.1.0.9.0 --startMP 204:233002 --initTime 2017-10-10T06:18:44 --startdatetime 2017-10-10T06:27:15 --delay 51 --endMP 204:147 --enddatetime 2017-10-10T07:05:58 --enforcementcount 0 &gt;&gt;%USERPROFILE%\Documents\GitHub\eaglep3-reporting\EC\2017-10-10-refined-times.txt</v>
      </c>
      <c r="AI2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ID","value":"116-10"},{"id":16,"name":"Locomotive ID","value":"4065"},{"id":130,"name":"Impact","value":""},{"id":150,"name":"Time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4065 --day 2017-10-10</v>
      </c>
      <c r="AN2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-10T05:18:44-0600',mode:absolute,to:'2017-10-10T08:05:58-0600'))&amp;_a=(columns:!('Message%20ID',Summary),filters:!(),index:'emp_*',interval:auto,query:(query_string:(analyze_wildcard:!t,query:'%22rtdc.l.rtdc.4065%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650</v>
      </c>
      <c r="B29" s="7">
        <v>4054</v>
      </c>
      <c r="C29" s="21" t="s">
        <v>194</v>
      </c>
      <c r="D29" s="21" t="s">
        <v>397</v>
      </c>
      <c r="E29" s="13">
        <v>43018.233703703707</v>
      </c>
      <c r="F29" s="13">
        <v>43018.239976851852</v>
      </c>
      <c r="G29" s="7">
        <v>141</v>
      </c>
      <c r="H29" s="21" t="s">
        <v>860</v>
      </c>
      <c r="I29" s="13">
        <v>43018.264884259261</v>
      </c>
      <c r="J29" s="7">
        <v>0</v>
      </c>
      <c r="K29" s="89" t="str">
        <f t="shared" si="0"/>
        <v>4053/4054</v>
      </c>
      <c r="L29" s="185" t="str">
        <f>VLOOKUP(A29,'Trips&amp;Operators'!$C$1:$G$99911,5,FALSE)</f>
        <v>MACDONALD THOMAS</v>
      </c>
      <c r="M29" s="6">
        <f t="shared" si="1"/>
        <v>2.4907407409045845E-2</v>
      </c>
      <c r="N29" s="7">
        <f t="shared" si="2"/>
        <v>35.866666669026017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-10T04:36:32-0600',mode:absolute,to:'2017-10-10T07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4.7300000000000002E-2</v>
      </c>
      <c r="Z29" s="204">
        <f t="shared" si="8"/>
        <v>23.328199999999999</v>
      </c>
      <c r="AA29" s="204">
        <f t="shared" si="9"/>
        <v>23.280899999999999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29" s="74" t="str">
        <f t="shared" si="12"/>
        <v>"C:\Program Files (x86)\AstroGrep\AstroGrep.exe" /e /r /s /spath="%USERPROFILE%\AppData\Local\Temp\OnboardLogs" /stypes="app*4054*20171010*"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117-10 --locoid 4054 --swversion DE.1.0.9.0 --startMP 204:473 --initTime 2017-10-10T05:36:32 --startdatetime 2017-10-10T05:45:34 --delay 141 --endMP 204:233282 --enddatetime 2017-10-10T06:21:26 --enforcementcount 0 &gt;&gt;%USERPROFILE%\Documents\GitHub\eaglep3-reporting\EC\2017-10-10-refined-times.txt</v>
      </c>
      <c r="AI2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{"issue":{"subject":"","project_id":79,"tracker_id":40,"status_id":1,"priority_id":2,"assigned_to_id":338,"start_date":"2017-10-10","description":"","custom_fields":[{"id":1,"name":"Subdivision","value":"EC"},{"id":4,"name":"Milepost","value":"23.3282"},{"id":17,"name":"Train ID","value":"117-10"},{"id":16,"name":"Locomotive ID","value":"4054"},{"id":130,"name":"Impact","value":""},{"id":150,"name":"Time of Event (Mountain Time)","value":"06:21:26"},{"id":151,"name":"Denver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4054 --day 2017-10-10</v>
      </c>
      <c r="AN2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-10T04:36:32-0600',mode:absolute,to:'2017-10-10T07:21:26-0600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666</v>
      </c>
      <c r="B30" s="7">
        <v>4053</v>
      </c>
      <c r="C30" s="21" t="s">
        <v>194</v>
      </c>
      <c r="D30" s="21" t="s">
        <v>861</v>
      </c>
      <c r="E30" s="13">
        <v>43018.268437500003</v>
      </c>
      <c r="F30" s="13">
        <v>43018.279699074075</v>
      </c>
      <c r="G30" s="7">
        <v>703</v>
      </c>
      <c r="H30" s="21" t="s">
        <v>355</v>
      </c>
      <c r="I30" s="13">
        <v>43018.306967592594</v>
      </c>
      <c r="J30" s="7">
        <v>0</v>
      </c>
      <c r="K30" s="89" t="str">
        <f t="shared" si="0"/>
        <v>4053/4054</v>
      </c>
      <c r="L30" s="185" t="str">
        <f>VLOOKUP(A30,'Trips&amp;Operators'!$C$1:$G$99911,5,FALSE)</f>
        <v>MACDONALD THOMAS</v>
      </c>
      <c r="M30" s="6">
        <f t="shared" si="1"/>
        <v>2.7268518519122154E-2</v>
      </c>
      <c r="N30" s="7">
        <f t="shared" si="2"/>
        <v>39.266666667535901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-10T05:26:33-0600',mode:absolute,to:'2017-10-10T08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23.296500000000002</v>
      </c>
      <c r="Z30" s="204">
        <f t="shared" si="8"/>
        <v>1.52E-2</v>
      </c>
      <c r="AA30" s="204">
        <f t="shared" si="9"/>
        <v>23.281300000000002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30" s="74" t="str">
        <f t="shared" si="12"/>
        <v>"C:\Program Files (x86)\AstroGrep\AstroGrep.exe" /e /r /s /spath="%USERPROFILE%\AppData\Local\Temp\OnboardLogs" /stypes="app*4053*20171010*"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118-10 --locoid 4053 --swversion DE.1.0.9.0 --startMP 204:232965 --initTime 2017-10-10T06:26:33 --startdatetime 2017-10-10T06:42:46 --delay 703 --endMP 204:152 --enddatetime 2017-10-10T07:22:02 --enforcementcount 0 &gt;&gt;%USERPROFILE%\Documents\GitHub\eaglep3-reporting\EC\2017-10-10-refined-times.txt</v>
      </c>
      <c r="AI3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ID","value":"118-10"},{"id":16,"name":"Locomotive ID","value":"4053"},{"id":130,"name":"Impact","value":""},{"id":150,"name":"Time of Event (Mountain Time)","value":"07:22:02"},{"id":151,"name":"Denver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4053 --day 2017-10-10</v>
      </c>
      <c r="AN3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-10T05:26:33-0600',mode:absolute,to:'2017-10-10T08:22:02-0600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656</v>
      </c>
      <c r="B31" s="7">
        <v>4020</v>
      </c>
      <c r="C31" s="21" t="s">
        <v>194</v>
      </c>
      <c r="D31" s="21" t="s">
        <v>381</v>
      </c>
      <c r="E31" s="13">
        <v>43018.247083333335</v>
      </c>
      <c r="F31" s="13">
        <v>43018.250405092593</v>
      </c>
      <c r="G31" s="7">
        <v>254</v>
      </c>
      <c r="H31" s="21" t="s">
        <v>558</v>
      </c>
      <c r="I31" s="13">
        <v>43018.277743055558</v>
      </c>
      <c r="J31" s="7">
        <v>0</v>
      </c>
      <c r="K31" s="89" t="str">
        <f t="shared" si="0"/>
        <v>4019/4020</v>
      </c>
      <c r="L31" s="185" t="str">
        <f>VLOOKUP(A31,'Trips&amp;Operators'!$C$1:$G$99911,5,FALSE)</f>
        <v>STARKS ANGELINA</v>
      </c>
      <c r="M31" s="6">
        <f t="shared" si="1"/>
        <v>2.7337962965248153E-2</v>
      </c>
      <c r="N31" s="7">
        <f t="shared" si="2"/>
        <v>39.36666666995734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-10T04:55:48-0600',mode:absolute,to:'2017-10-10T07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4.5699999999999998E-2</v>
      </c>
      <c r="Z31" s="204">
        <f t="shared" si="8"/>
        <v>23.332699999999999</v>
      </c>
      <c r="AA31" s="204">
        <f t="shared" si="9"/>
        <v>23.286999999999999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31" s="74" t="str">
        <f t="shared" si="12"/>
        <v>"C:\Program Files (x86)\AstroGrep\AstroGrep.exe" /e /r /s /spath="%USERPROFILE%\AppData\Local\Temp\OnboardLogs" /stypes="app*4020*20171010*"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119-10 --locoid 4020 --swversion DE.1.0.9.0 --startMP 204:457 --initTime 2017-10-10T05:55:48 --startdatetime 2017-10-10T06:00:35 --delay 254 --endMP 204:233327 --enddatetime 2017-10-10T06:39:57 --enforcementcount 0 &gt;&gt;%USERPROFILE%\Documents\GitHub\eaglep3-reporting\EC\2017-10-10-refined-times.txt</v>
      </c>
      <c r="AI3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ID","value":"119-10"},{"id":16,"name":"Locomotive ID","value":"4020"},{"id":130,"name":"Impact","value":""},{"id":150,"name":"Time of Event (Mountain Time)","value":"06:39:57"},{"id":151,"name":"Denver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4020 --day 2017-10-10</v>
      </c>
      <c r="AN3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-10T04:55:48-0600',mode:absolute,to:'2017-10-10T07:39:57-0600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667</v>
      </c>
      <c r="B32" s="7">
        <v>4019</v>
      </c>
      <c r="C32" s="21" t="s">
        <v>194</v>
      </c>
      <c r="D32" s="21" t="s">
        <v>862</v>
      </c>
      <c r="E32" s="13">
        <v>43018.279351851852</v>
      </c>
      <c r="F32" s="13">
        <v>43018.289756944447</v>
      </c>
      <c r="G32" s="7">
        <v>82</v>
      </c>
      <c r="H32" s="21" t="s">
        <v>355</v>
      </c>
      <c r="I32" s="13">
        <v>43018.318020833336</v>
      </c>
      <c r="J32" s="7">
        <v>0</v>
      </c>
      <c r="K32" s="89" t="str">
        <f t="shared" si="0"/>
        <v>4019/4020</v>
      </c>
      <c r="L32" s="185" t="str">
        <f>VLOOKUP(A32,'Trips&amp;Operators'!$C$1:$G$99911,5,FALSE)</f>
        <v>GEBRETEKLE DAGNEW</v>
      </c>
      <c r="M32" s="6">
        <f t="shared" si="1"/>
        <v>2.8263888889341615E-2</v>
      </c>
      <c r="N32" s="7">
        <f t="shared" si="2"/>
        <v>40.700000000651926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-10T05:42:16-0600',mode:absolute,to:'2017-10-10T08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23.296600000000002</v>
      </c>
      <c r="Z32" s="204">
        <f t="shared" si="8"/>
        <v>1.52E-2</v>
      </c>
      <c r="AA32" s="204">
        <f t="shared" si="9"/>
        <v>23.281400000000001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32" s="74" t="str">
        <f t="shared" si="12"/>
        <v>"C:\Program Files (x86)\AstroGrep\AstroGrep.exe" /e /r /s /spath="%USERPROFILE%\AppData\Local\Temp\OnboardLogs" /stypes="app*4019*20171010*"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120-10 --locoid 4019 --swversion DE.1.0.9.0 --startMP 204:232966 --initTime 2017-10-10T06:42:16 --startdatetime 2017-10-10T06:57:15 --delay 82 --endMP 204:152 --enddatetime 2017-10-10T07:37:57 --enforcementcount 0 &gt;&gt;%USERPROFILE%\Documents\GitHub\eaglep3-reporting\EC\2017-10-10-refined-times.txt</v>
      </c>
      <c r="AI3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ID","value":"120-10"},{"id":16,"name":"Locomotive ID","value":"4019"},{"id":130,"name":"Impact","value":""},{"id":150,"name":"Time of Event (Mountain Time)","value":"07:37:57"},{"id":151,"name":"Denver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4019 --day 2017-10-10</v>
      </c>
      <c r="AN3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-10T05:42:16-0600',mode:absolute,to:'2017-10-10T08:37:57-0600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660</v>
      </c>
      <c r="B33" s="7">
        <v>4052</v>
      </c>
      <c r="C33" s="21" t="s">
        <v>194</v>
      </c>
      <c r="D33" s="21" t="s">
        <v>338</v>
      </c>
      <c r="E33" s="13">
        <v>43018.255555555559</v>
      </c>
      <c r="F33" s="13">
        <v>43018.260706018518</v>
      </c>
      <c r="G33" s="7">
        <v>68</v>
      </c>
      <c r="H33" s="21" t="s">
        <v>863</v>
      </c>
      <c r="I33" s="13">
        <v>43018.284131944441</v>
      </c>
      <c r="J33" s="7">
        <v>0</v>
      </c>
      <c r="K33" s="89" t="str">
        <f t="shared" si="0"/>
        <v>4051/4052</v>
      </c>
      <c r="L33" s="185" t="str">
        <f>VLOOKUP(A33,'Trips&amp;Operators'!$C$1:$G$99911,5,FALSE)</f>
        <v>LALONDE GREGORY</v>
      </c>
      <c r="M33" s="6">
        <f t="shared" si="1"/>
        <v>2.3425925923220348E-2</v>
      </c>
      <c r="N33" s="7">
        <f t="shared" si="2"/>
        <v>33.733333329437301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-10T05:08:00-0600',mode:absolute,to:'2017-10-10T07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4.53E-2</v>
      </c>
      <c r="Z33" s="204">
        <f t="shared" si="8"/>
        <v>23.332000000000001</v>
      </c>
      <c r="AA33" s="204">
        <f t="shared" si="9"/>
        <v>23.2867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33" s="74" t="str">
        <f t="shared" si="12"/>
        <v>"C:\Program Files (x86)\AstroGrep\AstroGrep.exe" /e /r /s /spath="%USERPROFILE%\AppData\Local\Temp\OnboardLogs" /stypes="app*4052*20171010*"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121-10 --locoid 4052 --swversion DE.1.0.9.0 --startMP 204:453 --initTime 2017-10-10T06:08:00 --startdatetime 2017-10-10T06:15:25 --delay 68 --endMP 204:233320 --enddatetime 2017-10-10T06:49:09 --enforcementcount 0 &gt;&gt;%USERPROFILE%\Documents\GitHub\eaglep3-reporting\EC\2017-10-10-refined-times.txt</v>
      </c>
      <c r="AI3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{"issue":{"subject":"","project_id":79,"tracker_id":40,"status_id":1,"priority_id":2,"assigned_to_id":338,"start_date":"2017-10-10","description":"","custom_fields":[{"id":1,"name":"Subdivision","value":"EC"},{"id":4,"name":"Milepost","value":"23.332"},{"id":17,"name":"Train ID","value":"121-10"},{"id":16,"name":"Locomotive ID","value":"4052"},{"id":130,"name":"Impact","value":""},{"id":150,"name":"Time of Event (Mountain Time)","value":"06:49:09"},{"id":151,"name":"Denver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4052 --day 2017-10-10</v>
      </c>
      <c r="AN3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-10T05:08:00-0600',mode:absolute,to:'2017-10-10T07:49:09-0600'))&amp;_a=(columns:!('Message%20ID',Summary),filters:!(),index:'emp_*',interval:auto,query:(query_string:(analyze_wildcard:!t,query:'%22rtdc.l.rtdc.4052%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671</v>
      </c>
      <c r="B34" s="7">
        <v>4051</v>
      </c>
      <c r="C34" s="21" t="s">
        <v>194</v>
      </c>
      <c r="D34" s="21" t="s">
        <v>563</v>
      </c>
      <c r="E34" s="13">
        <v>43018.285821759258</v>
      </c>
      <c r="F34" s="13">
        <v>43018.300185185188</v>
      </c>
      <c r="G34" s="7">
        <v>81</v>
      </c>
      <c r="H34" s="21" t="s">
        <v>864</v>
      </c>
      <c r="I34" s="13">
        <v>43018.326805555553</v>
      </c>
      <c r="J34" s="7">
        <v>0</v>
      </c>
      <c r="K34" s="89" t="str">
        <f t="shared" si="0"/>
        <v>4051/4052</v>
      </c>
      <c r="L34" s="185" t="str">
        <f>VLOOKUP(A34,'Trips&amp;Operators'!$C$1:$G$99911,5,FALSE)</f>
        <v>ROMERO CHAD</v>
      </c>
      <c r="M34" s="6">
        <f t="shared" si="1"/>
        <v>2.6620370364980772E-2</v>
      </c>
      <c r="N34" s="7">
        <f t="shared" si="2"/>
        <v>38.333333325572312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-10T05:51:35-0600',mode:absolute,to:'2017-10-10T08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23.299399999999999</v>
      </c>
      <c r="Z34" s="204">
        <f t="shared" si="8"/>
        <v>1.2699999999999999E-2</v>
      </c>
      <c r="AA34" s="204">
        <f t="shared" si="9"/>
        <v>23.2867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34" s="74" t="str">
        <f t="shared" si="12"/>
        <v>"C:\Program Files (x86)\AstroGrep\AstroGrep.exe" /e /r /s /spath="%USERPROFILE%\AppData\Local\Temp\OnboardLogs" /stypes="app*4051*20171010*"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122-10 --locoid 4051 --swversion DE.1.0.9.0 --startMP 204:232994 --initTime 2017-10-10T06:51:35 --startdatetime 2017-10-10T07:12:16 --delay 81 --endMP 204:127 --enddatetime 2017-10-10T07:50:36 --enforcementcount 0 &gt;&gt;%USERPROFILE%\Documents\GitHub\eaglep3-reporting\EC\2017-10-10-refined-times.txt</v>
      </c>
      <c r="AI3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{"issue":{"subject":"","project_id":79,"tracker_id":40,"status_id":1,"priority_id":2,"assigned_to_id":338,"start_date":"2017-10-10","description":"","custom_fields":[{"id":1,"name":"Subdivision","value":"EC"},{"id":4,"name":"Milepost","value":"0.0127"},{"id":17,"name":"Train ID","value":"122-10"},{"id":16,"name":"Locomotive ID","value":"4051"},{"id":130,"name":"Impact","value":""},{"id":150,"name":"Time of Event (Mountain Time)","value":"07:50:36"},{"id":151,"name":"Denver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4051 --day 2017-10-10</v>
      </c>
      <c r="AN3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-10T05:51:35-0600',mode:absolute,to:'2017-10-10T08:50:36-0600'))&amp;_a=(columns:!('Message%20ID',Summary),filters:!(),index:'emp_*',interval:auto,query:(query_string:(analyze_wildcard:!t,query:'%22rtdc.l.rtdc.4051%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4044</v>
      </c>
      <c r="C35" s="21" t="s">
        <v>194</v>
      </c>
      <c r="D35" s="21" t="s">
        <v>363</v>
      </c>
      <c r="E35" s="13">
        <v>43018.26834490741</v>
      </c>
      <c r="F35" s="13">
        <v>43018.270983796298</v>
      </c>
      <c r="G35" s="7">
        <v>47</v>
      </c>
      <c r="H35" s="21" t="s">
        <v>865</v>
      </c>
      <c r="I35" s="13">
        <v>43018.296006944445</v>
      </c>
      <c r="J35" s="7">
        <v>0</v>
      </c>
      <c r="K35" s="89" t="str">
        <f t="shared" si="0"/>
        <v>4043/4044</v>
      </c>
      <c r="L35" s="185" t="str">
        <f>VLOOKUP(A35,'Trips&amp;Operators'!$C$1:$G$99911,5,FALSE)</f>
        <v>BROWN JACOB</v>
      </c>
      <c r="M35" s="6">
        <f t="shared" si="1"/>
        <v>2.5023148147738539E-2</v>
      </c>
      <c r="N35" s="7">
        <f t="shared" si="2"/>
        <v>36.033333332743496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-10T05:26:25-0600',mode:absolute,to:'2017-10-10T08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4.5999999999999999E-2</v>
      </c>
      <c r="Z35" s="204">
        <f t="shared" si="8"/>
        <v>23.330400000000001</v>
      </c>
      <c r="AA35" s="204">
        <f t="shared" si="9"/>
        <v>23.284400000000002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35" s="74" t="str">
        <f t="shared" si="12"/>
        <v>"C:\Program Files (x86)\AstroGrep\AstroGrep.exe" /e /r /s /spath="%USERPROFILE%\AppData\Local\Temp\OnboardLogs" /stypes="app*4044*20171010*"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123-10 --locoid 4044 --swversion DE.1.0.9.0 --startMP 204:460 --initTime 2017-10-10T06:26:25 --startdatetime 2017-10-10T06:30:13 --delay 47 --endMP 204:233304 --enddatetime 2017-10-10T07:06:15 --enforcementcount 0 &gt;&gt;%USERPROFILE%\Documents\GitHub\eaglep3-reporting\EC\2017-10-10-refined-times.txt</v>
      </c>
      <c r="AI3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{"issue":{"subject":"","project_id":79,"tracker_id":40,"status_id":1,"priority_id":2,"assigned_to_id":338,"start_date":"2017-10-10","description":"","custom_fields":[{"id":1,"name":"Subdivision","value":"EC"},{"id":4,"name":"Milepost","value":"23.3304"},{"id":17,"name":"Train ID","value":"123-10"},{"id":16,"name":"Locomotive ID","value":"4044"},{"id":130,"name":"Impact","value":""},{"id":150,"name":"Time of Event (Mountain Time)","value":"07:06:15"},{"id":151,"name":"Denver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4044 --day 2017-10-10</v>
      </c>
      <c r="AN3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-10T05:26:25-0600',mode:absolute,to:'2017-10-10T08:06:15-0600'))&amp;_a=(columns:!('Message%20ID',Summary),filters:!(),index:'emp_*',interval:auto,query:(query_string:(analyze_wildcard:!t,query:'%22rtdc.l.rtdc.4044%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591</v>
      </c>
      <c r="B36" s="7">
        <v>4043</v>
      </c>
      <c r="C36" s="21" t="s">
        <v>194</v>
      </c>
      <c r="D36" s="21" t="s">
        <v>866</v>
      </c>
      <c r="E36" s="13">
        <v>43018.300567129627</v>
      </c>
      <c r="F36" s="13">
        <v>43018.310555555552</v>
      </c>
      <c r="G36" s="7">
        <v>66</v>
      </c>
      <c r="H36" s="21" t="s">
        <v>867</v>
      </c>
      <c r="I36" s="13">
        <v>43018.326863425929</v>
      </c>
      <c r="J36" s="7">
        <v>0</v>
      </c>
      <c r="K36" s="89" t="str">
        <f t="shared" si="0"/>
        <v>4043/4044</v>
      </c>
      <c r="L36" s="185" t="str">
        <f>VLOOKUP(A36,'Trips&amp;Operators'!$C$1:$G$99911,5,FALSE)</f>
        <v>BROWN JACOB</v>
      </c>
      <c r="M36" s="6">
        <f t="shared" si="1"/>
        <v>1.6307870377204381E-2</v>
      </c>
      <c r="N36" s="7"/>
      <c r="O36" s="7"/>
      <c r="P36" s="7">
        <f>24*60*SUM($M36:$M36)</f>
        <v>23.483333343174309</v>
      </c>
      <c r="Q36" s="22"/>
      <c r="R36" s="174" t="s">
        <v>1016</v>
      </c>
      <c r="S36" s="221">
        <f t="shared" si="3"/>
        <v>0.33333333333333331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4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204" t="str">
        <f>IF(AA36&lt;VLOOKUP(AG36,Variables!$AC$3:$AD$8,2,FALSE),"Y","N")</f>
        <v>Y</v>
      </c>
      <c r="X36" s="204">
        <f t="shared" si="6"/>
        <v>1</v>
      </c>
      <c r="Y36" s="204">
        <f t="shared" si="7"/>
        <v>23.300599999999999</v>
      </c>
      <c r="Z36" s="204">
        <f t="shared" si="8"/>
        <v>6.3170999999999999</v>
      </c>
      <c r="AA36" s="204">
        <f t="shared" si="9"/>
        <v>16.983499999999999</v>
      </c>
      <c r="AB36" s="54" t="str">
        <f>VLOOKUP(A36,Enforcements!$C$7:$K$11,8,0)</f>
        <v>Bulletin (2)</v>
      </c>
      <c r="AC36" s="51" t="str">
        <f>VLOOKUP(A36,Enforcements!$C$7:$E$11,3,0)</f>
        <v>GRADE CROSSING</v>
      </c>
      <c r="AD36" s="179">
        <f t="shared" si="10"/>
        <v>124</v>
      </c>
      <c r="AE36" s="77" t="str">
        <f t="shared" si="1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36" s="74" t="str">
        <f t="shared" si="12"/>
        <v>"C:\Program Files (x86)\AstroGrep\AstroGrep.exe" /e /r /s /spath="%USERPROFILE%\AppData\Local\Temp\OnboardLogs" /stypes="app*4043*20171010*"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124-10 --locoid 4043 --swversion DE.1.0.9.0 --startMP 204:233006 --initTime 2017-10-10T07:12:49 --startdatetime 2017-10-10T07:27:12 --delay 66 --endMP 204:63171 --enddatetime 2017-10-10T07:50:41 --enforcementcount 0 &gt;&gt;%USERPROFILE%\Documents\GitHub\eaglep3-reporting\EC\2017-10-10-refined-times.txt</v>
      </c>
      <c r="AI36" s="96" t="str">
        <f t="shared" si="2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failure","project_id":79,"tracker_id":40,"status_id":1,"priority_id":2,"assigned_to_id":338,"start_date":"2017-10-10","description":"","custom_fields":[{"id":1,"name":"Subdivision","value":"EC"},{"id":4,"name":"Milepost","value":"6.3171"},{"id":17,"name":"Train ID","value":"124-10"},{"id":16,"name":"Locomotive ID","value":"4043"},{"id":130,"name":"Impact","value":""},{"id":150,"name":"Time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4043 --day 2017-10-10</v>
      </c>
      <c r="AN36" s="151" t="str">
        <f t="shared" si="2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Message%20ID',Summary),filters:!(),index:'emp_*',interval:auto,query:(query_string:(analyze_wildcard:!t,query:'%22rtdc.l.rtdc.4043%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665</v>
      </c>
      <c r="B37" s="7">
        <v>4050</v>
      </c>
      <c r="C37" s="21" t="s">
        <v>194</v>
      </c>
      <c r="D37" s="21" t="s">
        <v>868</v>
      </c>
      <c r="E37" s="13">
        <v>43018.275393518517</v>
      </c>
      <c r="F37" s="13">
        <v>43018.286157407405</v>
      </c>
      <c r="G37" s="7">
        <v>44</v>
      </c>
      <c r="H37" s="21" t="s">
        <v>395</v>
      </c>
      <c r="I37" s="13">
        <v>43018.307002314818</v>
      </c>
      <c r="J37" s="7">
        <v>0</v>
      </c>
      <c r="K37" s="89" t="str">
        <f t="shared" si="0"/>
        <v>4049/4050</v>
      </c>
      <c r="L37" s="185" t="str">
        <f>VLOOKUP(A37,'Trips&amp;Operators'!$C$1:$G$99911,5,FALSE)</f>
        <v>YORK EDGAR</v>
      </c>
      <c r="M37" s="6">
        <f t="shared" si="1"/>
        <v>2.0844907412538305E-2</v>
      </c>
      <c r="N37" s="7"/>
      <c r="O37" s="7"/>
      <c r="P37" s="7">
        <f>24*60*SUM($M37:$M37)</f>
        <v>30.016666674055159</v>
      </c>
      <c r="Q37" s="22"/>
      <c r="R37" s="174" t="s">
        <v>1016</v>
      </c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-10T05:36:34-0600',mode:absolute,to:'2017-10-10T08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204" t="str">
        <f>IF(AA37&lt;VLOOKUP(AG37,Variables!$AC$3:$AD$8,2,FALSE),"Y","N")</f>
        <v>Y</v>
      </c>
      <c r="X37" s="204">
        <f t="shared" si="6"/>
        <v>1</v>
      </c>
      <c r="Y37" s="204">
        <f t="shared" si="7"/>
        <v>1.9126000000000001</v>
      </c>
      <c r="Z37" s="204">
        <f t="shared" si="8"/>
        <v>23.329699999999999</v>
      </c>
      <c r="AA37" s="204">
        <f t="shared" si="9"/>
        <v>21.417099999999998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37" s="74" t="str">
        <f t="shared" si="12"/>
        <v>"C:\Program Files (x86)\AstroGrep\AstroGrep.exe" /e /r /s /spath="%USERPROFILE%\AppData\Local\Temp\OnboardLogs" /stypes="app*4050*20171010*"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125-10 --locoid 4050 --swversion DE.1.0.9.0 --startMP 204:19126 --initTime 2017-10-10T06:36:34 --startdatetime 2017-10-10T06:52:04 --delay 44 --endMP 204:233297 --enddatetime 2017-10-10T07:22:05 --enforcementcount 0 &gt;&gt;%USERPROFILE%\Documents\GitHub\eaglep3-reporting\EC\2017-10-10-refined-times.txt</v>
      </c>
      <c r="AI37" s="96" t="str">
        <f t="shared" si="2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failure","project_id":79,"tracker_id":40,"status_id":1,"priority_id":2,"assigned_to_id":338,"start_date":"2017-10-10","description":"","custom_fields":[{"id":1,"name":"Subdivision","value":"EC"},{"id":4,"name":"Milepost","value":"23.3297"},{"id":17,"name":"Train ID","value":"125-10"},{"id":16,"name":"Locomotive ID","value":"4050"},{"id":130,"name":"Impact","value":""},{"id":150,"name":"Time of Event (Mountain Time)","value":"07:22:05"},{"id":151,"name":"Denver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4050 --day 2017-10-10</v>
      </c>
      <c r="AN37" s="151" t="str">
        <f t="shared" si="2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-10T05:36:34-0600',mode:absolute,to:'2017-10-10T08:22:05-0600'))&amp;_a=(columns:!('Message%20ID',Summary),filters:!(),index:'emp_*',interval:auto,query:(query_string:(analyze_wildcard:!t,query:'%22rtdc.l.rtdc.4050%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680</v>
      </c>
      <c r="B38" s="7">
        <v>4049</v>
      </c>
      <c r="C38" s="21" t="s">
        <v>194</v>
      </c>
      <c r="D38" s="21" t="s">
        <v>861</v>
      </c>
      <c r="E38" s="13">
        <v>43018.318124999998</v>
      </c>
      <c r="F38" s="13">
        <v>43018.321053240739</v>
      </c>
      <c r="G38" s="7">
        <v>61</v>
      </c>
      <c r="H38" s="21" t="s">
        <v>355</v>
      </c>
      <c r="I38" s="13">
        <v>43018.346967592595</v>
      </c>
      <c r="J38" s="7">
        <v>0</v>
      </c>
      <c r="K38" s="89" t="str">
        <f t="shared" si="0"/>
        <v>4049/4050</v>
      </c>
      <c r="L38" s="185" t="str">
        <f>VLOOKUP(A38,'Trips&amp;Operators'!$C$1:$G$99911,5,FALSE)</f>
        <v>YORK EDGAR</v>
      </c>
      <c r="M38" s="6">
        <f t="shared" si="1"/>
        <v>2.5914351856044959E-2</v>
      </c>
      <c r="N38" s="7">
        <f t="shared" ref="N38:N69" si="24">24*60*SUM($M38:$M38)</f>
        <v>37.316666672704741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-10T06:38:06-0600',mode:absolute,to:'2017-10-10T09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23.296500000000002</v>
      </c>
      <c r="Z38" s="204">
        <f t="shared" si="8"/>
        <v>1.52E-2</v>
      </c>
      <c r="AA38" s="204">
        <f t="shared" si="9"/>
        <v>23.281300000000002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38" s="74" t="str">
        <f t="shared" si="12"/>
        <v>"C:\Program Files (x86)\AstroGrep\AstroGrep.exe" /e /r /s /spath="%USERPROFILE%\AppData\Local\Temp\OnboardLogs" /stypes="app*4049*20171010*"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126-10 --locoid 4049 --swversion DE.1.0.9.0 --startMP 204:232965 --initTime 2017-10-10T07:38:06 --startdatetime 2017-10-10T07:42:19 --delay 61 --endMP 204:152 --enddatetime 2017-10-10T08:19:38 --enforcementcount 0 &gt;&gt;%USERPROFILE%\Documents\GitHub\eaglep3-reporting\EC\2017-10-10-refined-times.txt</v>
      </c>
      <c r="AI3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ID","value":"126-10"},{"id":16,"name":"Locomotive ID","value":"4049"},{"id":130,"name":"Impact","value":""},{"id":150,"name":"Time of Event (Mountain Time)","value":"08:19:38"},{"id":151,"name":"Denver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4049 --day 2017-10-10</v>
      </c>
      <c r="AN3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-10T06:38:06-0600',mode:absolute,to:'2017-10-10T09:19:38-0600'))&amp;_a=(columns:!('Message%20ID',Summary),filters:!(),index:'emp_*',interval:auto,query:(query_string:(analyze_wildcard:!t,query:'%22rtdc.l.rtdc.4049%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670</v>
      </c>
      <c r="B39" s="7">
        <v>4056</v>
      </c>
      <c r="C39" s="21" t="s">
        <v>194</v>
      </c>
      <c r="D39" s="21" t="s">
        <v>858</v>
      </c>
      <c r="E39" s="13">
        <v>43018.285856481481</v>
      </c>
      <c r="F39" s="13">
        <v>43018.291863425926</v>
      </c>
      <c r="G39" s="7">
        <v>47</v>
      </c>
      <c r="H39" s="21" t="s">
        <v>398</v>
      </c>
      <c r="I39" s="13">
        <v>43018.316643518519</v>
      </c>
      <c r="J39" s="7">
        <v>0</v>
      </c>
      <c r="K39" s="89" t="str">
        <f t="shared" si="0"/>
        <v>4055/4056</v>
      </c>
      <c r="L39" s="185" t="str">
        <f>VLOOKUP(A39,'Trips&amp;Operators'!$C$1:$G$99911,5,FALSE)</f>
        <v>YANAI IAN</v>
      </c>
      <c r="M39" s="6">
        <f t="shared" si="1"/>
        <v>2.4780092593573499E-2</v>
      </c>
      <c r="N39" s="7">
        <f t="shared" si="24"/>
        <v>35.683333334745839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-10T05:51:38-0600',mode:absolute,to:'2017-10-10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4.4200000000000003E-2</v>
      </c>
      <c r="Z39" s="204">
        <f t="shared" si="8"/>
        <v>23.33</v>
      </c>
      <c r="AA39" s="204">
        <f t="shared" si="9"/>
        <v>23.285799999999998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39" s="74" t="str">
        <f t="shared" si="12"/>
        <v>"C:\Program Files (x86)\AstroGrep\AstroGrep.exe" /e /r /s /spath="%USERPROFILE%\AppData\Local\Temp\OnboardLogs" /stypes="app*4056*20171010*"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127-10 --locoid 4056 --swversion DE.1.0.9.0 --startMP 204:442 --initTime 2017-10-10T06:51:38 --startdatetime 2017-10-10T07:00:17 --delay 47 --endMP 204:233300 --enddatetime 2017-10-10T07:35:58 --enforcementcount 0 &gt;&gt;%USERPROFILE%\Documents\GitHub\eaglep3-reporting\EC\2017-10-10-refined-times.txt</v>
      </c>
      <c r="AI3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{"issue":{"subject":"","project_id":79,"tracker_id":40,"status_id":1,"priority_id":2,"assigned_to_id":338,"start_date":"2017-10-10","description":"","custom_fields":[{"id":1,"name":"Subdivision","value":"EC"},{"id":4,"name":"Milepost","value":"23.33"},{"id":17,"name":"Train ID","value":"127-10"},{"id":16,"name":"Locomotive ID","value":"4056"},{"id":130,"name":"Impact","value":""},{"id":150,"name":"Time of Event (Mountain Time)","value":"07:35:58"},{"id":151,"name":"Denver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4056 --day 2017-10-10</v>
      </c>
      <c r="AN3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-10T05:51:38-0600',mode:absolute,to:'2017-10-10T08:35:58-0600'))&amp;_a=(columns:!('Message%20ID',Summary),filters:!(),index:'emp_*',interval:auto,query:(query_string:(analyze_wildcard:!t,query:'%22rtdc.l.rtdc.4056%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679</v>
      </c>
      <c r="B40" s="7">
        <v>4055</v>
      </c>
      <c r="C40" s="21" t="s">
        <v>194</v>
      </c>
      <c r="D40" s="21" t="s">
        <v>440</v>
      </c>
      <c r="E40" s="13">
        <v>43018.317754629628</v>
      </c>
      <c r="F40" s="13">
        <v>43018.331412037034</v>
      </c>
      <c r="G40" s="7">
        <v>57</v>
      </c>
      <c r="H40" s="21" t="s">
        <v>355</v>
      </c>
      <c r="I40" s="13">
        <v>43018.357037037036</v>
      </c>
      <c r="J40" s="7">
        <v>0</v>
      </c>
      <c r="K40" s="89" t="str">
        <f t="shared" si="0"/>
        <v>4055/4056</v>
      </c>
      <c r="L40" s="185" t="str">
        <f>VLOOKUP(A40,'Trips&amp;Operators'!$C$1:$G$99911,5,FALSE)</f>
        <v>YANAI IAN</v>
      </c>
      <c r="M40" s="6">
        <f t="shared" si="1"/>
        <v>2.5625000002037268E-2</v>
      </c>
      <c r="N40" s="7">
        <f t="shared" si="24"/>
        <v>36.900000002933666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-10T06:37:34-0600',mode:absolute,to:'2017-10-10T09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23.298300000000001</v>
      </c>
      <c r="Z40" s="204">
        <f t="shared" si="8"/>
        <v>1.52E-2</v>
      </c>
      <c r="AA40" s="204">
        <f t="shared" si="9"/>
        <v>23.283100000000001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40" s="74" t="str">
        <f t="shared" si="12"/>
        <v>"C:\Program Files (x86)\AstroGrep\AstroGrep.exe" /e /r /s /spath="%USERPROFILE%\AppData\Local\Temp\OnboardLogs" /stypes="app*4055*20171010*"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128-10 --locoid 4055 --swversion DE.1.0.9.0 --startMP 204:232983 --initTime 2017-10-10T07:37:34 --startdatetime 2017-10-10T07:57:14 --delay 57 --endMP 204:152 --enddatetime 2017-10-10T08:34:08 --enforcementcount 0 &gt;&gt;%USERPROFILE%\Documents\GitHub\eaglep3-reporting\EC\2017-10-10-refined-times.txt</v>
      </c>
      <c r="AI4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ID","value":"128-10"},{"id":16,"name":"Locomotive ID","value":"4055"},{"id":130,"name":"Impact","value":""},{"id":150,"name":"Time of Event (Mountain Time)","value":"08:34:08"},{"id":151,"name":"Denver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4055 --day 2017-10-10</v>
      </c>
      <c r="AN4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-10T06:37:34-0600',mode:absolute,to:'2017-10-10T09:34:08-0600'))&amp;_a=(columns:!('Message%20ID',Summary),filters:!(),index:'emp_*',interval:auto,query:(query_string:(analyze_wildcard:!t,query:'%22rtdc.l.rtdc.4055%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592</v>
      </c>
      <c r="B41" s="7">
        <v>4066</v>
      </c>
      <c r="C41" s="21" t="s">
        <v>194</v>
      </c>
      <c r="D41" s="21" t="s">
        <v>515</v>
      </c>
      <c r="E41" s="13">
        <v>43018.297754629632</v>
      </c>
      <c r="F41" s="13">
        <v>43018.302407407406</v>
      </c>
      <c r="G41" s="7">
        <v>53</v>
      </c>
      <c r="H41" s="21" t="s">
        <v>484</v>
      </c>
      <c r="I41" s="13">
        <v>43018.327314814815</v>
      </c>
      <c r="J41" s="7">
        <v>0</v>
      </c>
      <c r="K41" s="89" t="str">
        <f t="shared" si="0"/>
        <v>4065/4066</v>
      </c>
      <c r="L41" s="185" t="str">
        <f>VLOOKUP(A41,'Trips&amp;Operators'!$C$1:$G$99911,5,FALSE)</f>
        <v>BONDS REYNALDO</v>
      </c>
      <c r="M41" s="6">
        <f t="shared" si="1"/>
        <v>2.4907407409045845E-2</v>
      </c>
      <c r="N41" s="7">
        <f t="shared" si="24"/>
        <v>35.866666669026017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-10T06:08:46-0600',mode:absolute,to:'2017-10-10T08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4.6399999999999997E-2</v>
      </c>
      <c r="Z41" s="204">
        <f t="shared" si="8"/>
        <v>23.331399999999999</v>
      </c>
      <c r="AA41" s="204">
        <f t="shared" si="9"/>
        <v>23.285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41" s="74" t="str">
        <f t="shared" si="12"/>
        <v>"C:\Program Files (x86)\AstroGrep\AstroGrep.exe" /e /r /s /spath="%USERPROFILE%\AppData\Local\Temp\OnboardLogs" /stypes="app*4066*20171010*"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129-10 --locoid 4066 --swversion DE.1.0.9.0 --startMP 204:464 --initTime 2017-10-10T07:08:46 --startdatetime 2017-10-10T07:15:28 --delay 53 --endMP 204:233314 --enddatetime 2017-10-10T07:51:20 --enforcementcount 0 &gt;&gt;%USERPROFILE%\Documents\GitHub\eaglep3-reporting\EC\2017-10-10-refined-times.txt</v>
      </c>
      <c r="AI4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ID","value":"129-10"},{"id":16,"name":"Locomotive ID","value":"4066"},{"id":130,"name":"Impact","value":""},{"id":150,"name":"Time of Event (Mountain Time)","value":"07:51:20"},{"id":151,"name":"Denver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4066 --day 2017-10-10</v>
      </c>
      <c r="AN4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-10T06:08:46-0600',mode:absolute,to:'2017-10-10T08:51:20-0600'))&amp;_a=(columns:!('Message%20ID',Summary),filters:!(),index:'emp_*',interval:auto,query:(query_string:(analyze_wildcard:!t,query:'%22rtdc.l.rtdc.4066%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686</v>
      </c>
      <c r="B42" s="7">
        <v>4065</v>
      </c>
      <c r="C42" s="21" t="s">
        <v>194</v>
      </c>
      <c r="D42" s="21" t="s">
        <v>869</v>
      </c>
      <c r="E42" s="13">
        <v>43018.331736111111</v>
      </c>
      <c r="F42" s="13">
        <v>43018.341851851852</v>
      </c>
      <c r="G42" s="7">
        <v>57</v>
      </c>
      <c r="H42" s="21" t="s">
        <v>870</v>
      </c>
      <c r="I42" s="13">
        <v>43018.368530092594</v>
      </c>
      <c r="J42" s="7">
        <v>0</v>
      </c>
      <c r="K42" s="89" t="str">
        <f t="shared" si="0"/>
        <v>4065/4066</v>
      </c>
      <c r="L42" s="185" t="str">
        <f>VLOOKUP(A42,'Trips&amp;Operators'!$C$1:$G$99911,5,FALSE)</f>
        <v>BONDS REYNALDO</v>
      </c>
      <c r="M42" s="6">
        <f t="shared" si="1"/>
        <v>2.6678240741603076E-2</v>
      </c>
      <c r="N42" s="7">
        <f t="shared" si="24"/>
        <v>38.41666666790843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-10T06:57:42-0600',mode:absolute,to:'2017-10-10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23.298999999999999</v>
      </c>
      <c r="Z42" s="204">
        <f t="shared" si="8"/>
        <v>1.32E-2</v>
      </c>
      <c r="AA42" s="204">
        <f t="shared" si="9"/>
        <v>23.285799999999998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42" s="74" t="str">
        <f t="shared" si="12"/>
        <v>"C:\Program Files (x86)\AstroGrep\AstroGrep.exe" /e /r /s /spath="%USERPROFILE%\AppData\Local\Temp\OnboardLogs" /stypes="app*4065*20171010*"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130-10 --locoid 4065 --swversion DE.1.0.9.0 --startMP 204:232990 --initTime 2017-10-10T07:57:42 --startdatetime 2017-10-10T08:12:16 --delay 57 --endMP 204:132 --enddatetime 2017-10-10T08:50:41 --enforcementcount 0 &gt;&gt;%USERPROFILE%\Documents\GitHub\eaglep3-reporting\EC\2017-10-10-refined-times.txt</v>
      </c>
      <c r="AI4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ID","value":"130-10"},{"id":16,"name":"Locomotive ID","value":"4065"},{"id":130,"name":"Impact","value":""},{"id":150,"name":"Time of Event (Mountain Time)","value":"08:50:41"},{"id":151,"name":"Denver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4065 --day 2017-10-10</v>
      </c>
      <c r="AN4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-10T06:57:42-0600',mode:absolute,to:'2017-10-10T09:50:41-0600'))&amp;_a=(columns:!('Message%20ID',Summary),filters:!(),index:'emp_*',interval:auto,query:(query_string:(analyze_wildcard:!t,query:'%22rtdc.l.rtdc.4065%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677</v>
      </c>
      <c r="B43" s="7">
        <v>4054</v>
      </c>
      <c r="C43" s="21" t="s">
        <v>194</v>
      </c>
      <c r="D43" s="21" t="s">
        <v>363</v>
      </c>
      <c r="E43" s="13">
        <v>43018.310115740744</v>
      </c>
      <c r="F43" s="13">
        <v>43018.312835648147</v>
      </c>
      <c r="G43" s="7">
        <v>75</v>
      </c>
      <c r="H43" s="21" t="s">
        <v>871</v>
      </c>
      <c r="I43" s="13">
        <v>43018.337569444448</v>
      </c>
      <c r="J43" s="7">
        <v>0</v>
      </c>
      <c r="K43" s="89" t="str">
        <f t="shared" si="0"/>
        <v>4053/4054</v>
      </c>
      <c r="L43" s="185" t="str">
        <f>VLOOKUP(A43,'Trips&amp;Operators'!$C$1:$G$99911,5,FALSE)</f>
        <v>MACDONALD THOMAS</v>
      </c>
      <c r="M43" s="6">
        <f t="shared" si="1"/>
        <v>2.4733796301006805E-2</v>
      </c>
      <c r="N43" s="7">
        <f t="shared" si="24"/>
        <v>35.616666673449799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-10T06:26:34-0600',mode:absolute,to:'2017-10-10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4.5999999999999999E-2</v>
      </c>
      <c r="Z43" s="204">
        <f t="shared" si="8"/>
        <v>23.325900000000001</v>
      </c>
      <c r="AA43" s="204">
        <f t="shared" si="9"/>
        <v>23.279900000000001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43" s="74" t="str">
        <f t="shared" si="12"/>
        <v>"C:\Program Files (x86)\AstroGrep\AstroGrep.exe" /e /r /s /spath="%USERPROFILE%\AppData\Local\Temp\OnboardLogs" /stypes="app*4054*20171010*"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131-10 --locoid 4054 --swversion DE.1.0.9.0 --startMP 204:460 --initTime 2017-10-10T07:26:34 --startdatetime 2017-10-10T07:30:29 --delay 75 --endMP 204:233259 --enddatetime 2017-10-10T08:06:06 --enforcementcount 0 &gt;&gt;%USERPROFILE%\Documents\GitHub\eaglep3-reporting\EC\2017-10-10-refined-times.txt</v>
      </c>
      <c r="AI4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{"issue":{"subject":"","project_id":79,"tracker_id":40,"status_id":1,"priority_id":2,"assigned_to_id":338,"start_date":"2017-10-10","description":"","custom_fields":[{"id":1,"name":"Subdivision","value":"EC"},{"id":4,"name":"Milepost","value":"23.3259"},{"id":17,"name":"Train ID","value":"131-10"},{"id":16,"name":"Locomotive ID","value":"4054"},{"id":130,"name":"Impact","value":""},{"id":150,"name":"Time of Event (Mountain Time)","value":"08:06:06"},{"id":151,"name":"Denver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4054 --day 2017-10-10</v>
      </c>
      <c r="AN4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-10T06:26:34-0600',mode:absolute,to:'2017-10-10T09:06:06-0600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689</v>
      </c>
      <c r="B44" s="7">
        <v>4053</v>
      </c>
      <c r="C44" s="21" t="s">
        <v>194</v>
      </c>
      <c r="D44" s="21" t="s">
        <v>437</v>
      </c>
      <c r="E44" s="13">
        <v>43018.349374999998</v>
      </c>
      <c r="F44" s="13">
        <v>43018.352511574078</v>
      </c>
      <c r="G44" s="7">
        <v>109</v>
      </c>
      <c r="H44" s="21" t="s">
        <v>857</v>
      </c>
      <c r="I44" s="13">
        <v>43018.38003472222</v>
      </c>
      <c r="J44" s="7">
        <v>0</v>
      </c>
      <c r="K44" s="89" t="str">
        <f t="shared" si="0"/>
        <v>4053/4054</v>
      </c>
      <c r="L44" s="185" t="str">
        <f>VLOOKUP(A44,'Trips&amp;Operators'!$C$1:$G$99911,5,FALSE)</f>
        <v>MACDONALD THOMAS</v>
      </c>
      <c r="M44" s="6">
        <f t="shared" si="1"/>
        <v>2.7523148142790888E-2</v>
      </c>
      <c r="N44" s="7">
        <f t="shared" si="24"/>
        <v>39.633333325618878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-10T07:23:06-0600',mode:absolute,to:'2017-10-10T10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23.2959</v>
      </c>
      <c r="Z44" s="204">
        <f t="shared" si="8"/>
        <v>1.7000000000000001E-2</v>
      </c>
      <c r="AA44" s="204">
        <f t="shared" si="9"/>
        <v>23.2789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44" s="74" t="str">
        <f t="shared" si="12"/>
        <v>"C:\Program Files (x86)\AstroGrep\AstroGrep.exe" /e /r /s /spath="%USERPROFILE%\AppData\Local\Temp\OnboardLogs" /stypes="app*4053*20171010*"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132-10 --locoid 4053 --swversion DE.1.0.9.0 --startMP 204:232959 --initTime 2017-10-10T08:23:06 --startdatetime 2017-10-10T08:27:37 --delay 109 --endMP 204:170 --enddatetime 2017-10-10T09:07:15 --enforcementcount 0 &gt;&gt;%USERPROFILE%\Documents\GitHub\eaglep3-reporting\EC\2017-10-10-refined-times.txt</v>
      </c>
      <c r="AI4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ID","value":"132-10"},{"id":16,"name":"Locomotive ID","value":"4053"},{"id":130,"name":"Impact","value":""},{"id":150,"name":"Time of Event (Mountain Time)","value":"09:07:15"},{"id":151,"name":"Denver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4053 --day 2017-10-10</v>
      </c>
      <c r="AN4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-10T07:23:06-0600',mode:absolute,to:'2017-10-10T10:07:15-0600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681</v>
      </c>
      <c r="B45" s="7">
        <v>4020</v>
      </c>
      <c r="C45" s="21" t="s">
        <v>194</v>
      </c>
      <c r="D45" s="21" t="s">
        <v>396</v>
      </c>
      <c r="E45" s="13">
        <v>43018.31927083333</v>
      </c>
      <c r="F45" s="13">
        <v>43018.323078703703</v>
      </c>
      <c r="G45" s="7">
        <v>70</v>
      </c>
      <c r="H45" s="21" t="s">
        <v>854</v>
      </c>
      <c r="I45" s="13">
        <v>43018.347974537035</v>
      </c>
      <c r="J45" s="7">
        <v>0</v>
      </c>
      <c r="K45" s="89" t="str">
        <f t="shared" ref="K45:K76" si="25">IF(ISEVEN(B45),(B45-1)&amp;"/"&amp;B45,B45&amp;"/"&amp;(B45+1))</f>
        <v>4019/4020</v>
      </c>
      <c r="L45" s="185" t="str">
        <f>VLOOKUP(A45,'Trips&amp;Operators'!$C$1:$G$99911,5,FALSE)</f>
        <v>LANGERAK WILLIAM</v>
      </c>
      <c r="M45" s="6">
        <f t="shared" ref="M45:M76" si="26">I45-F45</f>
        <v>2.4895833332266193E-2</v>
      </c>
      <c r="N45" s="7">
        <f t="shared" si="24"/>
        <v>35.849999998463318</v>
      </c>
      <c r="O45" s="7"/>
      <c r="P45" s="7"/>
      <c r="Q45" s="22"/>
      <c r="R45" s="174"/>
      <c r="S45" s="221">
        <f t="shared" ref="S45:S76" si="27">1/IF(AG45="EC",12,1)*SUM(U45:U45)</f>
        <v>1</v>
      </c>
      <c r="T45" s="174" t="str">
        <f t="shared" ref="T45:T76" si="28"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-10T06:39:45-0600',mode:absolute,to:'2017-10-10T09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04" t="str">
        <f>IF(AA45&lt;VLOOKUP(AG45,Variables!$AC$3:$AD$8,2,FALSE),"Y","N")</f>
        <v>N</v>
      </c>
      <c r="X45" s="204">
        <f t="shared" ref="X45:X76" si="29">VALUE(LEFT(AD45,4))-VALUE(LEFT(AD44,4))</f>
        <v>1</v>
      </c>
      <c r="Y45" s="204">
        <f t="shared" ref="Y45:Y76" si="30">RIGHT(D45,LEN(D45)-4)/10000</f>
        <v>4.6699999999999998E-2</v>
      </c>
      <c r="Z45" s="204">
        <f t="shared" ref="Z45:Z76" si="31">RIGHT(H45,LEN(H45)-4)/10000</f>
        <v>23.325500000000002</v>
      </c>
      <c r="AA45" s="204">
        <f t="shared" ref="AA45:AA76" si="32">ABS(Z45-Y45)</f>
        <v>23.2788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ref="AD45:AD76" si="33">VALUE(LEFT(A45,LEN(A45)-3))</f>
        <v>133</v>
      </c>
      <c r="AE45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45" s="74" t="str">
        <f t="shared" si="12"/>
        <v>"C:\Program Files (x86)\AstroGrep\AstroGrep.exe" /e /r /s /spath="%USERPROFILE%\AppData\Local\Temp\OnboardLogs" /stypes="app*4020*20171010*" /stext=" 14:.+((SYSTEM_STATE.+slice.+state.+changed )|(ment ac)|(multiple cpu faults)|(system.+state.+changed )|(\[timeout)|(PRM\|1\|D)|(kpr)|(kdp)|(train st.+moving)|(\|lc)|(penalty))"</v>
      </c>
      <c r="AG45" s="182" t="str">
        <f t="shared" ref="AG45:AG76" si="34">DetSubdiv(A45)</f>
        <v>EC</v>
      </c>
      <c r="AH45" s="78" t="str">
        <f t="shared" si="19"/>
        <v>"%USERPROFILE%\Documents\GitHub\eaglep3\Utilities\RefineRTDCRunTimes.py" --tripid 133-10 --locoid 4020 --swversion DE.1.0.9.0 --startMP 204:467 --initTime 2017-10-10T07:39:45 --startdatetime 2017-10-10T07:45:14 --delay 70 --endMP 204:233255 --enddatetime 2017-10-10T08:21:05 --enforcementcount 0 &gt;&gt;%USERPROFILE%\Documents\GitHub\eaglep3-reporting\EC\2017-10-10-refined-times.txt</v>
      </c>
      <c r="AI4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{"issue":{"subject":"","project_id":79,"tracker_id":40,"status_id":1,"priority_id":2,"assigned_to_id":338,"start_date":"2017-10-10","description":"","custom_fields":[{"id":1,"name":"Subdivision","value":"EC"},{"id":4,"name":"Milepost","value":"23.3255"},{"id":17,"name":"Train ID","value":"133-10"},{"id":16,"name":"Locomotive ID","value":"4020"},{"id":130,"name":"Impact","value":""},{"id":150,"name":"Time of Event (Mountain Time)","value":"08:21:05"},{"id":151,"name":"Denver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4020 --day 2017-10-10</v>
      </c>
      <c r="AN4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-10T06:39:45-0600',mode:absolute,to:'2017-10-10T09:21:05-0600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690</v>
      </c>
      <c r="B46" s="7">
        <v>4019</v>
      </c>
      <c r="C46" s="21" t="s">
        <v>194</v>
      </c>
      <c r="D46" s="21" t="s">
        <v>872</v>
      </c>
      <c r="E46" s="13">
        <v>43018.349710648145</v>
      </c>
      <c r="F46" s="13">
        <v>43018.362650462965</v>
      </c>
      <c r="G46" s="7">
        <v>77</v>
      </c>
      <c r="H46" s="21" t="s">
        <v>358</v>
      </c>
      <c r="I46" s="13">
        <v>43018.390960648147</v>
      </c>
      <c r="J46" s="7">
        <v>0</v>
      </c>
      <c r="K46" s="89" t="str">
        <f t="shared" si="25"/>
        <v>4019/4020</v>
      </c>
      <c r="L46" s="185" t="str">
        <f>VLOOKUP(A46,'Trips&amp;Operators'!$C$1:$G$99911,5,FALSE)</f>
        <v>LANGERAK WILLIAM</v>
      </c>
      <c r="M46" s="6">
        <f t="shared" si="26"/>
        <v>2.8310185181908309E-2</v>
      </c>
      <c r="N46" s="7">
        <f t="shared" si="24"/>
        <v>40.766666661947966</v>
      </c>
      <c r="O46" s="7"/>
      <c r="P46" s="7"/>
      <c r="Q46" s="22"/>
      <c r="R46" s="174"/>
      <c r="S46" s="221">
        <f t="shared" si="27"/>
        <v>1</v>
      </c>
      <c r="T46" s="174" t="str">
        <f t="shared" si="28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-10T07:23:35-0600',mode:absolute,to:'2017-10-10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04" t="str">
        <f>IF(AA46&lt;VLOOKUP(AG46,Variables!$AC$3:$AD$8,2,FALSE),"Y","N")</f>
        <v>N</v>
      </c>
      <c r="X46" s="204">
        <f t="shared" si="29"/>
        <v>1</v>
      </c>
      <c r="Y46" s="204">
        <f t="shared" si="30"/>
        <v>23.292899999999999</v>
      </c>
      <c r="Z46" s="204">
        <f t="shared" si="31"/>
        <v>1.5599999999999999E-2</v>
      </c>
      <c r="AA46" s="204">
        <f t="shared" si="32"/>
        <v>23.2773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33"/>
        <v>134</v>
      </c>
      <c r="AE46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46" s="74" t="str">
        <f t="shared" si="12"/>
        <v>"C:\Program Files (x86)\AstroGrep\AstroGrep.exe" /e /r /s /spath="%USERPROFILE%\AppData\Local\Temp\OnboardLogs" /stypes="app*4019*20171010*" /stext=" 15:.+((SYSTEM_STATE.+slice.+state.+changed )|(ment ac)|(multiple cpu faults)|(system.+state.+changed )|(\[timeout)|(PRM\|1\|D)|(kpr)|(kdp)|(train st.+moving)|(\|lc)|(penalty))"</v>
      </c>
      <c r="AG46" s="182" t="str">
        <f t="shared" si="34"/>
        <v>EC</v>
      </c>
      <c r="AH46" s="78" t="str">
        <f t="shared" si="19"/>
        <v>"%USERPROFILE%\Documents\GitHub\eaglep3\Utilities\RefineRTDCRunTimes.py" --tripid 134-10 --locoid 4019 --swversion DE.1.0.9.0 --startMP 204:232929 --initTime 2017-10-10T08:23:35 --startdatetime 2017-10-10T08:42:13 --delay 77 --endMP 204:156 --enddatetime 2017-10-10T09:22:59 --enforcementcount 0 &gt;&gt;%USERPROFILE%\Documents\GitHub\eaglep3-reporting\EC\2017-10-10-refined-times.txt</v>
      </c>
      <c r="AI4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ID","value":"134-10"},{"id":16,"name":"Locomotive ID","value":"4019"},{"id":130,"name":"Impact","value":""},{"id":150,"name":"Time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4019 --day 2017-10-10</v>
      </c>
      <c r="AN4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-10T07:23:35-0600',mode:absolute,to:'2017-10-10T10:22:59-0600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683</v>
      </c>
      <c r="B47" s="7">
        <v>4052</v>
      </c>
      <c r="C47" s="21" t="s">
        <v>194</v>
      </c>
      <c r="D47" s="21" t="s">
        <v>873</v>
      </c>
      <c r="E47" s="13">
        <v>43018.33090277778</v>
      </c>
      <c r="F47" s="13">
        <v>43018.334282407406</v>
      </c>
      <c r="G47" s="7">
        <v>58</v>
      </c>
      <c r="H47" s="21" t="s">
        <v>558</v>
      </c>
      <c r="I47" s="13">
        <v>43018.358090277776</v>
      </c>
      <c r="J47" s="7">
        <v>0</v>
      </c>
      <c r="K47" s="89" t="str">
        <f t="shared" si="25"/>
        <v>4051/4052</v>
      </c>
      <c r="L47" s="185" t="str">
        <f>VLOOKUP(A47,'Trips&amp;Operators'!$C$1:$G$99911,5,FALSE)</f>
        <v>LALONDE GREGORY</v>
      </c>
      <c r="M47" s="6">
        <f t="shared" si="26"/>
        <v>2.3807870369637385E-2</v>
      </c>
      <c r="N47" s="7">
        <f t="shared" si="24"/>
        <v>34.283333332277834</v>
      </c>
      <c r="O47" s="7"/>
      <c r="P47" s="7"/>
      <c r="Q47" s="22"/>
      <c r="R47" s="174"/>
      <c r="S47" s="221">
        <f t="shared" si="27"/>
        <v>1</v>
      </c>
      <c r="T47" s="174" t="str">
        <f t="shared" si="28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-10T06:56:30-0600',mode:absolute,to:'2017-10-10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204" t="str">
        <f>IF(AA47&lt;VLOOKUP(AG47,Variables!$AC$3:$AD$8,2,FALSE),"Y","N")</f>
        <v>N</v>
      </c>
      <c r="X47" s="204">
        <f t="shared" si="29"/>
        <v>1</v>
      </c>
      <c r="Y47" s="204">
        <f t="shared" si="30"/>
        <v>4.4900000000000002E-2</v>
      </c>
      <c r="Z47" s="204">
        <f t="shared" si="31"/>
        <v>23.332699999999999</v>
      </c>
      <c r="AA47" s="204">
        <f t="shared" si="32"/>
        <v>23.287800000000001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33"/>
        <v>135</v>
      </c>
      <c r="AE47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47" s="74" t="str">
        <f t="shared" si="12"/>
        <v>"C:\Program Files (x86)\AstroGrep\AstroGrep.exe" /e /r /s /spath="%USERPROFILE%\AppData\Local\Temp\OnboardLogs" /stypes="app*4052*20171010*" /stext=" 14:.+((SYSTEM_STATE.+slice.+state.+changed )|(ment ac)|(multiple cpu faults)|(system.+state.+changed )|(\[timeout)|(PRM\|1\|D)|(kpr)|(kdp)|(train st.+moving)|(\|lc)|(penalty))"</v>
      </c>
      <c r="AG47" s="182" t="str">
        <f t="shared" si="34"/>
        <v>EC</v>
      </c>
      <c r="AH47" s="78" t="str">
        <f t="shared" si="19"/>
        <v>"%USERPROFILE%\Documents\GitHub\eaglep3\Utilities\RefineRTDCRunTimes.py" --tripid 135-10 --locoid 4052 --swversion DE.1.0.9.0 --startMP 204:449 --initTime 2017-10-10T07:56:30 --startdatetime 2017-10-10T08:01:22 --delay 58 --endMP 204:233327 --enddatetime 2017-10-10T08:35:39 --enforcementcount 0 &gt;&gt;%USERPROFILE%\Documents\GitHub\eaglep3-reporting\EC\2017-10-10-refined-times.txt</v>
      </c>
      <c r="AI4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ID","value":"135-10"},{"id":16,"name":"Locomotive ID","value":"4052"},{"id":130,"name":"Impact","value":""},{"id":150,"name":"Time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4052 --day 2017-10-10</v>
      </c>
      <c r="AN4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-10T06:56:30-0600',mode:absolute,to:'2017-10-10T09:35:39-0600'))&amp;_a=(columns:!('Message%20ID',Summary),filters:!(),index:'emp_*',interval:auto,query:(query_string:(analyze_wildcard:!t,query:'%22rtdc.l.rtdc.4052%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694</v>
      </c>
      <c r="B48" s="7">
        <v>4051</v>
      </c>
      <c r="C48" s="21" t="s">
        <v>194</v>
      </c>
      <c r="D48" s="21" t="s">
        <v>481</v>
      </c>
      <c r="E48" s="13">
        <v>43018.359988425924</v>
      </c>
      <c r="F48" s="13">
        <v>43018.373113425929</v>
      </c>
      <c r="G48" s="7">
        <v>59</v>
      </c>
      <c r="H48" s="21" t="s">
        <v>336</v>
      </c>
      <c r="I48" s="13">
        <v>43018.398136574076</v>
      </c>
      <c r="J48" s="7">
        <v>0</v>
      </c>
      <c r="K48" s="89" t="str">
        <f t="shared" si="25"/>
        <v>4051/4052</v>
      </c>
      <c r="L48" s="185" t="str">
        <f>VLOOKUP(A48,'Trips&amp;Operators'!$C$1:$G$99911,5,FALSE)</f>
        <v>LALONDE GREGORY</v>
      </c>
      <c r="M48" s="6">
        <f t="shared" si="26"/>
        <v>2.5023148147738539E-2</v>
      </c>
      <c r="N48" s="7">
        <f t="shared" si="24"/>
        <v>36.033333332743496</v>
      </c>
      <c r="O48" s="7"/>
      <c r="P48" s="7"/>
      <c r="Q48" s="22"/>
      <c r="R48" s="174"/>
      <c r="S48" s="221">
        <f t="shared" si="27"/>
        <v>1</v>
      </c>
      <c r="T48" s="174" t="str">
        <f t="shared" si="28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-10T07:38:23-0600',mode:absolute,to:'2017-10-10T10:33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204" t="str">
        <f>IF(AA48&lt;VLOOKUP(AG48,Variables!$AC$3:$AD$8,2,FALSE),"Y","N")</f>
        <v>N</v>
      </c>
      <c r="X48" s="204">
        <f t="shared" si="29"/>
        <v>1</v>
      </c>
      <c r="Y48" s="204">
        <f t="shared" si="30"/>
        <v>23.3017</v>
      </c>
      <c r="Z48" s="204">
        <f t="shared" si="31"/>
        <v>1.49E-2</v>
      </c>
      <c r="AA48" s="204">
        <f t="shared" si="32"/>
        <v>23.286799999999999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33"/>
        <v>136</v>
      </c>
      <c r="AE48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48" s="74" t="str">
        <f t="shared" si="12"/>
        <v>"C:\Program Files (x86)\AstroGrep\AstroGrep.exe" /e /r /s /spath="%USERPROFILE%\AppData\Local\Temp\OnboardLogs" /stypes="app*4051*20171010*" /stext=" 15:.+((SYSTEM_STATE.+slice.+state.+changed )|(ment ac)|(multiple cpu faults)|(system.+state.+changed )|(\[timeout)|(PRM\|1\|D)|(kpr)|(kdp)|(train st.+moving)|(\|lc)|(penalty))"</v>
      </c>
      <c r="AG48" s="182" t="str">
        <f t="shared" si="34"/>
        <v>EC</v>
      </c>
      <c r="AH48" s="78" t="str">
        <f t="shared" si="19"/>
        <v>"%USERPROFILE%\Documents\GitHub\eaglep3\Utilities\RefineRTDCRunTimes.py" --tripid 136-10 --locoid 4051 --swversion DE.1.0.9.0 --startMP 204:233017 --initTime 2017-10-10T08:38:23 --startdatetime 2017-10-10T08:57:17 --delay 59 --endMP 204:149 --enddatetime 2017-10-10T09:33:19 --enforcementcount 0 &gt;&gt;%USERPROFILE%\Documents\GitHub\eaglep3-reporting\EC\2017-10-10-refined-times.txt</v>
      </c>
      <c r="AI4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ID","value":"136-10"},{"id":16,"name":"Locomotive ID","value":"4051"},{"id":130,"name":"Impact","value":""},{"id":150,"name":"Time of Event (Mountain Time)","value":"09:33:19"},{"id":151,"name":"Denver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4051 --day 2017-10-10</v>
      </c>
      <c r="AN4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-10T07:38:23-0600',mode:absolute,to:'2017-10-10T10:33:19-0600'))&amp;_a=(columns:!('Message%20ID',Summary),filters:!(),index:'emp_*',interval:auto,query:(query_string:(analyze_wildcard:!t,query:'%22rtdc.l.rtdc.4051%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4042</v>
      </c>
      <c r="C49" s="21" t="s">
        <v>194</v>
      </c>
      <c r="D49" s="21" t="s">
        <v>515</v>
      </c>
      <c r="E49" s="13">
        <v>43018.345000000001</v>
      </c>
      <c r="F49" s="13">
        <v>43018.346944444442</v>
      </c>
      <c r="G49" s="7">
        <v>91</v>
      </c>
      <c r="H49" s="21" t="s">
        <v>562</v>
      </c>
      <c r="I49" s="13">
        <v>43018.371087962965</v>
      </c>
      <c r="J49" s="7">
        <v>0</v>
      </c>
      <c r="K49" s="89" t="str">
        <f t="shared" si="25"/>
        <v>4041/4042</v>
      </c>
      <c r="L49" s="185" t="str">
        <f>VLOOKUP(A49,'Trips&amp;Operators'!$C$1:$G$99911,5,FALSE)</f>
        <v>BROWN JACOB</v>
      </c>
      <c r="M49" s="6">
        <f t="shared" si="26"/>
        <v>2.4143518523487728E-2</v>
      </c>
      <c r="N49" s="7">
        <f t="shared" si="24"/>
        <v>34.766666673822328</v>
      </c>
      <c r="O49" s="7"/>
      <c r="P49" s="7"/>
      <c r="Q49" s="22"/>
      <c r="R49" s="174"/>
      <c r="S49" s="221">
        <f t="shared" si="27"/>
        <v>1</v>
      </c>
      <c r="T49" s="174" t="str">
        <f t="shared" si="28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-10T07:16:48-0600',mode:absolute,to:'2017-10-10T09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29"/>
        <v>1</v>
      </c>
      <c r="Y49" s="204">
        <f t="shared" si="30"/>
        <v>4.6399999999999997E-2</v>
      </c>
      <c r="Z49" s="204">
        <f t="shared" si="31"/>
        <v>23.3322</v>
      </c>
      <c r="AA49" s="204">
        <f t="shared" si="32"/>
        <v>23.285800000000002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33"/>
        <v>137</v>
      </c>
      <c r="AE49" s="77" t="str">
        <f t="shared" si="1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49" s="74" t="str">
        <f t="shared" si="12"/>
        <v>"C:\Program Files (x86)\AstroGrep\AstroGrep.exe" /e /r /s /spath="%USERPROFILE%\AppData\Local\Temp\OnboardLogs" /stypes="app*4042*20171010*" /stext=" 14:.+((SYSTEM_STATE.+slice.+state.+changed )|(ment ac)|(multiple cpu faults)|(system.+state.+changed )|(\[timeout)|(PRM\|1\|D)|(kpr)|(kdp)|(train st.+moving)|(\|lc)|(penalty))"</v>
      </c>
      <c r="AG49" s="182" t="str">
        <f t="shared" si="34"/>
        <v>EC</v>
      </c>
      <c r="AH49" s="78" t="str">
        <f t="shared" si="19"/>
        <v>"%USERPROFILE%\Documents\GitHub\eaglep3\Utilities\RefineRTDCRunTimes.py" --tripid 137-10 --locoid 4042 --swversion DE.1.0.9.0 --startMP 204:464 --initTime 2017-10-10T08:16:48 --startdatetime 2017-10-10T08:19:36 --delay 91 --endMP 204:233322 --enddatetime 2017-10-10T08:54:22 --enforcementcount 0 &gt;&gt;%USERPROFILE%\Documents\GitHub\eaglep3-reporting\EC\2017-10-10-refined-times.txt</v>
      </c>
      <c r="AI4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{"issue":{"subject":"","project_id":79,"tracker_id":40,"status_id":1,"priority_id":2,"assigned_to_id":338,"start_date":"2017-10-10","description":"","custom_fields":[{"id":1,"name":"Subdivision","value":"EC"},{"id":4,"name":"Milepost","value":"23.3322"},{"id":17,"name":"Train ID","value":"137-10"},{"id":16,"name":"Locomotive ID","value":"4042"},{"id":130,"name":"Impact","value":""},{"id":150,"name":"Time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4042 --day 2017-10-10</v>
      </c>
      <c r="AN4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-10T07:16:48-0600',mode:absolute,to:'2017-10-10T09:54:22-0600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695</v>
      </c>
      <c r="B50" s="7">
        <v>4041</v>
      </c>
      <c r="C50" s="21" t="s">
        <v>194</v>
      </c>
      <c r="D50" s="21" t="s">
        <v>874</v>
      </c>
      <c r="E50" s="13">
        <v>43018.377256944441</v>
      </c>
      <c r="F50" s="13">
        <v>43018.383483796293</v>
      </c>
      <c r="G50" s="7">
        <v>96</v>
      </c>
      <c r="H50" s="21" t="s">
        <v>870</v>
      </c>
      <c r="I50" s="13">
        <v>43018.410231481481</v>
      </c>
      <c r="J50" s="7">
        <v>0</v>
      </c>
      <c r="K50" s="89" t="str">
        <f t="shared" si="25"/>
        <v>4041/4042</v>
      </c>
      <c r="L50" s="185" t="str">
        <f>VLOOKUP(A50,'Trips&amp;Operators'!$C$1:$G$99911,5,FALSE)</f>
        <v>BROWN JACOB</v>
      </c>
      <c r="M50" s="6">
        <f t="shared" si="26"/>
        <v>2.6747685187729076E-2</v>
      </c>
      <c r="N50" s="7">
        <f t="shared" si="24"/>
        <v>38.516666670329869</v>
      </c>
      <c r="O50" s="7"/>
      <c r="P50" s="7"/>
      <c r="Q50" s="22"/>
      <c r="R50" s="174"/>
      <c r="S50" s="221">
        <f t="shared" si="27"/>
        <v>1</v>
      </c>
      <c r="T50" s="174" t="str">
        <f t="shared" si="28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-10T08:03:15-0600',mode:absolute,to:'2017-10-10T10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29"/>
        <v>1</v>
      </c>
      <c r="Y50" s="204">
        <f t="shared" si="30"/>
        <v>23.3003</v>
      </c>
      <c r="Z50" s="204">
        <f t="shared" si="31"/>
        <v>1.32E-2</v>
      </c>
      <c r="AA50" s="204">
        <f t="shared" si="32"/>
        <v>23.287099999999999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33"/>
        <v>138</v>
      </c>
      <c r="AE50" s="77" t="str">
        <f t="shared" si="1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50" s="74" t="str">
        <f t="shared" si="12"/>
        <v>"C:\Program Files (x86)\AstroGrep\AstroGrep.exe" /e /r /s /spath="%USERPROFILE%\AppData\Local\Temp\OnboardLogs" /stypes="app*4041*20171010*" /stext=" 15:.+((SYSTEM_STATE.+slice.+state.+changed )|(ment ac)|(multiple cpu faults)|(system.+state.+changed )|(\[timeout)|(PRM\|1\|D)|(kpr)|(kdp)|(train st.+moving)|(\|lc)|(penalty))"</v>
      </c>
      <c r="AG50" s="182" t="str">
        <f t="shared" si="34"/>
        <v>EC</v>
      </c>
      <c r="AH50" s="78" t="str">
        <f t="shared" si="19"/>
        <v>"%USERPROFILE%\Documents\GitHub\eaglep3\Utilities\RefineRTDCRunTimes.py" --tripid 138-10 --locoid 4041 --swversion DE.1.0.9.0 --startMP 204:233003 --initTime 2017-10-10T09:03:15 --startdatetime 2017-10-10T09:12:13 --delay 96 --endMP 204:132 --enddatetime 2017-10-10T09:50:44 --enforcementcount 0 &gt;&gt;%USERPROFILE%\Documents\GitHub\eaglep3-reporting\EC\2017-10-10-refined-times.txt</v>
      </c>
      <c r="AI5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ID","value":"138-10"},{"id":16,"name":"Locomotive ID","value":"4041"},{"id":130,"name":"Impact","value":""},{"id":150,"name":"Time of Event (Mountain Time)","value":"09:50:44"},{"id":151,"name":"Denver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4041 --day 2017-10-10</v>
      </c>
      <c r="AN5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-10T08:03:15-0600',mode:absolute,to:'2017-10-10T10:50:44-0600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688</v>
      </c>
      <c r="B51" s="7">
        <v>4050</v>
      </c>
      <c r="C51" s="21" t="s">
        <v>194</v>
      </c>
      <c r="D51" s="21" t="s">
        <v>875</v>
      </c>
      <c r="E51" s="13">
        <v>43018.348136574074</v>
      </c>
      <c r="F51" s="13">
        <v>43018.354490740741</v>
      </c>
      <c r="G51" s="7">
        <v>164</v>
      </c>
      <c r="H51" s="21" t="s">
        <v>410</v>
      </c>
      <c r="I51" s="13">
        <v>43018.379178240742</v>
      </c>
      <c r="J51" s="7">
        <v>0</v>
      </c>
      <c r="K51" s="89" t="str">
        <f t="shared" si="25"/>
        <v>4049/4050</v>
      </c>
      <c r="L51" s="185" t="str">
        <f>VLOOKUP(A51,'Trips&amp;Operators'!$C$1:$G$99911,5,FALSE)</f>
        <v>YORK EDGAR</v>
      </c>
      <c r="M51" s="6">
        <f t="shared" si="26"/>
        <v>2.4687500001164153E-2</v>
      </c>
      <c r="N51" s="7">
        <f t="shared" si="24"/>
        <v>35.550000001676381</v>
      </c>
      <c r="O51" s="7"/>
      <c r="P51" s="7"/>
      <c r="Q51" s="22"/>
      <c r="R51" s="174"/>
      <c r="S51" s="221">
        <f t="shared" si="27"/>
        <v>1</v>
      </c>
      <c r="T51" s="174" t="str">
        <f t="shared" si="28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-10T07:21:19-0600',mode:absolute,to:'2017-10-10T10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204" t="str">
        <f>IF(AA51&lt;VLOOKUP(AG51,Variables!$AC$3:$AD$8,2,FALSE),"Y","N")</f>
        <v>N</v>
      </c>
      <c r="X51" s="204">
        <f t="shared" si="29"/>
        <v>1</v>
      </c>
      <c r="Y51" s="204">
        <f t="shared" si="30"/>
        <v>4.6199999999999998E-2</v>
      </c>
      <c r="Z51" s="204">
        <f t="shared" si="31"/>
        <v>23.330200000000001</v>
      </c>
      <c r="AA51" s="204">
        <f t="shared" si="32"/>
        <v>23.284000000000002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33"/>
        <v>139</v>
      </c>
      <c r="AE51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51" s="74" t="str">
        <f t="shared" si="12"/>
        <v>"C:\Program Files (x86)\AstroGrep\AstroGrep.exe" /e /r /s /spath="%USERPROFILE%\AppData\Local\Temp\OnboardLogs" /stypes="app*4050*20171010*" /stext=" 15:.+((SYSTEM_STATE.+slice.+state.+changed )|(ment ac)|(multiple cpu faults)|(system.+state.+changed )|(\[timeout)|(PRM\|1\|D)|(kpr)|(kdp)|(train st.+moving)|(\|lc)|(penalty))"</v>
      </c>
      <c r="AG51" s="182" t="str">
        <f t="shared" si="34"/>
        <v>EC</v>
      </c>
      <c r="AH51" s="78" t="str">
        <f t="shared" si="19"/>
        <v>"%USERPROFILE%\Documents\GitHub\eaglep3\Utilities\RefineRTDCRunTimes.py" --tripid 139-10 --locoid 4050 --swversion DE.1.0.9.0 --startMP 204:462 --initTime 2017-10-10T08:21:19 --startdatetime 2017-10-10T08:30:28 --delay 164 --endMP 204:233302 --enddatetime 2017-10-10T09:06:01 --enforcementcount 0 &gt;&gt;%USERPROFILE%\Documents\GitHub\eaglep3-reporting\EC\2017-10-10-refined-times.txt</v>
      </c>
      <c r="AI5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{"issue":{"subject":"","project_id":79,"tracker_id":40,"status_id":1,"priority_id":2,"assigned_to_id":338,"start_date":"2017-10-10","description":"","custom_fields":[{"id":1,"name":"Subdivision","value":"EC"},{"id":4,"name":"Milepost","value":"23.3302"},{"id":17,"name":"Train ID","value":"139-10"},{"id":16,"name":"Locomotive ID","value":"4050"},{"id":130,"name":"Impact","value":""},{"id":150,"name":"Time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4050 --day 2017-10-10</v>
      </c>
      <c r="AN5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-10T07:21:19-0600',mode:absolute,to:'2017-10-10T10:06:01-0600'))&amp;_a=(columns:!('Message%20ID',Summary),filters:!(),index:'emp_*',interval:auto,query:(query_string:(analyze_wildcard:!t,query:'%22rtdc.l.rtdc.4050%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696</v>
      </c>
      <c r="B52" s="7">
        <v>4049</v>
      </c>
      <c r="C52" s="21" t="s">
        <v>194</v>
      </c>
      <c r="D52" s="21" t="s">
        <v>547</v>
      </c>
      <c r="E52" s="13">
        <v>43018.380162037036</v>
      </c>
      <c r="F52" s="13">
        <v>43018.39403935185</v>
      </c>
      <c r="G52" s="7">
        <v>52</v>
      </c>
      <c r="H52" s="21" t="s">
        <v>339</v>
      </c>
      <c r="I52" s="13">
        <v>43018.419930555552</v>
      </c>
      <c r="J52" s="7">
        <v>0</v>
      </c>
      <c r="K52" s="89" t="str">
        <f t="shared" si="25"/>
        <v>4049/4050</v>
      </c>
      <c r="L52" s="185" t="str">
        <f>VLOOKUP(A52,'Trips&amp;Operators'!$C$1:$G$99911,5,FALSE)</f>
        <v>YORK EDGAR</v>
      </c>
      <c r="M52" s="6">
        <f t="shared" si="26"/>
        <v>2.5891203702485655E-2</v>
      </c>
      <c r="N52" s="7">
        <f t="shared" si="24"/>
        <v>37.283333331579342</v>
      </c>
      <c r="O52" s="7"/>
      <c r="P52" s="7"/>
      <c r="Q52" s="22"/>
      <c r="R52" s="174"/>
      <c r="S52" s="221">
        <f t="shared" si="27"/>
        <v>1</v>
      </c>
      <c r="T52" s="174" t="str">
        <f t="shared" si="28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-10T08:07:26-0600',mode:absolute,to:'2017-10-10T11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204" t="str">
        <f>IF(AA52&lt;VLOOKUP(AG52,Variables!$AC$3:$AD$8,2,FALSE),"Y","N")</f>
        <v>N</v>
      </c>
      <c r="X52" s="204">
        <f t="shared" si="29"/>
        <v>1</v>
      </c>
      <c r="Y52" s="204">
        <f t="shared" si="30"/>
        <v>23.298500000000001</v>
      </c>
      <c r="Z52" s="204">
        <f t="shared" si="31"/>
        <v>1.47E-2</v>
      </c>
      <c r="AA52" s="204">
        <f t="shared" si="32"/>
        <v>23.283799999999999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33"/>
        <v>140</v>
      </c>
      <c r="AE52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52" s="74" t="str">
        <f t="shared" si="12"/>
        <v>"C:\Program Files (x86)\AstroGrep\AstroGrep.exe" /e /r /s /spath="%USERPROFILE%\AppData\Local\Temp\OnboardLogs" /stypes="app*4049*20171010*" /stext=" 16:.+((SYSTEM_STATE.+slice.+state.+changed )|(ment ac)|(multiple cpu faults)|(system.+state.+changed )|(\[timeout)|(PRM\|1\|D)|(kpr)|(kdp)|(train st.+moving)|(\|lc)|(penalty))"</v>
      </c>
      <c r="AG52" s="182" t="str">
        <f t="shared" si="34"/>
        <v>EC</v>
      </c>
      <c r="AH52" s="78" t="str">
        <f t="shared" si="19"/>
        <v>"%USERPROFILE%\Documents\GitHub\eaglep3\Utilities\RefineRTDCRunTimes.py" --tripid 140-10 --locoid 4049 --swversion DE.1.0.9.0 --startMP 204:232985 --initTime 2017-10-10T09:07:26 --startdatetime 2017-10-10T09:27:25 --delay 52 --endMP 204:147 --enddatetime 2017-10-10T10:04:42 --enforcementcount 0 &gt;&gt;%USERPROFILE%\Documents\GitHub\eaglep3-reporting\EC\2017-10-10-refined-times.txt</v>
      </c>
      <c r="AI5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ID","value":"140-10"},{"id":16,"name":"Locomotive ID","value":"4049"},{"id":130,"name":"Impact","value":""},{"id":150,"name":"Time of Event (Mountain Time)","value":"10:04:42"},{"id":151,"name":"Denver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4049 --day 2017-10-10</v>
      </c>
      <c r="AN5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-10T08:07:26-0600',mode:absolute,to:'2017-10-10T11:04:42-0600'))&amp;_a=(columns:!('Message%20ID',Summary),filters:!(),index:'emp_*',interval:auto,query:(query_string:(analyze_wildcard:!t,query:'%22rtdc.l.rtdc.4049%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693</v>
      </c>
      <c r="B53" s="7">
        <v>4056</v>
      </c>
      <c r="C53" s="21" t="s">
        <v>194</v>
      </c>
      <c r="D53" s="21" t="s">
        <v>363</v>
      </c>
      <c r="E53" s="13">
        <v>43018.3591087963</v>
      </c>
      <c r="F53" s="13">
        <v>43018.364895833336</v>
      </c>
      <c r="G53" s="7">
        <v>45</v>
      </c>
      <c r="H53" s="21" t="s">
        <v>555</v>
      </c>
      <c r="I53" s="13">
        <v>43018.389236111114</v>
      </c>
      <c r="J53" s="7">
        <v>0</v>
      </c>
      <c r="K53" s="89" t="str">
        <f t="shared" si="25"/>
        <v>4055/4056</v>
      </c>
      <c r="L53" s="185" t="str">
        <f>VLOOKUP(A53,'Trips&amp;Operators'!$C$1:$G$99911,5,FALSE)</f>
        <v>YANAI IAN</v>
      </c>
      <c r="M53" s="6">
        <f t="shared" si="26"/>
        <v>2.4340277777810115E-2</v>
      </c>
      <c r="N53" s="7">
        <f t="shared" si="24"/>
        <v>35.050000000046566</v>
      </c>
      <c r="O53" s="7"/>
      <c r="P53" s="7"/>
      <c r="Q53" s="22"/>
      <c r="R53" s="174" t="s">
        <v>1018</v>
      </c>
      <c r="S53" s="221">
        <f t="shared" si="27"/>
        <v>1</v>
      </c>
      <c r="T53" s="174" t="str">
        <f t="shared" si="28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-10T07:37:07-0600',mode:absolute,to:'2017-10-10T10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>IF(AA53&lt;VLOOKUP(AG53,Variables!$AC$3:$AD$8,2,FALSE),"Y","N")</f>
        <v>N</v>
      </c>
      <c r="X53" s="204">
        <f t="shared" si="29"/>
        <v>1</v>
      </c>
      <c r="Y53" s="204">
        <f t="shared" si="30"/>
        <v>4.5999999999999999E-2</v>
      </c>
      <c r="Z53" s="204">
        <f t="shared" si="31"/>
        <v>23.330300000000001</v>
      </c>
      <c r="AA53" s="204">
        <f t="shared" si="32"/>
        <v>23.284300000000002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33"/>
        <v>141</v>
      </c>
      <c r="AE53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53" s="74" t="str">
        <f t="shared" si="12"/>
        <v>"C:\Program Files (x86)\AstroGrep\AstroGrep.exe" /e /r /s /spath="%USERPROFILE%\AppData\Local\Temp\OnboardLogs" /stypes="app*4056*20171010*" /stext=" 15:.+((SYSTEM_STATE.+slice.+state.+changed )|(ment ac)|(multiple cpu faults)|(system.+state.+changed )|(\[timeout)|(PRM\|1\|D)|(kpr)|(kdp)|(train st.+moving)|(\|lc)|(penalty))"</v>
      </c>
      <c r="AG53" s="182" t="str">
        <f t="shared" si="34"/>
        <v>EC</v>
      </c>
      <c r="AH53" s="78" t="str">
        <f t="shared" si="19"/>
        <v>"%USERPROFILE%\Documents\GitHub\eaglep3\Utilities\RefineRTDCRunTimes.py" --tripid 141-10 --locoid 4056 --swversion DE.1.0.9.0 --startMP 204:460 --initTime 2017-10-10T08:37:07 --startdatetime 2017-10-10T08:45:27 --delay 45 --endMP 204:233303 --enddatetime 2017-10-10T09:20:30 --enforcementcount 0 &gt;&gt;%USERPROFILE%\Documents\GitHub\eaglep3-reporting\EC\2017-10-10-refined-times.txt</v>
      </c>
      <c r="AI53" s="96" t="str">
        <f t="shared" si="20"/>
        <v>echo {"issue":{"subject":"Observed Wi-MAX data drop, no enforcement","project_id":79,"tracker_id":40,"status_id":1,"priority_id":2,"assigned_to_id":338,"start_date":"2017-10-10","description":"","custom_fields":[{"id":1,"name":"Subdivision","value":"EC"},{"id":4,"name":"Milepost","value":"23.3303"},{"id":17,"name":"Train ID","value":"141-10"},{"id":16,"name":"Locomotive ID","value":"4056"},{"id":130,"name":"Impact","value":""},{"id":150,"name":"Time of Event (Mountain Time)","value":"09:20:30"},{"id":151,"name":"Denver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4056 --day 2017-10-10</v>
      </c>
      <c r="AN53" s="151" t="str">
        <f t="shared" si="22"/>
        <v>echo {"issue":{"subject":"Observed Wi-MAX data drop, no enforcement","project_id":30,"tracker_id":4,"status_id":1,"priority_id":1,"assigned_to_id":10,"start_date":"2017-10-10","description":"","custom_fields":[{"id":30,"name":"Category","value":"Issue"},{"id":3,"name":"Functional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-10T07:37:07-0600',mode:absolute,to:'2017-10-10T10:20:30-0600'))&amp;_a=(columns:!('Message%20ID',Summary),filters:!(),index:'emp_*',interval:auto,query:(query_string:(analyze_wildcard:!t,query:'%22rtdc.l.rtdc.4056%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699</v>
      </c>
      <c r="B54" s="7">
        <v>4055</v>
      </c>
      <c r="C54" s="21" t="s">
        <v>194</v>
      </c>
      <c r="D54" s="21" t="s">
        <v>876</v>
      </c>
      <c r="E54" s="13">
        <v>43018.392418981479</v>
      </c>
      <c r="F54" s="13">
        <v>43018.404328703706</v>
      </c>
      <c r="G54" s="7">
        <v>45</v>
      </c>
      <c r="H54" s="21" t="s">
        <v>486</v>
      </c>
      <c r="I54" s="13">
        <v>43018.43068287037</v>
      </c>
      <c r="J54" s="7">
        <v>0</v>
      </c>
      <c r="K54" s="89" t="str">
        <f t="shared" si="25"/>
        <v>4055/4056</v>
      </c>
      <c r="L54" s="185" t="str">
        <f>VLOOKUP(A54,'Trips&amp;Operators'!$C$1:$G$99911,5,FALSE)</f>
        <v>YANAI IAN</v>
      </c>
      <c r="M54" s="6">
        <f t="shared" si="26"/>
        <v>2.6354166664532386E-2</v>
      </c>
      <c r="N54" s="7">
        <f t="shared" si="24"/>
        <v>37.949999996926636</v>
      </c>
      <c r="O54" s="7"/>
      <c r="P54" s="7"/>
      <c r="Q54" s="22"/>
      <c r="R54" s="174"/>
      <c r="S54" s="221">
        <f t="shared" si="27"/>
        <v>1</v>
      </c>
      <c r="T54" s="174" t="str">
        <f t="shared" si="28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-10T08:25:05-0600',mode:absolute,to:'2017-10-10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>IF(AA54&lt;VLOOKUP(AG54,Variables!$AC$3:$AD$8,2,FALSE),"Y","N")</f>
        <v>N</v>
      </c>
      <c r="X54" s="204">
        <f t="shared" si="29"/>
        <v>1</v>
      </c>
      <c r="Y54" s="204">
        <f t="shared" si="30"/>
        <v>23.298200000000001</v>
      </c>
      <c r="Z54" s="204">
        <f t="shared" si="31"/>
        <v>1.34E-2</v>
      </c>
      <c r="AA54" s="204">
        <f t="shared" si="32"/>
        <v>23.284800000000001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33"/>
        <v>142</v>
      </c>
      <c r="AE54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54" s="74" t="str">
        <f t="shared" si="12"/>
        <v>"C:\Program Files (x86)\AstroGrep\AstroGrep.exe" /e /r /s /spath="%USERPROFILE%\AppData\Local\Temp\OnboardLogs" /stypes="app*4055*20171010*" /stext=" 16:.+((SYSTEM_STATE.+slice.+state.+changed )|(ment ac)|(multiple cpu faults)|(system.+state.+changed )|(\[timeout)|(PRM\|1\|D)|(kpr)|(kdp)|(train st.+moving)|(\|lc)|(penalty))"</v>
      </c>
      <c r="AG54" s="182" t="str">
        <f t="shared" si="34"/>
        <v>EC</v>
      </c>
      <c r="AH54" s="78" t="str">
        <f t="shared" si="19"/>
        <v>"%USERPROFILE%\Documents\GitHub\eaglep3\Utilities\RefineRTDCRunTimes.py" --tripid 142-10 --locoid 4055 --swversion DE.1.0.9.0 --startMP 204:232982 --initTime 2017-10-10T09:25:05 --startdatetime 2017-10-10T09:42:14 --delay 45 --endMP 204:134 --enddatetime 2017-10-10T10:20:11 --enforcementcount 0 &gt;&gt;%USERPROFILE%\Documents\GitHub\eaglep3-reporting\EC\2017-10-10-refined-times.txt</v>
      </c>
      <c r="AI5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{"issue":{"subject":"","project_id":79,"tracker_id":40,"status_id":1,"priority_id":2,"assigned_to_id":338,"start_date":"2017-10-10","description":"","custom_fields":[{"id":1,"name":"Subdivision","value":"EC"},{"id":4,"name":"Milepost","value":"0.0134"},{"id":17,"name":"Train ID","value":"142-10"},{"id":16,"name":"Locomotive ID","value":"4055"},{"id":130,"name":"Impact","value":""},{"id":150,"name":"Time of Event (Mountain Time)","value":"10:20:11"},{"id":151,"name":"Denver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4055 --day 2017-10-10</v>
      </c>
      <c r="AN5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-10T08:25:05-0600',mode:absolute,to:'2017-10-10T11:20:11-0600'))&amp;_a=(columns:!('Message%20ID',Summary),filters:!(),index:'emp_*',interval:auto,query:(query_string:(analyze_wildcard:!t,query:'%22rtdc.l.rtdc.4055%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594</v>
      </c>
      <c r="B55" s="7">
        <v>4066</v>
      </c>
      <c r="C55" s="21" t="s">
        <v>194</v>
      </c>
      <c r="D55" s="21" t="s">
        <v>515</v>
      </c>
      <c r="E55" s="13">
        <v>43018.370416666665</v>
      </c>
      <c r="F55" s="13">
        <v>43018.375173611108</v>
      </c>
      <c r="G55" s="7">
        <v>47</v>
      </c>
      <c r="H55" s="21" t="s">
        <v>877</v>
      </c>
      <c r="I55" s="13">
        <v>43018.401331018518</v>
      </c>
      <c r="J55" s="7">
        <v>0</v>
      </c>
      <c r="K55" s="89" t="str">
        <f t="shared" si="25"/>
        <v>4065/4066</v>
      </c>
      <c r="L55" s="185" t="str">
        <f>VLOOKUP(A55,'Trips&amp;Operators'!$C$1:$G$99911,5,FALSE)</f>
        <v>BONDS REYNALDO</v>
      </c>
      <c r="M55" s="6">
        <f t="shared" si="26"/>
        <v>2.6157407410209998E-2</v>
      </c>
      <c r="N55" s="7">
        <f t="shared" si="24"/>
        <v>37.666666670702398</v>
      </c>
      <c r="O55" s="7"/>
      <c r="P55" s="7"/>
      <c r="Q55" s="22"/>
      <c r="R55" s="174"/>
      <c r="S55" s="221">
        <f t="shared" si="27"/>
        <v>1</v>
      </c>
      <c r="T55" s="174" t="str">
        <f t="shared" si="28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-10T07:53:24-0600',mode:absolute,to:'2017-10-10T10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5" s="204" t="str">
        <f>IF(AA55&lt;VLOOKUP(AG55,Variables!$AC$3:$AD$8,2,FALSE),"Y","N")</f>
        <v>N</v>
      </c>
      <c r="X55" s="204">
        <f t="shared" si="29"/>
        <v>1</v>
      </c>
      <c r="Y55" s="204">
        <f t="shared" si="30"/>
        <v>4.6399999999999997E-2</v>
      </c>
      <c r="Z55" s="204">
        <f t="shared" si="31"/>
        <v>23.3338</v>
      </c>
      <c r="AA55" s="204">
        <f t="shared" si="32"/>
        <v>23.287400000000002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33"/>
        <v>143</v>
      </c>
      <c r="AE55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55" s="74" t="str">
        <f t="shared" si="12"/>
        <v>"C:\Program Files (x86)\AstroGrep\AstroGrep.exe" /e /r /s /spath="%USERPROFILE%\AppData\Local\Temp\OnboardLogs" /stypes="app*4066*20171010*" /stext=" 15:.+((SYSTEM_STATE.+slice.+state.+changed )|(ment ac)|(multiple cpu faults)|(system.+state.+changed )|(\[timeout)|(PRM\|1\|D)|(kpr)|(kdp)|(train st.+moving)|(\|lc)|(penalty))"</v>
      </c>
      <c r="AG55" s="182" t="str">
        <f t="shared" si="34"/>
        <v>EC</v>
      </c>
      <c r="AH55" s="78" t="str">
        <f t="shared" si="19"/>
        <v>"%USERPROFILE%\Documents\GitHub\eaglep3\Utilities\RefineRTDCRunTimes.py" --tripid 143-10 --locoid 4066 --swversion DE.1.0.9.0 --startMP 204:464 --initTime 2017-10-10T08:53:24 --startdatetime 2017-10-10T09:00:15 --delay 47 --endMP 204:233338 --enddatetime 2017-10-10T09:37:55 --enforcementcount 0 &gt;&gt;%USERPROFILE%\Documents\GitHub\eaglep3-reporting\EC\2017-10-10-refined-times.txt</v>
      </c>
      <c r="AI5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{"issue":{"subject":"","project_id":79,"tracker_id":40,"status_id":1,"priority_id":2,"assigned_to_id":338,"start_date":"2017-10-10","description":"","custom_fields":[{"id":1,"name":"Subdivision","value":"EC"},{"id":4,"name":"Milepost","value":"23.3338"},{"id":17,"name":"Train ID","value":"143-10"},{"id":16,"name":"Locomotive ID","value":"4066"},{"id":130,"name":"Impact","value":""},{"id":150,"name":"Time of Event (Mountain Time)","value":"09:37:55"},{"id":151,"name":"Denver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4066 --day 2017-10-10</v>
      </c>
      <c r="AN5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-10T07:53:24-0600',mode:absolute,to:'2017-10-10T10:37:55-0600'))&amp;_a=(columns:!('Message%20ID',Summary),filters:!(),index:'emp_*',interval:auto,query:(query_string:(analyze_wildcard:!t,query:'%22rtdc.l.rtdc.4066%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703</v>
      </c>
      <c r="B56" s="7">
        <v>4065</v>
      </c>
      <c r="C56" s="21" t="s">
        <v>194</v>
      </c>
      <c r="D56" s="21" t="s">
        <v>403</v>
      </c>
      <c r="E56" s="13">
        <v>43018.40761574074</v>
      </c>
      <c r="F56" s="13">
        <v>43018.414780092593</v>
      </c>
      <c r="G56" s="7">
        <v>50</v>
      </c>
      <c r="H56" s="21" t="s">
        <v>878</v>
      </c>
      <c r="I56" s="13">
        <v>43018.440578703703</v>
      </c>
      <c r="J56" s="7">
        <v>0</v>
      </c>
      <c r="K56" s="89" t="str">
        <f t="shared" si="25"/>
        <v>4065/4066</v>
      </c>
      <c r="L56" s="185" t="str">
        <f>VLOOKUP(A56,'Trips&amp;Operators'!$C$1:$G$99911,5,FALSE)</f>
        <v>BONDS REYNALDO</v>
      </c>
      <c r="M56" s="6">
        <f t="shared" si="26"/>
        <v>2.5798611110076308E-2</v>
      </c>
      <c r="N56" s="7">
        <f t="shared" si="24"/>
        <v>37.149999998509884</v>
      </c>
      <c r="O56" s="7"/>
      <c r="P56" s="7"/>
      <c r="Q56" s="22"/>
      <c r="R56" s="174"/>
      <c r="S56" s="221">
        <f t="shared" si="27"/>
        <v>1</v>
      </c>
      <c r="T56" s="174" t="str">
        <f t="shared" si="28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-10T08:46:58-0600',mode:absolute,to:'2017-10-10T11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6" s="204" t="str">
        <f>IF(AA56&lt;VLOOKUP(AG56,Variables!$AC$3:$AD$8,2,FALSE),"Y","N")</f>
        <v>N</v>
      </c>
      <c r="X56" s="204">
        <f t="shared" si="29"/>
        <v>1</v>
      </c>
      <c r="Y56" s="204">
        <f t="shared" si="30"/>
        <v>23.301500000000001</v>
      </c>
      <c r="Z56" s="204">
        <f t="shared" si="31"/>
        <v>1.2500000000000001E-2</v>
      </c>
      <c r="AA56" s="204">
        <f t="shared" si="32"/>
        <v>23.289000000000001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33"/>
        <v>144</v>
      </c>
      <c r="AE56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56" s="74" t="str">
        <f t="shared" si="12"/>
        <v>"C:\Program Files (x86)\AstroGrep\AstroGrep.exe" /e /r /s /spath="%USERPROFILE%\AppData\Local\Temp\OnboardLogs" /stypes="app*4065*20171010*" /stext=" 16:.+((SYSTEM_STATE.+slice.+state.+changed )|(ment ac)|(multiple cpu faults)|(system.+state.+changed )|(\[timeout)|(PRM\|1\|D)|(kpr)|(kdp)|(train st.+moving)|(\|lc)|(penalty))"</v>
      </c>
      <c r="AG56" s="182" t="str">
        <f t="shared" si="34"/>
        <v>EC</v>
      </c>
      <c r="AH56" s="78" t="str">
        <f t="shared" si="19"/>
        <v>"%USERPROFILE%\Documents\GitHub\eaglep3\Utilities\RefineRTDCRunTimes.py" --tripid 144-10 --locoid 4065 --swversion DE.1.0.9.0 --startMP 204:233015 --initTime 2017-10-10T09:46:58 --startdatetime 2017-10-10T09:57:17 --delay 50 --endMP 204:125 --enddatetime 2017-10-10T10:34:26 --enforcementcount 0 &gt;&gt;%USERPROFILE%\Documents\GitHub\eaglep3-reporting\EC\2017-10-10-refined-times.txt</v>
      </c>
      <c r="AI5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{"issue":{"subject":"","project_id":79,"tracker_id":40,"status_id":1,"priority_id":2,"assigned_to_id":338,"start_date":"2017-10-10","description":"","custom_fields":[{"id":1,"name":"Subdivision","value":"EC"},{"id":4,"name":"Milepost","value":"0.0125"},{"id":17,"name":"Train ID","value":"144-10"},{"id":16,"name":"Locomotive ID","value":"4065"},{"id":130,"name":"Impact","value":""},{"id":150,"name":"Time of Event (Mountain Time)","value":"10:34:26"},{"id":151,"name":"Denver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4065 --day 2017-10-10</v>
      </c>
      <c r="AN5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-10T08:46:58-0600',mode:absolute,to:'2017-10-10T11:34:26-0600'))&amp;_a=(columns:!('Message%20ID',Summary),filters:!(),index:'emp_*',interval:auto,query:(query_string:(analyze_wildcard:!t,query:'%22rtdc.l.rtdc.4065%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4054</v>
      </c>
      <c r="C57" s="21" t="s">
        <v>194</v>
      </c>
      <c r="D57" s="21" t="s">
        <v>879</v>
      </c>
      <c r="E57" s="13">
        <v>43018.382673611108</v>
      </c>
      <c r="F57" s="13">
        <v>43018.385648148149</v>
      </c>
      <c r="G57" s="7">
        <v>70</v>
      </c>
      <c r="H57" s="21" t="s">
        <v>550</v>
      </c>
      <c r="I57" s="13">
        <v>43018.409710648149</v>
      </c>
      <c r="J57" s="7">
        <v>0</v>
      </c>
      <c r="K57" s="89" t="str">
        <f t="shared" si="25"/>
        <v>4053/4054</v>
      </c>
      <c r="L57" s="185" t="str">
        <f>VLOOKUP(A57,'Trips&amp;Operators'!$C$1:$G$99911,5,FALSE)</f>
        <v>MACDONALD THOMAS</v>
      </c>
      <c r="M57" s="6">
        <f t="shared" si="26"/>
        <v>2.4062500000582077E-2</v>
      </c>
      <c r="N57" s="7">
        <f t="shared" si="24"/>
        <v>34.65000000083819</v>
      </c>
      <c r="O57" s="7"/>
      <c r="P57" s="7"/>
      <c r="Q57" s="22"/>
      <c r="R57" s="174"/>
      <c r="S57" s="221">
        <f t="shared" si="27"/>
        <v>1</v>
      </c>
      <c r="T57" s="174" t="str">
        <f t="shared" si="28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-10T08:11:03-0600',mode:absolute,to:'2017-10-10T10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204" t="str">
        <f>IF(AA57&lt;VLOOKUP(AG57,Variables!$AC$3:$AD$8,2,FALSE),"Y","N")</f>
        <v>N</v>
      </c>
      <c r="X57" s="204">
        <f t="shared" si="29"/>
        <v>1</v>
      </c>
      <c r="Y57" s="204">
        <f t="shared" si="30"/>
        <v>4.9099999999999998E-2</v>
      </c>
      <c r="Z57" s="204">
        <f t="shared" si="31"/>
        <v>23.326799999999999</v>
      </c>
      <c r="AA57" s="204">
        <f t="shared" si="32"/>
        <v>23.277699999999999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33"/>
        <v>145</v>
      </c>
      <c r="AE57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57" s="74" t="str">
        <f t="shared" si="12"/>
        <v>"C:\Program Files (x86)\AstroGrep\AstroGrep.exe" /e /r /s /spath="%USERPROFILE%\AppData\Local\Temp\OnboardLogs" /stypes="app*4054*20171010*" /stext=" 15:.+((SYSTEM_STATE.+slice.+state.+changed )|(ment ac)|(multiple cpu faults)|(system.+state.+changed )|(\[timeout)|(PRM\|1\|D)|(kpr)|(kdp)|(train st.+moving)|(\|lc)|(penalty))"</v>
      </c>
      <c r="AG57" s="182" t="str">
        <f t="shared" si="34"/>
        <v>EC</v>
      </c>
      <c r="AH57" s="78" t="str">
        <f t="shared" si="19"/>
        <v>"%USERPROFILE%\Documents\GitHub\eaglep3\Utilities\RefineRTDCRunTimes.py" --tripid 145-10 --locoid 4054 --swversion DE.1.0.9.0 --startMP 204:491 --initTime 2017-10-10T09:11:03 --startdatetime 2017-10-10T09:15:20 --delay 70 --endMP 204:233268 --enddatetime 2017-10-10T09:49:59 --enforcementcount 0 &gt;&gt;%USERPROFILE%\Documents\GitHub\eaglep3-reporting\EC\2017-10-10-refined-times.txt</v>
      </c>
      <c r="AI5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{"issue":{"subject":"","project_id":79,"tracker_id":40,"status_id":1,"priority_id":2,"assigned_to_id":338,"start_date":"2017-10-10","description":"","custom_fields":[{"id":1,"name":"Subdivision","value":"EC"},{"id":4,"name":"Milepost","value":"23.3268"},{"id":17,"name":"Train ID","value":"145-10"},{"id":16,"name":"Locomotive ID","value":"4054"},{"id":130,"name":"Impact","value":""},{"id":150,"name":"Time of Event (Mountain Time)","value":"09:49:59"},{"id":151,"name":"Denver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4054 --day 2017-10-10</v>
      </c>
      <c r="AN5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-10T08:11:03-0600',mode:absolute,to:'2017-10-10T10:49:59-0600'))&amp;_a=(columns:!('Message%20ID',Summary),filters:!(),index:'emp_*',interval:auto,query:(query_string:(analyze_wildcard:!t,query:'%22rtdc.l.rtdc.4054%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596</v>
      </c>
      <c r="B58" s="7">
        <v>4053</v>
      </c>
      <c r="C58" s="21" t="s">
        <v>194</v>
      </c>
      <c r="D58" s="21" t="s">
        <v>880</v>
      </c>
      <c r="E58" s="13">
        <v>43018.422708333332</v>
      </c>
      <c r="F58" s="13">
        <v>43018.425717592596</v>
      </c>
      <c r="G58" s="7">
        <v>198</v>
      </c>
      <c r="H58" s="21" t="s">
        <v>356</v>
      </c>
      <c r="I58" s="13">
        <v>43018.452696759261</v>
      </c>
      <c r="J58" s="7">
        <v>0</v>
      </c>
      <c r="K58" s="89" t="str">
        <f t="shared" si="25"/>
        <v>4053/4054</v>
      </c>
      <c r="L58" s="185" t="str">
        <f>VLOOKUP(A58,'Trips&amp;Operators'!$C$1:$G$99911,5,FALSE)</f>
        <v>MACDONALD THOMAS</v>
      </c>
      <c r="M58" s="6">
        <f t="shared" si="26"/>
        <v>2.6979166665114462E-2</v>
      </c>
      <c r="N58" s="7">
        <f t="shared" si="24"/>
        <v>38.849999997764826</v>
      </c>
      <c r="O58" s="7"/>
      <c r="P58" s="7"/>
      <c r="Q58" s="22"/>
      <c r="R58" s="174"/>
      <c r="S58" s="221">
        <f t="shared" si="27"/>
        <v>1</v>
      </c>
      <c r="T58" s="174" t="str">
        <f t="shared" si="28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204" t="str">
        <f>IF(AA58&lt;VLOOKUP(AG58,Variables!$AC$3:$AD$8,2,FALSE),"Y","N")</f>
        <v>N</v>
      </c>
      <c r="X58" s="204">
        <f t="shared" si="29"/>
        <v>1</v>
      </c>
      <c r="Y58" s="204">
        <f t="shared" si="30"/>
        <v>23.294599999999999</v>
      </c>
      <c r="Z58" s="204">
        <f t="shared" si="31"/>
        <v>1.4500000000000001E-2</v>
      </c>
      <c r="AA58" s="204">
        <f t="shared" si="32"/>
        <v>23.280099999999997</v>
      </c>
      <c r="AB58" s="54" t="str">
        <f>VLOOKUP(A58,Enforcements!$C$7:$K$11,8,0)</f>
        <v>Bulletin (2)</v>
      </c>
      <c r="AC58" s="51" t="str">
        <f>VLOOKUP(A58,Enforcements!$C$7:$E$11,3,0)</f>
        <v>GRADE CROSSING</v>
      </c>
      <c r="AD58" s="179">
        <f t="shared" si="33"/>
        <v>146</v>
      </c>
      <c r="AE58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58" s="74" t="str">
        <f t="shared" si="12"/>
        <v>"C:\Program Files (x86)\AstroGrep\AstroGrep.exe" /e /r /s /spath="%USERPROFILE%\AppData\Local\Temp\OnboardLogs" /stypes="app*4053*20171010*" /stext=" 16:.+((SYSTEM_STATE.+slice.+state.+changed )|(ment ac)|(multiple cpu faults)|(system.+state.+changed )|(\[timeout)|(PRM\|1\|D)|(kpr)|(kdp)|(train st.+moving)|(\|lc)|(penalty))"</v>
      </c>
      <c r="AG58" s="182" t="str">
        <f t="shared" si="34"/>
        <v>EC</v>
      </c>
      <c r="AH58" s="78" t="str">
        <f t="shared" si="19"/>
        <v>"%USERPROFILE%\Documents\GitHub\eaglep3\Utilities\RefineRTDCRunTimes.py" --tripid 146-10 --locoid 4053 --swversion DE.1.0.9.0 --startMP 204:232946 --initTime 2017-10-10T10:08:42 --startdatetime 2017-10-10T10:13:02 --delay 198 --endMP 204:145 --enddatetime 2017-10-10T10:51:53 --enforcementcount 0 &gt;&gt;%USERPROFILE%\Documents\GitHub\eaglep3-reporting\EC\2017-10-10-refined-times.txt</v>
      </c>
      <c r="AI5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ID","value":"146-10"},{"id":16,"name":"Locomotive ID","value":"4053"},{"id":130,"name":"Impact","value":""},{"id":150,"name":"Time of Event (Mountain Time)","value":"10:51:53"},{"id":151,"name":"Denver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4053 --day 2017-10-10</v>
      </c>
      <c r="AN5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Message%20ID',Summary),filters:!(),index:'emp_*',interval:auto,query:(query_string:(analyze_wildcard:!t,query:'%22rtdc.l.rtdc.4053%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698</v>
      </c>
      <c r="B59" s="7">
        <v>4020</v>
      </c>
      <c r="C59" s="21" t="s">
        <v>194</v>
      </c>
      <c r="D59" s="21" t="s">
        <v>396</v>
      </c>
      <c r="E59" s="13">
        <v>43018.392268518517</v>
      </c>
      <c r="F59" s="13">
        <v>43018.396006944444</v>
      </c>
      <c r="G59" s="7">
        <v>60</v>
      </c>
      <c r="H59" s="21" t="s">
        <v>881</v>
      </c>
      <c r="I59" s="13">
        <v>43018.420960648145</v>
      </c>
      <c r="J59" s="7">
        <v>0</v>
      </c>
      <c r="K59" s="89" t="str">
        <f t="shared" si="25"/>
        <v>4019/4020</v>
      </c>
      <c r="L59" s="185" t="str">
        <f>VLOOKUP(A59,'Trips&amp;Operators'!$C$1:$G$99911,5,FALSE)</f>
        <v>LANGERAK WILLIAM</v>
      </c>
      <c r="M59" s="6">
        <f t="shared" si="26"/>
        <v>2.495370370161254E-2</v>
      </c>
      <c r="N59" s="7">
        <f t="shared" si="24"/>
        <v>35.933333330322057</v>
      </c>
      <c r="O59" s="7"/>
      <c r="P59" s="7"/>
      <c r="Q59" s="22"/>
      <c r="R59" s="174"/>
      <c r="S59" s="221">
        <f t="shared" si="27"/>
        <v>1</v>
      </c>
      <c r="T59" s="174" t="str">
        <f t="shared" si="28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-10T08:24:52-0600',mode:absolute,to:'2017-10-10T11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04" t="str">
        <f>IF(AA59&lt;VLOOKUP(AG59,Variables!$AC$3:$AD$8,2,FALSE),"Y","N")</f>
        <v>N</v>
      </c>
      <c r="X59" s="204">
        <f t="shared" si="29"/>
        <v>1</v>
      </c>
      <c r="Y59" s="204">
        <f t="shared" si="30"/>
        <v>4.6699999999999998E-2</v>
      </c>
      <c r="Z59" s="204">
        <f t="shared" si="31"/>
        <v>23.328299999999999</v>
      </c>
      <c r="AA59" s="204">
        <f t="shared" si="32"/>
        <v>23.281599999999997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33"/>
        <v>147</v>
      </c>
      <c r="AE59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59" s="74" t="str">
        <f t="shared" si="12"/>
        <v>"C:\Program Files (x86)\AstroGrep\AstroGrep.exe" /e /r /s /spath="%USERPROFILE%\AppData\Local\Temp\OnboardLogs" /stypes="app*4020*20171010*" /stext=" 16:.+((SYSTEM_STATE.+slice.+state.+changed )|(ment ac)|(multiple cpu faults)|(system.+state.+changed )|(\[timeout)|(PRM\|1\|D)|(kpr)|(kdp)|(train st.+moving)|(\|lc)|(penalty))"</v>
      </c>
      <c r="AG59" s="182" t="str">
        <f t="shared" si="34"/>
        <v>EC</v>
      </c>
      <c r="AH59" s="78" t="str">
        <f t="shared" si="19"/>
        <v>"%USERPROFILE%\Documents\GitHub\eaglep3\Utilities\RefineRTDCRunTimes.py" --tripid 147-10 --locoid 4020 --swversion DE.1.0.9.0 --startMP 204:467 --initTime 2017-10-10T09:24:52 --startdatetime 2017-10-10T09:30:15 --delay 60 --endMP 204:233283 --enddatetime 2017-10-10T10:06:11 --enforcementcount 0 &gt;&gt;%USERPROFILE%\Documents\GitHub\eaglep3-reporting\EC\2017-10-10-refined-times.txt</v>
      </c>
      <c r="AI5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{"issue":{"subject":"","project_id":79,"tracker_id":40,"status_id":1,"priority_id":2,"assigned_to_id":338,"start_date":"2017-10-10","description":"","custom_fields":[{"id":1,"name":"Subdivision","value":"EC"},{"id":4,"name":"Milepost","value":"23.3283"},{"id":17,"name":"Train ID","value":"147-10"},{"id":16,"name":"Locomotive ID","value":"4020"},{"id":130,"name":"Impact","value":""},{"id":150,"name":"Time of Event (Mountain Time)","value":"10:06:11"},{"id":151,"name":"Denver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4020 --day 2017-10-10</v>
      </c>
      <c r="AN5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-10T08:24:52-0600',mode:absolute,to:'2017-10-10T11:06:11-0600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706</v>
      </c>
      <c r="B60" s="7">
        <v>4019</v>
      </c>
      <c r="C60" s="21" t="s">
        <v>194</v>
      </c>
      <c r="D60" s="21" t="s">
        <v>882</v>
      </c>
      <c r="E60" s="13">
        <v>43018.422303240739</v>
      </c>
      <c r="F60" s="13">
        <v>43018.435590277775</v>
      </c>
      <c r="G60" s="7">
        <v>55</v>
      </c>
      <c r="H60" s="21" t="s">
        <v>513</v>
      </c>
      <c r="I60" s="13">
        <v>43018.462407407409</v>
      </c>
      <c r="J60" s="7">
        <v>0</v>
      </c>
      <c r="K60" s="89" t="str">
        <f t="shared" si="25"/>
        <v>4019/4020</v>
      </c>
      <c r="L60" s="185" t="str">
        <f>VLOOKUP(A60,'Trips&amp;Operators'!$C$1:$G$99911,5,FALSE)</f>
        <v>LANGERAK WILLIAM</v>
      </c>
      <c r="M60" s="6">
        <f t="shared" si="26"/>
        <v>2.6817129633855075E-2</v>
      </c>
      <c r="N60" s="7">
        <f t="shared" si="24"/>
        <v>38.616666672751307</v>
      </c>
      <c r="O60" s="7"/>
      <c r="P60" s="7"/>
      <c r="Q60" s="22"/>
      <c r="R60" s="174"/>
      <c r="S60" s="221">
        <f t="shared" si="27"/>
        <v>1</v>
      </c>
      <c r="T60" s="174" t="str">
        <f t="shared" si="28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07-0600',mode:absolute,to:'2017-10-10T12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04" t="str">
        <f>IF(AA60&lt;VLOOKUP(AG60,Variables!$AC$3:$AD$8,2,FALSE),"Y","N")</f>
        <v>N</v>
      </c>
      <c r="X60" s="204">
        <f t="shared" si="29"/>
        <v>1</v>
      </c>
      <c r="Y60" s="204">
        <f t="shared" si="30"/>
        <v>23.294699999999999</v>
      </c>
      <c r="Z60" s="204">
        <f t="shared" si="31"/>
        <v>1.3599999999999999E-2</v>
      </c>
      <c r="AA60" s="204">
        <f t="shared" si="32"/>
        <v>23.281099999999999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33"/>
        <v>148</v>
      </c>
      <c r="AE60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60" s="74" t="str">
        <f t="shared" si="12"/>
        <v>"C:\Program Files (x86)\AstroGrep\AstroGrep.exe" /e /r /s /spath="%USERPROFILE%\AppData\Local\Temp\OnboardLogs" /stypes="app*4019*20171010*" /stext=" 17:.+((SYSTEM_STATE.+slice.+state.+changed )|(ment ac)|(multiple cpu faults)|(system.+state.+changed )|(\[timeout)|(PRM\|1\|D)|(kpr)|(kdp)|(train st.+moving)|(\|lc)|(penalty))"</v>
      </c>
      <c r="AG60" s="182" t="str">
        <f t="shared" si="34"/>
        <v>EC</v>
      </c>
      <c r="AH60" s="78" t="str">
        <f t="shared" si="19"/>
        <v>"%USERPROFILE%\Documents\GitHub\eaglep3\Utilities\RefineRTDCRunTimes.py" --tripid 148-10 --locoid 4019 --swversion DE.1.0.9.0 --startMP 204:232947 --initTime 2017-10-10T10:08:07 --startdatetime 2017-10-10T10:27:15 --delay 55 --endMP 204:136 --enddatetime 2017-10-10T11:05:52 --enforcementcount 0 &gt;&gt;%USERPROFILE%\Documents\GitHub\eaglep3-reporting\EC\2017-10-10-refined-times.txt</v>
      </c>
      <c r="AI6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{"issue":{"subject":"","project_id":79,"tracker_id":40,"status_id":1,"priority_id":2,"assigned_to_id":338,"start_date":"2017-10-10","description":"","custom_fields":[{"id":1,"name":"Subdivision","value":"EC"},{"id":4,"name":"Milepost","value":"0.0136"},{"id":17,"name":"Train ID","value":"148-10"},{"id":16,"name":"Locomotive ID","value":"4019"},{"id":130,"name":"Impact","value":""},{"id":150,"name":"Time of Event (Mountain Time)","value":"11:05:52"},{"id":151,"name":"Denver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4019 --day 2017-10-10</v>
      </c>
      <c r="AN6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07-0600',mode:absolute,to:'2017-10-10T12:05:52-0600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701</v>
      </c>
      <c r="B61" s="7">
        <v>4052</v>
      </c>
      <c r="C61" s="21" t="s">
        <v>194</v>
      </c>
      <c r="D61" s="21" t="s">
        <v>334</v>
      </c>
      <c r="E61" s="13">
        <v>43018.403831018521</v>
      </c>
      <c r="F61" s="13">
        <v>43018.406585648147</v>
      </c>
      <c r="G61" s="7">
        <v>61</v>
      </c>
      <c r="H61" s="21" t="s">
        <v>520</v>
      </c>
      <c r="I61" s="13">
        <v>43018.429826388892</v>
      </c>
      <c r="J61" s="7">
        <v>0</v>
      </c>
      <c r="K61" s="89" t="str">
        <f t="shared" si="25"/>
        <v>4051/4052</v>
      </c>
      <c r="L61" s="185" t="str">
        <f>VLOOKUP(A61,'Trips&amp;Operators'!$C$1:$G$99911,5,FALSE)</f>
        <v>LALONDE GREGORY</v>
      </c>
      <c r="M61" s="6">
        <f t="shared" si="26"/>
        <v>2.3240740745677613E-2</v>
      </c>
      <c r="N61" s="7">
        <f t="shared" si="24"/>
        <v>33.466666673775762</v>
      </c>
      <c r="O61" s="7"/>
      <c r="P61" s="7"/>
      <c r="Q61" s="22"/>
      <c r="R61" s="174"/>
      <c r="S61" s="221">
        <f t="shared" si="27"/>
        <v>1</v>
      </c>
      <c r="T61" s="174" t="str">
        <f t="shared" si="28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-10T08:41:31-0600',mode:absolute,to:'2017-10-10T11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1" s="204" t="str">
        <f>IF(AA61&lt;VLOOKUP(AG61,Variables!$AC$3:$AD$8,2,FALSE),"Y","N")</f>
        <v>N</v>
      </c>
      <c r="X61" s="204">
        <f t="shared" si="29"/>
        <v>1</v>
      </c>
      <c r="Y61" s="204">
        <f t="shared" si="30"/>
        <v>4.4600000000000001E-2</v>
      </c>
      <c r="Z61" s="204">
        <f t="shared" si="31"/>
        <v>23.332599999999999</v>
      </c>
      <c r="AA61" s="204">
        <f t="shared" si="32"/>
        <v>23.288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33"/>
        <v>149</v>
      </c>
      <c r="AE61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61" s="74" t="str">
        <f t="shared" si="12"/>
        <v>"C:\Program Files (x86)\AstroGrep\AstroGrep.exe" /e /r /s /spath="%USERPROFILE%\AppData\Local\Temp\OnboardLogs" /stypes="app*4052*20171010*" /stext=" 16:.+((SYSTEM_STATE.+slice.+state.+changed )|(ment ac)|(multiple cpu faults)|(system.+state.+changed )|(\[timeout)|(PRM\|1\|D)|(kpr)|(kdp)|(train st.+moving)|(\|lc)|(penalty))"</v>
      </c>
      <c r="AG61" s="182" t="str">
        <f t="shared" si="34"/>
        <v>EC</v>
      </c>
      <c r="AH61" s="78" t="str">
        <f t="shared" si="19"/>
        <v>"%USERPROFILE%\Documents\GitHub\eaglep3\Utilities\RefineRTDCRunTimes.py" --tripid 149-10 --locoid 4052 --swversion DE.1.0.9.0 --startMP 204:446 --initTime 2017-10-10T09:41:31 --startdatetime 2017-10-10T09:45:29 --delay 61 --endMP 204:233326 --enddatetime 2017-10-10T10:18:57 --enforcementcount 0 &gt;&gt;%USERPROFILE%\Documents\GitHub\eaglep3-reporting\EC\2017-10-10-refined-times.txt</v>
      </c>
      <c r="AI6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{"issue":{"subject":"","project_id":79,"tracker_id":40,"status_id":1,"priority_id":2,"assigned_to_id":338,"start_date":"2017-10-10","description":"","custom_fields":[{"id":1,"name":"Subdivision","value":"EC"},{"id":4,"name":"Milepost","value":"23.3326"},{"id":17,"name":"Train ID","value":"149-10"},{"id":16,"name":"Locomotive ID","value":"4052"},{"id":130,"name":"Impact","value":""},{"id":150,"name":"Time of Event (Mountain Time)","value":"10:18:57"},{"id":151,"name":"Denver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4052 --day 2017-10-10</v>
      </c>
      <c r="AN6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-10T08:41:31-0600',mode:absolute,to:'2017-10-10T11:18:57-0600'))&amp;_a=(columns:!('Message%20ID',Summary),filters:!(),index:'emp_*',interval:auto,query:(query_string:(analyze_wildcard:!t,query:'%22rtdc.l.rtdc.4052%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708</v>
      </c>
      <c r="B62" s="7">
        <v>4051</v>
      </c>
      <c r="C62" s="21" t="s">
        <v>194</v>
      </c>
      <c r="D62" s="21" t="s">
        <v>404</v>
      </c>
      <c r="E62" s="13">
        <v>43018.431689814817</v>
      </c>
      <c r="F62" s="13">
        <v>43018.44599537037</v>
      </c>
      <c r="G62" s="7">
        <v>62</v>
      </c>
      <c r="H62" s="21" t="s">
        <v>356</v>
      </c>
      <c r="I62" s="13">
        <v>43018.471342592595</v>
      </c>
      <c r="J62" s="7">
        <v>0</v>
      </c>
      <c r="K62" s="89" t="str">
        <f t="shared" si="25"/>
        <v>4051/4052</v>
      </c>
      <c r="L62" s="185" t="str">
        <f>VLOOKUP(A62,'Trips&amp;Operators'!$C$1:$G$99911,5,FALSE)</f>
        <v>LALONDE GREGORY</v>
      </c>
      <c r="M62" s="6">
        <f t="shared" si="26"/>
        <v>2.5347222224809229E-2</v>
      </c>
      <c r="N62" s="7">
        <f t="shared" si="24"/>
        <v>36.50000000372529</v>
      </c>
      <c r="O62" s="7"/>
      <c r="P62" s="7"/>
      <c r="Q62" s="22"/>
      <c r="R62" s="174"/>
      <c r="S62" s="221">
        <f t="shared" si="27"/>
        <v>1</v>
      </c>
      <c r="T62" s="174" t="str">
        <f t="shared" si="28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-10T09:21:38-0600',mode:absolute,to:'2017-10-10T12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204" t="str">
        <f>IF(AA62&lt;VLOOKUP(AG62,Variables!$AC$3:$AD$8,2,FALSE),"Y","N")</f>
        <v>N</v>
      </c>
      <c r="X62" s="204">
        <f t="shared" si="29"/>
        <v>1</v>
      </c>
      <c r="Y62" s="204">
        <f t="shared" si="30"/>
        <v>23.299199999999999</v>
      </c>
      <c r="Z62" s="204">
        <f t="shared" si="31"/>
        <v>1.4500000000000001E-2</v>
      </c>
      <c r="AA62" s="204">
        <f t="shared" si="32"/>
        <v>23.284699999999997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33"/>
        <v>150</v>
      </c>
      <c r="AE62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62" s="74" t="str">
        <f t="shared" si="12"/>
        <v>"C:\Program Files (x86)\AstroGrep\AstroGrep.exe" /e /r /s /spath="%USERPROFILE%\AppData\Local\Temp\OnboardLogs" /stypes="app*4051*20171010*" /stext=" 17:.+((SYSTEM_STATE.+slice.+state.+changed )|(ment ac)|(multiple cpu faults)|(system.+state.+changed )|(\[timeout)|(PRM\|1\|D)|(kpr)|(kdp)|(train st.+moving)|(\|lc)|(penalty))"</v>
      </c>
      <c r="AG62" s="182" t="str">
        <f t="shared" si="34"/>
        <v>EC</v>
      </c>
      <c r="AH62" s="78" t="str">
        <f t="shared" si="19"/>
        <v>"%USERPROFILE%\Documents\GitHub\eaglep3\Utilities\RefineRTDCRunTimes.py" --tripid 150-10 --locoid 4051 --swversion DE.1.0.9.0 --startMP 204:232992 --initTime 2017-10-10T10:21:38 --startdatetime 2017-10-10T10:42:14 --delay 62 --endMP 204:145 --enddatetime 2017-10-10T11:18:44 --enforcementcount 0 &gt;&gt;%USERPROFILE%\Documents\GitHub\eaglep3-reporting\EC\2017-10-10-refined-times.txt</v>
      </c>
      <c r="AI6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ID","value":"150-10"},{"id":16,"name":"Locomotive ID","value":"4051"},{"id":130,"name":"Impact","value":""},{"id":150,"name":"Time of Event (Mountain Time)","value":"11:18:44"},{"id":151,"name":"Denver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4051 --day 2017-10-10</v>
      </c>
      <c r="AN6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-10T09:21:38-0600',mode:absolute,to:'2017-10-10T12:18:44-0600'))&amp;_a=(columns:!('Message%20ID',Summary),filters:!(),index:'emp_*',interval:auto,query:(query_string:(analyze_wildcard:!t,query:'%22rtdc.l.rtdc.4051%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704</v>
      </c>
      <c r="B63" s="7">
        <v>4042</v>
      </c>
      <c r="C63" s="21" t="s">
        <v>194</v>
      </c>
      <c r="D63" s="21" t="s">
        <v>883</v>
      </c>
      <c r="E63" s="13">
        <v>43018.413668981484</v>
      </c>
      <c r="F63" s="13">
        <v>43018.416817129626</v>
      </c>
      <c r="G63" s="7">
        <v>68</v>
      </c>
      <c r="H63" s="21" t="s">
        <v>884</v>
      </c>
      <c r="I63" s="13">
        <v>43018.441817129627</v>
      </c>
      <c r="J63" s="7">
        <v>0</v>
      </c>
      <c r="K63" s="89" t="str">
        <f t="shared" si="25"/>
        <v>4041/4042</v>
      </c>
      <c r="L63" s="185" t="str">
        <f>VLOOKUP(A63,'Trips&amp;Operators'!$C$1:$G$99911,5,FALSE)</f>
        <v>BROWN JACOB</v>
      </c>
      <c r="M63" s="6">
        <f t="shared" si="26"/>
        <v>2.5000000001455192E-2</v>
      </c>
      <c r="N63" s="7">
        <f t="shared" si="24"/>
        <v>36.000000002095476</v>
      </c>
      <c r="O63" s="7"/>
      <c r="P63" s="7"/>
      <c r="Q63" s="22"/>
      <c r="R63" s="174"/>
      <c r="S63" s="221">
        <f t="shared" si="27"/>
        <v>1</v>
      </c>
      <c r="T63" s="174" t="str">
        <f t="shared" si="28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-10T08:55:41-0600',mode:absolute,to:'2017-10-10T11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29"/>
        <v>1</v>
      </c>
      <c r="Y63" s="204">
        <f t="shared" si="30"/>
        <v>4.2599999999999999E-2</v>
      </c>
      <c r="Z63" s="204">
        <f t="shared" si="31"/>
        <v>23.331</v>
      </c>
      <c r="AA63" s="204">
        <f t="shared" si="32"/>
        <v>23.288399999999999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33"/>
        <v>151</v>
      </c>
      <c r="AE63" s="77" t="str">
        <f t="shared" si="1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63" s="74" t="str">
        <f t="shared" si="12"/>
        <v>"C:\Program Files (x86)\AstroGrep\AstroGrep.exe" /e /r /s /spath="%USERPROFILE%\AppData\Local\Temp\OnboardLogs" /stypes="app*4042*20171010*" /stext=" 16:.+((SYSTEM_STATE.+slice.+state.+changed )|(ment ac)|(multiple cpu faults)|(system.+state.+changed )|(\[timeout)|(PRM\|1\|D)|(kpr)|(kdp)|(train st.+moving)|(\|lc)|(penalty))"</v>
      </c>
      <c r="AG63" s="182" t="str">
        <f t="shared" si="34"/>
        <v>EC</v>
      </c>
      <c r="AH63" s="78" t="str">
        <f t="shared" si="19"/>
        <v>"%USERPROFILE%\Documents\GitHub\eaglep3\Utilities\RefineRTDCRunTimes.py" --tripid 151-10 --locoid 4042 --swversion DE.1.0.9.0 --startMP 204:426 --initTime 2017-10-10T09:55:41 --startdatetime 2017-10-10T10:00:13 --delay 68 --endMP 204:233310 --enddatetime 2017-10-10T10:36:13 --enforcementcount 0 &gt;&gt;%USERPROFILE%\Documents\GitHub\eaglep3-reporting\EC\2017-10-10-refined-times.txt</v>
      </c>
      <c r="AI6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ID","value":"151-10"},{"id":16,"name":"Locomotive ID","value":"4042"},{"id":130,"name":"Impact","value":""},{"id":150,"name":"Time of Event (Mountain Time)","value":"10:36:13"},{"id":151,"name":"Denver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4042 --day 2017-10-10</v>
      </c>
      <c r="AN6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-10T08:55:41-0600',mode:absolute,to:'2017-10-10T11:36:13-0600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598</v>
      </c>
      <c r="B64" s="7">
        <v>4041</v>
      </c>
      <c r="C64" s="21" t="s">
        <v>194</v>
      </c>
      <c r="D64" s="21" t="s">
        <v>519</v>
      </c>
      <c r="E64" s="13">
        <v>43018.449895833335</v>
      </c>
      <c r="F64" s="13">
        <v>43018.456400462965</v>
      </c>
      <c r="G64" s="7">
        <v>140</v>
      </c>
      <c r="H64" s="21" t="s">
        <v>885</v>
      </c>
      <c r="I64" s="13">
        <v>43018.483495370368</v>
      </c>
      <c r="J64" s="7">
        <v>0</v>
      </c>
      <c r="K64" s="89" t="str">
        <f t="shared" si="25"/>
        <v>4041/4042</v>
      </c>
      <c r="L64" s="185" t="str">
        <f>VLOOKUP(A64,'Trips&amp;Operators'!$C$1:$G$99911,5,FALSE)</f>
        <v>BROWN JACOB</v>
      </c>
      <c r="M64" s="6">
        <f t="shared" si="26"/>
        <v>2.7094907403807156E-2</v>
      </c>
      <c r="N64" s="7">
        <f t="shared" si="24"/>
        <v>39.016666661482304</v>
      </c>
      <c r="O64" s="7"/>
      <c r="P64" s="7"/>
      <c r="Q64" s="22"/>
      <c r="R64" s="174"/>
      <c r="S64" s="221">
        <f t="shared" si="27"/>
        <v>1</v>
      </c>
      <c r="T64" s="174" t="str">
        <f t="shared" si="28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29"/>
        <v>1</v>
      </c>
      <c r="Y64" s="204">
        <f t="shared" si="30"/>
        <v>23.301300000000001</v>
      </c>
      <c r="Z64" s="204">
        <f t="shared" si="31"/>
        <v>3.0200000000000001E-2</v>
      </c>
      <c r="AA64" s="204">
        <f t="shared" si="32"/>
        <v>23.271100000000001</v>
      </c>
      <c r="AB64" s="54" t="str">
        <f>VLOOKUP(A64,Enforcements!$C$7:$K$11,8,0)</f>
        <v>Bulletin (2)</v>
      </c>
      <c r="AC64" s="51" t="str">
        <f>VLOOKUP(A64,Enforcements!$C$7:$E$11,3,0)</f>
        <v>GRADE CROSSING</v>
      </c>
      <c r="AD64" s="179">
        <f t="shared" si="33"/>
        <v>152</v>
      </c>
      <c r="AE64" s="77" t="str">
        <f t="shared" si="1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64" s="74" t="str">
        <f t="shared" si="12"/>
        <v>"C:\Program Files (x86)\AstroGrep\AstroGrep.exe" /e /r /s /spath="%USERPROFILE%\AppData\Local\Temp\OnboardLogs" /stypes="app*4041*20171010*" /stext=" 17:.+((SYSTEM_STATE.+slice.+state.+changed )|(ment ac)|(multiple cpu faults)|(system.+state.+changed )|(\[timeout)|(PRM\|1\|D)|(kpr)|(kdp)|(train st.+moving)|(\|lc)|(penalty))"</v>
      </c>
      <c r="AG64" s="182" t="str">
        <f t="shared" si="34"/>
        <v>EC</v>
      </c>
      <c r="AH64" s="78" t="str">
        <f t="shared" si="19"/>
        <v>"%USERPROFILE%\Documents\GitHub\eaglep3\Utilities\RefineRTDCRunTimes.py" --tripid 152-10 --locoid 4041 --swversion DE.1.0.9.0 --startMP 204:233013 --initTime 2017-10-10T10:47:51 --startdatetime 2017-10-10T10:57:13 --delay 140 --endMP 204:302 --enddatetime 2017-10-10T11:36:14 --enforcementcount 0 &gt;&gt;%USERPROFILE%\Documents\GitHub\eaglep3-reporting\EC\2017-10-10-refined-times.txt</v>
      </c>
      <c r="AI6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{"issue":{"subject":"","project_id":79,"tracker_id":40,"status_id":1,"priority_id":2,"assigned_to_id":338,"start_date":"2017-10-10","description":"","custom_fields":[{"id":1,"name":"Subdivision","value":"EC"},{"id":4,"name":"Milepost","value":"0.0302"},{"id":17,"name":"Train ID","value":"152-10"},{"id":16,"name":"Locomotive ID","value":"4041"},{"id":130,"name":"Impact","value":""},{"id":150,"name":"Time of Event (Mountain Time)","value":"11:36:14"},{"id":151,"name":"Denver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4041 --day 2017-10-10</v>
      </c>
      <c r="AN6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4050</v>
      </c>
      <c r="C65" s="21" t="s">
        <v>194</v>
      </c>
      <c r="D65" s="21" t="s">
        <v>875</v>
      </c>
      <c r="E65" s="13">
        <v>43018.422280092593</v>
      </c>
      <c r="F65" s="13">
        <v>43018.427268518521</v>
      </c>
      <c r="G65" s="7">
        <v>90</v>
      </c>
      <c r="H65" s="21" t="s">
        <v>562</v>
      </c>
      <c r="I65" s="13">
        <v>43018.45207175926</v>
      </c>
      <c r="J65" s="7">
        <v>0</v>
      </c>
      <c r="K65" s="89" t="str">
        <f t="shared" si="25"/>
        <v>4049/4050</v>
      </c>
      <c r="L65" s="185" t="str">
        <f>VLOOKUP(A65,'Trips&amp;Operators'!$C$1:$G$99911,5,FALSE)</f>
        <v>YANG JAN</v>
      </c>
      <c r="M65" s="6">
        <f t="shared" si="26"/>
        <v>2.4803240739856847E-2</v>
      </c>
      <c r="N65" s="7">
        <f t="shared" si="24"/>
        <v>35.716666665393859</v>
      </c>
      <c r="O65" s="7"/>
      <c r="P65" s="7"/>
      <c r="Q65" s="22"/>
      <c r="R65" s="174"/>
      <c r="S65" s="221">
        <f t="shared" si="27"/>
        <v>1</v>
      </c>
      <c r="T65" s="174" t="str">
        <f t="shared" si="28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05-0600',mode:absolute,to:'2017-10-10T11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204" t="str">
        <f>IF(AA65&lt;VLOOKUP(AG65,Variables!$AC$3:$AD$8,2,FALSE),"Y","N")</f>
        <v>N</v>
      </c>
      <c r="X65" s="204">
        <f t="shared" si="29"/>
        <v>1</v>
      </c>
      <c r="Y65" s="204">
        <f t="shared" si="30"/>
        <v>4.6199999999999998E-2</v>
      </c>
      <c r="Z65" s="204">
        <f t="shared" si="31"/>
        <v>23.3322</v>
      </c>
      <c r="AA65" s="204">
        <f t="shared" si="32"/>
        <v>23.286000000000001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33"/>
        <v>153</v>
      </c>
      <c r="AE65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65" s="74" t="str">
        <f t="shared" si="12"/>
        <v>"C:\Program Files (x86)\AstroGrep\AstroGrep.exe" /e /r /s /spath="%USERPROFILE%\AppData\Local\Temp\OnboardLogs" /stypes="app*4050*20171010*" /stext=" 16:.+((SYSTEM_STATE.+slice.+state.+changed )|(ment ac)|(multiple cpu faults)|(system.+state.+changed )|(\[timeout)|(PRM\|1\|D)|(kpr)|(kdp)|(train st.+moving)|(\|lc)|(penalty))"</v>
      </c>
      <c r="AG65" s="182" t="str">
        <f t="shared" si="34"/>
        <v>EC</v>
      </c>
      <c r="AH65" s="78" t="str">
        <f t="shared" si="19"/>
        <v>"%USERPROFILE%\Documents\GitHub\eaglep3\Utilities\RefineRTDCRunTimes.py" --tripid 153-10 --locoid 4050 --swversion DE.1.0.9.0 --startMP 204:462 --initTime 2017-10-10T10:08:05 --startdatetime 2017-10-10T10:15:16 --delay 90 --endMP 204:233322 --enddatetime 2017-10-10T10:50:59 --enforcementcount 0 &gt;&gt;%USERPROFILE%\Documents\GitHub\eaglep3-reporting\EC\2017-10-10-refined-times.txt</v>
      </c>
      <c r="AI6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{"issue":{"subject":"","project_id":79,"tracker_id":40,"status_id":1,"priority_id":2,"assigned_to_id":338,"start_date":"2017-10-10","description":"","custom_fields":[{"id":1,"name":"Subdivision","value":"EC"},{"id":4,"name":"Milepost","value":"23.3322"},{"id":17,"name":"Train ID","value":"153-10"},{"id":16,"name":"Locomotive ID","value":"4050"},{"id":130,"name":"Impact","value":""},{"id":150,"name":"Time of Event (Mountain Time)","value":"10:50:59"},{"id":151,"name":"Denver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4050 --day 2017-10-10</v>
      </c>
      <c r="AN6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05-0600',mode:absolute,to:'2017-10-10T11:50:59-0600'))&amp;_a=(columns:!('Message%20ID',Summary),filters:!(),index:'emp_*',interval:auto,query:(query_string:(analyze_wildcard:!t,query:'%22rtdc.l.rtdc.4050%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4049</v>
      </c>
      <c r="C66" s="21" t="s">
        <v>194</v>
      </c>
      <c r="D66" s="21" t="s">
        <v>441</v>
      </c>
      <c r="E66" s="13">
        <v>43018.461770833332</v>
      </c>
      <c r="F66" s="13">
        <v>43018.466944444444</v>
      </c>
      <c r="G66" s="7">
        <v>70</v>
      </c>
      <c r="H66" s="21" t="s">
        <v>375</v>
      </c>
      <c r="I66" s="13">
        <v>43018.493541666663</v>
      </c>
      <c r="J66" s="7">
        <v>0</v>
      </c>
      <c r="K66" s="89" t="str">
        <f t="shared" si="25"/>
        <v>4049/4050</v>
      </c>
      <c r="L66" s="185" t="str">
        <f>VLOOKUP(A66,'Trips&amp;Operators'!$C$1:$G$99911,5,FALSE)</f>
        <v>YANG JAN</v>
      </c>
      <c r="M66" s="6">
        <f t="shared" si="26"/>
        <v>2.6597222218697425E-2</v>
      </c>
      <c r="N66" s="7">
        <f t="shared" si="24"/>
        <v>38.299999994924292</v>
      </c>
      <c r="O66" s="7"/>
      <c r="P66" s="7"/>
      <c r="Q66" s="22"/>
      <c r="R66" s="174"/>
      <c r="S66" s="221">
        <f t="shared" si="27"/>
        <v>1</v>
      </c>
      <c r="T66" s="174" t="str">
        <f t="shared" si="28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-10T10:04:57-0600',mode:absolute,to:'2017-10-10T12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204" t="str">
        <f>IF(AA66&lt;VLOOKUP(AG66,Variables!$AC$3:$AD$8,2,FALSE),"Y","N")</f>
        <v>N</v>
      </c>
      <c r="X66" s="204">
        <f t="shared" si="29"/>
        <v>1</v>
      </c>
      <c r="Y66" s="204">
        <f t="shared" si="30"/>
        <v>23.2986</v>
      </c>
      <c r="Z66" s="204">
        <f t="shared" si="31"/>
        <v>1.54E-2</v>
      </c>
      <c r="AA66" s="204">
        <f t="shared" si="32"/>
        <v>23.283200000000001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33"/>
        <v>154</v>
      </c>
      <c r="AE66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66" s="74" t="str">
        <f t="shared" si="12"/>
        <v>"C:\Program Files (x86)\AstroGrep\AstroGrep.exe" /e /r /s /spath="%USERPROFILE%\AppData\Local\Temp\OnboardLogs" /stypes="app*4049*20171010*" /stext=" 17:.+((SYSTEM_STATE.+slice.+state.+changed )|(ment ac)|(multiple cpu faults)|(system.+state.+changed )|(\[timeout)|(PRM\|1\|D)|(kpr)|(kdp)|(train st.+moving)|(\|lc)|(penalty))"</v>
      </c>
      <c r="AG66" s="182" t="str">
        <f t="shared" si="34"/>
        <v>EC</v>
      </c>
      <c r="AH66" s="78" t="str">
        <f t="shared" si="19"/>
        <v>"%USERPROFILE%\Documents\GitHub\eaglep3\Utilities\RefineRTDCRunTimes.py" --tripid 154-10 --locoid 4049 --swversion DE.1.0.9.0 --startMP 204:232986 --initTime 2017-10-10T11:04:57 --startdatetime 2017-10-10T11:12:24 --delay 70 --endMP 204:154 --enddatetime 2017-10-10T11:50:42 --enforcementcount 0 &gt;&gt;%USERPROFILE%\Documents\GitHub\eaglep3-reporting\EC\2017-10-10-refined-times.txt</v>
      </c>
      <c r="AI6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ID","value":"154-10"},{"id":16,"name":"Locomotive ID","value":"4049"},{"id":130,"name":"Impact","value":""},{"id":150,"name":"Time of Event (Mountain Time)","value":"11:50:42"},{"id":151,"name":"Denver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4049 --day 2017-10-10</v>
      </c>
      <c r="AN6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-10T10:04:57-0600',mode:absolute,to:'2017-10-10T12:50:42-0600'))&amp;_a=(columns:!('Message%20ID',Summary),filters:!(),index:'emp_*',interval:auto,query:(query_string:(analyze_wildcard:!t,query:'%22rtdc.l.rtdc.4049%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4056</v>
      </c>
      <c r="C67" s="21" t="s">
        <v>194</v>
      </c>
      <c r="D67" s="21" t="s">
        <v>886</v>
      </c>
      <c r="E67" s="13">
        <v>43018.432812500003</v>
      </c>
      <c r="F67" s="13">
        <v>43018.437650462962</v>
      </c>
      <c r="G67" s="7">
        <v>63</v>
      </c>
      <c r="H67" s="21" t="s">
        <v>884</v>
      </c>
      <c r="I67" s="13">
        <v>43018.462245370371</v>
      </c>
      <c r="J67" s="7">
        <v>0</v>
      </c>
      <c r="K67" s="89" t="str">
        <f t="shared" si="25"/>
        <v>4055/4056</v>
      </c>
      <c r="L67" s="185" t="str">
        <f>VLOOKUP(A67,'Trips&amp;Operators'!$C$1:$G$99911,5,FALSE)</f>
        <v>YANAI IAN</v>
      </c>
      <c r="M67" s="6">
        <f t="shared" si="26"/>
        <v>2.4594907408754807E-2</v>
      </c>
      <c r="N67" s="7">
        <f t="shared" si="24"/>
        <v>35.416666668606922</v>
      </c>
      <c r="O67" s="7"/>
      <c r="P67" s="7"/>
      <c r="Q67" s="22"/>
      <c r="R67" s="174"/>
      <c r="S67" s="221">
        <f t="shared" si="27"/>
        <v>1</v>
      </c>
      <c r="T67" s="174" t="str">
        <f t="shared" si="28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-10T09:23:15-0600',mode:absolute,to:'2017-10-10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>IF(AA67&lt;VLOOKUP(AG67,Variables!$AC$3:$AD$8,2,FALSE),"Y","N")</f>
        <v>N</v>
      </c>
      <c r="X67" s="204">
        <f t="shared" si="29"/>
        <v>1</v>
      </c>
      <c r="Y67" s="204">
        <f t="shared" si="30"/>
        <v>4.3499999999999997E-2</v>
      </c>
      <c r="Z67" s="204">
        <f t="shared" si="31"/>
        <v>23.331</v>
      </c>
      <c r="AA67" s="204">
        <f t="shared" si="32"/>
        <v>23.287499999999998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33"/>
        <v>155</v>
      </c>
      <c r="AE67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67" s="74" t="str">
        <f t="shared" si="12"/>
        <v>"C:\Program Files (x86)\AstroGrep\AstroGrep.exe" /e /r /s /spath="%USERPROFILE%\AppData\Local\Temp\OnboardLogs" /stypes="app*4056*20171010*" /stext=" 17:.+((SYSTEM_STATE.+slice.+state.+changed )|(ment ac)|(multiple cpu faults)|(system.+state.+changed )|(\[timeout)|(PRM\|1\|D)|(kpr)|(kdp)|(train st.+moving)|(\|lc)|(penalty))"</v>
      </c>
      <c r="AG67" s="182" t="str">
        <f t="shared" si="34"/>
        <v>EC</v>
      </c>
      <c r="AH67" s="78" t="str">
        <f t="shared" si="19"/>
        <v>"%USERPROFILE%\Documents\GitHub\eaglep3\Utilities\RefineRTDCRunTimes.py" --tripid 155-10 --locoid 4056 --swversion DE.1.0.9.0 --startMP 204:435 --initTime 2017-10-10T10:23:15 --startdatetime 2017-10-10T10:30:13 --delay 63 --endMP 204:233310 --enddatetime 2017-10-10T11:05:38 --enforcementcount 0 &gt;&gt;%USERPROFILE%\Documents\GitHub\eaglep3-reporting\EC\2017-10-10-refined-times.txt</v>
      </c>
      <c r="AI6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ID","value":"155-10"},{"id":16,"name":"Locomotive ID","value":"4056"},{"id":130,"name":"Impact","value":""},{"id":150,"name":"Time of Event (Mountain Time)","value":"11:05:38"},{"id":151,"name":"Denver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4056 --day 2017-10-10</v>
      </c>
      <c r="AN6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-10T09:23:15-0600',mode:absolute,to:'2017-10-10T12:05:38-0600'))&amp;_a=(columns:!('Message%20ID',Summary),filters:!(),index:'emp_*',interval:auto,query:(query_string:(analyze_wildcard:!t,query:'%22rtdc.l.rtdc.4056%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599</v>
      </c>
      <c r="B68" s="7">
        <v>4055</v>
      </c>
      <c r="C68" s="21" t="s">
        <v>194</v>
      </c>
      <c r="D68" s="21" t="s">
        <v>887</v>
      </c>
      <c r="E68" s="13">
        <v>43018.463206018518</v>
      </c>
      <c r="F68" s="13">
        <v>43018.47724537037</v>
      </c>
      <c r="G68" s="7">
        <v>51</v>
      </c>
      <c r="H68" s="21" t="s">
        <v>513</v>
      </c>
      <c r="I68" s="13">
        <v>43018.503182870372</v>
      </c>
      <c r="J68" s="7">
        <v>0</v>
      </c>
      <c r="K68" s="89" t="str">
        <f t="shared" si="25"/>
        <v>4055/4056</v>
      </c>
      <c r="L68" s="185" t="str">
        <f>VLOOKUP(A68,'Trips&amp;Operators'!$C$1:$G$99911,5,FALSE)</f>
        <v>YANAI IAN</v>
      </c>
      <c r="M68" s="6">
        <f t="shared" si="26"/>
        <v>2.5937500002328306E-2</v>
      </c>
      <c r="N68" s="7">
        <f t="shared" si="24"/>
        <v>37.350000003352761</v>
      </c>
      <c r="O68" s="7"/>
      <c r="P68" s="7"/>
      <c r="Q68" s="22"/>
      <c r="R68" s="174"/>
      <c r="S68" s="221">
        <f t="shared" si="27"/>
        <v>1</v>
      </c>
      <c r="T68" s="174" t="str">
        <f t="shared" si="28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>IF(AA68&lt;VLOOKUP(AG68,Variables!$AC$3:$AD$8,2,FALSE),"Y","N")</f>
        <v>N</v>
      </c>
      <c r="X68" s="204">
        <f t="shared" si="29"/>
        <v>1</v>
      </c>
      <c r="Y68" s="204">
        <f t="shared" si="30"/>
        <v>23.2989</v>
      </c>
      <c r="Z68" s="204">
        <f t="shared" si="31"/>
        <v>1.3599999999999999E-2</v>
      </c>
      <c r="AA68" s="204">
        <f t="shared" si="32"/>
        <v>23.285299999999999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33"/>
        <v>156</v>
      </c>
      <c r="AE68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68" s="74" t="str">
        <f t="shared" si="12"/>
        <v>"C:\Program Files (x86)\AstroGrep\AstroGrep.exe" /e /r /s /spath="%USERPROFILE%\AppData\Local\Temp\OnboardLogs" /stypes="app*4055*20171010*" /stext=" 18:.+((SYSTEM_STATE.+slice.+state.+changed )|(ment ac)|(multiple cpu faults)|(system.+state.+changed )|(\[timeout)|(PRM\|1\|D)|(kpr)|(kdp)|(train st.+moving)|(\|lc)|(penalty))"</v>
      </c>
      <c r="AG68" s="182" t="str">
        <f t="shared" si="34"/>
        <v>EC</v>
      </c>
      <c r="AH68" s="78" t="str">
        <f t="shared" si="19"/>
        <v>"%USERPROFILE%\Documents\GitHub\eaglep3\Utilities\RefineRTDCRunTimes.py" --tripid 156-10 --locoid 4055 --swversion DE.1.0.9.0 --startMP 204:232989 --initTime 2017-10-10T11:07:01 --startdatetime 2017-10-10T11:27:14 --delay 51 --endMP 204:136 --enddatetime 2017-10-10T12:04:35 --enforcementcount 0 &gt;&gt;%USERPROFILE%\Documents\GitHub\eaglep3-reporting\EC\2017-10-10-refined-times.txt</v>
      </c>
      <c r="AI6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{"issue":{"subject":"","project_id":79,"tracker_id":40,"status_id":1,"priority_id":2,"assigned_to_id":338,"start_date":"2017-10-10","description":"","custom_fields":[{"id":1,"name":"Subdivision","value":"EC"},{"id":4,"name":"Milepost","value":"0.0136"},{"id":17,"name":"Train ID","value":"156-10"},{"id":16,"name":"Locomotive ID","value":"4055"},{"id":130,"name":"Impact","value":""},{"id":150,"name":"Time of Event (Mountain Time)","value":"12:04:35"},{"id":151,"name":"Denver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4055 --day 2017-10-10</v>
      </c>
      <c r="AN6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Message%20ID',Summary),filters:!(),index:'emp_*',interval:auto,query:(query_string:(analyze_wildcard:!t,query:'%22rtdc.l.rtdc.4055%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714</v>
      </c>
      <c r="B69" s="7">
        <v>4066</v>
      </c>
      <c r="C69" s="21" t="s">
        <v>194</v>
      </c>
      <c r="D69" s="21" t="s">
        <v>858</v>
      </c>
      <c r="E69" s="13">
        <v>43018.444062499999</v>
      </c>
      <c r="F69" s="13">
        <v>43018.448518518519</v>
      </c>
      <c r="G69" s="7">
        <v>110</v>
      </c>
      <c r="H69" s="21" t="s">
        <v>516</v>
      </c>
      <c r="I69" s="13">
        <v>43018.474189814813</v>
      </c>
      <c r="J69" s="7">
        <v>0</v>
      </c>
      <c r="K69" s="89" t="str">
        <f t="shared" si="25"/>
        <v>4065/4066</v>
      </c>
      <c r="L69" s="185" t="str">
        <f>VLOOKUP(A69,'Trips&amp;Operators'!$C$1:$G$99911,5,FALSE)</f>
        <v>DAVIS MICHAEL</v>
      </c>
      <c r="M69" s="6">
        <f t="shared" si="26"/>
        <v>2.5671296294603962E-2</v>
      </c>
      <c r="N69" s="7">
        <f t="shared" si="24"/>
        <v>36.966666664229706</v>
      </c>
      <c r="O69" s="7"/>
      <c r="P69" s="7"/>
      <c r="Q69" s="22"/>
      <c r="R69" s="174"/>
      <c r="S69" s="221">
        <f t="shared" si="27"/>
        <v>1</v>
      </c>
      <c r="T69" s="174" t="str">
        <f t="shared" si="28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-10T09:39:27-0600',mode:absolute,to:'2017-10-10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9" s="204" t="str">
        <f>IF(AA69&lt;VLOOKUP(AG69,Variables!$AC$3:$AD$8,2,FALSE),"Y","N")</f>
        <v>N</v>
      </c>
      <c r="X69" s="204">
        <f t="shared" si="29"/>
        <v>1</v>
      </c>
      <c r="Y69" s="204">
        <f t="shared" si="30"/>
        <v>4.4200000000000003E-2</v>
      </c>
      <c r="Z69" s="204">
        <f t="shared" si="31"/>
        <v>23.329499999999999</v>
      </c>
      <c r="AA69" s="204">
        <f t="shared" si="32"/>
        <v>23.285299999999999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33"/>
        <v>157</v>
      </c>
      <c r="AE69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69" s="74" t="str">
        <f t="shared" si="12"/>
        <v>"C:\Program Files (x86)\AstroGrep\AstroGrep.exe" /e /r /s /spath="%USERPROFILE%\AppData\Local\Temp\OnboardLogs" /stypes="app*4066*20171010*" /stext=" 17:.+((SYSTEM_STATE.+slice.+state.+changed )|(ment ac)|(multiple cpu faults)|(system.+state.+changed )|(\[timeout)|(PRM\|1\|D)|(kpr)|(kdp)|(train st.+moving)|(\|lc)|(penalty))"</v>
      </c>
      <c r="AG69" s="182" t="str">
        <f t="shared" si="34"/>
        <v>EC</v>
      </c>
      <c r="AH69" s="78" t="str">
        <f t="shared" si="19"/>
        <v>"%USERPROFILE%\Documents\GitHub\eaglep3\Utilities\RefineRTDCRunTimes.py" --tripid 157-10 --locoid 4066 --swversion DE.1.0.9.0 --startMP 204:442 --initTime 2017-10-10T10:39:27 --startdatetime 2017-10-10T10:45:52 --delay 110 --endMP 204:233295 --enddatetime 2017-10-10T11:22:50 --enforcementcount 0 &gt;&gt;%USERPROFILE%\Documents\GitHub\eaglep3-reporting\EC\2017-10-10-refined-times.txt</v>
      </c>
      <c r="AI6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ID","value":"157-10"},{"id":16,"name":"Locomotive ID","value":"4066"},{"id":130,"name":"Impact","value":""},{"id":150,"name":"Time of Event (Mountain Time)","value":"11:22:50"},{"id":151,"name":"Denver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4066 --day 2017-10-10</v>
      </c>
      <c r="AN6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-10T09:39:27-0600',mode:absolute,to:'2017-10-10T12:22:50-0600'))&amp;_a=(columns:!('Message%20ID',Summary),filters:!(),index:'emp_*',interval:auto,query:(query_string:(analyze_wildcard:!t,query:'%22rtdc.l.rtdc.4066%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4065</v>
      </c>
      <c r="C70" s="21" t="s">
        <v>194</v>
      </c>
      <c r="D70" s="21" t="s">
        <v>441</v>
      </c>
      <c r="E70" s="13">
        <v>43018.486284722225</v>
      </c>
      <c r="F70" s="13">
        <v>43018.488564814812</v>
      </c>
      <c r="G70" s="7">
        <v>79</v>
      </c>
      <c r="H70" s="21" t="s">
        <v>364</v>
      </c>
      <c r="I70" s="13">
        <v>43018.515972222223</v>
      </c>
      <c r="J70" s="7">
        <v>0</v>
      </c>
      <c r="K70" s="89" t="str">
        <f t="shared" si="25"/>
        <v>4065/4066</v>
      </c>
      <c r="L70" s="185" t="str">
        <f>VLOOKUP(A70,'Trips&amp;Operators'!$C$1:$G$99911,5,FALSE)</f>
        <v>DAVIS MICHAEL</v>
      </c>
      <c r="M70" s="6">
        <f t="shared" si="26"/>
        <v>2.7407407411374152E-2</v>
      </c>
      <c r="N70" s="7">
        <f t="shared" ref="N70:N102" si="35">24*60*SUM($M70:$M70)</f>
        <v>39.466666672378778</v>
      </c>
      <c r="O70" s="7"/>
      <c r="P70" s="7"/>
      <c r="Q70" s="22"/>
      <c r="R70" s="174"/>
      <c r="S70" s="221">
        <f t="shared" si="27"/>
        <v>1</v>
      </c>
      <c r="T70" s="174" t="str">
        <f t="shared" si="28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-10T10:40:15-0600',mode:absolute,to:'2017-10-10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0" s="204" t="str">
        <f>IF(AA70&lt;VLOOKUP(AG70,Variables!$AC$3:$AD$8,2,FALSE),"Y","N")</f>
        <v>N</v>
      </c>
      <c r="X70" s="204">
        <f t="shared" si="29"/>
        <v>1</v>
      </c>
      <c r="Y70" s="204">
        <f t="shared" si="30"/>
        <v>23.2986</v>
      </c>
      <c r="Z70" s="204">
        <f t="shared" si="31"/>
        <v>1.5800000000000002E-2</v>
      </c>
      <c r="AA70" s="204">
        <f t="shared" si="32"/>
        <v>23.282800000000002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33"/>
        <v>158</v>
      </c>
      <c r="AE70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70" s="74" t="str">
        <f t="shared" si="12"/>
        <v>"C:\Program Files (x86)\AstroGrep\AstroGrep.exe" /e /r /s /spath="%USERPROFILE%\AppData\Local\Temp\OnboardLogs" /stypes="app*4065*20171010*" /stext=" 18:.+((SYSTEM_STATE.+slice.+state.+changed )|(ment ac)|(multiple cpu faults)|(system.+state.+changed )|(\[timeout)|(PRM\|1\|D)|(kpr)|(kdp)|(train st.+moving)|(\|lc)|(penalty))"</v>
      </c>
      <c r="AG70" s="182" t="str">
        <f t="shared" si="34"/>
        <v>EC</v>
      </c>
      <c r="AH70" s="78" t="str">
        <f t="shared" si="19"/>
        <v>"%USERPROFILE%\Documents\GitHub\eaglep3\Utilities\RefineRTDCRunTimes.py" --tripid 158-10 --locoid 4065 --swversion DE.1.0.9.0 --startMP 204:232986 --initTime 2017-10-10T11:40:15 --startdatetime 2017-10-10T11:43:32 --delay 79 --endMP 204:158 --enddatetime 2017-10-10T12:23:00 --enforcementcount 0 &gt;&gt;%USERPROFILE%\Documents\GitHub\eaglep3-reporting\EC\2017-10-10-refined-times.txt</v>
      </c>
      <c r="AI7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{"issue":{"subject":"","project_id":79,"tracker_id":40,"status_id":1,"priority_id":2,"assigned_to_id":338,"start_date":"2017-10-10","description":"","custom_fields":[{"id":1,"name":"Subdivision","value":"EC"},{"id":4,"name":"Milepost","value":"0.0158"},{"id":17,"name":"Train ID","value":"158-10"},{"id":16,"name":"Locomotive ID","value":"4065"},{"id":130,"name":"Impact","value":""},{"id":150,"name":"Time of Event (Mountain Time)","value":"12:23:00"},{"id":151,"name":"Denver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4065 --day 2017-10-10</v>
      </c>
      <c r="AN7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-10T10:40:15-0600',mode:absolute,to:'2017-10-10T13:23:00-0600'))&amp;_a=(columns:!('Message%20ID',Summary),filters:!(),index:'emp_*',interval:auto,query:(query_string:(analyze_wildcard:!t,query:'%22rtdc.l.rtdc.4065%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715</v>
      </c>
      <c r="B71" s="7">
        <v>4054</v>
      </c>
      <c r="C71" s="21" t="s">
        <v>194</v>
      </c>
      <c r="D71" s="21" t="s">
        <v>363</v>
      </c>
      <c r="E71" s="13">
        <v>43018.454398148147</v>
      </c>
      <c r="F71" s="13">
        <v>43018.458611111113</v>
      </c>
      <c r="G71" s="7">
        <v>43</v>
      </c>
      <c r="H71" s="21" t="s">
        <v>482</v>
      </c>
      <c r="I71" s="13">
        <v>43018.483761574076</v>
      </c>
      <c r="J71" s="7">
        <v>0</v>
      </c>
      <c r="K71" s="89" t="str">
        <f t="shared" si="25"/>
        <v>4053/4054</v>
      </c>
      <c r="L71" s="185" t="str">
        <f>VLOOKUP(A71,'Trips&amp;Operators'!$C$1:$G$99911,5,FALSE)</f>
        <v>MACDONALD THOMAS</v>
      </c>
      <c r="M71" s="6">
        <f t="shared" si="26"/>
        <v>2.5150462963210884E-2</v>
      </c>
      <c r="N71" s="7">
        <f t="shared" si="35"/>
        <v>36.216666667023674</v>
      </c>
      <c r="O71" s="7"/>
      <c r="P71" s="7"/>
      <c r="Q71" s="22"/>
      <c r="R71" s="174"/>
      <c r="S71" s="221">
        <f t="shared" si="27"/>
        <v>1</v>
      </c>
      <c r="T71" s="174" t="str">
        <f t="shared" si="28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-10T09:54:20-0600',mode:absolute,to:'2017-10-10T12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204" t="str">
        <f>IF(AA71&lt;VLOOKUP(AG71,Variables!$AC$3:$AD$8,2,FALSE),"Y","N")</f>
        <v>N</v>
      </c>
      <c r="X71" s="204">
        <f t="shared" si="29"/>
        <v>1</v>
      </c>
      <c r="Y71" s="204">
        <f t="shared" si="30"/>
        <v>4.5999999999999999E-2</v>
      </c>
      <c r="Z71" s="204">
        <f t="shared" si="31"/>
        <v>23.327999999999999</v>
      </c>
      <c r="AA71" s="204">
        <f t="shared" si="32"/>
        <v>23.282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33"/>
        <v>159</v>
      </c>
      <c r="AE71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71" s="74" t="str">
        <f t="shared" si="12"/>
        <v>"C:\Program Files (x86)\AstroGrep\AstroGrep.exe" /e /r /s /spath="%USERPROFILE%\AppData\Local\Temp\OnboardLogs" /stypes="app*4054*20171010*" /stext=" 17:.+((SYSTEM_STATE.+slice.+state.+changed )|(ment ac)|(multiple cpu faults)|(system.+state.+changed )|(\[timeout)|(PRM\|1\|D)|(kpr)|(kdp)|(train st.+moving)|(\|lc)|(penalty))"</v>
      </c>
      <c r="AG71" s="182" t="str">
        <f t="shared" si="34"/>
        <v>EC</v>
      </c>
      <c r="AH71" s="78" t="str">
        <f t="shared" si="19"/>
        <v>"%USERPROFILE%\Documents\GitHub\eaglep3\Utilities\RefineRTDCRunTimes.py" --tripid 159-10 --locoid 4054 --swversion DE.1.0.9.0 --startMP 204:460 --initTime 2017-10-10T10:54:20 --startdatetime 2017-10-10T11:00:24 --delay 43 --endMP 204:233280 --enddatetime 2017-10-10T11:36:37 --enforcementcount 0 &gt;&gt;%USERPROFILE%\Documents\GitHub\eaglep3-reporting\EC\2017-10-10-refined-times.txt</v>
      </c>
      <c r="AI7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{"issue":{"subject":"","project_id":79,"tracker_id":40,"status_id":1,"priority_id":2,"assigned_to_id":338,"start_date":"2017-10-10","description":"","custom_fields":[{"id":1,"name":"Subdivision","value":"EC"},{"id":4,"name":"Milepost","value":"23.328"},{"id":17,"name":"Train ID","value":"159-10"},{"id":16,"name":"Locomotive ID","value":"4054"},{"id":130,"name":"Impact","value":""},{"id":150,"name":"Time of Event (Mountain Time)","value":"11:36:37"},{"id":151,"name":"Denver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4054 --day 2017-10-10</v>
      </c>
      <c r="AN7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-10T09:54:20-0600',mode:absolute,to:'2017-10-10T12:36:37-0600'))&amp;_a=(columns:!('Message%20ID',Summary),filters:!(),index:'emp_*',interval:auto,query:(query_string:(analyze_wildcard:!t,query:'%22rtdc.l.rtdc.4054%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729</v>
      </c>
      <c r="B72" s="7">
        <v>4053</v>
      </c>
      <c r="C72" s="21" t="s">
        <v>194</v>
      </c>
      <c r="D72" s="21" t="s">
        <v>553</v>
      </c>
      <c r="E72" s="13">
        <v>43018.495300925926</v>
      </c>
      <c r="F72" s="13">
        <v>43018.49832175926</v>
      </c>
      <c r="G72" s="7">
        <v>91</v>
      </c>
      <c r="H72" s="21" t="s">
        <v>335</v>
      </c>
      <c r="I72" s="13">
        <v>43018.524664351855</v>
      </c>
      <c r="J72" s="7">
        <v>0</v>
      </c>
      <c r="K72" s="89" t="str">
        <f t="shared" si="25"/>
        <v>4053/4054</v>
      </c>
      <c r="L72" s="185" t="str">
        <f>VLOOKUP(A72,'Trips&amp;Operators'!$C$1:$G$99911,5,FALSE)</f>
        <v>MACDONALD THOMAS</v>
      </c>
      <c r="M72" s="6">
        <f t="shared" si="26"/>
        <v>2.6342592595028691E-2</v>
      </c>
      <c r="N72" s="7">
        <f t="shared" si="35"/>
        <v>37.933333336841315</v>
      </c>
      <c r="O72" s="7"/>
      <c r="P72" s="7"/>
      <c r="Q72" s="22"/>
      <c r="R72" s="174"/>
      <c r="S72" s="221">
        <f t="shared" si="27"/>
        <v>1</v>
      </c>
      <c r="T72" s="174" t="str">
        <f t="shared" si="28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-10T10:53:14-0600',mode:absolute,to:'2017-10-10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204" t="str">
        <f>IF(AA72&lt;VLOOKUP(AG72,Variables!$AC$3:$AD$8,2,FALSE),"Y","N")</f>
        <v>N</v>
      </c>
      <c r="X72" s="204">
        <f t="shared" si="29"/>
        <v>1</v>
      </c>
      <c r="Y72" s="204">
        <f t="shared" si="30"/>
        <v>23.2972</v>
      </c>
      <c r="Z72" s="204">
        <f t="shared" si="31"/>
        <v>1.4999999999999999E-2</v>
      </c>
      <c r="AA72" s="204">
        <f t="shared" si="32"/>
        <v>23.2822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33"/>
        <v>160</v>
      </c>
      <c r="AE72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72" s="74" t="str">
        <f t="shared" si="12"/>
        <v>"C:\Program Files (x86)\AstroGrep\AstroGrep.exe" /e /r /s /spath="%USERPROFILE%\AppData\Local\Temp\OnboardLogs" /stypes="app*4053*20171010*" /stext=" 18:.+((SYSTEM_STATE.+slice.+state.+changed )|(ment ac)|(multiple cpu faults)|(system.+state.+changed )|(\[timeout)|(PRM\|1\|D)|(kpr)|(kdp)|(train st.+moving)|(\|lc)|(penalty))"</v>
      </c>
      <c r="AG72" s="182" t="str">
        <f t="shared" si="34"/>
        <v>EC</v>
      </c>
      <c r="AH72" s="78" t="str">
        <f t="shared" si="19"/>
        <v>"%USERPROFILE%\Documents\GitHub\eaglep3\Utilities\RefineRTDCRunTimes.py" --tripid 160-10 --locoid 4053 --swversion DE.1.0.9.0 --startMP 204:232972 --initTime 2017-10-10T11:53:14 --startdatetime 2017-10-10T11:57:35 --delay 91 --endMP 204:150 --enddatetime 2017-10-10T12:35:31 --enforcementcount 0 &gt;&gt;%USERPROFILE%\Documents\GitHub\eaglep3-reporting\EC\2017-10-10-refined-times.txt</v>
      </c>
      <c r="AI7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ID","value":"160-10"},{"id":16,"name":"Locomotive ID","value":"4053"},{"id":130,"name":"Impact","value":""},{"id":150,"name":"Time of Event (Mountain Time)","value":"12:35:31"},{"id":151,"name":"Denver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4053 --day 2017-10-10</v>
      </c>
      <c r="AN7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-10T10:53:14-0600',mode:absolute,to:'2017-10-10T13:35:31-0600'))&amp;_a=(columns:!('Message%20ID',Summary),filters:!(),index:'emp_*',interval:auto,query:(query_string:(analyze_wildcard:!t,query:'%22rtdc.l.rtdc.4053%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718</v>
      </c>
      <c r="B73" s="7">
        <v>4020</v>
      </c>
      <c r="C73" s="21" t="s">
        <v>194</v>
      </c>
      <c r="D73" s="21" t="s">
        <v>554</v>
      </c>
      <c r="E73" s="13">
        <v>43018.465590277781</v>
      </c>
      <c r="F73" s="13">
        <v>43018.468912037039</v>
      </c>
      <c r="G73" s="7">
        <v>107</v>
      </c>
      <c r="H73" s="21" t="s">
        <v>852</v>
      </c>
      <c r="I73" s="13">
        <v>43018.493020833332</v>
      </c>
      <c r="J73" s="7">
        <v>0</v>
      </c>
      <c r="K73" s="89" t="str">
        <f t="shared" si="25"/>
        <v>4019/4020</v>
      </c>
      <c r="L73" s="185" t="str">
        <f>VLOOKUP(A73,'Trips&amp;Operators'!$C$1:$G$99911,5,FALSE)</f>
        <v>BRUDER RICHARD</v>
      </c>
      <c r="M73" s="6">
        <f t="shared" si="26"/>
        <v>2.4108796293148771E-2</v>
      </c>
      <c r="N73" s="7">
        <f t="shared" si="35"/>
        <v>34.71666666213423</v>
      </c>
      <c r="O73" s="7"/>
      <c r="P73" s="7"/>
      <c r="Q73" s="22"/>
      <c r="R73" s="174"/>
      <c r="S73" s="221">
        <f t="shared" si="27"/>
        <v>1</v>
      </c>
      <c r="T73" s="174" t="str">
        <f t="shared" si="28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-10T10:10:27-0600',mode:absolute,to:'2017-10-10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04" t="str">
        <f>IF(AA73&lt;VLOOKUP(AG73,Variables!$AC$3:$AD$8,2,FALSE),"Y","N")</f>
        <v>N</v>
      </c>
      <c r="X73" s="204">
        <f t="shared" si="29"/>
        <v>1</v>
      </c>
      <c r="Y73" s="204">
        <f t="shared" si="30"/>
        <v>4.2000000000000003E-2</v>
      </c>
      <c r="Z73" s="204">
        <f t="shared" si="31"/>
        <v>23.329899999999999</v>
      </c>
      <c r="AA73" s="204">
        <f t="shared" si="32"/>
        <v>23.287899999999997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33"/>
        <v>161</v>
      </c>
      <c r="AE73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73" s="74" t="str">
        <f t="shared" si="12"/>
        <v>"C:\Program Files (x86)\AstroGrep\AstroGrep.exe" /e /r /s /spath="%USERPROFILE%\AppData\Local\Temp\OnboardLogs" /stypes="app*4020*20171010*" /stext=" 17:.+((SYSTEM_STATE.+slice.+state.+changed )|(ment ac)|(multiple cpu faults)|(system.+state.+changed )|(\[timeout)|(PRM\|1\|D)|(kpr)|(kdp)|(train st.+moving)|(\|lc)|(penalty))"</v>
      </c>
      <c r="AG73" s="182" t="str">
        <f t="shared" si="34"/>
        <v>EC</v>
      </c>
      <c r="AH73" s="78" t="str">
        <f t="shared" si="19"/>
        <v>"%USERPROFILE%\Documents\GitHub\eaglep3\Utilities\RefineRTDCRunTimes.py" --tripid 161-10 --locoid 4020 --swversion DE.1.0.9.0 --startMP 204:420 --initTime 2017-10-10T11:10:27 --startdatetime 2017-10-10T11:15:14 --delay 107 --endMP 204:233299 --enddatetime 2017-10-10T11:49:57 --enforcementcount 0 &gt;&gt;%USERPROFILE%\Documents\GitHub\eaglep3-reporting\EC\2017-10-10-refined-times.txt</v>
      </c>
      <c r="AI7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{"issue":{"subject":"","project_id":79,"tracker_id":40,"status_id":1,"priority_id":2,"assigned_to_id":338,"start_date":"2017-10-10","description":"","custom_fields":[{"id":1,"name":"Subdivision","value":"EC"},{"id":4,"name":"Milepost","value":"23.3299"},{"id":17,"name":"Train ID","value":"161-10"},{"id":16,"name":"Locomotive ID","value":"4020"},{"id":130,"name":"Impact","value":""},{"id":150,"name":"Time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4020 --day 2017-10-10</v>
      </c>
      <c r="AN7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-10T10:10:27-0600',mode:absolute,to:'2017-10-10T12:49:57-0600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4019</v>
      </c>
      <c r="C74" s="21" t="s">
        <v>194</v>
      </c>
      <c r="D74" s="21" t="s">
        <v>441</v>
      </c>
      <c r="E74" s="13">
        <v>43018.504733796297</v>
      </c>
      <c r="F74" s="13">
        <v>43018.508506944447</v>
      </c>
      <c r="G74" s="7">
        <v>161</v>
      </c>
      <c r="H74" s="21" t="s">
        <v>336</v>
      </c>
      <c r="I74" s="13">
        <v>43018.534884259258</v>
      </c>
      <c r="J74" s="7">
        <v>0</v>
      </c>
      <c r="K74" s="89" t="str">
        <f t="shared" si="25"/>
        <v>4019/4020</v>
      </c>
      <c r="L74" s="185" t="str">
        <f>VLOOKUP(A74,'Trips&amp;Operators'!$C$1:$G$99911,5,FALSE)</f>
        <v>BRUDER RICHARD</v>
      </c>
      <c r="M74" s="6">
        <f t="shared" si="26"/>
        <v>2.6377314810815733E-2</v>
      </c>
      <c r="N74" s="7">
        <f t="shared" si="35"/>
        <v>37.983333327574655</v>
      </c>
      <c r="O74" s="7"/>
      <c r="P74" s="7"/>
      <c r="Q74" s="22"/>
      <c r="R74" s="174"/>
      <c r="S74" s="221">
        <f t="shared" si="27"/>
        <v>1</v>
      </c>
      <c r="T74" s="174" t="str">
        <f t="shared" si="28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-10T11:06:49-0600',mode:absolute,to:'2017-10-10T13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04" t="str">
        <f>IF(AA74&lt;VLOOKUP(AG74,Variables!$AC$3:$AD$8,2,FALSE),"Y","N")</f>
        <v>N</v>
      </c>
      <c r="X74" s="204">
        <f t="shared" si="29"/>
        <v>1</v>
      </c>
      <c r="Y74" s="204">
        <f t="shared" si="30"/>
        <v>23.2986</v>
      </c>
      <c r="Z74" s="204">
        <f t="shared" si="31"/>
        <v>1.49E-2</v>
      </c>
      <c r="AA74" s="204">
        <f t="shared" si="32"/>
        <v>23.2837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33"/>
        <v>162</v>
      </c>
      <c r="AE74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74" s="74" t="str">
        <f t="shared" si="12"/>
        <v>"C:\Program Files (x86)\AstroGrep\AstroGrep.exe" /e /r /s /spath="%USERPROFILE%\AppData\Local\Temp\OnboardLogs" /stypes="app*4019*20171010*" /stext=" 18:.+((SYSTEM_STATE.+slice.+state.+changed )|(ment ac)|(multiple cpu faults)|(system.+state.+changed )|(\[timeout)|(PRM\|1\|D)|(kpr)|(kdp)|(train st.+moving)|(\|lc)|(penalty))"</v>
      </c>
      <c r="AG74" s="182" t="str">
        <f t="shared" si="34"/>
        <v>EC</v>
      </c>
      <c r="AH74" s="78" t="str">
        <f t="shared" si="19"/>
        <v>"%USERPROFILE%\Documents\GitHub\eaglep3\Utilities\RefineRTDCRunTimes.py" --tripid 162-10 --locoid 4019 --swversion DE.1.0.9.0 --startMP 204:232986 --initTime 2017-10-10T12:06:49 --startdatetime 2017-10-10T12:12:15 --delay 161 --endMP 204:149 --enddatetime 2017-10-10T12:50:14 --enforcementcount 0 &gt;&gt;%USERPROFILE%\Documents\GitHub\eaglep3-reporting\EC\2017-10-10-refined-times.txt</v>
      </c>
      <c r="AI7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ID","value":"162-10"},{"id":16,"name":"Locomotive ID","value":"4019"},{"id":130,"name":"Impact","value":""},{"id":150,"name":"Time of Event (Mountain Time)","value":"12:50:14"},{"id":151,"name":"Denver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4019 --day 2017-10-10</v>
      </c>
      <c r="AN7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-10T11:06:49-0600',mode:absolute,to:'2017-10-10T13:50:14-0600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721</v>
      </c>
      <c r="B75" s="7">
        <v>4052</v>
      </c>
      <c r="C75" s="21" t="s">
        <v>194</v>
      </c>
      <c r="D75" s="21" t="s">
        <v>334</v>
      </c>
      <c r="E75" s="13">
        <v>43018.473680555559</v>
      </c>
      <c r="F75" s="13">
        <v>43018.479398148149</v>
      </c>
      <c r="G75" s="7">
        <v>70</v>
      </c>
      <c r="H75" s="21" t="s">
        <v>881</v>
      </c>
      <c r="I75" s="13">
        <v>43018.504884259259</v>
      </c>
      <c r="J75" s="7">
        <v>0</v>
      </c>
      <c r="K75" s="89" t="str">
        <f t="shared" si="25"/>
        <v>4051/4052</v>
      </c>
      <c r="L75" s="185" t="str">
        <f>VLOOKUP(A75,'Trips&amp;Operators'!$C$1:$G$99911,5,FALSE)</f>
        <v>STEWART MICHAEL</v>
      </c>
      <c r="M75" s="6">
        <f t="shared" si="26"/>
        <v>2.548611110978527E-2</v>
      </c>
      <c r="N75" s="7">
        <f t="shared" si="35"/>
        <v>36.699999998090789</v>
      </c>
      <c r="O75" s="7"/>
      <c r="P75" s="7"/>
      <c r="Q75" s="22"/>
      <c r="R75" s="174"/>
      <c r="S75" s="221">
        <f t="shared" si="27"/>
        <v>1</v>
      </c>
      <c r="T75" s="174" t="str">
        <f t="shared" si="28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-10T10:22:06-0600',mode:absolute,to:'2017-10-10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5" s="204" t="str">
        <f>IF(AA75&lt;VLOOKUP(AG75,Variables!$AC$3:$AD$8,2,FALSE),"Y","N")</f>
        <v>N</v>
      </c>
      <c r="X75" s="204">
        <f t="shared" si="29"/>
        <v>1</v>
      </c>
      <c r="Y75" s="204">
        <f t="shared" si="30"/>
        <v>4.4600000000000001E-2</v>
      </c>
      <c r="Z75" s="204">
        <f t="shared" si="31"/>
        <v>23.328299999999999</v>
      </c>
      <c r="AA75" s="204">
        <f t="shared" si="32"/>
        <v>23.2837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33"/>
        <v>163</v>
      </c>
      <c r="AE75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75" s="74" t="str">
        <f t="shared" si="12"/>
        <v>"C:\Program Files (x86)\AstroGrep\AstroGrep.exe" /e /r /s /spath="%USERPROFILE%\AppData\Local\Temp\OnboardLogs" /stypes="app*4052*20171010*" /stext=" 18:.+((SYSTEM_STATE.+slice.+state.+changed )|(ment ac)|(multiple cpu faults)|(system.+state.+changed )|(\[timeout)|(PRM\|1\|D)|(kpr)|(kdp)|(train st.+moving)|(\|lc)|(penalty))"</v>
      </c>
      <c r="AG75" s="182" t="str">
        <f t="shared" si="34"/>
        <v>EC</v>
      </c>
      <c r="AH75" s="78" t="str">
        <f t="shared" si="19"/>
        <v>"%USERPROFILE%\Documents\GitHub\eaglep3\Utilities\RefineRTDCRunTimes.py" --tripid 163-10 --locoid 4052 --swversion DE.1.0.9.0 --startMP 204:446 --initTime 2017-10-10T11:22:06 --startdatetime 2017-10-10T11:30:20 --delay 70 --endMP 204:233283 --enddatetime 2017-10-10T12:07:02 --enforcementcount 0 &gt;&gt;%USERPROFILE%\Documents\GitHub\eaglep3-reporting\EC\2017-10-10-refined-times.txt</v>
      </c>
      <c r="AI7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{"issue":{"subject":"","project_id":79,"tracker_id":40,"status_id":1,"priority_id":2,"assigned_to_id":338,"start_date":"2017-10-10","description":"","custom_fields":[{"id":1,"name":"Subdivision","value":"EC"},{"id":4,"name":"Milepost","value":"23.3283"},{"id":17,"name":"Train ID","value":"163-10"},{"id":16,"name":"Locomotive ID","value":"4052"},{"id":130,"name":"Impact","value":""},{"id":150,"name":"Time of Event (Mountain Time)","value":"12:07:02"},{"id":151,"name":"Denver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4052 --day 2017-10-10</v>
      </c>
      <c r="AN7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-10T10:22:06-0600',mode:absolute,to:'2017-10-10T13:07:02-0600'))&amp;_a=(columns:!('Message%20ID',Summary),filters:!(),index:'emp_*',interval:auto,query:(query_string:(analyze_wildcard:!t,query:'%22rtdc.l.rtdc.4052%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601</v>
      </c>
      <c r="B76" s="7">
        <v>4051</v>
      </c>
      <c r="C76" s="21" t="s">
        <v>194</v>
      </c>
      <c r="D76" s="21" t="s">
        <v>888</v>
      </c>
      <c r="E76" s="13">
        <v>43018.515625</v>
      </c>
      <c r="F76" s="13">
        <v>43018.518946759257</v>
      </c>
      <c r="G76" s="7">
        <v>72</v>
      </c>
      <c r="H76" s="21" t="s">
        <v>889</v>
      </c>
      <c r="I76" s="13">
        <v>43018.546087962961</v>
      </c>
      <c r="J76" s="7">
        <v>0</v>
      </c>
      <c r="K76" s="89" t="str">
        <f t="shared" si="25"/>
        <v>4051/4052</v>
      </c>
      <c r="L76" s="185" t="str">
        <f>VLOOKUP(A76,'Trips&amp;Operators'!$C$1:$G$99911,5,FALSE)</f>
        <v>STEWART MICHAEL</v>
      </c>
      <c r="M76" s="6">
        <f t="shared" si="26"/>
        <v>2.7141203703649808E-2</v>
      </c>
      <c r="N76" s="7">
        <f t="shared" si="35"/>
        <v>39.083333333255723</v>
      </c>
      <c r="O76" s="7"/>
      <c r="P76" s="7"/>
      <c r="Q76" s="22"/>
      <c r="R76" s="174"/>
      <c r="S76" s="221">
        <f t="shared" si="27"/>
        <v>1</v>
      </c>
      <c r="T76" s="174" t="str">
        <f t="shared" si="28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-10T11:22:30-0600',mode:absolute,to:'2017-10-10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204" t="str">
        <f>IF(AA76&lt;VLOOKUP(AG76,Variables!$AC$3:$AD$8,2,FALSE),"Y","N")</f>
        <v>N</v>
      </c>
      <c r="X76" s="204">
        <f t="shared" si="29"/>
        <v>1</v>
      </c>
      <c r="Y76" s="204">
        <f t="shared" si="30"/>
        <v>23.296800000000001</v>
      </c>
      <c r="Z76" s="204">
        <f t="shared" si="31"/>
        <v>2.12E-2</v>
      </c>
      <c r="AA76" s="204">
        <f t="shared" si="32"/>
        <v>23.275600000000001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33"/>
        <v>164</v>
      </c>
      <c r="AE76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76" s="74" t="str">
        <f t="shared" si="12"/>
        <v>"C:\Program Files (x86)\AstroGrep\AstroGrep.exe" /e /r /s /spath="%USERPROFILE%\AppData\Local\Temp\OnboardLogs" /stypes="app*4051*20171010*" /stext=" 19:.+((SYSTEM_STATE.+slice.+state.+changed )|(ment ac)|(multiple cpu faults)|(system.+state.+changed )|(\[timeout)|(PRM\|1\|D)|(kpr)|(kdp)|(train st.+moving)|(\|lc)|(penalty))"</v>
      </c>
      <c r="AG76" s="182" t="str">
        <f t="shared" si="34"/>
        <v>EC</v>
      </c>
      <c r="AH76" s="78" t="str">
        <f t="shared" si="19"/>
        <v>"%USERPROFILE%\Documents\GitHub\eaglep3\Utilities\RefineRTDCRunTimes.py" --tripid 164-10 --locoid 4051 --swversion DE.1.0.9.0 --startMP 204:232968 --initTime 2017-10-10T12:22:30 --startdatetime 2017-10-10T12:27:17 --delay 72 --endMP 204:212 --enddatetime 2017-10-10T13:06:22 --enforcementcount 0 &gt;&gt;%USERPROFILE%\Documents\GitHub\eaglep3-reporting\EC\2017-10-10-refined-times.txt</v>
      </c>
      <c r="AI7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{"issue":{"subject":"","project_id":79,"tracker_id":40,"status_id":1,"priority_id":2,"assigned_to_id":338,"start_date":"2017-10-10","description":"","custom_fields":[{"id":1,"name":"Subdivision","value":"EC"},{"id":4,"name":"Milepost","value":"0.0212"},{"id":17,"name":"Train ID","value":"164-10"},{"id":16,"name":"Locomotive ID","value":"4051"},{"id":130,"name":"Impact","value":""},{"id":150,"name":"Time of Event (Mountain Time)","value":"13:06:22"},{"id":151,"name":"Denver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4051 --day 2017-10-10</v>
      </c>
      <c r="AN7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-10T11:22:30-0600',mode:absolute,to:'2017-10-10T14:06:22-0600'))&amp;_a=(columns:!('Message%20ID',Summary),filters:!(),index:'emp_*',interval:auto,query:(query_string:(analyze_wildcard:!t,query:'%22rtdc.l.rtdc.4051%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727</v>
      </c>
      <c r="B77" s="7">
        <v>4042</v>
      </c>
      <c r="C77" s="21" t="s">
        <v>194</v>
      </c>
      <c r="D77" s="21" t="s">
        <v>890</v>
      </c>
      <c r="E77" s="13">
        <v>43018.486018518517</v>
      </c>
      <c r="F77" s="13">
        <v>43018.48982638889</v>
      </c>
      <c r="G77" s="7">
        <v>71</v>
      </c>
      <c r="H77" s="21" t="s">
        <v>551</v>
      </c>
      <c r="I77" s="13">
        <v>43018.513611111113</v>
      </c>
      <c r="J77" s="7">
        <v>0</v>
      </c>
      <c r="K77" s="89" t="str">
        <f t="shared" ref="K77:K108" si="36">IF(ISEVEN(B77),(B77-1)&amp;"/"&amp;B77,B77&amp;"/"&amp;(B77+1))</f>
        <v>4041/4042</v>
      </c>
      <c r="L77" s="185" t="str">
        <f>VLOOKUP(A77,'Trips&amp;Operators'!$C$1:$G$99911,5,FALSE)</f>
        <v>LEVIN SCOTT</v>
      </c>
      <c r="M77" s="6">
        <f t="shared" ref="M77:M108" si="37">I77-F77</f>
        <v>2.3784722223354038E-2</v>
      </c>
      <c r="N77" s="7">
        <f t="shared" si="35"/>
        <v>34.250000001629815</v>
      </c>
      <c r="O77" s="7"/>
      <c r="P77" s="7"/>
      <c r="Q77" s="22"/>
      <c r="R77" s="174"/>
      <c r="S77" s="221">
        <f t="shared" ref="S77:S102" si="38">1/IF(AG77="EC",12,1)*SUM(U77:U77)</f>
        <v>1</v>
      </c>
      <c r="T77" s="174" t="str">
        <f t="shared" ref="T77:T108" si="39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-10T10:39:52-0600',mode:absolute,to:'2017-10-10T13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08" si="41">VALUE(LEFT(AD77,4))-VALUE(LEFT(AD76,4))</f>
        <v>1</v>
      </c>
      <c r="Y77" s="204">
        <f t="shared" ref="Y77:Y108" si="42">RIGHT(D77,LEN(D77)-4)/10000</f>
        <v>5.7299999999999997E-2</v>
      </c>
      <c r="Z77" s="204">
        <f t="shared" ref="Z77:Z108" si="43">RIGHT(H77,LEN(H77)-4)/10000</f>
        <v>23.334700000000002</v>
      </c>
      <c r="AA77" s="204">
        <f t="shared" ref="AA77:AA108" si="44">ABS(Z77-Y77)</f>
        <v>23.2774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08" si="45">VALUE(LEFT(A77,LEN(A77)-3))</f>
        <v>165</v>
      </c>
      <c r="AE77" s="77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77" s="74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/stypes="app*4042*20171010*" /stext=" 18:.+((SYSTEM_STATE.+slice.+state.+changed )|(ment ac)|(multiple cpu faults)|(system.+state.+changed )|(\[timeout)|(PRM\|1\|D)|(kpr)|(kdp)|(train st.+moving)|(\|lc)|(penalty))"</v>
      </c>
      <c r="AG77" s="182" t="str">
        <f t="shared" ref="AG77:AG108" si="48">DetSubdiv(A77)</f>
        <v>EC</v>
      </c>
      <c r="AH77" s="78" t="str">
        <f t="shared" ref="AH77:AH142" si="4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165-10 --locoid 4042 --swversion DE.1.0.9.0 --startMP 204:573 --initTime 2017-10-10T11:39:52 --startdatetime 2017-10-10T11:45:21 --delay 71 --endMP 204:233347 --enddatetime 2017-10-10T12:19:36 --enforcementcount 0 &gt;&gt;%USERPROFILE%\Documents\GitHub\eaglep3-reporting\EC\2017-10-10-refined-times.txt</v>
      </c>
      <c r="AI77" s="96" t="str">
        <f t="shared" ref="AI77:AI142" si="5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{"issue":{"subject":"","project_id":79,"tracker_id":40,"status_id":1,"priority_id":2,"assigned_to_id":338,"start_date":"2017-10-10","description":"","custom_fields":[{"id":1,"name":"Subdivision","value":"EC"},{"id":4,"name":"Milepost","value":"23.3347"},{"id":17,"name":"Train ID","value":"165-10"},{"id":16,"name":"Locomotive ID","value":"4042"},{"id":130,"name":"Impact","value":""},{"id":150,"name":"Time of Event (Mountain Time)","value":"12:19:36"},{"id":151,"name":"Denver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2" si="51">"start /low /b "&amp;dls3logs&amp;" --loco "&amp;B77&amp;" --day "&amp;TEXT(F77,"YYYY-MM-DD")</f>
        <v>start /low /b %USERPROFILE%\Documents\GitHub\eaglep3\Utilities\DownloadLogsFromS3.py --loco 4042 --day 2017-10-10</v>
      </c>
      <c r="AN77" s="151" t="str">
        <f t="shared" ref="AN77:AN142" si="5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2" si="5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-10T10:39:52-0600',mode:absolute,to:'2017-10-10T13:19:36-0600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600</v>
      </c>
      <c r="B78" s="7">
        <v>4041</v>
      </c>
      <c r="C78" s="21" t="s">
        <v>194</v>
      </c>
      <c r="D78" s="21" t="s">
        <v>561</v>
      </c>
      <c r="E78" s="13">
        <v>43018.521736111114</v>
      </c>
      <c r="F78" s="13">
        <v>43018.529513888891</v>
      </c>
      <c r="G78" s="7">
        <v>76</v>
      </c>
      <c r="H78" s="21" t="s">
        <v>355</v>
      </c>
      <c r="I78" s="13">
        <v>43018.557800925926</v>
      </c>
      <c r="J78" s="7">
        <v>0</v>
      </c>
      <c r="K78" s="89" t="str">
        <f t="shared" si="36"/>
        <v>4041/4042</v>
      </c>
      <c r="L78" s="185" t="str">
        <f>VLOOKUP(A78,'Trips&amp;Operators'!$C$1:$G$99911,5,FALSE)</f>
        <v>LEVIN SCOTT</v>
      </c>
      <c r="M78" s="6">
        <f t="shared" si="37"/>
        <v>2.8287037035624962E-2</v>
      </c>
      <c r="N78" s="7">
        <f t="shared" si="35"/>
        <v>40.733333331299946</v>
      </c>
      <c r="O78" s="7"/>
      <c r="P78" s="7"/>
      <c r="Q78" s="22"/>
      <c r="R78" s="174"/>
      <c r="S78" s="221">
        <f t="shared" si="38"/>
        <v>1</v>
      </c>
      <c r="T78" s="174" t="str">
        <f t="shared" si="39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0"/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41"/>
        <v>1</v>
      </c>
      <c r="Y78" s="204">
        <f t="shared" si="42"/>
        <v>23.300899999999999</v>
      </c>
      <c r="Z78" s="204">
        <f t="shared" si="43"/>
        <v>1.52E-2</v>
      </c>
      <c r="AA78" s="204">
        <f t="shared" si="44"/>
        <v>23.285699999999999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5"/>
        <v>166</v>
      </c>
      <c r="AE78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78" s="74" t="str">
        <f t="shared" si="47"/>
        <v>"C:\Program Files (x86)\AstroGrep\AstroGrep.exe" /e /r /s /spath="%USERPROFILE%\AppData\Local\Temp\OnboardLogs" /stypes="app*4041*20171010*" /stext=" 19:.+((SYSTEM_STATE.+slice.+state.+changed )|(ment ac)|(multiple cpu faults)|(system.+state.+changed )|(\[timeout)|(PRM\|1\|D)|(kpr)|(kdp)|(train st.+moving)|(\|lc)|(penalty))"</v>
      </c>
      <c r="AG78" s="182" t="str">
        <f t="shared" si="48"/>
        <v>EC</v>
      </c>
      <c r="AH78" s="78" t="str">
        <f t="shared" si="49"/>
        <v>"%USERPROFILE%\Documents\GitHub\eaglep3\Utilities\RefineRTDCRunTimes.py" --tripid 166-10 --locoid 4041 --swversion DE.1.0.9.0 --startMP 204:233009 --initTime 2017-10-10T12:31:18 --startdatetime 2017-10-10T12:42:30 --delay 76 --endMP 204:152 --enddatetime 2017-10-10T13:23:14 --enforcementcount 0 &gt;&gt;%USERPROFILE%\Documents\GitHub\eaglep3-reporting\EC\2017-10-10-refined-times.txt</v>
      </c>
      <c r="AI7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ID","value":"166-10"},{"id":16,"name":"Locomotive ID","value":"4041"},{"id":130,"name":"Impact","value":""},{"id":150,"name":"Time of Event (Mountain Time)","value":"13:23:14"},{"id":151,"name":"Denver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51"/>
        <v>start /low /b %USERPROFILE%\Documents\GitHub\eaglep3\Utilities\DownloadLogsFromS3.py --loco 4041 --day 2017-10-10</v>
      </c>
      <c r="AN7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53"/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730</v>
      </c>
      <c r="B79" s="7">
        <v>4050</v>
      </c>
      <c r="C79" s="21" t="s">
        <v>194</v>
      </c>
      <c r="D79" s="21" t="s">
        <v>396</v>
      </c>
      <c r="E79" s="13">
        <v>43018.496701388889</v>
      </c>
      <c r="F79" s="13">
        <v>43018.500185185185</v>
      </c>
      <c r="G79" s="7">
        <v>76</v>
      </c>
      <c r="H79" s="21" t="s">
        <v>891</v>
      </c>
      <c r="I79" s="13">
        <v>43018.525717592594</v>
      </c>
      <c r="J79" s="7">
        <v>0</v>
      </c>
      <c r="K79" s="89" t="str">
        <f t="shared" si="36"/>
        <v>4049/4050</v>
      </c>
      <c r="L79" s="185" t="str">
        <f>VLOOKUP(A79,'Trips&amp;Operators'!$C$1:$G$99911,5,FALSE)</f>
        <v>LEVERE CRAIG</v>
      </c>
      <c r="M79" s="6">
        <f t="shared" si="37"/>
        <v>2.5532407409627922E-2</v>
      </c>
      <c r="N79" s="7">
        <f t="shared" si="35"/>
        <v>36.766666669864208</v>
      </c>
      <c r="O79" s="7"/>
      <c r="P79" s="7"/>
      <c r="Q79" s="22"/>
      <c r="R79" s="174"/>
      <c r="S79" s="221">
        <f t="shared" si="38"/>
        <v>1</v>
      </c>
      <c r="T79" s="174" t="str">
        <f t="shared" si="39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0"/>
        <v>https://d0f6bd738d7f1b3e5a7ca70fe4ff75f0.us-east-1.aws.found.io/app/kibana#/discover/Steve-Slow-Train-Analysis-(2080s-and-2083s)?_g=(refreshInterval:(display:Off,pause:!f,section:0,value:0),time:(from:'2017-10-10T10:55:15-0600',mode:absolute,to:'2017-10-10T13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204" t="str">
        <f>IF(AA79&lt;VLOOKUP(AG79,Variables!$AC$3:$AD$8,2,FALSE),"Y","N")</f>
        <v>N</v>
      </c>
      <c r="X79" s="204">
        <f t="shared" si="41"/>
        <v>1</v>
      </c>
      <c r="Y79" s="204">
        <f t="shared" si="42"/>
        <v>4.6699999999999998E-2</v>
      </c>
      <c r="Z79" s="204">
        <f t="shared" si="43"/>
        <v>23.332100000000001</v>
      </c>
      <c r="AA79" s="204">
        <f t="shared" si="44"/>
        <v>23.285399999999999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5"/>
        <v>167</v>
      </c>
      <c r="AE79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79" s="74" t="str">
        <f t="shared" si="47"/>
        <v>"C:\Program Files (x86)\AstroGrep\AstroGrep.exe" /e /r /s /spath="%USERPROFILE%\AppData\Local\Temp\OnboardLogs" /stypes="app*4050*20171010*" /stext=" 18:.+((SYSTEM_STATE.+slice.+state.+changed )|(ment ac)|(multiple cpu faults)|(system.+state.+changed )|(\[timeout)|(PRM\|1\|D)|(kpr)|(kdp)|(train st.+moving)|(\|lc)|(penalty))"</v>
      </c>
      <c r="AG79" s="182" t="str">
        <f t="shared" si="48"/>
        <v>EC</v>
      </c>
      <c r="AH79" s="78" t="str">
        <f t="shared" si="49"/>
        <v>"%USERPROFILE%\Documents\GitHub\eaglep3\Utilities\RefineRTDCRunTimes.py" --tripid 167-10 --locoid 4050 --swversion DE.1.0.9.0 --startMP 204:467 --initTime 2017-10-10T11:55:15 --startdatetime 2017-10-10T12:00:16 --delay 76 --endMP 204:233321 --enddatetime 2017-10-10T12:37:02 --enforcementcount 0 &gt;&gt;%USERPROFILE%\Documents\GitHub\eaglep3-reporting\EC\2017-10-10-refined-times.txt</v>
      </c>
      <c r="AI7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{"issue":{"subject":"","project_id":79,"tracker_id":40,"status_id":1,"priority_id":2,"assigned_to_id":338,"start_date":"2017-10-10","description":"","custom_fields":[{"id":1,"name":"Subdivision","value":"EC"},{"id":4,"name":"Milepost","value":"23.3321"},{"id":17,"name":"Train ID","value":"167-10"},{"id":16,"name":"Locomotive ID","value":"4050"},{"id":130,"name":"Impact","value":""},{"id":150,"name":"Time of Event (Mountain Time)","value":"12:37:02"},{"id":151,"name":"Denver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51"/>
        <v>start /low /b %USERPROFILE%\Documents\GitHub\eaglep3\Utilities\DownloadLogsFromS3.py --loco 4050 --day 2017-10-10</v>
      </c>
      <c r="AN7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3"/>
        <v>https://d0f6bd738d7f1b3e5a7ca70fe4ff75f0.us-east-1.aws.found.io/app/kibana#/discover/Steve-Slow-Train-Analysis-(2080s-and-2083s)?_g=(refreshInterval:(display:Off,pause:!f,section:0,value:0),time:(from:'2017-10-10T10:55:15-0600',mode:absolute,to:'2017-10-10T13:37:02-0600'))&amp;_a=(columns:!('Message%20ID',Summary),filters:!(),index:'emp_*',interval:auto,query:(query_string:(analyze_wildcard:!t,query:'%22rtdc.l.rtdc.4050%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740</v>
      </c>
      <c r="B80" s="7">
        <v>4049</v>
      </c>
      <c r="C80" s="21" t="s">
        <v>194</v>
      </c>
      <c r="D80" s="21" t="s">
        <v>403</v>
      </c>
      <c r="E80" s="13">
        <v>43018.531817129631</v>
      </c>
      <c r="F80" s="13">
        <v>43018.539814814816</v>
      </c>
      <c r="G80" s="7">
        <v>107</v>
      </c>
      <c r="H80" s="21" t="s">
        <v>355</v>
      </c>
      <c r="I80" s="13">
        <v>43018.567164351851</v>
      </c>
      <c r="J80" s="7">
        <v>0</v>
      </c>
      <c r="K80" s="89" t="str">
        <f t="shared" si="36"/>
        <v>4049/4050</v>
      </c>
      <c r="L80" s="185" t="str">
        <f>VLOOKUP(A80,'Trips&amp;Operators'!$C$1:$G$99911,5,FALSE)</f>
        <v>LEVERE CRAIG</v>
      </c>
      <c r="M80" s="6">
        <f t="shared" si="37"/>
        <v>2.7349537034751847E-2</v>
      </c>
      <c r="N80" s="7">
        <f t="shared" si="35"/>
        <v>39.38333333004266</v>
      </c>
      <c r="O80" s="7"/>
      <c r="P80" s="7"/>
      <c r="Q80" s="22"/>
      <c r="R80" s="174"/>
      <c r="S80" s="221">
        <f t="shared" si="38"/>
        <v>1</v>
      </c>
      <c r="T80" s="174" t="str">
        <f t="shared" si="39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0"/>
        <v>https://d0f6bd738d7f1b3e5a7ca70fe4ff75f0.us-east-1.aws.found.io/app/kibana#/discover/Steve-Slow-Train-Analysis-(2080s-and-2083s)?_g=(refreshInterval:(display:Off,pause:!f,section:0,value:0),time:(from:'2017-10-10T11:45:49-0600',mode:absolute,to:'2017-10-10T14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204" t="str">
        <f>IF(AA80&lt;VLOOKUP(AG80,Variables!$AC$3:$AD$8,2,FALSE),"Y","N")</f>
        <v>N</v>
      </c>
      <c r="X80" s="204">
        <f t="shared" si="41"/>
        <v>1</v>
      </c>
      <c r="Y80" s="204">
        <f t="shared" si="42"/>
        <v>23.301500000000001</v>
      </c>
      <c r="Z80" s="204">
        <f t="shared" si="43"/>
        <v>1.52E-2</v>
      </c>
      <c r="AA80" s="204">
        <f t="shared" si="44"/>
        <v>23.286300000000001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5"/>
        <v>168</v>
      </c>
      <c r="AE80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80" s="74" t="str">
        <f t="shared" si="47"/>
        <v>"C:\Program Files (x86)\AstroGrep\AstroGrep.exe" /e /r /s /spath="%USERPROFILE%\AppData\Local\Temp\OnboardLogs" /stypes="app*4049*20171010*" /stext=" 19:.+((SYSTEM_STATE.+slice.+state.+changed )|(ment ac)|(multiple cpu faults)|(system.+state.+changed )|(\[timeout)|(PRM\|1\|D)|(kpr)|(kdp)|(train st.+moving)|(\|lc)|(penalty))"</v>
      </c>
      <c r="AG80" s="182" t="str">
        <f t="shared" si="48"/>
        <v>EC</v>
      </c>
      <c r="AH80" s="78" t="str">
        <f t="shared" si="49"/>
        <v>"%USERPROFILE%\Documents\GitHub\eaglep3\Utilities\RefineRTDCRunTimes.py" --tripid 168-10 --locoid 4049 --swversion DE.1.0.9.0 --startMP 204:233015 --initTime 2017-10-10T12:45:49 --startdatetime 2017-10-10T12:57:20 --delay 107 --endMP 204:152 --enddatetime 2017-10-10T13:36:43 --enforcementcount 0 &gt;&gt;%USERPROFILE%\Documents\GitHub\eaglep3-reporting\EC\2017-10-10-refined-times.txt</v>
      </c>
      <c r="AI8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ID","value":"168-10"},{"id":16,"name":"Locomotive ID","value":"4049"},{"id":130,"name":"Impact","value":""},{"id":150,"name":"Time of Event (Mountain Time)","value":"13:36:43"},{"id":151,"name":"Denver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1"/>
        <v>start /low /b %USERPROFILE%\Documents\GitHub\eaglep3\Utilities\DownloadLogsFromS3.py --loco 4049 --day 2017-10-10</v>
      </c>
      <c r="AN8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3"/>
        <v>https://d0f6bd738d7f1b3e5a7ca70fe4ff75f0.us-east-1.aws.found.io/app/kibana#/discover/Steve-Slow-Train-Analysis-(2080s-and-2083s)?_g=(refreshInterval:(display:Off,pause:!f,section:0,value:0),time:(from:'2017-10-10T11:45:49-0600',mode:absolute,to:'2017-10-10T14:36:43-0600'))&amp;_a=(columns:!('Message%20ID',Summary),filters:!(),index:'emp_*',interval:auto,query:(query_string:(analyze_wildcard:!t,query:'%22rtdc.l.rtdc.4049%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735</v>
      </c>
      <c r="B81" s="7">
        <v>4056</v>
      </c>
      <c r="C81" s="21" t="s">
        <v>194</v>
      </c>
      <c r="D81" s="21" t="s">
        <v>376</v>
      </c>
      <c r="E81" s="13">
        <v>43018.504895833335</v>
      </c>
      <c r="F81" s="13">
        <v>43018.511261574073</v>
      </c>
      <c r="G81" s="7">
        <v>193</v>
      </c>
      <c r="H81" s="21" t="s">
        <v>892</v>
      </c>
      <c r="I81" s="13">
        <v>43018.535416666666</v>
      </c>
      <c r="J81" s="7">
        <v>0</v>
      </c>
      <c r="K81" s="89" t="str">
        <f t="shared" si="36"/>
        <v>4055/4056</v>
      </c>
      <c r="L81" s="185" t="str">
        <f>VLOOKUP(A81,'Trips&amp;Operators'!$C$1:$G$99911,5,FALSE)</f>
        <v>SAFIEF AEIMEN</v>
      </c>
      <c r="M81" s="6">
        <f t="shared" si="37"/>
        <v>2.4155092592991423E-2</v>
      </c>
      <c r="N81" s="7">
        <f t="shared" si="35"/>
        <v>34.783333333907649</v>
      </c>
      <c r="O81" s="7"/>
      <c r="P81" s="7"/>
      <c r="Q81" s="22"/>
      <c r="R81" s="174"/>
      <c r="S81" s="221">
        <f t="shared" si="38"/>
        <v>1</v>
      </c>
      <c r="T81" s="174" t="str">
        <f t="shared" si="39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0"/>
        <v>https://d0f6bd738d7f1b3e5a7ca70fe4ff75f0.us-east-1.aws.found.io/app/kibana#/discover/Steve-Slow-Train-Analysis-(2080s-and-2083s)?_g=(refreshInterval:(display:Off,pause:!f,section:0,value:0),time:(from:'2017-10-10T11:07:03-0600',mode:absolute,to:'2017-10-10T13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04" t="str">
        <f>IF(AA81&lt;VLOOKUP(AG81,Variables!$AC$3:$AD$8,2,FALSE),"Y","N")</f>
        <v>N</v>
      </c>
      <c r="X81" s="204">
        <f t="shared" si="41"/>
        <v>1</v>
      </c>
      <c r="Y81" s="204">
        <f t="shared" si="42"/>
        <v>4.6600000000000003E-2</v>
      </c>
      <c r="Z81" s="204">
        <f t="shared" si="43"/>
        <v>23.333200000000001</v>
      </c>
      <c r="AA81" s="204">
        <f t="shared" si="44"/>
        <v>23.2866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5"/>
        <v>169</v>
      </c>
      <c r="AE81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81" s="74" t="str">
        <f t="shared" si="47"/>
        <v>"C:\Program Files (x86)\AstroGrep\AstroGrep.exe" /e /r /s /spath="%USERPROFILE%\AppData\Local\Temp\OnboardLogs" /stypes="app*4056*20171010*" /stext=" 18:.+((SYSTEM_STATE.+slice.+state.+changed )|(ment ac)|(multiple cpu faults)|(system.+state.+changed )|(\[timeout)|(PRM\|1\|D)|(kpr)|(kdp)|(train st.+moving)|(\|lc)|(penalty))"</v>
      </c>
      <c r="AG81" s="182" t="str">
        <f t="shared" si="48"/>
        <v>EC</v>
      </c>
      <c r="AH81" s="78" t="str">
        <f t="shared" si="49"/>
        <v>"%USERPROFILE%\Documents\GitHub\eaglep3\Utilities\RefineRTDCRunTimes.py" --tripid 169-10 --locoid 4056 --swversion DE.1.0.9.0 --startMP 204:466 --initTime 2017-10-10T12:07:03 --startdatetime 2017-10-10T12:16:13 --delay 193 --endMP 204:233332 --enddatetime 2017-10-10T12:51:00 --enforcementcount 0 &gt;&gt;%USERPROFILE%\Documents\GitHub\eaglep3-reporting\EC\2017-10-10-refined-times.txt</v>
      </c>
      <c r="AI8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{"issue":{"subject":"","project_id":79,"tracker_id":40,"status_id":1,"priority_id":2,"assigned_to_id":338,"start_date":"2017-10-10","description":"","custom_fields":[{"id":1,"name":"Subdivision","value":"EC"},{"id":4,"name":"Milepost","value":"23.3332"},{"id":17,"name":"Train ID","value":"169-10"},{"id":16,"name":"Locomotive ID","value":"4056"},{"id":130,"name":"Impact","value":""},{"id":150,"name":"Time of Event (Mountain Time)","value":"12:51:00"},{"id":151,"name":"Denver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1"/>
        <v>start /low /b %USERPROFILE%\Documents\GitHub\eaglep3\Utilities\DownloadLogsFromS3.py --loco 4056 --day 2017-10-10</v>
      </c>
      <c r="AN8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3"/>
        <v>https://d0f6bd738d7f1b3e5a7ca70fe4ff75f0.us-east-1.aws.found.io/app/kibana#/discover/Steve-Slow-Train-Analysis-(2080s-and-2083s)?_g=(refreshInterval:(display:Off,pause:!f,section:0,value:0),time:(from:'2017-10-10T11:07:03-0600',mode:absolute,to:'2017-10-10T13:51:00-0600'))&amp;_a=(columns:!('Message%20ID',Summary),filters:!(),index:'emp_*',interval:auto,query:(query_string:(analyze_wildcard:!t,query:'%22rtdc.l.rtdc.4056%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4055</v>
      </c>
      <c r="C82" s="21" t="s">
        <v>194</v>
      </c>
      <c r="D82" s="21" t="s">
        <v>561</v>
      </c>
      <c r="E82" s="13">
        <v>43018.539953703701</v>
      </c>
      <c r="F82" s="13">
        <v>43018.550243055557</v>
      </c>
      <c r="G82" s="7">
        <v>100</v>
      </c>
      <c r="H82" s="21" t="s">
        <v>367</v>
      </c>
      <c r="I82" s="13">
        <v>43018.576504629629</v>
      </c>
      <c r="J82" s="7">
        <v>0</v>
      </c>
      <c r="K82" s="89" t="str">
        <f t="shared" si="36"/>
        <v>4055/4056</v>
      </c>
      <c r="L82" s="185" t="str">
        <f>VLOOKUP(A82,'Trips&amp;Operators'!$C$1:$G$99911,5,FALSE)</f>
        <v>SAFIEF AEIMEN</v>
      </c>
      <c r="M82" s="6">
        <f t="shared" si="37"/>
        <v>2.626157407212304E-2</v>
      </c>
      <c r="N82" s="7">
        <f t="shared" si="35"/>
        <v>37.816666663857177</v>
      </c>
      <c r="O82" s="7"/>
      <c r="P82" s="7"/>
      <c r="Q82" s="22"/>
      <c r="R82" s="174"/>
      <c r="S82" s="221">
        <f t="shared" si="38"/>
        <v>1</v>
      </c>
      <c r="T82" s="174" t="str">
        <f t="shared" si="39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0"/>
        <v>https://d0f6bd738d7f1b3e5a7ca70fe4ff75f0.us-east-1.aws.found.io/app/kibana#/discover/Steve-Slow-Train-Analysis-(2080s-and-2083s)?_g=(refreshInterval:(display:Off,pause:!f,section:0,value:0),time:(from:'2017-10-10T11:57:32-0600',mode:absolute,to:'2017-10-10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04" t="str">
        <f>IF(AA82&lt;VLOOKUP(AG82,Variables!$AC$3:$AD$8,2,FALSE),"Y","N")</f>
        <v>N</v>
      </c>
      <c r="X82" s="204">
        <f t="shared" si="41"/>
        <v>1</v>
      </c>
      <c r="Y82" s="204">
        <f t="shared" si="42"/>
        <v>23.300899999999999</v>
      </c>
      <c r="Z82" s="204">
        <f t="shared" si="43"/>
        <v>1.3899999999999999E-2</v>
      </c>
      <c r="AA82" s="204">
        <f t="shared" si="44"/>
        <v>23.286999999999999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5"/>
        <v>170</v>
      </c>
      <c r="AE82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82" s="74" t="str">
        <f t="shared" si="47"/>
        <v>"C:\Program Files (x86)\AstroGrep\AstroGrep.exe" /e /r /s /spath="%USERPROFILE%\AppData\Local\Temp\OnboardLogs" /stypes="app*4055*20171010*" /stext=" 19:.+((SYSTEM_STATE.+slice.+state.+changed )|(ment ac)|(multiple cpu faults)|(system.+state.+changed )|(\[timeout)|(PRM\|1\|D)|(kpr)|(kdp)|(train st.+moving)|(\|lc)|(penalty))"</v>
      </c>
      <c r="AG82" s="182" t="str">
        <f t="shared" si="48"/>
        <v>EC</v>
      </c>
      <c r="AH82" s="78" t="str">
        <f t="shared" si="49"/>
        <v>"%USERPROFILE%\Documents\GitHub\eaglep3\Utilities\RefineRTDCRunTimes.py" --tripid 170-10 --locoid 4055 --swversion DE.1.0.9.0 --startMP 204:233009 --initTime 2017-10-10T12:57:32 --startdatetime 2017-10-10T13:12:21 --delay 100 --endMP 204:139 --enddatetime 2017-10-10T13:50:10 --enforcementcount 0 &gt;&gt;%USERPROFILE%\Documents\GitHub\eaglep3-reporting\EC\2017-10-10-refined-times.txt</v>
      </c>
      <c r="AI8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{"issue":{"subject":"","project_id":79,"tracker_id":40,"status_id":1,"priority_id":2,"assigned_to_id":338,"start_date":"2017-10-10","description":"","custom_fields":[{"id":1,"name":"Subdivision","value":"EC"},{"id":4,"name":"Milepost","value":"0.0139"},{"id":17,"name":"Train ID","value":"170-10"},{"id":16,"name":"Locomotive ID","value":"4055"},{"id":130,"name":"Impact","value":""},{"id":150,"name":"Time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1"/>
        <v>start /low /b %USERPROFILE%\Documents\GitHub\eaglep3\Utilities\DownloadLogsFromS3.py --loco 4055 --day 2017-10-10</v>
      </c>
      <c r="AN8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3"/>
        <v>https://d0f6bd738d7f1b3e5a7ca70fe4ff75f0.us-east-1.aws.found.io/app/kibana#/discover/Steve-Slow-Train-Analysis-(2080s-and-2083s)?_g=(refreshInterval:(display:Off,pause:!f,section:0,value:0),time:(from:'2017-10-10T11:57:32-0600',mode:absolute,to:'2017-10-10T14:50:10-0600'))&amp;_a=(columns:!('Message%20ID',Summary),filters:!(),index:'emp_*',interval:auto,query:(query_string:(analyze_wildcard:!t,query:'%22rtdc.l.rtdc.4055%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737</v>
      </c>
      <c r="B83" s="7">
        <v>4066</v>
      </c>
      <c r="C83" s="21" t="s">
        <v>194</v>
      </c>
      <c r="D83" s="21" t="s">
        <v>345</v>
      </c>
      <c r="E83" s="13">
        <v>43018.519479166665</v>
      </c>
      <c r="F83" s="13">
        <v>43018.521701388891</v>
      </c>
      <c r="G83" s="7">
        <v>59</v>
      </c>
      <c r="H83" s="21" t="s">
        <v>484</v>
      </c>
      <c r="I83" s="13">
        <v>43018.547662037039</v>
      </c>
      <c r="J83" s="7">
        <v>0</v>
      </c>
      <c r="K83" s="89" t="str">
        <f t="shared" si="36"/>
        <v>4065/4066</v>
      </c>
      <c r="L83" s="185" t="str">
        <f>VLOOKUP(A83,'Trips&amp;Operators'!$C$1:$G$99911,5,FALSE)</f>
        <v>DAVIS MICHAEL</v>
      </c>
      <c r="M83" s="6">
        <f t="shared" si="37"/>
        <v>2.5960648148611654E-2</v>
      </c>
      <c r="N83" s="7">
        <f t="shared" si="35"/>
        <v>37.383333334000781</v>
      </c>
      <c r="O83" s="7"/>
      <c r="P83" s="7"/>
      <c r="Q83" s="22"/>
      <c r="R83" s="174"/>
      <c r="S83" s="221">
        <f t="shared" si="38"/>
        <v>1</v>
      </c>
      <c r="T83" s="174" t="str">
        <f t="shared" si="39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0"/>
        <v>https://d0f6bd738d7f1b3e5a7ca70fe4ff75f0.us-east-1.aws.found.io/app/kibana#/discover/Steve-Slow-Train-Analysis-(2080s-and-2083s)?_g=(refreshInterval:(display:Off,pause:!f,section:0,value:0),time:(from:'2017-10-10T11:28:03-0600',mode:absolute,to:'2017-10-10T14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3" s="204" t="str">
        <f>IF(AA83&lt;VLOOKUP(AG83,Variables!$AC$3:$AD$8,2,FALSE),"Y","N")</f>
        <v>N</v>
      </c>
      <c r="X83" s="204">
        <f t="shared" si="41"/>
        <v>1</v>
      </c>
      <c r="Y83" s="204">
        <f t="shared" si="42"/>
        <v>4.5499999999999999E-2</v>
      </c>
      <c r="Z83" s="204">
        <f t="shared" si="43"/>
        <v>23.331399999999999</v>
      </c>
      <c r="AA83" s="204">
        <f t="shared" si="44"/>
        <v>23.285899999999998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5"/>
        <v>171</v>
      </c>
      <c r="AE83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83" s="74" t="str">
        <f t="shared" si="47"/>
        <v>"C:\Program Files (x86)\AstroGrep\AstroGrep.exe" /e /r /s /spath="%USERPROFILE%\AppData\Local\Temp\OnboardLogs" /stypes="app*4066*20171010*" /stext=" 19:.+((SYSTEM_STATE.+slice.+state.+changed )|(ment ac)|(multiple cpu faults)|(system.+state.+changed )|(\[timeout)|(PRM\|1\|D)|(kpr)|(kdp)|(train st.+moving)|(\|lc)|(penalty))"</v>
      </c>
      <c r="AG83" s="182" t="str">
        <f t="shared" si="48"/>
        <v>EC</v>
      </c>
      <c r="AH83" s="78" t="str">
        <f t="shared" si="49"/>
        <v>"%USERPROFILE%\Documents\GitHub\eaglep3\Utilities\RefineRTDCRunTimes.py" --tripid 171-10 --locoid 4066 --swversion DE.1.0.9.0 --startMP 204:455 --initTime 2017-10-10T12:28:03 --startdatetime 2017-10-10T12:31:15 --delay 59 --endMP 204:233314 --enddatetime 2017-10-10T13:08:38 --enforcementcount 0 &gt;&gt;%USERPROFILE%\Documents\GitHub\eaglep3-reporting\EC\2017-10-10-refined-times.txt</v>
      </c>
      <c r="AI8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ID","value":"171-10"},{"id":16,"name":"Locomotive ID","value":"4066"},{"id":130,"name":"Impact","value":""},{"id":150,"name":"Time of Event (Mountain Time)","value":"13:08:38"},{"id":151,"name":"Denver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1"/>
        <v>start /low /b %USERPROFILE%\Documents\GitHub\eaglep3\Utilities\DownloadLogsFromS3.py --loco 4066 --day 2017-10-10</v>
      </c>
      <c r="AN8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3"/>
        <v>https://d0f6bd738d7f1b3e5a7ca70fe4ff75f0.us-east-1.aws.found.io/app/kibana#/discover/Steve-Slow-Train-Analysis-(2080s-and-2083s)?_g=(refreshInterval:(display:Off,pause:!f,section:0,value:0),time:(from:'2017-10-10T11:28:03-0600',mode:absolute,to:'2017-10-10T14:08:38-0600'))&amp;_a=(columns:!('Message%20ID',Summary),filters:!(),index:'emp_*',interval:auto,query:(query_string:(analyze_wildcard:!t,query:'%22rtdc.l.rtdc.4066%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4065</v>
      </c>
      <c r="C84" s="21" t="s">
        <v>194</v>
      </c>
      <c r="D84" s="21" t="s">
        <v>893</v>
      </c>
      <c r="E84" s="13">
        <v>43018.558206018519</v>
      </c>
      <c r="F84" s="13">
        <v>43018.560949074075</v>
      </c>
      <c r="G84" s="7">
        <v>58</v>
      </c>
      <c r="H84" s="21" t="s">
        <v>339</v>
      </c>
      <c r="I84" s="13">
        <v>43018.588252314818</v>
      </c>
      <c r="J84" s="7">
        <v>0</v>
      </c>
      <c r="K84" s="89" t="str">
        <f t="shared" si="36"/>
        <v>4065/4066</v>
      </c>
      <c r="L84" s="185" t="str">
        <f>VLOOKUP(A84,'Trips&amp;Operators'!$C$1:$G$99911,5,FALSE)</f>
        <v>DAVIS MICHAEL</v>
      </c>
      <c r="M84" s="6">
        <f t="shared" si="37"/>
        <v>2.7303240742185153E-2</v>
      </c>
      <c r="N84" s="7">
        <f t="shared" si="35"/>
        <v>39.31666666874662</v>
      </c>
      <c r="O84" s="7"/>
      <c r="P84" s="7"/>
      <c r="Q84" s="22"/>
      <c r="R84" s="174"/>
      <c r="S84" s="221">
        <f t="shared" si="38"/>
        <v>1</v>
      </c>
      <c r="T84" s="174" t="str">
        <f t="shared" si="39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0"/>
        <v>https://d0f6bd738d7f1b3e5a7ca70fe4ff75f0.us-east-1.aws.found.io/app/kibana#/discover/Steve-Slow-Train-Analysis-(2080s-and-2083s)?_g=(refreshInterval:(display:Off,pause:!f,section:0,value:0),time:(from:'2017-10-10T12:23:49-0600',mode:absolute,to:'2017-10-10T15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4" s="204" t="str">
        <f>IF(AA84&lt;VLOOKUP(AG84,Variables!$AC$3:$AD$8,2,FALSE),"Y","N")</f>
        <v>N</v>
      </c>
      <c r="X84" s="204">
        <f t="shared" si="41"/>
        <v>1</v>
      </c>
      <c r="Y84" s="204">
        <f t="shared" si="42"/>
        <v>23.299800000000001</v>
      </c>
      <c r="Z84" s="204">
        <f t="shared" si="43"/>
        <v>1.47E-2</v>
      </c>
      <c r="AA84" s="204">
        <f t="shared" si="44"/>
        <v>23.2851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5"/>
        <v>172</v>
      </c>
      <c r="AE84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84" s="74" t="str">
        <f t="shared" si="47"/>
        <v>"C:\Program Files (x86)\AstroGrep\AstroGrep.exe" /e /r /s /spath="%USERPROFILE%\AppData\Local\Temp\OnboardLogs" /stypes="app*4065*20171010*" /stext=" 20:.+((SYSTEM_STATE.+slice.+state.+changed )|(ment ac)|(multiple cpu faults)|(system.+state.+changed )|(\[timeout)|(PRM\|1\|D)|(kpr)|(kdp)|(train st.+moving)|(\|lc)|(penalty))"</v>
      </c>
      <c r="AG84" s="182" t="str">
        <f t="shared" si="48"/>
        <v>EC</v>
      </c>
      <c r="AH84" s="78" t="str">
        <f t="shared" si="49"/>
        <v>"%USERPROFILE%\Documents\GitHub\eaglep3\Utilities\RefineRTDCRunTimes.py" --tripid 172-10 --locoid 4065 --swversion DE.1.0.9.0 --startMP 204:232998 --initTime 2017-10-10T13:23:49 --startdatetime 2017-10-10T13:27:46 --delay 58 --endMP 204:147 --enddatetime 2017-10-10T14:07:05 --enforcementcount 0 &gt;&gt;%USERPROFILE%\Documents\GitHub\eaglep3-reporting\EC\2017-10-10-refined-times.txt</v>
      </c>
      <c r="AI8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ID","value":"172-10"},{"id":16,"name":"Locomotive ID","value":"4065"},{"id":130,"name":"Impact","value":""},{"id":150,"name":"Time of Event (Mountain Time)","value":"14:07:05"},{"id":151,"name":"Denver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1"/>
        <v>start /low /b %USERPROFILE%\Documents\GitHub\eaglep3\Utilities\DownloadLogsFromS3.py --loco 4065 --day 2017-10-10</v>
      </c>
      <c r="AN8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3"/>
        <v>https://d0f6bd738d7f1b3e5a7ca70fe4ff75f0.us-east-1.aws.found.io/app/kibana#/discover/Steve-Slow-Train-Analysis-(2080s-and-2083s)?_g=(refreshInterval:(display:Off,pause:!f,section:0,value:0),time:(from:'2017-10-10T12:23:49-0600',mode:absolute,to:'2017-10-10T15:07:05-0600'))&amp;_a=(columns:!('Message%20ID',Summary),filters:!(),index:'emp_*',interval:auto,query:(query_string:(analyze_wildcard:!t,query:'%22rtdc.l.rtdc.4065%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738</v>
      </c>
      <c r="B85" s="7">
        <v>4054</v>
      </c>
      <c r="C85" s="21" t="s">
        <v>194</v>
      </c>
      <c r="D85" s="21" t="s">
        <v>354</v>
      </c>
      <c r="E85" s="13">
        <v>43018.527048611111</v>
      </c>
      <c r="F85" s="13">
        <v>43018.531539351854</v>
      </c>
      <c r="G85" s="7">
        <v>71</v>
      </c>
      <c r="H85" s="21" t="s">
        <v>894</v>
      </c>
      <c r="I85" s="13">
        <v>43018.556423611109</v>
      </c>
      <c r="J85" s="7">
        <v>0</v>
      </c>
      <c r="K85" s="89" t="str">
        <f t="shared" si="36"/>
        <v>4053/4054</v>
      </c>
      <c r="L85" s="185" t="str">
        <f>VLOOKUP(A85,'Trips&amp;Operators'!$C$1:$G$99911,5,FALSE)</f>
        <v>SMITH MICHAEL</v>
      </c>
      <c r="M85" s="6">
        <f t="shared" si="37"/>
        <v>2.488425925548654E-2</v>
      </c>
      <c r="N85" s="7">
        <f t="shared" si="35"/>
        <v>35.833333327900618</v>
      </c>
      <c r="O85" s="7"/>
      <c r="P85" s="7"/>
      <c r="Q85" s="22"/>
      <c r="R85" s="174"/>
      <c r="S85" s="221">
        <f t="shared" si="38"/>
        <v>1</v>
      </c>
      <c r="T85" s="174" t="str">
        <f t="shared" si="39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0"/>
        <v>https://d0f6bd738d7f1b3e5a7ca70fe4ff75f0.us-east-1.aws.found.io/app/kibana#/discover/Steve-Slow-Train-Analysis-(2080s-and-2083s)?_g=(refreshInterval:(display:Off,pause:!f,section:0,value:0),time:(from:'2017-10-10T11:38:57-0600',mode:absolute,to:'2017-10-10T14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204" t="str">
        <f>IF(AA85&lt;VLOOKUP(AG85,Variables!$AC$3:$AD$8,2,FALSE),"Y","N")</f>
        <v>N</v>
      </c>
      <c r="X85" s="204">
        <f t="shared" si="41"/>
        <v>1</v>
      </c>
      <c r="Y85" s="204">
        <f t="shared" si="42"/>
        <v>4.58E-2</v>
      </c>
      <c r="Z85" s="204">
        <f t="shared" si="43"/>
        <v>23.338899999999999</v>
      </c>
      <c r="AA85" s="204">
        <f t="shared" si="44"/>
        <v>23.293099999999999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5"/>
        <v>173</v>
      </c>
      <c r="AE85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85" s="74" t="str">
        <f t="shared" si="47"/>
        <v>"C:\Program Files (x86)\AstroGrep\AstroGrep.exe" /e /r /s /spath="%USERPROFILE%\AppData\Local\Temp\OnboardLogs" /stypes="app*4054*20171010*" /stext=" 19:.+((SYSTEM_STATE.+slice.+state.+changed )|(ment ac)|(multiple cpu faults)|(system.+state.+changed )|(\[timeout)|(PRM\|1\|D)|(kpr)|(kdp)|(train st.+moving)|(\|lc)|(penalty))"</v>
      </c>
      <c r="AG85" s="182" t="str">
        <f t="shared" si="48"/>
        <v>EC</v>
      </c>
      <c r="AH85" s="78" t="str">
        <f t="shared" si="49"/>
        <v>"%USERPROFILE%\Documents\GitHub\eaglep3\Utilities\RefineRTDCRunTimes.py" --tripid 173-10 --locoid 4054 --swversion DE.1.0.9.0 --startMP 204:458 --initTime 2017-10-10T12:38:57 --startdatetime 2017-10-10T12:45:25 --delay 71 --endMP 204:233389 --enddatetime 2017-10-10T13:21:15 --enforcementcount 0 &gt;&gt;%USERPROFILE%\Documents\GitHub\eaglep3-reporting\EC\2017-10-10-refined-times.txt</v>
      </c>
      <c r="AI8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{"issue":{"subject":"","project_id":79,"tracker_id":40,"status_id":1,"priority_id":2,"assigned_to_id":338,"start_date":"2017-10-10","description":"","custom_fields":[{"id":1,"name":"Subdivision","value":"EC"},{"id":4,"name":"Milepost","value":"23.3389"},{"id":17,"name":"Train ID","value":"173-10"},{"id":16,"name":"Locomotive ID","value":"4054"},{"id":130,"name":"Impact","value":""},{"id":150,"name":"Time of Event (Mountain Time)","value":"13:21:15"},{"id":151,"name":"Denver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1"/>
        <v>start /low /b %USERPROFILE%\Documents\GitHub\eaglep3\Utilities\DownloadLogsFromS3.py --loco 4054 --day 2017-10-10</v>
      </c>
      <c r="AN8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3"/>
        <v>https://d0f6bd738d7f1b3e5a7ca70fe4ff75f0.us-east-1.aws.found.io/app/kibana#/discover/Steve-Slow-Train-Analysis-(2080s-and-2083s)?_g=(refreshInterval:(display:Off,pause:!f,section:0,value:0),time:(from:'2017-10-10T11:38:57-0600',mode:absolute,to:'2017-10-10T14:21:15-0600'))&amp;_a=(columns:!('Message%20ID',Summary),filters:!(),index:'emp_*',interval:auto,query:(query_string:(analyze_wildcard:!t,query:'%22rtdc.l.rtdc.4054%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746</v>
      </c>
      <c r="B86" s="7">
        <v>4053</v>
      </c>
      <c r="C86" s="21" t="s">
        <v>194</v>
      </c>
      <c r="D86" s="21" t="s">
        <v>560</v>
      </c>
      <c r="E86" s="13">
        <v>43018.558321759258</v>
      </c>
      <c r="F86" s="13">
        <v>43018.571064814816</v>
      </c>
      <c r="G86" s="7">
        <v>85</v>
      </c>
      <c r="H86" s="21" t="s">
        <v>356</v>
      </c>
      <c r="I86" s="13">
        <v>43018.59784722222</v>
      </c>
      <c r="J86" s="7">
        <v>0</v>
      </c>
      <c r="K86" s="89" t="str">
        <f t="shared" si="36"/>
        <v>4053/4054</v>
      </c>
      <c r="L86" s="185" t="str">
        <f>VLOOKUP(A86,'Trips&amp;Operators'!$C$1:$G$99911,5,FALSE)</f>
        <v>SMITH MICHAEL</v>
      </c>
      <c r="M86" s="6">
        <f t="shared" si="37"/>
        <v>2.6782407403516117E-2</v>
      </c>
      <c r="N86" s="7">
        <f t="shared" si="35"/>
        <v>38.566666661063209</v>
      </c>
      <c r="O86" s="7"/>
      <c r="P86" s="7"/>
      <c r="Q86" s="22"/>
      <c r="R86" s="174"/>
      <c r="S86" s="221">
        <f t="shared" si="38"/>
        <v>1</v>
      </c>
      <c r="T86" s="174" t="str">
        <f t="shared" si="39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0"/>
        <v>https://d0f6bd738d7f1b3e5a7ca70fe4ff75f0.us-east-1.aws.found.io/app/kibana#/discover/Steve-Slow-Train-Analysis-(2080s-and-2083s)?_g=(refreshInterval:(display:Off,pause:!f,section:0,value:0),time:(from:'2017-10-10T12:23:59-0600',mode:absolute,to:'2017-10-10T15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204" t="str">
        <f>IF(AA86&lt;VLOOKUP(AG86,Variables!$AC$3:$AD$8,2,FALSE),"Y","N")</f>
        <v>N</v>
      </c>
      <c r="X86" s="204">
        <f t="shared" si="41"/>
        <v>1</v>
      </c>
      <c r="Y86" s="204">
        <f t="shared" si="42"/>
        <v>23.3096</v>
      </c>
      <c r="Z86" s="204">
        <f t="shared" si="43"/>
        <v>1.4500000000000001E-2</v>
      </c>
      <c r="AA86" s="204">
        <f t="shared" si="44"/>
        <v>23.295099999999998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5"/>
        <v>174</v>
      </c>
      <c r="AE86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86" s="74" t="str">
        <f t="shared" si="47"/>
        <v>"C:\Program Files (x86)\AstroGrep\AstroGrep.exe" /e /r /s /spath="%USERPROFILE%\AppData\Local\Temp\OnboardLogs" /stypes="app*4053*20171010*" /stext=" 20:.+((SYSTEM_STATE.+slice.+state.+changed )|(ment ac)|(multiple cpu faults)|(system.+state.+changed )|(\[timeout)|(PRM\|1\|D)|(kpr)|(kdp)|(train st.+moving)|(\|lc)|(penalty))"</v>
      </c>
      <c r="AG86" s="182" t="str">
        <f t="shared" si="48"/>
        <v>EC</v>
      </c>
      <c r="AH86" s="78" t="str">
        <f t="shared" si="49"/>
        <v>"%USERPROFILE%\Documents\GitHub\eaglep3\Utilities\RefineRTDCRunTimes.py" --tripid 174-10 --locoid 4053 --swversion DE.1.0.9.0 --startMP 204:233096 --initTime 2017-10-10T13:23:59 --startdatetime 2017-10-10T13:42:20 --delay 85 --endMP 204:145 --enddatetime 2017-10-10T14:20:54 --enforcementcount 0 &gt;&gt;%USERPROFILE%\Documents\GitHub\eaglep3-reporting\EC\2017-10-10-refined-times.txt</v>
      </c>
      <c r="AI8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ID","value":"174-10"},{"id":16,"name":"Locomotive ID","value":"4053"},{"id":130,"name":"Impact","value":""},{"id":150,"name":"Time of Event (Mountain Time)","value":"14:20:54"},{"id":151,"name":"Denver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1"/>
        <v>start /low /b %USERPROFILE%\Documents\GitHub\eaglep3\Utilities\DownloadLogsFromS3.py --loco 4053 --day 2017-10-10</v>
      </c>
      <c r="AN8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3"/>
        <v>https://d0f6bd738d7f1b3e5a7ca70fe4ff75f0.us-east-1.aws.found.io/app/kibana#/discover/Steve-Slow-Train-Analysis-(2080s-and-2083s)?_g=(refreshInterval:(display:Off,pause:!f,section:0,value:0),time:(from:'2017-10-10T12:23:59-0600',mode:absolute,to:'2017-10-10T15:20:54-0600'))&amp;_a=(columns:!('Message%20ID',Summary),filters:!(),index:'emp_*',interval:auto,query:(query_string:(analyze_wildcard:!t,query:'%22rtdc.l.rtdc.4053%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741</v>
      </c>
      <c r="B87" s="7">
        <v>4020</v>
      </c>
      <c r="C87" s="21" t="s">
        <v>194</v>
      </c>
      <c r="D87" s="21" t="s">
        <v>875</v>
      </c>
      <c r="E87" s="13">
        <v>43018.537152777775</v>
      </c>
      <c r="F87" s="13">
        <v>43018.541828703703</v>
      </c>
      <c r="G87" s="7">
        <v>76</v>
      </c>
      <c r="H87" s="21" t="s">
        <v>371</v>
      </c>
      <c r="I87" s="13">
        <v>43018.567048611112</v>
      </c>
      <c r="J87" s="7">
        <v>0</v>
      </c>
      <c r="K87" s="89" t="str">
        <f t="shared" si="36"/>
        <v>4019/4020</v>
      </c>
      <c r="L87" s="185" t="str">
        <f>VLOOKUP(A87,'Trips&amp;Operators'!$C$1:$G$99911,5,FALSE)</f>
        <v>BRUDER RICHARD</v>
      </c>
      <c r="M87" s="6">
        <f t="shared" si="37"/>
        <v>2.5219907409336884E-2</v>
      </c>
      <c r="N87" s="7">
        <f t="shared" si="35"/>
        <v>36.316666669445112</v>
      </c>
      <c r="O87" s="7"/>
      <c r="P87" s="7"/>
      <c r="Q87" s="22"/>
      <c r="R87" s="174"/>
      <c r="S87" s="221">
        <f t="shared" si="38"/>
        <v>1</v>
      </c>
      <c r="T87" s="174" t="str">
        <f t="shared" si="39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0"/>
        <v>https://d0f6bd738d7f1b3e5a7ca70fe4ff75f0.us-east-1.aws.found.io/app/kibana#/discover/Steve-Slow-Train-Analysis-(2080s-and-2083s)?_g=(refreshInterval:(display:Off,pause:!f,section:0,value:0),time:(from:'2017-10-10T11:53:30-0600',mode:absolute,to:'2017-10-10T14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04" t="str">
        <f>IF(AA87&lt;VLOOKUP(AG87,Variables!$AC$3:$AD$8,2,FALSE),"Y","N")</f>
        <v>N</v>
      </c>
      <c r="X87" s="204">
        <f t="shared" si="41"/>
        <v>1</v>
      </c>
      <c r="Y87" s="204">
        <f t="shared" si="42"/>
        <v>4.6199999999999998E-2</v>
      </c>
      <c r="Z87" s="204">
        <f t="shared" si="43"/>
        <v>23.331199999999999</v>
      </c>
      <c r="AA87" s="204">
        <f t="shared" si="44"/>
        <v>23.285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5"/>
        <v>175</v>
      </c>
      <c r="AE87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87" s="74" t="str">
        <f t="shared" si="47"/>
        <v>"C:\Program Files (x86)\AstroGrep\AstroGrep.exe" /e /r /s /spath="%USERPROFILE%\AppData\Local\Temp\OnboardLogs" /stypes="app*4020*20171010*" /stext=" 19:.+((SYSTEM_STATE.+slice.+state.+changed )|(ment ac)|(multiple cpu faults)|(system.+state.+changed )|(\[timeout)|(PRM\|1\|D)|(kpr)|(kdp)|(train st.+moving)|(\|lc)|(penalty))"</v>
      </c>
      <c r="AG87" s="182" t="str">
        <f t="shared" si="48"/>
        <v>EC</v>
      </c>
      <c r="AH87" s="78" t="str">
        <f t="shared" si="49"/>
        <v>"%USERPROFILE%\Documents\GitHub\eaglep3\Utilities\RefineRTDCRunTimes.py" --tripid 175-10 --locoid 4020 --swversion DE.1.0.9.0 --startMP 204:462 --initTime 2017-10-10T12:53:30 --startdatetime 2017-10-10T13:00:14 --delay 76 --endMP 204:233312 --enddatetime 2017-10-10T13:36:33 --enforcementcount 0 &gt;&gt;%USERPROFILE%\Documents\GitHub\eaglep3-reporting\EC\2017-10-10-refined-times.txt</v>
      </c>
      <c r="AI8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{"issue":{"subject":"","project_id":79,"tracker_id":40,"status_id":1,"priority_id":2,"assigned_to_id":338,"start_date":"2017-10-10","description":"","custom_fields":[{"id":1,"name":"Subdivision","value":"EC"},{"id":4,"name":"Milepost","value":"23.3312"},{"id":17,"name":"Train ID","value":"175-10"},{"id":16,"name":"Locomotive ID","value":"4020"},{"id":130,"name":"Impact","value":""},{"id":150,"name":"Time of Event (Mountain Time)","value":"13:36:33"},{"id":151,"name":"Denver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1"/>
        <v>start /low /b %USERPROFILE%\Documents\GitHub\eaglep3\Utilities\DownloadLogsFromS3.py --loco 4020 --day 2017-10-10</v>
      </c>
      <c r="AN8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3"/>
        <v>https://d0f6bd738d7f1b3e5a7ca70fe4ff75f0.us-east-1.aws.found.io/app/kibana#/discover/Steve-Slow-Train-Analysis-(2080s-and-2083s)?_g=(refreshInterval:(display:Off,pause:!f,section:0,value:0),time:(from:'2017-10-10T11:53:30-0600',mode:absolute,to:'2017-10-10T14:36:33-0600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750</v>
      </c>
      <c r="B88" s="7">
        <v>4019</v>
      </c>
      <c r="C88" s="21" t="s">
        <v>194</v>
      </c>
      <c r="D88" s="21" t="s">
        <v>563</v>
      </c>
      <c r="E88" s="13">
        <v>43018.578321759262</v>
      </c>
      <c r="F88" s="13">
        <v>43018.581550925926</v>
      </c>
      <c r="G88" s="7">
        <v>69</v>
      </c>
      <c r="H88" s="21" t="s">
        <v>413</v>
      </c>
      <c r="I88" s="13">
        <v>43018.607187499998</v>
      </c>
      <c r="J88" s="7">
        <v>0</v>
      </c>
      <c r="K88" s="89" t="str">
        <f t="shared" si="36"/>
        <v>4019/4020</v>
      </c>
      <c r="L88" s="185" t="str">
        <f>VLOOKUP(A88,'Trips&amp;Operators'!$C$1:$G$99911,5,FALSE)</f>
        <v>BRUDER RICHARD</v>
      </c>
      <c r="M88" s="6">
        <f t="shared" si="37"/>
        <v>2.5636574071540963E-2</v>
      </c>
      <c r="N88" s="7">
        <f t="shared" si="35"/>
        <v>36.916666663018987</v>
      </c>
      <c r="O88" s="7"/>
      <c r="P88" s="7"/>
      <c r="Q88" s="22"/>
      <c r="R88" s="174"/>
      <c r="S88" s="221">
        <f t="shared" si="38"/>
        <v>1</v>
      </c>
      <c r="T88" s="174" t="str">
        <f t="shared" si="39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0"/>
        <v>https://d0f6bd738d7f1b3e5a7ca70fe4ff75f0.us-east-1.aws.found.io/app/kibana#/discover/Steve-Slow-Train-Analysis-(2080s-and-2083s)?_g=(refreshInterval:(display:Off,pause:!f,section:0,value:0),time:(from:'2017-10-10T12:52:47-0600',mode:absolute,to:'2017-10-10T15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04" t="str">
        <f>IF(AA88&lt;VLOOKUP(AG88,Variables!$AC$3:$AD$8,2,FALSE),"Y","N")</f>
        <v>N</v>
      </c>
      <c r="X88" s="204">
        <f t="shared" si="41"/>
        <v>1</v>
      </c>
      <c r="Y88" s="204">
        <f t="shared" si="42"/>
        <v>23.299399999999999</v>
      </c>
      <c r="Z88" s="204">
        <f t="shared" si="43"/>
        <v>1.6E-2</v>
      </c>
      <c r="AA88" s="204">
        <f t="shared" si="44"/>
        <v>23.2834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5"/>
        <v>176</v>
      </c>
      <c r="AE88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88" s="74" t="str">
        <f t="shared" si="47"/>
        <v>"C:\Program Files (x86)\AstroGrep\AstroGrep.exe" /e /r /s /spath="%USERPROFILE%\AppData\Local\Temp\OnboardLogs" /stypes="app*4019*20171010*" /stext=" 20:.+((SYSTEM_STATE.+slice.+state.+changed )|(ment ac)|(multiple cpu faults)|(system.+state.+changed )|(\[timeout)|(PRM\|1\|D)|(kpr)|(kdp)|(train st.+moving)|(\|lc)|(penalty))"</v>
      </c>
      <c r="AG88" s="182" t="str">
        <f t="shared" si="48"/>
        <v>EC</v>
      </c>
      <c r="AH88" s="78" t="str">
        <f t="shared" si="49"/>
        <v>"%USERPROFILE%\Documents\GitHub\eaglep3\Utilities\RefineRTDCRunTimes.py" --tripid 176-10 --locoid 4019 --swversion DE.1.0.9.0 --startMP 204:232994 --initTime 2017-10-10T13:52:47 --startdatetime 2017-10-10T13:57:26 --delay 69 --endMP 204:160 --enddatetime 2017-10-10T14:34:21 --enforcementcount 0 &gt;&gt;%USERPROFILE%\Documents\GitHub\eaglep3-reporting\EC\2017-10-10-refined-times.txt</v>
      </c>
      <c r="AI8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{"issue":{"subject":"","project_id":79,"tracker_id":40,"status_id":1,"priority_id":2,"assigned_to_id":338,"start_date":"2017-10-10","description":"","custom_fields":[{"id":1,"name":"Subdivision","value":"EC"},{"id":4,"name":"Milepost","value":"0.016"},{"id":17,"name":"Train ID","value":"176-10"},{"id":16,"name":"Locomotive ID","value":"4019"},{"id":130,"name":"Impact","value":""},{"id":150,"name":"Time of Event (Mountain Time)","value":"14:34:21"},{"id":151,"name":"Denver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1"/>
        <v>start /low /b %USERPROFILE%\Documents\GitHub\eaglep3\Utilities\DownloadLogsFromS3.py --loco 4019 --day 2017-10-10</v>
      </c>
      <c r="AN8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3"/>
        <v>https://d0f6bd738d7f1b3e5a7ca70fe4ff75f0.us-east-1.aws.found.io/app/kibana#/discover/Steve-Slow-Train-Analysis-(2080s-and-2083s)?_g=(refreshInterval:(display:Off,pause:!f,section:0,value:0),time:(from:'2017-10-10T12:52:47-0600',mode:absolute,to:'2017-10-10T15:34:21-0600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744</v>
      </c>
      <c r="B89" s="7">
        <v>4052</v>
      </c>
      <c r="C89" s="21" t="s">
        <v>194</v>
      </c>
      <c r="D89" s="21" t="s">
        <v>895</v>
      </c>
      <c r="E89" s="13">
        <v>43018.548333333332</v>
      </c>
      <c r="F89" s="13">
        <v>43018.55228009259</v>
      </c>
      <c r="G89" s="7">
        <v>56</v>
      </c>
      <c r="H89" s="21" t="s">
        <v>485</v>
      </c>
      <c r="I89" s="13">
        <v>43018.576932870368</v>
      </c>
      <c r="J89" s="7">
        <v>0</v>
      </c>
      <c r="K89" s="89" t="str">
        <f t="shared" si="36"/>
        <v>4051/4052</v>
      </c>
      <c r="L89" s="185" t="str">
        <f>VLOOKUP(A89,'Trips&amp;Operators'!$C$1:$G$99911,5,FALSE)</f>
        <v>STEWART MICHAEL</v>
      </c>
      <c r="M89" s="6">
        <f t="shared" si="37"/>
        <v>2.4652777778101154E-2</v>
      </c>
      <c r="N89" s="7">
        <f t="shared" si="35"/>
        <v>35.500000000465661</v>
      </c>
      <c r="O89" s="7"/>
      <c r="P89" s="7"/>
      <c r="Q89" s="22"/>
      <c r="R89" s="174"/>
      <c r="S89" s="221">
        <f t="shared" si="38"/>
        <v>1</v>
      </c>
      <c r="T89" s="174" t="str">
        <f t="shared" si="39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0"/>
        <v>https://d0f6bd738d7f1b3e5a7ca70fe4ff75f0.us-east-1.aws.found.io/app/kibana#/discover/Steve-Slow-Train-Analysis-(2080s-and-2083s)?_g=(refreshInterval:(display:Off,pause:!f,section:0,value:0),time:(from:'2017-10-10T12:09:36-0600',mode:absolute,to:'2017-10-10T14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9" s="204" t="str">
        <f>IF(AA89&lt;VLOOKUP(AG89,Variables!$AC$3:$AD$8,2,FALSE),"Y","N")</f>
        <v>N</v>
      </c>
      <c r="X89" s="204">
        <f t="shared" si="41"/>
        <v>1</v>
      </c>
      <c r="Y89" s="204">
        <f t="shared" si="42"/>
        <v>5.2400000000000002E-2</v>
      </c>
      <c r="Z89" s="204">
        <f t="shared" si="43"/>
        <v>23.330500000000001</v>
      </c>
      <c r="AA89" s="204">
        <f t="shared" si="44"/>
        <v>23.278100000000002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5"/>
        <v>177</v>
      </c>
      <c r="AE89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89" s="74" t="str">
        <f t="shared" si="47"/>
        <v>"C:\Program Files (x86)\AstroGrep\AstroGrep.exe" /e /r /s /spath="%USERPROFILE%\AppData\Local\Temp\OnboardLogs" /stypes="app*4052*20171010*" /stext=" 19:.+((SYSTEM_STATE.+slice.+state.+changed )|(ment ac)|(multiple cpu faults)|(system.+state.+changed )|(\[timeout)|(PRM\|1\|D)|(kpr)|(kdp)|(train st.+moving)|(\|lc)|(penalty))"</v>
      </c>
      <c r="AG89" s="182" t="str">
        <f t="shared" si="48"/>
        <v>EC</v>
      </c>
      <c r="AH89" s="78" t="str">
        <f t="shared" si="49"/>
        <v>"%USERPROFILE%\Documents\GitHub\eaglep3\Utilities\RefineRTDCRunTimes.py" --tripid 177-10 --locoid 4052 --swversion DE.1.0.9.0 --startMP 204:524 --initTime 2017-10-10T13:09:36 --startdatetime 2017-10-10T13:15:17 --delay 56 --endMP 204:233305 --enddatetime 2017-10-10T13:50:47 --enforcementcount 0 &gt;&gt;%USERPROFILE%\Documents\GitHub\eaglep3-reporting\EC\2017-10-10-refined-times.txt</v>
      </c>
      <c r="AI8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{"issue":{"subject":"","project_id":79,"tracker_id":40,"status_id":1,"priority_id":2,"assigned_to_id":338,"start_date":"2017-10-10","description":"","custom_fields":[{"id":1,"name":"Subdivision","value":"EC"},{"id":4,"name":"Milepost","value":"23.3305"},{"id":17,"name":"Train ID","value":"177-10"},{"id":16,"name":"Locomotive ID","value":"4052"},{"id":130,"name":"Impact","value":""},{"id":150,"name":"Time of Event (Mountain Time)","value":"13:50:47"},{"id":151,"name":"Denver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1"/>
        <v>start /low /b %USERPROFILE%\Documents\GitHub\eaglep3\Utilities\DownloadLogsFromS3.py --loco 4052 --day 2017-10-10</v>
      </c>
      <c r="AN8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3"/>
        <v>https://d0f6bd738d7f1b3e5a7ca70fe4ff75f0.us-east-1.aws.found.io/app/kibana#/discover/Steve-Slow-Train-Analysis-(2080s-and-2083s)?_g=(refreshInterval:(display:Off,pause:!f,section:0,value:0),time:(from:'2017-10-10T12:09:36-0600',mode:absolute,to:'2017-10-10T14:50:47-0600'))&amp;_a=(columns:!('Message%20ID',Summary),filters:!(),index:'emp_*',interval:auto,query:(query_string:(analyze_wildcard:!t,query:'%22rtdc.l.rtdc.4052%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4051</v>
      </c>
      <c r="C90" s="21" t="s">
        <v>194</v>
      </c>
      <c r="D90" s="21" t="s">
        <v>508</v>
      </c>
      <c r="E90" s="13">
        <v>43018.588437500002</v>
      </c>
      <c r="F90" s="13">
        <v>43018.591886574075</v>
      </c>
      <c r="G90" s="7">
        <v>63</v>
      </c>
      <c r="H90" s="21" t="s">
        <v>358</v>
      </c>
      <c r="I90" s="13">
        <v>43018.619340277779</v>
      </c>
      <c r="J90" s="7">
        <v>0</v>
      </c>
      <c r="K90" s="89" t="str">
        <f t="shared" si="36"/>
        <v>4051/4052</v>
      </c>
      <c r="L90" s="185" t="str">
        <f>VLOOKUP(A90,'Trips&amp;Operators'!$C$1:$G$99911,5,FALSE)</f>
        <v>STEWART MICHAEL</v>
      </c>
      <c r="M90" s="6">
        <f t="shared" si="37"/>
        <v>2.7453703703940846E-2</v>
      </c>
      <c r="N90" s="7">
        <f t="shared" si="35"/>
        <v>39.533333333674818</v>
      </c>
      <c r="O90" s="7"/>
      <c r="P90" s="7"/>
      <c r="Q90" s="22"/>
      <c r="R90" s="174"/>
      <c r="S90" s="221">
        <f t="shared" si="38"/>
        <v>1</v>
      </c>
      <c r="T90" s="174" t="str">
        <f t="shared" si="39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0"/>
        <v>https://d0f6bd738d7f1b3e5a7ca70fe4ff75f0.us-east-1.aws.found.io/app/kibana#/discover/Steve-Slow-Train-Analysis-(2080s-and-2083s)?_g=(refreshInterval:(display:Off,pause:!f,section:0,value:0),time:(from:'2017-10-10T13:07:21-0600',mode:absolute,to:'2017-10-10T15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204" t="str">
        <f>IF(AA90&lt;VLOOKUP(AG90,Variables!$AC$3:$AD$8,2,FALSE),"Y","N")</f>
        <v>N</v>
      </c>
      <c r="X90" s="204">
        <f t="shared" si="41"/>
        <v>1</v>
      </c>
      <c r="Y90" s="204">
        <f t="shared" si="42"/>
        <v>23.2971</v>
      </c>
      <c r="Z90" s="204">
        <f t="shared" si="43"/>
        <v>1.5599999999999999E-2</v>
      </c>
      <c r="AA90" s="204">
        <f t="shared" si="44"/>
        <v>23.281500000000001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5"/>
        <v>178</v>
      </c>
      <c r="AE90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90" s="74" t="str">
        <f t="shared" si="47"/>
        <v>"C:\Program Files (x86)\AstroGrep\AstroGrep.exe" /e /r /s /spath="%USERPROFILE%\AppData\Local\Temp\OnboardLogs" /stypes="app*4051*20171010*" /stext=" 20:.+((SYSTEM_STATE.+slice.+state.+changed )|(ment ac)|(multiple cpu faults)|(system.+state.+changed )|(\[timeout)|(PRM\|1\|D)|(kpr)|(kdp)|(train st.+moving)|(\|lc)|(penalty))"</v>
      </c>
      <c r="AG90" s="182" t="str">
        <f t="shared" si="48"/>
        <v>EC</v>
      </c>
      <c r="AH90" s="78" t="str">
        <f t="shared" si="49"/>
        <v>"%USERPROFILE%\Documents\GitHub\eaglep3\Utilities\RefineRTDCRunTimes.py" --tripid 178-10 --locoid 4051 --swversion DE.1.0.9.0 --startMP 204:232971 --initTime 2017-10-10T14:07:21 --startdatetime 2017-10-10T14:12:19 --delay 63 --endMP 204:156 --enddatetime 2017-10-10T14:51:51 --enforcementcount 0 &gt;&gt;%USERPROFILE%\Documents\GitHub\eaglep3-reporting\EC\2017-10-10-refined-times.txt</v>
      </c>
      <c r="AI9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ID","value":"178-10"},{"id":16,"name":"Locomotive ID","value":"4051"},{"id":130,"name":"Impact","value":""},{"id":150,"name":"Time of Event (Mountain Time)","value":"14:51:51"},{"id":151,"name":"Denver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1"/>
        <v>start /low /b %USERPROFILE%\Documents\GitHub\eaglep3\Utilities\DownloadLogsFromS3.py --loco 4051 --day 2017-10-10</v>
      </c>
      <c r="AN9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3"/>
        <v>https://d0f6bd738d7f1b3e5a7ca70fe4ff75f0.us-east-1.aws.found.io/app/kibana#/discover/Steve-Slow-Train-Analysis-(2080s-and-2083s)?_g=(refreshInterval:(display:Off,pause:!f,section:0,value:0),time:(from:'2017-10-10T13:07:21-0600',mode:absolute,to:'2017-10-10T15:51:51-0600'))&amp;_a=(columns:!('Message%20ID',Summary),filters:!(),index:'emp_*',interval:auto,query:(query_string:(analyze_wildcard:!t,query:'%22rtdc.l.rtdc.4051%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747</v>
      </c>
      <c r="B91" s="7">
        <v>4042</v>
      </c>
      <c r="C91" s="21" t="s">
        <v>194</v>
      </c>
      <c r="D91" s="21" t="s">
        <v>354</v>
      </c>
      <c r="E91" s="13">
        <v>43018.560624999998</v>
      </c>
      <c r="F91" s="13">
        <v>43018.562673611108</v>
      </c>
      <c r="G91" s="7">
        <v>52</v>
      </c>
      <c r="H91" s="21" t="s">
        <v>896</v>
      </c>
      <c r="I91" s="13">
        <v>43018.587372685186</v>
      </c>
      <c r="J91" s="7">
        <v>0</v>
      </c>
      <c r="K91" s="89" t="str">
        <f t="shared" si="36"/>
        <v>4041/4042</v>
      </c>
      <c r="L91" s="185" t="str">
        <f>VLOOKUP(A91,'Trips&amp;Operators'!$C$1:$G$99911,5,FALSE)</f>
        <v>LEVIN SCOTT</v>
      </c>
      <c r="M91" s="6">
        <f t="shared" si="37"/>
        <v>2.4699074077943806E-2</v>
      </c>
      <c r="N91" s="7">
        <f t="shared" si="35"/>
        <v>35.56666667223908</v>
      </c>
      <c r="O91" s="7"/>
      <c r="P91" s="7"/>
      <c r="Q91" s="22"/>
      <c r="R91" s="174"/>
      <c r="S91" s="221">
        <f t="shared" si="38"/>
        <v>1</v>
      </c>
      <c r="T91" s="174" t="str">
        <f t="shared" si="39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0"/>
        <v>https://d0f6bd738d7f1b3e5a7ca70fe4ff75f0.us-east-1.aws.found.io/app/kibana#/discover/Steve-Slow-Train-Analysis-(2080s-and-2083s)?_g=(refreshInterval:(display:Off,pause:!f,section:0,value:0),time:(from:'2017-10-10T12:27:18-0600',mode:absolute,to:'2017-10-10T15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>IF(AA91&lt;VLOOKUP(AG91,Variables!$AC$3:$AD$8,2,FALSE),"Y","N")</f>
        <v>N</v>
      </c>
      <c r="X91" s="204">
        <f t="shared" si="41"/>
        <v>1</v>
      </c>
      <c r="Y91" s="204">
        <f t="shared" si="42"/>
        <v>4.58E-2</v>
      </c>
      <c r="Z91" s="204">
        <f t="shared" si="43"/>
        <v>23.333400000000001</v>
      </c>
      <c r="AA91" s="204">
        <f t="shared" si="44"/>
        <v>23.287600000000001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5"/>
        <v>179</v>
      </c>
      <c r="AE91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91" s="74" t="str">
        <f t="shared" si="47"/>
        <v>"C:\Program Files (x86)\AstroGrep\AstroGrep.exe" /e /r /s /spath="%USERPROFILE%\AppData\Local\Temp\OnboardLogs" /stypes="app*4042*20171010*" /stext=" 20:.+((SYSTEM_STATE.+slice.+state.+changed )|(ment ac)|(multiple cpu faults)|(system.+state.+changed )|(\[timeout)|(PRM\|1\|D)|(kpr)|(kdp)|(train st.+moving)|(\|lc)|(penalty))"</v>
      </c>
      <c r="AG91" s="182" t="str">
        <f t="shared" si="48"/>
        <v>EC</v>
      </c>
      <c r="AH91" s="78" t="str">
        <f t="shared" si="49"/>
        <v>"%USERPROFILE%\Documents\GitHub\eaglep3\Utilities\RefineRTDCRunTimes.py" --tripid 179-10 --locoid 4042 --swversion DE.1.0.9.0 --startMP 204:458 --initTime 2017-10-10T13:27:18 --startdatetime 2017-10-10T13:30:15 --delay 52 --endMP 204:233334 --enddatetime 2017-10-10T14:05:49 --enforcementcount 0 &gt;&gt;%USERPROFILE%\Documents\GitHub\eaglep3-reporting\EC\2017-10-10-refined-times.txt</v>
      </c>
      <c r="AI9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{"issue":{"subject":"","project_id":79,"tracker_id":40,"status_id":1,"priority_id":2,"assigned_to_id":338,"start_date":"2017-10-10","description":"","custom_fields":[{"id":1,"name":"Subdivision","value":"EC"},{"id":4,"name":"Milepost","value":"23.3334"},{"id":17,"name":"Train ID","value":"179-10"},{"id":16,"name":"Locomotive ID","value":"4042"},{"id":130,"name":"Impact","value":""},{"id":150,"name":"Time of Event (Mountain Time)","value":"14:05:49"},{"id":151,"name":"Denver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1"/>
        <v>start /low /b %USERPROFILE%\Documents\GitHub\eaglep3\Utilities\DownloadLogsFromS3.py --loco 4042 --day 2017-10-10</v>
      </c>
      <c r="AN9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3"/>
        <v>https://d0f6bd738d7f1b3e5a7ca70fe4ff75f0.us-east-1.aws.found.io/app/kibana#/discover/Steve-Slow-Train-Analysis-(2080s-and-2083s)?_g=(refreshInterval:(display:Off,pause:!f,section:0,value:0),time:(from:'2017-10-10T12:27:18-0600',mode:absolute,to:'2017-10-10T15:05:49-0600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602</v>
      </c>
      <c r="B92" s="7">
        <v>4041</v>
      </c>
      <c r="C92" s="21" t="s">
        <v>194</v>
      </c>
      <c r="D92" s="21" t="s">
        <v>517</v>
      </c>
      <c r="E92" s="13">
        <v>43018.596932870372</v>
      </c>
      <c r="F92" s="13">
        <v>43018.602268518516</v>
      </c>
      <c r="G92" s="7">
        <v>51</v>
      </c>
      <c r="H92" s="21" t="s">
        <v>375</v>
      </c>
      <c r="I92" s="13">
        <v>43018.628912037035</v>
      </c>
      <c r="J92" s="7">
        <v>0</v>
      </c>
      <c r="K92" s="89" t="str">
        <f t="shared" si="36"/>
        <v>4041/4042</v>
      </c>
      <c r="L92" s="185" t="str">
        <f>VLOOKUP(A92,'Trips&amp;Operators'!$C$1:$G$99911,5,FALSE)</f>
        <v>LEVIN SCOTT</v>
      </c>
      <c r="M92" s="6">
        <f t="shared" si="37"/>
        <v>2.6643518518540077E-2</v>
      </c>
      <c r="N92" s="7">
        <f t="shared" si="35"/>
        <v>38.366666666697711</v>
      </c>
      <c r="O92" s="7"/>
      <c r="P92" s="7"/>
      <c r="Q92" s="22"/>
      <c r="R92" s="174"/>
      <c r="S92" s="221">
        <f t="shared" si="38"/>
        <v>1</v>
      </c>
      <c r="T92" s="174" t="str">
        <f t="shared" si="39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0"/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>IF(AA92&lt;VLOOKUP(AG92,Variables!$AC$3:$AD$8,2,FALSE),"Y","N")</f>
        <v>N</v>
      </c>
      <c r="X92" s="204">
        <f t="shared" si="41"/>
        <v>1</v>
      </c>
      <c r="Y92" s="204">
        <f t="shared" si="42"/>
        <v>23.302800000000001</v>
      </c>
      <c r="Z92" s="204">
        <f t="shared" si="43"/>
        <v>1.54E-2</v>
      </c>
      <c r="AA92" s="204">
        <f t="shared" si="44"/>
        <v>23.287400000000002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5"/>
        <v>180</v>
      </c>
      <c r="AE92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92" s="74" t="str">
        <f t="shared" si="47"/>
        <v>"C:\Program Files (x86)\AstroGrep\AstroGrep.exe" /e /r /s /spath="%USERPROFILE%\AppData\Local\Temp\OnboardLogs" /stypes="app*4041*20171010*" /stext=" 21:.+((SYSTEM_STATE.+slice.+state.+changed )|(ment ac)|(multiple cpu faults)|(system.+state.+changed )|(\[timeout)|(PRM\|1\|D)|(kpr)|(kdp)|(train st.+moving)|(\|lc)|(penalty))"</v>
      </c>
      <c r="AG92" s="182" t="str">
        <f t="shared" si="48"/>
        <v>EC</v>
      </c>
      <c r="AH92" s="78" t="str">
        <f t="shared" si="49"/>
        <v>"%USERPROFILE%\Documents\GitHub\eaglep3\Utilities\RefineRTDCRunTimes.py" --tripid 180-10 --locoid 4041 --swversion DE.1.0.9.0 --startMP 204:233028 --initTime 2017-10-10T14:19:35 --startdatetime 2017-10-10T14:27:16 --delay 51 --endMP 204:154 --enddatetime 2017-10-10T15:05:38 --enforcementcount 0 &gt;&gt;%USERPROFILE%\Documents\GitHub\eaglep3-reporting\EC\2017-10-10-refined-times.txt</v>
      </c>
      <c r="AI9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ID","value":"180-10"},{"id":16,"name":"Locomotive ID","value":"4041"},{"id":130,"name":"Impact","value":""},{"id":150,"name":"Time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51"/>
        <v>start /low /b %USERPROFILE%\Documents\GitHub\eaglep3\Utilities\DownloadLogsFromS3.py --loco 4041 --day 2017-10-10</v>
      </c>
      <c r="AN9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3"/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749</v>
      </c>
      <c r="B93" s="7">
        <v>4050</v>
      </c>
      <c r="C93" s="21" t="s">
        <v>194</v>
      </c>
      <c r="D93" s="21" t="s">
        <v>372</v>
      </c>
      <c r="E93" s="13">
        <v>43018.56962962963</v>
      </c>
      <c r="F93" s="13">
        <v>43018.573125000003</v>
      </c>
      <c r="G93" s="7">
        <v>68</v>
      </c>
      <c r="H93" s="21" t="s">
        <v>897</v>
      </c>
      <c r="I93" s="13">
        <v>43018.599282407406</v>
      </c>
      <c r="J93" s="7">
        <v>0</v>
      </c>
      <c r="K93" s="89" t="str">
        <f t="shared" si="36"/>
        <v>4049/4050</v>
      </c>
      <c r="L93" s="185" t="str">
        <f>VLOOKUP(A93,'Trips&amp;Operators'!$C$1:$G$99911,5,FALSE)</f>
        <v>MOSES BRADLEY</v>
      </c>
      <c r="M93" s="6">
        <f t="shared" si="37"/>
        <v>2.6157407402934041E-2</v>
      </c>
      <c r="N93" s="7">
        <f t="shared" si="35"/>
        <v>37.666666660225019</v>
      </c>
      <c r="O93" s="7"/>
      <c r="P93" s="7"/>
      <c r="Q93" s="22"/>
      <c r="R93" s="174"/>
      <c r="S93" s="221">
        <f t="shared" si="38"/>
        <v>1</v>
      </c>
      <c r="T93" s="174" t="str">
        <f t="shared" si="39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0"/>
        <v>https://d0f6bd738d7f1b3e5a7ca70fe4ff75f0.us-east-1.aws.found.io/app/kibana#/discover/Steve-Slow-Train-Analysis-(2080s-and-2083s)?_g=(refreshInterval:(display:Off,pause:!f,section:0,value:0),time:(from:'2017-10-10T12:40:16-0600',mode:absolute,to:'2017-10-10T15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204" t="str">
        <f>IF(AA93&lt;VLOOKUP(AG93,Variables!$AC$3:$AD$8,2,FALSE),"Y","N")</f>
        <v>N</v>
      </c>
      <c r="X93" s="204">
        <f t="shared" si="41"/>
        <v>1</v>
      </c>
      <c r="Y93" s="204">
        <f t="shared" si="42"/>
        <v>4.7100000000000003E-2</v>
      </c>
      <c r="Z93" s="204">
        <f t="shared" si="43"/>
        <v>23.3307</v>
      </c>
      <c r="AA93" s="204">
        <f t="shared" si="44"/>
        <v>23.2836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5"/>
        <v>181</v>
      </c>
      <c r="AE93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93" s="74" t="str">
        <f t="shared" si="47"/>
        <v>"C:\Program Files (x86)\AstroGrep\AstroGrep.exe" /e /r /s /spath="%USERPROFILE%\AppData\Local\Temp\OnboardLogs" /stypes="app*4050*20171010*" /stext=" 20:.+((SYSTEM_STATE.+slice.+state.+changed )|(ment ac)|(multiple cpu faults)|(system.+state.+changed )|(\[timeout)|(PRM\|1\|D)|(kpr)|(kdp)|(train st.+moving)|(\|lc)|(penalty))"</v>
      </c>
      <c r="AG93" s="182" t="str">
        <f t="shared" si="48"/>
        <v>EC</v>
      </c>
      <c r="AH93" s="78" t="str">
        <f t="shared" si="49"/>
        <v>"%USERPROFILE%\Documents\GitHub\eaglep3\Utilities\RefineRTDCRunTimes.py" --tripid 181-10 --locoid 4050 --swversion DE.1.0.9.0 --startMP 204:471 --initTime 2017-10-10T13:40:16 --startdatetime 2017-10-10T13:45:18 --delay 68 --endMP 204:233307 --enddatetime 2017-10-10T14:22:58 --enforcementcount 0 &gt;&gt;%USERPROFILE%\Documents\GitHub\eaglep3-reporting\EC\2017-10-10-refined-times.txt</v>
      </c>
      <c r="AI9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{"issue":{"subject":"","project_id":79,"tracker_id":40,"status_id":1,"priority_id":2,"assigned_to_id":338,"start_date":"2017-10-10","description":"","custom_fields":[{"id":1,"name":"Subdivision","value":"EC"},{"id":4,"name":"Milepost","value":"23.3307"},{"id":17,"name":"Train ID","value":"181-10"},{"id":16,"name":"Locomotive ID","value":"4050"},{"id":130,"name":"Impact","value":""},{"id":150,"name":"Time of Event (Mountain Time)","value":"14:22:58"},{"id":151,"name":"Denver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1"/>
        <v>start /low /b %USERPROFILE%\Documents\GitHub\eaglep3\Utilities\DownloadLogsFromS3.py --loco 4050 --day 2017-10-10</v>
      </c>
      <c r="AN9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3"/>
        <v>https://d0f6bd738d7f1b3e5a7ca70fe4ff75f0.us-east-1.aws.found.io/app/kibana#/discover/Steve-Slow-Train-Analysis-(2080s-and-2083s)?_g=(refreshInterval:(display:Off,pause:!f,section:0,value:0),time:(from:'2017-10-10T12:40:16-0600',mode:absolute,to:'2017-10-10T15:22:58-0600'))&amp;_a=(columns:!('Message%20ID',Summary),filters:!(),index:'emp_*',interval:auto,query:(query_string:(analyze_wildcard:!t,query:'%22rtdc.l.rtdc.4050%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757</v>
      </c>
      <c r="B94" s="7">
        <v>4049</v>
      </c>
      <c r="C94" s="21" t="s">
        <v>194</v>
      </c>
      <c r="D94" s="21" t="s">
        <v>556</v>
      </c>
      <c r="E94" s="13">
        <v>43018.608043981483</v>
      </c>
      <c r="F94" s="13">
        <v>43018.61273148148</v>
      </c>
      <c r="G94" s="7">
        <v>71</v>
      </c>
      <c r="H94" s="21" t="s">
        <v>335</v>
      </c>
      <c r="I94" s="13">
        <v>43018.640266203707</v>
      </c>
      <c r="J94" s="7">
        <v>0</v>
      </c>
      <c r="K94" s="89" t="str">
        <f t="shared" si="36"/>
        <v>4049/4050</v>
      </c>
      <c r="L94" s="185" t="str">
        <f>VLOOKUP(A94,'Trips&amp;Operators'!$C$1:$G$99911,5,FALSE)</f>
        <v>MOSES BRADLEY</v>
      </c>
      <c r="M94" s="6">
        <f t="shared" si="37"/>
        <v>2.7534722226846498E-2</v>
      </c>
      <c r="N94" s="7">
        <f t="shared" si="35"/>
        <v>39.650000006658956</v>
      </c>
      <c r="O94" s="7"/>
      <c r="P94" s="7"/>
      <c r="Q94" s="22"/>
      <c r="R94" s="174"/>
      <c r="S94" s="221">
        <f t="shared" si="38"/>
        <v>1</v>
      </c>
      <c r="T94" s="174" t="str">
        <f t="shared" si="39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0"/>
        <v>https://d0f6bd738d7f1b3e5a7ca70fe4ff75f0.us-east-1.aws.found.io/app/kibana#/discover/Steve-Slow-Train-Analysis-(2080s-and-2083s)?_g=(refreshInterval:(display:Off,pause:!f,section:0,value:0),time:(from:'2017-10-10T13:35:35-0600',mode:absolute,to:'2017-10-10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204" t="str">
        <f>IF(AA94&lt;VLOOKUP(AG94,Variables!$AC$3:$AD$8,2,FALSE),"Y","N")</f>
        <v>N</v>
      </c>
      <c r="X94" s="204">
        <f t="shared" si="41"/>
        <v>1</v>
      </c>
      <c r="Y94" s="204">
        <f t="shared" si="42"/>
        <v>23.298400000000001</v>
      </c>
      <c r="Z94" s="204">
        <f t="shared" si="43"/>
        <v>1.4999999999999999E-2</v>
      </c>
      <c r="AA94" s="204">
        <f t="shared" si="44"/>
        <v>23.2834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5"/>
        <v>182</v>
      </c>
      <c r="AE94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94" s="74" t="str">
        <f t="shared" si="47"/>
        <v>"C:\Program Files (x86)\AstroGrep\AstroGrep.exe" /e /r /s /spath="%USERPROFILE%\AppData\Local\Temp\OnboardLogs" /stypes="app*4049*20171010*" /stext=" 21:.+((SYSTEM_STATE.+slice.+state.+changed )|(ment ac)|(multiple cpu faults)|(system.+state.+changed )|(\[timeout)|(PRM\|1\|D)|(kpr)|(kdp)|(train st.+moving)|(\|lc)|(penalty))"</v>
      </c>
      <c r="AG94" s="182" t="str">
        <f t="shared" si="48"/>
        <v>EC</v>
      </c>
      <c r="AH94" s="78" t="str">
        <f t="shared" si="49"/>
        <v>"%USERPROFILE%\Documents\GitHub\eaglep3\Utilities\RefineRTDCRunTimes.py" --tripid 182-10 --locoid 4049 --swversion DE.1.0.9.0 --startMP 204:232984 --initTime 2017-10-10T14:35:35 --startdatetime 2017-10-10T14:42:20 --delay 71 --endMP 204:150 --enddatetime 2017-10-10T15:21:59 --enforcementcount 0 &gt;&gt;%USERPROFILE%\Documents\GitHub\eaglep3-reporting\EC\2017-10-10-refined-times.txt</v>
      </c>
      <c r="AI9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ID","value":"182-10"},{"id":16,"name":"Locomotive ID","value":"4049"},{"id":130,"name":"Impact","value":""},{"id":150,"name":"Time of Event (Mountain Time)","value":"15:21:59"},{"id":151,"name":"Denver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1"/>
        <v>start /low /b %USERPROFILE%\Documents\GitHub\eaglep3\Utilities\DownloadLogsFromS3.py --loco 4049 --day 2017-10-10</v>
      </c>
      <c r="AN9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3"/>
        <v>https://d0f6bd738d7f1b3e5a7ca70fe4ff75f0.us-east-1.aws.found.io/app/kibana#/discover/Steve-Slow-Train-Analysis-(2080s-and-2083s)?_g=(refreshInterval:(display:Off,pause:!f,section:0,value:0),time:(from:'2017-10-10T13:35:35-0600',mode:absolute,to:'2017-10-10T16:21:59-0600'))&amp;_a=(columns:!('Message%20ID',Summary),filters:!(),index:'emp_*',interval:auto,query:(query_string:(analyze_wildcard:!t,query:'%22rtdc.l.rtdc.4049%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751</v>
      </c>
      <c r="B95" s="7">
        <v>4056</v>
      </c>
      <c r="C95" s="21" t="s">
        <v>194</v>
      </c>
      <c r="D95" s="21" t="s">
        <v>363</v>
      </c>
      <c r="E95" s="13">
        <v>43018.578530092593</v>
      </c>
      <c r="F95" s="13">
        <v>43018.583518518521</v>
      </c>
      <c r="G95" s="7">
        <v>71</v>
      </c>
      <c r="H95" s="21" t="s">
        <v>898</v>
      </c>
      <c r="I95" s="13">
        <v>43018.607824074075</v>
      </c>
      <c r="J95" s="7">
        <v>0</v>
      </c>
      <c r="K95" s="89" t="str">
        <f t="shared" si="36"/>
        <v>4055/4056</v>
      </c>
      <c r="L95" s="185" t="str">
        <f>VLOOKUP(A95,'Trips&amp;Operators'!$C$1:$G$99911,5,FALSE)</f>
        <v>SAFIEF AEIMEN</v>
      </c>
      <c r="M95" s="6">
        <f t="shared" si="37"/>
        <v>2.4305555554747116E-2</v>
      </c>
      <c r="N95" s="7">
        <f t="shared" si="35"/>
        <v>34.999999998835847</v>
      </c>
      <c r="O95" s="7"/>
      <c r="P95" s="7"/>
      <c r="Q95" s="22"/>
      <c r="R95" s="174"/>
      <c r="S95" s="221">
        <f t="shared" si="38"/>
        <v>1</v>
      </c>
      <c r="T95" s="174" t="str">
        <f t="shared" si="39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0"/>
        <v>https://d0f6bd738d7f1b3e5a7ca70fe4ff75f0.us-east-1.aws.found.io/app/kibana#/discover/Steve-Slow-Train-Analysis-(2080s-and-2083s)?_g=(refreshInterval:(display:Off,pause:!f,section:0,value:0),time:(from:'2017-10-10T12:53:05-0600',mode:absolute,to:'2017-10-10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04" t="str">
        <f>IF(AA95&lt;VLOOKUP(AG95,Variables!$AC$3:$AD$8,2,FALSE),"Y","N")</f>
        <v>N</v>
      </c>
      <c r="X95" s="204">
        <f t="shared" si="41"/>
        <v>1</v>
      </c>
      <c r="Y95" s="204">
        <f t="shared" si="42"/>
        <v>4.5999999999999999E-2</v>
      </c>
      <c r="Z95" s="204">
        <f t="shared" si="43"/>
        <v>23.334599999999998</v>
      </c>
      <c r="AA95" s="204">
        <f t="shared" si="44"/>
        <v>23.288599999999999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5"/>
        <v>183</v>
      </c>
      <c r="AE95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95" s="74" t="str">
        <f t="shared" si="47"/>
        <v>"C:\Program Files (x86)\AstroGrep\AstroGrep.exe" /e /r /s /spath="%USERPROFILE%\AppData\Local\Temp\OnboardLogs" /stypes="app*4056*20171010*" /stext=" 20:.+((SYSTEM_STATE.+slice.+state.+changed )|(ment ac)|(multiple cpu faults)|(system.+state.+changed )|(\[timeout)|(PRM\|1\|D)|(kpr)|(kdp)|(train st.+moving)|(\|lc)|(penalty))"</v>
      </c>
      <c r="AG95" s="182" t="str">
        <f t="shared" si="48"/>
        <v>EC</v>
      </c>
      <c r="AH95" s="78" t="str">
        <f t="shared" si="49"/>
        <v>"%USERPROFILE%\Documents\GitHub\eaglep3\Utilities\RefineRTDCRunTimes.py" --tripid 183-10 --locoid 4056 --swversion DE.1.0.9.0 --startMP 204:460 --initTime 2017-10-10T13:53:05 --startdatetime 2017-10-10T14:00:16 --delay 71 --endMP 204:233346 --enddatetime 2017-10-10T14:35:16 --enforcementcount 0 &gt;&gt;%USERPROFILE%\Documents\GitHub\eaglep3-reporting\EC\2017-10-10-refined-times.txt</v>
      </c>
      <c r="AI9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{"issue":{"subject":"","project_id":79,"tracker_id":40,"status_id":1,"priority_id":2,"assigned_to_id":338,"start_date":"2017-10-10","description":"","custom_fields":[{"id":1,"name":"Subdivision","value":"EC"},{"id":4,"name":"Milepost","value":"23.3346"},{"id":17,"name":"Train ID","value":"183-10"},{"id":16,"name":"Locomotive ID","value":"4056"},{"id":130,"name":"Impact","value":""},{"id":150,"name":"Time of Event (Mountain Time)","value":"14:35:16"},{"id":151,"name":"Denver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1"/>
        <v>start /low /b %USERPROFILE%\Documents\GitHub\eaglep3\Utilities\DownloadLogsFromS3.py --loco 4056 --day 2017-10-10</v>
      </c>
      <c r="AN9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3"/>
        <v>https://d0f6bd738d7f1b3e5a7ca70fe4ff75f0.us-east-1.aws.found.io/app/kibana#/discover/Steve-Slow-Train-Analysis-(2080s-and-2083s)?_g=(refreshInterval:(display:Off,pause:!f,section:0,value:0),time:(from:'2017-10-10T12:53:05-0600',mode:absolute,to:'2017-10-10T15:35:16-0600'))&amp;_a=(columns:!('Message%20ID',Summary),filters:!(),index:'emp_*',interval:auto,query:(query_string:(analyze_wildcard:!t,query:'%22rtdc.l.rtdc.4056%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759</v>
      </c>
      <c r="B96" s="7">
        <v>4055</v>
      </c>
      <c r="C96" s="21" t="s">
        <v>194</v>
      </c>
      <c r="D96" s="21" t="s">
        <v>512</v>
      </c>
      <c r="E96" s="13">
        <v>43018.610254629632</v>
      </c>
      <c r="F96" s="13">
        <v>43018.623078703706</v>
      </c>
      <c r="G96" s="7">
        <v>130</v>
      </c>
      <c r="H96" s="21" t="s">
        <v>339</v>
      </c>
      <c r="I96" s="13">
        <v>43018.649201388886</v>
      </c>
      <c r="J96" s="7">
        <v>0</v>
      </c>
      <c r="K96" s="89" t="str">
        <f t="shared" si="36"/>
        <v>4055/4056</v>
      </c>
      <c r="L96" s="185" t="str">
        <f>VLOOKUP(A96,'Trips&amp;Operators'!$C$1:$G$99911,5,FALSE)</f>
        <v>SAFIEF AEIMEN</v>
      </c>
      <c r="M96" s="6">
        <f t="shared" si="37"/>
        <v>2.6122685179871041E-2</v>
      </c>
      <c r="N96" s="7">
        <f t="shared" si="35"/>
        <v>37.6166666590143</v>
      </c>
      <c r="O96" s="7"/>
      <c r="P96" s="7"/>
      <c r="Q96" s="22"/>
      <c r="R96" s="174"/>
      <c r="S96" s="221">
        <f t="shared" si="38"/>
        <v>1</v>
      </c>
      <c r="T96" s="174" t="str">
        <f t="shared" si="39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0"/>
        <v>https://d0f6bd738d7f1b3e5a7ca70fe4ff75f0.us-east-1.aws.found.io/app/kibana#/discover/Steve-Slow-Train-Analysis-(2080s-and-2083s)?_g=(refreshInterval:(display:Off,pause:!f,section:0,value:0),time:(from:'2017-10-10T13:38:46-0600',mode:absolute,to:'2017-10-10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04" t="str">
        <f>IF(AA96&lt;VLOOKUP(AG96,Variables!$AC$3:$AD$8,2,FALSE),"Y","N")</f>
        <v>N</v>
      </c>
      <c r="X96" s="204">
        <f t="shared" si="41"/>
        <v>1</v>
      </c>
      <c r="Y96" s="204">
        <f t="shared" si="42"/>
        <v>23.302299999999999</v>
      </c>
      <c r="Z96" s="204">
        <f t="shared" si="43"/>
        <v>1.47E-2</v>
      </c>
      <c r="AA96" s="204">
        <f t="shared" si="44"/>
        <v>23.287599999999998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5"/>
        <v>184</v>
      </c>
      <c r="AE96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96" s="74" t="str">
        <f t="shared" si="47"/>
        <v>"C:\Program Files (x86)\AstroGrep\AstroGrep.exe" /e /r /s /spath="%USERPROFILE%\AppData\Local\Temp\OnboardLogs" /stypes="app*4055*20171010*" /stext=" 21:.+((SYSTEM_STATE.+slice.+state.+changed )|(ment ac)|(multiple cpu faults)|(system.+state.+changed )|(\[timeout)|(PRM\|1\|D)|(kpr)|(kdp)|(train st.+moving)|(\|lc)|(penalty))"</v>
      </c>
      <c r="AG96" s="182" t="str">
        <f t="shared" si="48"/>
        <v>EC</v>
      </c>
      <c r="AH96" s="78" t="str">
        <f t="shared" si="49"/>
        <v>"%USERPROFILE%\Documents\GitHub\eaglep3\Utilities\RefineRTDCRunTimes.py" --tripid 184-10 --locoid 4055 --swversion DE.1.0.9.0 --startMP 204:233023 --initTime 2017-10-10T14:38:46 --startdatetime 2017-10-10T14:57:14 --delay 130 --endMP 204:147 --enddatetime 2017-10-10T15:34:51 --enforcementcount 0 &gt;&gt;%USERPROFILE%\Documents\GitHub\eaglep3-reporting\EC\2017-10-10-refined-times.txt</v>
      </c>
      <c r="AI9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ID","value":"184-10"},{"id":16,"name":"Locomotive ID","value":"4055"},{"id":130,"name":"Impact","value":""},{"id":150,"name":"Time of Event (Mountain Time)","value":"15:34:51"},{"id":151,"name":"Denver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1"/>
        <v>start /low /b %USERPROFILE%\Documents\GitHub\eaglep3\Utilities\DownloadLogsFromS3.py --loco 4055 --day 2017-10-10</v>
      </c>
      <c r="AN9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3"/>
        <v>https://d0f6bd738d7f1b3e5a7ca70fe4ff75f0.us-east-1.aws.found.io/app/kibana#/discover/Steve-Slow-Train-Analysis-(2080s-and-2083s)?_g=(refreshInterval:(display:Off,pause:!f,section:0,value:0),time:(from:'2017-10-10T13:38:46-0600',mode:absolute,to:'2017-10-10T16:34:51-0600'))&amp;_a=(columns:!('Message%20ID',Summary),filters:!(),index:'emp_*',interval:auto,query:(query_string:(analyze_wildcard:!t,query:'%22rtdc.l.rtdc.4055%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754</v>
      </c>
      <c r="B97" s="7">
        <v>4066</v>
      </c>
      <c r="C97" s="21" t="s">
        <v>194</v>
      </c>
      <c r="D97" s="21" t="s">
        <v>381</v>
      </c>
      <c r="E97" s="13">
        <v>43018.591099537036</v>
      </c>
      <c r="F97" s="13">
        <v>43018.594189814816</v>
      </c>
      <c r="G97" s="7">
        <v>66</v>
      </c>
      <c r="H97" s="21" t="s">
        <v>439</v>
      </c>
      <c r="I97" s="13">
        <v>43018.620752314811</v>
      </c>
      <c r="J97" s="7">
        <v>0</v>
      </c>
      <c r="K97" s="89" t="str">
        <f t="shared" si="36"/>
        <v>4065/4066</v>
      </c>
      <c r="L97" s="185" t="str">
        <f>VLOOKUP(A97,'Trips&amp;Operators'!$C$1:$G$99911,5,FALSE)</f>
        <v>DAVIS MICHAEL</v>
      </c>
      <c r="M97" s="6">
        <f t="shared" si="37"/>
        <v>2.6562499995634425E-2</v>
      </c>
      <c r="N97" s="7">
        <f t="shared" si="35"/>
        <v>38.249999993713573</v>
      </c>
      <c r="O97" s="7"/>
      <c r="P97" s="7"/>
      <c r="Q97" s="22"/>
      <c r="R97" s="174"/>
      <c r="S97" s="221">
        <f t="shared" si="38"/>
        <v>1</v>
      </c>
      <c r="T97" s="174" t="str">
        <f t="shared" si="39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0"/>
        <v>https://d0f6bd738d7f1b3e5a7ca70fe4ff75f0.us-east-1.aws.found.io/app/kibana#/discover/Steve-Slow-Train-Analysis-(2080s-and-2083s)?_g=(refreshInterval:(display:Off,pause:!f,section:0,value:0),time:(from:'2017-10-10T13:11:11-0600',mode:absolute,to:'2017-10-10T15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7" s="204" t="str">
        <f>IF(AA97&lt;VLOOKUP(AG97,Variables!$AC$3:$AD$8,2,FALSE),"Y","N")</f>
        <v>N</v>
      </c>
      <c r="X97" s="204">
        <f t="shared" si="41"/>
        <v>1</v>
      </c>
      <c r="Y97" s="204">
        <f t="shared" si="42"/>
        <v>4.5699999999999998E-2</v>
      </c>
      <c r="Z97" s="204">
        <f t="shared" si="43"/>
        <v>23.331800000000001</v>
      </c>
      <c r="AA97" s="204">
        <f t="shared" si="44"/>
        <v>23.286100000000001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5"/>
        <v>185</v>
      </c>
      <c r="AE97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97" s="74" t="str">
        <f t="shared" si="47"/>
        <v>"C:\Program Files (x86)\AstroGrep\AstroGrep.exe" /e /r /s /spath="%USERPROFILE%\AppData\Local\Temp\OnboardLogs" /stypes="app*4066*20171010*" /stext=" 20:.+((SYSTEM_STATE.+slice.+state.+changed )|(ment ac)|(multiple cpu faults)|(system.+state.+changed )|(\[timeout)|(PRM\|1\|D)|(kpr)|(kdp)|(train st.+moving)|(\|lc)|(penalty))"</v>
      </c>
      <c r="AG97" s="182" t="str">
        <f t="shared" si="48"/>
        <v>EC</v>
      </c>
      <c r="AH97" s="78" t="str">
        <f t="shared" si="49"/>
        <v>"%USERPROFILE%\Documents\GitHub\eaglep3\Utilities\RefineRTDCRunTimes.py" --tripid 185-10 --locoid 4066 --swversion DE.1.0.9.0 --startMP 204:457 --initTime 2017-10-10T14:11:11 --startdatetime 2017-10-10T14:15:38 --delay 66 --endMP 204:233318 --enddatetime 2017-10-10T14:53:53 --enforcementcount 0 &gt;&gt;%USERPROFILE%\Documents\GitHub\eaglep3-reporting\EC\2017-10-10-refined-times.txt</v>
      </c>
      <c r="AI9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{"issue":{"subject":"","project_id":79,"tracker_id":40,"status_id":1,"priority_id":2,"assigned_to_id":338,"start_date":"2017-10-10","description":"","custom_fields":[{"id":1,"name":"Subdivision","value":"EC"},{"id":4,"name":"Milepost","value":"23.3318"},{"id":17,"name":"Train ID","value":"185-10"},{"id":16,"name":"Locomotive ID","value":"4066"},{"id":130,"name":"Impact","value":""},{"id":150,"name":"Time of Event (Mountain Time)","value":"14:53:53"},{"id":151,"name":"Denver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1"/>
        <v>start /low /b %USERPROFILE%\Documents\GitHub\eaglep3\Utilities\DownloadLogsFromS3.py --loco 4066 --day 2017-10-10</v>
      </c>
      <c r="AN9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3"/>
        <v>https://d0f6bd738d7f1b3e5a7ca70fe4ff75f0.us-east-1.aws.found.io/app/kibana#/discover/Steve-Slow-Train-Analysis-(2080s-and-2083s)?_g=(refreshInterval:(display:Off,pause:!f,section:0,value:0),time:(from:'2017-10-10T13:11:11-0600',mode:absolute,to:'2017-10-10T15:53:53-0600'))&amp;_a=(columns:!('Message%20ID',Summary),filters:!(),index:'emp_*',interval:auto,query:(query_string:(analyze_wildcard:!t,query:'%22rtdc.l.rtdc.4066%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4065</v>
      </c>
      <c r="C98" s="21" t="s">
        <v>194</v>
      </c>
      <c r="D98" s="21" t="s">
        <v>481</v>
      </c>
      <c r="E98" s="13">
        <v>43018.631064814814</v>
      </c>
      <c r="F98" s="13">
        <v>43018.633784722224</v>
      </c>
      <c r="G98" s="7">
        <v>61</v>
      </c>
      <c r="H98" s="21" t="s">
        <v>337</v>
      </c>
      <c r="I98" s="13">
        <v>43018.662731481483</v>
      </c>
      <c r="J98" s="7">
        <v>0</v>
      </c>
      <c r="K98" s="89" t="str">
        <f t="shared" si="36"/>
        <v>4065/4066</v>
      </c>
      <c r="L98" s="185" t="str">
        <f>VLOOKUP(A98,'Trips&amp;Operators'!$C$1:$G$99911,5,FALSE)</f>
        <v>DAVIS MICHAEL</v>
      </c>
      <c r="M98" s="6">
        <f t="shared" si="37"/>
        <v>2.8946759259270038E-2</v>
      </c>
      <c r="N98" s="7">
        <f t="shared" si="35"/>
        <v>41.683333333348855</v>
      </c>
      <c r="O98" s="7"/>
      <c r="P98" s="7"/>
      <c r="Q98" s="22"/>
      <c r="R98" s="174"/>
      <c r="S98" s="221">
        <f t="shared" si="38"/>
        <v>1</v>
      </c>
      <c r="T98" s="174" t="str">
        <f t="shared" si="39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0"/>
        <v>https://d0f6bd738d7f1b3e5a7ca70fe4ff75f0.us-east-1.aws.found.io/app/kibana#/discover/Steve-Slow-Train-Analysis-(2080s-and-2083s)?_g=(refreshInterval:(display:Off,pause:!f,section:0,value:0),time:(from:'2017-10-10T14:08:44-0600',mode:absolute,to:'2017-10-10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8" s="204" t="str">
        <f>IF(AA98&lt;VLOOKUP(AG98,Variables!$AC$3:$AD$8,2,FALSE),"Y","N")</f>
        <v>N</v>
      </c>
      <c r="X98" s="204">
        <f t="shared" si="41"/>
        <v>1</v>
      </c>
      <c r="Y98" s="204">
        <f t="shared" si="42"/>
        <v>23.3017</v>
      </c>
      <c r="Z98" s="204">
        <f t="shared" si="43"/>
        <v>1.43E-2</v>
      </c>
      <c r="AA98" s="204">
        <f t="shared" si="44"/>
        <v>23.287400000000002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5"/>
        <v>186</v>
      </c>
      <c r="AE98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98" s="74" t="str">
        <f t="shared" si="47"/>
        <v>"C:\Program Files (x86)\AstroGrep\AstroGrep.exe" /e /r /s /spath="%USERPROFILE%\AppData\Local\Temp\OnboardLogs" /stypes="app*4065*20171010*" /stext=" 21:.+((SYSTEM_STATE.+slice.+state.+changed )|(ment ac)|(multiple cpu faults)|(system.+state.+changed )|(\[timeout)|(PRM\|1\|D)|(kpr)|(kdp)|(train st.+moving)|(\|lc)|(penalty))"</v>
      </c>
      <c r="AG98" s="182" t="str">
        <f t="shared" si="48"/>
        <v>EC</v>
      </c>
      <c r="AH98" s="78" t="str">
        <f t="shared" si="49"/>
        <v>"%USERPROFILE%\Documents\GitHub\eaglep3\Utilities\RefineRTDCRunTimes.py" --tripid 186-10 --locoid 4065 --swversion DE.1.0.9.0 --startMP 204:233017 --initTime 2017-10-10T15:08:44 --startdatetime 2017-10-10T15:12:39 --delay 61 --endMP 204:143 --enddatetime 2017-10-10T15:54:20 --enforcementcount 0 &gt;&gt;%USERPROFILE%\Documents\GitHub\eaglep3-reporting\EC\2017-10-10-refined-times.txt</v>
      </c>
      <c r="AI9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{"issue":{"subject":"","project_id":79,"tracker_id":40,"status_id":1,"priority_id":2,"assigned_to_id":338,"start_date":"2017-10-10","description":"","custom_fields":[{"id":1,"name":"Subdivision","value":"EC"},{"id":4,"name":"Milepost","value":"0.0143"},{"id":17,"name":"Train ID","value":"186-10"},{"id":16,"name":"Locomotive ID","value":"4065"},{"id":130,"name":"Impact","value":""},{"id":150,"name":"Time of Event (Mountain Time)","value":"15:54:20"},{"id":151,"name":"Denver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1"/>
        <v>start /low /b %USERPROFILE%\Documents\GitHub\eaglep3\Utilities\DownloadLogsFromS3.py --loco 4065 --day 2017-10-10</v>
      </c>
      <c r="AN9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3"/>
        <v>https://d0f6bd738d7f1b3e5a7ca70fe4ff75f0.us-east-1.aws.found.io/app/kibana#/discover/Steve-Slow-Train-Analysis-(2080s-and-2083s)?_g=(refreshInterval:(display:Off,pause:!f,section:0,value:0),time:(from:'2017-10-10T14:08:44-0600',mode:absolute,to:'2017-10-10T16:54:20-0600'))&amp;_a=(columns:!('Message%20ID',Summary),filters:!(),index:'emp_*',interval:auto,query:(query_string:(analyze_wildcard:!t,query:'%22rtdc.l.rtdc.4065%22')),sort:!(Time.ISO8601,asc))</v>
      </c>
    </row>
    <row r="99" spans="1:91" s="20" customFormat="1" x14ac:dyDescent="0.25">
      <c r="A99" s="32" t="s">
        <v>755</v>
      </c>
      <c r="B99" s="7">
        <v>4054</v>
      </c>
      <c r="C99" s="21" t="s">
        <v>194</v>
      </c>
      <c r="D99" s="21" t="s">
        <v>381</v>
      </c>
      <c r="E99" s="13">
        <v>43018.600439814814</v>
      </c>
      <c r="F99" s="13">
        <v>43018.604375000003</v>
      </c>
      <c r="G99" s="7">
        <v>57</v>
      </c>
      <c r="H99" s="21" t="s">
        <v>557</v>
      </c>
      <c r="I99" s="13">
        <v>43018.629293981481</v>
      </c>
      <c r="J99" s="7">
        <v>0</v>
      </c>
      <c r="K99" s="89" t="str">
        <f t="shared" si="36"/>
        <v>4053/4054</v>
      </c>
      <c r="L99" s="185" t="str">
        <f>VLOOKUP(A99,'Trips&amp;Operators'!$C$1:$G$99911,5,FALSE)</f>
        <v>SMITH MICHAEL</v>
      </c>
      <c r="M99" s="6">
        <f t="shared" si="37"/>
        <v>2.491898147854954E-2</v>
      </c>
      <c r="N99" s="7">
        <f t="shared" si="35"/>
        <v>35.883333329111338</v>
      </c>
      <c r="O99" s="7"/>
      <c r="P99" s="7"/>
      <c r="Q99" s="22"/>
      <c r="R99" s="174"/>
      <c r="S99" s="221">
        <f t="shared" si="38"/>
        <v>1</v>
      </c>
      <c r="T99" s="174" t="str">
        <f t="shared" si="39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0"/>
        <v>https://d0f6bd738d7f1b3e5a7ca70fe4ff75f0.us-east-1.aws.found.io/app/kibana#/discover/Steve-Slow-Train-Analysis-(2080s-and-2083s)?_g=(refreshInterval:(display:Off,pause:!f,section:0,value:0),time:(from:'2017-10-10T13:24:38-0600',mode:absolute,to:'2017-10-10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204" t="str">
        <f>IF(AA99&lt;VLOOKUP(AG99,Variables!$AC$3:$AD$8,2,FALSE),"Y","N")</f>
        <v>N</v>
      </c>
      <c r="X99" s="204">
        <f t="shared" si="41"/>
        <v>1</v>
      </c>
      <c r="Y99" s="204">
        <f t="shared" si="42"/>
        <v>4.5699999999999998E-2</v>
      </c>
      <c r="Z99" s="204">
        <f t="shared" si="43"/>
        <v>23.337199999999999</v>
      </c>
      <c r="AA99" s="204">
        <f t="shared" si="44"/>
        <v>23.291499999999999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5"/>
        <v>187</v>
      </c>
      <c r="AE99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99" s="74" t="str">
        <f t="shared" si="47"/>
        <v>"C:\Program Files (x86)\AstroGrep\AstroGrep.exe" /e /r /s /spath="%USERPROFILE%\AppData\Local\Temp\OnboardLogs" /stypes="app*4054*20171010*" /stext=" 21:.+((SYSTEM_STATE.+slice.+state.+changed )|(ment ac)|(multiple cpu faults)|(system.+state.+changed )|(\[timeout)|(PRM\|1\|D)|(kpr)|(kdp)|(train st.+moving)|(\|lc)|(penalty))"</v>
      </c>
      <c r="AG99" s="182" t="str">
        <f t="shared" si="48"/>
        <v>EC</v>
      </c>
      <c r="AH99" s="78" t="str">
        <f t="shared" si="49"/>
        <v>"%USERPROFILE%\Documents\GitHub\eaglep3\Utilities\RefineRTDCRunTimes.py" --tripid 187-10 --locoid 4054 --swversion DE.1.0.9.0 --startMP 204:457 --initTime 2017-10-10T14:24:38 --startdatetime 2017-10-10T14:30:18 --delay 57 --endMP 204:233372 --enddatetime 2017-10-10T15:06:11 --enforcementcount 0 &gt;&gt;%USERPROFILE%\Documents\GitHub\eaglep3-reporting\EC\2017-10-10-refined-times.txt</v>
      </c>
      <c r="AI9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{"issue":{"subject":"","project_id":79,"tracker_id":40,"status_id":1,"priority_id":2,"assigned_to_id":338,"start_date":"2017-10-10","description":"","custom_fields":[{"id":1,"name":"Subdivision","value":"EC"},{"id":4,"name":"Milepost","value":"23.3372"},{"id":17,"name":"Train ID","value":"187-10"},{"id":16,"name":"Locomotive ID","value":"4054"},{"id":130,"name":"Impact","value":""},{"id":150,"name":"Time of Event (Mountain Time)","value":"15:06:11"},{"id":151,"name":"Denver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51"/>
        <v>start /low /b %USERPROFILE%\Documents\GitHub\eaglep3\Utilities\DownloadLogsFromS3.py --loco 4054 --day 2017-10-10</v>
      </c>
      <c r="AN9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3"/>
        <v>https://d0f6bd738d7f1b3e5a7ca70fe4ff75f0.us-east-1.aws.found.io/app/kibana#/discover/Steve-Slow-Train-Analysis-(2080s-and-2083s)?_g=(refreshInterval:(display:Off,pause:!f,section:0,value:0),time:(from:'2017-10-10T13:24:38-0600',mode:absolute,to:'2017-10-10T16:06:11-0600'))&amp;_a=(columns:!('Message%20ID',Summary),filters:!(),index:'emp_*',interval:auto,query:(query_string:(analyze_wildcard:!t,query:'%22rtdc.l.rtdc.4054%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4053</v>
      </c>
      <c r="C100" s="21" t="s">
        <v>194</v>
      </c>
      <c r="D100" s="21" t="s">
        <v>899</v>
      </c>
      <c r="E100" s="13">
        <v>43018.634756944448</v>
      </c>
      <c r="F100" s="13">
        <v>43018.64398148148</v>
      </c>
      <c r="G100" s="7">
        <v>66</v>
      </c>
      <c r="H100" s="21" t="s">
        <v>355</v>
      </c>
      <c r="I100" s="13">
        <v>43018.672847222224</v>
      </c>
      <c r="J100" s="7">
        <v>0</v>
      </c>
      <c r="K100" s="89" t="str">
        <f t="shared" si="36"/>
        <v>4053/4054</v>
      </c>
      <c r="L100" s="185" t="str">
        <f>VLOOKUP(A100,'Trips&amp;Operators'!$C$1:$G$99911,5,FALSE)</f>
        <v>SMITH MICHAEL</v>
      </c>
      <c r="M100" s="6">
        <f t="shared" si="37"/>
        <v>2.8865740743640345E-2</v>
      </c>
      <c r="N100" s="7">
        <f t="shared" si="35"/>
        <v>41.566666670842096</v>
      </c>
      <c r="O100" s="7"/>
      <c r="P100" s="7"/>
      <c r="Q100" s="22"/>
      <c r="R100" s="174"/>
      <c r="S100" s="221">
        <f t="shared" si="38"/>
        <v>1</v>
      </c>
      <c r="T100" s="174" t="str">
        <f t="shared" si="39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0"/>
        <v>https://d0f6bd738d7f1b3e5a7ca70fe4ff75f0.us-east-1.aws.found.io/app/kibana#/discover/Steve-Slow-Train-Analysis-(2080s-and-2083s)?_g=(refreshInterval:(display:Off,pause:!f,section:0,value:0),time:(from:'2017-10-10T14:14:03-0600',mode:absolute,to:'2017-10-10T17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204" t="str">
        <f>IF(AA100&lt;VLOOKUP(AG100,Variables!$AC$3:$AD$8,2,FALSE),"Y","N")</f>
        <v>N</v>
      </c>
      <c r="X100" s="204">
        <f t="shared" si="41"/>
        <v>1</v>
      </c>
      <c r="Y100" s="204">
        <f t="shared" si="42"/>
        <v>23.3079</v>
      </c>
      <c r="Z100" s="204">
        <f t="shared" si="43"/>
        <v>1.52E-2</v>
      </c>
      <c r="AA100" s="204">
        <f t="shared" si="44"/>
        <v>23.2927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5"/>
        <v>188</v>
      </c>
      <c r="AE100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00" s="74" t="str">
        <f t="shared" si="47"/>
        <v>"C:\Program Files (x86)\AstroGrep\AstroGrep.exe" /e /r /s /spath="%USERPROFILE%\AppData\Local\Temp\OnboardLogs" /stypes="app*4053*20171010*" /stext=" 22:.+((SYSTEM_STATE.+slice.+state.+changed )|(ment ac)|(multiple cpu faults)|(system.+state.+changed )|(\[timeout)|(PRM\|1\|D)|(kpr)|(kdp)|(train st.+moving)|(\|lc)|(penalty))"</v>
      </c>
      <c r="AG100" s="182" t="str">
        <f t="shared" si="48"/>
        <v>EC</v>
      </c>
      <c r="AH100" s="78" t="str">
        <f t="shared" si="49"/>
        <v>"%USERPROFILE%\Documents\GitHub\eaglep3\Utilities\RefineRTDCRunTimes.py" --tripid 188-10 --locoid 4053 --swversion DE.1.0.9.0 --startMP 204:233079 --initTime 2017-10-10T15:14:03 --startdatetime 2017-10-10T15:27:20 --delay 66 --endMP 204:152 --enddatetime 2017-10-10T16:08:54 --enforcementcount 0 &gt;&gt;%USERPROFILE%\Documents\GitHub\eaglep3-reporting\EC\2017-10-10-refined-times.txt</v>
      </c>
      <c r="AI10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ID","value":"188-10"},{"id":16,"name":"Locomotive ID","value":"4053"},{"id":130,"name":"Impact","value":""},{"id":150,"name":"Time of Event (Mountain Time)","value":"16:08:54"},{"id":151,"name":"Denver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51"/>
        <v>start /low /b %USERPROFILE%\Documents\GitHub\eaglep3\Utilities\DownloadLogsFromS3.py --loco 4053 --day 2017-10-10</v>
      </c>
      <c r="AN10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3"/>
        <v>https://d0f6bd738d7f1b3e5a7ca70fe4ff75f0.us-east-1.aws.found.io/app/kibana#/discover/Steve-Slow-Train-Analysis-(2080s-and-2083s)?_g=(refreshInterval:(display:Off,pause:!f,section:0,value:0),time:(from:'2017-10-10T14:14:03-0600',mode:absolute,to:'2017-10-10T17:08:54-0600'))&amp;_a=(columns:!('Message%20ID',Summary),filters:!(),index:'emp_*',interval:auto,query:(query_string:(analyze_wildcard:!t,query:'%22rtdc.l.rtdc.4053%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758</v>
      </c>
      <c r="B101" s="7">
        <v>4020</v>
      </c>
      <c r="C101" s="21" t="s">
        <v>194</v>
      </c>
      <c r="D101" s="21" t="s">
        <v>377</v>
      </c>
      <c r="E101" s="13">
        <v>43018.609201388892</v>
      </c>
      <c r="F101" s="13">
        <v>43018.614745370367</v>
      </c>
      <c r="G101" s="7">
        <v>77</v>
      </c>
      <c r="H101" s="21" t="s">
        <v>900</v>
      </c>
      <c r="I101" s="13">
        <v>43018.639687499999</v>
      </c>
      <c r="J101" s="7">
        <v>0</v>
      </c>
      <c r="K101" s="89" t="str">
        <f t="shared" si="36"/>
        <v>4019/4020</v>
      </c>
      <c r="L101" s="185" t="str">
        <f>VLOOKUP(A101,'Trips&amp;Operators'!$C$1:$G$99911,5,FALSE)</f>
        <v>BRUDER RICHARD</v>
      </c>
      <c r="M101" s="6">
        <f t="shared" si="37"/>
        <v>2.4942129632108845E-2</v>
      </c>
      <c r="N101" s="7">
        <f t="shared" si="35"/>
        <v>35.916666670236737</v>
      </c>
      <c r="O101" s="7"/>
      <c r="P101" s="7"/>
      <c r="Q101" s="22"/>
      <c r="R101" s="174"/>
      <c r="S101" s="221">
        <f t="shared" si="38"/>
        <v>1</v>
      </c>
      <c r="T101" s="174" t="str">
        <f t="shared" si="39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0"/>
        <v>https://d0f6bd738d7f1b3e5a7ca70fe4ff75f0.us-east-1.aws.found.io/app/kibana#/discover/Steve-Slow-Train-Analysis-(2080s-and-2083s)?_g=(refreshInterval:(display:Off,pause:!f,section:0,value:0),time:(from:'2017-10-10T13:37:15-0600',mode:absolute,to:'2017-10-10T16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04" t="str">
        <f>IF(AA101&lt;VLOOKUP(AG101,Variables!$AC$3:$AD$8,2,FALSE),"Y","N")</f>
        <v>N</v>
      </c>
      <c r="X101" s="204">
        <f t="shared" si="41"/>
        <v>1</v>
      </c>
      <c r="Y101" s="204">
        <f t="shared" si="42"/>
        <v>4.4699999999999997E-2</v>
      </c>
      <c r="Z101" s="204">
        <f t="shared" si="43"/>
        <v>23.3309</v>
      </c>
      <c r="AA101" s="204">
        <f t="shared" si="44"/>
        <v>23.286200000000001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5"/>
        <v>189</v>
      </c>
      <c r="AE101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01" s="74" t="str">
        <f t="shared" si="47"/>
        <v>"C:\Program Files (x86)\AstroGrep\AstroGrep.exe" /e /r /s /spath="%USERPROFILE%\AppData\Local\Temp\OnboardLogs" /stypes="app*4020*20171010*" /stext=" 21:.+((SYSTEM_STATE.+slice.+state.+changed )|(ment ac)|(multiple cpu faults)|(system.+state.+changed )|(\[timeout)|(PRM\|1\|D)|(kpr)|(kdp)|(train st.+moving)|(\|lc)|(penalty))"</v>
      </c>
      <c r="AG101" s="182" t="str">
        <f t="shared" si="48"/>
        <v>EC</v>
      </c>
      <c r="AH101" s="78" t="str">
        <f t="shared" si="49"/>
        <v>"%USERPROFILE%\Documents\GitHub\eaglep3\Utilities\RefineRTDCRunTimes.py" --tripid 189-10 --locoid 4020 --swversion DE.1.0.9.0 --startMP 204:447 --initTime 2017-10-10T14:37:15 --startdatetime 2017-10-10T14:45:14 --delay 77 --endMP 204:233309 --enddatetime 2017-10-10T15:21:09 --enforcementcount 0 &gt;&gt;%USERPROFILE%\Documents\GitHub\eaglep3-reporting\EC\2017-10-10-refined-times.txt</v>
      </c>
      <c r="AI10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{"issue":{"subject":"","project_id":79,"tracker_id":40,"status_id":1,"priority_id":2,"assigned_to_id":338,"start_date":"2017-10-10","description":"","custom_fields":[{"id":1,"name":"Subdivision","value":"EC"},{"id":4,"name":"Milepost","value":"23.3309"},{"id":17,"name":"Train ID","value":"189-10"},{"id":16,"name":"Locomotive ID","value":"4020"},{"id":130,"name":"Impact","value":""},{"id":150,"name":"Time of Event (Mountain Time)","value":"15:21:09"},{"id":151,"name":"Denver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51"/>
        <v>start /low /b %USERPROFILE%\Documents\GitHub\eaglep3\Utilities\DownloadLogsFromS3.py --loco 4020 --day 2017-10-10</v>
      </c>
      <c r="AN10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3"/>
        <v>https://d0f6bd738d7f1b3e5a7ca70fe4ff75f0.us-east-1.aws.found.io/app/kibana#/discover/Steve-Slow-Train-Analysis-(2080s-and-2083s)?_g=(refreshInterval:(display:Off,pause:!f,section:0,value:0),time:(from:'2017-10-10T13:37:15-0600',mode:absolute,to:'2017-10-10T16:21:09-0600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605</v>
      </c>
      <c r="B102" s="7">
        <v>4019</v>
      </c>
      <c r="C102" s="21" t="s">
        <v>194</v>
      </c>
      <c r="D102" s="21" t="s">
        <v>510</v>
      </c>
      <c r="E102" s="13">
        <v>43018.650960648149</v>
      </c>
      <c r="F102" s="13">
        <v>43018.654340277775</v>
      </c>
      <c r="G102" s="7">
        <v>58</v>
      </c>
      <c r="H102" s="21" t="s">
        <v>358</v>
      </c>
      <c r="I102" s="13">
        <v>43018.680300925924</v>
      </c>
      <c r="J102" s="7">
        <v>0</v>
      </c>
      <c r="K102" s="89" t="str">
        <f t="shared" si="36"/>
        <v>4019/4020</v>
      </c>
      <c r="L102" s="185" t="str">
        <f>VLOOKUP(A102,'Trips&amp;Operators'!$C$1:$G$99911,5,FALSE)</f>
        <v>BRUDER RICHARD</v>
      </c>
      <c r="M102" s="6">
        <f t="shared" si="37"/>
        <v>2.5960648148611654E-2</v>
      </c>
      <c r="N102" s="7">
        <f t="shared" si="35"/>
        <v>37.383333334000781</v>
      </c>
      <c r="O102" s="7"/>
      <c r="P102" s="7"/>
      <c r="Q102" s="22"/>
      <c r="R102" s="174" t="s">
        <v>1019</v>
      </c>
      <c r="S102" s="221">
        <f t="shared" si="38"/>
        <v>1</v>
      </c>
      <c r="T102" s="174" t="str">
        <f t="shared" si="39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0"/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04" t="str">
        <f>IF(AA102&lt;VLOOKUP(AG102,Variables!$AC$3:$AD$8,2,FALSE),"Y","N")</f>
        <v>N</v>
      </c>
      <c r="X102" s="204">
        <f t="shared" si="41"/>
        <v>1</v>
      </c>
      <c r="Y102" s="204">
        <f t="shared" si="42"/>
        <v>23.297699999999999</v>
      </c>
      <c r="Z102" s="204">
        <f t="shared" si="43"/>
        <v>1.5599999999999999E-2</v>
      </c>
      <c r="AA102" s="204">
        <f t="shared" si="44"/>
        <v>23.2821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5"/>
        <v>190</v>
      </c>
      <c r="AE102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02" s="74" t="str">
        <f t="shared" si="47"/>
        <v>"C:\Program Files (x86)\AstroGrep\AstroGrep.exe" /e /r /s /spath="%USERPROFILE%\AppData\Local\Temp\OnboardLogs" /stypes="app*4019*20171010*" /stext=" 22:.+((SYSTEM_STATE.+slice.+state.+changed )|(ment ac)|(multiple cpu faults)|(system.+state.+changed )|(\[timeout)|(PRM\|1\|D)|(kpr)|(kdp)|(train st.+moving)|(\|lc)|(penalty))"</v>
      </c>
      <c r="AG102" s="182" t="str">
        <f t="shared" si="48"/>
        <v>EC</v>
      </c>
      <c r="AH102" s="78" t="str">
        <f t="shared" si="49"/>
        <v>"%USERPROFILE%\Documents\GitHub\eaglep3\Utilities\RefineRTDCRunTimes.py" --tripid 190-10 --locoid 4019 --swversion DE.1.0.9.0 --startMP 204:232977 --initTime 2017-10-10T15:37:23 --startdatetime 2017-10-10T15:42:15 --delay 58 --endMP 204:156 --enddatetime 2017-10-10T16:19:38 --enforcementcount 0 &gt;&gt;%USERPROFILE%\Documents\GitHub\eaglep3-reporting\EC\2017-10-10-refined-times.txt</v>
      </c>
      <c r="AI102" s="96" t="str">
        <f t="shared" si="50"/>
        <v>echo {"issue":{"subject":"Braking without banner","project_id":79,"tracker_id":40,"status_id":1,"priority_id":2,"assigned_to_id":338,"start_date":"2017-10-10","description":"","custom_fields":[{"id":1,"name":"Subdivision","value":"EC"},{"id":4,"name":"Milepost","value":"0.0156"},{"id":17,"name":"Train ID","value":"190-10"},{"id":16,"name":"Locomotive ID","value":"4019"},{"id":130,"name":"Impact","value":""},{"id":150,"name":"Time of Event (Mountain Time)","value":"16:19:38"},{"id":151,"name":"Denver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51"/>
        <v>start /low /b %USERPROFILE%\Documents\GitHub\eaglep3\Utilities\DownloadLogsFromS3.py --loco 4019 --day 2017-10-10</v>
      </c>
      <c r="AN102" s="151" t="str">
        <f t="shared" si="52"/>
        <v>echo {"issue":{"subject":"Braking without banner","project_id":30,"tracker_id":4,"status_id":1,"priority_id":1,"assigned_to_id":10,"start_date":"2017-10-10","description":"","custom_fields":[{"id":30,"name":"Category","value":"Issue"},{"id":3,"name":"Functional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3"/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760</v>
      </c>
      <c r="B103" s="7">
        <v>4052</v>
      </c>
      <c r="C103" s="21" t="s">
        <v>194</v>
      </c>
      <c r="D103" s="21" t="s">
        <v>372</v>
      </c>
      <c r="E103" s="13">
        <v>43018.621539351851</v>
      </c>
      <c r="F103" s="13">
        <v>43018.634456018517</v>
      </c>
      <c r="G103" s="7">
        <v>73</v>
      </c>
      <c r="H103" s="21" t="s">
        <v>427</v>
      </c>
      <c r="I103" s="13">
        <v>43018.652824074074</v>
      </c>
      <c r="J103" s="7">
        <v>0</v>
      </c>
      <c r="K103" s="89" t="str">
        <f t="shared" si="36"/>
        <v>4051/4052</v>
      </c>
      <c r="L103" s="185" t="str">
        <f>VLOOKUP(A103,'Trips&amp;Operators'!$C$1:$G$99911,5,FALSE)</f>
        <v>STEWART MICHAEL</v>
      </c>
      <c r="M103" s="6">
        <f t="shared" si="37"/>
        <v>1.8368055556493346E-2</v>
      </c>
      <c r="N103" s="7"/>
      <c r="O103" s="7"/>
      <c r="P103" s="7">
        <f>24*60*SUM($M103:$M103)</f>
        <v>26.450000001350418</v>
      </c>
      <c r="Q103" s="22"/>
      <c r="R103" s="174" t="s">
        <v>1016</v>
      </c>
      <c r="S103" s="221">
        <f>1/IF(AG103="EC",12,1)*SUM(U103:U104)</f>
        <v>0.75</v>
      </c>
      <c r="T103" s="174" t="str">
        <f t="shared" si="39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216" t="str">
        <f t="shared" si="40"/>
        <v>https://d0f6bd738d7f1b3e5a7ca70fe4ff75f0.us-east-1.aws.found.io/app/kibana#/discover/Steve-Slow-Train-Analysis-(2080s-and-2083s)?_g=(refreshInterval:(display:Off,pause:!f,section:0,value:0),time:(from:'2017-10-10T13:55:01-0600',mode:absolute,to:'2017-10-10T16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3" s="204" t="str">
        <f>IF(AA103&lt;VLOOKUP(AG103,Variables!$AC$3:$AD$8,2,FALSE),"Y","N")</f>
        <v>Y</v>
      </c>
      <c r="X103" s="204">
        <f t="shared" si="41"/>
        <v>1</v>
      </c>
      <c r="Y103" s="204">
        <f t="shared" si="42"/>
        <v>4.7100000000000003E-2</v>
      </c>
      <c r="Z103" s="204">
        <f t="shared" si="43"/>
        <v>4.7800000000000002E-2</v>
      </c>
      <c r="AA103" s="204">
        <f t="shared" si="44"/>
        <v>6.9999999999999923E-4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5"/>
        <v>191</v>
      </c>
      <c r="AE103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03" s="74" t="str">
        <f t="shared" si="47"/>
        <v>"C:\Program Files (x86)\AstroGrep\AstroGrep.exe" /e /r /s /spath="%USERPROFILE%\AppData\Local\Temp\OnboardLogs" /stypes="app*4052*20171010*" /stext=" 21:.+((SYSTEM_STATE.+slice.+state.+changed )|(ment ac)|(multiple cpu faults)|(system.+state.+changed )|(\[timeout)|(PRM\|1\|D)|(kpr)|(kdp)|(train st.+moving)|(\|lc)|(penalty))"</v>
      </c>
      <c r="AG103" s="182" t="str">
        <f t="shared" si="48"/>
        <v>EC</v>
      </c>
      <c r="AH103" s="78" t="str">
        <f t="shared" si="49"/>
        <v>"%USERPROFILE%\Documents\GitHub\eaglep3\Utilities\RefineRTDCRunTimes.py" --tripid 191-10 --locoid 4052 --swversion DE.1.0.9.0 --startMP 204:471 --initTime 2017-10-10T14:55:01 --startdatetime 2017-10-10T15:13:37 --delay 73 --endMP 204:478 --enddatetime 2017-10-10T15:40:04 --enforcementcount 0 &gt;&gt;%USERPROFILE%\Documents\GitHub\eaglep3-reporting\EC\2017-10-10-refined-times.txt</v>
      </c>
      <c r="AI103" s="96" t="str">
        <f t="shared" si="5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failure","project_id":79,"tracker_id":40,"status_id":1,"priority_id":2,"assigned_to_id":338,"start_date":"2017-10-10","description":"","custom_fields":[{"id":1,"name":"Subdivision","value":"EC"},{"id":4,"name":"Milepost","value":"0.0478"},{"id":17,"name":"Train ID","value":"191-10"},{"id":16,"name":"Locomotive ID","value":"4052"},{"id":130,"name":"Impact","value":""},{"id":150,"name":"Time of Event (Mountain Time)","value":"15:40:04"},{"id":151,"name":"Denver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1"/>
        <v>start /low /b %USERPROFILE%\Documents\GitHub\eaglep3\Utilities\DownloadLogsFromS3.py --loco 4052 --day 2017-10-10</v>
      </c>
      <c r="AN103" s="151" t="str">
        <f t="shared" si="5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3"/>
        <v>https://d0f6bd738d7f1b3e5a7ca70fe4ff75f0.us-east-1.aws.found.io/app/kibana#/discover/Steve-Slow-Train-Analysis-(2080s-and-2083s)?_g=(refreshInterval:(display:Off,pause:!f,section:0,value:0),time:(from:'2017-10-10T13:55:01-0600',mode:absolute,to:'2017-10-10T16:40:04-0600'))&amp;_a=(columns:!('Message%20ID',Summary),filters:!(),index:'emp_*',interval:auto,query:(query_string:(analyze_wildcard:!t,query:'%22rtdc.l.rtdc.4052%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4052</v>
      </c>
      <c r="C104" s="21" t="s">
        <v>194</v>
      </c>
      <c r="D104" s="21" t="s">
        <v>901</v>
      </c>
      <c r="E104" s="13">
        <v>43018.632557870369</v>
      </c>
      <c r="F104" s="13">
        <v>43018.634456018517</v>
      </c>
      <c r="G104" s="7">
        <v>96</v>
      </c>
      <c r="H104" s="21" t="s">
        <v>516</v>
      </c>
      <c r="I104" s="13">
        <v>43018.652824074074</v>
      </c>
      <c r="J104" s="7">
        <v>0</v>
      </c>
      <c r="K104" s="89" t="str">
        <f t="shared" si="36"/>
        <v>4051/4052</v>
      </c>
      <c r="L104" s="185" t="str">
        <f>VLOOKUP(A104,'Trips&amp;Operators'!$C$1:$G$99911,5,FALSE)</f>
        <v>STEWART MICHAEL</v>
      </c>
      <c r="M104" s="6">
        <f t="shared" si="37"/>
        <v>1.8368055556493346E-2</v>
      </c>
      <c r="N104" s="7"/>
      <c r="O104" s="7"/>
      <c r="P104" s="7"/>
      <c r="Q104" s="22"/>
      <c r="R104" s="174"/>
      <c r="S104" s="221"/>
      <c r="T104" s="174" t="str">
        <f t="shared" si="39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9</v>
      </c>
      <c r="V104" s="216" t="str">
        <f t="shared" si="40"/>
        <v>https://d0f6bd738d7f1b3e5a7ca70fe4ff75f0.us-east-1.aws.found.io/app/kibana#/discover/Steve-Slow-Train-Analysis-(2080s-and-2083s)?_g=(refreshInterval:(display:Off,pause:!f,section:0,value:0),time:(from:'2017-10-10T14:10:53-0600',mode:absolute,to:'2017-10-10T16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204" t="str">
        <f>IF(AA104&lt;VLOOKUP(AG104,Variables!$AC$3:$AD$8,2,FALSE),"Y","N")</f>
        <v>Y</v>
      </c>
      <c r="X104" s="204">
        <f t="shared" si="41"/>
        <v>0</v>
      </c>
      <c r="Y104" s="204">
        <f t="shared" si="42"/>
        <v>3.7189999999999999</v>
      </c>
      <c r="Z104" s="204">
        <f t="shared" si="43"/>
        <v>23.329499999999999</v>
      </c>
      <c r="AA104" s="204">
        <f t="shared" si="44"/>
        <v>19.610499999999998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5"/>
        <v>191</v>
      </c>
      <c r="AE104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04" s="74" t="str">
        <f t="shared" si="47"/>
        <v>"C:\Program Files (x86)\AstroGrep\AstroGrep.exe" /e /r /s /spath="%USERPROFILE%\AppData\Local\Temp\OnboardLogs" /stypes="app*4052*20171010*" /stext=" 21:.+((SYSTEM_STATE.+slice.+state.+changed )|(ment ac)|(multiple cpu faults)|(system.+state.+changed )|(\[timeout)|(PRM\|1\|D)|(kpr)|(kdp)|(train st.+moving)|(\|lc)|(penalty))"</v>
      </c>
      <c r="AG104" s="182" t="str">
        <f t="shared" si="48"/>
        <v>EC</v>
      </c>
      <c r="AH104" s="78" t="str">
        <f t="shared" si="49"/>
        <v>"%USERPROFILE%\Documents\GitHub\eaglep3\Utilities\RefineRTDCRunTimes.py" --tripid 191-10 --locoid 4052 --swversion DE.1.0.9.0 --startMP 204:37190 --initTime 2017-10-10T15:10:53 --startdatetime 2017-10-10T15:13:37 --delay 96 --endMP 204:233295 --enddatetime 2017-10-10T15:40:04 --enforcementcount 0 &gt;&gt;%USERPROFILE%\Documents\GitHub\eaglep3-reporting\EC\2017-10-10-refined-times.txt</v>
      </c>
      <c r="AI10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ID","value":"191-10"},{"id":16,"name":"Locomotive ID","value":"4052"},{"id":130,"name":"Impact","value":""},{"id":150,"name":"Time of Event (Mountain Time)","value":"15:40:04"},{"id":151,"name":"Denver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1"/>
        <v>start /low /b %USERPROFILE%\Documents\GitHub\eaglep3\Utilities\DownloadLogsFromS3.py --loco 4052 --day 2017-10-10</v>
      </c>
      <c r="AN10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3"/>
        <v>https://d0f6bd738d7f1b3e5a7ca70fe4ff75f0.us-east-1.aws.found.io/app/kibana#/discover/Steve-Slow-Train-Analysis-(2080s-and-2083s)?_g=(refreshInterval:(display:Off,pause:!f,section:0,value:0),time:(from:'2017-10-10T14:10:53-0600',mode:absolute,to:'2017-10-10T16:40:04-0600'))&amp;_a=(columns:!('Message%20ID',Summary),filters:!(),index:'emp_*',interval:auto,query:(query_string:(analyze_wildcard:!t,query:'%22rtdc.l.rtdc.4052%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4051</v>
      </c>
      <c r="C105" s="21" t="s">
        <v>194</v>
      </c>
      <c r="D105" s="21" t="s">
        <v>480</v>
      </c>
      <c r="E105" s="13">
        <v>43018.661793981482</v>
      </c>
      <c r="F105" s="13">
        <v>43018.66479166667</v>
      </c>
      <c r="G105" s="7">
        <v>50</v>
      </c>
      <c r="H105" s="21" t="s">
        <v>565</v>
      </c>
      <c r="I105" s="13">
        <v>43018.69190972222</v>
      </c>
      <c r="J105" s="7">
        <v>0</v>
      </c>
      <c r="K105" s="89" t="str">
        <f t="shared" si="36"/>
        <v>4051/4052</v>
      </c>
      <c r="L105" s="185" t="str">
        <f>VLOOKUP(A105,'Trips&amp;Operators'!$C$1:$G$99911,5,FALSE)</f>
        <v>STEWART MICHAEL</v>
      </c>
      <c r="M105" s="6">
        <f t="shared" si="37"/>
        <v>2.7118055550090503E-2</v>
      </c>
      <c r="N105" s="7">
        <f t="shared" ref="N105:N120" si="54">24*60*SUM($M105:$M105)</f>
        <v>39.049999992130324</v>
      </c>
      <c r="O105" s="7"/>
      <c r="P105" s="7"/>
      <c r="Q105" s="22"/>
      <c r="R105" s="174"/>
      <c r="S105" s="221">
        <f t="shared" ref="S105:S136" si="55">1/IF(AG105="EC",12,1)*SUM(U105:U105)</f>
        <v>1</v>
      </c>
      <c r="T105" s="174" t="str">
        <f t="shared" si="39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0"/>
        <v>https://d0f6bd738d7f1b3e5a7ca70fe4ff75f0.us-east-1.aws.found.io/app/kibana#/discover/Steve-Slow-Train-Analysis-(2080s-and-2083s)?_g=(refreshInterval:(display:Off,pause:!f,section:0,value:0),time:(from:'2017-10-10T14:52:59-0600',mode:absolute,to:'2017-10-10T17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204" t="str">
        <f>IF(AA105&lt;VLOOKUP(AG105,Variables!$AC$3:$AD$8,2,FALSE),"Y","N")</f>
        <v>N</v>
      </c>
      <c r="X105" s="204">
        <f t="shared" si="41"/>
        <v>1</v>
      </c>
      <c r="Y105" s="204">
        <f t="shared" si="42"/>
        <v>23.2974</v>
      </c>
      <c r="Z105" s="204">
        <f t="shared" si="43"/>
        <v>1.67E-2</v>
      </c>
      <c r="AA105" s="204">
        <f t="shared" si="44"/>
        <v>23.2807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5"/>
        <v>192</v>
      </c>
      <c r="AE105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05" s="74" t="str">
        <f t="shared" si="47"/>
        <v>"C:\Program Files (x86)\AstroGrep\AstroGrep.exe" /e /r /s /spath="%USERPROFILE%\AppData\Local\Temp\OnboardLogs" /stypes="app*4051*20171010*" /stext=" 22:.+((SYSTEM_STATE.+slice.+state.+changed )|(ment ac)|(multiple cpu faults)|(system.+state.+changed )|(\[timeout)|(PRM\|1\|D)|(kpr)|(kdp)|(train st.+moving)|(\|lc)|(penalty))"</v>
      </c>
      <c r="AG105" s="182" t="str">
        <f t="shared" si="48"/>
        <v>EC</v>
      </c>
      <c r="AH105" s="78" t="str">
        <f t="shared" si="49"/>
        <v>"%USERPROFILE%\Documents\GitHub\eaglep3\Utilities\RefineRTDCRunTimes.py" --tripid 192-10 --locoid 4051 --swversion DE.1.0.9.0 --startMP 204:232974 --initTime 2017-10-10T15:52:59 --startdatetime 2017-10-10T15:57:18 --delay 50 --endMP 204:167 --enddatetime 2017-10-10T16:36:21 --enforcementcount 0 &gt;&gt;%USERPROFILE%\Documents\GitHub\eaglep3-reporting\EC\2017-10-10-refined-times.txt</v>
      </c>
      <c r="AI10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{"issue":{"subject":"","project_id":79,"tracker_id":40,"status_id":1,"priority_id":2,"assigned_to_id":338,"start_date":"2017-10-10","description":"","custom_fields":[{"id":1,"name":"Subdivision","value":"EC"},{"id":4,"name":"Milepost","value":"0.0167"},{"id":17,"name":"Train ID","value":"192-10"},{"id":16,"name":"Locomotive ID","value":"4051"},{"id":130,"name":"Impact","value":""},{"id":150,"name":"Time of Event (Mountain Time)","value":"16:36:21"},{"id":151,"name":"Denver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1"/>
        <v>start /low /b %USERPROFILE%\Documents\GitHub\eaglep3\Utilities\DownloadLogsFromS3.py --loco 4051 --day 2017-10-10</v>
      </c>
      <c r="AN10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3"/>
        <v>https://d0f6bd738d7f1b3e5a7ca70fe4ff75f0.us-east-1.aws.found.io/app/kibana#/discover/Steve-Slow-Train-Analysis-(2080s-and-2083s)?_g=(refreshInterval:(display:Off,pause:!f,section:0,value:0),time:(from:'2017-10-10T14:52:59-0600',mode:absolute,to:'2017-10-10T17:36:21-0600'))&amp;_a=(columns:!('Message%20ID',Summary),filters:!(),index:'emp_*',interval:auto,query:(query_string:(analyze_wildcard:!t,query:'%22rtdc.l.rtdc.4051%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762</v>
      </c>
      <c r="B106" s="7">
        <v>4042</v>
      </c>
      <c r="C106" s="21" t="s">
        <v>194</v>
      </c>
      <c r="D106" s="21" t="s">
        <v>354</v>
      </c>
      <c r="E106" s="13">
        <v>43018.630104166667</v>
      </c>
      <c r="F106" s="13">
        <v>43018.635613425926</v>
      </c>
      <c r="G106" s="7">
        <v>50</v>
      </c>
      <c r="H106" s="21" t="s">
        <v>551</v>
      </c>
      <c r="I106" s="13">
        <v>43018.660844907405</v>
      </c>
      <c r="J106" s="7">
        <v>0</v>
      </c>
      <c r="K106" s="89" t="str">
        <f t="shared" si="36"/>
        <v>4041/4042</v>
      </c>
      <c r="L106" s="185" t="str">
        <f>VLOOKUP(A106,'Trips&amp;Operators'!$C$1:$G$99911,5,FALSE)</f>
        <v>LEVIN SCOTT</v>
      </c>
      <c r="M106" s="6">
        <f t="shared" si="37"/>
        <v>2.5231481478840578E-2</v>
      </c>
      <c r="N106" s="7">
        <f t="shared" si="54"/>
        <v>36.333333329530433</v>
      </c>
      <c r="O106" s="7"/>
      <c r="P106" s="7"/>
      <c r="Q106" s="22"/>
      <c r="R106" s="174"/>
      <c r="S106" s="221">
        <f t="shared" si="55"/>
        <v>1</v>
      </c>
      <c r="T106" s="174" t="str">
        <f t="shared" si="39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0"/>
        <v>https://d0f6bd738d7f1b3e5a7ca70fe4ff75f0.us-east-1.aws.found.io/app/kibana#/discover/Steve-Slow-Train-Analysis-(2080s-and-2083s)?_g=(refreshInterval:(display:Off,pause:!f,section:0,value:0),time:(from:'2017-10-10T14:07:21-0600',mode:absolute,to:'2017-10-10T16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204" t="str">
        <f>IF(AA106&lt;VLOOKUP(AG106,Variables!$AC$3:$AD$8,2,FALSE),"Y","N")</f>
        <v>N</v>
      </c>
      <c r="X106" s="204">
        <f t="shared" si="41"/>
        <v>1</v>
      </c>
      <c r="Y106" s="204">
        <f t="shared" si="42"/>
        <v>4.58E-2</v>
      </c>
      <c r="Z106" s="204">
        <f t="shared" si="43"/>
        <v>23.334700000000002</v>
      </c>
      <c r="AA106" s="204">
        <f t="shared" si="44"/>
        <v>23.288900000000002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5"/>
        <v>193</v>
      </c>
      <c r="AE106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106" s="74" t="str">
        <f t="shared" si="47"/>
        <v>"C:\Program Files (x86)\AstroGrep\AstroGrep.exe" /e /r /s /spath="%USERPROFILE%\AppData\Local\Temp\OnboardLogs" /stypes="app*4042*20171010*" /stext=" 21:.+((SYSTEM_STATE.+slice.+state.+changed )|(ment ac)|(multiple cpu faults)|(system.+state.+changed )|(\[timeout)|(PRM\|1\|D)|(kpr)|(kdp)|(train st.+moving)|(\|lc)|(penalty))"</v>
      </c>
      <c r="AG106" s="182" t="str">
        <f t="shared" si="48"/>
        <v>EC</v>
      </c>
      <c r="AH106" s="78" t="str">
        <f t="shared" si="49"/>
        <v>"%USERPROFILE%\Documents\GitHub\eaglep3\Utilities\RefineRTDCRunTimes.py" --tripid 193-10 --locoid 4042 --swversion DE.1.0.9.0 --startMP 204:458 --initTime 2017-10-10T15:07:21 --startdatetime 2017-10-10T15:15:17 --delay 50 --endMP 204:233347 --enddatetime 2017-10-10T15:51:37 --enforcementcount 0 &gt;&gt;%USERPROFILE%\Documents\GitHub\eaglep3-reporting\EC\2017-10-10-refined-times.txt</v>
      </c>
      <c r="AI10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{"issue":{"subject":"","project_id":79,"tracker_id":40,"status_id":1,"priority_id":2,"assigned_to_id":338,"start_date":"2017-10-10","description":"","custom_fields":[{"id":1,"name":"Subdivision","value":"EC"},{"id":4,"name":"Milepost","value":"23.3347"},{"id":17,"name":"Train ID","value":"193-10"},{"id":16,"name":"Locomotive ID","value":"4042"},{"id":130,"name":"Impact","value":""},{"id":150,"name":"Time of Event (Mountain Time)","value":"15:51:37"},{"id":151,"name":"Denver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1"/>
        <v>start /low /b %USERPROFILE%\Documents\GitHub\eaglep3\Utilities\DownloadLogsFromS3.py --loco 4042 --day 2017-10-10</v>
      </c>
      <c r="AN10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3"/>
        <v>https://d0f6bd738d7f1b3e5a7ca70fe4ff75f0.us-east-1.aws.found.io/app/kibana#/discover/Steve-Slow-Train-Analysis-(2080s-and-2083s)?_g=(refreshInterval:(display:Off,pause:!f,section:0,value:0),time:(from:'2017-10-10T14:07:21-0600',mode:absolute,to:'2017-10-10T16:51:37-0600'))&amp;_a=(columns:!('Message%20ID',Summary),filters:!(),index:'emp_*',interval:auto,query:(query_string:(analyze_wildcard:!t,query:'%22rtdc.l.rtdc.4042%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772</v>
      </c>
      <c r="B107" s="7">
        <v>4041</v>
      </c>
      <c r="C107" s="21" t="s">
        <v>194</v>
      </c>
      <c r="D107" s="21" t="s">
        <v>902</v>
      </c>
      <c r="E107" s="13">
        <v>43018.664907407408</v>
      </c>
      <c r="F107" s="13">
        <v>43018.675185185188</v>
      </c>
      <c r="G107" s="7">
        <v>64</v>
      </c>
      <c r="H107" s="21" t="s">
        <v>336</v>
      </c>
      <c r="I107" s="13">
        <v>43018.701458333337</v>
      </c>
      <c r="J107" s="7">
        <v>0</v>
      </c>
      <c r="K107" s="89" t="str">
        <f t="shared" si="36"/>
        <v>4041/4042</v>
      </c>
      <c r="L107" s="185" t="str">
        <f>VLOOKUP(A107,'Trips&amp;Operators'!$C$1:$G$99911,5,FALSE)</f>
        <v>LEVIN SCOTT</v>
      </c>
      <c r="M107" s="6">
        <f t="shared" si="37"/>
        <v>2.6273148148902692E-2</v>
      </c>
      <c r="N107" s="7">
        <f t="shared" si="54"/>
        <v>37.833333334419876</v>
      </c>
      <c r="O107" s="7"/>
      <c r="P107" s="7"/>
      <c r="Q107" s="22"/>
      <c r="R107" s="174"/>
      <c r="S107" s="221">
        <f t="shared" si="55"/>
        <v>1</v>
      </c>
      <c r="T107" s="174" t="str">
        <f t="shared" si="39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0"/>
        <v>https://d0f6bd738d7f1b3e5a7ca70fe4ff75f0.us-east-1.aws.found.io/app/kibana#/discover/Steve-Slow-Train-Analysis-(2080s-and-2083s)?_g=(refreshInterval:(display:Off,pause:!f,section:0,value:0),time:(from:'2017-10-10T14:57:28-0600',mode:absolute,to:'2017-10-10T17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N</v>
      </c>
      <c r="X107" s="204">
        <f t="shared" si="41"/>
        <v>1</v>
      </c>
      <c r="Y107" s="204">
        <f t="shared" si="42"/>
        <v>23.300699999999999</v>
      </c>
      <c r="Z107" s="204">
        <f t="shared" si="43"/>
        <v>1.49E-2</v>
      </c>
      <c r="AA107" s="204">
        <f t="shared" si="44"/>
        <v>23.285799999999998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5"/>
        <v>194</v>
      </c>
      <c r="AE107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107" s="74" t="str">
        <f t="shared" si="47"/>
        <v>"C:\Program Files (x86)\AstroGrep\AstroGrep.exe" /e /r /s /spath="%USERPROFILE%\AppData\Local\Temp\OnboardLogs" /stypes="app*4041*20171010*" /stext=" 22:.+((SYSTEM_STATE.+slice.+state.+changed )|(ment ac)|(multiple cpu faults)|(system.+state.+changed )|(\[timeout)|(PRM\|1\|D)|(kpr)|(kdp)|(train st.+moving)|(\|lc)|(penalty))"</v>
      </c>
      <c r="AG107" s="182" t="str">
        <f t="shared" si="48"/>
        <v>EC</v>
      </c>
      <c r="AH107" s="78" t="str">
        <f t="shared" si="49"/>
        <v>"%USERPROFILE%\Documents\GitHub\eaglep3\Utilities\RefineRTDCRunTimes.py" --tripid 194-10 --locoid 4041 --swversion DE.1.0.9.0 --startMP 204:233007 --initTime 2017-10-10T15:57:28 --startdatetime 2017-10-10T16:12:16 --delay 64 --endMP 204:149 --enddatetime 2017-10-10T16:50:06 --enforcementcount 0 &gt;&gt;%USERPROFILE%\Documents\GitHub\eaglep3-reporting\EC\2017-10-10-refined-times.txt</v>
      </c>
      <c r="AI10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ID","value":"194-10"},{"id":16,"name":"Locomotive ID","value":"4041"},{"id":130,"name":"Impact","value":""},{"id":150,"name":"Time of Event (Mountain Time)","value":"16:50:06"},{"id":151,"name":"Denver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1"/>
        <v>start /low /b %USERPROFILE%\Documents\GitHub\eaglep3\Utilities\DownloadLogsFromS3.py --loco 4041 --day 2017-10-10</v>
      </c>
      <c r="AN10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3"/>
        <v>https://d0f6bd738d7f1b3e5a7ca70fe4ff75f0.us-east-1.aws.found.io/app/kibana#/discover/Steve-Slow-Train-Analysis-(2080s-and-2083s)?_g=(refreshInterval:(display:Off,pause:!f,section:0,value:0),time:(from:'2017-10-10T14:57:28-0600',mode:absolute,to:'2017-10-10T17:50:06-0600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766</v>
      </c>
      <c r="B108" s="7">
        <v>4050</v>
      </c>
      <c r="C108" s="21" t="s">
        <v>194</v>
      </c>
      <c r="D108" s="21" t="s">
        <v>338</v>
      </c>
      <c r="E108" s="13">
        <v>43018.641689814816</v>
      </c>
      <c r="F108" s="13">
        <v>43018.646018518521</v>
      </c>
      <c r="G108" s="7">
        <v>70</v>
      </c>
      <c r="H108" s="21" t="s">
        <v>898</v>
      </c>
      <c r="I108" s="13">
        <v>43018.671388888892</v>
      </c>
      <c r="J108" s="7">
        <v>0</v>
      </c>
      <c r="K108" s="89" t="str">
        <f t="shared" si="36"/>
        <v>4049/4050</v>
      </c>
      <c r="L108" s="185" t="str">
        <f>VLOOKUP(A108,'Trips&amp;Operators'!$C$1:$G$99911,5,FALSE)</f>
        <v>LEVERE CRAIG</v>
      </c>
      <c r="M108" s="6">
        <f t="shared" si="37"/>
        <v>2.5370370371092577E-2</v>
      </c>
      <c r="N108" s="7">
        <f t="shared" si="54"/>
        <v>36.53333333437331</v>
      </c>
      <c r="O108" s="7"/>
      <c r="P108" s="7"/>
      <c r="Q108" s="22"/>
      <c r="R108" s="174"/>
      <c r="S108" s="221">
        <f t="shared" si="55"/>
        <v>1</v>
      </c>
      <c r="T108" s="174" t="str">
        <f t="shared" si="39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0"/>
        <v>https://d0f6bd738d7f1b3e5a7ca70fe4ff75f0.us-east-1.aws.found.io/app/kibana#/discover/Steve-Slow-Train-Analysis-(2080s-and-2083s)?_g=(refreshInterval:(display:Off,pause:!f,section:0,value:0),time:(from:'2017-10-10T14:24:02-0600',mode:absolute,to:'2017-10-10T17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8" s="204" t="str">
        <f>IF(AA108&lt;VLOOKUP(AG108,Variables!$AC$3:$AD$8,2,FALSE),"Y","N")</f>
        <v>N</v>
      </c>
      <c r="X108" s="204">
        <f t="shared" si="41"/>
        <v>1</v>
      </c>
      <c r="Y108" s="204">
        <f t="shared" si="42"/>
        <v>4.53E-2</v>
      </c>
      <c r="Z108" s="204">
        <f t="shared" si="43"/>
        <v>23.334599999999998</v>
      </c>
      <c r="AA108" s="204">
        <f t="shared" si="44"/>
        <v>23.289299999999997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5"/>
        <v>195</v>
      </c>
      <c r="AE108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08" s="74" t="str">
        <f t="shared" si="47"/>
        <v>"C:\Program Files (x86)\AstroGrep\AstroGrep.exe" /e /r /s /spath="%USERPROFILE%\AppData\Local\Temp\OnboardLogs" /stypes="app*4050*20171010*" /stext=" 22:.+((SYSTEM_STATE.+slice.+state.+changed )|(ment ac)|(multiple cpu faults)|(system.+state.+changed )|(\[timeout)|(PRM\|1\|D)|(kpr)|(kdp)|(train st.+moving)|(\|lc)|(penalty))"</v>
      </c>
      <c r="AG108" s="182" t="str">
        <f t="shared" si="48"/>
        <v>EC</v>
      </c>
      <c r="AH108" s="78" t="str">
        <f t="shared" si="49"/>
        <v>"%USERPROFILE%\Documents\GitHub\eaglep3\Utilities\RefineRTDCRunTimes.py" --tripid 195-10 --locoid 4050 --swversion DE.1.0.9.0 --startMP 204:453 --initTime 2017-10-10T15:24:02 --startdatetime 2017-10-10T15:30:16 --delay 70 --endMP 204:233346 --enddatetime 2017-10-10T16:06:48 --enforcementcount 0 &gt;&gt;%USERPROFILE%\Documents\GitHub\eaglep3-reporting\EC\2017-10-10-refined-times.txt</v>
      </c>
      <c r="AI10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{"issue":{"subject":"","project_id":79,"tracker_id":40,"status_id":1,"priority_id":2,"assigned_to_id":338,"start_date":"2017-10-10","description":"","custom_fields":[{"id":1,"name":"Subdivision","value":"EC"},{"id":4,"name":"Milepost","value":"23.3346"},{"id":17,"name":"Train ID","value":"195-10"},{"id":16,"name":"Locomotive ID","value":"4050"},{"id":130,"name":"Impact","value":""},{"id":150,"name":"Time of Event (Mountain Time)","value":"16:06:48"},{"id":151,"name":"Denver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1"/>
        <v>start /low /b %USERPROFILE%\Documents\GitHub\eaglep3\Utilities\DownloadLogsFromS3.py --loco 4050 --day 2017-10-10</v>
      </c>
      <c r="AN10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3"/>
        <v>https://d0f6bd738d7f1b3e5a7ca70fe4ff75f0.us-east-1.aws.found.io/app/kibana#/discover/Steve-Slow-Train-Analysis-(2080s-and-2083s)?_g=(refreshInterval:(display:Off,pause:!f,section:0,value:0),time:(from:'2017-10-10T14:24:02-0600',mode:absolute,to:'2017-10-10T17:06:48-0600'))&amp;_a=(columns:!('Message%20ID',Summary),filters:!(),index:'emp_*',interval:auto,query:(query_string:(analyze_wildcard:!t,query:'%22rtdc.l.rtdc.4050%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4049</v>
      </c>
      <c r="C109" s="21" t="s">
        <v>194</v>
      </c>
      <c r="D109" s="21" t="s">
        <v>903</v>
      </c>
      <c r="E109" s="13">
        <v>43018.680393518516</v>
      </c>
      <c r="F109" s="13">
        <v>43018.685659722221</v>
      </c>
      <c r="G109" s="7">
        <v>72</v>
      </c>
      <c r="H109" s="21" t="s">
        <v>335</v>
      </c>
      <c r="I109" s="13">
        <v>43018.713206018518</v>
      </c>
      <c r="J109" s="7">
        <v>0</v>
      </c>
      <c r="K109" s="89" t="str">
        <f t="shared" ref="K109:K140" si="56">IF(ISEVEN(B109),(B109-1)&amp;"/"&amp;B109,B109&amp;"/"&amp;(B109+1))</f>
        <v>4049/4050</v>
      </c>
      <c r="L109" s="185" t="str">
        <f>VLOOKUP(A109,'Trips&amp;Operators'!$C$1:$G$99911,5,FALSE)</f>
        <v>LEVERE CRAIG</v>
      </c>
      <c r="M109" s="6">
        <f t="shared" ref="M109:M140" si="57">I109-F109</f>
        <v>2.7546296296350192E-2</v>
      </c>
      <c r="N109" s="7">
        <f t="shared" si="54"/>
        <v>39.666666666744277</v>
      </c>
      <c r="O109" s="7"/>
      <c r="P109" s="7"/>
      <c r="Q109" s="22"/>
      <c r="R109" s="174"/>
      <c r="S109" s="221">
        <f t="shared" si="55"/>
        <v>1</v>
      </c>
      <c r="T109" s="174" t="str">
        <f t="shared" ref="T109:T140" si="58"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0"/>
        <v>https://d0f6bd738d7f1b3e5a7ca70fe4ff75f0.us-east-1.aws.found.io/app/kibana#/discover/Steve-Slow-Train-Analysis-(2080s-and-2083s)?_g=(refreshInterval:(display:Off,pause:!f,section:0,value:0),time:(from:'2017-10-10T15:19:46-0600',mode:absolute,to:'2017-10-10T18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9" s="204" t="str">
        <f>IF(AA109&lt;VLOOKUP(AG109,Variables!$AC$3:$AD$8,2,FALSE),"Y","N")</f>
        <v>N</v>
      </c>
      <c r="X109" s="204">
        <f t="shared" ref="X109:X140" si="59">VALUE(LEFT(AD109,4))-VALUE(LEFT(AD108,4))</f>
        <v>1</v>
      </c>
      <c r="Y109" s="204">
        <f t="shared" ref="Y109:Y117" si="60">RIGHT(D109,LEN(D109)-4)/10000</f>
        <v>23.300799999999999</v>
      </c>
      <c r="Z109" s="204">
        <f t="shared" ref="Z109:Z117" si="61">RIGHT(H109,LEN(H109)-4)/10000</f>
        <v>1.4999999999999999E-2</v>
      </c>
      <c r="AA109" s="204">
        <f t="shared" ref="AA109:AA140" si="62">ABS(Z109-Y109)</f>
        <v>23.285799999999998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ref="AD109:AD140" si="63">VALUE(LEFT(A109,LEN(A109)-3))</f>
        <v>196</v>
      </c>
      <c r="AE109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09" s="74" t="str">
        <f t="shared" si="47"/>
        <v>"C:\Program Files (x86)\AstroGrep\AstroGrep.exe" /e /r /s /spath="%USERPROFILE%\AppData\Local\Temp\OnboardLogs" /stypes="app*4049*20171010*" /stext=" 23:.+((SYSTEM_STATE.+slice.+state.+changed )|(ment ac)|(multiple cpu faults)|(system.+state.+changed )|(\[timeout)|(PRM\|1\|D)|(kpr)|(kdp)|(train st.+moving)|(\|lc)|(penalty))"</v>
      </c>
      <c r="AG109" s="182" t="str">
        <f t="shared" ref="AG109:AG140" si="64">DetSubdiv(A109)</f>
        <v>EC</v>
      </c>
      <c r="AH109" s="78" t="str">
        <f t="shared" si="49"/>
        <v>"%USERPROFILE%\Documents\GitHub\eaglep3\Utilities\RefineRTDCRunTimes.py" --tripid 196-10 --locoid 4049 --swversion DE.1.0.9.0 --startMP 204:233008 --initTime 2017-10-10T16:19:46 --startdatetime 2017-10-10T16:27:21 --delay 72 --endMP 204:150 --enddatetime 2017-10-10T17:07:01 --enforcementcount 0 &gt;&gt;%USERPROFILE%\Documents\GitHub\eaglep3-reporting\EC\2017-10-10-refined-times.txt</v>
      </c>
      <c r="AI10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ID","value":"196-10"},{"id":16,"name":"Locomotive ID","value":"4049"},{"id":130,"name":"Impact","value":""},{"id":150,"name":"Time of Event (Mountain Time)","value":"17:07:01"},{"id":151,"name":"Denver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1"/>
        <v>start /low /b %USERPROFILE%\Documents\GitHub\eaglep3\Utilities\DownloadLogsFromS3.py --loco 4049 --day 2017-10-10</v>
      </c>
      <c r="AN10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3"/>
        <v>https://d0f6bd738d7f1b3e5a7ca70fe4ff75f0.us-east-1.aws.found.io/app/kibana#/discover/Steve-Slow-Train-Analysis-(2080s-and-2083s)?_g=(refreshInterval:(display:Off,pause:!f,section:0,value:0),time:(from:'2017-10-10T15:19:46-0600',mode:absolute,to:'2017-10-10T18:07:01-0600'))&amp;_a=(columns:!('Message%20ID',Summary),filters:!(),index:'emp_*',interval:auto,query:(query_string:(analyze_wildcard:!t,query:'%22rtdc.l.rtdc.4049%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769</v>
      </c>
      <c r="B110" s="7">
        <v>4056</v>
      </c>
      <c r="C110" s="21" t="s">
        <v>194</v>
      </c>
      <c r="D110" s="21" t="s">
        <v>858</v>
      </c>
      <c r="E110" s="13">
        <v>43018.65221064815</v>
      </c>
      <c r="F110" s="13">
        <v>43018.656423611108</v>
      </c>
      <c r="G110" s="7">
        <v>57</v>
      </c>
      <c r="H110" s="21" t="s">
        <v>425</v>
      </c>
      <c r="I110" s="13">
        <v>43018.681712962964</v>
      </c>
      <c r="J110" s="7">
        <v>0</v>
      </c>
      <c r="K110" s="89" t="str">
        <f t="shared" si="56"/>
        <v>4055/4056</v>
      </c>
      <c r="L110" s="185" t="str">
        <f>VLOOKUP(A110,'Trips&amp;Operators'!$C$1:$G$99911,5,FALSE)</f>
        <v>SAFIEF AEIMEN</v>
      </c>
      <c r="M110" s="6">
        <f t="shared" si="57"/>
        <v>2.5289351855462883E-2</v>
      </c>
      <c r="N110" s="7">
        <f t="shared" si="54"/>
        <v>36.416666671866551</v>
      </c>
      <c r="O110" s="7"/>
      <c r="P110" s="7"/>
      <c r="Q110" s="22"/>
      <c r="R110" s="174"/>
      <c r="S110" s="221">
        <f t="shared" si="55"/>
        <v>1</v>
      </c>
      <c r="T110" s="174" t="str">
        <f t="shared" si="58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0"/>
        <v>https://d0f6bd738d7f1b3e5a7ca70fe4ff75f0.us-east-1.aws.found.io/app/kibana#/discover/Steve-Slow-Train-Analysis-(2080s-and-2083s)?_g=(refreshInterval:(display:Off,pause:!f,section:0,value:0),time:(from:'2017-10-10T14:39:11-0600',mode:absolute,to:'2017-10-10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204" t="str">
        <f>IF(AA110&lt;VLOOKUP(AG110,Variables!$AC$3:$AD$8,2,FALSE),"Y","N")</f>
        <v>N</v>
      </c>
      <c r="X110" s="204">
        <f t="shared" si="59"/>
        <v>1</v>
      </c>
      <c r="Y110" s="204">
        <f t="shared" si="60"/>
        <v>4.4200000000000003E-2</v>
      </c>
      <c r="Z110" s="204">
        <f t="shared" si="61"/>
        <v>23.333600000000001</v>
      </c>
      <c r="AA110" s="204">
        <f t="shared" si="62"/>
        <v>23.289400000000001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63"/>
        <v>197</v>
      </c>
      <c r="AE110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110" s="74" t="str">
        <f t="shared" si="47"/>
        <v>"C:\Program Files (x86)\AstroGrep\AstroGrep.exe" /e /r /s /spath="%USERPROFILE%\AppData\Local\Temp\OnboardLogs" /stypes="app*4056*20171010*" /stext=" 22:.+((SYSTEM_STATE.+slice.+state.+changed )|(ment ac)|(multiple cpu faults)|(system.+state.+changed )|(\[timeout)|(PRM\|1\|D)|(kpr)|(kdp)|(train st.+moving)|(\|lc)|(penalty))"</v>
      </c>
      <c r="AG110" s="182" t="str">
        <f t="shared" si="64"/>
        <v>EC</v>
      </c>
      <c r="AH110" s="78" t="str">
        <f t="shared" si="49"/>
        <v>"%USERPROFILE%\Documents\GitHub\eaglep3\Utilities\RefineRTDCRunTimes.py" --tripid 197-10 --locoid 4056 --swversion DE.1.0.9.0 --startMP 204:442 --initTime 2017-10-10T15:39:11 --startdatetime 2017-10-10T15:45:15 --delay 57 --endMP 204:233336 --enddatetime 2017-10-10T16:21:40 --enforcementcount 0 &gt;&gt;%USERPROFILE%\Documents\GitHub\eaglep3-reporting\EC\2017-10-10-refined-times.txt</v>
      </c>
      <c r="AI11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{"issue":{"subject":"","project_id":79,"tracker_id":40,"status_id":1,"priority_id":2,"assigned_to_id":338,"start_date":"2017-10-10","description":"","custom_fields":[{"id":1,"name":"Subdivision","value":"EC"},{"id":4,"name":"Milepost","value":"23.3336"},{"id":17,"name":"Train ID","value":"197-10"},{"id":16,"name":"Locomotive ID","value":"4056"},{"id":130,"name":"Impact","value":""},{"id":150,"name":"Time of Event (Mountain Time)","value":"16:21:40"},{"id":151,"name":"Denver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1"/>
        <v>start /low /b %USERPROFILE%\Documents\GitHub\eaglep3\Utilities\DownloadLogsFromS3.py --loco 4056 --day 2017-10-10</v>
      </c>
      <c r="AN11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3"/>
        <v>https://d0f6bd738d7f1b3e5a7ca70fe4ff75f0.us-east-1.aws.found.io/app/kibana#/discover/Steve-Slow-Train-Analysis-(2080s-and-2083s)?_g=(refreshInterval:(display:Off,pause:!f,section:0,value:0),time:(from:'2017-10-10T14:39:11-0600',mode:absolute,to:'2017-10-10T17:21:40-0600'))&amp;_a=(columns:!('Message%20ID',Summary),filters:!(),index:'emp_*',interval:auto,query:(query_string:(analyze_wildcard:!t,query:'%22rtdc.l.rtdc.4056%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778</v>
      </c>
      <c r="B111" s="7">
        <v>4055</v>
      </c>
      <c r="C111" s="21" t="s">
        <v>194</v>
      </c>
      <c r="D111" s="21" t="s">
        <v>874</v>
      </c>
      <c r="E111" s="13">
        <v>43018.684745370374</v>
      </c>
      <c r="F111" s="13">
        <v>43018.696006944447</v>
      </c>
      <c r="G111" s="7">
        <v>136</v>
      </c>
      <c r="H111" s="21" t="s">
        <v>355</v>
      </c>
      <c r="I111" s="13">
        <v>43018.721655092595</v>
      </c>
      <c r="J111" s="7">
        <v>0</v>
      </c>
      <c r="K111" s="89" t="str">
        <f t="shared" si="56"/>
        <v>4055/4056</v>
      </c>
      <c r="L111" s="185" t="str">
        <f>VLOOKUP(A111,'Trips&amp;Operators'!$C$1:$G$99911,5,FALSE)</f>
        <v>SAFIEF AEIMEN</v>
      </c>
      <c r="M111" s="6">
        <f t="shared" si="57"/>
        <v>2.5648148148320615E-2</v>
      </c>
      <c r="N111" s="7">
        <f t="shared" si="54"/>
        <v>36.933333333581686</v>
      </c>
      <c r="O111" s="7"/>
      <c r="P111" s="7"/>
      <c r="Q111" s="22"/>
      <c r="R111" s="174"/>
      <c r="S111" s="221">
        <f t="shared" si="55"/>
        <v>1</v>
      </c>
      <c r="T111" s="174" t="str">
        <f t="shared" si="58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0"/>
        <v>https://d0f6bd738d7f1b3e5a7ca70fe4ff75f0.us-east-1.aws.found.io/app/kibana#/discover/Steve-Slow-Train-Analysis-(2080s-and-2083s)?_g=(refreshInterval:(display:Off,pause:!f,section:0,value:0),time:(from:'2017-10-10T15:26:02-0600',mode:absolute,to:'2017-10-10T18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204" t="str">
        <f>IF(AA111&lt;VLOOKUP(AG111,Variables!$AC$3:$AD$8,2,FALSE),"Y","N")</f>
        <v>N</v>
      </c>
      <c r="X111" s="204">
        <f t="shared" si="59"/>
        <v>1</v>
      </c>
      <c r="Y111" s="204">
        <f t="shared" si="60"/>
        <v>23.3003</v>
      </c>
      <c r="Z111" s="204">
        <f t="shared" si="61"/>
        <v>1.52E-2</v>
      </c>
      <c r="AA111" s="204">
        <f t="shared" si="62"/>
        <v>23.2851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63"/>
        <v>198</v>
      </c>
      <c r="AE111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111" s="74" t="str">
        <f t="shared" si="47"/>
        <v>"C:\Program Files (x86)\AstroGrep\AstroGrep.exe" /e /r /s /spath="%USERPROFILE%\AppData\Local\Temp\OnboardLogs" /stypes="app*4055*20171010*" /stext=" 23:.+((SYSTEM_STATE.+slice.+state.+changed )|(ment ac)|(multiple cpu faults)|(system.+state.+changed )|(\[timeout)|(PRM\|1\|D)|(kpr)|(kdp)|(train st.+moving)|(\|lc)|(penalty))"</v>
      </c>
      <c r="AG111" s="182" t="str">
        <f t="shared" si="64"/>
        <v>EC</v>
      </c>
      <c r="AH111" s="78" t="str">
        <f t="shared" si="49"/>
        <v>"%USERPROFILE%\Documents\GitHub\eaglep3\Utilities\RefineRTDCRunTimes.py" --tripid 198-10 --locoid 4055 --swversion DE.1.0.9.0 --startMP 204:233003 --initTime 2017-10-10T16:26:02 --startdatetime 2017-10-10T16:42:15 --delay 136 --endMP 204:152 --enddatetime 2017-10-10T17:19:11 --enforcementcount 0 &gt;&gt;%USERPROFILE%\Documents\GitHub\eaglep3-reporting\EC\2017-10-10-refined-times.txt</v>
      </c>
      <c r="AI11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ID","value":"198-10"},{"id":16,"name":"Locomotive ID","value":"4055"},{"id":130,"name":"Impact","value":""},{"id":150,"name":"Time of Event (Mountain Time)","value":"17:19:11"},{"id":151,"name":"Denver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1"/>
        <v>start /low /b %USERPROFILE%\Documents\GitHub\eaglep3\Utilities\DownloadLogsFromS3.py --loco 4055 --day 2017-10-10</v>
      </c>
      <c r="AN11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3"/>
        <v>https://d0f6bd738d7f1b3e5a7ca70fe4ff75f0.us-east-1.aws.found.io/app/kibana#/discover/Steve-Slow-Train-Analysis-(2080s-and-2083s)?_g=(refreshInterval:(display:Off,pause:!f,section:0,value:0),time:(from:'2017-10-10T15:26:02-0600',mode:absolute,to:'2017-10-10T18:19:11-0600'))&amp;_a=(columns:!('Message%20ID',Summary),filters:!(),index:'emp_*',interval:auto,query:(query_string:(analyze_wildcard:!t,query:'%22rtdc.l.rtdc.4055%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603</v>
      </c>
      <c r="B112" s="7">
        <v>4066</v>
      </c>
      <c r="C112" s="21" t="s">
        <v>194</v>
      </c>
      <c r="D112" s="21" t="s">
        <v>875</v>
      </c>
      <c r="E112" s="13">
        <v>43018.665034722224</v>
      </c>
      <c r="F112" s="13">
        <v>43018.667048611111</v>
      </c>
      <c r="G112" s="7">
        <v>52</v>
      </c>
      <c r="H112" s="21" t="s">
        <v>438</v>
      </c>
      <c r="I112" s="13">
        <v>43018.693726851852</v>
      </c>
      <c r="J112" s="7">
        <v>0</v>
      </c>
      <c r="K112" s="89" t="str">
        <f t="shared" si="56"/>
        <v>4065/4066</v>
      </c>
      <c r="L112" s="185" t="str">
        <f>VLOOKUP(A112,'Trips&amp;Operators'!$C$1:$G$99911,5,FALSE)</f>
        <v>DAVIS MICHAEL</v>
      </c>
      <c r="M112" s="6">
        <f t="shared" si="57"/>
        <v>2.6678240741603076E-2</v>
      </c>
      <c r="N112" s="7">
        <f t="shared" si="54"/>
        <v>38.41666666790843</v>
      </c>
      <c r="O112" s="7"/>
      <c r="P112" s="7"/>
      <c r="Q112" s="22"/>
      <c r="R112" s="174"/>
      <c r="S112" s="221">
        <f t="shared" si="55"/>
        <v>1</v>
      </c>
      <c r="T112" s="174" t="str">
        <f t="shared" si="58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0"/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2" s="204" t="str">
        <f>IF(AA112&lt;VLOOKUP(AG112,Variables!$AC$3:$AD$8,2,FALSE),"Y","N")</f>
        <v>N</v>
      </c>
      <c r="X112" s="204">
        <f t="shared" si="59"/>
        <v>1</v>
      </c>
      <c r="Y112" s="204">
        <f t="shared" si="60"/>
        <v>4.6199999999999998E-2</v>
      </c>
      <c r="Z112" s="204">
        <f t="shared" si="61"/>
        <v>23.335699999999999</v>
      </c>
      <c r="AA112" s="204">
        <f t="shared" si="62"/>
        <v>23.2895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63"/>
        <v>199</v>
      </c>
      <c r="AE112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12" s="74" t="str">
        <f t="shared" si="47"/>
        <v>"C:\Program Files (x86)\AstroGrep\AstroGrep.exe" /e /r /s /spath="%USERPROFILE%\AppData\Local\Temp\OnboardLogs" /stypes="app*4066*20171010*" /stext=" 22:.+((SYSTEM_STATE.+slice.+state.+changed )|(ment ac)|(multiple cpu faults)|(system.+state.+changed )|(\[timeout)|(PRM\|1\|D)|(kpr)|(kdp)|(train st.+moving)|(\|lc)|(penalty))"</v>
      </c>
      <c r="AG112" s="182" t="str">
        <f t="shared" si="64"/>
        <v>EC</v>
      </c>
      <c r="AH112" s="78" t="str">
        <f t="shared" si="49"/>
        <v>"%USERPROFILE%\Documents\GitHub\eaglep3\Utilities\RefineRTDCRunTimes.py" --tripid 199-10 --locoid 4066 --swversion DE.1.0.9.0 --startMP 204:462 --initTime 2017-10-10T15:57:39 --startdatetime 2017-10-10T16:00:33 --delay 52 --endMP 204:233357 --enddatetime 2017-10-10T16:38:58 --enforcementcount 0 &gt;&gt;%USERPROFILE%\Documents\GitHub\eaglep3-reporting\EC\2017-10-10-refined-times.txt</v>
      </c>
      <c r="AI11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{"issue":{"subject":"","project_id":79,"tracker_id":40,"status_id":1,"priority_id":2,"assigned_to_id":338,"start_date":"2017-10-10","description":"","custom_fields":[{"id":1,"name":"Subdivision","value":"EC"},{"id":4,"name":"Milepost","value":"23.3357"},{"id":17,"name":"Train ID","value":"199-10"},{"id":16,"name":"Locomotive ID","value":"4066"},{"id":130,"name":"Impact","value":""},{"id":150,"name":"Time of Event (Mountain Time)","value":"16:38:58"},{"id":151,"name":"Denver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1"/>
        <v>start /low /b %USERPROFILE%\Documents\GitHub\eaglep3\Utilities\DownloadLogsFromS3.py --loco 4066 --day 2017-10-10</v>
      </c>
      <c r="AN11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3"/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Message%20ID',Summary),filters:!(),index:'emp_*',interval:auto,query:(query_string:(analyze_wildcard:!t,query:'%22rtdc.l.rtdc.4066%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783</v>
      </c>
      <c r="B113" s="7">
        <v>4065</v>
      </c>
      <c r="C113" s="21" t="s">
        <v>194</v>
      </c>
      <c r="D113" s="21" t="s">
        <v>552</v>
      </c>
      <c r="E113" s="13">
        <v>43018.703761574077</v>
      </c>
      <c r="F113" s="13">
        <v>43018.706736111111</v>
      </c>
      <c r="G113" s="7">
        <v>65</v>
      </c>
      <c r="H113" s="21" t="s">
        <v>336</v>
      </c>
      <c r="I113" s="13">
        <v>43018.734097222223</v>
      </c>
      <c r="J113" s="7">
        <v>0</v>
      </c>
      <c r="K113" s="89" t="str">
        <f t="shared" si="56"/>
        <v>4065/4066</v>
      </c>
      <c r="L113" s="185" t="str">
        <f>VLOOKUP(A113,'Trips&amp;Operators'!$C$1:$G$99911,5,FALSE)</f>
        <v>DAVIS MICHAEL</v>
      </c>
      <c r="M113" s="6">
        <f t="shared" si="57"/>
        <v>2.73611111115315E-2</v>
      </c>
      <c r="N113" s="7">
        <f t="shared" si="54"/>
        <v>39.40000000060536</v>
      </c>
      <c r="O113" s="7"/>
      <c r="P113" s="7"/>
      <c r="Q113" s="22"/>
      <c r="R113" s="174"/>
      <c r="S113" s="221">
        <f t="shared" si="55"/>
        <v>1</v>
      </c>
      <c r="T113" s="174" t="str">
        <f t="shared" si="58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0"/>
        <v>https://d0f6bd738d7f1b3e5a7ca70fe4ff75f0.us-east-1.aws.found.io/app/kibana#/discover/Steve-Slow-Train-Analysis-(2080s-and-2083s)?_g=(refreshInterval:(display:Off,pause:!f,section:0,value:0),time:(from:'2017-10-10T15:53:25-0600',mode:absolute,to:'2017-10-10T18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3" s="204" t="str">
        <f>IF(AA113&lt;VLOOKUP(AG113,Variables!$AC$3:$AD$8,2,FALSE),"Y","N")</f>
        <v>N</v>
      </c>
      <c r="X113" s="204">
        <f t="shared" si="59"/>
        <v>1</v>
      </c>
      <c r="Y113" s="204">
        <f t="shared" si="60"/>
        <v>23.302099999999999</v>
      </c>
      <c r="Z113" s="204">
        <f t="shared" si="61"/>
        <v>1.49E-2</v>
      </c>
      <c r="AA113" s="204">
        <f t="shared" si="62"/>
        <v>23.287199999999999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63"/>
        <v>200</v>
      </c>
      <c r="AE113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13" s="74" t="str">
        <f t="shared" si="47"/>
        <v>"C:\Program Files (x86)\AstroGrep\AstroGrep.exe" /e /r /s /spath="%USERPROFILE%\AppData\Local\Temp\OnboardLogs" /stypes="app*4065*20171010*" /stext=" 23:.+((SYSTEM_STATE.+slice.+state.+changed )|(ment ac)|(multiple cpu faults)|(system.+state.+changed )|(\[timeout)|(PRM\|1\|D)|(kpr)|(kdp)|(train st.+moving)|(\|lc)|(penalty))"</v>
      </c>
      <c r="AG113" s="182" t="str">
        <f t="shared" si="64"/>
        <v>EC</v>
      </c>
      <c r="AH113" s="78" t="str">
        <f t="shared" si="49"/>
        <v>"%USERPROFILE%\Documents\GitHub\eaglep3\Utilities\RefineRTDCRunTimes.py" --tripid 200-10 --locoid 4065 --swversion DE.1.0.9.0 --startMP 204:233021 --initTime 2017-10-10T16:53:25 --startdatetime 2017-10-10T16:57:42 --delay 65 --endMP 204:149 --enddatetime 2017-10-10T17:37:06 --enforcementcount 0 &gt;&gt;%USERPROFILE%\Documents\GitHub\eaglep3-reporting\EC\2017-10-10-refined-times.txt</v>
      </c>
      <c r="AI11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ID","value":"200-10"},{"id":16,"name":"Locomotive ID","value":"4065"},{"id":130,"name":"Impact","value":""},{"id":150,"name":"Time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1"/>
        <v>start /low /b %USERPROFILE%\Documents\GitHub\eaglep3\Utilities\DownloadLogsFromS3.py --loco 4065 --day 2017-10-10</v>
      </c>
      <c r="AN11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3"/>
        <v>https://d0f6bd738d7f1b3e5a7ca70fe4ff75f0.us-east-1.aws.found.io/app/kibana#/discover/Steve-Slow-Train-Analysis-(2080s-and-2083s)?_g=(refreshInterval:(display:Off,pause:!f,section:0,value:0),time:(from:'2017-10-10T15:53:25-0600',mode:absolute,to:'2017-10-10T18:37:06-0600'))&amp;_a=(columns:!('Message%20ID',Summary),filters:!(),index:'emp_*',interval:auto,query:(query_string:(analyze_wildcard:!t,query:'%22rtdc.l.rtdc.4065%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774</v>
      </c>
      <c r="B114" s="7">
        <v>4054</v>
      </c>
      <c r="C114" s="21" t="s">
        <v>194</v>
      </c>
      <c r="D114" s="21" t="s">
        <v>345</v>
      </c>
      <c r="E114" s="13">
        <v>43018.674479166664</v>
      </c>
      <c r="F114" s="13">
        <v>43018.67728009259</v>
      </c>
      <c r="G114" s="7">
        <v>53</v>
      </c>
      <c r="H114" s="21" t="s">
        <v>856</v>
      </c>
      <c r="I114" s="13">
        <v>43018.702534722222</v>
      </c>
      <c r="J114" s="7">
        <v>0</v>
      </c>
      <c r="K114" s="89" t="str">
        <f t="shared" si="56"/>
        <v>4053/4054</v>
      </c>
      <c r="L114" s="185" t="str">
        <f>VLOOKUP(A114,'Trips&amp;Operators'!$C$1:$G$99911,5,FALSE)</f>
        <v>SMITH MICHAEL</v>
      </c>
      <c r="M114" s="6">
        <f t="shared" si="57"/>
        <v>2.5254629632399883E-2</v>
      </c>
      <c r="N114" s="7">
        <f t="shared" si="54"/>
        <v>36.366666670655832</v>
      </c>
      <c r="O114" s="7"/>
      <c r="P114" s="7"/>
      <c r="Q114" s="22"/>
      <c r="R114" s="174"/>
      <c r="S114" s="221">
        <f t="shared" si="55"/>
        <v>1</v>
      </c>
      <c r="T114" s="174" t="str">
        <f t="shared" si="58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0"/>
        <v>https://d0f6bd738d7f1b3e5a7ca70fe4ff75f0.us-east-1.aws.found.io/app/kibana#/discover/Steve-Slow-Train-Analysis-(2080s-and-2083s)?_g=(refreshInterval:(display:Off,pause:!f,section:0,value:0),time:(from:'2017-10-10T15:11:15-0600',mode:absolute,to:'2017-10-10T17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204" t="str">
        <f>IF(AA114&lt;VLOOKUP(AG114,Variables!$AC$3:$AD$8,2,FALSE),"Y","N")</f>
        <v>N</v>
      </c>
      <c r="X114" s="204">
        <f t="shared" si="59"/>
        <v>1</v>
      </c>
      <c r="Y114" s="204">
        <f t="shared" si="60"/>
        <v>4.5499999999999999E-2</v>
      </c>
      <c r="Z114" s="204">
        <f t="shared" si="61"/>
        <v>23.328399999999998</v>
      </c>
      <c r="AA114" s="204">
        <f t="shared" si="62"/>
        <v>23.282899999999998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63"/>
        <v>201</v>
      </c>
      <c r="AE114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114" s="74" t="str">
        <f t="shared" si="47"/>
        <v>"C:\Program Files (x86)\AstroGrep\AstroGrep.exe" /e /r /s /spath="%USERPROFILE%\AppData\Local\Temp\OnboardLogs" /stypes="app*4054*20171010*" /stext=" 22:.+((SYSTEM_STATE.+slice.+state.+changed )|(ment ac)|(multiple cpu faults)|(system.+state.+changed )|(\[timeout)|(PRM\|1\|D)|(kpr)|(kdp)|(train st.+moving)|(\|lc)|(penalty))"</v>
      </c>
      <c r="AG114" s="182" t="str">
        <f t="shared" si="64"/>
        <v>EC</v>
      </c>
      <c r="AH114" s="78" t="str">
        <f t="shared" si="49"/>
        <v>"%USERPROFILE%\Documents\GitHub\eaglep3\Utilities\RefineRTDCRunTimes.py" --tripid 201-10 --locoid 4054 --swversion DE.1.0.9.0 --startMP 204:455 --initTime 2017-10-10T16:11:15 --startdatetime 2017-10-10T16:15:17 --delay 53 --endMP 204:233284 --enddatetime 2017-10-10T16:51:39 --enforcementcount 0 &gt;&gt;%USERPROFILE%\Documents\GitHub\eaglep3-reporting\EC\2017-10-10-refined-times.txt</v>
      </c>
      <c r="AI11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{"issue":{"subject":"","project_id":79,"tracker_id":40,"status_id":1,"priority_id":2,"assigned_to_id":338,"start_date":"2017-10-10","description":"","custom_fields":[{"id":1,"name":"Subdivision","value":"EC"},{"id":4,"name":"Milepost","value":"23.3284"},{"id":17,"name":"Train ID","value":"201-10"},{"id":16,"name":"Locomotive ID","value":"4054"},{"id":130,"name":"Impact","value":""},{"id":150,"name":"Time of Event (Mountain Time)","value":"16:51:39"},{"id":151,"name":"Denver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1"/>
        <v>start /low /b %USERPROFILE%\Documents\GitHub\eaglep3\Utilities\DownloadLogsFromS3.py --loco 4054 --day 2017-10-10</v>
      </c>
      <c r="AN11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3"/>
        <v>https://d0f6bd738d7f1b3e5a7ca70fe4ff75f0.us-east-1.aws.found.io/app/kibana#/discover/Steve-Slow-Train-Analysis-(2080s-and-2083s)?_g=(refreshInterval:(display:Off,pause:!f,section:0,value:0),time:(from:'2017-10-10T15:11:15-0600',mode:absolute,to:'2017-10-10T17:51:39-0600'))&amp;_a=(columns:!('Message%20ID',Summary),filters:!(),index:'emp_*',interval:auto,query:(query_string:(analyze_wildcard:!t,query:'%22rtdc.l.rtdc.4054%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786</v>
      </c>
      <c r="B115" s="7">
        <v>4053</v>
      </c>
      <c r="C115" s="21" t="s">
        <v>194</v>
      </c>
      <c r="D115" s="21" t="s">
        <v>556</v>
      </c>
      <c r="E115" s="13">
        <v>43018.710324074076</v>
      </c>
      <c r="F115" s="13">
        <v>43018.716898148145</v>
      </c>
      <c r="G115" s="7">
        <v>68</v>
      </c>
      <c r="H115" s="21" t="s">
        <v>335</v>
      </c>
      <c r="I115" s="13">
        <v>43018.747256944444</v>
      </c>
      <c r="J115" s="7">
        <v>0</v>
      </c>
      <c r="K115" s="89" t="str">
        <f t="shared" si="56"/>
        <v>4053/4054</v>
      </c>
      <c r="L115" s="185" t="str">
        <f>VLOOKUP(A115,'Trips&amp;Operators'!$C$1:$G$99911,5,FALSE)</f>
        <v>SMITH MICHAEL</v>
      </c>
      <c r="M115" s="6">
        <f t="shared" si="57"/>
        <v>3.0358796298969537E-2</v>
      </c>
      <c r="N115" s="7">
        <f t="shared" si="54"/>
        <v>43.716666670516133</v>
      </c>
      <c r="O115" s="7"/>
      <c r="P115" s="7"/>
      <c r="Q115" s="22"/>
      <c r="R115" s="174"/>
      <c r="S115" s="221">
        <f t="shared" si="55"/>
        <v>1</v>
      </c>
      <c r="T115" s="174" t="str">
        <f t="shared" si="58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0"/>
        <v>https://d0f6bd738d7f1b3e5a7ca70fe4ff75f0.us-east-1.aws.found.io/app/kibana#/discover/Steve-Slow-Train-Analysis-(2080s-and-2083s)?_g=(refreshInterval:(display:Off,pause:!f,section:0,value:0),time:(from:'2017-10-10T16:02:52-0600',mode:absolute,to:'2017-10-10T18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204" t="str">
        <f>IF(AA115&lt;VLOOKUP(AG115,Variables!$AC$3:$AD$8,2,FALSE),"Y","N")</f>
        <v>N</v>
      </c>
      <c r="X115" s="204">
        <f t="shared" si="59"/>
        <v>1</v>
      </c>
      <c r="Y115" s="204">
        <f t="shared" si="60"/>
        <v>23.298400000000001</v>
      </c>
      <c r="Z115" s="204">
        <f t="shared" si="61"/>
        <v>1.4999999999999999E-2</v>
      </c>
      <c r="AA115" s="204">
        <f t="shared" si="62"/>
        <v>23.2834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63"/>
        <v>202</v>
      </c>
      <c r="AE115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15" s="74" t="str">
        <f t="shared" si="47"/>
        <v>"C:\Program Files (x86)\AstroGrep\AstroGrep.exe" /e /r /s /spath="%USERPROFILE%\AppData\Local\Temp\OnboardLogs" /stypes="app*4053*20171010*" /stext=" 23:.+((SYSTEM_STATE.+slice.+state.+changed )|(ment ac)|(multiple cpu faults)|(system.+state.+changed )|(\[timeout)|(PRM\|1\|D)|(kpr)|(kdp)|(train st.+moving)|(\|lc)|(penalty))"</v>
      </c>
      <c r="AG115" s="182" t="str">
        <f t="shared" si="64"/>
        <v>EC</v>
      </c>
      <c r="AH115" s="78" t="str">
        <f t="shared" si="49"/>
        <v>"%USERPROFILE%\Documents\GitHub\eaglep3\Utilities\RefineRTDCRunTimes.py" --tripid 202-10 --locoid 4053 --swversion DE.1.0.9.0 --startMP 204:232984 --initTime 2017-10-10T17:02:52 --startdatetime 2017-10-10T17:12:20 --delay 68 --endMP 204:150 --enddatetime 2017-10-10T17:56:03 --enforcementcount 0 &gt;&gt;%USERPROFILE%\Documents\GitHub\eaglep3-reporting\EC\2017-10-10-refined-times.txt</v>
      </c>
      <c r="AI11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ID","value":"202-10"},{"id":16,"name":"Locomotive ID","value":"4053"},{"id":130,"name":"Impact","value":""},{"id":150,"name":"Time of Event (Mountain Time)","value":"17:56:03"},{"id":151,"name":"Denver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1"/>
        <v>start /low /b %USERPROFILE%\Documents\GitHub\eaglep3\Utilities\DownloadLogsFromS3.py --loco 4053 --day 2017-10-10</v>
      </c>
      <c r="AN11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3"/>
        <v>https://d0f6bd738d7f1b3e5a7ca70fe4ff75f0.us-east-1.aws.found.io/app/kibana#/discover/Steve-Slow-Train-Analysis-(2080s-and-2083s)?_g=(refreshInterval:(display:Off,pause:!f,section:0,value:0),time:(from:'2017-10-10T16:02:52-0600',mode:absolute,to:'2017-10-10T18:56:03-0600'))&amp;_a=(columns:!('Message%20ID',Summary),filters:!(),index:'emp_*',interval:auto,query:(query_string:(analyze_wildcard:!t,query:'%22rtdc.l.rtdc.4053%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776</v>
      </c>
      <c r="B116" s="7">
        <v>4020</v>
      </c>
      <c r="C116" s="21" t="s">
        <v>194</v>
      </c>
      <c r="D116" s="21" t="s">
        <v>381</v>
      </c>
      <c r="E116" s="13">
        <v>43018.682569444441</v>
      </c>
      <c r="F116" s="13">
        <v>43018.687719907408</v>
      </c>
      <c r="G116" s="7">
        <v>75</v>
      </c>
      <c r="H116" s="21" t="s">
        <v>484</v>
      </c>
      <c r="I116" s="13">
        <v>43018.712951388887</v>
      </c>
      <c r="J116" s="7">
        <v>0</v>
      </c>
      <c r="K116" s="89" t="str">
        <f t="shared" si="56"/>
        <v>4019/4020</v>
      </c>
      <c r="L116" s="185" t="str">
        <f>VLOOKUP(A116,'Trips&amp;Operators'!$C$1:$G$99911,5,FALSE)</f>
        <v>BRUDER RICHARD</v>
      </c>
      <c r="M116" s="6">
        <f t="shared" si="57"/>
        <v>2.5231481478840578E-2</v>
      </c>
      <c r="N116" s="7">
        <f t="shared" si="54"/>
        <v>36.333333329530433</v>
      </c>
      <c r="O116" s="7"/>
      <c r="P116" s="7"/>
      <c r="Q116" s="22"/>
      <c r="R116" s="174"/>
      <c r="S116" s="221">
        <f t="shared" si="55"/>
        <v>1</v>
      </c>
      <c r="T116" s="174" t="str">
        <f t="shared" si="58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0"/>
        <v>https://d0f6bd738d7f1b3e5a7ca70fe4ff75f0.us-east-1.aws.found.io/app/kibana#/discover/Steve-Slow-Train-Analysis-(2080s-and-2083s)?_g=(refreshInterval:(display:Off,pause:!f,section:0,value:0),time:(from:'2017-10-10T15:22:54-0600',mode:absolute,to:'2017-10-10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204" t="str">
        <f>IF(AA116&lt;VLOOKUP(AG116,Variables!$AC$3:$AD$8,2,FALSE),"Y","N")</f>
        <v>N</v>
      </c>
      <c r="X116" s="204">
        <f t="shared" si="59"/>
        <v>1</v>
      </c>
      <c r="Y116" s="204">
        <f t="shared" si="60"/>
        <v>4.5699999999999998E-2</v>
      </c>
      <c r="Z116" s="204">
        <f t="shared" si="61"/>
        <v>23.331399999999999</v>
      </c>
      <c r="AA116" s="204">
        <f t="shared" si="62"/>
        <v>23.285699999999999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63"/>
        <v>203</v>
      </c>
      <c r="AE116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16" s="74" t="str">
        <f t="shared" si="47"/>
        <v>"C:\Program Files (x86)\AstroGrep\AstroGrep.exe" /e /r /s /spath="%USERPROFILE%\AppData\Local\Temp\OnboardLogs" /stypes="app*4020*20171010*" /stext=" 23:.+((SYSTEM_STATE.+slice.+state.+changed )|(ment ac)|(multiple cpu faults)|(system.+state.+changed )|(\[timeout)|(PRM\|1\|D)|(kpr)|(kdp)|(train st.+moving)|(\|lc)|(penalty))"</v>
      </c>
      <c r="AG116" s="182" t="str">
        <f t="shared" si="64"/>
        <v>EC</v>
      </c>
      <c r="AH116" s="78" t="str">
        <f t="shared" si="49"/>
        <v>"%USERPROFILE%\Documents\GitHub\eaglep3\Utilities\RefineRTDCRunTimes.py" --tripid 203-10 --locoid 4020 --swversion DE.1.0.9.0 --startMP 204:457 --initTime 2017-10-10T16:22:54 --startdatetime 2017-10-10T16:30:19 --delay 75 --endMP 204:233314 --enddatetime 2017-10-10T17:06:39 --enforcementcount 0 &gt;&gt;%USERPROFILE%\Documents\GitHub\eaglep3-reporting\EC\2017-10-10-refined-times.txt</v>
      </c>
      <c r="AI11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ID","value":"203-10"},{"id":16,"name":"Locomotive ID","value":"4020"},{"id":130,"name":"Impact","value":""},{"id":150,"name":"Time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1"/>
        <v>start /low /b %USERPROFILE%\Documents\GitHub\eaglep3\Utilities\DownloadLogsFromS3.py --loco 4020 --day 2017-10-10</v>
      </c>
      <c r="AN11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3"/>
        <v>https://d0f6bd738d7f1b3e5a7ca70fe4ff75f0.us-east-1.aws.found.io/app/kibana#/discover/Steve-Slow-Train-Analysis-(2080s-and-2083s)?_g=(refreshInterval:(display:Off,pause:!f,section:0,value:0),time:(from:'2017-10-10T15:22:54-0600',mode:absolute,to:'2017-10-10T18:06:39-0600'))&amp;_a=(columns:!('Message%20ID',Summary),filters:!(),index:'emp_*',interval:auto,query:(query_string:(analyze_wildcard:!t,query:'%22rtdc.l.rtdc.4020%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606</v>
      </c>
      <c r="B117" s="7">
        <v>4019</v>
      </c>
      <c r="C117" s="21" t="s">
        <v>194</v>
      </c>
      <c r="D117" s="21" t="s">
        <v>887</v>
      </c>
      <c r="E117" s="13">
        <v>43018.723009259258</v>
      </c>
      <c r="F117" s="13">
        <v>43018.727268518516</v>
      </c>
      <c r="G117" s="7">
        <v>116</v>
      </c>
      <c r="H117" s="21" t="s">
        <v>559</v>
      </c>
      <c r="I117" s="13">
        <v>43018.755393518521</v>
      </c>
      <c r="J117" s="7">
        <v>0</v>
      </c>
      <c r="K117" s="89" t="str">
        <f t="shared" si="56"/>
        <v>4019/4020</v>
      </c>
      <c r="L117" s="185" t="str">
        <f>VLOOKUP(A117,'Trips&amp;Operators'!$C$1:$G$99911,5,FALSE)</f>
        <v>BRUDER RICHARD</v>
      </c>
      <c r="M117" s="6">
        <f t="shared" si="57"/>
        <v>2.8125000004365575E-2</v>
      </c>
      <c r="N117" s="7">
        <f t="shared" si="54"/>
        <v>40.500000006286427</v>
      </c>
      <c r="O117" s="7"/>
      <c r="P117" s="7"/>
      <c r="Q117" s="22"/>
      <c r="R117" s="174"/>
      <c r="S117" s="221">
        <f t="shared" si="55"/>
        <v>1</v>
      </c>
      <c r="T117" s="174" t="str">
        <f t="shared" si="58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204" t="str">
        <f>IF(AA117&lt;VLOOKUP(AG117,Variables!$AC$3:$AD$8,2,FALSE),"Y","N")</f>
        <v>N</v>
      </c>
      <c r="X117" s="204">
        <f t="shared" si="59"/>
        <v>1</v>
      </c>
      <c r="Y117" s="204">
        <f t="shared" si="60"/>
        <v>23.2989</v>
      </c>
      <c r="Z117" s="204">
        <f t="shared" si="61"/>
        <v>1.2999999999999999E-2</v>
      </c>
      <c r="AA117" s="204">
        <f t="shared" si="62"/>
        <v>23.285899999999998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63"/>
        <v>204</v>
      </c>
      <c r="AE117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17" s="74" t="str">
        <f t="shared" si="47"/>
        <v>"C:\Program Files (x86)\AstroGrep\AstroGrep.exe" /e /r /s /spath="%USERPROFILE%\AppData\Local\Temp\OnboardLogs" /stypes="app*4019*20171011*" /stext=" 00:.+((SYSTEM_STATE.+slice.+state.+changed )|(ment ac)|(multiple cpu faults)|(system.+state.+changed )|(\[timeout)|(PRM\|1\|D)|(kpr)|(kdp)|(train st.+moving)|(\|lc)|(penalty))"</v>
      </c>
      <c r="AG117" s="182" t="str">
        <f t="shared" si="64"/>
        <v>EC</v>
      </c>
      <c r="AH117" s="78" t="str">
        <f t="shared" si="49"/>
        <v>"%USERPROFILE%\Documents\GitHub\eaglep3\Utilities\RefineRTDCRunTimes.py" --tripid 204-10 --locoid 4019 --swversion DE.1.0.9.0 --startMP 204:232989 --initTime 2017-10-10T17:21:08 --startdatetime 2017-10-10T17:27:16 --delay 116 --endMP 204:130 --enddatetime 2017-10-10T18:07:46 --enforcementcount 0 &gt;&gt;%USERPROFILE%\Documents\GitHub\eaglep3-reporting\EC\2017-10-10-refined-times.txt</v>
      </c>
      <c r="AI11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{"issue":{"subject":"","project_id":79,"tracker_id":40,"status_id":1,"priority_id":2,"assigned_to_id":338,"start_date":"2017-10-10","description":"","custom_fields":[{"id":1,"name":"Subdivision","value":"EC"},{"id":4,"name":"Milepost","value":"0.013"},{"id":17,"name":"Train ID","value":"204-10"},{"id":16,"name":"Locomotive ID","value":"4019"},{"id":130,"name":"Impact","value":""},{"id":150,"name":"Time of Event (Mountain Time)","value":"18:07:46"},{"id":151,"name":"Denver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1"/>
        <v>start /low /b %USERPROFILE%\Documents\GitHub\eaglep3\Utilities\DownloadLogsFromS3.py --loco 4019 --day 2017-10-10</v>
      </c>
      <c r="AN11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3"/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Message%20ID',Summary),filters:!(),index:'emp_*',interval:auto,query:(query_string:(analyze_wildcard:!t,query:'%22rtdc.l.rtdc.4019%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782</v>
      </c>
      <c r="B118" s="7">
        <v>4052</v>
      </c>
      <c r="C118" s="21" t="s">
        <v>194</v>
      </c>
      <c r="D118" s="21" t="s">
        <v>887</v>
      </c>
      <c r="E118" s="13">
        <v>43018.723009259258</v>
      </c>
      <c r="F118" s="13">
        <v>43018.698136574072</v>
      </c>
      <c r="G118" s="7">
        <v>116</v>
      </c>
      <c r="H118" s="21" t="s">
        <v>559</v>
      </c>
      <c r="I118" s="13">
        <v>43018.724618055552</v>
      </c>
      <c r="J118" s="7">
        <v>0</v>
      </c>
      <c r="K118" s="89" t="str">
        <f t="shared" si="56"/>
        <v>4051/4052</v>
      </c>
      <c r="L118" s="185" t="str">
        <f>VLOOKUP(A118,'Trips&amp;Operators'!$C$1:$G$99911,5,FALSE)</f>
        <v>STEWART MICHAEL</v>
      </c>
      <c r="M118" s="6">
        <f t="shared" si="57"/>
        <v>2.6481481480004732E-2</v>
      </c>
      <c r="N118" s="7">
        <f t="shared" si="54"/>
        <v>38.133333331206813</v>
      </c>
      <c r="O118" s="7"/>
      <c r="P118" s="7"/>
      <c r="Q118" s="22"/>
      <c r="R118" s="174"/>
      <c r="S118" s="221">
        <f t="shared" si="55"/>
        <v>1</v>
      </c>
      <c r="T118" s="174" t="str">
        <f t="shared" si="58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08-0600',mode:absolute,to:'2017-10-10T18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204" t="str">
        <f>IF(AA118&lt;VLOOKUP(AG118,Variables!$AC$3:$AD$8,2,FALSE),"Y","N")</f>
        <v>N</v>
      </c>
      <c r="X118" s="204">
        <f t="shared" si="59"/>
        <v>1</v>
      </c>
      <c r="Y118" s="204">
        <v>4.5699999999999998E-2</v>
      </c>
      <c r="Z118" s="204">
        <v>23.331399999999999</v>
      </c>
      <c r="AA118" s="204">
        <f t="shared" si="62"/>
        <v>23.285699999999999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63"/>
        <v>205</v>
      </c>
      <c r="AE118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18" s="74" t="str">
        <f t="shared" si="47"/>
        <v>"C:\Program Files (x86)\AstroGrep\AstroGrep.exe" /e /r /s /spath="%USERPROFILE%\AppData\Local\Temp\OnboardLogs" /stypes="app*4052*20171010*" /stext=" 23:.+((SYSTEM_STATE.+slice.+state.+changed )|(ment ac)|(multiple cpu faults)|(system.+state.+changed )|(\[timeout)|(PRM\|1\|D)|(kpr)|(kdp)|(train st.+moving)|(\|lc)|(penalty))"</v>
      </c>
      <c r="AG118" s="182" t="str">
        <f t="shared" si="64"/>
        <v>EC</v>
      </c>
      <c r="AH118" s="78" t="str">
        <f t="shared" ref="AH118" si="65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205-10 --locoid 4052 --swversion DE.1.0.9.0 --startMP 204:232989 --initTime 2017-10-10T17:21:08 --startdatetime 2017-10-10T16:45:19 --delay 116 --endMP 204:130 --enddatetime 2017-10-10T17:23:27 --enforcementcount 0 &gt;&gt;%USERPROFILE%\Documents\GitHub\eaglep3-reporting\EC\2017-10-10-refined-times.txt</v>
      </c>
      <c r="AI118" s="96" t="str">
        <f t="shared" ref="AI118" si="66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ID","value":"205-10"},{"id":16,"name":"Locomotive ID","value":"4052"},{"id":130,"name":"Impact","value":""},{"id":150,"name":"Time of Event (Mountain Time)","value":"17:23:27"},{"id":151,"name":"Denver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ref="AM118" si="67">"start /low /b "&amp;dls3logs&amp;" --loco "&amp;B118&amp;" --day "&amp;TEXT(F118,"YYYY-MM-DD")</f>
        <v>start /low /b %USERPROFILE%\Documents\GitHub\eaglep3\Utilities\DownloadLogsFromS3.py --loco 4052 --day 2017-10-10</v>
      </c>
      <c r="AN118" s="151" t="str">
        <f t="shared" ref="AN118" si="68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ref="AO118" si="69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-10T16:21:08-0600',mode:absolute,to:'2017-10-10T18:23:27-0600'))&amp;_a=(columns:!('Message%20ID',Summary),filters:!(),index:'emp_*',interval:auto,query:(query_string:(analyze_wildcard:!t,query:'%22rtdc.l.rtdc.4052%22')),sort:!(Time.ISO8601,asc))</v>
      </c>
    </row>
    <row r="119" spans="1:91" s="20" customFormat="1" x14ac:dyDescent="0.25">
      <c r="A119" s="32" t="s">
        <v>793</v>
      </c>
      <c r="B119" s="7">
        <v>4051</v>
      </c>
      <c r="C119" s="21" t="s">
        <v>194</v>
      </c>
      <c r="D119" s="21" t="s">
        <v>426</v>
      </c>
      <c r="E119" s="13">
        <v>43018.733472222222</v>
      </c>
      <c r="F119" s="13">
        <v>43018.737800925926</v>
      </c>
      <c r="G119" s="7">
        <v>110</v>
      </c>
      <c r="H119" s="21" t="s">
        <v>356</v>
      </c>
      <c r="I119" s="13">
        <v>43018.769166666665</v>
      </c>
      <c r="J119" s="7">
        <v>0</v>
      </c>
      <c r="K119" s="89" t="str">
        <f t="shared" si="56"/>
        <v>4051/4052</v>
      </c>
      <c r="L119" s="185" t="str">
        <f>VLOOKUP(A119,'Trips&amp;Operators'!$C$1:$G$99911,5,FALSE)</f>
        <v>STEWART MICHAEL</v>
      </c>
      <c r="M119" s="6">
        <f t="shared" si="57"/>
        <v>3.1365740738692693E-2</v>
      </c>
      <c r="N119" s="7">
        <f t="shared" si="54"/>
        <v>45.166666663717479</v>
      </c>
      <c r="O119" s="7"/>
      <c r="P119" s="7"/>
      <c r="Q119" s="22"/>
      <c r="R119" s="174"/>
      <c r="S119" s="221">
        <f t="shared" si="55"/>
        <v>1</v>
      </c>
      <c r="T119" s="174" t="str">
        <f t="shared" si="58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0"/>
        <v>https://d0f6bd738d7f1b3e5a7ca70fe4ff75f0.us-east-1.aws.found.io/app/kibana#/discover/Steve-Slow-Train-Analysis-(2080s-and-2083s)?_g=(refreshInterval:(display:Off,pause:!f,section:0,value:0),time:(from:'2017-10-10T16:36:12-0600',mode:absolute,to:'2017-10-10T19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9" s="204" t="str">
        <f>IF(AA119&lt;VLOOKUP(AG119,Variables!$AC$3:$AD$8,2,FALSE),"Y","N")</f>
        <v>N</v>
      </c>
      <c r="X119" s="204">
        <f t="shared" si="59"/>
        <v>1</v>
      </c>
      <c r="Y119" s="204">
        <f t="shared" ref="Y119:Y139" si="70">RIGHT(D119,LEN(D119)-4)/10000</f>
        <v>23.297999999999998</v>
      </c>
      <c r="Z119" s="204">
        <f t="shared" ref="Z119:Z139" si="71">RIGHT(H119,LEN(H119)-4)/10000</f>
        <v>1.4500000000000001E-2</v>
      </c>
      <c r="AA119" s="204">
        <f t="shared" si="62"/>
        <v>23.283499999999997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63"/>
        <v>206</v>
      </c>
      <c r="AE119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19" s="74" t="str">
        <f t="shared" si="47"/>
        <v>"C:\Program Files (x86)\AstroGrep\AstroGrep.exe" /e /r /s /spath="%USERPROFILE%\AppData\Local\Temp\OnboardLogs" /stypes="app*4051*20171011*" /stext=" 00:.+((SYSTEM_STATE.+slice.+state.+changed )|(ment ac)|(multiple cpu faults)|(system.+state.+changed )|(\[timeout)|(PRM\|1\|D)|(kpr)|(kdp)|(train st.+moving)|(\|lc)|(penalty))"</v>
      </c>
      <c r="AG119" s="182" t="str">
        <f t="shared" si="64"/>
        <v>EC</v>
      </c>
      <c r="AH119" s="78" t="str">
        <f t="shared" si="49"/>
        <v>"%USERPROFILE%\Documents\GitHub\eaglep3\Utilities\RefineRTDCRunTimes.py" --tripid 206-10 --locoid 4051 --swversion DE.1.0.9.0 --startMP 204:232980 --initTime 2017-10-10T17:36:12 --startdatetime 2017-10-10T17:42:26 --delay 110 --endMP 204:145 --enddatetime 2017-10-10T18:27:36 --enforcementcount 0 &gt;&gt;%USERPROFILE%\Documents\GitHub\eaglep3-reporting\EC\2017-10-10-refined-times.txt</v>
      </c>
      <c r="AI11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ID","value":"206-10"},{"id":16,"name":"Locomotive ID","value":"4051"},{"id":130,"name":"Impact","value":""},{"id":150,"name":"Time of Event (Mountain Time)","value":"18:27:36"},{"id":151,"name":"Denver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1"/>
        <v>start /low /b %USERPROFILE%\Documents\GitHub\eaglep3\Utilities\DownloadLogsFromS3.py --loco 4051 --day 2017-10-10</v>
      </c>
      <c r="AN11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3"/>
        <v>https://d0f6bd738d7f1b3e5a7ca70fe4ff75f0.us-east-1.aws.found.io/app/kibana#/discover/Steve-Slow-Train-Analysis-(2080s-and-2083s)?_g=(refreshInterval:(display:Off,pause:!f,section:0,value:0),time:(from:'2017-10-10T16:36:12-0600',mode:absolute,to:'2017-10-10T19:27:36-0600'))&amp;_a=(columns:!('Message%20ID',Summary),filters:!(),index:'emp_*',interval:auto,query:(query_string:(analyze_wildcard:!t,query:'%22rtdc.l.rtdc.4051%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4042</v>
      </c>
      <c r="C120" s="21" t="s">
        <v>194</v>
      </c>
      <c r="D120" s="21" t="s">
        <v>515</v>
      </c>
      <c r="E120" s="13">
        <v>43018.705266203702</v>
      </c>
      <c r="F120" s="13">
        <v>43018.70857638889</v>
      </c>
      <c r="G120" s="7">
        <v>77</v>
      </c>
      <c r="H120" s="21" t="s">
        <v>904</v>
      </c>
      <c r="I120" s="13">
        <v>43018.734675925924</v>
      </c>
      <c r="J120" s="7">
        <v>0</v>
      </c>
      <c r="K120" s="89" t="str">
        <f t="shared" si="56"/>
        <v>4041/4042</v>
      </c>
      <c r="L120" s="185" t="str">
        <f>VLOOKUP(A120,'Trips&amp;Operators'!$C$1:$G$99911,5,FALSE)</f>
        <v>LEVIN SCOTT</v>
      </c>
      <c r="M120" s="6">
        <f t="shared" si="57"/>
        <v>2.6099537033587694E-2</v>
      </c>
      <c r="N120" s="7">
        <f t="shared" si="54"/>
        <v>37.58333332836628</v>
      </c>
      <c r="O120" s="7"/>
      <c r="P120" s="7"/>
      <c r="Q120" s="22"/>
      <c r="R120" s="174"/>
      <c r="S120" s="221">
        <f t="shared" si="55"/>
        <v>1</v>
      </c>
      <c r="T120" s="174" t="str">
        <f t="shared" si="58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0"/>
        <v>https://d0f6bd738d7f1b3e5a7ca70fe4ff75f0.us-east-1.aws.found.io/app/kibana#/discover/Steve-Slow-Train-Analysis-(2080s-and-2083s)?_g=(refreshInterval:(display:Off,pause:!f,section:0,value:0),time:(from:'2017-10-10T15:55:35-0600',mode:absolute,to:'2017-10-10T18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204" t="str">
        <f>IF(AA120&lt;VLOOKUP(AG120,Variables!$AC$3:$AD$8,2,FALSE),"Y","N")</f>
        <v>N</v>
      </c>
      <c r="X120" s="204">
        <f t="shared" si="59"/>
        <v>1</v>
      </c>
      <c r="Y120" s="204">
        <f t="shared" si="70"/>
        <v>4.6399999999999997E-2</v>
      </c>
      <c r="Z120" s="204">
        <f t="shared" si="71"/>
        <v>23.329799999999999</v>
      </c>
      <c r="AA120" s="204">
        <f t="shared" si="62"/>
        <v>23.2834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63"/>
        <v>207</v>
      </c>
      <c r="AE120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120" s="74" t="str">
        <f t="shared" si="47"/>
        <v>"C:\Program Files (x86)\AstroGrep\AstroGrep.exe" /e /r /s /spath="%USERPROFILE%\AppData\Local\Temp\OnboardLogs" /stypes="app*4042*20171010*" /stext=" 23:.+((SYSTEM_STATE.+slice.+state.+changed )|(ment ac)|(multiple cpu faults)|(system.+state.+changed )|(\[timeout)|(PRM\|1\|D)|(kpr)|(kdp)|(train st.+moving)|(\|lc)|(penalty))"</v>
      </c>
      <c r="AG120" s="182" t="str">
        <f t="shared" si="64"/>
        <v>EC</v>
      </c>
      <c r="AH120" s="78" t="str">
        <f t="shared" si="49"/>
        <v>"%USERPROFILE%\Documents\GitHub\eaglep3\Utilities\RefineRTDCRunTimes.py" --tripid 207-10 --locoid 4042 --swversion DE.1.0.9.0 --startMP 204:464 --initTime 2017-10-10T16:55:35 --startdatetime 2017-10-10T17:00:21 --delay 77 --endMP 204:233298 --enddatetime 2017-10-10T17:37:56 --enforcementcount 0 &gt;&gt;%USERPROFILE%\Documents\GitHub\eaglep3-reporting\EC\2017-10-10-refined-times.txt</v>
      </c>
      <c r="AI12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{"issue":{"subject":"","project_id":79,"tracker_id":40,"status_id":1,"priority_id":2,"assigned_to_id":338,"start_date":"2017-10-10","description":"","custom_fields":[{"id":1,"name":"Subdivision","value":"EC"},{"id":4,"name":"Milepost","value":"23.3298"},{"id":17,"name":"Train ID","value":"207-10"},{"id":16,"name":"Locomotive ID","value":"4042"},{"id":130,"name":"Impact","value":""},{"id":150,"name":"Time of Event (Mountain Time)","value":"17:37:56"},{"id":151,"name":"Denver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1"/>
        <v>start /low /b %USERPROFILE%\Documents\GitHub\eaglep3\Utilities\DownloadLogsFromS3.py --loco 4042 --day 2017-10-10</v>
      </c>
      <c r="AN12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3"/>
        <v>https://d0f6bd738d7f1b3e5a7ca70fe4ff75f0.us-east-1.aws.found.io/app/kibana#/discover/Steve-Slow-Train-Analysis-(2080s-and-2083s)?_g=(refreshInterval:(display:Off,pause:!f,section:0,value:0),time:(from:'2017-10-10T15:55:35-0600',mode:absolute,to:'2017-10-10T18:37:56-0600'))&amp;_a=(columns:!('Message%20ID',Summary),filters:!(),index:'emp_*',interval:auto,query:(query_string:(analyze_wildcard:!t,query:'%22rtdc.l.rtdc.4042%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4041</v>
      </c>
      <c r="C121" s="21" t="s">
        <v>194</v>
      </c>
      <c r="D121" s="21" t="s">
        <v>905</v>
      </c>
      <c r="E121" s="13">
        <v>43018.759930555556</v>
      </c>
      <c r="F121" s="13">
        <v>43018.760995370372</v>
      </c>
      <c r="G121" s="7">
        <v>60</v>
      </c>
      <c r="H121" s="21" t="s">
        <v>375</v>
      </c>
      <c r="I121" s="13">
        <v>43018.77752314815</v>
      </c>
      <c r="J121" s="7">
        <v>0</v>
      </c>
      <c r="K121" s="89" t="str">
        <f t="shared" si="56"/>
        <v>4041/4042</v>
      </c>
      <c r="L121" s="185" t="str">
        <f>VLOOKUP(A121,'Trips&amp;Operators'!$C$1:$G$99911,5,FALSE)</f>
        <v>LEVIN SCOTT</v>
      </c>
      <c r="M121" s="6">
        <f t="shared" si="57"/>
        <v>1.6527777777810115E-2</v>
      </c>
      <c r="N121" s="7"/>
      <c r="O121" s="7"/>
      <c r="P121" s="7">
        <f>24*60*SUM($M121:$M121)</f>
        <v>23.800000000046566</v>
      </c>
      <c r="Q121" s="22"/>
      <c r="R121" s="174" t="s">
        <v>1022</v>
      </c>
      <c r="S121" s="221">
        <f t="shared" si="55"/>
        <v>1</v>
      </c>
      <c r="T121" s="174" t="str">
        <f t="shared" si="58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0"/>
        <v>https://d0f6bd738d7f1b3e5a7ca70fe4ff75f0.us-east-1.aws.found.io/app/kibana#/discover/Steve-Slow-Train-Analysis-(2080s-and-2083s)?_g=(refreshInterval:(display:Off,pause:!f,section:0,value:0),time:(from:'2017-10-10T17:14:18-0600',mode:absolute,to:'2017-10-10T19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204" t="str">
        <f>IF(AA121&lt;VLOOKUP(AG121,Variables!$AC$3:$AD$8,2,FALSE),"Y","N")</f>
        <v>Y</v>
      </c>
      <c r="X121" s="204">
        <f t="shared" si="59"/>
        <v>1</v>
      </c>
      <c r="Y121" s="204">
        <f t="shared" si="70"/>
        <v>12.7857</v>
      </c>
      <c r="Z121" s="204">
        <f t="shared" si="71"/>
        <v>1.54E-2</v>
      </c>
      <c r="AA121" s="204">
        <f t="shared" si="62"/>
        <v>12.770300000000001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63"/>
        <v>208</v>
      </c>
      <c r="AE121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121" s="74" t="str">
        <f t="shared" si="47"/>
        <v>"C:\Program Files (x86)\AstroGrep\AstroGrep.exe" /e /r /s /spath="%USERPROFILE%\AppData\Local\Temp\OnboardLogs" /stypes="app*4041*20171011*" /stext=" 00:.+((SYSTEM_STATE.+slice.+state.+changed )|(ment ac)|(multiple cpu faults)|(system.+state.+changed )|(\[timeout)|(PRM\|1\|D)|(kpr)|(kdp)|(train st.+moving)|(\|lc)|(penalty))"</v>
      </c>
      <c r="AG121" s="182" t="str">
        <f t="shared" si="64"/>
        <v>EC</v>
      </c>
      <c r="AH121" s="78" t="str">
        <f t="shared" si="49"/>
        <v>"%USERPROFILE%\Documents\GitHub\eaglep3\Utilities\RefineRTDCRunTimes.py" --tripid 208-10 --locoid 4041 --swversion DE.1.0.9.0 --startMP 204:127857 --initTime 2017-10-10T18:14:18 --startdatetime 2017-10-10T18:15:50 --delay 60 --endMP 204:154 --enddatetime 2017-10-10T18:39:38 --enforcementcount 0 &gt;&gt;%USERPROFILE%\Documents\GitHub\eaglep3-reporting\EC\2017-10-10-refined-times.txt</v>
      </c>
      <c r="AI121" s="96" t="str">
        <f t="shared" si="50"/>
        <v>echo {"issue":{"subject":"Unable to init at DIA due to TMDS crash ","project_id":79,"tracker_id":40,"status_id":1,"priority_id":2,"assigned_to_id":338,"start_date":"2017-10-10","description":"","custom_fields":[{"id":1,"name":"Subdivision","value":"EC"},{"id":4,"name":"Milepost","value":"0.0154"},{"id":17,"name":"Train ID","value":"208-10"},{"id":16,"name":"Locomotive ID","value":"4041"},{"id":130,"name":"Impact","value":""},{"id":150,"name":"Time of Event (Mountain Time)","value":"18:39:38"},{"id":151,"name":"Denver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1"/>
        <v>start /low /b %USERPROFILE%\Documents\GitHub\eaglep3\Utilities\DownloadLogsFromS3.py --loco 4041 --day 2017-10-10</v>
      </c>
      <c r="AN121" s="151" t="str">
        <f t="shared" si="52"/>
        <v>echo {"issue":{"subject":"Unable to init at DIA due to TMDS crash 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3"/>
        <v>https://d0f6bd738d7f1b3e5a7ca70fe4ff75f0.us-east-1.aws.found.io/app/kibana#/discover/Steve-Slow-Train-Analysis-(2080s-and-2083s)?_g=(refreshInterval:(display:Off,pause:!f,section:0,value:0),time:(from:'2017-10-10T17:14:18-0600',mode:absolute,to:'2017-10-10T19:39:38-0600'))&amp;_a=(columns:!('Message%20ID',Summary),filters:!(),index:'emp_*',interval:auto,query:(query_string:(analyze_wildcard:!t,query:'%22rtdc.l.rtdc.4041%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4050</v>
      </c>
      <c r="C122" s="21" t="s">
        <v>194</v>
      </c>
      <c r="D122" s="21" t="s">
        <v>381</v>
      </c>
      <c r="E122" s="13">
        <v>43018.714895833335</v>
      </c>
      <c r="F122" s="13">
        <v>43018.718946759262</v>
      </c>
      <c r="G122" s="7">
        <v>53</v>
      </c>
      <c r="H122" s="21" t="s">
        <v>897</v>
      </c>
      <c r="I122" s="13">
        <v>43018.747013888889</v>
      </c>
      <c r="J122" s="7">
        <v>0</v>
      </c>
      <c r="K122" s="89" t="str">
        <f t="shared" si="56"/>
        <v>4049/4050</v>
      </c>
      <c r="L122" s="185" t="str">
        <f>VLOOKUP(A122,'Trips&amp;Operators'!$C$1:$G$99911,5,FALSE)</f>
        <v>LEVERE CRAIG</v>
      </c>
      <c r="M122" s="6">
        <f t="shared" si="57"/>
        <v>2.806712962774327E-2</v>
      </c>
      <c r="N122" s="7">
        <f t="shared" ref="N122:N149" si="72">24*60*SUM($M122:$M122)</f>
        <v>40.416666663950309</v>
      </c>
      <c r="O122" s="7"/>
      <c r="P122" s="7"/>
      <c r="Q122" s="22"/>
      <c r="R122" s="174"/>
      <c r="S122" s="221">
        <f t="shared" si="55"/>
        <v>1</v>
      </c>
      <c r="T122" s="174" t="str">
        <f t="shared" si="58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0"/>
        <v>https://d0f6bd738d7f1b3e5a7ca70fe4ff75f0.us-east-1.aws.found.io/app/kibana#/discover/Steve-Slow-Train-Analysis-(2080s-and-2083s)?_g=(refreshInterval:(display:Off,pause:!f,section:0,value:0),time:(from:'2017-10-10T16:09:27-0600',mode:absolute,to:'2017-10-10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2" s="204" t="str">
        <f>IF(AA122&lt;VLOOKUP(AG122,Variables!$AC$3:$AD$8,2,FALSE),"Y","N")</f>
        <v>N</v>
      </c>
      <c r="X122" s="204">
        <f t="shared" si="59"/>
        <v>1</v>
      </c>
      <c r="Y122" s="204">
        <f t="shared" si="70"/>
        <v>4.5699999999999998E-2</v>
      </c>
      <c r="Z122" s="204">
        <f t="shared" si="71"/>
        <v>23.3307</v>
      </c>
      <c r="AA122" s="204">
        <f t="shared" si="62"/>
        <v>23.285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63"/>
        <v>209</v>
      </c>
      <c r="AE122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22" s="74" t="str">
        <f t="shared" si="47"/>
        <v>"C:\Program Files (x86)\AstroGrep\AstroGrep.exe" /e /r /s /spath="%USERPROFILE%\AppData\Local\Temp\OnboardLogs" /stypes="app*4050*20171010*" /stext=" 23:.+((SYSTEM_STATE.+slice.+state.+changed )|(ment ac)|(multiple cpu faults)|(system.+state.+changed )|(\[timeout)|(PRM\|1\|D)|(kpr)|(kdp)|(train st.+moving)|(\|lc)|(penalty))"</v>
      </c>
      <c r="AG122" s="182" t="str">
        <f t="shared" si="64"/>
        <v>EC</v>
      </c>
      <c r="AH122" s="78" t="str">
        <f t="shared" si="49"/>
        <v>"%USERPROFILE%\Documents\GitHub\eaglep3\Utilities\RefineRTDCRunTimes.py" --tripid 209-10 --locoid 4050 --swversion DE.1.0.9.0 --startMP 204:457 --initTime 2017-10-10T17:09:27 --startdatetime 2017-10-10T17:15:17 --delay 53 --endMP 204:233307 --enddatetime 2017-10-10T17:55:42 --enforcementcount 0 &gt;&gt;%USERPROFILE%\Documents\GitHub\eaglep3-reporting\EC\2017-10-10-refined-times.txt</v>
      </c>
      <c r="AI12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{"issue":{"subject":"","project_id":79,"tracker_id":40,"status_id":1,"priority_id":2,"assigned_to_id":338,"start_date":"2017-10-10","description":"","custom_fields":[{"id":1,"name":"Subdivision","value":"EC"},{"id":4,"name":"Milepost","value":"23.3307"},{"id":17,"name":"Train ID","value":"209-10"},{"id":16,"name":"Locomotive ID","value":"4050"},{"id":130,"name":"Impact","value":""},{"id":150,"name":"Time of Event (Mountain Time)","value":"17:55:42"},{"id":151,"name":"Denver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1"/>
        <v>start /low /b %USERPROFILE%\Documents\GitHub\eaglep3\Utilities\DownloadLogsFromS3.py --loco 4050 --day 2017-10-10</v>
      </c>
      <c r="AN12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3"/>
        <v>https://d0f6bd738d7f1b3e5a7ca70fe4ff75f0.us-east-1.aws.found.io/app/kibana#/discover/Steve-Slow-Train-Analysis-(2080s-and-2083s)?_g=(refreshInterval:(display:Off,pause:!f,section:0,value:0),time:(from:'2017-10-10T16:09:27-0600',mode:absolute,to:'2017-10-10T18:55:42-0600'))&amp;_a=(columns:!('Message%20ID',Summary),filters:!(),index:'emp_*',interval:auto,query:(query_string:(analyze_wildcard:!t,query:'%22rtdc.l.rtdc.4050%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799</v>
      </c>
      <c r="B123" s="7">
        <v>4049</v>
      </c>
      <c r="C123" s="21" t="s">
        <v>194</v>
      </c>
      <c r="D123" s="21" t="s">
        <v>906</v>
      </c>
      <c r="E123" s="13">
        <v>43018.752569444441</v>
      </c>
      <c r="F123" s="13">
        <v>43018.758506944447</v>
      </c>
      <c r="G123" s="7">
        <v>60</v>
      </c>
      <c r="H123" s="21" t="s">
        <v>857</v>
      </c>
      <c r="I123" s="13">
        <v>43018.78570601852</v>
      </c>
      <c r="J123" s="7">
        <v>0</v>
      </c>
      <c r="K123" s="89" t="str">
        <f t="shared" si="56"/>
        <v>4049/4050</v>
      </c>
      <c r="L123" s="185" t="str">
        <f>VLOOKUP(A123,'Trips&amp;Operators'!$C$1:$G$99911,5,FALSE)</f>
        <v>LEVERE CRAIG</v>
      </c>
      <c r="M123" s="6">
        <f t="shared" si="57"/>
        <v>2.7199074072996154E-2</v>
      </c>
      <c r="N123" s="7">
        <f t="shared" si="72"/>
        <v>39.166666665114462</v>
      </c>
      <c r="O123" s="7"/>
      <c r="P123" s="7"/>
      <c r="Q123" s="22"/>
      <c r="R123" s="174"/>
      <c r="S123" s="221">
        <f t="shared" si="55"/>
        <v>1</v>
      </c>
      <c r="T123" s="174" t="str">
        <f t="shared" si="58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0"/>
        <v>https://d0f6bd738d7f1b3e5a7ca70fe4ff75f0.us-east-1.aws.found.io/app/kibana#/discover/Steve-Slow-Train-Analysis-(2080s-and-2083s)?_g=(refreshInterval:(display:Off,pause:!f,section:0,value:0),time:(from:'2017-10-10T17:03:42-0600',mode:absolute,to:'2017-10-10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3" s="204" t="str">
        <f>IF(AA123&lt;VLOOKUP(AG123,Variables!$AC$3:$AD$8,2,FALSE),"Y","N")</f>
        <v>N</v>
      </c>
      <c r="X123" s="204">
        <f t="shared" si="59"/>
        <v>1</v>
      </c>
      <c r="Y123" s="204">
        <f t="shared" si="70"/>
        <v>23.299600000000002</v>
      </c>
      <c r="Z123" s="204">
        <f t="shared" si="71"/>
        <v>1.7000000000000001E-2</v>
      </c>
      <c r="AA123" s="204">
        <f t="shared" si="62"/>
        <v>23.282600000000002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63"/>
        <v>210</v>
      </c>
      <c r="AE123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23" s="74" t="str">
        <f t="shared" si="47"/>
        <v>"C:\Program Files (x86)\AstroGrep\AstroGrep.exe" /e /r /s /spath="%USERPROFILE%\AppData\Local\Temp\OnboardLogs" /stypes="app*4049*20171011*" /stext=" 00:.+((SYSTEM_STATE.+slice.+state.+changed )|(ment ac)|(multiple cpu faults)|(system.+state.+changed )|(\[timeout)|(PRM\|1\|D)|(kpr)|(kdp)|(train st.+moving)|(\|lc)|(penalty))"</v>
      </c>
      <c r="AG123" s="182" t="str">
        <f t="shared" si="64"/>
        <v>EC</v>
      </c>
      <c r="AH123" s="78" t="str">
        <f t="shared" si="49"/>
        <v>"%USERPROFILE%\Documents\GitHub\eaglep3\Utilities\RefineRTDCRunTimes.py" --tripid 210-10 --locoid 4049 --swversion DE.1.0.9.0 --startMP 204:232996 --initTime 2017-10-10T18:03:42 --startdatetime 2017-10-10T18:12:15 --delay 60 --endMP 204:170 --enddatetime 2017-10-10T18:51:25 --enforcementcount 0 &gt;&gt;%USERPROFILE%\Documents\GitHub\eaglep3-reporting\EC\2017-10-10-refined-times.txt</v>
      </c>
      <c r="AI12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ID","value":"210-10"},{"id":16,"name":"Locomotive ID","value":"4049"},{"id":130,"name":"Impact","value":""},{"id":150,"name":"Time of Event (Mountain Time)","value":"18:51:25"},{"id":151,"name":"Denver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1"/>
        <v>start /low /b %USERPROFILE%\Documents\GitHub\eaglep3\Utilities\DownloadLogsFromS3.py --loco 4049 --day 2017-10-10</v>
      </c>
      <c r="AN123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3"/>
        <v>https://d0f6bd738d7f1b3e5a7ca70fe4ff75f0.us-east-1.aws.found.io/app/kibana#/discover/Steve-Slow-Train-Analysis-(2080s-and-2083s)?_g=(refreshInterval:(display:Off,pause:!f,section:0,value:0),time:(from:'2017-10-10T17:03:42-0600',mode:absolute,to:'2017-10-10T19:51:25-0600'))&amp;_a=(columns:!('Message%20ID',Summary),filters:!(),index:'emp_*',interval:auto,query:(query_string:(analyze_wildcard:!t,query:'%22rtdc.l.rtdc.4049%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789</v>
      </c>
      <c r="B124" s="7">
        <v>4056</v>
      </c>
      <c r="C124" s="21" t="s">
        <v>194</v>
      </c>
      <c r="D124" s="21" t="s">
        <v>363</v>
      </c>
      <c r="E124" s="13">
        <v>43018.723425925928</v>
      </c>
      <c r="F124" s="13">
        <v>43018.729328703703</v>
      </c>
      <c r="G124" s="7">
        <v>146</v>
      </c>
      <c r="H124" s="21" t="s">
        <v>514</v>
      </c>
      <c r="I124" s="13">
        <v>43018.756608796299</v>
      </c>
      <c r="J124" s="7">
        <v>0</v>
      </c>
      <c r="K124" s="89" t="str">
        <f t="shared" si="56"/>
        <v>4055/4056</v>
      </c>
      <c r="L124" s="185" t="str">
        <f>VLOOKUP(A124,'Trips&amp;Operators'!$C$1:$G$99911,5,FALSE)</f>
        <v>SAFIEF AEIMEN</v>
      </c>
      <c r="M124" s="6">
        <f t="shared" si="57"/>
        <v>2.7280092595901806E-2</v>
      </c>
      <c r="N124" s="7">
        <f t="shared" si="72"/>
        <v>39.283333338098601</v>
      </c>
      <c r="O124" s="7"/>
      <c r="P124" s="7"/>
      <c r="Q124" s="22"/>
      <c r="R124" s="174" t="s">
        <v>1020</v>
      </c>
      <c r="S124" s="221">
        <f t="shared" si="55"/>
        <v>1</v>
      </c>
      <c r="T124" s="174" t="str">
        <f t="shared" si="58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44-0600',mode:absolute,to:'2017-10-10T19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204" t="str">
        <f>IF(AA124&lt;VLOOKUP(AG124,Variables!$AC$3:$AD$8,2,FALSE),"Y","N")</f>
        <v>N</v>
      </c>
      <c r="X124" s="204">
        <f t="shared" si="59"/>
        <v>1</v>
      </c>
      <c r="Y124" s="204">
        <f t="shared" si="70"/>
        <v>4.5999999999999999E-2</v>
      </c>
      <c r="Z124" s="204">
        <f t="shared" si="71"/>
        <v>23.331700000000001</v>
      </c>
      <c r="AA124" s="204">
        <f t="shared" si="62"/>
        <v>23.285700000000002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63"/>
        <v>211</v>
      </c>
      <c r="AE124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124" s="74" t="str">
        <f t="shared" si="47"/>
        <v>"C:\Program Files (x86)\AstroGrep\AstroGrep.exe" /e /r /s /spath="%USERPROFILE%\AppData\Local\Temp\OnboardLogs" /stypes="app*4056*20171011*" /stext=" 00:.+((SYSTEM_STATE.+slice.+state.+changed )|(ment ac)|(multiple cpu faults)|(system.+state.+changed )|(\[timeout)|(PRM\|1\|D)|(kpr)|(kdp)|(train st.+moving)|(\|lc)|(penalty))"</v>
      </c>
      <c r="AG124" s="182" t="str">
        <f t="shared" si="64"/>
        <v>EC</v>
      </c>
      <c r="AH124" s="78" t="str">
        <f t="shared" si="49"/>
        <v>"%USERPROFILE%\Documents\GitHub\eaglep3\Utilities\RefineRTDCRunTimes.py" --tripid 211-10 --locoid 4056 --swversion DE.1.0.9.0 --startMP 204:460 --initTime 2017-10-10T17:21:44 --startdatetime 2017-10-10T17:30:14 --delay 146 --endMP 204:233317 --enddatetime 2017-10-10T18:09:31 --enforcementcount 0 &gt;&gt;%USERPROFILE%\Documents\GitHub\eaglep3-reporting\EC\2017-10-10-refined-times.txt</v>
      </c>
      <c r="AI124" s="96" t="str">
        <f t="shared" si="50"/>
        <v>echo {"issue":{"subject":"Observed unhealthy crossing banner, no enforcement","project_id":79,"tracker_id":40,"status_id":1,"priority_id":2,"assigned_to_id":338,"start_date":"2017-10-10","description":"","custom_fields":[{"id":1,"name":"Subdivision","value":"EC"},{"id":4,"name":"Milepost","value":"23.3317"},{"id":17,"name":"Train ID","value":"211-10"},{"id":16,"name":"Locomotive ID","value":"4056"},{"id":130,"name":"Impact","value":""},{"id":150,"name":"Time of Event (Mountain Time)","value":"18:09:31"},{"id":151,"name":"Denver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1"/>
        <v>start /low /b %USERPROFILE%\Documents\GitHub\eaglep3\Utilities\DownloadLogsFromS3.py --loco 4056 --day 2017-10-10</v>
      </c>
      <c r="AN124" s="151" t="str">
        <f t="shared" si="52"/>
        <v>echo {"issue":{"subject":"Observed unhealthy crossing banner, no enforcement","project_id":30,"tracker_id":4,"status_id":1,"priority_id":1,"assigned_to_id":10,"start_date":"2017-10-11","description":"","custom_fields":[{"id":30,"name":"Category","value":"Issue"},{"id":3,"name":"Functional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3"/>
        <v>https://d0f6bd738d7f1b3e5a7ca70fe4ff75f0.us-east-1.aws.found.io/app/kibana#/discover/Steve-Slow-Train-Analysis-(2080s-and-2083s)?_g=(refreshInterval:(display:Off,pause:!f,section:0,value:0),time:(from:'2017-10-10T16:21:44-0600',mode:absolute,to:'2017-10-10T19:09:31-0600'))&amp;_a=(columns:!('Message%20ID',Summary),filters:!(),index:'emp_*',interval:auto,query:(query_string:(analyze_wildcard:!t,query:'%22rtdc.l.rtdc.4056%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4055</v>
      </c>
      <c r="C125" s="21" t="s">
        <v>194</v>
      </c>
      <c r="D125" s="21" t="s">
        <v>866</v>
      </c>
      <c r="E125" s="13">
        <v>43018.759965277779</v>
      </c>
      <c r="F125" s="13">
        <v>43018.768912037034</v>
      </c>
      <c r="G125" s="7">
        <v>137</v>
      </c>
      <c r="H125" s="21" t="s">
        <v>361</v>
      </c>
      <c r="I125" s="13">
        <v>43018.79546296296</v>
      </c>
      <c r="J125" s="7">
        <v>0</v>
      </c>
      <c r="K125" s="89" t="str">
        <f t="shared" si="56"/>
        <v>4055/4056</v>
      </c>
      <c r="L125" s="185" t="str">
        <f>VLOOKUP(A125,'Trips&amp;Operators'!$C$1:$G$99911,5,FALSE)</f>
        <v>SAFIEF AEIMEN</v>
      </c>
      <c r="M125" s="6">
        <f t="shared" si="57"/>
        <v>2.6550925926130731E-2</v>
      </c>
      <c r="N125" s="7">
        <f t="shared" si="72"/>
        <v>38.233333333628252</v>
      </c>
      <c r="O125" s="7"/>
      <c r="P125" s="7"/>
      <c r="Q125" s="22"/>
      <c r="R125" s="174"/>
      <c r="S125" s="221">
        <f t="shared" si="55"/>
        <v>1</v>
      </c>
      <c r="T125" s="174" t="str">
        <f t="shared" si="58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0"/>
        <v>https://d0f6bd738d7f1b3e5a7ca70fe4ff75f0.us-east-1.aws.found.io/app/kibana#/discover/Steve-Slow-Train-Analysis-(2080s-and-2083s)?_g=(refreshInterval:(display:Off,pause:!f,section:0,value:0),time:(from:'2017-10-10T17:14:21-0600',mode:absolute,to:'2017-10-10T20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204" t="str">
        <f>IF(AA125&lt;VLOOKUP(AG125,Variables!$AC$3:$AD$8,2,FALSE),"Y","N")</f>
        <v>N</v>
      </c>
      <c r="X125" s="204">
        <f t="shared" si="59"/>
        <v>1</v>
      </c>
      <c r="Y125" s="204">
        <f t="shared" si="70"/>
        <v>23.300599999999999</v>
      </c>
      <c r="Z125" s="204">
        <f t="shared" si="71"/>
        <v>1.61E-2</v>
      </c>
      <c r="AA125" s="204">
        <f t="shared" si="62"/>
        <v>23.284499999999998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63"/>
        <v>212</v>
      </c>
      <c r="AE125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125" s="74" t="str">
        <f t="shared" si="47"/>
        <v>"C:\Program Files (x86)\AstroGrep\AstroGrep.exe" /e /r /s /spath="%USERPROFILE%\AppData\Local\Temp\OnboardLogs" /stypes="app*4055*20171011*" /stext=" 01:.+((SYSTEM_STATE.+slice.+state.+changed )|(ment ac)|(multiple cpu faults)|(system.+state.+changed )|(\[timeout)|(PRM\|1\|D)|(kpr)|(kdp)|(train st.+moving)|(\|lc)|(penalty))"</v>
      </c>
      <c r="AG125" s="182" t="str">
        <f t="shared" si="64"/>
        <v>EC</v>
      </c>
      <c r="AH125" s="78" t="str">
        <f t="shared" si="49"/>
        <v>"%USERPROFILE%\Documents\GitHub\eaglep3\Utilities\RefineRTDCRunTimes.py" --tripid 212-10 --locoid 4055 --swversion DE.1.0.9.0 --startMP 204:233006 --initTime 2017-10-10T18:14:21 --startdatetime 2017-10-10T18:27:14 --delay 137 --endMP 204:161 --enddatetime 2017-10-10T19:05:28 --enforcementcount 0 &gt;&gt;%USERPROFILE%\Documents\GitHub\eaglep3-reporting\EC\2017-10-10-refined-times.txt</v>
      </c>
      <c r="AI12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{"issue":{"subject":"","project_id":79,"tracker_id":40,"status_id":1,"priority_id":2,"assigned_to_id":338,"start_date":"2017-10-10","description":"","custom_fields":[{"id":1,"name":"Subdivision","value":"EC"},{"id":4,"name":"Milepost","value":"0.0161"},{"id":17,"name":"Train ID","value":"212-10"},{"id":16,"name":"Locomotive ID","value":"4055"},{"id":130,"name":"Impact","value":""},{"id":150,"name":"Time of Event (Mountain Time)","value":"19:05:28"},{"id":151,"name":"Denver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1"/>
        <v>start /low /b %USERPROFILE%\Documents\GitHub\eaglep3\Utilities\DownloadLogsFromS3.py --loco 4055 --day 2017-10-10</v>
      </c>
      <c r="AN125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3"/>
        <v>https://d0f6bd738d7f1b3e5a7ca70fe4ff75f0.us-east-1.aws.found.io/app/kibana#/discover/Steve-Slow-Train-Analysis-(2080s-and-2083s)?_g=(refreshInterval:(display:Off,pause:!f,section:0,value:0),time:(from:'2017-10-10T17:14:21-0600',mode:absolute,to:'2017-10-10T20:05:28-0600'))&amp;_a=(columns:!('Message%20ID',Summary),filters:!(),index:'emp_*',interval:auto,query:(query_string:(analyze_wildcard:!t,query:'%22rtdc.l.rtdc.4055%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796</v>
      </c>
      <c r="B126" s="7">
        <v>4066</v>
      </c>
      <c r="C126" s="21" t="s">
        <v>194</v>
      </c>
      <c r="D126" s="21" t="s">
        <v>345</v>
      </c>
      <c r="E126" s="13">
        <v>43018.736400462964</v>
      </c>
      <c r="F126" s="13">
        <v>43018.739976851852</v>
      </c>
      <c r="G126" s="7">
        <v>117</v>
      </c>
      <c r="H126" s="21" t="s">
        <v>564</v>
      </c>
      <c r="I126" s="13">
        <v>43018.765775462962</v>
      </c>
      <c r="J126" s="7">
        <v>0</v>
      </c>
      <c r="K126" s="89" t="str">
        <f t="shared" si="56"/>
        <v>4065/4066</v>
      </c>
      <c r="L126" s="185" t="str">
        <f>VLOOKUP(A126,'Trips&amp;Operators'!$C$1:$G$99911,5,FALSE)</f>
        <v>LOZA FIDEL</v>
      </c>
      <c r="M126" s="6">
        <f t="shared" si="57"/>
        <v>2.5798611110076308E-2</v>
      </c>
      <c r="N126" s="7">
        <f t="shared" si="72"/>
        <v>37.149999998509884</v>
      </c>
      <c r="O126" s="7"/>
      <c r="P126" s="7"/>
      <c r="Q126" s="22"/>
      <c r="R126" s="174"/>
      <c r="S126" s="221">
        <f t="shared" si="55"/>
        <v>1</v>
      </c>
      <c r="T126" s="174" t="str">
        <f t="shared" si="58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0"/>
        <v>https://d0f6bd738d7f1b3e5a7ca70fe4ff75f0.us-east-1.aws.found.io/app/kibana#/discover/Steve-Slow-Train-Analysis-(2080s-and-2083s)?_g=(refreshInterval:(display:Off,pause:!f,section:0,value:0),time:(from:'2017-10-10T16:40:25-0600',mode:absolute,to:'2017-10-10T19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6" s="204" t="str">
        <f>IF(AA126&lt;VLOOKUP(AG126,Variables!$AC$3:$AD$8,2,FALSE),"Y","N")</f>
        <v>N</v>
      </c>
      <c r="X126" s="204">
        <f t="shared" si="59"/>
        <v>1</v>
      </c>
      <c r="Y126" s="204">
        <f t="shared" si="70"/>
        <v>4.5499999999999999E-2</v>
      </c>
      <c r="Z126" s="204">
        <f t="shared" si="71"/>
        <v>23.337800000000001</v>
      </c>
      <c r="AA126" s="204">
        <f t="shared" si="62"/>
        <v>23.292300000000001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63"/>
        <v>213</v>
      </c>
      <c r="AE126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26" s="74" t="str">
        <f t="shared" si="47"/>
        <v>"C:\Program Files (x86)\AstroGrep\AstroGrep.exe" /e /r /s /spath="%USERPROFILE%\AppData\Local\Temp\OnboardLogs" /stypes="app*4066*20171011*" /stext=" 00:.+((SYSTEM_STATE.+slice.+state.+changed )|(ment ac)|(multiple cpu faults)|(system.+state.+changed )|(\[timeout)|(PRM\|1\|D)|(kpr)|(kdp)|(train st.+moving)|(\|lc)|(penalty))"</v>
      </c>
      <c r="AG126" s="182" t="str">
        <f t="shared" si="64"/>
        <v>EC</v>
      </c>
      <c r="AH126" s="78" t="str">
        <f t="shared" si="49"/>
        <v>"%USERPROFILE%\Documents\GitHub\eaglep3\Utilities\RefineRTDCRunTimes.py" --tripid 213-10 --locoid 4066 --swversion DE.1.0.9.0 --startMP 204:455 --initTime 2017-10-10T17:40:25 --startdatetime 2017-10-10T17:45:34 --delay 117 --endMP 204:233378 --enddatetime 2017-10-10T18:22:43 --enforcementcount 0 &gt;&gt;%USERPROFILE%\Documents\GitHub\eaglep3-reporting\EC\2017-10-10-refined-times.txt</v>
      </c>
      <c r="AI12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{"issue":{"subject":"","project_id":79,"tracker_id":40,"status_id":1,"priority_id":2,"assigned_to_id":338,"start_date":"2017-10-10","description":"","custom_fields":[{"id":1,"name":"Subdivision","value":"EC"},{"id":4,"name":"Milepost","value":"23.3378"},{"id":17,"name":"Train ID","value":"213-10"},{"id":16,"name":"Locomotive ID","value":"4066"},{"id":130,"name":"Impact","value":""},{"id":150,"name":"Time of Event (Mountain Time)","value":"18:22:43"},{"id":151,"name":"Denver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1"/>
        <v>start /low /b %USERPROFILE%\Documents\GitHub\eaglep3\Utilities\DownloadLogsFromS3.py --loco 4066 --day 2017-10-10</v>
      </c>
      <c r="AN126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3"/>
        <v>https://d0f6bd738d7f1b3e5a7ca70fe4ff75f0.us-east-1.aws.found.io/app/kibana#/discover/Steve-Slow-Train-Analysis-(2080s-and-2083s)?_g=(refreshInterval:(display:Off,pause:!f,section:0,value:0),time:(from:'2017-10-10T16:40:25-0600',mode:absolute,to:'2017-10-10T19:22:43-0600'))&amp;_a=(columns:!('Message%20ID',Summary),filters:!(),index:'emp_*',interval:auto,query:(query_string:(analyze_wildcard:!t,query:'%22rtdc.l.rtdc.4066%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805</v>
      </c>
      <c r="B127" s="7">
        <v>4065</v>
      </c>
      <c r="C127" s="21" t="s">
        <v>194</v>
      </c>
      <c r="D127" s="21" t="s">
        <v>906</v>
      </c>
      <c r="E127" s="13">
        <v>43018.769826388889</v>
      </c>
      <c r="F127" s="13">
        <v>43018.779421296298</v>
      </c>
      <c r="G127" s="7">
        <v>81</v>
      </c>
      <c r="H127" s="21" t="s">
        <v>335</v>
      </c>
      <c r="I127" s="13">
        <v>43018.805023148147</v>
      </c>
      <c r="J127" s="7">
        <v>0</v>
      </c>
      <c r="K127" s="89" t="str">
        <f t="shared" si="56"/>
        <v>4065/4066</v>
      </c>
      <c r="L127" s="185" t="str">
        <f>VLOOKUP(A127,'Trips&amp;Operators'!$C$1:$G$99911,5,FALSE)</f>
        <v>LOZA FIDEL</v>
      </c>
      <c r="M127" s="6">
        <f t="shared" si="57"/>
        <v>2.5601851848477963E-2</v>
      </c>
      <c r="N127" s="7">
        <f t="shared" si="72"/>
        <v>36.866666661808267</v>
      </c>
      <c r="O127" s="7"/>
      <c r="P127" s="7"/>
      <c r="Q127" s="22"/>
      <c r="R127" s="174"/>
      <c r="S127" s="221">
        <f t="shared" si="55"/>
        <v>1</v>
      </c>
      <c r="T127" s="174" t="str">
        <f t="shared" si="58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0"/>
        <v>https://d0f6bd738d7f1b3e5a7ca70fe4ff75f0.us-east-1.aws.found.io/app/kibana#/discover/Steve-Slow-Train-Analysis-(2080s-and-2083s)?_g=(refreshInterval:(display:Off,pause:!f,section:0,value:0),time:(from:'2017-10-10T17:28:33-0600',mode:absolute,to:'2017-10-10T20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7" s="204" t="str">
        <f>IF(AA127&lt;VLOOKUP(AG127,Variables!$AC$3:$AD$8,2,FALSE),"Y","N")</f>
        <v>N</v>
      </c>
      <c r="X127" s="204">
        <f t="shared" si="59"/>
        <v>1</v>
      </c>
      <c r="Y127" s="204">
        <f t="shared" si="70"/>
        <v>23.299600000000002</v>
      </c>
      <c r="Z127" s="204">
        <f t="shared" si="71"/>
        <v>1.4999999999999999E-2</v>
      </c>
      <c r="AA127" s="204">
        <f t="shared" si="62"/>
        <v>23.284600000000001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63"/>
        <v>214</v>
      </c>
      <c r="AE127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27" s="74" t="str">
        <f t="shared" si="47"/>
        <v>"C:\Program Files (x86)\AstroGrep\AstroGrep.exe" /e /r /s /spath="%USERPROFILE%\AppData\Local\Temp\OnboardLogs" /stypes="app*4065*20171011*" /stext=" 01:.+((SYSTEM_STATE.+slice.+state.+changed )|(ment ac)|(multiple cpu faults)|(system.+state.+changed )|(\[timeout)|(PRM\|1\|D)|(kpr)|(kdp)|(train st.+moving)|(\|lc)|(penalty))"</v>
      </c>
      <c r="AG127" s="182" t="str">
        <f t="shared" si="64"/>
        <v>EC</v>
      </c>
      <c r="AH127" s="78" t="str">
        <f t="shared" si="49"/>
        <v>"%USERPROFILE%\Documents\GitHub\eaglep3\Utilities\RefineRTDCRunTimes.py" --tripid 214-10 --locoid 4065 --swversion DE.1.0.9.0 --startMP 204:232996 --initTime 2017-10-10T18:28:33 --startdatetime 2017-10-10T18:42:22 --delay 81 --endMP 204:150 --enddatetime 2017-10-10T19:19:14 --enforcementcount 0 &gt;&gt;%USERPROFILE%\Documents\GitHub\eaglep3-reporting\EC\2017-10-10-refined-times.txt</v>
      </c>
      <c r="AI12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ID","value":"214-10"},{"id":16,"name":"Locomotive ID","value":"4065"},{"id":130,"name":"Impact","value":""},{"id":150,"name":"Time of Event (Mountain Time)","value":"19:19:14"},{"id":151,"name":"Denver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1"/>
        <v>start /low /b %USERPROFILE%\Documents\GitHub\eaglep3\Utilities\DownloadLogsFromS3.py --loco 4065 --day 2017-10-10</v>
      </c>
      <c r="AN12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3"/>
        <v>https://d0f6bd738d7f1b3e5a7ca70fe4ff75f0.us-east-1.aws.found.io/app/kibana#/discover/Steve-Slow-Train-Analysis-(2080s-and-2083s)?_g=(refreshInterval:(display:Off,pause:!f,section:0,value:0),time:(from:'2017-10-10T17:28:33-0600',mode:absolute,to:'2017-10-10T20:19:14-0600'))&amp;_a=(columns:!('Message%20ID',Summary),filters:!(),index:'emp_*',interval:auto,query:(query_string:(analyze_wildcard:!t,query:'%22rtdc.l.rtdc.4065%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798</v>
      </c>
      <c r="B128" s="7">
        <v>4054</v>
      </c>
      <c r="C128" s="21" t="s">
        <v>194</v>
      </c>
      <c r="D128" s="21" t="s">
        <v>883</v>
      </c>
      <c r="E128" s="13">
        <v>43018.749189814815</v>
      </c>
      <c r="F128" s="13">
        <v>43018.75105324074</v>
      </c>
      <c r="G128" s="7">
        <v>82</v>
      </c>
      <c r="H128" s="21" t="s">
        <v>884</v>
      </c>
      <c r="I128" s="13">
        <v>43018.77616898148</v>
      </c>
      <c r="J128" s="7">
        <v>0</v>
      </c>
      <c r="K128" s="89" t="str">
        <f t="shared" si="56"/>
        <v>4053/4054</v>
      </c>
      <c r="L128" s="185" t="str">
        <f>VLOOKUP(A128,'Trips&amp;Operators'!$C$1:$G$99911,5,FALSE)</f>
        <v>SMITH MICHAEL</v>
      </c>
      <c r="M128" s="6">
        <f t="shared" si="57"/>
        <v>2.5115740740147885E-2</v>
      </c>
      <c r="N128" s="7">
        <f t="shared" si="72"/>
        <v>36.166666665812954</v>
      </c>
      <c r="O128" s="7"/>
      <c r="P128" s="7"/>
      <c r="Q128" s="22"/>
      <c r="R128" s="174"/>
      <c r="S128" s="221">
        <f t="shared" si="55"/>
        <v>1</v>
      </c>
      <c r="T128" s="174" t="str">
        <f t="shared" si="58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0"/>
        <v>https://d0f6bd738d7f1b3e5a7ca70fe4ff75f0.us-east-1.aws.found.io/app/kibana#/discover/Steve-Slow-Train-Analysis-(2080s-and-2083s)?_g=(refreshInterval:(display:Off,pause:!f,section:0,value:0),time:(from:'2017-10-10T16:58:50-0600',mode:absolute,to:'2017-10-10T19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204" t="str">
        <f>IF(AA128&lt;VLOOKUP(AG128,Variables!$AC$3:$AD$8,2,FALSE),"Y","N")</f>
        <v>N</v>
      </c>
      <c r="X128" s="204">
        <f t="shared" si="59"/>
        <v>1</v>
      </c>
      <c r="Y128" s="204">
        <f t="shared" si="70"/>
        <v>4.2599999999999999E-2</v>
      </c>
      <c r="Z128" s="204">
        <f t="shared" si="71"/>
        <v>23.331</v>
      </c>
      <c r="AA128" s="204">
        <f t="shared" si="62"/>
        <v>23.288399999999999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63"/>
        <v>215</v>
      </c>
      <c r="AE128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128" s="74" t="str">
        <f t="shared" si="47"/>
        <v>"C:\Program Files (x86)\AstroGrep\AstroGrep.exe" /e /r /s /spath="%USERPROFILE%\AppData\Local\Temp\OnboardLogs" /stypes="app*4054*20171011*" /stext=" 00:.+((SYSTEM_STATE.+slice.+state.+changed )|(ment ac)|(multiple cpu faults)|(system.+state.+changed )|(\[timeout)|(PRM\|1\|D)|(kpr)|(kdp)|(train st.+moving)|(\|lc)|(penalty))"</v>
      </c>
      <c r="AG128" s="182" t="str">
        <f t="shared" si="64"/>
        <v>EC</v>
      </c>
      <c r="AH128" s="78" t="str">
        <f t="shared" si="49"/>
        <v>"%USERPROFILE%\Documents\GitHub\eaglep3\Utilities\RefineRTDCRunTimes.py" --tripid 215-10 --locoid 4054 --swversion DE.1.0.9.0 --startMP 204:426 --initTime 2017-10-10T17:58:50 --startdatetime 2017-10-10T18:01:31 --delay 82 --endMP 204:233310 --enddatetime 2017-10-10T18:37:41 --enforcementcount 0 &gt;&gt;%USERPROFILE%\Documents\GitHub\eaglep3-reporting\EC\2017-10-10-refined-times.txt</v>
      </c>
      <c r="AI12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ID","value":"215-10"},{"id":16,"name":"Locomotive ID","value":"4054"},{"id":130,"name":"Impact","value":""},{"id":150,"name":"Time of Event (Mountain Time)","value":"18:37:41"},{"id":151,"name":"Denver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1"/>
        <v>start /low /b %USERPROFILE%\Documents\GitHub\eaglep3\Utilities\DownloadLogsFromS3.py --loco 4054 --day 2017-10-10</v>
      </c>
      <c r="AN128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3"/>
        <v>https://d0f6bd738d7f1b3e5a7ca70fe4ff75f0.us-east-1.aws.found.io/app/kibana#/discover/Steve-Slow-Train-Analysis-(2080s-and-2083s)?_g=(refreshInterval:(display:Off,pause:!f,section:0,value:0),time:(from:'2017-10-10T16:58:50-0600',mode:absolute,to:'2017-10-10T19:37:41-0600'))&amp;_a=(columns:!('Message%20ID',Summary),filters:!(),index:'emp_*',interval:auto,query:(query_string:(analyze_wildcard:!t,query:'%22rtdc.l.rtdc.4054%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797</v>
      </c>
      <c r="B129" s="7">
        <v>4053</v>
      </c>
      <c r="C129" s="21" t="s">
        <v>194</v>
      </c>
      <c r="D129" s="21" t="s">
        <v>907</v>
      </c>
      <c r="E129" s="13">
        <v>43018.782488425924</v>
      </c>
      <c r="F129" s="13">
        <v>43018.789768518516</v>
      </c>
      <c r="G129" s="7">
        <v>68</v>
      </c>
      <c r="H129" s="21" t="s">
        <v>361</v>
      </c>
      <c r="I129" s="13">
        <v>43018.816064814811</v>
      </c>
      <c r="J129" s="7">
        <v>0</v>
      </c>
      <c r="K129" s="89" t="str">
        <f t="shared" si="56"/>
        <v>4053/4054</v>
      </c>
      <c r="L129" s="185" t="str">
        <f>VLOOKUP(A129,'Trips&amp;Operators'!$C$1:$G$99911,5,FALSE)</f>
        <v>SMITH MICHAEL</v>
      </c>
      <c r="M129" s="6">
        <f t="shared" si="57"/>
        <v>2.6296296295186039E-2</v>
      </c>
      <c r="N129" s="7">
        <f t="shared" si="72"/>
        <v>37.866666665067896</v>
      </c>
      <c r="O129" s="7"/>
      <c r="P129" s="7"/>
      <c r="Q129" s="22"/>
      <c r="R129" s="174"/>
      <c r="S129" s="221">
        <f t="shared" si="55"/>
        <v>1</v>
      </c>
      <c r="T129" s="174" t="str">
        <f t="shared" si="58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0"/>
        <v>https://d0f6bd738d7f1b3e5a7ca70fe4ff75f0.us-east-1.aws.found.io/app/kibana#/discover/Steve-Slow-Train-Analysis-(2080s-and-2083s)?_g=(refreshInterval:(display:Off,pause:!f,section:0,value:0),time:(from:'2017-10-10T17:46:47-0600',mode:absolute,to:'2017-10-10T20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204" t="str">
        <f>IF(AA129&lt;VLOOKUP(AG129,Variables!$AC$3:$AD$8,2,FALSE),"Y","N")</f>
        <v>N</v>
      </c>
      <c r="X129" s="204">
        <f t="shared" si="59"/>
        <v>1</v>
      </c>
      <c r="Y129" s="204">
        <f t="shared" si="70"/>
        <v>23.298100000000002</v>
      </c>
      <c r="Z129" s="204">
        <f t="shared" si="71"/>
        <v>1.61E-2</v>
      </c>
      <c r="AA129" s="204">
        <f t="shared" si="62"/>
        <v>23.282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63"/>
        <v>216</v>
      </c>
      <c r="AE129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29" s="74" t="str">
        <f t="shared" si="47"/>
        <v>"C:\Program Files (x86)\AstroGrep\AstroGrep.exe" /e /r /s /spath="%USERPROFILE%\AppData\Local\Temp\OnboardLogs" /stypes="app*4053*20171011*" /stext=" 01:.+((SYSTEM_STATE.+slice.+state.+changed )|(ment ac)|(multiple cpu faults)|(system.+state.+changed )|(\[timeout)|(PRM\|1\|D)|(kpr)|(kdp)|(train st.+moving)|(\|lc)|(penalty))"</v>
      </c>
      <c r="AG129" s="182" t="str">
        <f t="shared" si="64"/>
        <v>EC</v>
      </c>
      <c r="AH129" s="78" t="str">
        <f t="shared" si="49"/>
        <v>"%USERPROFILE%\Documents\GitHub\eaglep3\Utilities\RefineRTDCRunTimes.py" --tripid 216-10 --locoid 4053 --swversion DE.1.0.9.0 --startMP 204:232981 --initTime 2017-10-10T18:46:47 --startdatetime 2017-10-10T18:57:16 --delay 68 --endMP 204:161 --enddatetime 2017-10-10T19:35:08 --enforcementcount 0 &gt;&gt;%USERPROFILE%\Documents\GitHub\eaglep3-reporting\EC\2017-10-10-refined-times.txt</v>
      </c>
      <c r="AI12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{"issue":{"subject":"","project_id":79,"tracker_id":40,"status_id":1,"priority_id":2,"assigned_to_id":338,"start_date":"2017-10-10","description":"","custom_fields":[{"id":1,"name":"Subdivision","value":"EC"},{"id":4,"name":"Milepost","value":"0.0161"},{"id":17,"name":"Train ID","value":"216-10"},{"id":16,"name":"Locomotive ID","value":"4053"},{"id":130,"name":"Impact","value":""},{"id":150,"name":"Time of Event (Mountain Time)","value":"19:35:08"},{"id":151,"name":"Denver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1"/>
        <v>start /low /b %USERPROFILE%\Documents\GitHub\eaglep3\Utilities\DownloadLogsFromS3.py --loco 4053 --day 2017-10-10</v>
      </c>
      <c r="AN12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3"/>
        <v>https://d0f6bd738d7f1b3e5a7ca70fe4ff75f0.us-east-1.aws.found.io/app/kibana#/discover/Steve-Slow-Train-Analysis-(2080s-and-2083s)?_g=(refreshInterval:(display:Off,pause:!f,section:0,value:0),time:(from:'2017-10-10T17:46:47-0600',mode:absolute,to:'2017-10-10T20:35:08-0600'))&amp;_a=(columns:!('Message%20ID',Summary),filters:!(),index:'emp_*',interval:auto,query:(query_string:(analyze_wildcard:!t,query:'%22rtdc.l.rtdc.4053%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801</v>
      </c>
      <c r="B130" s="7">
        <v>4020</v>
      </c>
      <c r="C130" s="21" t="s">
        <v>194</v>
      </c>
      <c r="D130" s="21" t="s">
        <v>334</v>
      </c>
      <c r="E130" s="13">
        <v>43018.757187499999</v>
      </c>
      <c r="F130" s="13">
        <v>43018.760740740741</v>
      </c>
      <c r="G130" s="7">
        <v>69</v>
      </c>
      <c r="H130" s="21" t="s">
        <v>908</v>
      </c>
      <c r="I130" s="13">
        <v>43018.786180555559</v>
      </c>
      <c r="J130" s="7">
        <v>0</v>
      </c>
      <c r="K130" s="89" t="str">
        <f t="shared" si="56"/>
        <v>4019/4020</v>
      </c>
      <c r="L130" s="185" t="str">
        <f>VLOOKUP(A130,'Trips&amp;Operators'!$C$1:$G$99911,5,FALSE)</f>
        <v>BIRKHOLZ NADINE</v>
      </c>
      <c r="M130" s="6">
        <f t="shared" si="57"/>
        <v>2.5439814817218576E-2</v>
      </c>
      <c r="N130" s="7">
        <f t="shared" si="72"/>
        <v>36.633333336794749</v>
      </c>
      <c r="O130" s="7"/>
      <c r="P130" s="7"/>
      <c r="Q130" s="22"/>
      <c r="R130" s="174"/>
      <c r="S130" s="221">
        <f t="shared" si="55"/>
        <v>1</v>
      </c>
      <c r="T130" s="174" t="str">
        <f t="shared" si="58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0"/>
        <v>https://d0f6bd738d7f1b3e5a7ca70fe4ff75f0.us-east-1.aws.found.io/app/kibana#/discover/Steve-Slow-Train-Analysis-(2080s-and-2083s)?_g=(refreshInterval:(display:Off,pause:!f,section:0,value:0),time:(from:'2017-10-10T17:10:21-0600',mode:absolute,to:'2017-10-10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04" t="str">
        <f>IF(AA130&lt;VLOOKUP(AG130,Variables!$AC$3:$AD$8,2,FALSE),"Y","N")</f>
        <v>N</v>
      </c>
      <c r="X130" s="204">
        <f t="shared" si="59"/>
        <v>1</v>
      </c>
      <c r="Y130" s="204">
        <f t="shared" si="70"/>
        <v>4.4600000000000001E-2</v>
      </c>
      <c r="Z130" s="204">
        <f t="shared" si="71"/>
        <v>23.326599999999999</v>
      </c>
      <c r="AA130" s="204">
        <f t="shared" si="62"/>
        <v>23.282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63"/>
        <v>217</v>
      </c>
      <c r="AE130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30" s="74" t="str">
        <f t="shared" si="47"/>
        <v>"C:\Program Files (x86)\AstroGrep\AstroGrep.exe" /e /r /s /spath="%USERPROFILE%\AppData\Local\Temp\OnboardLogs" /stypes="app*4020*20171011*" /stext=" 00:.+((SYSTEM_STATE.+slice.+state.+changed )|(ment ac)|(multiple cpu faults)|(system.+state.+changed )|(\[timeout)|(PRM\|1\|D)|(kpr)|(kdp)|(train st.+moving)|(\|lc)|(penalty))"</v>
      </c>
      <c r="AG130" s="182" t="str">
        <f t="shared" si="64"/>
        <v>EC</v>
      </c>
      <c r="AH130" s="78" t="str">
        <f t="shared" si="49"/>
        <v>"%USERPROFILE%\Documents\GitHub\eaglep3\Utilities\RefineRTDCRunTimes.py" --tripid 217-10 --locoid 4020 --swversion DE.1.0.9.0 --startMP 204:446 --initTime 2017-10-10T18:10:21 --startdatetime 2017-10-10T18:15:28 --delay 69 --endMP 204:233266 --enddatetime 2017-10-10T18:52:06 --enforcementcount 0 &gt;&gt;%USERPROFILE%\Documents\GitHub\eaglep3-reporting\EC\2017-10-10-refined-times.txt</v>
      </c>
      <c r="AI13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{"issue":{"subject":"","project_id":79,"tracker_id":40,"status_id":1,"priority_id":2,"assigned_to_id":338,"start_date":"2017-10-10","description":"","custom_fields":[{"id":1,"name":"Subdivision","value":"EC"},{"id":4,"name":"Milepost","value":"23.3266"},{"id":17,"name":"Train ID","value":"217-10"},{"id":16,"name":"Locomotive ID","value":"4020"},{"id":130,"name":"Impact","value":""},{"id":150,"name":"Time of Event (Mountain Time)","value":"18:52:06"},{"id":151,"name":"Denver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1"/>
        <v>start /low /b %USERPROFILE%\Documents\GitHub\eaglep3\Utilities\DownloadLogsFromS3.py --loco 4020 --day 2017-10-10</v>
      </c>
      <c r="AN130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3"/>
        <v>https://d0f6bd738d7f1b3e5a7ca70fe4ff75f0.us-east-1.aws.found.io/app/kibana#/discover/Steve-Slow-Train-Analysis-(2080s-and-2083s)?_g=(refreshInterval:(display:Off,pause:!f,section:0,value:0),time:(from:'2017-10-10T17:10:21-0600',mode:absolute,to:'2017-10-10T19:52:06-0600'))&amp;_a=(columns:!('Message%20ID',Summary),filters:!(),index:'emp_*',interval:auto,query:(query_string:(analyze_wildcard:!t,query:'%22rtdc.l.rtdc.4020%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813</v>
      </c>
      <c r="B131" s="7">
        <v>4019</v>
      </c>
      <c r="C131" s="21" t="s">
        <v>194</v>
      </c>
      <c r="D131" s="21" t="s">
        <v>511</v>
      </c>
      <c r="E131" s="13">
        <v>43018.795520833337</v>
      </c>
      <c r="F131" s="13">
        <v>43018.800405092596</v>
      </c>
      <c r="G131" s="7">
        <v>76</v>
      </c>
      <c r="H131" s="21" t="s">
        <v>339</v>
      </c>
      <c r="I131" s="13">
        <v>43018.827118055553</v>
      </c>
      <c r="J131" s="7">
        <v>0</v>
      </c>
      <c r="K131" s="89" t="str">
        <f t="shared" si="56"/>
        <v>4019/4020</v>
      </c>
      <c r="L131" s="185" t="str">
        <f>VLOOKUP(A131,'Trips&amp;Operators'!$C$1:$G$99911,5,FALSE)</f>
        <v>BIRKHOLZ NADINE</v>
      </c>
      <c r="M131" s="6">
        <f t="shared" si="57"/>
        <v>2.6712962957390118E-2</v>
      </c>
      <c r="N131" s="7">
        <f t="shared" si="72"/>
        <v>38.46666665864177</v>
      </c>
      <c r="O131" s="7"/>
      <c r="P131" s="7"/>
      <c r="Q131" s="22"/>
      <c r="R131" s="174"/>
      <c r="S131" s="221">
        <f t="shared" si="55"/>
        <v>1</v>
      </c>
      <c r="T131" s="174" t="str">
        <f t="shared" si="58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0"/>
        <v>https://d0f6bd738d7f1b3e5a7ca70fe4ff75f0.us-east-1.aws.found.io/app/kibana#/discover/Steve-Slow-Train-Analysis-(2080s-and-2083s)?_g=(refreshInterval:(display:Off,pause:!f,section:0,value:0),time:(from:'2017-10-10T18:05:33-0600',mode:absolute,to:'2017-10-10T20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04" t="str">
        <f>IF(AA131&lt;VLOOKUP(AG131,Variables!$AC$3:$AD$8,2,FALSE),"Y","N")</f>
        <v>N</v>
      </c>
      <c r="X131" s="204">
        <f t="shared" si="59"/>
        <v>1</v>
      </c>
      <c r="Y131" s="204">
        <f t="shared" si="70"/>
        <v>23.2973</v>
      </c>
      <c r="Z131" s="204">
        <f t="shared" si="71"/>
        <v>1.47E-2</v>
      </c>
      <c r="AA131" s="204">
        <f t="shared" si="62"/>
        <v>23.282599999999999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63"/>
        <v>218</v>
      </c>
      <c r="AE131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31" s="74" t="str">
        <f t="shared" si="47"/>
        <v>"C:\Program Files (x86)\AstroGrep\AstroGrep.exe" /e /r /s /spath="%USERPROFILE%\AppData\Local\Temp\OnboardLogs" /stypes="app*4019*20171011*" /stext=" 01:.+((SYSTEM_STATE.+slice.+state.+changed )|(ment ac)|(multiple cpu faults)|(system.+state.+changed )|(\[timeout)|(PRM\|1\|D)|(kpr)|(kdp)|(train st.+moving)|(\|lc)|(penalty))"</v>
      </c>
      <c r="AG131" s="182" t="str">
        <f t="shared" si="64"/>
        <v>EC</v>
      </c>
      <c r="AH131" s="78" t="str">
        <f t="shared" si="49"/>
        <v>"%USERPROFILE%\Documents\GitHub\eaglep3\Utilities\RefineRTDCRunTimes.py" --tripid 218-10 --locoid 4019 --swversion DE.1.0.9.0 --startMP 204:232973 --initTime 2017-10-10T19:05:33 --startdatetime 2017-10-10T19:12:35 --delay 76 --endMP 204:147 --enddatetime 2017-10-10T19:51:03 --enforcementcount 0 &gt;&gt;%USERPROFILE%\Documents\GitHub\eaglep3-reporting\EC\2017-10-10-refined-times.txt</v>
      </c>
      <c r="AI13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ID","value":"218-10"},{"id":16,"name":"Locomotive ID","value":"4019"},{"id":130,"name":"Impact","value":""},{"id":150,"name":"Time of Event (Mountain Time)","value":"19:51:03"},{"id":151,"name":"Denver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1"/>
        <v>start /low /b %USERPROFILE%\Documents\GitHub\eaglep3\Utilities\DownloadLogsFromS3.py --loco 4019 --day 2017-10-10</v>
      </c>
      <c r="AN131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3"/>
        <v>https://d0f6bd738d7f1b3e5a7ca70fe4ff75f0.us-east-1.aws.found.io/app/kibana#/discover/Steve-Slow-Train-Analysis-(2080s-and-2083s)?_g=(refreshInterval:(display:Off,pause:!f,section:0,value:0),time:(from:'2017-10-10T18:05:33-0600',mode:absolute,to:'2017-10-10T20:51:03-0600'))&amp;_a=(columns:!('Message%20ID',Summary),filters:!(),index:'emp_*',interval:auto,query:(query_string:(analyze_wildcard:!t,query:'%22rtdc.l.rtdc.4019%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4052</v>
      </c>
      <c r="C132" s="21" t="s">
        <v>194</v>
      </c>
      <c r="D132" s="21" t="s">
        <v>372</v>
      </c>
      <c r="E132" s="13">
        <v>43018.770543981482</v>
      </c>
      <c r="F132" s="13">
        <v>43018.772175925929</v>
      </c>
      <c r="G132" s="7">
        <v>63</v>
      </c>
      <c r="H132" s="21" t="s">
        <v>909</v>
      </c>
      <c r="I132" s="13">
        <v>43018.797060185185</v>
      </c>
      <c r="J132" s="7">
        <v>0</v>
      </c>
      <c r="K132" s="89" t="str">
        <f t="shared" si="56"/>
        <v>4051/4052</v>
      </c>
      <c r="L132" s="185" t="str">
        <f>VLOOKUP(A132,'Trips&amp;Operators'!$C$1:$G$99911,5,FALSE)</f>
        <v>ANDERS STEVEN</v>
      </c>
      <c r="M132" s="6">
        <f t="shared" si="57"/>
        <v>2.488425925548654E-2</v>
      </c>
      <c r="N132" s="7">
        <f t="shared" si="72"/>
        <v>35.833333327900618</v>
      </c>
      <c r="O132" s="7"/>
      <c r="P132" s="7"/>
      <c r="Q132" s="22"/>
      <c r="R132" s="174"/>
      <c r="S132" s="221">
        <f t="shared" si="55"/>
        <v>1</v>
      </c>
      <c r="T132" s="174" t="str">
        <f t="shared" si="58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0"/>
        <v>https://d0f6bd738d7f1b3e5a7ca70fe4ff75f0.us-east-1.aws.found.io/app/kibana#/discover/Steve-Slow-Train-Analysis-(2080s-and-2083s)?_g=(refreshInterval:(display:Off,pause:!f,section:0,value:0),time:(from:'2017-10-10T17:29:35-0600',mode:absolute,to:'2017-10-10T20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204" t="str">
        <f>IF(AA132&lt;VLOOKUP(AG132,Variables!$AC$3:$AD$8,2,FALSE),"Y","N")</f>
        <v>N</v>
      </c>
      <c r="X132" s="204">
        <f t="shared" si="59"/>
        <v>1</v>
      </c>
      <c r="Y132" s="204">
        <f t="shared" si="70"/>
        <v>4.7100000000000003E-2</v>
      </c>
      <c r="Z132" s="204">
        <f t="shared" si="71"/>
        <v>23.331900000000001</v>
      </c>
      <c r="AA132" s="204">
        <f t="shared" si="62"/>
        <v>23.284800000000001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63"/>
        <v>219</v>
      </c>
      <c r="AE132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32" s="74" t="str">
        <f t="shared" si="47"/>
        <v>"C:\Program Files (x86)\AstroGrep\AstroGrep.exe" /e /r /s /spath="%USERPROFILE%\AppData\Local\Temp\OnboardLogs" /stypes="app*4052*20171011*" /stext=" 01:.+((SYSTEM_STATE.+slice.+state.+changed )|(ment ac)|(multiple cpu faults)|(system.+state.+changed )|(\[timeout)|(PRM\|1\|D)|(kpr)|(kdp)|(train st.+moving)|(\|lc)|(penalty))"</v>
      </c>
      <c r="AG132" s="182" t="str">
        <f t="shared" si="64"/>
        <v>EC</v>
      </c>
      <c r="AH132" s="78" t="str">
        <f t="shared" si="49"/>
        <v>"%USERPROFILE%\Documents\GitHub\eaglep3\Utilities\RefineRTDCRunTimes.py" --tripid 219-10 --locoid 4052 --swversion DE.1.0.9.0 --startMP 204:471 --initTime 2017-10-10T18:29:35 --startdatetime 2017-10-10T18:31:56 --delay 63 --endMP 204:233319 --enddatetime 2017-10-10T19:07:46 --enforcementcount 0 &gt;&gt;%USERPROFILE%\Documents\GitHub\eaglep3-reporting\EC\2017-10-10-refined-times.txt</v>
      </c>
      <c r="AI13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{"issue":{"subject":"","project_id":79,"tracker_id":40,"status_id":1,"priority_id":2,"assigned_to_id":338,"start_date":"2017-10-10","description":"","custom_fields":[{"id":1,"name":"Subdivision","value":"EC"},{"id":4,"name":"Milepost","value":"23.3319"},{"id":17,"name":"Train ID","value":"219-10"},{"id":16,"name":"Locomotive ID","value":"4052"},{"id":130,"name":"Impact","value":""},{"id":150,"name":"Time of Event (Mountain Time)","value":"19:07:46"},{"id":151,"name":"Denver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1"/>
        <v>start /low /b %USERPROFILE%\Documents\GitHub\eaglep3\Utilities\DownloadLogsFromS3.py --loco 4052 --day 2017-10-10</v>
      </c>
      <c r="AN132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3"/>
        <v>https://d0f6bd738d7f1b3e5a7ca70fe4ff75f0.us-east-1.aws.found.io/app/kibana#/discover/Steve-Slow-Train-Analysis-(2080s-and-2083s)?_g=(refreshInterval:(display:Off,pause:!f,section:0,value:0),time:(from:'2017-10-10T17:29:35-0600',mode:absolute,to:'2017-10-10T20:07:46-0600'))&amp;_a=(columns:!('Message%20ID',Summary),filters:!(),index:'emp_*',interval:auto,query:(query_string:(analyze_wildcard:!t,query:'%22rtdc.l.rtdc.4052%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815</v>
      </c>
      <c r="B133" s="7">
        <v>4051</v>
      </c>
      <c r="C133" s="21" t="s">
        <v>194</v>
      </c>
      <c r="D133" s="21" t="s">
        <v>563</v>
      </c>
      <c r="E133" s="13">
        <v>43018.807152777779</v>
      </c>
      <c r="F133" s="13">
        <v>43018.810763888891</v>
      </c>
      <c r="G133" s="7">
        <v>151</v>
      </c>
      <c r="H133" s="21" t="s">
        <v>356</v>
      </c>
      <c r="I133" s="13">
        <v>43018.83697916667</v>
      </c>
      <c r="J133" s="7">
        <v>0</v>
      </c>
      <c r="K133" s="89" t="str">
        <f t="shared" si="56"/>
        <v>4051/4052</v>
      </c>
      <c r="L133" s="185" t="str">
        <f>VLOOKUP(A133,'Trips&amp;Operators'!$C$1:$G$99911,5,FALSE)</f>
        <v>ANDERS STEVEN</v>
      </c>
      <c r="M133" s="6">
        <f t="shared" si="57"/>
        <v>2.6215277779556345E-2</v>
      </c>
      <c r="N133" s="7">
        <f t="shared" si="72"/>
        <v>37.750000002561137</v>
      </c>
      <c r="O133" s="7"/>
      <c r="P133" s="7"/>
      <c r="Q133" s="22"/>
      <c r="R133" s="174"/>
      <c r="S133" s="221">
        <f t="shared" si="55"/>
        <v>1</v>
      </c>
      <c r="T133" s="174" t="str">
        <f t="shared" si="58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0"/>
        <v>https://d0f6bd738d7f1b3e5a7ca70fe4ff75f0.us-east-1.aws.found.io/app/kibana#/discover/Steve-Slow-Train-Analysis-(2080s-and-2083s)?_g=(refreshInterval:(display:Off,pause:!f,section:0,value:0),time:(from:'2017-10-10T18:22:18-0600',mode:absolute,to:'2017-10-10T21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204" t="str">
        <f>IF(AA133&lt;VLOOKUP(AG133,Variables!$AC$3:$AD$8,2,FALSE),"Y","N")</f>
        <v>N</v>
      </c>
      <c r="X133" s="204">
        <f t="shared" si="59"/>
        <v>1</v>
      </c>
      <c r="Y133" s="204">
        <f t="shared" si="70"/>
        <v>23.299399999999999</v>
      </c>
      <c r="Z133" s="204">
        <f t="shared" si="71"/>
        <v>1.4500000000000001E-2</v>
      </c>
      <c r="AA133" s="204">
        <f t="shared" si="62"/>
        <v>23.284899999999997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63"/>
        <v>220</v>
      </c>
      <c r="AE133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33" s="74" t="str">
        <f t="shared" si="47"/>
        <v>"C:\Program Files (x86)\AstroGrep\AstroGrep.exe" /e /r /s /spath="%USERPROFILE%\AppData\Local\Temp\OnboardLogs" /stypes="app*4051*20171011*" /stext=" 02:.+((SYSTEM_STATE.+slice.+state.+changed )|(ment ac)|(multiple cpu faults)|(system.+state.+changed )|(\[timeout)|(PRM\|1\|D)|(kpr)|(kdp)|(train st.+moving)|(\|lc)|(penalty))"</v>
      </c>
      <c r="AG133" s="182" t="str">
        <f t="shared" si="64"/>
        <v>EC</v>
      </c>
      <c r="AH133" s="78" t="str">
        <f t="shared" si="49"/>
        <v>"%USERPROFILE%\Documents\GitHub\eaglep3\Utilities\RefineRTDCRunTimes.py" --tripid 220-10 --locoid 4051 --swversion DE.1.0.9.0 --startMP 204:232994 --initTime 2017-10-10T19:22:18 --startdatetime 2017-10-10T19:27:30 --delay 151 --endMP 204:145 --enddatetime 2017-10-10T20:05:15 --enforcementcount 0 &gt;&gt;%USERPROFILE%\Documents\GitHub\eaglep3-reporting\EC\2017-10-10-refined-times.txt</v>
      </c>
      <c r="AI13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ID","value":"220-10"},{"id":16,"name":"Locomotive ID","value":"4051"},{"id":130,"name":"Impact","value":""},{"id":150,"name":"Time of Event (Mountain Time)","value":"20:05:15"},{"id":151,"name":"Denver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1"/>
        <v>start /low /b %USERPROFILE%\Documents\GitHub\eaglep3\Utilities\DownloadLogsFromS3.py --loco 4051 --day 2017-10-10</v>
      </c>
      <c r="AN133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3"/>
        <v>https://d0f6bd738d7f1b3e5a7ca70fe4ff75f0.us-east-1.aws.found.io/app/kibana#/discover/Steve-Slow-Train-Analysis-(2080s-and-2083s)?_g=(refreshInterval:(display:Off,pause:!f,section:0,value:0),time:(from:'2017-10-10T18:22:18-0600',mode:absolute,to:'2017-10-10T21:05:15-0600'))&amp;_a=(columns:!('Message%20ID',Summary),filters:!(),index:'emp_*',interval:auto,query:(query_string:(analyze_wildcard:!t,query:'%22rtdc.l.rtdc.4051%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809</v>
      </c>
      <c r="B134" s="7">
        <v>4050</v>
      </c>
      <c r="C134" s="21" t="s">
        <v>194</v>
      </c>
      <c r="D134" s="21" t="s">
        <v>376</v>
      </c>
      <c r="E134" s="13">
        <v>43018.787453703706</v>
      </c>
      <c r="F134" s="13">
        <v>43018.791990740741</v>
      </c>
      <c r="G134" s="7">
        <v>90</v>
      </c>
      <c r="H134" s="21" t="s">
        <v>516</v>
      </c>
      <c r="I134" s="13">
        <v>43018.816504629627</v>
      </c>
      <c r="J134" s="7">
        <v>0</v>
      </c>
      <c r="K134" s="89" t="str">
        <f t="shared" si="56"/>
        <v>4049/4050</v>
      </c>
      <c r="L134" s="185" t="str">
        <f>VLOOKUP(A134,'Trips&amp;Operators'!$C$1:$G$99911,5,FALSE)</f>
        <v>BARRON PERLA</v>
      </c>
      <c r="M134" s="6">
        <f t="shared" si="57"/>
        <v>2.4513888885849155E-2</v>
      </c>
      <c r="N134" s="7">
        <f t="shared" si="72"/>
        <v>35.299999995622784</v>
      </c>
      <c r="O134" s="7"/>
      <c r="P134" s="7"/>
      <c r="Q134" s="22"/>
      <c r="R134" s="174"/>
      <c r="S134" s="221">
        <f t="shared" si="55"/>
        <v>1</v>
      </c>
      <c r="T134" s="174" t="str">
        <f t="shared" si="58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0"/>
        <v>https://d0f6bd738d7f1b3e5a7ca70fe4ff75f0.us-east-1.aws.found.io/app/kibana#/discover/Steve-Slow-Train-Analysis-(2080s-and-2083s)?_g=(refreshInterval:(display:Off,pause:!f,section:0,value:0),time:(from:'2017-10-10T17:53:56-0600',mode:absolute,to:'2017-10-10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204" t="str">
        <f>IF(AA134&lt;VLOOKUP(AG134,Variables!$AC$3:$AD$8,2,FALSE),"Y","N")</f>
        <v>N</v>
      </c>
      <c r="X134" s="204">
        <f t="shared" si="59"/>
        <v>1</v>
      </c>
      <c r="Y134" s="204">
        <f t="shared" si="70"/>
        <v>4.6600000000000003E-2</v>
      </c>
      <c r="Z134" s="204">
        <f t="shared" si="71"/>
        <v>23.329499999999999</v>
      </c>
      <c r="AA134" s="204">
        <f t="shared" si="62"/>
        <v>23.282899999999998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63"/>
        <v>221</v>
      </c>
      <c r="AE134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34" s="74" t="str">
        <f t="shared" si="47"/>
        <v>"C:\Program Files (x86)\AstroGrep\AstroGrep.exe" /e /r /s /spath="%USERPROFILE%\AppData\Local\Temp\OnboardLogs" /stypes="app*4050*20171011*" /stext=" 01:.+((SYSTEM_STATE.+slice.+state.+changed )|(ment ac)|(multiple cpu faults)|(system.+state.+changed )|(\[timeout)|(PRM\|1\|D)|(kpr)|(kdp)|(train st.+moving)|(\|lc)|(penalty))"</v>
      </c>
      <c r="AG134" s="182" t="str">
        <f t="shared" si="64"/>
        <v>EC</v>
      </c>
      <c r="AH134" s="78" t="str">
        <f t="shared" si="49"/>
        <v>"%USERPROFILE%\Documents\GitHub\eaglep3\Utilities\RefineRTDCRunTimes.py" --tripid 221-10 --locoid 4050 --swversion DE.1.0.9.0 --startMP 204:466 --initTime 2017-10-10T18:53:56 --startdatetime 2017-10-10T19:00:28 --delay 90 --endMP 204:233295 --enddatetime 2017-10-10T19:35:46 --enforcementcount 0 &gt;&gt;%USERPROFILE%\Documents\GitHub\eaglep3-reporting\EC\2017-10-10-refined-times.txt</v>
      </c>
      <c r="AI13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ID","value":"221-10"},{"id":16,"name":"Locomotive ID","value":"4050"},{"id":130,"name":"Impact","value":""},{"id":150,"name":"Time of Event (Mountain Time)","value":"19:35:46"},{"id":151,"name":"Denver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1"/>
        <v>start /low /b %USERPROFILE%\Documents\GitHub\eaglep3\Utilities\DownloadLogsFromS3.py --loco 4050 --day 2017-10-10</v>
      </c>
      <c r="AN134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3"/>
        <v>https://d0f6bd738d7f1b3e5a7ca70fe4ff75f0.us-east-1.aws.found.io/app/kibana#/discover/Steve-Slow-Train-Analysis-(2080s-and-2083s)?_g=(refreshInterval:(display:Off,pause:!f,section:0,value:0),time:(from:'2017-10-10T17:53:56-0600',mode:absolute,to:'2017-10-10T20:35:46-0600'))&amp;_a=(columns:!('Message%20ID',Summary),filters:!(),index:'emp_*',interval:auto,query:(query_string:(analyze_wildcard:!t,query:'%22rtdc.l.rtdc.4050%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818</v>
      </c>
      <c r="B135" s="7">
        <v>4049</v>
      </c>
      <c r="C135" s="21" t="s">
        <v>194</v>
      </c>
      <c r="D135" s="21" t="s">
        <v>483</v>
      </c>
      <c r="E135" s="13">
        <v>43018.82471064815</v>
      </c>
      <c r="F135" s="13">
        <v>43018.831446759257</v>
      </c>
      <c r="G135" s="7">
        <v>82</v>
      </c>
      <c r="H135" s="21" t="s">
        <v>375</v>
      </c>
      <c r="I135" s="13">
        <v>43018.857812499999</v>
      </c>
      <c r="J135" s="7">
        <v>0</v>
      </c>
      <c r="K135" s="89" t="str">
        <f t="shared" si="56"/>
        <v>4049/4050</v>
      </c>
      <c r="L135" s="185" t="str">
        <f>VLOOKUP(A135,'Trips&amp;Operators'!$C$1:$G$99911,5,FALSE)</f>
        <v>BARRON PERLA</v>
      </c>
      <c r="M135" s="6">
        <f t="shared" si="57"/>
        <v>2.6365740741312038E-2</v>
      </c>
      <c r="N135" s="7">
        <f t="shared" si="72"/>
        <v>37.966666667489335</v>
      </c>
      <c r="O135" s="7"/>
      <c r="P135" s="7"/>
      <c r="Q135" s="22"/>
      <c r="R135" s="174"/>
      <c r="S135" s="221">
        <f t="shared" si="55"/>
        <v>1</v>
      </c>
      <c r="T135" s="174" t="str">
        <f t="shared" si="58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0"/>
        <v>https://d0f6bd738d7f1b3e5a7ca70fe4ff75f0.us-east-1.aws.found.io/app/kibana#/discover/Steve-Slow-Train-Analysis-(2080s-and-2083s)?_g=(refreshInterval:(display:Off,pause:!f,section:0,value:0),time:(from:'2017-10-10T18:47:35-0600',mode:absolute,to:'2017-10-10T21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204" t="str">
        <f>IF(AA135&lt;VLOOKUP(AG135,Variables!$AC$3:$AD$8,2,FALSE),"Y","N")</f>
        <v>N</v>
      </c>
      <c r="X135" s="204">
        <f t="shared" si="59"/>
        <v>1</v>
      </c>
      <c r="Y135" s="204">
        <f t="shared" si="70"/>
        <v>23.297499999999999</v>
      </c>
      <c r="Z135" s="204">
        <f t="shared" si="71"/>
        <v>1.54E-2</v>
      </c>
      <c r="AA135" s="204">
        <f t="shared" si="62"/>
        <v>23.2821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63"/>
        <v>222</v>
      </c>
      <c r="AE135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35" s="74" t="str">
        <f t="shared" si="47"/>
        <v>"C:\Program Files (x86)\AstroGrep\AstroGrep.exe" /e /r /s /spath="%USERPROFILE%\AppData\Local\Temp\OnboardLogs" /stypes="app*4049*20171011*" /stext=" 02:.+((SYSTEM_STATE.+slice.+state.+changed )|(ment ac)|(multiple cpu faults)|(system.+state.+changed )|(\[timeout)|(PRM\|1\|D)|(kpr)|(kdp)|(train st.+moving)|(\|lc)|(penalty))"</v>
      </c>
      <c r="AG135" s="182" t="str">
        <f t="shared" si="64"/>
        <v>EC</v>
      </c>
      <c r="AH135" s="78" t="str">
        <f t="shared" si="49"/>
        <v>"%USERPROFILE%\Documents\GitHub\eaglep3\Utilities\RefineRTDCRunTimes.py" --tripid 222-10 --locoid 4049 --swversion DE.1.0.9.0 --startMP 204:232975 --initTime 2017-10-10T19:47:35 --startdatetime 2017-10-10T19:57:17 --delay 82 --endMP 204:154 --enddatetime 2017-10-10T20:35:15 --enforcementcount 0 &gt;&gt;%USERPROFILE%\Documents\GitHub\eaglep3-reporting\EC\2017-10-10-refined-times.txt</v>
      </c>
      <c r="AI13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ID","value":"222-10"},{"id":16,"name":"Locomotive ID","value":"4049"},{"id":130,"name":"Impact","value":""},{"id":150,"name":"Time of Event (Mountain Time)","value":"20:35:15"},{"id":151,"name":"Denver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1"/>
        <v>start /low /b %USERPROFILE%\Documents\GitHub\eaglep3\Utilities\DownloadLogsFromS3.py --loco 4049 --day 2017-10-10</v>
      </c>
      <c r="AN135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3"/>
        <v>https://d0f6bd738d7f1b3e5a7ca70fe4ff75f0.us-east-1.aws.found.io/app/kibana#/discover/Steve-Slow-Train-Analysis-(2080s-and-2083s)?_g=(refreshInterval:(display:Off,pause:!f,section:0,value:0),time:(from:'2017-10-10T18:47:35-0600',mode:absolute,to:'2017-10-10T21:35:15-0600'))&amp;_a=(columns:!('Message%20ID',Summary),filters:!(),index:'emp_*',interval:auto,query:(query_string:(analyze_wildcard:!t,query:'%22rtdc.l.rtdc.4049%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816</v>
      </c>
      <c r="B136" s="7">
        <v>4066</v>
      </c>
      <c r="C136" s="21" t="s">
        <v>194</v>
      </c>
      <c r="D136" s="21" t="s">
        <v>424</v>
      </c>
      <c r="E136" s="13">
        <v>43018.810416666667</v>
      </c>
      <c r="F136" s="13">
        <v>43018.812858796293</v>
      </c>
      <c r="G136" s="7">
        <v>75</v>
      </c>
      <c r="H136" s="21" t="s">
        <v>409</v>
      </c>
      <c r="I136" s="13">
        <v>43018.837199074071</v>
      </c>
      <c r="J136" s="7">
        <v>0</v>
      </c>
      <c r="K136" s="89" t="str">
        <f t="shared" si="56"/>
        <v>4065/4066</v>
      </c>
      <c r="L136" s="185" t="str">
        <f>VLOOKUP(A136,'Trips&amp;Operators'!$C$1:$G$99911,5,FALSE)</f>
        <v>LOZA FIDEL</v>
      </c>
      <c r="M136" s="6">
        <f t="shared" si="57"/>
        <v>2.4340277777810115E-2</v>
      </c>
      <c r="N136" s="7">
        <f t="shared" si="72"/>
        <v>35.050000000046566</v>
      </c>
      <c r="O136" s="7"/>
      <c r="P136" s="7"/>
      <c r="Q136" s="22"/>
      <c r="R136" s="174"/>
      <c r="S136" s="221">
        <f t="shared" si="55"/>
        <v>1</v>
      </c>
      <c r="T136" s="174" t="str">
        <f t="shared" si="58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0"/>
        <v>https://d0f6bd738d7f1b3e5a7ca70fe4ff75f0.us-east-1.aws.found.io/app/kibana#/discover/Steve-Slow-Train-Analysis-(2080s-and-2083s)?_g=(refreshInterval:(display:Off,pause:!f,section:0,value:0),time:(from:'2017-10-10T18:27:00-0600',mode:absolute,to:'2017-10-10T21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6" s="204" t="str">
        <f>IF(AA136&lt;VLOOKUP(AG136,Variables!$AC$3:$AD$8,2,FALSE),"Y","N")</f>
        <v>N</v>
      </c>
      <c r="X136" s="204">
        <f t="shared" si="59"/>
        <v>1</v>
      </c>
      <c r="Y136" s="204">
        <f t="shared" si="70"/>
        <v>4.3700000000000003E-2</v>
      </c>
      <c r="Z136" s="204">
        <f t="shared" si="71"/>
        <v>23.3308</v>
      </c>
      <c r="AA136" s="204">
        <f t="shared" si="62"/>
        <v>23.287099999999999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63"/>
        <v>223</v>
      </c>
      <c r="AE136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36" s="74" t="str">
        <f t="shared" si="47"/>
        <v>"C:\Program Files (x86)\AstroGrep\AstroGrep.exe" /e /r /s /spath="%USERPROFILE%\AppData\Local\Temp\OnboardLogs" /stypes="app*4066*20171011*" /stext=" 02:.+((SYSTEM_STATE.+slice.+state.+changed )|(ment ac)|(multiple cpu faults)|(system.+state.+changed )|(\[timeout)|(PRM\|1\|D)|(kpr)|(kdp)|(train st.+moving)|(\|lc)|(penalty))"</v>
      </c>
      <c r="AG136" s="182" t="str">
        <f t="shared" si="64"/>
        <v>EC</v>
      </c>
      <c r="AH136" s="78" t="str">
        <f t="shared" si="49"/>
        <v>"%USERPROFILE%\Documents\GitHub\eaglep3\Utilities\RefineRTDCRunTimes.py" --tripid 223-10 --locoid 4066 --swversion DE.1.0.9.0 --startMP 204:437 --initTime 2017-10-10T19:27:00 --startdatetime 2017-10-10T19:30:31 --delay 75 --endMP 204:233308 --enddatetime 2017-10-10T20:05:34 --enforcementcount 0 &gt;&gt;%USERPROFILE%\Documents\GitHub\eaglep3-reporting\EC\2017-10-10-refined-times.txt</v>
      </c>
      <c r="AI13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{"issue":{"subject":"","project_id":79,"tracker_id":40,"status_id":1,"priority_id":2,"assigned_to_id":338,"start_date":"2017-10-10","description":"","custom_fields":[{"id":1,"name":"Subdivision","value":"EC"},{"id":4,"name":"Milepost","value":"23.3308"},{"id":17,"name":"Train ID","value":"223-10"},{"id":16,"name":"Locomotive ID","value":"4066"},{"id":130,"name":"Impact","value":""},{"id":150,"name":"Time of Event (Mountain Time)","value":"20:05:34"},{"id":151,"name":"Denver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1"/>
        <v>start /low /b %USERPROFILE%\Documents\GitHub\eaglep3\Utilities\DownloadLogsFromS3.py --loco 4066 --day 2017-10-10</v>
      </c>
      <c r="AN136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3"/>
        <v>https://d0f6bd738d7f1b3e5a7ca70fe4ff75f0.us-east-1.aws.found.io/app/kibana#/discover/Steve-Slow-Train-Analysis-(2080s-and-2083s)?_g=(refreshInterval:(display:Off,pause:!f,section:0,value:0),time:(from:'2017-10-10T18:27:00-0600',mode:absolute,to:'2017-10-10T21:05:34-0600'))&amp;_a=(columns:!('Message%20ID',Summary),filters:!(),index:'emp_*',interval:auto,query:(query_string:(analyze_wildcard:!t,query:'%22rtdc.l.rtdc.4066%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821</v>
      </c>
      <c r="B137" s="7">
        <v>4065</v>
      </c>
      <c r="C137" s="21" t="s">
        <v>194</v>
      </c>
      <c r="D137" s="21" t="s">
        <v>910</v>
      </c>
      <c r="E137" s="13">
        <v>43018.850462962961</v>
      </c>
      <c r="F137" s="13">
        <v>43018.852442129632</v>
      </c>
      <c r="G137" s="7">
        <v>77</v>
      </c>
      <c r="H137" s="21" t="s">
        <v>358</v>
      </c>
      <c r="I137" s="13">
        <v>43018.878194444442</v>
      </c>
      <c r="J137" s="7">
        <v>0</v>
      </c>
      <c r="K137" s="89" t="str">
        <f t="shared" si="56"/>
        <v>4065/4066</v>
      </c>
      <c r="L137" s="185" t="str">
        <f>VLOOKUP(A137,'Trips&amp;Operators'!$C$1:$G$99911,5,FALSE)</f>
        <v>LOZA FIDEL</v>
      </c>
      <c r="M137" s="6">
        <f t="shared" si="57"/>
        <v>2.5752314810233656E-2</v>
      </c>
      <c r="N137" s="7">
        <f t="shared" si="72"/>
        <v>37.083333326736465</v>
      </c>
      <c r="O137" s="7"/>
      <c r="P137" s="7"/>
      <c r="Q137" s="22"/>
      <c r="R137" s="174"/>
      <c r="S137" s="221">
        <f t="shared" ref="S137:S155" si="73">1/IF(AG137="EC",12,1)*SUM(U137:U137)</f>
        <v>1</v>
      </c>
      <c r="T137" s="174" t="str">
        <f t="shared" si="58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0"/>
        <v>https://d0f6bd738d7f1b3e5a7ca70fe4ff75f0.us-east-1.aws.found.io/app/kibana#/discover/Steve-Slow-Train-Analysis-(2080s-and-2083s)?_g=(refreshInterval:(display:Off,pause:!f,section:0,value:0),time:(from:'2017-10-10T19:24:40-0600',mode:absolute,to:'2017-10-10T22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7" s="204" t="str">
        <f>IF(AA137&lt;VLOOKUP(AG137,Variables!$AC$3:$AD$8,2,FALSE),"Y","N")</f>
        <v>N</v>
      </c>
      <c r="X137" s="204">
        <f t="shared" si="59"/>
        <v>1</v>
      </c>
      <c r="Y137" s="204">
        <f t="shared" si="70"/>
        <v>23.3034</v>
      </c>
      <c r="Z137" s="204">
        <f t="shared" si="71"/>
        <v>1.5599999999999999E-2</v>
      </c>
      <c r="AA137" s="204">
        <f t="shared" si="62"/>
        <v>23.287800000000001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63"/>
        <v>224</v>
      </c>
      <c r="AE137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37" s="74" t="str">
        <f t="shared" si="47"/>
        <v>"C:\Program Files (x86)\AstroGrep\AstroGrep.exe" /e /r /s /spath="%USERPROFILE%\AppData\Local\Temp\OnboardLogs" /stypes="app*4065*20171011*" /stext=" 03:.+((SYSTEM_STATE.+slice.+state.+changed )|(ment ac)|(multiple cpu faults)|(system.+state.+changed )|(\[timeout)|(PRM\|1\|D)|(kpr)|(kdp)|(train st.+moving)|(\|lc)|(penalty))"</v>
      </c>
      <c r="AG137" s="182" t="str">
        <f t="shared" si="64"/>
        <v>EC</v>
      </c>
      <c r="AH137" s="78" t="str">
        <f t="shared" si="49"/>
        <v>"%USERPROFILE%\Documents\GitHub\eaglep3\Utilities\RefineRTDCRunTimes.py" --tripid 224-10 --locoid 4065 --swversion DE.1.0.9.0 --startMP 204:233034 --initTime 2017-10-10T20:24:40 --startdatetime 2017-10-10T20:27:31 --delay 77 --endMP 204:156 --enddatetime 2017-10-10T21:04:36 --enforcementcount 0 &gt;&gt;%USERPROFILE%\Documents\GitHub\eaglep3-reporting\EC\2017-10-10-refined-times.txt</v>
      </c>
      <c r="AI13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ID","value":"224-10"},{"id":16,"name":"Locomotive ID","value":"4065"},{"id":130,"name":"Impact","value":""},{"id":150,"name":"Time of Event (Mountain Time)","value":"21:04:36"},{"id":151,"name":"Denver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1"/>
        <v>start /low /b %USERPROFILE%\Documents\GitHub\eaglep3\Utilities\DownloadLogsFromS3.py --loco 4065 --day 2017-10-10</v>
      </c>
      <c r="AN13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3"/>
        <v>https://d0f6bd738d7f1b3e5a7ca70fe4ff75f0.us-east-1.aws.found.io/app/kibana#/discover/Steve-Slow-Train-Analysis-(2080s-and-2083s)?_g=(refreshInterval:(display:Off,pause:!f,section:0,value:0),time:(from:'2017-10-10T19:24:40-0600',mode:absolute,to:'2017-10-10T22:04:36-0600'))&amp;_a=(columns:!('Message%20ID',Summary),filters:!(),index:'emp_*',interval:auto,query:(query_string:(analyze_wildcard:!t,query:'%22rtdc.l.rtdc.4065%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819</v>
      </c>
      <c r="B138" s="7">
        <v>4020</v>
      </c>
      <c r="C138" s="21" t="s">
        <v>194</v>
      </c>
      <c r="D138" s="21" t="s">
        <v>875</v>
      </c>
      <c r="E138" s="13">
        <v>43018.829016203701</v>
      </c>
      <c r="F138" s="13">
        <v>43018.833518518521</v>
      </c>
      <c r="G138" s="7">
        <v>66</v>
      </c>
      <c r="H138" s="21" t="s">
        <v>558</v>
      </c>
      <c r="I138" s="13">
        <v>43018.858530092592</v>
      </c>
      <c r="J138" s="7">
        <v>0</v>
      </c>
      <c r="K138" s="89" t="str">
        <f t="shared" si="56"/>
        <v>4019/4020</v>
      </c>
      <c r="L138" s="185" t="str">
        <f>VLOOKUP(A138,'Trips&amp;Operators'!$C$1:$G$99911,5,FALSE)</f>
        <v>BIRKHOLZ NADINE</v>
      </c>
      <c r="M138" s="6">
        <f t="shared" si="57"/>
        <v>2.5011574070958886E-2</v>
      </c>
      <c r="N138" s="7">
        <f t="shared" si="72"/>
        <v>36.016666662180796</v>
      </c>
      <c r="O138" s="7"/>
      <c r="P138" s="7"/>
      <c r="Q138" s="22"/>
      <c r="R138" s="174"/>
      <c r="S138" s="221">
        <f t="shared" si="73"/>
        <v>1</v>
      </c>
      <c r="T138" s="174" t="str">
        <f t="shared" si="58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0"/>
        <v>https://d0f6bd738d7f1b3e5a7ca70fe4ff75f0.us-east-1.aws.found.io/app/kibana#/discover/Steve-Slow-Train-Analysis-(2080s-and-2083s)?_g=(refreshInterval:(display:Off,pause:!f,section:0,value:0),time:(from:'2017-10-10T18:53:47-0600',mode:absolute,to:'2017-10-10T21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04" t="str">
        <f>IF(AA138&lt;VLOOKUP(AG138,Variables!$AC$3:$AD$8,2,FALSE),"Y","N")</f>
        <v>N</v>
      </c>
      <c r="X138" s="204">
        <f t="shared" si="59"/>
        <v>1</v>
      </c>
      <c r="Y138" s="204">
        <f t="shared" si="70"/>
        <v>4.6199999999999998E-2</v>
      </c>
      <c r="Z138" s="204">
        <f t="shared" si="71"/>
        <v>23.332699999999999</v>
      </c>
      <c r="AA138" s="204">
        <f t="shared" si="62"/>
        <v>23.2865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63"/>
        <v>225</v>
      </c>
      <c r="AE138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38" s="74" t="str">
        <f t="shared" si="47"/>
        <v>"C:\Program Files (x86)\AstroGrep\AstroGrep.exe" /e /r /s /spath="%USERPROFILE%\AppData\Local\Temp\OnboardLogs" /stypes="app*4020*20171011*" /stext=" 02:.+((SYSTEM_STATE.+slice.+state.+changed )|(ment ac)|(multiple cpu faults)|(system.+state.+changed )|(\[timeout)|(PRM\|1\|D)|(kpr)|(kdp)|(train st.+moving)|(\|lc)|(penalty))"</v>
      </c>
      <c r="AG138" s="182" t="str">
        <f t="shared" si="64"/>
        <v>EC</v>
      </c>
      <c r="AH138" s="78" t="str">
        <f t="shared" si="49"/>
        <v>"%USERPROFILE%\Documents\GitHub\eaglep3\Utilities\RefineRTDCRunTimes.py" --tripid 225-10 --locoid 4020 --swversion DE.1.0.9.0 --startMP 204:462 --initTime 2017-10-10T19:53:47 --startdatetime 2017-10-10T20:00:16 --delay 66 --endMP 204:233327 --enddatetime 2017-10-10T20:36:17 --enforcementcount 0 &gt;&gt;%USERPROFILE%\Documents\GitHub\eaglep3-reporting\EC\2017-10-10-refined-times.txt</v>
      </c>
      <c r="AI13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ID","value":"225-10"},{"id":16,"name":"Locomotive ID","value":"4020"},{"id":130,"name":"Impact","value":""},{"id":150,"name":"Time of Event (Mountain Time)","value":"20:36:17"},{"id":151,"name":"Denver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1"/>
        <v>start /low /b %USERPROFILE%\Documents\GitHub\eaglep3\Utilities\DownloadLogsFromS3.py --loco 4020 --day 2017-10-10</v>
      </c>
      <c r="AN138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3"/>
        <v>https://d0f6bd738d7f1b3e5a7ca70fe4ff75f0.us-east-1.aws.found.io/app/kibana#/discover/Steve-Slow-Train-Analysis-(2080s-and-2083s)?_g=(refreshInterval:(display:Off,pause:!f,section:0,value:0),time:(from:'2017-10-10T18:53:47-0600',mode:absolute,to:'2017-10-10T21:36:17-0600'))&amp;_a=(columns:!('Message%20ID',Summary),filters:!(),index:'emp_*',interval:auto,query:(query_string:(analyze_wildcard:!t,query:'%22rtdc.l.rtdc.4020%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823</v>
      </c>
      <c r="B139" s="7">
        <v>4019</v>
      </c>
      <c r="C139" s="21" t="s">
        <v>194</v>
      </c>
      <c r="D139" s="21" t="s">
        <v>547</v>
      </c>
      <c r="E139" s="13">
        <v>43018.869259259256</v>
      </c>
      <c r="F139" s="13">
        <v>43018.873182870368</v>
      </c>
      <c r="G139" s="7">
        <v>60</v>
      </c>
      <c r="H139" s="21" t="s">
        <v>911</v>
      </c>
      <c r="I139" s="13">
        <v>43018.902002314811</v>
      </c>
      <c r="J139" s="7">
        <v>0</v>
      </c>
      <c r="K139" s="89" t="str">
        <f t="shared" si="56"/>
        <v>4019/4020</v>
      </c>
      <c r="L139" s="185" t="str">
        <f>VLOOKUP(A139,'Trips&amp;Operators'!$C$1:$G$99911,5,FALSE)</f>
        <v>BIRKHOLZ NADINE</v>
      </c>
      <c r="M139" s="6">
        <f t="shared" si="57"/>
        <v>2.8819444443797693E-2</v>
      </c>
      <c r="N139" s="7">
        <f t="shared" si="72"/>
        <v>41.499999999068677</v>
      </c>
      <c r="O139" s="7"/>
      <c r="P139" s="7"/>
      <c r="Q139" s="22"/>
      <c r="R139" s="174"/>
      <c r="S139" s="221">
        <f t="shared" si="73"/>
        <v>1</v>
      </c>
      <c r="T139" s="174" t="str">
        <f t="shared" si="58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0"/>
        <v>https://d0f6bd738d7f1b3e5a7ca70fe4ff75f0.us-east-1.aws.found.io/app/kibana#/discover/Steve-Slow-Train-Analysis-(2080s-and-2083s)?_g=(refreshInterval:(display:Off,pause:!f,section:0,value:0),time:(from:'2017-10-10T19:51:44-0600',mode:absolute,to:'2017-10-10T22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204" t="str">
        <f>IF(AA139&lt;VLOOKUP(AG139,Variables!$AC$3:$AD$8,2,FALSE),"Y","N")</f>
        <v>N</v>
      </c>
      <c r="X139" s="204">
        <f t="shared" si="59"/>
        <v>1</v>
      </c>
      <c r="Y139" s="204">
        <f t="shared" si="70"/>
        <v>23.298500000000001</v>
      </c>
      <c r="Z139" s="204">
        <f t="shared" si="71"/>
        <v>1.23E-2</v>
      </c>
      <c r="AA139" s="204">
        <f t="shared" si="62"/>
        <v>23.286200000000001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63"/>
        <v>226</v>
      </c>
      <c r="AE139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39" s="74" t="str">
        <f t="shared" si="47"/>
        <v>"C:\Program Files (x86)\AstroGrep\AstroGrep.exe" /e /r /s /spath="%USERPROFILE%\AppData\Local\Temp\OnboardLogs" /stypes="app*4019*20171011*" /stext=" 03:.+((SYSTEM_STATE.+slice.+state.+changed )|(ment ac)|(multiple cpu faults)|(system.+state.+changed )|(\[timeout)|(PRM\|1\|D)|(kpr)|(kdp)|(train st.+moving)|(\|lc)|(penalty))"</v>
      </c>
      <c r="AG139" s="182" t="str">
        <f t="shared" si="64"/>
        <v>EC</v>
      </c>
      <c r="AH139" s="78" t="str">
        <f t="shared" si="49"/>
        <v>"%USERPROFILE%\Documents\GitHub\eaglep3\Utilities\RefineRTDCRunTimes.py" --tripid 226-10 --locoid 4019 --swversion DE.1.0.9.0 --startMP 204:232985 --initTime 2017-10-10T20:51:44 --startdatetime 2017-10-10T20:57:23 --delay 60 --endMP 204:123 --enddatetime 2017-10-10T21:38:53 --enforcementcount 0 &gt;&gt;%USERPROFILE%\Documents\GitHub\eaglep3-reporting\EC\2017-10-10-refined-times.txt</v>
      </c>
      <c r="AI13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{"issue":{"subject":"","project_id":79,"tracker_id":40,"status_id":1,"priority_id":2,"assigned_to_id":338,"start_date":"2017-10-10","description":"","custom_fields":[{"id":1,"name":"Subdivision","value":"EC"},{"id":4,"name":"Milepost","value":"0.0123"},{"id":17,"name":"Train ID","value":"226-10"},{"id":16,"name":"Locomotive ID","value":"4019"},{"id":130,"name":"Impact","value":""},{"id":150,"name":"Time of Event (Mountain Time)","value":"21:38:53"},{"id":151,"name":"Denver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1"/>
        <v>start /low /b %USERPROFILE%\Documents\GitHub\eaglep3\Utilities\DownloadLogsFromS3.py --loco 4019 --day 2017-10-10</v>
      </c>
      <c r="AN13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3"/>
        <v>https://d0f6bd738d7f1b3e5a7ca70fe4ff75f0.us-east-1.aws.found.io/app/kibana#/discover/Steve-Slow-Train-Analysis-(2080s-and-2083s)?_g=(refreshInterval:(display:Off,pause:!f,section:0,value:0),time:(from:'2017-10-10T19:51:44-0600',mode:absolute,to:'2017-10-10T22:38:53-0600'))&amp;_a=(columns:!('Message%20ID',Summary),filters:!(),index:'emp_*',interval:auto,query:(query_string:(analyze_wildcard:!t,query:'%22rtdc.l.rtdc.4019%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820</v>
      </c>
      <c r="B140" s="7">
        <v>4052</v>
      </c>
      <c r="C140" s="21" t="s">
        <v>194</v>
      </c>
      <c r="D140" s="21" t="s">
        <v>547</v>
      </c>
      <c r="E140" s="13">
        <v>43018.869259259256</v>
      </c>
      <c r="F140" s="13">
        <v>43018.854432870372</v>
      </c>
      <c r="G140" s="7">
        <v>60</v>
      </c>
      <c r="H140" s="21" t="s">
        <v>911</v>
      </c>
      <c r="I140" s="13">
        <v>43018.881168981483</v>
      </c>
      <c r="J140" s="7">
        <v>0</v>
      </c>
      <c r="K140" s="89" t="str">
        <f t="shared" si="56"/>
        <v>4051/4052</v>
      </c>
      <c r="L140" s="185" t="str">
        <f>VLOOKUP(A140,'Trips&amp;Operators'!$C$1:$G$99911,5,FALSE)</f>
        <v>ANDERS STEVEN</v>
      </c>
      <c r="M140" s="6">
        <f t="shared" si="57"/>
        <v>2.6736111110949423E-2</v>
      </c>
      <c r="N140" s="7">
        <f t="shared" si="72"/>
        <v>38.499999999767169</v>
      </c>
      <c r="O140" s="7"/>
      <c r="P140" s="7"/>
      <c r="Q140" s="22"/>
      <c r="R140" s="174"/>
      <c r="S140" s="221">
        <f t="shared" si="73"/>
        <v>1</v>
      </c>
      <c r="T140" s="174" t="str">
        <f t="shared" si="58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0"/>
        <v>https://d0f6bd738d7f1b3e5a7ca70fe4ff75f0.us-east-1.aws.found.io/app/kibana#/discover/Steve-Slow-Train-Analysis-(2080s-and-2083s)?_g=(refreshInterval:(display:Off,pause:!f,section:0,value:0),time:(from:'2017-10-10T19:51:44-0600',mode:absolute,to:'2017-10-10T22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204" t="str">
        <f>IF(AA140&lt;VLOOKUP(AG140,Variables!$AC$3:$AD$8,2,FALSE),"Y","N")</f>
        <v>N</v>
      </c>
      <c r="X140" s="204">
        <f t="shared" si="59"/>
        <v>1</v>
      </c>
      <c r="Y140" s="204">
        <v>4.6199999999999998E-2</v>
      </c>
      <c r="Z140" s="204">
        <v>23.332699999999999</v>
      </c>
      <c r="AA140" s="204">
        <f t="shared" si="62"/>
        <v>23.2865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63"/>
        <v>227</v>
      </c>
      <c r="AE140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40" s="74" t="str">
        <f t="shared" si="47"/>
        <v>"C:\Program Files (x86)\AstroGrep\AstroGrep.exe" /e /r /s /spath="%USERPROFILE%\AppData\Local\Temp\OnboardLogs" /stypes="app*4052*20171011*" /stext=" 03:.+((SYSTEM_STATE.+slice.+state.+changed )|(ment ac)|(multiple cpu faults)|(system.+state.+changed )|(\[timeout)|(PRM\|1\|D)|(kpr)|(kdp)|(train st.+moving)|(\|lc)|(penalty))"</v>
      </c>
      <c r="AG140" s="182" t="str">
        <f t="shared" si="64"/>
        <v>EC</v>
      </c>
      <c r="AH140" s="78" t="str">
        <f t="shared" ref="AH140" si="7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227-10 --locoid 4052 --swversion DE.1.0.9.0 --startMP 204:232985 --initTime 2017-10-10T20:51:44 --startdatetime 2017-10-10T20:30:23 --delay 60 --endMP 204:123 --enddatetime 2017-10-10T21:08:53 --enforcementcount 0 &gt;&gt;%USERPROFILE%\Documents\GitHub\eaglep3-reporting\EC\2017-10-10-refined-times.txt</v>
      </c>
      <c r="AI140" s="96" t="str">
        <f t="shared" ref="AI140" si="7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ID","value":"227-10"},{"id":16,"name":"Locomotive ID","value":"4052"},{"id":130,"name":"Impact","value":""},{"id":150,"name":"Time of Event (Mountain Time)","value":"21:08:53"},{"id":151,"name":"Denver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" si="76">"start /low /b "&amp;dls3logs&amp;" --loco "&amp;B140&amp;" --day "&amp;TEXT(F140,"YYYY-MM-DD")</f>
        <v>start /low /b %USERPROFILE%\Documents\GitHub\eaglep3\Utilities\DownloadLogsFromS3.py --loco 4052 --day 2017-10-10</v>
      </c>
      <c r="AN140" s="151" t="str">
        <f t="shared" ref="AN140" si="7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" si="78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-10T19:51:44-0600',mode:absolute,to:'2017-10-10T22:08:53-0600'))&amp;_a=(columns:!('Message%20ID',Summary),filters:!(),index:'emp_*',interval:auto,query:(query_string:(analyze_wildcard:!t,query:'%22rtdc.l.rtdc.4052%22')),sort:!(Time.ISO8601,asc))</v>
      </c>
    </row>
    <row r="141" spans="1:91" s="20" customFormat="1" x14ac:dyDescent="0.25">
      <c r="A141" s="32" t="s">
        <v>616</v>
      </c>
      <c r="B141" s="7">
        <v>4051</v>
      </c>
      <c r="C141" s="21" t="s">
        <v>194</v>
      </c>
      <c r="D141" s="21" t="s">
        <v>440</v>
      </c>
      <c r="E141" s="13">
        <v>43018.888379629629</v>
      </c>
      <c r="F141" s="13">
        <v>43018.894293981481</v>
      </c>
      <c r="G141" s="7">
        <v>58</v>
      </c>
      <c r="H141" s="21" t="s">
        <v>870</v>
      </c>
      <c r="I141" s="13">
        <v>43018.920428240737</v>
      </c>
      <c r="J141" s="7">
        <v>0</v>
      </c>
      <c r="K141" s="89" t="str">
        <f t="shared" ref="K141:K155" si="79">IF(ISEVEN(B141),(B141-1)&amp;"/"&amp;B141,B141&amp;"/"&amp;(B141+1))</f>
        <v>4051/4052</v>
      </c>
      <c r="L141" s="185" t="str">
        <f>VLOOKUP(A141,'Trips&amp;Operators'!$C$1:$G$99911,5,FALSE)</f>
        <v>ANDERS STEVEN</v>
      </c>
      <c r="M141" s="6">
        <f t="shared" ref="M141:M155" si="80">I141-F141</f>
        <v>2.6134259256650694E-2</v>
      </c>
      <c r="N141" s="7">
        <f t="shared" si="72"/>
        <v>37.633333329576999</v>
      </c>
      <c r="O141" s="7"/>
      <c r="P141" s="7"/>
      <c r="Q141" s="22"/>
      <c r="R141" s="174"/>
      <c r="S141" s="221">
        <f t="shared" si="73"/>
        <v>1</v>
      </c>
      <c r="T141" s="174" t="str">
        <f t="shared" ref="T141:T155" si="81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-10T20:19:16-0600',mode:absolute,to:'2017-10-10T23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1" s="204" t="str">
        <f>IF(AA141&lt;VLOOKUP(AG141,Variables!$AC$3:$AD$8,2,FALSE),"Y","N")</f>
        <v>N</v>
      </c>
      <c r="X141" s="204">
        <f t="shared" ref="X141:X155" si="83">VALUE(LEFT(AD141,4))-VALUE(LEFT(AD140,4))</f>
        <v>1</v>
      </c>
      <c r="Y141" s="204">
        <f t="shared" ref="Y141:Y155" si="84">RIGHT(D141,LEN(D141)-4)/10000</f>
        <v>23.298300000000001</v>
      </c>
      <c r="Z141" s="204">
        <f t="shared" ref="Z141:Z155" si="85">RIGHT(H141,LEN(H141)-4)/10000</f>
        <v>1.32E-2</v>
      </c>
      <c r="AA141" s="204">
        <f t="shared" ref="AA141:AA155" si="86">ABS(Z141-Y141)</f>
        <v>23.2851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155" si="87">VALUE(LEFT(A141,LEN(A141)-3))</f>
        <v>228</v>
      </c>
      <c r="AE141" s="77" t="str">
        <f t="shared" ref="AE141:AE204" si="8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41" s="74" t="str">
        <f t="shared" ref="AF141:AF204" si="8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/stypes="app*4051*20171011*" /stext=" 04:.+((SYSTEM_STATE.+slice.+state.+changed )|(ment ac)|(multiple cpu faults)|(system.+state.+changed )|(\[timeout)|(PRM\|1\|D)|(kpr)|(kdp)|(train st.+moving)|(\|lc)|(penalty))"</v>
      </c>
      <c r="AG141" s="182" t="str">
        <f t="shared" ref="AG141:AG155" si="90">DetSubdiv(A141)</f>
        <v>EC</v>
      </c>
      <c r="AH141" s="78" t="str">
        <f t="shared" si="49"/>
        <v>"%USERPROFILE%\Documents\GitHub\eaglep3\Utilities\RefineRTDCRunTimes.py" --tripid 228-10 --locoid 4051 --swversion DE.1.0.9.0 --startMP 204:232983 --initTime 2017-10-10T21:19:16 --startdatetime 2017-10-10T21:27:47 --delay 58 --endMP 204:132 --enddatetime 2017-10-10T22:05:25 --enforcementcount 0 &gt;&gt;%USERPROFILE%\Documents\GitHub\eaglep3-reporting\EC\2017-10-10-refined-times.txt</v>
      </c>
      <c r="AI14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ID","value":"228-10"},{"id":16,"name":"Locomotive ID","value":"4051"},{"id":130,"name":"Impact","value":""},{"id":150,"name":"Time of Event (Mountain Time)","value":"22:05:25"},{"id":151,"name":"Denver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4051 --day 2017-10-10</v>
      </c>
      <c r="AN141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3"/>
        <v>https://d0f6bd738d7f1b3e5a7ca70fe4ff75f0.us-east-1.aws.found.io/app/kibana#/discover/Steve-Slow-Train-Analysis-(2080s-and-2083s)?_g=(refreshInterval:(display:Off,pause:!f,section:0,value:0),time:(from:'2017-10-10T20:19:16-0600',mode:absolute,to:'2017-10-10T23:05:25-0600'))&amp;_a=(columns:!('Message%20ID',Summary),filters:!(),index:'emp_*',interval:auto,query:(query_string:(analyze_wildcard:!t,query:'%22rtdc.l.rtdc.4051%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613</v>
      </c>
      <c r="B142" s="7">
        <v>4050</v>
      </c>
      <c r="C142" s="21" t="s">
        <v>194</v>
      </c>
      <c r="D142" s="21" t="s">
        <v>875</v>
      </c>
      <c r="E142" s="13">
        <v>43018.861585648148</v>
      </c>
      <c r="F142" s="13">
        <v>43018.8753125</v>
      </c>
      <c r="G142" s="7">
        <v>73</v>
      </c>
      <c r="H142" s="21" t="s">
        <v>912</v>
      </c>
      <c r="I142" s="13">
        <v>43018.899594907409</v>
      </c>
      <c r="J142" s="7">
        <v>0</v>
      </c>
      <c r="K142" s="89" t="str">
        <f t="shared" si="79"/>
        <v>4049/4050</v>
      </c>
      <c r="L142" s="185" t="str">
        <f>VLOOKUP(A142,'Trips&amp;Operators'!$C$1:$G$99911,5,FALSE)</f>
        <v>DUNCAN SHEILA</v>
      </c>
      <c r="M142" s="6">
        <f t="shared" si="80"/>
        <v>2.4282407408463769E-2</v>
      </c>
      <c r="N142" s="7">
        <f t="shared" si="72"/>
        <v>34.966666668187827</v>
      </c>
      <c r="O142" s="7"/>
      <c r="P142" s="7"/>
      <c r="Q142" s="22"/>
      <c r="R142" s="174"/>
      <c r="S142" s="221">
        <f t="shared" si="73"/>
        <v>1</v>
      </c>
      <c r="T142" s="174" t="str">
        <f t="shared" si="81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2"/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204" t="str">
        <f>IF(AA142&lt;VLOOKUP(AG142,Variables!$AC$3:$AD$8,2,FALSE),"Y","N")</f>
        <v>N</v>
      </c>
      <c r="X142" s="204">
        <f t="shared" si="83"/>
        <v>1</v>
      </c>
      <c r="Y142" s="204">
        <f t="shared" si="84"/>
        <v>4.6199999999999998E-2</v>
      </c>
      <c r="Z142" s="204">
        <f t="shared" si="85"/>
        <v>23.328900000000001</v>
      </c>
      <c r="AA142" s="204">
        <f t="shared" si="86"/>
        <v>23.282700000000002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7"/>
        <v>229</v>
      </c>
      <c r="AE142" s="77" t="str">
        <f t="shared" si="88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42" s="74" t="str">
        <f t="shared" si="89"/>
        <v>"C:\Program Files (x86)\AstroGrep\AstroGrep.exe" /e /r /s /spath="%USERPROFILE%\AppData\Local\Temp\OnboardLogs" /stypes="app*4050*20171011*" /stext=" 03:.+((SYSTEM_STATE.+slice.+state.+changed )|(ment ac)|(multiple cpu faults)|(system.+state.+changed )|(\[timeout)|(PRM\|1\|D)|(kpr)|(kdp)|(train st.+moving)|(\|lc)|(penalty))"</v>
      </c>
      <c r="AG142" s="182" t="str">
        <f t="shared" si="90"/>
        <v>EC</v>
      </c>
      <c r="AH142" s="78" t="str">
        <f t="shared" si="49"/>
        <v>"%USERPROFILE%\Documents\GitHub\eaglep3\Utilities\RefineRTDCRunTimes.py" --tripid 229-10 --locoid 4050 --swversion DE.1.0.9.0 --startMP 204:462 --initTime 2017-10-10T20:40:41 --startdatetime 2017-10-10T21:00:27 --delay 73 --endMP 204:233289 --enddatetime 2017-10-10T21:35:25 --enforcementcount 0 &gt;&gt;%USERPROFILE%\Documents\GitHub\eaglep3-reporting\EC\2017-10-10-refined-times.txt</v>
      </c>
      <c r="AI14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{"issue":{"subject":"","project_id":79,"tracker_id":40,"status_id":1,"priority_id":2,"assigned_to_id":338,"start_date":"2017-10-10","description":"","custom_fields":[{"id":1,"name":"Subdivision","value":"EC"},{"id":4,"name":"Milepost","value":"23.3289"},{"id":17,"name":"Train ID","value":"229-10"},{"id":16,"name":"Locomotive ID","value":"4050"},{"id":130,"name":"Impact","value":""},{"id":150,"name":"Time of Event (Mountain Time)","value":"21:35:25"},{"id":151,"name":"Denver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51"/>
        <v>start /low /b %USERPROFILE%\Documents\GitHub\eaglep3\Utilities\DownloadLogsFromS3.py --loco 4050 --day 2017-10-10</v>
      </c>
      <c r="AN142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3"/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Message%20ID',Summary),filters:!(),index:'emp_*',interval:auto,query:(query_string:(analyze_wildcard:!t,query:'%22rtdc.l.rtdc.4050%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829</v>
      </c>
      <c r="B143" s="7">
        <v>4049</v>
      </c>
      <c r="C143" s="21" t="s">
        <v>194</v>
      </c>
      <c r="D143" s="21" t="s">
        <v>510</v>
      </c>
      <c r="E143" s="13">
        <v>43018.909571759257</v>
      </c>
      <c r="F143" s="13">
        <v>43018.914756944447</v>
      </c>
      <c r="G143" s="7">
        <v>63</v>
      </c>
      <c r="H143" s="21" t="s">
        <v>337</v>
      </c>
      <c r="I143" s="13">
        <v>43018.941562499997</v>
      </c>
      <c r="J143" s="7">
        <v>0</v>
      </c>
      <c r="K143" s="89" t="str">
        <f t="shared" si="79"/>
        <v>4049/4050</v>
      </c>
      <c r="L143" s="185" t="str">
        <f>VLOOKUP(A143,'Trips&amp;Operators'!$C$1:$G$99911,5,FALSE)</f>
        <v>BARRON PERLA</v>
      </c>
      <c r="M143" s="6">
        <f t="shared" si="80"/>
        <v>2.6805555549799465E-2</v>
      </c>
      <c r="N143" s="7">
        <f t="shared" si="72"/>
        <v>38.599999991711229</v>
      </c>
      <c r="O143" s="7"/>
      <c r="P143" s="7"/>
      <c r="Q143" s="22"/>
      <c r="R143" s="174"/>
      <c r="S143" s="221">
        <f t="shared" si="73"/>
        <v>1</v>
      </c>
      <c r="T143" s="174" t="str">
        <f t="shared" si="81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2"/>
        <v>https://d0f6bd738d7f1b3e5a7ca70fe4ff75f0.us-east-1.aws.found.io/app/kibana#/discover/Steve-Slow-Train-Analysis-(2080s-and-2083s)?_g=(refreshInterval:(display:Off,pause:!f,section:0,value:0),time:(from:'2017-10-10T20:49:47-0600',mode:absolute,to:'2017-10-10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204" t="str">
        <f>IF(AA143&lt;VLOOKUP(AG143,Variables!$AC$3:$AD$8,2,FALSE),"Y","N")</f>
        <v>N</v>
      </c>
      <c r="X143" s="204">
        <f t="shared" si="83"/>
        <v>1</v>
      </c>
      <c r="Y143" s="204">
        <f t="shared" si="84"/>
        <v>23.297699999999999</v>
      </c>
      <c r="Z143" s="204">
        <f t="shared" si="85"/>
        <v>1.43E-2</v>
      </c>
      <c r="AA143" s="204">
        <f t="shared" si="86"/>
        <v>23.2834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7"/>
        <v>230</v>
      </c>
      <c r="AE143" s="77" t="str">
        <f t="shared" si="88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43" s="74" t="str">
        <f t="shared" si="89"/>
        <v>"C:\Program Files (x86)\AstroGrep\AstroGrep.exe" /e /r /s /spath="%USERPROFILE%\AppData\Local\Temp\OnboardLogs" /stypes="app*4049*20171011*" /stext=" 04:.+((SYSTEM_STATE.+slice.+state.+changed )|(ment ac)|(multiple cpu faults)|(system.+state.+changed )|(\[timeout)|(PRM\|1\|D)|(kpr)|(kdp)|(train st.+moving)|(\|lc)|(penalty))"</v>
      </c>
      <c r="AG143" s="182" t="str">
        <f t="shared" si="90"/>
        <v>EC</v>
      </c>
      <c r="AH143" s="78" t="str">
        <f t="shared" ref="AH143:AH213" si="9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230-10 --locoid 4049 --swversion DE.1.0.9.0 --startMP 204:232977 --initTime 2017-10-10T21:49:47 --startdatetime 2017-10-10T21:57:15 --delay 63 --endMP 204:143 --enddatetime 2017-10-10T22:35:51 --enforcementcount 0 &gt;&gt;%USERPROFILE%\Documents\GitHub\eaglep3-reporting\EC\2017-10-10-refined-times.txt</v>
      </c>
      <c r="AI143" s="96" t="str">
        <f t="shared" ref="AI143:AI213" si="9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{"issue":{"subject":"","project_id":79,"tracker_id":40,"status_id":1,"priority_id":2,"assigned_to_id":338,"start_date":"2017-10-10","description":"","custom_fields":[{"id":1,"name":"Subdivision","value":"EC"},{"id":4,"name":"Milepost","value":"0.0143"},{"id":17,"name":"Train ID","value":"230-10"},{"id":16,"name":"Locomotive ID","value":"4049"},{"id":130,"name":"Impact","value":""},{"id":150,"name":"Time of Event (Mountain Time)","value":"22:35:51"},{"id":151,"name":"Denver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3" si="93">"start /low /b "&amp;dls3logs&amp;" --loco "&amp;B143&amp;" --day "&amp;TEXT(F143,"YYYY-MM-DD")</f>
        <v>start /low /b %USERPROFILE%\Documents\GitHub\eaglep3\Utilities\DownloadLogsFromS3.py --loco 4049 --day 2017-10-10</v>
      </c>
      <c r="AN143" s="151" t="str">
        <f t="shared" ref="AN143:AN213" si="9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3" si="95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-10T20:49:47-0600',mode:absolute,to:'2017-10-10T23:35:51-0600'))&amp;_a=(columns:!('Message%20ID',Summary),filters:!(),index:'emp_*',interval:auto,query:(query_string:(analyze_wildcard:!t,query:'%22rtdc.l.rtdc.4049%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825</v>
      </c>
      <c r="B144" s="7">
        <v>4066</v>
      </c>
      <c r="C144" s="21" t="s">
        <v>194</v>
      </c>
      <c r="D144" s="21" t="s">
        <v>345</v>
      </c>
      <c r="E144" s="13">
        <v>43018.881944444445</v>
      </c>
      <c r="F144" s="13">
        <v>43018.896157407406</v>
      </c>
      <c r="G144" s="7">
        <v>89</v>
      </c>
      <c r="H144" s="21" t="s">
        <v>913</v>
      </c>
      <c r="I144" s="13">
        <v>43018.920254629629</v>
      </c>
      <c r="J144" s="7">
        <v>0</v>
      </c>
      <c r="K144" s="89" t="str">
        <f t="shared" si="79"/>
        <v>4065/4066</v>
      </c>
      <c r="L144" s="185" t="str">
        <f>VLOOKUP(A144,'Trips&amp;Operators'!$C$1:$G$99911,5,FALSE)</f>
        <v>LOZA FIDEL</v>
      </c>
      <c r="M144" s="6">
        <f t="shared" si="80"/>
        <v>2.4097222223645076E-2</v>
      </c>
      <c r="N144" s="7">
        <f t="shared" si="72"/>
        <v>34.70000000204891</v>
      </c>
      <c r="O144" s="7"/>
      <c r="P144" s="7"/>
      <c r="Q144" s="22"/>
      <c r="R144" s="174"/>
      <c r="S144" s="221">
        <f t="shared" si="73"/>
        <v>1</v>
      </c>
      <c r="T144" s="174" t="str">
        <f t="shared" si="81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2"/>
        <v>https://d0f6bd738d7f1b3e5a7ca70fe4ff75f0.us-east-1.aws.found.io/app/kibana#/discover/Steve-Slow-Train-Analysis-(2080s-and-2083s)?_g=(refreshInterval:(display:Off,pause:!f,section:0,value:0),time:(from:'2017-10-10T20:10:00-0600',mode:absolute,to:'2017-10-10T23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4" s="204" t="str">
        <f>IF(AA144&lt;VLOOKUP(AG144,Variables!$AC$3:$AD$8,2,FALSE),"Y","N")</f>
        <v>N</v>
      </c>
      <c r="X144" s="204">
        <f t="shared" si="83"/>
        <v>1</v>
      </c>
      <c r="Y144" s="204">
        <f t="shared" si="84"/>
        <v>4.5499999999999999E-2</v>
      </c>
      <c r="Z144" s="204">
        <f t="shared" si="85"/>
        <v>23.339300000000001</v>
      </c>
      <c r="AA144" s="204">
        <f t="shared" si="86"/>
        <v>23.293800000000001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7"/>
        <v>231</v>
      </c>
      <c r="AE144" s="77" t="str">
        <f t="shared" si="88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44" s="74" t="str">
        <f t="shared" si="89"/>
        <v>"C:\Program Files (x86)\AstroGrep\AstroGrep.exe" /e /r /s /spath="%USERPROFILE%\AppData\Local\Temp\OnboardLogs" /stypes="app*4066*20171011*" /stext=" 04:.+((SYSTEM_STATE.+slice.+state.+changed )|(ment ac)|(multiple cpu faults)|(system.+state.+changed )|(\[timeout)|(PRM\|1\|D)|(kpr)|(kdp)|(train st.+moving)|(\|lc)|(penalty))"</v>
      </c>
      <c r="AG144" s="182" t="str">
        <f t="shared" si="90"/>
        <v>EC</v>
      </c>
      <c r="AH144" s="78" t="str">
        <f t="shared" si="91"/>
        <v>"%USERPROFILE%\Documents\GitHub\eaglep3\Utilities\RefineRTDCRunTimes.py" --tripid 231-10 --locoid 4066 --swversion DE.1.0.9.0 --startMP 204:455 --initTime 2017-10-10T21:10:00 --startdatetime 2017-10-10T21:30:28 --delay 89 --endMP 204:233393 --enddatetime 2017-10-10T22:05:10 --enforcementcount 0 &gt;&gt;%USERPROFILE%\Documents\GitHub\eaglep3-reporting\EC\2017-10-10-refined-times.txt</v>
      </c>
      <c r="AI144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{"issue":{"subject":"","project_id":79,"tracker_id":40,"status_id":1,"priority_id":2,"assigned_to_id":338,"start_date":"2017-10-10","description":"","custom_fields":[{"id":1,"name":"Subdivision","value":"EC"},{"id":4,"name":"Milepost","value":"23.3393"},{"id":17,"name":"Train ID","value":"231-10"},{"id":16,"name":"Locomotive ID","value":"4066"},{"id":130,"name":"Impact","value":""},{"id":150,"name":"Time of Event (Mountain Time)","value":"22:05:10"},{"id":151,"name":"Denver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93"/>
        <v>start /low /b %USERPROFILE%\Documents\GitHub\eaglep3\Utilities\DownloadLogsFromS3.py --loco 4066 --day 2017-10-10</v>
      </c>
      <c r="AN144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95"/>
        <v>https://d0f6bd738d7f1b3e5a7ca70fe4ff75f0.us-east-1.aws.found.io/app/kibana#/discover/Steve-Slow-Train-Analysis-(2080s-and-2083s)?_g=(refreshInterval:(display:Off,pause:!f,section:0,value:0),time:(from:'2017-10-10T20:10:00-0600',mode:absolute,to:'2017-10-10T23:05:10-0600'))&amp;_a=(columns:!('Message%20ID',Summary),filters:!(),index:'emp_*',interval:auto,query:(query_string:(analyze_wildcard:!t,query:'%22rtdc.l.rtdc.4066%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832</v>
      </c>
      <c r="B145" s="7">
        <v>4065</v>
      </c>
      <c r="C145" s="21" t="s">
        <v>194</v>
      </c>
      <c r="D145" s="21" t="s">
        <v>512</v>
      </c>
      <c r="E145" s="13">
        <v>43018.932847222219</v>
      </c>
      <c r="F145" s="13">
        <v>43018.935752314814</v>
      </c>
      <c r="G145" s="7">
        <v>98</v>
      </c>
      <c r="H145" s="21" t="s">
        <v>358</v>
      </c>
      <c r="I145" s="13">
        <v>43018.962233796294</v>
      </c>
      <c r="J145" s="7">
        <v>0</v>
      </c>
      <c r="K145" s="89" t="str">
        <f t="shared" si="79"/>
        <v>4065/4066</v>
      </c>
      <c r="L145" s="185" t="str">
        <f>VLOOKUP(A145,'Trips&amp;Operators'!$C$1:$G$99911,5,FALSE)</f>
        <v>LOZA FIDEL</v>
      </c>
      <c r="M145" s="6">
        <f t="shared" si="80"/>
        <v>2.6481481480004732E-2</v>
      </c>
      <c r="N145" s="7">
        <f t="shared" si="72"/>
        <v>38.133333331206813</v>
      </c>
      <c r="O145" s="7"/>
      <c r="P145" s="7"/>
      <c r="Q145" s="22"/>
      <c r="R145" s="174"/>
      <c r="S145" s="221">
        <f t="shared" si="73"/>
        <v>1</v>
      </c>
      <c r="T145" s="174" t="str">
        <f t="shared" si="81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2"/>
        <v>https://d0f6bd738d7f1b3e5a7ca70fe4ff75f0.us-east-1.aws.found.io/app/kibana#/discover/Steve-Slow-Train-Analysis-(2080s-and-2083s)?_g=(refreshInterval:(display:Off,pause:!f,section:0,value:0),time:(from:'2017-10-10T21:23:18-0600',mode:absolute,to:'2017-10-11T00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5" s="204" t="str">
        <f>IF(AA145&lt;VLOOKUP(AG145,Variables!$AC$3:$AD$8,2,FALSE),"Y","N")</f>
        <v>N</v>
      </c>
      <c r="X145" s="204">
        <f t="shared" si="83"/>
        <v>1</v>
      </c>
      <c r="Y145" s="204">
        <f t="shared" si="84"/>
        <v>23.302299999999999</v>
      </c>
      <c r="Z145" s="204">
        <f t="shared" si="85"/>
        <v>1.5599999999999999E-2</v>
      </c>
      <c r="AA145" s="204">
        <f t="shared" si="86"/>
        <v>23.2867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7"/>
        <v>232</v>
      </c>
      <c r="AE145" s="77" t="str">
        <f t="shared" si="88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45" s="74" t="str">
        <f t="shared" si="89"/>
        <v>"C:\Program Files (x86)\AstroGrep\AstroGrep.exe" /e /r /s /spath="%USERPROFILE%\AppData\Local\Temp\OnboardLogs" /stypes="app*4065*20171011*" /stext=" 05:.+((SYSTEM_STATE.+slice.+state.+changed )|(ment ac)|(multiple cpu faults)|(system.+state.+changed )|(\[timeout)|(PRM\|1\|D)|(kpr)|(kdp)|(train st.+moving)|(\|lc)|(penalty))"</v>
      </c>
      <c r="AG145" s="182" t="str">
        <f t="shared" si="90"/>
        <v>EC</v>
      </c>
      <c r="AH145" s="78" t="str">
        <f t="shared" si="91"/>
        <v>"%USERPROFILE%\Documents\GitHub\eaglep3\Utilities\RefineRTDCRunTimes.py" --tripid 232-10 --locoid 4065 --swversion DE.1.0.9.0 --startMP 204:233023 --initTime 2017-10-10T22:23:18 --startdatetime 2017-10-10T22:27:29 --delay 98 --endMP 204:156 --enddatetime 2017-10-10T23:05:37 --enforcementcount 0 &gt;&gt;%USERPROFILE%\Documents\GitHub\eaglep3-reporting\EC\2017-10-10-refined-times.txt</v>
      </c>
      <c r="AI145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ID","value":"232-10"},{"id":16,"name":"Locomotive ID","value":"4065"},{"id":130,"name":"Impact","value":""},{"id":150,"name":"Time of Event (Mountain Time)","value":"23:05:37"},{"id":151,"name":"Denver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93"/>
        <v>start /low /b %USERPROFILE%\Documents\GitHub\eaglep3\Utilities\DownloadLogsFromS3.py --loco 4065 --day 2017-10-10</v>
      </c>
      <c r="AN14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5"/>
        <v>https://d0f6bd738d7f1b3e5a7ca70fe4ff75f0.us-east-1.aws.found.io/app/kibana#/discover/Steve-Slow-Train-Analysis-(2080s-and-2083s)?_g=(refreshInterval:(display:Off,pause:!f,section:0,value:0),time:(from:'2017-10-10T21:23:18-0600',mode:absolute,to:'2017-10-11T00:05:37-0600'))&amp;_a=(columns:!('Message%20ID',Summary),filters:!(),index:'emp_*',interval:auto,query:(query_string:(analyze_wildcard:!t,query:'%22rtdc.l.rtdc.4065%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615</v>
      </c>
      <c r="B146" s="7">
        <v>4020</v>
      </c>
      <c r="C146" s="21" t="s">
        <v>194</v>
      </c>
      <c r="D146" s="21" t="s">
        <v>858</v>
      </c>
      <c r="E146" s="13">
        <v>43018.904074074075</v>
      </c>
      <c r="F146" s="13">
        <v>43018.916851851849</v>
      </c>
      <c r="G146" s="7">
        <v>97</v>
      </c>
      <c r="H146" s="21" t="s">
        <v>410</v>
      </c>
      <c r="I146" s="13">
        <v>43018.941944444443</v>
      </c>
      <c r="J146" s="7">
        <v>0</v>
      </c>
      <c r="K146" s="89" t="str">
        <f t="shared" si="79"/>
        <v>4019/4020</v>
      </c>
      <c r="L146" s="185" t="str">
        <f>VLOOKUP(A146,'Trips&amp;Operators'!$C$1:$G$99911,5,FALSE)</f>
        <v>ROBINSON KADDIBA</v>
      </c>
      <c r="M146" s="6">
        <f t="shared" si="80"/>
        <v>2.5092592593864538E-2</v>
      </c>
      <c r="N146" s="7">
        <f t="shared" si="72"/>
        <v>36.133333335164934</v>
      </c>
      <c r="O146" s="7"/>
      <c r="P146" s="7"/>
      <c r="Q146" s="22"/>
      <c r="R146" s="174"/>
      <c r="S146" s="221">
        <f t="shared" si="73"/>
        <v>1</v>
      </c>
      <c r="T146" s="174" t="str">
        <f t="shared" si="81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2"/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204" t="str">
        <f>IF(AA146&lt;VLOOKUP(AG146,Variables!$AC$3:$AD$8,2,FALSE),"Y","N")</f>
        <v>N</v>
      </c>
      <c r="X146" s="204">
        <f t="shared" si="83"/>
        <v>1</v>
      </c>
      <c r="Y146" s="204">
        <f t="shared" si="84"/>
        <v>4.4200000000000003E-2</v>
      </c>
      <c r="Z146" s="204">
        <f t="shared" si="85"/>
        <v>23.330200000000001</v>
      </c>
      <c r="AA146" s="204">
        <f t="shared" si="86"/>
        <v>23.286000000000001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7"/>
        <v>233</v>
      </c>
      <c r="AE146" s="77" t="str">
        <f t="shared" si="88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46" s="74" t="str">
        <f t="shared" si="89"/>
        <v>"C:\Program Files (x86)\AstroGrep\AstroGrep.exe" /e /r /s /spath="%USERPROFILE%\AppData\Local\Temp\OnboardLogs" /stypes="app*4020*20171011*" /stext=" 04:.+((SYSTEM_STATE.+slice.+state.+changed )|(ment ac)|(multiple cpu faults)|(system.+state.+changed )|(\[timeout)|(PRM\|1\|D)|(kpr)|(kdp)|(train st.+moving)|(\|lc)|(penalty))"</v>
      </c>
      <c r="AG146" s="182" t="str">
        <f t="shared" si="90"/>
        <v>EC</v>
      </c>
      <c r="AH146" s="78" t="str">
        <f t="shared" si="91"/>
        <v>"%USERPROFILE%\Documents\GitHub\eaglep3\Utilities\RefineRTDCRunTimes.py" --tripid 233-10 --locoid 4020 --swversion DE.1.0.9.0 --startMP 204:442 --initTime 2017-10-10T21:41:52 --startdatetime 2017-10-10T22:00:16 --delay 97 --endMP 204:233302 --enddatetime 2017-10-10T22:36:24 --enforcementcount 0 &gt;&gt;%USERPROFILE%\Documents\GitHub\eaglep3-reporting\EC\2017-10-10-refined-times.txt</v>
      </c>
      <c r="AI146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{"issue":{"subject":"","project_id":79,"tracker_id":40,"status_id":1,"priority_id":2,"assigned_to_id":338,"start_date":"2017-10-10","description":"","custom_fields":[{"id":1,"name":"Subdivision","value":"EC"},{"id":4,"name":"Milepost","value":"23.3302"},{"id":17,"name":"Train ID","value":"233-10"},{"id":16,"name":"Locomotive ID","value":"4020"},{"id":130,"name":"Impact","value":""},{"id":150,"name":"Time of Event (Mountain Time)","value":"22:36:24"},{"id":151,"name":"Denver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93"/>
        <v>start /low /b %USERPROFILE%\Documents\GitHub\eaglep3\Utilities\DownloadLogsFromS3.py --loco 4020 --day 2017-10-10</v>
      </c>
      <c r="AN146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5"/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Message%20ID',Summary),filters:!(),index:'emp_*',interval:auto,query:(query_string:(analyze_wildcard:!t,query:'%22rtdc.l.rtdc.4020%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834</v>
      </c>
      <c r="B147" s="7">
        <v>4019</v>
      </c>
      <c r="C147" s="21" t="s">
        <v>194</v>
      </c>
      <c r="D147" s="21" t="s">
        <v>553</v>
      </c>
      <c r="E147" s="13">
        <v>43018.954409722224</v>
      </c>
      <c r="F147" s="13">
        <v>43018.956423611111</v>
      </c>
      <c r="G147" s="7">
        <v>68</v>
      </c>
      <c r="H147" s="21" t="s">
        <v>355</v>
      </c>
      <c r="I147" s="13">
        <v>43018.983564814815</v>
      </c>
      <c r="J147" s="7">
        <v>0</v>
      </c>
      <c r="K147" s="89" t="str">
        <f t="shared" si="79"/>
        <v>4019/4020</v>
      </c>
      <c r="L147" s="185" t="str">
        <f>VLOOKUP(A147,'Trips&amp;Operators'!$C$1:$G$99911,5,FALSE)</f>
        <v>BIRKHOLZ NADINE</v>
      </c>
      <c r="M147" s="6">
        <f t="shared" si="80"/>
        <v>2.7141203703649808E-2</v>
      </c>
      <c r="N147" s="7">
        <f t="shared" si="72"/>
        <v>39.083333333255723</v>
      </c>
      <c r="O147" s="7"/>
      <c r="P147" s="7"/>
      <c r="Q147" s="22"/>
      <c r="R147" s="174"/>
      <c r="S147" s="221">
        <f t="shared" si="73"/>
        <v>1</v>
      </c>
      <c r="T147" s="174" t="str">
        <f t="shared" si="81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2"/>
        <v>https://d0f6bd738d7f1b3e5a7ca70fe4ff75f0.us-east-1.aws.found.io/app/kibana#/discover/Steve-Slow-Train-Analysis-(2080s-and-2083s)?_g=(refreshInterval:(display:Off,pause:!f,section:0,value:0),time:(from:'2017-10-10T21:54:21-0600',mode:absolute,to:'2017-10-11T00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204" t="str">
        <f>IF(AA147&lt;VLOOKUP(AG147,Variables!$AC$3:$AD$8,2,FALSE),"Y","N")</f>
        <v>N</v>
      </c>
      <c r="X147" s="204">
        <f t="shared" si="83"/>
        <v>1</v>
      </c>
      <c r="Y147" s="204">
        <f t="shared" si="84"/>
        <v>23.2972</v>
      </c>
      <c r="Z147" s="204">
        <f t="shared" si="85"/>
        <v>1.52E-2</v>
      </c>
      <c r="AA147" s="204">
        <f t="shared" si="86"/>
        <v>23.282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7"/>
        <v>234</v>
      </c>
      <c r="AE147" s="77" t="str">
        <f t="shared" si="88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47" s="74" t="str">
        <f t="shared" si="89"/>
        <v>"C:\Program Files (x86)\AstroGrep\AstroGrep.exe" /e /r /s /spath="%USERPROFILE%\AppData\Local\Temp\OnboardLogs" /stypes="app*4019*20171011*" /stext=" 05:.+((SYSTEM_STATE.+slice.+state.+changed )|(ment ac)|(multiple cpu faults)|(system.+state.+changed )|(\[timeout)|(PRM\|1\|D)|(kpr)|(kdp)|(train st.+moving)|(\|lc)|(penalty))"</v>
      </c>
      <c r="AG147" s="182" t="str">
        <f t="shared" si="90"/>
        <v>EC</v>
      </c>
      <c r="AH147" s="78" t="str">
        <f t="shared" si="91"/>
        <v>"%USERPROFILE%\Documents\GitHub\eaglep3\Utilities\RefineRTDCRunTimes.py" --tripid 234-10 --locoid 4019 --swversion DE.1.0.9.0 --startMP 204:232972 --initTime 2017-10-10T22:54:21 --startdatetime 2017-10-10T22:57:15 --delay 68 --endMP 204:152 --enddatetime 2017-10-10T23:36:20 --enforcementcount 0 &gt;&gt;%USERPROFILE%\Documents\GitHub\eaglep3-reporting\EC\2017-10-10-refined-times.txt</v>
      </c>
      <c r="AI147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ID","value":"234-10"},{"id":16,"name":"Locomotive ID","value":"4019"},{"id":130,"name":"Impact","value":""},{"id":150,"name":"Time of Event (Mountain Time)","value":"23:36:20"},{"id":151,"name":"Denver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93"/>
        <v>start /low /b %USERPROFILE%\Documents\GitHub\eaglep3\Utilities\DownloadLogsFromS3.py --loco 4019 --day 2017-10-10</v>
      </c>
      <c r="AN14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5"/>
        <v>https://d0f6bd738d7f1b3e5a7ca70fe4ff75f0.us-east-1.aws.found.io/app/kibana#/discover/Steve-Slow-Train-Analysis-(2080s-and-2083s)?_g=(refreshInterval:(display:Off,pause:!f,section:0,value:0),time:(from:'2017-10-10T21:54:21-0600',mode:absolute,to:'2017-10-11T00:36:20-0600'))&amp;_a=(columns:!('Message%20ID',Summary),filters:!(),index:'emp_*',interval:auto,query:(query_string:(analyze_wildcard:!t,query:'%22rtdc.l.rtdc.4019%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831</v>
      </c>
      <c r="B148" s="7">
        <v>4052</v>
      </c>
      <c r="C148" s="21" t="s">
        <v>194</v>
      </c>
      <c r="D148" s="21" t="s">
        <v>354</v>
      </c>
      <c r="E148" s="13">
        <v>43018.930034722223</v>
      </c>
      <c r="F148" s="13">
        <v>43018.9378125</v>
      </c>
      <c r="G148" s="7">
        <v>59</v>
      </c>
      <c r="H148" s="21" t="s">
        <v>479</v>
      </c>
      <c r="I148" s="13">
        <v>43018.963773148149</v>
      </c>
      <c r="J148" s="7">
        <v>0</v>
      </c>
      <c r="K148" s="89" t="str">
        <f t="shared" si="79"/>
        <v>4051/4052</v>
      </c>
      <c r="L148" s="185" t="str">
        <f>VLOOKUP(A148,'Trips&amp;Operators'!$C$1:$G$99911,5,FALSE)</f>
        <v>ANDERS STEVEN</v>
      </c>
      <c r="M148" s="6">
        <f t="shared" si="80"/>
        <v>2.5960648148611654E-2</v>
      </c>
      <c r="N148" s="7">
        <f t="shared" si="72"/>
        <v>37.383333334000781</v>
      </c>
      <c r="O148" s="7"/>
      <c r="P148" s="7"/>
      <c r="Q148" s="22"/>
      <c r="R148" s="174"/>
      <c r="S148" s="221">
        <f t="shared" si="73"/>
        <v>1</v>
      </c>
      <c r="T148" s="174" t="str">
        <f t="shared" si="81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2"/>
        <v>https://d0f6bd738d7f1b3e5a7ca70fe4ff75f0.us-east-1.aws.found.io/app/kibana#/discover/Steve-Slow-Train-Analysis-(2080s-and-2083s)?_g=(refreshInterval:(display:Off,pause:!f,section:0,value:0),time:(from:'2017-10-10T21:19:15-0600',mode:absolute,to:'2017-10-11T00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04" t="str">
        <f>IF(AA148&lt;VLOOKUP(AG148,Variables!$AC$3:$AD$8,2,FALSE),"Y","N")</f>
        <v>N</v>
      </c>
      <c r="X148" s="204">
        <f t="shared" si="83"/>
        <v>1</v>
      </c>
      <c r="Y148" s="204">
        <f t="shared" si="84"/>
        <v>4.58E-2</v>
      </c>
      <c r="Z148" s="204">
        <f t="shared" si="85"/>
        <v>23.3306</v>
      </c>
      <c r="AA148" s="204">
        <f t="shared" si="86"/>
        <v>23.284800000000001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7"/>
        <v>235</v>
      </c>
      <c r="AE148" s="77" t="str">
        <f t="shared" si="88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48" s="74" t="str">
        <f t="shared" si="89"/>
        <v>"C:\Program Files (x86)\AstroGrep\AstroGrep.exe" /e /r /s /spath="%USERPROFILE%\AppData\Local\Temp\OnboardLogs" /stypes="app*4052*20171011*" /stext=" 05:.+((SYSTEM_STATE.+slice.+state.+changed )|(ment ac)|(multiple cpu faults)|(system.+state.+changed )|(\[timeout)|(PRM\|1\|D)|(kpr)|(kdp)|(train st.+moving)|(\|lc)|(penalty))"</v>
      </c>
      <c r="AG148" s="182" t="str">
        <f t="shared" si="90"/>
        <v>EC</v>
      </c>
      <c r="AH148" s="78" t="str">
        <f t="shared" si="91"/>
        <v>"%USERPROFILE%\Documents\GitHub\eaglep3\Utilities\RefineRTDCRunTimes.py" --tripid 235-10 --locoid 4052 --swversion DE.1.0.9.0 --startMP 204:458 --initTime 2017-10-10T22:19:15 --startdatetime 2017-10-10T22:30:27 --delay 59 --endMP 204:233306 --enddatetime 2017-10-10T23:07:50 --enforcementcount 0 &gt;&gt;%USERPROFILE%\Documents\GitHub\eaglep3-reporting\EC\2017-10-10-refined-times.txt</v>
      </c>
      <c r="AI148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{"issue":{"subject":"","project_id":79,"tracker_id":40,"status_id":1,"priority_id":2,"assigned_to_id":338,"start_date":"2017-10-10","description":"","custom_fields":[{"id":1,"name":"Subdivision","value":"EC"},{"id":4,"name":"Milepost","value":"23.3306"},{"id":17,"name":"Train ID","value":"235-10"},{"id":16,"name":"Locomotive ID","value":"4052"},{"id":130,"name":"Impact","value":""},{"id":150,"name":"Time of Event (Mountain Time)","value":"23:07:50"},{"id":151,"name":"Denver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93"/>
        <v>start /low /b %USERPROFILE%\Documents\GitHub\eaglep3\Utilities\DownloadLogsFromS3.py --loco 4052 --day 2017-10-10</v>
      </c>
      <c r="AN148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5"/>
        <v>https://d0f6bd738d7f1b3e5a7ca70fe4ff75f0.us-east-1.aws.found.io/app/kibana#/discover/Steve-Slow-Train-Analysis-(2080s-and-2083s)?_g=(refreshInterval:(display:Off,pause:!f,section:0,value:0),time:(from:'2017-10-10T21:19:15-0600',mode:absolute,to:'2017-10-11T00:07:50-0600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836</v>
      </c>
      <c r="B149" s="7">
        <v>4051</v>
      </c>
      <c r="C149" s="21" t="s">
        <v>194</v>
      </c>
      <c r="D149" s="21" t="s">
        <v>914</v>
      </c>
      <c r="E149" s="13">
        <v>43018.966770833336</v>
      </c>
      <c r="F149" s="13">
        <v>43018.977442129632</v>
      </c>
      <c r="G149" s="7">
        <v>53</v>
      </c>
      <c r="H149" s="21" t="s">
        <v>513</v>
      </c>
      <c r="I149" s="13">
        <v>43019.004652777781</v>
      </c>
      <c r="J149" s="7">
        <v>0</v>
      </c>
      <c r="K149" s="89" t="str">
        <f t="shared" si="79"/>
        <v>4051/4052</v>
      </c>
      <c r="L149" s="185" t="str">
        <f>VLOOKUP(A149,'Trips&amp;Operators'!$C$1:$G$99911,5,FALSE)</f>
        <v>ANDERS STEVEN</v>
      </c>
      <c r="M149" s="6">
        <f t="shared" si="80"/>
        <v>2.7210648149775807E-2</v>
      </c>
      <c r="N149" s="7">
        <f t="shared" si="72"/>
        <v>39.183333335677162</v>
      </c>
      <c r="O149" s="7"/>
      <c r="P149" s="7"/>
      <c r="Q149" s="22"/>
      <c r="R149" s="174"/>
      <c r="S149" s="221">
        <f t="shared" si="73"/>
        <v>1</v>
      </c>
      <c r="T149" s="174" t="str">
        <f t="shared" si="81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2"/>
        <v>https://d0f6bd738d7f1b3e5a7ca70fe4ff75f0.us-east-1.aws.found.io/app/kibana#/discover/Steve-Slow-Train-Analysis-(2080s-and-2083s)?_g=(refreshInterval:(display:Off,pause:!f,section:0,value:0),time:(from:'2017-10-10T22:12:09-0600',mode:absolute,to:'2017-10-11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04" t="str">
        <f>IF(AA149&lt;VLOOKUP(AG149,Variables!$AC$3:$AD$8,2,FALSE),"Y","N")</f>
        <v>N</v>
      </c>
      <c r="X149" s="204">
        <f t="shared" si="83"/>
        <v>1</v>
      </c>
      <c r="Y149" s="204">
        <f t="shared" si="84"/>
        <v>23.2987</v>
      </c>
      <c r="Z149" s="204">
        <f t="shared" si="85"/>
        <v>1.3599999999999999E-2</v>
      </c>
      <c r="AA149" s="204">
        <f t="shared" si="86"/>
        <v>23.2851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7"/>
        <v>236</v>
      </c>
      <c r="AE149" s="77" t="str">
        <f t="shared" si="88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49" s="74" t="str">
        <f t="shared" si="89"/>
        <v>"C:\Program Files (x86)\AstroGrep\AstroGrep.exe" /e /r /s /spath="%USERPROFILE%\AppData\Local\Temp\OnboardLogs" /stypes="app*4051*20171011*" /stext=" 06:.+((SYSTEM_STATE.+slice.+state.+changed )|(ment ac)|(multiple cpu faults)|(system.+state.+changed )|(\[timeout)|(PRM\|1\|D)|(kpr)|(kdp)|(train st.+moving)|(\|lc)|(penalty))"</v>
      </c>
      <c r="AG149" s="182" t="str">
        <f t="shared" si="90"/>
        <v>EC</v>
      </c>
      <c r="AH149" s="78" t="str">
        <f t="shared" si="91"/>
        <v>"%USERPROFILE%\Documents\GitHub\eaglep3\Utilities\RefineRTDCRunTimes.py" --tripid 236-10 --locoid 4051 --swversion DE.1.0.9.0 --startMP 204:232987 --initTime 2017-10-10T23:12:09 --startdatetime 2017-10-10T23:27:31 --delay 53 --endMP 204:136 --enddatetime 2017-10-11T00:06:42 --enforcementcount 0 &gt;&gt;%USERPROFILE%\Documents\GitHub\eaglep3-reporting\EC\2017-10-10-refined-times.txt</v>
      </c>
      <c r="AI149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{"issue":{"subject":"","project_id":79,"tracker_id":40,"status_id":1,"priority_id":2,"assigned_to_id":338,"start_date":"2017-10-11","description":"","custom_fields":[{"id":1,"name":"Subdivision","value":"EC"},{"id":4,"name":"Milepost","value":"0.0136"},{"id":17,"name":"Train ID","value":"236-10"},{"id":16,"name":"Locomotive ID","value":"4051"},{"id":130,"name":"Impact","value":""},{"id":150,"name":"Time of Event (Mountain Time)","value":"00:06:42"},{"id":151,"name":"Denver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93"/>
        <v>start /low /b %USERPROFILE%\Documents\GitHub\eaglep3\Utilities\DownloadLogsFromS3.py --loco 4051 --day 2017-10-10</v>
      </c>
      <c r="AN14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5"/>
        <v>https://d0f6bd738d7f1b3e5a7ca70fe4ff75f0.us-east-1.aws.found.io/app/kibana#/discover/Steve-Slow-Train-Analysis-(2080s-and-2083s)?_g=(refreshInterval:(display:Off,pause:!f,section:0,value:0),time:(from:'2017-10-10T22:12:09-0600',mode:absolute,to:'2017-10-11T01:06:42-0600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617</v>
      </c>
      <c r="B150" s="7">
        <v>4050</v>
      </c>
      <c r="C150" s="21" t="s">
        <v>194</v>
      </c>
      <c r="D150" s="21" t="s">
        <v>381</v>
      </c>
      <c r="E150" s="13">
        <v>43018.942939814813</v>
      </c>
      <c r="F150" s="13">
        <v>43018.958506944444</v>
      </c>
      <c r="G150" s="7">
        <v>78</v>
      </c>
      <c r="H150" s="21" t="s">
        <v>915</v>
      </c>
      <c r="I150" s="13">
        <v>43018.97388888889</v>
      </c>
      <c r="J150" s="7">
        <v>0</v>
      </c>
      <c r="K150" s="89" t="str">
        <f t="shared" si="79"/>
        <v>4049/4050</v>
      </c>
      <c r="L150" s="185" t="str">
        <f>VLOOKUP(A150,'Trips&amp;Operators'!$C$1:$G$99911,5,FALSE)</f>
        <v>DUNCAN SHEILA</v>
      </c>
      <c r="M150" s="6">
        <f t="shared" si="80"/>
        <v>1.5381944445834961E-2</v>
      </c>
      <c r="N150" s="7"/>
      <c r="O150" s="7"/>
      <c r="P150" s="7">
        <f>24*60*SUM($M150:$M150)</f>
        <v>22.150000002002344</v>
      </c>
      <c r="Q150" s="22"/>
      <c r="R150" s="174" t="s">
        <v>405</v>
      </c>
      <c r="S150" s="221">
        <f t="shared" si="73"/>
        <v>1</v>
      </c>
      <c r="T150" s="174" t="str">
        <f t="shared" si="81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2"/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204" t="str">
        <f>IF(AA150&lt;VLOOKUP(AG150,Variables!$AC$3:$AD$8,2,FALSE),"Y","N")</f>
        <v>Y</v>
      </c>
      <c r="X150" s="204">
        <f t="shared" si="83"/>
        <v>1</v>
      </c>
      <c r="Y150" s="204">
        <f t="shared" si="84"/>
        <v>4.5699999999999998E-2</v>
      </c>
      <c r="Z150" s="204">
        <f t="shared" si="85"/>
        <v>12.736000000000001</v>
      </c>
      <c r="AA150" s="204">
        <f t="shared" si="86"/>
        <v>12.690300000000001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87"/>
        <v>237</v>
      </c>
      <c r="AE150" s="77" t="str">
        <f t="shared" si="88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50" s="74" t="str">
        <f t="shared" si="89"/>
        <v>"C:\Program Files (x86)\AstroGrep\AstroGrep.exe" /e /r /s /spath="%USERPROFILE%\AppData\Local\Temp\OnboardLogs" /stypes="app*4050*20171011*" /stext=" 05:.+((SYSTEM_STATE.+slice.+state.+changed )|(ment ac)|(multiple cpu faults)|(system.+state.+changed )|(\[timeout)|(PRM\|1\|D)|(kpr)|(kdp)|(train st.+moving)|(\|lc)|(penalty))"</v>
      </c>
      <c r="AG150" s="182" t="str">
        <f t="shared" si="90"/>
        <v>EC</v>
      </c>
      <c r="AH150" s="78" t="str">
        <f t="shared" si="91"/>
        <v>"%USERPROFILE%\Documents\GitHub\eaglep3\Utilities\RefineRTDCRunTimes.py" --tripid 237-10 --locoid 4050 --swversion DE.1.0.9.0 --startMP 204:457 --initTime 2017-10-10T22:37:50 --startdatetime 2017-10-10T23:00:15 --delay 78 --endMP 204:127360 --enddatetime 2017-10-10T23:22:24 --enforcementcount 0 &gt;&gt;%USERPROFILE%\Documents\GitHub\eaglep3-reporting\EC\2017-10-10-refined-times.txt</v>
      </c>
      <c r="AI150" s="96" t="str">
        <f t="shared" si="92"/>
        <v>echo {"issue":{"subject":"Wi-MAX data drop","project_id":79,"tracker_id":40,"status_id":1,"priority_id":2,"assigned_to_id":338,"start_date":"2017-10-10","description":"","custom_fields":[{"id":1,"name":"Subdivision","value":"EC"},{"id":4,"name":"Milepost","value":"12.736"},{"id":17,"name":"Train ID","value":"237-10"},{"id":16,"name":"Locomotive ID","value":"4050"},{"id":130,"name":"Impact","value":""},{"id":150,"name":"Time of Event (Mountain Time)","value":"23:22:24"},{"id":151,"name":"Denver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93"/>
        <v>start /low /b %USERPROFILE%\Documents\GitHub\eaglep3\Utilities\DownloadLogsFromS3.py --loco 4050 --day 2017-10-10</v>
      </c>
      <c r="AN150" s="151" t="str">
        <f t="shared" si="94"/>
        <v>echo {"issue":{"subject":"Wi-MAX data drop","project_id":30,"tracker_id":4,"status_id":1,"priority_id":1,"assigned_to_id":10,"start_date":"2017-10-11","description":"","custom_fields":[{"id":30,"name":"Category","value":"Issue"},{"id":3,"name":"Functional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5"/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Message%20ID',Summary),filters:!(),index:'emp_*',interval:auto,query:(query_string:(analyze_wildcard:!t,query:'%22rtdc.l.rtdc.4050%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839</v>
      </c>
      <c r="B151" s="7">
        <v>4049</v>
      </c>
      <c r="C151" s="21" t="s">
        <v>194</v>
      </c>
      <c r="D151" s="21" t="s">
        <v>916</v>
      </c>
      <c r="E151" s="13">
        <v>43018.985347222224</v>
      </c>
      <c r="F151" s="13">
        <v>43018.998148148145</v>
      </c>
      <c r="G151" s="7">
        <v>65</v>
      </c>
      <c r="H151" s="21" t="s">
        <v>337</v>
      </c>
      <c r="I151" s="13">
        <v>43019.023981481485</v>
      </c>
      <c r="J151" s="7">
        <v>0</v>
      </c>
      <c r="K151" s="89" t="str">
        <f t="shared" si="79"/>
        <v>4049/4050</v>
      </c>
      <c r="L151" s="185" t="str">
        <f>VLOOKUP(A151,'Trips&amp;Operators'!$C$1:$G$99911,5,FALSE)</f>
        <v>DUNCAN SHEILA</v>
      </c>
      <c r="M151" s="6">
        <f t="shared" si="80"/>
        <v>2.5833333340415265E-2</v>
      </c>
      <c r="N151" s="7">
        <f>24*60*SUM($M151:$M151)</f>
        <v>37.200000010197982</v>
      </c>
      <c r="O151" s="7"/>
      <c r="P151" s="7"/>
      <c r="Q151" s="22"/>
      <c r="R151" s="174"/>
      <c r="S151" s="221">
        <f t="shared" si="73"/>
        <v>1</v>
      </c>
      <c r="T151" s="174" t="str">
        <f t="shared" si="81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2"/>
        <v>https://d0f6bd738d7f1b3e5a7ca70fe4ff75f0.us-east-1.aws.found.io/app/kibana#/discover/Steve-Slow-Train-Analysis-(2080s-and-2083s)?_g=(refreshInterval:(display:Off,pause:!f,section:0,value:0),time:(from:'2017-10-10T22:38:54-0600',mode:absolute,to:'2017-10-11T01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1" s="204" t="str">
        <f>IF(AA151&lt;VLOOKUP(AG151,Variables!$AC$3:$AD$8,2,FALSE),"Y","N")</f>
        <v>N</v>
      </c>
      <c r="X151" s="204">
        <f t="shared" si="83"/>
        <v>1</v>
      </c>
      <c r="Y151" s="204">
        <f t="shared" si="84"/>
        <v>23.3081</v>
      </c>
      <c r="Z151" s="204">
        <f t="shared" si="85"/>
        <v>1.43E-2</v>
      </c>
      <c r="AA151" s="204">
        <f t="shared" si="86"/>
        <v>23.293800000000001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7"/>
        <v>238</v>
      </c>
      <c r="AE151" s="77" t="str">
        <f t="shared" si="88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51" s="74" t="str">
        <f t="shared" si="89"/>
        <v>"C:\Program Files (x86)\AstroGrep\AstroGrep.exe" /e /r /s /spath="%USERPROFILE%\AppData\Local\Temp\OnboardLogs" /stypes="app*4049*20171011*" /stext=" 06:.+((SYSTEM_STATE.+slice.+state.+changed )|(ment ac)|(multiple cpu faults)|(system.+state.+changed )|(\[timeout)|(PRM\|1\|D)|(kpr)|(kdp)|(train st.+moving)|(\|lc)|(penalty))"</v>
      </c>
      <c r="AG151" s="182" t="str">
        <f t="shared" si="90"/>
        <v>EC</v>
      </c>
      <c r="AH151" s="78" t="str">
        <f t="shared" si="91"/>
        <v>"%USERPROFILE%\Documents\GitHub\eaglep3\Utilities\RefineRTDCRunTimes.py" --tripid 238-10 --locoid 4049 --swversion DE.1.0.9.0 --startMP 204:233081 --initTime 2017-10-10T23:38:54 --startdatetime 2017-10-10T23:57:20 --delay 65 --endMP 204:143 --enddatetime 2017-10-11T00:34:32 --enforcementcount 0 &gt;&gt;%USERPROFILE%\Documents\GitHub\eaglep3-reporting\EC\2017-10-10-refined-times.txt</v>
      </c>
      <c r="AI151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{"issue":{"subject":"","project_id":79,"tracker_id":40,"status_id":1,"priority_id":2,"assigned_to_id":338,"start_date":"2017-10-11","description":"","custom_fields":[{"id":1,"name":"Subdivision","value":"EC"},{"id":4,"name":"Milepost","value":"0.0143"},{"id":17,"name":"Train ID","value":"238-10"},{"id":16,"name":"Locomotive ID","value":"4049"},{"id":130,"name":"Impact","value":""},{"id":150,"name":"Time of Event (Mountain Time)","value":"00:34:32"},{"id":151,"name":"Denver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93"/>
        <v>start /low /b %USERPROFILE%\Documents\GitHub\eaglep3\Utilities\DownloadLogsFromS3.py --loco 4049 --day 2017-10-10</v>
      </c>
      <c r="AN151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5"/>
        <v>https://d0f6bd738d7f1b3e5a7ca70fe4ff75f0.us-east-1.aws.found.io/app/kibana#/discover/Steve-Slow-Train-Analysis-(2080s-and-2083s)?_g=(refreshInterval:(display:Off,pause:!f,section:0,value:0),time:(from:'2017-10-10T22:38:54-0600',mode:absolute,to:'2017-10-11T01:34:32-0600'))&amp;_a=(columns:!('Message%20ID',Summary),filters:!(),index:'emp_*',interval:auto,query:(query_string:(analyze_wildcard:!t,query:'%22rtdc.l.rtdc.4049%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837</v>
      </c>
      <c r="B152" s="7">
        <v>4066</v>
      </c>
      <c r="C152" s="21" t="s">
        <v>194</v>
      </c>
      <c r="D152" s="21" t="s">
        <v>338</v>
      </c>
      <c r="E152" s="13">
        <v>43018.9684837963</v>
      </c>
      <c r="F152" s="13">
        <v>43018.979351851849</v>
      </c>
      <c r="G152" s="7">
        <v>66</v>
      </c>
      <c r="H152" s="21" t="s">
        <v>892</v>
      </c>
      <c r="I152" s="13">
        <v>43019.00340277778</v>
      </c>
      <c r="J152" s="7">
        <v>0</v>
      </c>
      <c r="K152" s="89" t="str">
        <f t="shared" si="79"/>
        <v>4065/4066</v>
      </c>
      <c r="L152" s="185" t="str">
        <f>VLOOKUP(A152,'Trips&amp;Operators'!$C$1:$G$99911,5,FALSE)</f>
        <v>LOZA FIDEL</v>
      </c>
      <c r="M152" s="6">
        <f t="shared" si="80"/>
        <v>2.4050925931078382E-2</v>
      </c>
      <c r="N152" s="7">
        <f>24*60*SUM($M152:$M152)</f>
        <v>34.63333334075287</v>
      </c>
      <c r="O152" s="7"/>
      <c r="P152" s="7"/>
      <c r="Q152" s="22"/>
      <c r="R152" s="174"/>
      <c r="S152" s="221">
        <f t="shared" si="73"/>
        <v>1</v>
      </c>
      <c r="T152" s="174" t="str">
        <f t="shared" si="81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2"/>
        <v>https://d0f6bd738d7f1b3e5a7ca70fe4ff75f0.us-east-1.aws.found.io/app/kibana#/discover/Steve-Slow-Train-Analysis-(2080s-and-2083s)?_g=(refreshInterval:(display:Off,pause:!f,section:0,value:0),time:(from:'2017-10-10T22:14:37-0600',mode:absolute,to:'2017-10-11T01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2" s="204" t="str">
        <f>IF(AA152&lt;VLOOKUP(AG152,Variables!$AC$3:$AD$8,2,FALSE),"Y","N")</f>
        <v>N</v>
      </c>
      <c r="X152" s="204">
        <f t="shared" si="83"/>
        <v>1</v>
      </c>
      <c r="Y152" s="204">
        <f t="shared" si="84"/>
        <v>4.53E-2</v>
      </c>
      <c r="Z152" s="204">
        <f t="shared" si="85"/>
        <v>23.333200000000001</v>
      </c>
      <c r="AA152" s="204">
        <f t="shared" si="86"/>
        <v>23.2879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7"/>
        <v>239</v>
      </c>
      <c r="AE152" s="77" t="str">
        <f t="shared" si="88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52" s="74" t="str">
        <f t="shared" si="89"/>
        <v>"C:\Program Files (x86)\AstroGrep\AstroGrep.exe" /e /r /s /spath="%USERPROFILE%\AppData\Local\Temp\OnboardLogs" /stypes="app*4066*20171011*" /stext=" 06:.+((SYSTEM_STATE.+slice.+state.+changed )|(ment ac)|(multiple cpu faults)|(system.+state.+changed )|(\[timeout)|(PRM\|1\|D)|(kpr)|(kdp)|(train st.+moving)|(\|lc)|(penalty))"</v>
      </c>
      <c r="AG152" s="182" t="str">
        <f t="shared" si="90"/>
        <v>EC</v>
      </c>
      <c r="AH152" s="78" t="str">
        <f t="shared" si="91"/>
        <v>"%USERPROFILE%\Documents\GitHub\eaglep3\Utilities\RefineRTDCRunTimes.py" --tripid 239-10 --locoid 4066 --swversion DE.1.0.9.0 --startMP 204:453 --initTime 2017-10-10T23:14:37 --startdatetime 2017-10-10T23:30:16 --delay 66 --endMP 204:233332 --enddatetime 2017-10-11T00:04:54 --enforcementcount 0 &gt;&gt;%USERPROFILE%\Documents\GitHub\eaglep3-reporting\EC\2017-10-10-refined-times.txt</v>
      </c>
      <c r="AI152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{"issue":{"subject":"","project_id":79,"tracker_id":40,"status_id":1,"priority_id":2,"assigned_to_id":338,"start_date":"2017-10-11","description":"","custom_fields":[{"id":1,"name":"Subdivision","value":"EC"},{"id":4,"name":"Milepost","value":"23.3332"},{"id":17,"name":"Train ID","value":"239-10"},{"id":16,"name":"Locomotive ID","value":"4066"},{"id":130,"name":"Impact","value":""},{"id":150,"name":"Time of Event (Mountain Time)","value":"00:04:54"},{"id":151,"name":"Denver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93"/>
        <v>start /low /b %USERPROFILE%\Documents\GitHub\eaglep3\Utilities\DownloadLogsFromS3.py --loco 4066 --day 2017-10-10</v>
      </c>
      <c r="AN15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5"/>
        <v>https://d0f6bd738d7f1b3e5a7ca70fe4ff75f0.us-east-1.aws.found.io/app/kibana#/discover/Steve-Slow-Train-Analysis-(2080s-and-2083s)?_g=(refreshInterval:(display:Off,pause:!f,section:0,value:0),time:(from:'2017-10-10T22:14:37-0600',mode:absolute,to:'2017-10-11T01:04:54-0600'))&amp;_a=(columns:!('Message%20ID',Summary),filters:!(),index:'emp_*',interval:auto,query:(query_string:(analyze_wildcard:!t,query:'%22rtdc.l.rtdc.4066%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844</v>
      </c>
      <c r="B153" s="7">
        <v>4065</v>
      </c>
      <c r="C153" s="21" t="s">
        <v>194</v>
      </c>
      <c r="D153" s="21" t="s">
        <v>403</v>
      </c>
      <c r="E153" s="13">
        <v>43019.016805555555</v>
      </c>
      <c r="F153" s="13">
        <v>43019.018958333334</v>
      </c>
      <c r="G153" s="7">
        <v>71</v>
      </c>
      <c r="H153" s="21" t="s">
        <v>336</v>
      </c>
      <c r="I153" s="13">
        <v>43019.044432870367</v>
      </c>
      <c r="J153" s="7">
        <v>0</v>
      </c>
      <c r="K153" s="89" t="str">
        <f t="shared" si="79"/>
        <v>4065/4066</v>
      </c>
      <c r="L153" s="185" t="str">
        <f>VLOOKUP(A153,'Trips&amp;Operators'!$C$1:$G$99911,5,FALSE)</f>
        <v>LOZA FIDEL</v>
      </c>
      <c r="M153" s="6">
        <f t="shared" si="80"/>
        <v>2.5474537033005618E-2</v>
      </c>
      <c r="N153" s="7">
        <f>24*60*SUM($M153:$M153)</f>
        <v>36.683333327528089</v>
      </c>
      <c r="O153" s="7"/>
      <c r="P153" s="7"/>
      <c r="Q153" s="22"/>
      <c r="R153" s="174"/>
      <c r="S153" s="221">
        <f t="shared" si="73"/>
        <v>1</v>
      </c>
      <c r="T153" s="174" t="str">
        <f t="shared" si="81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2"/>
        <v>https://d0f6bd738d7f1b3e5a7ca70fe4ff75f0.us-east-1.aws.found.io/app/kibana#/discover/Steve-Slow-Train-Analysis-(2080s-and-2083s)?_g=(refreshInterval:(display:Off,pause:!f,section:0,value:0),time:(from:'2017-10-10T23:24:12-0600',mode:absolute,to:'2017-10-11T02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3" s="204" t="str">
        <f>IF(AA153&lt;VLOOKUP(AG153,Variables!$AC$3:$AD$8,2,FALSE),"Y","N")</f>
        <v>N</v>
      </c>
      <c r="X153" s="204">
        <f t="shared" si="83"/>
        <v>1</v>
      </c>
      <c r="Y153" s="204">
        <f t="shared" si="84"/>
        <v>23.301500000000001</v>
      </c>
      <c r="Z153" s="204">
        <f t="shared" si="85"/>
        <v>1.49E-2</v>
      </c>
      <c r="AA153" s="204">
        <f t="shared" si="86"/>
        <v>23.2866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7"/>
        <v>240</v>
      </c>
      <c r="AE153" s="77" t="str">
        <f t="shared" si="88"/>
        <v>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 &amp; 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</v>
      </c>
      <c r="AF153" s="74" t="str">
        <f t="shared" si="89"/>
        <v>"C:\Program Files (x86)\AstroGrep\AstroGrep.exe" /e /r /s /spath="%USERPROFILE%\AppData\Local\Temp\OnboardLogs" /stypes="app*4065*20171011*" /stext=" 07:.+((SYSTEM_STATE.+slice.+state.+changed )|(ment ac)|(multiple cpu faults)|(system.+state.+changed )|(\[timeout)|(PRM\|1\|D)|(kpr)|(kdp)|(train st.+moving)|(\|lc)|(penalty))"</v>
      </c>
      <c r="AG153" s="182" t="str">
        <f t="shared" si="90"/>
        <v>EC</v>
      </c>
      <c r="AH153" s="78" t="str">
        <f t="shared" si="91"/>
        <v>"%USERPROFILE%\Documents\GitHub\eaglep3\Utilities\RefineRTDCRunTimes.py" --tripid 240-10 --locoid 4065 --swversion DE.1.0.9.0 --startMP 204:233015 --initTime 2017-10-11T00:24:12 --startdatetime 2017-10-11T00:27:18 --delay 71 --endMP 204:149 --enddatetime 2017-10-11T01:03:59 --enforcementcount 0 &gt;&gt;%USERPROFILE%\Documents\GitHub\eaglep3-reporting\EC\2017-10-10-refined-times.txt</v>
      </c>
      <c r="AI153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ID","value":"240-10"},{"id":16,"name":"Locomotive ID","value":"4065"},{"id":130,"name":"Impact","value":""},{"id":150,"name":"Time of Event (Mountain Time)","value":"01:03:59"},{"id":151,"name":"Denver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93"/>
        <v>start /low /b %USERPROFILE%\Documents\GitHub\eaglep3\Utilities\DownloadLogsFromS3.py --loco 4065 --day 2017-10-11</v>
      </c>
      <c r="AN153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5"/>
        <v>https://d0f6bd738d7f1b3e5a7ca70fe4ff75f0.us-east-1.aws.found.io/app/kibana#/discover/Steve-Slow-Train-Analysis-(2080s-and-2083s)?_g=(refreshInterval:(display:Off,pause:!f,section:0,value:0),time:(from:'2017-10-10T23:24:12-0600',mode:absolute,to:'2017-10-11T02:03:59-0600'))&amp;_a=(columns:!('Message%20ID',Summary),filters:!(),index:'emp_*',interval:auto,query:(query_string:(analyze_wildcard:!t,query:'%22rtdc.l.rtdc.4065%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840</v>
      </c>
      <c r="B154" s="7">
        <v>4020</v>
      </c>
      <c r="C154" s="21" t="s">
        <v>194</v>
      </c>
      <c r="D154" s="21" t="s">
        <v>879</v>
      </c>
      <c r="E154" s="13">
        <v>43018.993935185186</v>
      </c>
      <c r="F154" s="13">
        <v>43019.000219907408</v>
      </c>
      <c r="G154" s="7">
        <v>73</v>
      </c>
      <c r="H154" s="21" t="s">
        <v>394</v>
      </c>
      <c r="I154" s="13">
        <v>43019.025104166663</v>
      </c>
      <c r="J154" s="7">
        <v>0</v>
      </c>
      <c r="K154" s="89" t="str">
        <f t="shared" si="79"/>
        <v>4019/4020</v>
      </c>
      <c r="L154" s="185" t="str">
        <f>VLOOKUP(A154,'Trips&amp;Operators'!$C$1:$G$99911,5,FALSE)</f>
        <v>BIRKHOLZ NADINE</v>
      </c>
      <c r="M154" s="6">
        <f t="shared" si="80"/>
        <v>2.488425925548654E-2</v>
      </c>
      <c r="N154" s="7">
        <f>24*60*SUM($M154:$M154)</f>
        <v>35.833333327900618</v>
      </c>
      <c r="O154" s="7"/>
      <c r="P154" s="7"/>
      <c r="Q154" s="22"/>
      <c r="R154" s="174"/>
      <c r="S154" s="221">
        <f t="shared" si="73"/>
        <v>1</v>
      </c>
      <c r="T154" s="174" t="str">
        <f t="shared" si="81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2"/>
        <v>https://d0f6bd738d7f1b3e5a7ca70fe4ff75f0.us-east-1.aws.found.io/app/kibana#/discover/Steve-Slow-Train-Analysis-(2080s-and-2083s)?_g=(refreshInterval:(display:Off,pause:!f,section:0,value:0),time:(from:'2017-10-10T22:51:16-0600',mode:absolute,to:'2017-10-11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04" t="str">
        <f>IF(AA154&lt;VLOOKUP(AG154,Variables!$AC$3:$AD$8,2,FALSE),"Y","N")</f>
        <v>N</v>
      </c>
      <c r="X154" s="204">
        <f t="shared" si="83"/>
        <v>1</v>
      </c>
      <c r="Y154" s="204">
        <f t="shared" si="84"/>
        <v>4.9099999999999998E-2</v>
      </c>
      <c r="Z154" s="204">
        <f t="shared" si="85"/>
        <v>23.3291</v>
      </c>
      <c r="AA154" s="204">
        <f t="shared" si="86"/>
        <v>23.28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7"/>
        <v>241</v>
      </c>
      <c r="AE154" s="77" t="str">
        <f t="shared" si="88"/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154" s="74" t="str">
        <f t="shared" si="89"/>
        <v>"C:\Program Files (x86)\AstroGrep\AstroGrep.exe" /e /r /s /spath="%USERPROFILE%\AppData\Local\Temp\OnboardLogs" /stypes="app*4020*20171011*" /stext=" 06:.+((SYSTEM_STATE.+slice.+state.+changed )|(ment ac)|(multiple cpu faults)|(system.+state.+changed )|(\[timeout)|(PRM\|1\|D)|(kpr)|(kdp)|(train st.+moving)|(\|lc)|(penalty))"</v>
      </c>
      <c r="AG154" s="182" t="str">
        <f t="shared" si="90"/>
        <v>EC</v>
      </c>
      <c r="AH154" s="78" t="str">
        <f t="shared" si="91"/>
        <v>"%USERPROFILE%\Documents\GitHub\eaglep3\Utilities\RefineRTDCRunTimes.py" --tripid 241-10 --locoid 4020 --swversion DE.1.0.9.0 --startMP 204:491 --initTime 2017-10-10T23:51:16 --startdatetime 2017-10-11T00:00:19 --delay 73 --endMP 204:233291 --enddatetime 2017-10-11T00:36:09 --enforcementcount 0 &gt;&gt;%USERPROFILE%\Documents\GitHub\eaglep3-reporting\EC\2017-10-10-refined-times.txt</v>
      </c>
      <c r="AI154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ID","value":"241-10"},{"id":16,"name":"Locomotive ID","value":"4020"},{"id":130,"name":"Impact","value":""},{"id":150,"name":"Time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93"/>
        <v>start /low /b %USERPROFILE%\Documents\GitHub\eaglep3\Utilities\DownloadLogsFromS3.py --loco 4020 --day 2017-10-11</v>
      </c>
      <c r="AN154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5"/>
        <v>https://d0f6bd738d7f1b3e5a7ca70fe4ff75f0.us-east-1.aws.found.io/app/kibana#/discover/Steve-Slow-Train-Analysis-(2080s-and-2083s)?_g=(refreshInterval:(display:Off,pause:!f,section:0,value:0),time:(from:'2017-10-10T22:51:16-0600',mode:absolute,to:'2017-10-11T01:36:09-0600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846</v>
      </c>
      <c r="B155" s="7">
        <v>4019</v>
      </c>
      <c r="C155" s="21" t="s">
        <v>194</v>
      </c>
      <c r="D155" s="21" t="s">
        <v>914</v>
      </c>
      <c r="E155" s="13">
        <v>43019.032453703701</v>
      </c>
      <c r="F155" s="13">
        <v>43019.039895833332</v>
      </c>
      <c r="G155" s="7">
        <v>86</v>
      </c>
      <c r="H155" s="21" t="s">
        <v>339</v>
      </c>
      <c r="I155" s="13">
        <v>43019.066377314812</v>
      </c>
      <c r="J155" s="7">
        <v>0</v>
      </c>
      <c r="K155" s="89" t="str">
        <f t="shared" si="79"/>
        <v>4019/4020</v>
      </c>
      <c r="L155" s="185" t="str">
        <f>VLOOKUP(A155,'Trips&amp;Operators'!$C$1:$G$99911,5,FALSE)</f>
        <v>BIRKHOLZ NADINE</v>
      </c>
      <c r="M155" s="6">
        <f t="shared" si="80"/>
        <v>2.6481481480004732E-2</v>
      </c>
      <c r="N155" s="7">
        <f>24*60*SUM($M155:$M155)</f>
        <v>38.133333331206813</v>
      </c>
      <c r="O155" s="7"/>
      <c r="P155" s="7"/>
      <c r="Q155" s="22"/>
      <c r="R155" s="174"/>
      <c r="S155" s="221">
        <f t="shared" si="73"/>
        <v>1</v>
      </c>
      <c r="T155" s="174" t="str">
        <f t="shared" si="81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04" t="str">
        <f>IF(AA155&lt;VLOOKUP(AG155,Variables!$AC$3:$AD$8,2,FALSE),"Y","N")</f>
        <v>N</v>
      </c>
      <c r="X155" s="204">
        <f t="shared" si="83"/>
        <v>1</v>
      </c>
      <c r="Y155" s="204">
        <f t="shared" si="84"/>
        <v>23.2987</v>
      </c>
      <c r="Z155" s="204">
        <f t="shared" si="85"/>
        <v>1.47E-2</v>
      </c>
      <c r="AA155" s="204">
        <f t="shared" si="86"/>
        <v>23.283999999999999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7"/>
        <v>242</v>
      </c>
      <c r="AE155" s="77" t="str">
        <f t="shared" si="88"/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155" s="74" t="str">
        <f t="shared" si="89"/>
        <v>"C:\Program Files (x86)\AstroGrep\AstroGrep.exe" /e /r /s /spath="%USERPROFILE%\AppData\Local\Temp\OnboardLogs" /stypes="app*4019*20171011*" /stext=" 07:.+((SYSTEM_STATE.+slice.+state.+changed )|(ment ac)|(multiple cpu faults)|(system.+state.+changed )|(\[timeout)|(PRM\|1\|D)|(kpr)|(kdp)|(train st.+moving)|(\|lc)|(penalty))"</v>
      </c>
      <c r="AG155" s="182" t="str">
        <f t="shared" si="90"/>
        <v>EC</v>
      </c>
      <c r="AH155" s="78" t="str">
        <f t="shared" si="91"/>
        <v>"%USERPROFILE%\Documents\GitHub\eaglep3\Utilities\RefineRTDCRunTimes.py" --tripid 242-10 --locoid 4019 --swversion DE.1.0.9.0 --startMP 204:232987 --initTime 2017-10-11T00:46:44 --startdatetime 2017-10-11T00:57:27 --delay 86 --endMP 204:147 --enddatetime 2017-10-11T01:35:35 --enforcementcount 0 &gt;&gt;%USERPROFILE%\Documents\GitHub\eaglep3-reporting\EC\2017-10-10-refined-times.txt</v>
      </c>
      <c r="AI155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ID","value":"242-10"},{"id":16,"name":"Locomotive ID","value":"4019"},{"id":130,"name":"Impact","value":""},{"id":150,"name":"Time of Event (Mountain Time)","value":"01:35:35"},{"id":151,"name":"Denver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93"/>
        <v>start /low /b %USERPROFILE%\Documents\GitHub\eaglep3\Utilities\DownloadLogsFromS3.py --loco 4019 --day 2017-10-11</v>
      </c>
      <c r="AN15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5"/>
        <v>https://d0f6bd738d7f1b3e5a7ca70fe4ff75f0.us-east-1.aws.found.io/app/kibana#/discover/Steve-Slow-Train-Analysis-(2080s-and-2083s)?_g=(refreshInterval:(display:Off,pause:!f,section:0,value:0),time:(from:'2017-10-10T23:46:44-0600',mode:absolute,to:'2017-10-11T02:35:35-0600'))&amp;_a=(columns:!('Message%20ID',Summary),filters:!(),index:'emp_*',interval:auto,query:(query_string:(analyze_wildcard:!t,query:'%22rtdc.l.rtdc.4019%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843</v>
      </c>
      <c r="B156" s="7">
        <v>4052</v>
      </c>
      <c r="C156" s="21" t="s">
        <v>194</v>
      </c>
      <c r="D156" s="21" t="s">
        <v>914</v>
      </c>
      <c r="E156" s="13">
        <v>43019.032453703701</v>
      </c>
      <c r="F156" s="13">
        <v>43019.021435185183</v>
      </c>
      <c r="G156" s="7">
        <v>86</v>
      </c>
      <c r="H156" s="21" t="s">
        <v>339</v>
      </c>
      <c r="I156" s="13">
        <v>43019.046030092592</v>
      </c>
      <c r="J156" s="7">
        <v>0</v>
      </c>
      <c r="K156" s="89" t="str">
        <f t="shared" ref="K156:K157" si="96">IF(ISEVEN(B156),(B156-1)&amp;"/"&amp;B156,B156&amp;"/"&amp;(B156+1))</f>
        <v>4051/4052</v>
      </c>
      <c r="L156" s="185" t="str">
        <f>VLOOKUP(A156,'Trips&amp;Operators'!$C$1:$G$99911,5,FALSE)</f>
        <v>ANDERS STEVEN</v>
      </c>
      <c r="M156" s="6">
        <f t="shared" ref="M156:M157" si="97">I156-F156</f>
        <v>2.4594907408754807E-2</v>
      </c>
      <c r="N156" s="7">
        <f t="shared" ref="N156:N157" si="98">24*60*SUM($M156:$M156)</f>
        <v>35.416666668606922</v>
      </c>
      <c r="O156" s="7"/>
      <c r="P156" s="7"/>
      <c r="Q156" s="22"/>
      <c r="R156" s="174"/>
      <c r="S156" s="221">
        <f t="shared" ref="S156:S157" si="99">1/IF(AG156="EC",12,1)*SUM(U156:U156)</f>
        <v>1</v>
      </c>
      <c r="T156" s="174" t="str">
        <f t="shared" ref="T156:T157" si="100"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04" t="str">
        <f>IF(AA156&lt;VLOOKUP(AG156,Variables!$AC$3:$AD$8,2,FALSE),"Y","N")</f>
        <v>N</v>
      </c>
      <c r="X156" s="204">
        <f t="shared" ref="X156:X157" si="101">VALUE(LEFT(AD156,4))-VALUE(LEFT(AD155,4))</f>
        <v>1</v>
      </c>
      <c r="Y156" s="204">
        <v>4.9099999999999998E-2</v>
      </c>
      <c r="Z156" s="204">
        <v>23.3291</v>
      </c>
      <c r="AA156" s="204">
        <f t="shared" ref="AA156:AA157" si="102">ABS(Z156-Y156)</f>
        <v>23.28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ref="AD156:AD157" si="103">VALUE(LEFT(A156,LEN(A156)-3))</f>
        <v>243</v>
      </c>
      <c r="AE156" s="77" t="str">
        <f t="shared" si="88"/>
        <v>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 &amp; 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</v>
      </c>
      <c r="AF156" s="74" t="str">
        <f t="shared" si="89"/>
        <v>"C:\Program Files (x86)\AstroGrep\AstroGrep.exe" /e /r /s /spath="%USERPROFILE%\AppData\Local\Temp\OnboardLogs" /stypes="app*4052*20171011*" /stext=" 07:.+((SYSTEM_STATE.+slice.+state.+changed )|(ment ac)|(multiple cpu faults)|(system.+state.+changed )|(\[timeout)|(PRM\|1\|D)|(kpr)|(kdp)|(train st.+moving)|(\|lc)|(penalty))"</v>
      </c>
      <c r="AG156" s="182" t="str">
        <f t="shared" ref="AG156:AG157" si="104">DetSubdiv(A156)</f>
        <v>EC</v>
      </c>
      <c r="AH156" s="78" t="str">
        <f t="shared" ref="AH156:AH157" si="10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243-10 --locoid 4052 --swversion DE.1.0.9.0 --startMP 204:232987 --initTime 2017-10-11T00:46:44 --startdatetime 2017-10-11T00:30:52 --delay 86 --endMP 204:147 --enddatetime 2017-10-11T01:06:17 --enforcementcount 0 &gt;&gt;%USERPROFILE%\Documents\GitHub\eaglep3-reporting\EC\2017-10-10-refined-times.txt</v>
      </c>
      <c r="AI156" s="96" t="str">
        <f t="shared" ref="AI156:AI157" si="10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ID","value":"243-10"},{"id":16,"name":"Locomotive ID","value":"4052"},{"id":130,"name":"Impact","value":""},{"id":150,"name":"Time of Event (Mountain Time)","value":"01:06:17"},{"id":151,"name":"Denver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:AM157" si="107">"start /low /b "&amp;dls3logs&amp;" --loco "&amp;B156&amp;" --day "&amp;TEXT(F156,"YYYY-MM-DD")</f>
        <v>start /low /b %USERPROFILE%\Documents\GitHub\eaglep3\Utilities\DownloadLogsFromS3.py --loco 4052 --day 2017-10-11</v>
      </c>
      <c r="AN156" s="151" t="str">
        <f t="shared" ref="AN156:AN157" si="10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:AO157" si="10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-10T23:46:44-0600',mode:absolute,to:'2017-10-11T02:06:17-0600'))&amp;_a=(columns:!('Message%20ID',Summary),filters:!(),index:'emp_*',interval:auto,query:(query_string:(analyze_wildcard:!t,query:'%22rtdc.l.rtdc.4052%22')),sort:!(Time.ISO8601,asc))</v>
      </c>
    </row>
    <row r="157" spans="1:91" s="20" customFormat="1" x14ac:dyDescent="0.25">
      <c r="A157" s="32" t="s">
        <v>848</v>
      </c>
      <c r="B157" s="7">
        <v>4051</v>
      </c>
      <c r="C157" s="21" t="s">
        <v>194</v>
      </c>
      <c r="D157" s="21" t="s">
        <v>914</v>
      </c>
      <c r="E157" s="13">
        <v>43019.032453703701</v>
      </c>
      <c r="F157" s="13">
        <v>43019.060671296298</v>
      </c>
      <c r="G157" s="7">
        <v>86</v>
      </c>
      <c r="H157" s="21" t="s">
        <v>339</v>
      </c>
      <c r="I157" s="13">
        <v>43019.087268518517</v>
      </c>
      <c r="J157" s="7">
        <v>0</v>
      </c>
      <c r="K157" s="89" t="str">
        <f t="shared" si="96"/>
        <v>4051/4052</v>
      </c>
      <c r="L157" s="185" t="str">
        <f>VLOOKUP(A157,'Trips&amp;Operators'!$C$1:$G$99911,5,FALSE)</f>
        <v>ANDERS STEVEN</v>
      </c>
      <c r="M157" s="6">
        <f t="shared" si="97"/>
        <v>2.6597222218697425E-2</v>
      </c>
      <c r="N157" s="7">
        <f t="shared" si="98"/>
        <v>38.299999994924292</v>
      </c>
      <c r="O157" s="7"/>
      <c r="P157" s="7"/>
      <c r="Q157" s="22"/>
      <c r="R157" s="174"/>
      <c r="S157" s="221">
        <f t="shared" si="99"/>
        <v>1</v>
      </c>
      <c r="T157" s="174" t="str">
        <f t="shared" si="10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204" t="str">
        <f>IF(AA157&lt;VLOOKUP(AG157,Variables!$AC$3:$AD$8,2,FALSE),"Y","N")</f>
        <v>N</v>
      </c>
      <c r="X157" s="204">
        <f t="shared" si="101"/>
        <v>1</v>
      </c>
      <c r="Y157" s="204">
        <f t="shared" ref="Y157" si="110">RIGHT(D157,LEN(D157)-4)/10000</f>
        <v>23.2987</v>
      </c>
      <c r="Z157" s="204">
        <f t="shared" ref="Z157" si="111">RIGHT(H157,LEN(H157)-4)/10000</f>
        <v>1.47E-2</v>
      </c>
      <c r="AA157" s="204">
        <f t="shared" si="102"/>
        <v>23.283999999999999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103"/>
        <v>244</v>
      </c>
      <c r="AE157" s="77" t="str">
        <f t="shared" si="88"/>
        <v>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 &amp; 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</v>
      </c>
      <c r="AF157" s="74" t="str">
        <f t="shared" si="89"/>
        <v>"C:\Program Files (x86)\AstroGrep\AstroGrep.exe" /e /r /s /spath="%USERPROFILE%\AppData\Local\Temp\OnboardLogs" /stypes="app*4051*20171011*" /stext=" 08:.+((SYSTEM_STATE.+slice.+state.+changed )|(ment ac)|(multiple cpu faults)|(system.+state.+changed )|(\[timeout)|(PRM\|1\|D)|(kpr)|(kdp)|(train st.+moving)|(\|lc)|(penalty))"</v>
      </c>
      <c r="AG157" s="182" t="str">
        <f t="shared" si="104"/>
        <v>EC</v>
      </c>
      <c r="AH157" s="78" t="str">
        <f t="shared" si="105"/>
        <v>"%USERPROFILE%\Documents\GitHub\eaglep3\Utilities\RefineRTDCRunTimes.py" --tripid 244-10 --locoid 4051 --swversion DE.1.0.9.0 --startMP 204:232987 --initTime 2017-10-11T00:46:44 --startdatetime 2017-10-11T01:27:22 --delay 86 --endMP 204:147 --enddatetime 2017-10-11T02:05:40 --enforcementcount 0 &gt;&gt;%USERPROFILE%\Documents\GitHub\eaglep3-reporting\EC\2017-10-10-refined-times.txt</v>
      </c>
      <c r="AI157" s="96" t="str">
        <f t="shared" si="10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ID","value":"244-10"},{"id":16,"name":"Locomotive ID","value":"4051"},{"id":130,"name":"Impact","value":""},{"id":150,"name":"Time of Event (Mountain Time)","value":"02:05:40"},{"id":151,"name":"Denver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107"/>
        <v>start /low /b %USERPROFILE%\Documents\GitHub\eaglep3\Utilities\DownloadLogsFromS3.py --loco 4051 --day 2017-10-11</v>
      </c>
      <c r="AN157" s="151" t="str">
        <f t="shared" si="10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09"/>
        <v>https://d0f6bd738d7f1b3e5a7ca70fe4ff75f0.us-east-1.aws.found.io/app/kibana#/discover/Steve-Slow-Train-Analysis-(2080s-and-2083s)?_g=(refreshInterval:(display:Off,pause:!f,section:0,value:0),time:(from:'2017-10-10T23:46:44-0600',mode:absolute,to:'2017-10-11T03:05:40-0600'))&amp;_a=(columns:!('Message%20ID',Summary),filters:!(),index:'emp_*',interval:auto,query:(query_string:(analyze_wildcard:!t,query:'%22rtdc.l.rtdc.4051%22')),sort:!(Time.ISO8601,asc))</v>
      </c>
    </row>
    <row r="158" spans="1:91" s="20" customFormat="1" x14ac:dyDescent="0.25">
      <c r="A158" s="32" t="s">
        <v>641</v>
      </c>
      <c r="B158" s="7">
        <v>4059</v>
      </c>
      <c r="C158" s="21" t="s">
        <v>194</v>
      </c>
      <c r="D158" s="21" t="s">
        <v>521</v>
      </c>
      <c r="E158" s="13">
        <v>43018.20894675926</v>
      </c>
      <c r="F158" s="13">
        <v>43018.210775462961</v>
      </c>
      <c r="G158" s="7">
        <v>67</v>
      </c>
      <c r="H158" s="21" t="s">
        <v>953</v>
      </c>
      <c r="I158" s="13">
        <v>43018.226006944446</v>
      </c>
      <c r="J158" s="7">
        <v>0</v>
      </c>
      <c r="K158" s="89" t="str">
        <f t="shared" ref="K158:K189" si="112">IF(ISEVEN(B158),(B158-1)&amp;"/"&amp;B158,B158&amp;"/"&amp;(B158+1))</f>
        <v>4059/4060</v>
      </c>
      <c r="L158" s="185" t="str">
        <f>VLOOKUP(A158,'Trips&amp;Operators'!$C$1:$G$99911,5,FALSE)</f>
        <v>YANG JAN</v>
      </c>
      <c r="M158" s="6">
        <f t="shared" ref="M158:M189" si="113">I158-F158</f>
        <v>1.5231481484079268E-2</v>
      </c>
      <c r="N158" s="7">
        <f t="shared" ref="N158:N191" si="114">24*60*SUM($M158:$M158)</f>
        <v>21.933333337074146</v>
      </c>
      <c r="O158" s="7"/>
      <c r="P158" s="7"/>
      <c r="Q158" s="22"/>
      <c r="R158" s="174"/>
      <c r="S158" s="221">
        <f t="shared" ref="S158:S189" si="115">1/IF(AG158="EC",12,1)*SUM(U158:U158)</f>
        <v>1</v>
      </c>
      <c r="T158" s="174" t="str">
        <f t="shared" ref="T158:T189" si="116"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82"/>
        <v>https://d0f6bd738d7f1b3e5a7ca70fe4ff75f0.us-east-1.aws.found.io/app/kibana#/discover/Steve-Slow-Train-Analysis-(2080s-and-2083s)?_g=(refreshInterval:(display:Off,pause:!f,section:0,value:0),time:(from:'2017-10-10T04:00:53-0600',mode:absolute,to:'2017-10-10T06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04" t="str">
        <f>IF(AA158&lt;VLOOKUP(AG158,Variables!$AC$3:$AD$8,2,FALSE),"Y","N")</f>
        <v>N</v>
      </c>
      <c r="X158" s="204">
        <f>VALUE(LEFT(AD158,4))-VALUE(LEFT(AD155,4))</f>
        <v>558</v>
      </c>
      <c r="Y158" s="204">
        <f t="shared" ref="Y158:Y187" si="117">RIGHT(D158,LEN(D158)-4)/10000</f>
        <v>5.8620999999999999</v>
      </c>
      <c r="Z158" s="204">
        <f t="shared" ref="Z158:Z187" si="118">RIGHT(H158,LEN(H158)-4)/10000</f>
        <v>6.7100000000000007E-2</v>
      </c>
      <c r="AA158" s="204">
        <f t="shared" ref="AA158:AA189" si="119">ABS(Z158-Y158)</f>
        <v>5.7949999999999999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ref="AD158:AD189" si="120">VALUE(LEFT(A158,LEN(A158)-3))</f>
        <v>800</v>
      </c>
      <c r="AE158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58" s="74" t="str">
        <f t="shared" si="89"/>
        <v>"C:\Program Files (x86)\AstroGrep\AstroGrep.exe" /e /r /s /spath="%USERPROFILE%\AppData\Local\Temp\OnboardLogs" /stypes="app*4059*20171010*" /stext=" 11:.+((SYSTEM_STATE.+slice.+state.+changed )|(ment ac)|(multiple cpu faults)|(system.+state.+changed )|(\[timeout)|(PRM\|1\|D)|(kpr)|(kdp)|(train st.+moving)|(\|lc)|(penalty))"</v>
      </c>
      <c r="AG158" s="182" t="str">
        <f t="shared" ref="AG158:AG189" si="121">DetSubdiv(A158)</f>
        <v>NW</v>
      </c>
      <c r="AH158" s="78" t="str">
        <f t="shared" si="91"/>
        <v>"%USERPROFILE%\Documents\GitHub\eaglep3\Utilities\RefineRTDCRunTimes.py" --tripid 800-10 --locoid 4059 --swversion DE.1.0.9.0 --startMP 300:58621 --initTime 2017-10-10T05:00:53 --startdatetime 2017-10-10T05:03:31 --delay 67 --endMP 204:671 --enddatetime 2017-10-10T05:25:27 --enforcementcount 0 &gt;&gt;%USERPROFILE%\Documents\GitHub\eaglep3-reporting\EC\2017-10-10-refined-times.txt</v>
      </c>
      <c r="AI15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{"issue":{"subject":"","project_id":79,"tracker_id":40,"status_id":1,"priority_id":2,"assigned_to_id":338,"start_date":"2017-10-10","description":"","custom_fields":[{"id":1,"name":"Subdivision","value":"NW"},{"id":4,"name":"Milepost","value":"0.0671"},{"id":17,"name":"Train ID","value":"800-10"},{"id":16,"name":"Locomotive ID","value":"4059"},{"id":130,"name":"Impact","value":""},{"id":150,"name":"Time of Event (Mountain Time)","value":"05:25:27"},{"id":151,"name":"Denver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93"/>
        <v>start /low /b %USERPROFILE%\Documents\GitHub\eaglep3\Utilities\DownloadLogsFromS3.py --loco 4059 --day 2017-10-10</v>
      </c>
      <c r="AN15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5"/>
        <v>https://d0f6bd738d7f1b3e5a7ca70fe4ff75f0.us-east-1.aws.found.io/app/kibana#/discover/Steve-Slow-Train-Analysis-(2080s-and-2083s)?_g=(refreshInterval:(display:Off,pause:!f,section:0,value:0),time:(from:'2017-10-10T04:00:53-0600',mode:absolute,to:'2017-10-10T06:25:27-0600'))&amp;_a=(columns:!('Message%20ID',Summary),filters:!(),index:'emp_*',interval:auto,query:(query_string:(analyze_wildcard:!t,query:'%22rtdc.l.rtdc.4059%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4060</v>
      </c>
      <c r="C159" s="21" t="s">
        <v>194</v>
      </c>
      <c r="D159" s="21" t="s">
        <v>954</v>
      </c>
      <c r="E159" s="13">
        <v>43018.231736111113</v>
      </c>
      <c r="F159" s="13">
        <v>43018.236018518517</v>
      </c>
      <c r="G159" s="7">
        <v>60</v>
      </c>
      <c r="H159" s="21" t="s">
        <v>524</v>
      </c>
      <c r="I159" s="13">
        <v>43018.246180555558</v>
      </c>
      <c r="J159" s="7">
        <v>0</v>
      </c>
      <c r="K159" s="89" t="str">
        <f t="shared" si="112"/>
        <v>4059/4060</v>
      </c>
      <c r="L159" s="185" t="str">
        <f>VLOOKUP(A159,'Trips&amp;Operators'!$C$1:$G$99911,5,FALSE)</f>
        <v>YANG JAN</v>
      </c>
      <c r="M159" s="6">
        <f t="shared" si="113"/>
        <v>1.0162037040572613E-2</v>
      </c>
      <c r="N159" s="7">
        <f t="shared" si="114"/>
        <v>14.633333338424563</v>
      </c>
      <c r="O159" s="7"/>
      <c r="P159" s="7"/>
      <c r="Q159" s="22"/>
      <c r="R159" s="174"/>
      <c r="S159" s="221">
        <f t="shared" si="115"/>
        <v>1</v>
      </c>
      <c r="T159" s="174" t="str">
        <f t="shared" si="116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82"/>
        <v>https://d0f6bd738d7f1b3e5a7ca70fe4ff75f0.us-east-1.aws.found.io/app/kibana#/discover/Steve-Slow-Train-Analysis-(2080s-and-2083s)?_g=(refreshInterval:(display:Off,pause:!f,section:0,value:0),time:(from:'2017-10-10T04:33:42-0600',mode:absolute,to:'2017-10-10T06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04" t="str">
        <f>IF(AA159&lt;VLOOKUP(AG159,Variables!$AC$3:$AD$8,2,FALSE),"Y","N")</f>
        <v>N</v>
      </c>
      <c r="X159" s="204">
        <f t="shared" ref="X159:X195" si="122">VALUE(LEFT(AD159,4))-VALUE(LEFT(AD158,4))</f>
        <v>1</v>
      </c>
      <c r="Y159" s="204">
        <f t="shared" si="117"/>
        <v>9.64E-2</v>
      </c>
      <c r="Z159" s="204">
        <f t="shared" si="118"/>
        <v>5.8939000000000004</v>
      </c>
      <c r="AA159" s="204">
        <f t="shared" si="119"/>
        <v>5.7975000000000003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120"/>
        <v>801</v>
      </c>
      <c r="AE159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59" s="74" t="str">
        <f t="shared" si="89"/>
        <v>"C:\Program Files (x86)\AstroGrep\AstroGrep.exe" /e /r /s /spath="%USERPROFILE%\AppData\Local\Temp\OnboardLogs" /stypes="app*4060*20171010*" /stext=" 11:.+((SYSTEM_STATE.+slice.+state.+changed )|(ment ac)|(multiple cpu faults)|(system.+state.+changed )|(\[timeout)|(PRM\|1\|D)|(kpr)|(kdp)|(train st.+moving)|(\|lc)|(penalty))"</v>
      </c>
      <c r="AG159" s="182" t="str">
        <f t="shared" si="121"/>
        <v>NW</v>
      </c>
      <c r="AH159" s="78" t="str">
        <f t="shared" si="91"/>
        <v>"%USERPROFILE%\Documents\GitHub\eaglep3\Utilities\RefineRTDCRunTimes.py" --tripid 801-10 --locoid 4060 --swversion DE.1.0.9.0 --startMP 204:964 --initTime 2017-10-10T05:33:42 --startdatetime 2017-10-10T05:39:52 --delay 60 --endMP 300:58939 --enddatetime 2017-10-10T05:54:30 --enforcementcount 0 &gt;&gt;%USERPROFILE%\Documents\GitHub\eaglep3-reporting\EC\2017-10-10-refined-times.txt</v>
      </c>
      <c r="AI15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ID","value":"801-10"},{"id":16,"name":"Locomotive ID","value":"4060"},{"id":130,"name":"Impact","value":""},{"id":150,"name":"Time of Event (Mountain Time)","value":"05:54:30"},{"id":151,"name":"Denver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93"/>
        <v>start /low /b %USERPROFILE%\Documents\GitHub\eaglep3\Utilities\DownloadLogsFromS3.py --loco 4060 --day 2017-10-10</v>
      </c>
      <c r="AN15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5"/>
        <v>https://d0f6bd738d7f1b3e5a7ca70fe4ff75f0.us-east-1.aws.found.io/app/kibana#/discover/Steve-Slow-Train-Analysis-(2080s-and-2083s)?_g=(refreshInterval:(display:Off,pause:!f,section:0,value:0),time:(from:'2017-10-10T04:33:42-0600',mode:absolute,to:'2017-10-10T06:54:30-0600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655</v>
      </c>
      <c r="B160" s="7">
        <v>4059</v>
      </c>
      <c r="C160" s="21" t="s">
        <v>194</v>
      </c>
      <c r="D160" s="21" t="s">
        <v>521</v>
      </c>
      <c r="E160" s="13">
        <v>43018.247777777775</v>
      </c>
      <c r="F160" s="13">
        <v>43018.259120370371</v>
      </c>
      <c r="G160" s="7">
        <v>59</v>
      </c>
      <c r="H160" s="21" t="s">
        <v>429</v>
      </c>
      <c r="I160" s="13">
        <v>43018.267384259256</v>
      </c>
      <c r="J160" s="7">
        <v>0</v>
      </c>
      <c r="K160" s="89" t="str">
        <f t="shared" si="112"/>
        <v>4059/4060</v>
      </c>
      <c r="L160" s="185" t="str">
        <f>VLOOKUP(A160,'Trips&amp;Operators'!$C$1:$G$99911,5,FALSE)</f>
        <v>YANG JAN</v>
      </c>
      <c r="M160" s="6">
        <f t="shared" si="113"/>
        <v>8.2638888852670789E-3</v>
      </c>
      <c r="N160" s="7">
        <f t="shared" si="114"/>
        <v>11.899999994784594</v>
      </c>
      <c r="O160" s="7"/>
      <c r="P160" s="7"/>
      <c r="Q160" s="22"/>
      <c r="R160" s="174"/>
      <c r="S160" s="221">
        <f t="shared" si="115"/>
        <v>1</v>
      </c>
      <c r="T160" s="174" t="str">
        <f t="shared" si="116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82"/>
        <v>https://d0f6bd738d7f1b3e5a7ca70fe4ff75f0.us-east-1.aws.found.io/app/kibana#/discover/Steve-Slow-Train-Analysis-(2080s-and-2083s)?_g=(refreshInterval:(display:Off,pause:!f,section:0,value:0),time:(from:'2017-10-10T04:56:48-0600',mode:absolute,to:'2017-10-10T07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04" t="str">
        <f>IF(AA160&lt;VLOOKUP(AG160,Variables!$AC$3:$AD$8,2,FALSE),"Y","N")</f>
        <v>N</v>
      </c>
      <c r="X160" s="204">
        <f t="shared" si="122"/>
        <v>1</v>
      </c>
      <c r="Y160" s="204">
        <f t="shared" si="117"/>
        <v>5.8620999999999999</v>
      </c>
      <c r="Z160" s="204">
        <f t="shared" si="118"/>
        <v>6.9400000000000003E-2</v>
      </c>
      <c r="AA160" s="204">
        <f t="shared" si="119"/>
        <v>5.7927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120"/>
        <v>802</v>
      </c>
      <c r="AE160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0" s="74" t="str">
        <f t="shared" si="89"/>
        <v>"C:\Program Files (x86)\AstroGrep\AstroGrep.exe" /e /r /s /spath="%USERPROFILE%\AppData\Local\Temp\OnboardLogs" /stypes="app*4059*20171010*" /stext=" 12:.+((SYSTEM_STATE.+slice.+state.+changed )|(ment ac)|(multiple cpu faults)|(system.+state.+changed )|(\[timeout)|(PRM\|1\|D)|(kpr)|(kdp)|(train st.+moving)|(\|lc)|(penalty))"</v>
      </c>
      <c r="AG160" s="182" t="str">
        <f t="shared" si="121"/>
        <v>NW</v>
      </c>
      <c r="AH160" s="78" t="str">
        <f t="shared" si="91"/>
        <v>"%USERPROFILE%\Documents\GitHub\eaglep3\Utilities\RefineRTDCRunTimes.py" --tripid 802-10 --locoid 4059 --swversion DE.1.0.9.0 --startMP 300:58621 --initTime 2017-10-10T05:56:48 --startdatetime 2017-10-10T06:13:08 --delay 59 --endMP 204:694 --enddatetime 2017-10-10T06:25:02 --enforcementcount 0 &gt;&gt;%USERPROFILE%\Documents\GitHub\eaglep3-reporting\EC\2017-10-10-refined-times.txt</v>
      </c>
      <c r="AI16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{"issue":{"subject":"","project_id":79,"tracker_id":40,"status_id":1,"priority_id":2,"assigned_to_id":338,"start_date":"2017-10-10","description":"","custom_fields":[{"id":1,"name":"Subdivision","value":"NW"},{"id":4,"name":"Milepost","value":"0.0694"},{"id":17,"name":"Train ID","value":"802-10"},{"id":16,"name":"Locomotive ID","value":"4059"},{"id":130,"name":"Impact","value":""},{"id":150,"name":"Time of Event (Mountain Time)","value":"06:25:02"},{"id":151,"name":"Denver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93"/>
        <v>start /low /b %USERPROFILE%\Documents\GitHub\eaglep3\Utilities\DownloadLogsFromS3.py --loco 4059 --day 2017-10-10</v>
      </c>
      <c r="AN16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5"/>
        <v>https://d0f6bd738d7f1b3e5a7ca70fe4ff75f0.us-east-1.aws.found.io/app/kibana#/discover/Steve-Slow-Train-Analysis-(2080s-and-2083s)?_g=(refreshInterval:(display:Off,pause:!f,section:0,value:0),time:(from:'2017-10-10T04:56:48-0600',mode:absolute,to:'2017-10-10T07:25:02-0600'))&amp;_a=(columns:!('Message%20ID',Summary),filters:!(),index:'emp_*',interval:auto,query:(query_string:(analyze_wildcard:!t,query:'%22rtdc.l.rtdc.4059%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659</v>
      </c>
      <c r="B161" s="7">
        <v>4036</v>
      </c>
      <c r="C161" s="21" t="s">
        <v>194</v>
      </c>
      <c r="D161" s="21" t="s">
        <v>490</v>
      </c>
      <c r="E161" s="13">
        <v>43018.250069444446</v>
      </c>
      <c r="F161" s="13">
        <v>43018.256435185183</v>
      </c>
      <c r="G161" s="7">
        <v>66</v>
      </c>
      <c r="H161" s="21" t="s">
        <v>955</v>
      </c>
      <c r="I161" s="13">
        <v>43018.267245370371</v>
      </c>
      <c r="J161" s="7">
        <v>0</v>
      </c>
      <c r="K161" s="89" t="str">
        <f t="shared" si="112"/>
        <v>4035/4036</v>
      </c>
      <c r="L161" s="185" t="str">
        <f>VLOOKUP(A161,'Trips&amp;Operators'!$C$1:$G$99911,5,FALSE)</f>
        <v>FORTUNATO FRANK</v>
      </c>
      <c r="M161" s="6">
        <f t="shared" si="113"/>
        <v>1.0810185187438037E-2</v>
      </c>
      <c r="N161" s="7">
        <f t="shared" si="114"/>
        <v>15.566666669910774</v>
      </c>
      <c r="O161" s="7"/>
      <c r="P161" s="7"/>
      <c r="Q161" s="22"/>
      <c r="R161" s="174"/>
      <c r="S161" s="221">
        <f t="shared" si="115"/>
        <v>1</v>
      </c>
      <c r="T161" s="174" t="str">
        <f t="shared" si="116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2"/>
        <v>https://d0f6bd738d7f1b3e5a7ca70fe4ff75f0.us-east-1.aws.found.io/app/kibana#/discover/Steve-Slow-Train-Analysis-(2080s-and-2083s)?_g=(refreshInterval:(display:Off,pause:!f,section:0,value:0),time:(from:'2017-10-10T05:00:06-0600',mode:absolute,to:'2017-10-10T07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1" s="204" t="str">
        <f>IF(AA161&lt;VLOOKUP(AG161,Variables!$AC$3:$AD$8,2,FALSE),"Y","N")</f>
        <v>N</v>
      </c>
      <c r="X161" s="204">
        <f t="shared" si="122"/>
        <v>1</v>
      </c>
      <c r="Y161" s="204">
        <f t="shared" si="117"/>
        <v>9.9199999999999997E-2</v>
      </c>
      <c r="Z161" s="204">
        <f t="shared" si="118"/>
        <v>5.8979999999999997</v>
      </c>
      <c r="AA161" s="204">
        <f t="shared" si="119"/>
        <v>5.7988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120"/>
        <v>803</v>
      </c>
      <c r="AE16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1" s="74" t="str">
        <f t="shared" si="89"/>
        <v>"C:\Program Files (x86)\AstroGrep\AstroGrep.exe" /e /r /s /spath="%USERPROFILE%\AppData\Local\Temp\OnboardLogs" /stypes="app*4036*20171010*" /stext=" 12:.+((SYSTEM_STATE.+slice.+state.+changed )|(ment ac)|(multiple cpu faults)|(system.+state.+changed )|(\[timeout)|(PRM\|1\|D)|(kpr)|(kdp)|(train st.+moving)|(\|lc)|(penalty))"</v>
      </c>
      <c r="AG161" s="182" t="str">
        <f t="shared" si="121"/>
        <v>NW</v>
      </c>
      <c r="AH161" s="78" t="str">
        <f t="shared" si="91"/>
        <v>"%USERPROFILE%\Documents\GitHub\eaglep3\Utilities\RefineRTDCRunTimes.py" --tripid 803-10 --locoid 4036 --swversion DE.1.0.9.0 --startMP 204:992 --initTime 2017-10-10T06:00:06 --startdatetime 2017-10-10T06:09:16 --delay 66 --endMP 300:58980 --enddatetime 2017-10-10T06:24:50 --enforcementcount 0 &gt;&gt;%USERPROFILE%\Documents\GitHub\eaglep3-reporting\EC\2017-10-10-refined-times.txt</v>
      </c>
      <c r="AI16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{"issue":{"subject":"","project_id":79,"tracker_id":40,"status_id":1,"priority_id":2,"assigned_to_id":338,"start_date":"2017-10-10","description":"","custom_fields":[{"id":1,"name":"Subdivision","value":"NW"},{"id":4,"name":"Milepost","value":"5.898"},{"id":17,"name":"Train ID","value":"803-10"},{"id":16,"name":"Locomotive ID","value":"4036"},{"id":130,"name":"Impact","value":""},{"id":150,"name":"Time of Event (Mountain Time)","value":"06:24:50"},{"id":151,"name":"Denver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93"/>
        <v>start /low /b %USERPROFILE%\Documents\GitHub\eaglep3\Utilities\DownloadLogsFromS3.py --loco 4036 --day 2017-10-10</v>
      </c>
      <c r="AN16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5"/>
        <v>https://d0f6bd738d7f1b3e5a7ca70fe4ff75f0.us-east-1.aws.found.io/app/kibana#/discover/Steve-Slow-Train-Analysis-(2080s-and-2083s)?_g=(refreshInterval:(display:Off,pause:!f,section:0,value:0),time:(from:'2017-10-10T05:00:06-0600',mode:absolute,to:'2017-10-10T07:24:50-0600'))&amp;_a=(columns:!('Message%20ID',Summary),filters:!(),index:'emp_*',interval:auto,query:(query_string:(analyze_wildcard:!t,query:'%22rtdc.l.rtdc.4036%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663</v>
      </c>
      <c r="B162" s="7">
        <v>4035</v>
      </c>
      <c r="C162" s="21" t="s">
        <v>194</v>
      </c>
      <c r="D162" s="21" t="s">
        <v>956</v>
      </c>
      <c r="E162" s="13">
        <v>43018.268599537034</v>
      </c>
      <c r="F162" s="13">
        <v>43018.279583333337</v>
      </c>
      <c r="G162" s="7">
        <v>49</v>
      </c>
      <c r="H162" s="21" t="s">
        <v>588</v>
      </c>
      <c r="I162" s="13">
        <v>43018.28837962963</v>
      </c>
      <c r="J162" s="7">
        <v>0</v>
      </c>
      <c r="K162" s="89" t="str">
        <f t="shared" si="112"/>
        <v>4035/4036</v>
      </c>
      <c r="L162" s="185" t="str">
        <f>VLOOKUP(A162,'Trips&amp;Operators'!$C$1:$G$99911,5,FALSE)</f>
        <v>FORTUNATO FRANK</v>
      </c>
      <c r="M162" s="6">
        <f t="shared" si="113"/>
        <v>8.7962962934398092E-3</v>
      </c>
      <c r="N162" s="7">
        <f t="shared" si="114"/>
        <v>12.666666662553325</v>
      </c>
      <c r="O162" s="7"/>
      <c r="P162" s="7"/>
      <c r="Q162" s="22"/>
      <c r="R162" s="174"/>
      <c r="S162" s="221">
        <f t="shared" si="115"/>
        <v>1</v>
      </c>
      <c r="T162" s="174" t="str">
        <f t="shared" si="11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2"/>
        <v>https://d0f6bd738d7f1b3e5a7ca70fe4ff75f0.us-east-1.aws.found.io/app/kibana#/discover/Steve-Slow-Train-Analysis-(2080s-and-2083s)?_g=(refreshInterval:(display:Off,pause:!f,section:0,value:0),time:(from:'2017-10-10T05:26:47-0600',mode:absolute,to:'2017-10-10T07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2" s="204" t="str">
        <f>IF(AA162&lt;VLOOKUP(AG162,Variables!$AC$3:$AD$8,2,FALSE),"Y","N")</f>
        <v>N</v>
      </c>
      <c r="X162" s="204">
        <f t="shared" si="122"/>
        <v>1</v>
      </c>
      <c r="Y162" s="204">
        <f t="shared" si="117"/>
        <v>5.8672000000000004</v>
      </c>
      <c r="Z162" s="204">
        <f t="shared" si="118"/>
        <v>6.6799999999999998E-2</v>
      </c>
      <c r="AA162" s="204">
        <f t="shared" si="119"/>
        <v>5.8004000000000007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120"/>
        <v>804</v>
      </c>
      <c r="AE16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62" s="74" t="str">
        <f t="shared" si="89"/>
        <v>"C:\Program Files (x86)\AstroGrep\AstroGrep.exe" /e /r /s /spath="%USERPROFILE%\AppData\Local\Temp\OnboardLogs" /stypes="app*4035*20171010*" /stext=" 12:.+((SYSTEM_STATE.+slice.+state.+changed )|(ment ac)|(multiple cpu faults)|(system.+state.+changed )|(\[timeout)|(PRM\|1\|D)|(kpr)|(kdp)|(train st.+moving)|(\|lc)|(penalty))"</v>
      </c>
      <c r="AG162" s="182" t="str">
        <f t="shared" si="121"/>
        <v>NW</v>
      </c>
      <c r="AH162" s="78" t="str">
        <f t="shared" si="91"/>
        <v>"%USERPROFILE%\Documents\GitHub\eaglep3\Utilities\RefineRTDCRunTimes.py" --tripid 804-10 --locoid 4035 --swversion DE.1.0.9.0 --startMP 300:58672 --initTime 2017-10-10T06:26:47 --startdatetime 2017-10-10T06:42:36 --delay 49 --endMP 204:668 --enddatetime 2017-10-10T06:55:16 --enforcementcount 0 &gt;&gt;%USERPROFILE%\Documents\GitHub\eaglep3-reporting\EC\2017-10-10-refined-times.txt</v>
      </c>
      <c r="AI16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{"issue":{"subject":"","project_id":79,"tracker_id":40,"status_id":1,"priority_id":2,"assigned_to_id":338,"start_date":"2017-10-10","description":"","custom_fields":[{"id":1,"name":"Subdivision","value":"NW"},{"id":4,"name":"Milepost","value":"0.0668"},{"id":17,"name":"Train ID","value":"804-10"},{"id":16,"name":"Locomotive ID","value":"4035"},{"id":130,"name":"Impact","value":""},{"id":150,"name":"Time of Event (Mountain Time)","value":"06:55:16"},{"id":151,"name":"Denver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93"/>
        <v>start /low /b %USERPROFILE%\Documents\GitHub\eaglep3\Utilities\DownloadLogsFromS3.py --loco 4035 --day 2017-10-10</v>
      </c>
      <c r="AN16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5"/>
        <v>https://d0f6bd738d7f1b3e5a7ca70fe4ff75f0.us-east-1.aws.found.io/app/kibana#/discover/Steve-Slow-Train-Analysis-(2080s-and-2083s)?_g=(refreshInterval:(display:Off,pause:!f,section:0,value:0),time:(from:'2017-10-10T05:26:47-0600',mode:absolute,to:'2017-10-10T07:55:16-0600'))&amp;_a=(columns:!('Message%20ID',Summary),filters:!(),index:'emp_*',interval:auto,query:(query_string:(analyze_wildcard:!t,query:'%22rtdc.l.rtdc.4035%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664</v>
      </c>
      <c r="B163" s="7">
        <v>4060</v>
      </c>
      <c r="C163" s="21" t="s">
        <v>194</v>
      </c>
      <c r="D163" s="21" t="s">
        <v>428</v>
      </c>
      <c r="E163" s="13">
        <v>43018.272835648146</v>
      </c>
      <c r="F163" s="13">
        <v>43018.277326388888</v>
      </c>
      <c r="G163" s="7">
        <v>73</v>
      </c>
      <c r="H163" s="21" t="s">
        <v>578</v>
      </c>
      <c r="I163" s="13">
        <v>43018.287743055553</v>
      </c>
      <c r="J163" s="7">
        <v>0</v>
      </c>
      <c r="K163" s="89" t="str">
        <f t="shared" si="112"/>
        <v>4059/4060</v>
      </c>
      <c r="L163" s="185" t="str">
        <f>VLOOKUP(A163,'Trips&amp;Operators'!$C$1:$G$99911,5,FALSE)</f>
        <v>YANG JAN</v>
      </c>
      <c r="M163" s="6">
        <f t="shared" si="113"/>
        <v>1.0416666664241347E-2</v>
      </c>
      <c r="N163" s="7">
        <f t="shared" si="114"/>
        <v>14.99999999650754</v>
      </c>
      <c r="O163" s="7"/>
      <c r="P163" s="7"/>
      <c r="Q163" s="22"/>
      <c r="R163" s="174"/>
      <c r="S163" s="221">
        <f t="shared" si="115"/>
        <v>1</v>
      </c>
      <c r="T163" s="174" t="str">
        <f t="shared" si="11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2"/>
        <v>https://d0f6bd738d7f1b3e5a7ca70fe4ff75f0.us-east-1.aws.found.io/app/kibana#/discover/Steve-Slow-Train-Analysis-(2080s-and-2083s)?_g=(refreshInterval:(display:Off,pause:!f,section:0,value:0),time:(from:'2017-10-10T05:32:53-0600',mode:absolute,to:'2017-10-10T07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204" t="str">
        <f>IF(AA163&lt;VLOOKUP(AG163,Variables!$AC$3:$AD$8,2,FALSE),"Y","N")</f>
        <v>N</v>
      </c>
      <c r="X163" s="204">
        <f t="shared" si="122"/>
        <v>1</v>
      </c>
      <c r="Y163" s="204">
        <f t="shared" si="117"/>
        <v>9.8299999999999998E-2</v>
      </c>
      <c r="Z163" s="204">
        <f t="shared" si="118"/>
        <v>5.8944000000000001</v>
      </c>
      <c r="AA163" s="204">
        <f t="shared" si="119"/>
        <v>5.7961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120"/>
        <v>805</v>
      </c>
      <c r="AE163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63" s="74" t="str">
        <f t="shared" si="89"/>
        <v>"C:\Program Files (x86)\AstroGrep\AstroGrep.exe" /e /r /s /spath="%USERPROFILE%\AppData\Local\Temp\OnboardLogs" /stypes="app*4060*20171010*" /stext=" 12:.+((SYSTEM_STATE.+slice.+state.+changed )|(ment ac)|(multiple cpu faults)|(system.+state.+changed )|(\[timeout)|(PRM\|1\|D)|(kpr)|(kdp)|(train st.+moving)|(\|lc)|(penalty))"</v>
      </c>
      <c r="AG163" s="182" t="str">
        <f t="shared" si="121"/>
        <v>NW</v>
      </c>
      <c r="AH163" s="78" t="str">
        <f t="shared" si="91"/>
        <v>"%USERPROFILE%\Documents\GitHub\eaglep3\Utilities\RefineRTDCRunTimes.py" --tripid 805-10 --locoid 4060 --swversion DE.1.0.9.0 --startMP 204:983 --initTime 2017-10-10T06:32:53 --startdatetime 2017-10-10T06:39:21 --delay 73 --endMP 300:58944 --enddatetime 2017-10-10T06:54:21 --enforcementcount 0 &gt;&gt;%USERPROFILE%\Documents\GitHub\eaglep3-reporting\EC\2017-10-10-refined-times.txt</v>
      </c>
      <c r="AI16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{"issue":{"subject":"","project_id":79,"tracker_id":40,"status_id":1,"priority_id":2,"assigned_to_id":338,"start_date":"2017-10-10","description":"","custom_fields":[{"id":1,"name":"Subdivision","value":"NW"},{"id":4,"name":"Milepost","value":"5.8944"},{"id":17,"name":"Train ID","value":"805-10"},{"id":16,"name":"Locomotive ID","value":"4060"},{"id":130,"name":"Impact","value":""},{"id":150,"name":"Time of Event (Mountain Time)","value":"06:54:21"},{"id":151,"name":"Denver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93"/>
        <v>start /low /b %USERPROFILE%\Documents\GitHub\eaglep3\Utilities\DownloadLogsFromS3.py --loco 4060 --day 2017-10-10</v>
      </c>
      <c r="AN16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5"/>
        <v>https://d0f6bd738d7f1b3e5a7ca70fe4ff75f0.us-east-1.aws.found.io/app/kibana#/discover/Steve-Slow-Train-Analysis-(2080s-and-2083s)?_g=(refreshInterval:(display:Off,pause:!f,section:0,value:0),time:(from:'2017-10-10T05:32:53-0600',mode:absolute,to:'2017-10-10T07:54:21-0600'))&amp;_a=(columns:!('Message%20ID',Summary),filters:!(),index:'emp_*',interval:auto,query:(query_string:(analyze_wildcard:!t,query:'%22rtdc.l.rtdc.4060%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674</v>
      </c>
      <c r="B164" s="7">
        <v>4059</v>
      </c>
      <c r="C164" s="21" t="s">
        <v>194</v>
      </c>
      <c r="D164" s="21" t="s">
        <v>522</v>
      </c>
      <c r="E164" s="13">
        <v>43018.289247685185</v>
      </c>
      <c r="F164" s="13">
        <v>43018.300740740742</v>
      </c>
      <c r="G164" s="7">
        <v>56</v>
      </c>
      <c r="H164" s="21" t="s">
        <v>957</v>
      </c>
      <c r="I164" s="13">
        <v>43018.308749999997</v>
      </c>
      <c r="J164" s="7">
        <v>0</v>
      </c>
      <c r="K164" s="89" t="str">
        <f t="shared" si="112"/>
        <v>4059/4060</v>
      </c>
      <c r="L164" s="185" t="str">
        <f>VLOOKUP(A164,'Trips&amp;Operators'!$C$1:$G$99911,5,FALSE)</f>
        <v>YANG JAN</v>
      </c>
      <c r="M164" s="6">
        <f t="shared" si="113"/>
        <v>8.0092592543223873E-3</v>
      </c>
      <c r="N164" s="7">
        <f t="shared" si="114"/>
        <v>11.533333326224238</v>
      </c>
      <c r="O164" s="7"/>
      <c r="P164" s="7"/>
      <c r="Q164" s="22"/>
      <c r="R164" s="174"/>
      <c r="S164" s="221">
        <f t="shared" si="115"/>
        <v>1</v>
      </c>
      <c r="T164" s="174" t="str">
        <f t="shared" si="11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2"/>
        <v>https://d0f6bd738d7f1b3e5a7ca70fe4ff75f0.us-east-1.aws.found.io/app/kibana#/discover/Steve-Slow-Train-Analysis-(2080s-and-2083s)?_g=(refreshInterval:(display:Off,pause:!f,section:0,value:0),time:(from:'2017-10-10T05:56:31-0600',mode:absolute,to:'2017-10-10T08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204" t="str">
        <f>IF(AA164&lt;VLOOKUP(AG164,Variables!$AC$3:$AD$8,2,FALSE),"Y","N")</f>
        <v>N</v>
      </c>
      <c r="X164" s="204">
        <f t="shared" si="122"/>
        <v>1</v>
      </c>
      <c r="Y164" s="204">
        <f t="shared" si="117"/>
        <v>5.8624000000000001</v>
      </c>
      <c r="Z164" s="204">
        <f t="shared" si="118"/>
        <v>6.8900000000000003E-2</v>
      </c>
      <c r="AA164" s="204">
        <f t="shared" si="119"/>
        <v>5.7934999999999999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120"/>
        <v>806</v>
      </c>
      <c r="AE164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4" s="74" t="str">
        <f t="shared" si="89"/>
        <v>"C:\Program Files (x86)\AstroGrep\AstroGrep.exe" /e /r /s /spath="%USERPROFILE%\AppData\Local\Temp\OnboardLogs" /stypes="app*4059*20171010*" /stext=" 13:.+((SYSTEM_STATE.+slice.+state.+changed )|(ment ac)|(multiple cpu faults)|(system.+state.+changed )|(\[timeout)|(PRM\|1\|D)|(kpr)|(kdp)|(train st.+moving)|(\|lc)|(penalty))"</v>
      </c>
      <c r="AG164" s="182" t="str">
        <f t="shared" si="121"/>
        <v>NW</v>
      </c>
      <c r="AH164" s="78" t="str">
        <f t="shared" si="91"/>
        <v>"%USERPROFILE%\Documents\GitHub\eaglep3\Utilities\RefineRTDCRunTimes.py" --tripid 806-10 --locoid 4059 --swversion DE.1.0.9.0 --startMP 300:58624 --initTime 2017-10-10T06:56:31 --startdatetime 2017-10-10T07:13:04 --delay 56 --endMP 204:689 --enddatetime 2017-10-10T07:24:36 --enforcementcount 0 &gt;&gt;%USERPROFILE%\Documents\GitHub\eaglep3-reporting\EC\2017-10-10-refined-times.txt</v>
      </c>
      <c r="AI16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{"issue":{"subject":"","project_id":79,"tracker_id":40,"status_id":1,"priority_id":2,"assigned_to_id":338,"start_date":"2017-10-10","description":"","custom_fields":[{"id":1,"name":"Subdivision","value":"NW"},{"id":4,"name":"Milepost","value":"0.0689"},{"id":17,"name":"Train ID","value":"806-10"},{"id":16,"name":"Locomotive ID","value":"4059"},{"id":130,"name":"Impact","value":""},{"id":150,"name":"Time of Event (Mountain Time)","value":"07:24:36"},{"id":151,"name":"Denver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93"/>
        <v>start /low /b %USERPROFILE%\Documents\GitHub\eaglep3\Utilities\DownloadLogsFromS3.py --loco 4059 --day 2017-10-10</v>
      </c>
      <c r="AN16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5"/>
        <v>https://d0f6bd738d7f1b3e5a7ca70fe4ff75f0.us-east-1.aws.found.io/app/kibana#/discover/Steve-Slow-Train-Analysis-(2080s-and-2083s)?_g=(refreshInterval:(display:Off,pause:!f,section:0,value:0),time:(from:'2017-10-10T05:56:31-0600',mode:absolute,to:'2017-10-10T08:24:36-0600'))&amp;_a=(columns:!('Message%20ID',Summary),filters:!(),index:'emp_*',interval:auto,query:(query_string:(analyze_wildcard:!t,query:'%22rtdc.l.rtdc.4059%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675</v>
      </c>
      <c r="B165" s="7">
        <v>4036</v>
      </c>
      <c r="C165" s="21" t="s">
        <v>194</v>
      </c>
      <c r="D165" s="21" t="s">
        <v>411</v>
      </c>
      <c r="E165" s="13">
        <v>43018.289826388886</v>
      </c>
      <c r="F165" s="13">
        <v>43018.298136574071</v>
      </c>
      <c r="G165" s="7">
        <v>51</v>
      </c>
      <c r="H165" s="21" t="s">
        <v>575</v>
      </c>
      <c r="I165" s="13">
        <v>43018.308692129627</v>
      </c>
      <c r="J165" s="7">
        <v>0</v>
      </c>
      <c r="K165" s="89" t="str">
        <f t="shared" si="112"/>
        <v>4035/4036</v>
      </c>
      <c r="L165" s="185" t="str">
        <f>VLOOKUP(A165,'Trips&amp;Operators'!$C$1:$G$99911,5,FALSE)</f>
        <v>FORTUNATO FRANK</v>
      </c>
      <c r="M165" s="6">
        <f t="shared" si="113"/>
        <v>1.0555555556493346E-2</v>
      </c>
      <c r="N165" s="7">
        <f t="shared" si="114"/>
        <v>15.200000001350418</v>
      </c>
      <c r="O165" s="7"/>
      <c r="P165" s="7"/>
      <c r="Q165" s="22"/>
      <c r="R165" s="174"/>
      <c r="S165" s="221">
        <f t="shared" si="115"/>
        <v>1</v>
      </c>
      <c r="T165" s="174" t="str">
        <f t="shared" si="11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2"/>
        <v>https://d0f6bd738d7f1b3e5a7ca70fe4ff75f0.us-east-1.aws.found.io/app/kibana#/discover/Steve-Slow-Train-Analysis-(2080s-and-2083s)?_g=(refreshInterval:(display:Off,pause:!f,section:0,value:0),time:(from:'2017-10-10T05:57:21-0600',mode:absolute,to:'2017-10-10T08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5" s="204" t="str">
        <f>IF(AA165&lt;VLOOKUP(AG165,Variables!$AC$3:$AD$8,2,FALSE),"Y","N")</f>
        <v>N</v>
      </c>
      <c r="X165" s="204">
        <f t="shared" si="122"/>
        <v>1</v>
      </c>
      <c r="Y165" s="204">
        <f t="shared" si="117"/>
        <v>9.74E-2</v>
      </c>
      <c r="Z165" s="204">
        <f t="shared" si="118"/>
        <v>5.8959999999999999</v>
      </c>
      <c r="AA165" s="204">
        <f t="shared" si="119"/>
        <v>5.7985999999999995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120"/>
        <v>807</v>
      </c>
      <c r="AE16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5" s="74" t="str">
        <f t="shared" si="89"/>
        <v>"C:\Program Files (x86)\AstroGrep\AstroGrep.exe" /e /r /s /spath="%USERPROFILE%\AppData\Local\Temp\OnboardLogs" /stypes="app*4036*20171010*" /stext=" 13:.+((SYSTEM_STATE.+slice.+state.+changed )|(ment ac)|(multiple cpu faults)|(system.+state.+changed )|(\[timeout)|(PRM\|1\|D)|(kpr)|(kdp)|(train st.+moving)|(\|lc)|(penalty))"</v>
      </c>
      <c r="AG165" s="182" t="str">
        <f t="shared" si="121"/>
        <v>NW</v>
      </c>
      <c r="AH165" s="78" t="str">
        <f t="shared" si="91"/>
        <v>"%USERPROFILE%\Documents\GitHub\eaglep3\Utilities\RefineRTDCRunTimes.py" --tripid 807-10 --locoid 4036 --swversion DE.1.0.9.0 --startMP 204:974 --initTime 2017-10-10T06:57:21 --startdatetime 2017-10-10T07:09:19 --delay 51 --endMP 300:58960 --enddatetime 2017-10-10T07:24:31 --enforcementcount 0 &gt;&gt;%USERPROFILE%\Documents\GitHub\eaglep3-reporting\EC\2017-10-10-refined-times.txt</v>
      </c>
      <c r="AI16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{"issue":{"subject":"","project_id":79,"tracker_id":40,"status_id":1,"priority_id":2,"assigned_to_id":338,"start_date":"2017-10-10","description":"","custom_fields":[{"id":1,"name":"Subdivision","value":"NW"},{"id":4,"name":"Milepost","value":"5.896"},{"id":17,"name":"Train ID","value":"807-10"},{"id":16,"name":"Locomotive ID","value":"4036"},{"id":130,"name":"Impact","value":""},{"id":150,"name":"Time of Event (Mountain Time)","value":"07:24:31"},{"id":151,"name":"Denver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93"/>
        <v>start /low /b %USERPROFILE%\Documents\GitHub\eaglep3\Utilities\DownloadLogsFromS3.py --loco 4036 --day 2017-10-10</v>
      </c>
      <c r="AN16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5"/>
        <v>https://d0f6bd738d7f1b3e5a7ca70fe4ff75f0.us-east-1.aws.found.io/app/kibana#/discover/Steve-Slow-Train-Analysis-(2080s-and-2083s)?_g=(refreshInterval:(display:Off,pause:!f,section:0,value:0),time:(from:'2017-10-10T05:57:21-0600',mode:absolute,to:'2017-10-10T08:24:31-0600'))&amp;_a=(columns:!('Message%20ID',Summary),filters:!(),index:'emp_*',interval:auto,query:(query_string:(analyze_wildcard:!t,query:'%22rtdc.l.rtdc.4036%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676</v>
      </c>
      <c r="B166" s="7">
        <v>4035</v>
      </c>
      <c r="C166" s="21" t="s">
        <v>194</v>
      </c>
      <c r="D166" s="21" t="s">
        <v>958</v>
      </c>
      <c r="E166" s="13">
        <v>43018.310115740744</v>
      </c>
      <c r="F166" s="13">
        <v>43018.321712962963</v>
      </c>
      <c r="G166" s="7">
        <v>52</v>
      </c>
      <c r="H166" s="21" t="s">
        <v>959</v>
      </c>
      <c r="I166" s="13">
        <v>43018.330381944441</v>
      </c>
      <c r="J166" s="7">
        <v>0</v>
      </c>
      <c r="K166" s="89" t="str">
        <f t="shared" si="112"/>
        <v>4035/4036</v>
      </c>
      <c r="L166" s="185" t="str">
        <f>VLOOKUP(A166,'Trips&amp;Operators'!$C$1:$G$99911,5,FALSE)</f>
        <v>FORTUNATO FRANK</v>
      </c>
      <c r="M166" s="6">
        <f t="shared" si="113"/>
        <v>8.6689814779674634E-3</v>
      </c>
      <c r="N166" s="7">
        <f t="shared" si="114"/>
        <v>12.483333328273147</v>
      </c>
      <c r="O166" s="7"/>
      <c r="P166" s="7"/>
      <c r="Q166" s="22"/>
      <c r="R166" s="174"/>
      <c r="S166" s="221">
        <f t="shared" si="115"/>
        <v>1</v>
      </c>
      <c r="T166" s="174" t="str">
        <f t="shared" si="11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2"/>
        <v>https://d0f6bd738d7f1b3e5a7ca70fe4ff75f0.us-east-1.aws.found.io/app/kibana#/discover/Steve-Slow-Train-Analysis-(2080s-and-2083s)?_g=(refreshInterval:(display:Off,pause:!f,section:0,value:0),time:(from:'2017-10-10T06:26:34-0600',mode:absolute,to:'2017-10-10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6" s="204" t="str">
        <f>IF(AA166&lt;VLOOKUP(AG166,Variables!$AC$3:$AD$8,2,FALSE),"Y","N")</f>
        <v>N</v>
      </c>
      <c r="X166" s="204">
        <f t="shared" si="122"/>
        <v>1</v>
      </c>
      <c r="Y166" s="204">
        <f t="shared" si="117"/>
        <v>5.8651</v>
      </c>
      <c r="Z166" s="204">
        <f t="shared" si="118"/>
        <v>7.22E-2</v>
      </c>
      <c r="AA166" s="204">
        <f t="shared" si="119"/>
        <v>5.7929000000000004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120"/>
        <v>808</v>
      </c>
      <c r="AE16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66" s="74" t="str">
        <f t="shared" si="89"/>
        <v>"C:\Program Files (x86)\AstroGrep\AstroGrep.exe" /e /r /s /spath="%USERPROFILE%\AppData\Local\Temp\OnboardLogs" /stypes="app*4035*20171010*" /stext=" 13:.+((SYSTEM_STATE.+slice.+state.+changed )|(ment ac)|(multiple cpu faults)|(system.+state.+changed )|(\[timeout)|(PRM\|1\|D)|(kpr)|(kdp)|(train st.+moving)|(\|lc)|(penalty))"</v>
      </c>
      <c r="AG166" s="182" t="str">
        <f t="shared" si="121"/>
        <v>NW</v>
      </c>
      <c r="AH166" s="78" t="str">
        <f t="shared" si="91"/>
        <v>"%USERPROFILE%\Documents\GitHub\eaglep3\Utilities\RefineRTDCRunTimes.py" --tripid 808-10 --locoid 4035 --swversion DE.1.0.9.0 --startMP 300:58651 --initTime 2017-10-10T07:26:34 --startdatetime 2017-10-10T07:43:16 --delay 52 --endMP 204:722 --enddatetime 2017-10-10T07:55:45 --enforcementcount 0 &gt;&gt;%USERPROFILE%\Documents\GitHub\eaglep3-reporting\EC\2017-10-10-refined-times.txt</v>
      </c>
      <c r="AI16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{"issue":{"subject":"","project_id":79,"tracker_id":40,"status_id":1,"priority_id":2,"assigned_to_id":338,"start_date":"2017-10-10","description":"","custom_fields":[{"id":1,"name":"Subdivision","value":"NW"},{"id":4,"name":"Milepost","value":"0.0722"},{"id":17,"name":"Train ID","value":"808-10"},{"id":16,"name":"Locomotive ID","value":"4035"},{"id":130,"name":"Impact","value":""},{"id":150,"name":"Time of Event (Mountain Time)","value":"07:55:45"},{"id":151,"name":"Denver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93"/>
        <v>start /low /b %USERPROFILE%\Documents\GitHub\eaglep3\Utilities\DownloadLogsFromS3.py --loco 4035 --day 2017-10-10</v>
      </c>
      <c r="AN16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5"/>
        <v>https://d0f6bd738d7f1b3e5a7ca70fe4ff75f0.us-east-1.aws.found.io/app/kibana#/discover/Steve-Slow-Train-Analysis-(2080s-and-2083s)?_g=(refreshInterval:(display:Off,pause:!f,section:0,value:0),time:(from:'2017-10-10T06:26:34-0600',mode:absolute,to:'2017-10-10T08:55:45-0600'))&amp;_a=(columns:!('Message%20ID',Summary),filters:!(),index:'emp_*',interval:auto,query:(query_string:(analyze_wildcard:!t,query:'%22rtdc.l.rtdc.4035%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678</v>
      </c>
      <c r="B167" s="7">
        <v>4060</v>
      </c>
      <c r="C167" s="21" t="s">
        <v>194</v>
      </c>
      <c r="D167" s="21" t="s">
        <v>960</v>
      </c>
      <c r="E167" s="13">
        <v>43018.314467592594</v>
      </c>
      <c r="F167" s="13">
        <v>43018.319074074076</v>
      </c>
      <c r="G167" s="7">
        <v>62</v>
      </c>
      <c r="H167" s="21" t="s">
        <v>578</v>
      </c>
      <c r="I167" s="13">
        <v>43018.329340277778</v>
      </c>
      <c r="J167" s="7">
        <v>0</v>
      </c>
      <c r="K167" s="89" t="str">
        <f t="shared" si="112"/>
        <v>4059/4060</v>
      </c>
      <c r="L167" s="185" t="str">
        <f>VLOOKUP(A167,'Trips&amp;Operators'!$C$1:$G$99911,5,FALSE)</f>
        <v>YANG JAN</v>
      </c>
      <c r="M167" s="6">
        <f t="shared" si="113"/>
        <v>1.0266203702485655E-2</v>
      </c>
      <c r="N167" s="7">
        <f t="shared" si="114"/>
        <v>14.783333331579342</v>
      </c>
      <c r="O167" s="7"/>
      <c r="P167" s="7"/>
      <c r="Q167" s="22"/>
      <c r="R167" s="174"/>
      <c r="S167" s="221">
        <f t="shared" si="115"/>
        <v>1</v>
      </c>
      <c r="T167" s="174" t="str">
        <f t="shared" si="11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2"/>
        <v>https://d0f6bd738d7f1b3e5a7ca70fe4ff75f0.us-east-1.aws.found.io/app/kibana#/discover/Steve-Slow-Train-Analysis-(2080s-and-2083s)?_g=(refreshInterval:(display:Off,pause:!f,section:0,value:0),time:(from:'2017-10-10T06:32:50-0600',mode:absolute,to:'2017-10-10T08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204" t="str">
        <f>IF(AA167&lt;VLOOKUP(AG167,Variables!$AC$3:$AD$8,2,FALSE),"Y","N")</f>
        <v>N</v>
      </c>
      <c r="X167" s="204">
        <f t="shared" si="122"/>
        <v>1</v>
      </c>
      <c r="Y167" s="204">
        <f t="shared" si="117"/>
        <v>9.7600000000000006E-2</v>
      </c>
      <c r="Z167" s="204">
        <f t="shared" si="118"/>
        <v>5.8944000000000001</v>
      </c>
      <c r="AA167" s="204">
        <f t="shared" si="119"/>
        <v>5.7968000000000002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120"/>
        <v>809</v>
      </c>
      <c r="AE167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67" s="74" t="str">
        <f t="shared" si="89"/>
        <v>"C:\Program Files (x86)\AstroGrep\AstroGrep.exe" /e /r /s /spath="%USERPROFILE%\AppData\Local\Temp\OnboardLogs" /stypes="app*4060*20171010*" /stext=" 13:.+((SYSTEM_STATE.+slice.+state.+changed )|(ment ac)|(multiple cpu faults)|(system.+state.+changed )|(\[timeout)|(PRM\|1\|D)|(kpr)|(kdp)|(train st.+moving)|(\|lc)|(penalty))"</v>
      </c>
      <c r="AG167" s="182" t="str">
        <f t="shared" si="121"/>
        <v>NW</v>
      </c>
      <c r="AH167" s="78" t="str">
        <f t="shared" si="91"/>
        <v>"%USERPROFILE%\Documents\GitHub\eaglep3\Utilities\RefineRTDCRunTimes.py" --tripid 809-10 --locoid 4060 --swversion DE.1.0.9.0 --startMP 204:976 --initTime 2017-10-10T07:32:50 --startdatetime 2017-10-10T07:39:28 --delay 62 --endMP 300:58944 --enddatetime 2017-10-10T07:54:15 --enforcementcount 0 &gt;&gt;%USERPROFILE%\Documents\GitHub\eaglep3-reporting\EC\2017-10-10-refined-times.txt</v>
      </c>
      <c r="AI16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{"issue":{"subject":"","project_id":79,"tracker_id":40,"status_id":1,"priority_id":2,"assigned_to_id":338,"start_date":"2017-10-10","description":"","custom_fields":[{"id":1,"name":"Subdivision","value":"NW"},{"id":4,"name":"Milepost","value":"5.8944"},{"id":17,"name":"Train ID","value":"809-10"},{"id":16,"name":"Locomotive ID","value":"4060"},{"id":130,"name":"Impact","value":""},{"id":150,"name":"Time of Event (Mountain Time)","value":"07:54:15"},{"id":151,"name":"Denver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93"/>
        <v>start /low /b %USERPROFILE%\Documents\GitHub\eaglep3\Utilities\DownloadLogsFromS3.py --loco 4060 --day 2017-10-10</v>
      </c>
      <c r="AN16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5"/>
        <v>https://d0f6bd738d7f1b3e5a7ca70fe4ff75f0.us-east-1.aws.found.io/app/kibana#/discover/Steve-Slow-Train-Analysis-(2080s-and-2083s)?_g=(refreshInterval:(display:Off,pause:!f,section:0,value:0),time:(from:'2017-10-10T06:32:50-0600',mode:absolute,to:'2017-10-10T08:54:15-0600'))&amp;_a=(columns:!('Message%20ID',Summary),filters:!(),index:'emp_*',interval:auto,query:(query_string:(analyze_wildcard:!t,query:'%22rtdc.l.rtdc.4060%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4059</v>
      </c>
      <c r="C168" s="21" t="s">
        <v>194</v>
      </c>
      <c r="D168" s="21" t="s">
        <v>585</v>
      </c>
      <c r="E168" s="13">
        <v>43018.330914351849</v>
      </c>
      <c r="F168" s="13">
        <v>43018.342465277776</v>
      </c>
      <c r="G168" s="7">
        <v>53</v>
      </c>
      <c r="H168" s="21" t="s">
        <v>963</v>
      </c>
      <c r="I168" s="13">
        <v>43018.350601851853</v>
      </c>
      <c r="J168" s="7">
        <v>0</v>
      </c>
      <c r="K168" s="89" t="str">
        <f t="shared" si="112"/>
        <v>4059/4060</v>
      </c>
      <c r="L168" s="185" t="str">
        <f>VLOOKUP(A168,'Trips&amp;Operators'!$C$1:$G$99911,5,FALSE)</f>
        <v>YANG JAN</v>
      </c>
      <c r="M168" s="6">
        <f t="shared" si="113"/>
        <v>8.1365740770706907E-3</v>
      </c>
      <c r="N168" s="7">
        <f t="shared" si="114"/>
        <v>11.716666670981795</v>
      </c>
      <c r="O168" s="7"/>
      <c r="P168" s="7"/>
      <c r="Q168" s="22"/>
      <c r="R168" s="174"/>
      <c r="S168" s="221">
        <f t="shared" si="115"/>
        <v>1</v>
      </c>
      <c r="T168" s="174" t="str">
        <f t="shared" si="116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2"/>
        <v>https://d0f6bd738d7f1b3e5a7ca70fe4ff75f0.us-east-1.aws.found.io/app/kibana#/discover/Steve-Slow-Train-Analysis-(2080s-and-2083s)?_g=(refreshInterval:(display:Off,pause:!f,section:0,value:0),time:(from:'2017-10-10T06:56:31-0600',mode:absolute,to:'2017-10-10T09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204" t="str">
        <f>IF(AA168&lt;VLOOKUP(AG168,Variables!$AC$3:$AD$8,2,FALSE),"Y","N")</f>
        <v>N</v>
      </c>
      <c r="X168" s="204">
        <f t="shared" si="122"/>
        <v>1</v>
      </c>
      <c r="Y168" s="204">
        <f t="shared" si="117"/>
        <v>5.8630000000000004</v>
      </c>
      <c r="Z168" s="204">
        <f t="shared" si="118"/>
        <v>1.55E-2</v>
      </c>
      <c r="AA168" s="204">
        <f t="shared" si="119"/>
        <v>5.8475000000000001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120"/>
        <v>810</v>
      </c>
      <c r="AE168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8" s="74" t="str">
        <f t="shared" si="89"/>
        <v>"C:\Program Files (x86)\AstroGrep\AstroGrep.exe" /e /r /s /spath="%USERPROFILE%\AppData\Local\Temp\OnboardLogs" /stypes="app*4059*20171010*" /stext=" 14:.+((SYSTEM_STATE.+slice.+state.+changed )|(ment ac)|(multiple cpu faults)|(system.+state.+changed )|(\[timeout)|(PRM\|1\|D)|(kpr)|(kdp)|(train st.+moving)|(\|lc)|(penalty))"</v>
      </c>
      <c r="AG168" s="182" t="str">
        <f t="shared" si="121"/>
        <v>NW</v>
      </c>
      <c r="AH168" s="78" t="str">
        <f t="shared" si="91"/>
        <v>"%USERPROFILE%\Documents\GitHub\eaglep3\Utilities\RefineRTDCRunTimes.py" --tripid 810-10 --locoid 4059 --swversion DE.1.0.9.0 --startMP 300:58630 --initTime 2017-10-10T07:56:31 --startdatetime 2017-10-10T08:13:09 --delay 53 --endMP 204:155 --enddatetime 2017-10-10T08:24:52 --enforcementcount 0 &gt;&gt;%USERPROFILE%\Documents\GitHub\eaglep3-reporting\EC\2017-10-10-refined-times.txt</v>
      </c>
      <c r="AI16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{"issue":{"subject":"","project_id":79,"tracker_id":40,"status_id":1,"priority_id":2,"assigned_to_id":338,"start_date":"2017-10-10","description":"","custom_fields":[{"id":1,"name":"Subdivision","value":"NW"},{"id":4,"name":"Milepost","value":"0.0155"},{"id":17,"name":"Train ID","value":"810-10"},{"id":16,"name":"Locomotive ID","value":"4059"},{"id":130,"name":"Impact","value":""},{"id":150,"name":"Time of Event (Mountain Time)","value":"08:24:52"},{"id":151,"name":"Denver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93"/>
        <v>start /low /b %USERPROFILE%\Documents\GitHub\eaglep3\Utilities\DownloadLogsFromS3.py --loco 4059 --day 2017-10-10</v>
      </c>
      <c r="AN16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5"/>
        <v>https://d0f6bd738d7f1b3e5a7ca70fe4ff75f0.us-east-1.aws.found.io/app/kibana#/discover/Steve-Slow-Train-Analysis-(2080s-and-2083s)?_g=(refreshInterval:(display:Off,pause:!f,section:0,value:0),time:(from:'2017-10-10T06:56:31-0600',mode:absolute,to:'2017-10-10T09:24:52-0600'))&amp;_a=(columns:!('Message%20ID',Summary),filters:!(),index:'emp_*',interval:auto,query:(query_string:(analyze_wildcard:!t,query:'%22rtdc.l.rtdc.4059%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685</v>
      </c>
      <c r="B169" s="7">
        <v>4036</v>
      </c>
      <c r="C169" s="21" t="s">
        <v>194</v>
      </c>
      <c r="D169" s="21" t="s">
        <v>964</v>
      </c>
      <c r="E169" s="13">
        <v>43018.331689814811</v>
      </c>
      <c r="F169" s="13">
        <v>43018.340011574073</v>
      </c>
      <c r="G169" s="7">
        <v>58</v>
      </c>
      <c r="H169" s="21" t="s">
        <v>491</v>
      </c>
      <c r="I169" s="13">
        <v>43018.350243055553</v>
      </c>
      <c r="J169" s="7">
        <v>0</v>
      </c>
      <c r="K169" s="89" t="str">
        <f t="shared" si="112"/>
        <v>4035/4036</v>
      </c>
      <c r="L169" s="185" t="str">
        <f>VLOOKUP(A169,'Trips&amp;Operators'!$C$1:$G$99911,5,FALSE)</f>
        <v>FORTUNATO FRANK</v>
      </c>
      <c r="M169" s="6">
        <f t="shared" si="113"/>
        <v>1.0231481479422655E-2</v>
      </c>
      <c r="N169" s="7">
        <f t="shared" si="114"/>
        <v>14.733333330368623</v>
      </c>
      <c r="O169" s="7"/>
      <c r="P169" s="7"/>
      <c r="Q169" s="22"/>
      <c r="R169" s="174"/>
      <c r="S169" s="221">
        <f t="shared" si="115"/>
        <v>1</v>
      </c>
      <c r="T169" s="174" t="str">
        <f t="shared" si="116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2"/>
        <v>https://d0f6bd738d7f1b3e5a7ca70fe4ff75f0.us-east-1.aws.found.io/app/kibana#/discover/Steve-Slow-Train-Analysis-(2080s-and-2083s)?_g=(refreshInterval:(display:Off,pause:!f,section:0,value:0),time:(from:'2017-10-10T06:57:38-0600',mode:absolute,to:'2017-10-10T09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9" s="204" t="str">
        <f>IF(AA169&lt;VLOOKUP(AG169,Variables!$AC$3:$AD$8,2,FALSE),"Y","N")</f>
        <v>N</v>
      </c>
      <c r="X169" s="204">
        <f t="shared" si="122"/>
        <v>1</v>
      </c>
      <c r="Y169" s="204">
        <f t="shared" si="117"/>
        <v>9.8500000000000004E-2</v>
      </c>
      <c r="Z169" s="204">
        <f t="shared" si="118"/>
        <v>5.8963000000000001</v>
      </c>
      <c r="AA169" s="204">
        <f t="shared" si="119"/>
        <v>5.7978000000000005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120"/>
        <v>811</v>
      </c>
      <c r="AE16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9" s="74" t="str">
        <f t="shared" si="89"/>
        <v>"C:\Program Files (x86)\AstroGrep\AstroGrep.exe" /e /r /s /spath="%USERPROFILE%\AppData\Local\Temp\OnboardLogs" /stypes="app*4036*20171010*" /stext=" 14:.+((SYSTEM_STATE.+slice.+state.+changed )|(ment ac)|(multiple cpu faults)|(system.+state.+changed )|(\[timeout)|(PRM\|1\|D)|(kpr)|(kdp)|(train st.+moving)|(\|lc)|(penalty))"</v>
      </c>
      <c r="AG169" s="182" t="str">
        <f t="shared" si="121"/>
        <v>NW</v>
      </c>
      <c r="AH169" s="78" t="str">
        <f t="shared" si="91"/>
        <v>"%USERPROFILE%\Documents\GitHub\eaglep3\Utilities\RefineRTDCRunTimes.py" --tripid 811-10 --locoid 4036 --swversion DE.1.0.9.0 --startMP 204:985 --initTime 2017-10-10T07:57:38 --startdatetime 2017-10-10T08:09:37 --delay 58 --endMP 300:58963 --enddatetime 2017-10-10T08:24:21 --enforcementcount 0 &gt;&gt;%USERPROFILE%\Documents\GitHub\eaglep3-reporting\EC\2017-10-10-refined-times.txt</v>
      </c>
      <c r="AI16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{"issue":{"subject":"","project_id":79,"tracker_id":40,"status_id":1,"priority_id":2,"assigned_to_id":338,"start_date":"2017-10-10","description":"","custom_fields":[{"id":1,"name":"Subdivision","value":"NW"},{"id":4,"name":"Milepost","value":"5.8963"},{"id":17,"name":"Train ID","value":"811-10"},{"id":16,"name":"Locomotive ID","value":"4036"},{"id":130,"name":"Impact","value":""},{"id":150,"name":"Time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93"/>
        <v>start /low /b %USERPROFILE%\Documents\GitHub\eaglep3\Utilities\DownloadLogsFromS3.py --loco 4036 --day 2017-10-10</v>
      </c>
      <c r="AN16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5"/>
        <v>https://d0f6bd738d7f1b3e5a7ca70fe4ff75f0.us-east-1.aws.found.io/app/kibana#/discover/Steve-Slow-Train-Analysis-(2080s-and-2083s)?_g=(refreshInterval:(display:Off,pause:!f,section:0,value:0),time:(from:'2017-10-10T06:57:38-0600',mode:absolute,to:'2017-10-10T09:24:21-0600'))&amp;_a=(columns:!('Message%20ID',Summary),filters:!(),index:'emp_*',interval:auto,query:(query_string:(analyze_wildcard:!t,query:'%22rtdc.l.rtdc.4036%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691</v>
      </c>
      <c r="B170" s="7">
        <v>4035</v>
      </c>
      <c r="C170" s="21" t="s">
        <v>194</v>
      </c>
      <c r="D170" s="21" t="s">
        <v>585</v>
      </c>
      <c r="E170" s="13">
        <v>43018.351736111108</v>
      </c>
      <c r="F170" s="13">
        <v>43018.363333333335</v>
      </c>
      <c r="G170" s="7">
        <v>49</v>
      </c>
      <c r="H170" s="21" t="s">
        <v>489</v>
      </c>
      <c r="I170" s="13">
        <v>43018.372442129628</v>
      </c>
      <c r="J170" s="7">
        <v>0</v>
      </c>
      <c r="K170" s="89" t="str">
        <f t="shared" si="112"/>
        <v>4035/4036</v>
      </c>
      <c r="L170" s="185" t="str">
        <f>VLOOKUP(A170,'Trips&amp;Operators'!$C$1:$G$99911,5,FALSE)</f>
        <v>FORTUNATO FRANK</v>
      </c>
      <c r="M170" s="6">
        <f t="shared" si="113"/>
        <v>9.1087962937308475E-3</v>
      </c>
      <c r="N170" s="7">
        <f t="shared" si="114"/>
        <v>13.11666666297242</v>
      </c>
      <c r="O170" s="7"/>
      <c r="P170" s="7"/>
      <c r="Q170" s="22"/>
      <c r="R170" s="174"/>
      <c r="S170" s="221">
        <f t="shared" si="115"/>
        <v>1</v>
      </c>
      <c r="T170" s="174" t="str">
        <f t="shared" si="116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2"/>
        <v>https://d0f6bd738d7f1b3e5a7ca70fe4ff75f0.us-east-1.aws.found.io/app/kibana#/discover/Steve-Slow-Train-Analysis-(2080s-and-2083s)?_g=(refreshInterval:(display:Off,pause:!f,section:0,value:0),time:(from:'2017-10-10T07:26:30-0600',mode:absolute,to:'2017-10-10T09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0" s="204" t="str">
        <f>IF(AA170&lt;VLOOKUP(AG170,Variables!$AC$3:$AD$8,2,FALSE),"Y","N")</f>
        <v>N</v>
      </c>
      <c r="X170" s="204">
        <f t="shared" si="122"/>
        <v>1</v>
      </c>
      <c r="Y170" s="204">
        <f t="shared" si="117"/>
        <v>5.8630000000000004</v>
      </c>
      <c r="Z170" s="204">
        <f t="shared" si="118"/>
        <v>7.1900000000000006E-2</v>
      </c>
      <c r="AA170" s="204">
        <f t="shared" si="119"/>
        <v>5.7911000000000001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120"/>
        <v>812</v>
      </c>
      <c r="AE17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0" s="74" t="str">
        <f t="shared" si="89"/>
        <v>"C:\Program Files (x86)\AstroGrep\AstroGrep.exe" /e /r /s /spath="%USERPROFILE%\AppData\Local\Temp\OnboardLogs" /stypes="app*4035*20171010*" /stext=" 14:.+((SYSTEM_STATE.+slice.+state.+changed )|(ment ac)|(multiple cpu faults)|(system.+state.+changed )|(\[timeout)|(PRM\|1\|D)|(kpr)|(kdp)|(train st.+moving)|(\|lc)|(penalty))"</v>
      </c>
      <c r="AG170" s="182" t="str">
        <f t="shared" si="121"/>
        <v>NW</v>
      </c>
      <c r="AH170" s="78" t="str">
        <f t="shared" si="91"/>
        <v>"%USERPROFILE%\Documents\GitHub\eaglep3\Utilities\RefineRTDCRunTimes.py" --tripid 812-10 --locoid 4035 --swversion DE.1.0.9.0 --startMP 300:58630 --initTime 2017-10-10T08:26:30 --startdatetime 2017-10-10T08:43:12 --delay 49 --endMP 204:719 --enddatetime 2017-10-10T08:56:19 --enforcementcount 0 &gt;&gt;%USERPROFILE%\Documents\GitHub\eaglep3-reporting\EC\2017-10-10-refined-times.txt</v>
      </c>
      <c r="AI17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{"issue":{"subject":"","project_id":79,"tracker_id":40,"status_id":1,"priority_id":2,"assigned_to_id":338,"start_date":"2017-10-10","description":"","custom_fields":[{"id":1,"name":"Subdivision","value":"NW"},{"id":4,"name":"Milepost","value":"0.0719"},{"id":17,"name":"Train ID","value":"812-10"},{"id":16,"name":"Locomotive ID","value":"4035"},{"id":130,"name":"Impact","value":""},{"id":150,"name":"Time of Event (Mountain Time)","value":"08:56:19"},{"id":151,"name":"Denver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93"/>
        <v>start /low /b %USERPROFILE%\Documents\GitHub\eaglep3\Utilities\DownloadLogsFromS3.py --loco 4035 --day 2017-10-10</v>
      </c>
      <c r="AN17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5"/>
        <v>https://d0f6bd738d7f1b3e5a7ca70fe4ff75f0.us-east-1.aws.found.io/app/kibana#/discover/Steve-Slow-Train-Analysis-(2080s-and-2083s)?_g=(refreshInterval:(display:Off,pause:!f,section:0,value:0),time:(from:'2017-10-10T07:26:30-0600',mode:absolute,to:'2017-10-10T09:56:19-0600'))&amp;_a=(columns:!('Message%20ID',Summary),filters:!(),index:'emp_*',interval:auto,query:(query_string:(analyze_wildcard:!t,query:'%22rtdc.l.rtdc.4035%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593</v>
      </c>
      <c r="B171" s="7">
        <v>4036</v>
      </c>
      <c r="C171" s="21" t="s">
        <v>194</v>
      </c>
      <c r="D171" s="21" t="s">
        <v>965</v>
      </c>
      <c r="E171" s="13">
        <v>43018.378831018519</v>
      </c>
      <c r="F171" s="13">
        <v>43018.381435185183</v>
      </c>
      <c r="G171" s="7">
        <v>65</v>
      </c>
      <c r="H171" s="21" t="s">
        <v>582</v>
      </c>
      <c r="I171" s="13">
        <v>43018.391377314816</v>
      </c>
      <c r="J171" s="7">
        <v>0</v>
      </c>
      <c r="K171" s="89" t="str">
        <f t="shared" si="112"/>
        <v>4035/4036</v>
      </c>
      <c r="L171" s="185" t="str">
        <f>VLOOKUP(A171,'Trips&amp;Operators'!$C$1:$G$99911,5,FALSE)</f>
        <v>FORTUNATO FRANK</v>
      </c>
      <c r="M171" s="6">
        <f t="shared" si="113"/>
        <v>9.9421296326909214E-3</v>
      </c>
      <c r="N171" s="7">
        <f t="shared" si="114"/>
        <v>14.316666671074927</v>
      </c>
      <c r="O171" s="7"/>
      <c r="P171" s="7"/>
      <c r="Q171" s="22"/>
      <c r="R171" s="174"/>
      <c r="S171" s="221">
        <f t="shared" si="115"/>
        <v>1</v>
      </c>
      <c r="T171" s="174" t="str">
        <f t="shared" si="116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2"/>
        <v>https://d0f6bd738d7f1b3e5a7ca70fe4ff75f0.us-east-1.aws.found.io/app/kibana#/discover/Steve-Slow-Train-Analysis-(2080s-and-2083s)?_g=(refreshInterval:(display:Off,pause:!f,section:0,value:0),time:(from:'2017-10-10T08:05:31-0600',mode:absolute,to:'2017-10-10T10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1" s="204" t="str">
        <f>IF(AA171&lt;VLOOKUP(AG171,Variables!$AC$3:$AD$8,2,FALSE),"Y","N")</f>
        <v>N</v>
      </c>
      <c r="X171" s="204">
        <f t="shared" si="122"/>
        <v>1</v>
      </c>
      <c r="Y171" s="204">
        <f t="shared" si="117"/>
        <v>9.7900000000000001E-2</v>
      </c>
      <c r="Z171" s="204">
        <f t="shared" si="118"/>
        <v>5.8948</v>
      </c>
      <c r="AA171" s="204">
        <f t="shared" si="119"/>
        <v>5.7968999999999999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120"/>
        <v>813</v>
      </c>
      <c r="AE17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1" s="74" t="str">
        <f t="shared" si="89"/>
        <v>"C:\Program Files (x86)\AstroGrep\AstroGrep.exe" /e /r /s /spath="%USERPROFILE%\AppData\Local\Temp\OnboardLogs" /stypes="app*4036*20171010*" /stext=" 15:.+((SYSTEM_STATE.+slice.+state.+changed )|(ment ac)|(multiple cpu faults)|(system.+state.+changed )|(\[timeout)|(PRM\|1\|D)|(kpr)|(kdp)|(train st.+moving)|(\|lc)|(penalty))"</v>
      </c>
      <c r="AG171" s="182" t="str">
        <f t="shared" si="121"/>
        <v>NW</v>
      </c>
      <c r="AH171" s="78" t="str">
        <f t="shared" si="91"/>
        <v>"%USERPROFILE%\Documents\GitHub\eaglep3\Utilities\RefineRTDCRunTimes.py" --tripid 813-10 --locoid 4036 --swversion DE.1.0.9.0 --startMP 204:979 --initTime 2017-10-10T09:05:31 --startdatetime 2017-10-10T09:09:16 --delay 65 --endMP 300:58948 --enddatetime 2017-10-10T09:23:35 --enforcementcount 0 &gt;&gt;%USERPROFILE%\Documents\GitHub\eaglep3-reporting\EC\2017-10-10-refined-times.txt</v>
      </c>
      <c r="AI17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{"issue":{"subject":"","project_id":79,"tracker_id":40,"status_id":1,"priority_id":2,"assigned_to_id":338,"start_date":"2017-10-10","description":"","custom_fields":[{"id":1,"name":"Subdivision","value":"NW"},{"id":4,"name":"Milepost","value":"5.8948"},{"id":17,"name":"Train ID","value":"813-10"},{"id":16,"name":"Locomotive ID","value":"4036"},{"id":130,"name":"Impact","value":""},{"id":150,"name":"Time of Event (Mountain Time)","value":"09:23:35"},{"id":151,"name":"Denver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93"/>
        <v>start /low /b %USERPROFILE%\Documents\GitHub\eaglep3\Utilities\DownloadLogsFromS3.py --loco 4036 --day 2017-10-10</v>
      </c>
      <c r="AN17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5"/>
        <v>https://d0f6bd738d7f1b3e5a7ca70fe4ff75f0.us-east-1.aws.found.io/app/kibana#/discover/Steve-Slow-Train-Analysis-(2080s-and-2083s)?_g=(refreshInterval:(display:Off,pause:!f,section:0,value:0),time:(from:'2017-10-10T08:05:31-0600',mode:absolute,to:'2017-10-10T10:23:35-0600'))&amp;_a=(columns:!('Message%20ID',Summary),filters:!(),index:'emp_*',interval:auto,query:(query_string:(analyze_wildcard:!t,query:'%22rtdc.l.rtdc.4036%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700</v>
      </c>
      <c r="B172" s="7">
        <v>4035</v>
      </c>
      <c r="C172" s="21" t="s">
        <v>194</v>
      </c>
      <c r="D172" s="21" t="s">
        <v>966</v>
      </c>
      <c r="E172" s="13">
        <v>43018.392800925925</v>
      </c>
      <c r="F172" s="13">
        <v>43018.404710648145</v>
      </c>
      <c r="G172" s="7">
        <v>80</v>
      </c>
      <c r="H172" s="21" t="s">
        <v>577</v>
      </c>
      <c r="I172" s="13">
        <v>43018.413877314815</v>
      </c>
      <c r="J172" s="7">
        <v>0</v>
      </c>
      <c r="K172" s="89" t="str">
        <f t="shared" si="112"/>
        <v>4035/4036</v>
      </c>
      <c r="L172" s="185" t="str">
        <f>VLOOKUP(A172,'Trips&amp;Operators'!$C$1:$G$99911,5,FALSE)</f>
        <v>FORTUNATO FRANK</v>
      </c>
      <c r="M172" s="6">
        <f t="shared" si="113"/>
        <v>9.1666666703531519E-3</v>
      </c>
      <c r="N172" s="7">
        <f t="shared" si="114"/>
        <v>13.200000005308539</v>
      </c>
      <c r="O172" s="7"/>
      <c r="P172" s="7"/>
      <c r="Q172" s="22"/>
      <c r="R172" s="174"/>
      <c r="S172" s="221">
        <f t="shared" si="115"/>
        <v>1</v>
      </c>
      <c r="T172" s="174" t="str">
        <f t="shared" si="116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2"/>
        <v>https://d0f6bd738d7f1b3e5a7ca70fe4ff75f0.us-east-1.aws.found.io/app/kibana#/discover/Steve-Slow-Train-Analysis-(2080s-and-2083s)?_g=(refreshInterval:(display:Off,pause:!f,section:0,value:0),time:(from:'2017-10-10T08:25:38-0600',mode:absolute,to:'2017-10-10T10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2" s="204" t="str">
        <f>IF(AA172&lt;VLOOKUP(AG172,Variables!$AC$3:$AD$8,2,FALSE),"Y","N")</f>
        <v>N</v>
      </c>
      <c r="X172" s="204">
        <f t="shared" si="122"/>
        <v>1</v>
      </c>
      <c r="Y172" s="204">
        <f t="shared" si="117"/>
        <v>5.8632</v>
      </c>
      <c r="Z172" s="204">
        <f t="shared" si="118"/>
        <v>6.9800000000000001E-2</v>
      </c>
      <c r="AA172" s="204">
        <f t="shared" si="119"/>
        <v>5.7934000000000001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120"/>
        <v>814</v>
      </c>
      <c r="AE17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2" s="74" t="str">
        <f t="shared" si="89"/>
        <v>"C:\Program Files (x86)\AstroGrep\AstroGrep.exe" /e /r /s /spath="%USERPROFILE%\AppData\Local\Temp\OnboardLogs" /stypes="app*4035*20171010*" /stext=" 15:.+((SYSTEM_STATE.+slice.+state.+changed )|(ment ac)|(multiple cpu faults)|(system.+state.+changed )|(\[timeout)|(PRM\|1\|D)|(kpr)|(kdp)|(train st.+moving)|(\|lc)|(penalty))"</v>
      </c>
      <c r="AG172" s="182" t="str">
        <f t="shared" si="121"/>
        <v>NW</v>
      </c>
      <c r="AH172" s="78" t="str">
        <f t="shared" si="91"/>
        <v>"%USERPROFILE%\Documents\GitHub\eaglep3\Utilities\RefineRTDCRunTimes.py" --tripid 814-10 --locoid 4035 --swversion DE.1.0.9.0 --startMP 300:58632 --initTime 2017-10-10T09:25:38 --startdatetime 2017-10-10T09:42:47 --delay 80 --endMP 204:698 --enddatetime 2017-10-10T09:55:59 --enforcementcount 0 &gt;&gt;%USERPROFILE%\Documents\GitHub\eaglep3-reporting\EC\2017-10-10-refined-times.txt</v>
      </c>
      <c r="AI17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{"issue":{"subject":"","project_id":79,"tracker_id":40,"status_id":1,"priority_id":2,"assigned_to_id":338,"start_date":"2017-10-10","description":"","custom_fields":[{"id":1,"name":"Subdivision","value":"NW"},{"id":4,"name":"Milepost","value":"0.0698"},{"id":17,"name":"Train ID","value":"814-10"},{"id":16,"name":"Locomotive ID","value":"4035"},{"id":130,"name":"Impact","value":""},{"id":150,"name":"Time of Event (Mountain Time)","value":"09:55:59"},{"id":151,"name":"Denver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93"/>
        <v>start /low /b %USERPROFILE%\Documents\GitHub\eaglep3\Utilities\DownloadLogsFromS3.py --loco 4035 --day 2017-10-10</v>
      </c>
      <c r="AN17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5"/>
        <v>https://d0f6bd738d7f1b3e5a7ca70fe4ff75f0.us-east-1.aws.found.io/app/kibana#/discover/Steve-Slow-Train-Analysis-(2080s-and-2083s)?_g=(refreshInterval:(display:Off,pause:!f,section:0,value:0),time:(from:'2017-10-10T08:25:38-0600',mode:absolute,to:'2017-10-10T10:55:59-0600'))&amp;_a=(columns:!('Message%20ID',Summary),filters:!(),index:'emp_*',interval:auto,query:(query_string:(analyze_wildcard:!t,query:'%22rtdc.l.rtdc.4035%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705</v>
      </c>
      <c r="B173" s="7">
        <v>4036</v>
      </c>
      <c r="C173" s="21" t="s">
        <v>194</v>
      </c>
      <c r="D173" s="21" t="s">
        <v>967</v>
      </c>
      <c r="E173" s="13">
        <v>43018.415567129632</v>
      </c>
      <c r="F173" s="13">
        <v>43018.423460648148</v>
      </c>
      <c r="G173" s="7">
        <v>51</v>
      </c>
      <c r="H173" s="21" t="s">
        <v>968</v>
      </c>
      <c r="I173" s="13">
        <v>43018.433333333334</v>
      </c>
      <c r="J173" s="7">
        <v>0</v>
      </c>
      <c r="K173" s="89" t="str">
        <f t="shared" si="112"/>
        <v>4035/4036</v>
      </c>
      <c r="L173" s="185" t="str">
        <f>VLOOKUP(A173,'Trips&amp;Operators'!$C$1:$G$99911,5,FALSE)</f>
        <v>FORTUNATO FRANK</v>
      </c>
      <c r="M173" s="6">
        <f t="shared" si="113"/>
        <v>9.8726851865649223E-3</v>
      </c>
      <c r="N173" s="7">
        <f t="shared" si="114"/>
        <v>14.216666668653488</v>
      </c>
      <c r="O173" s="7"/>
      <c r="P173" s="7"/>
      <c r="Q173" s="22"/>
      <c r="R173" s="174"/>
      <c r="S173" s="221">
        <f t="shared" si="115"/>
        <v>1</v>
      </c>
      <c r="T173" s="174" t="str">
        <f t="shared" si="116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2"/>
        <v>https://d0f6bd738d7f1b3e5a7ca70fe4ff75f0.us-east-1.aws.found.io/app/kibana#/discover/Steve-Slow-Train-Analysis-(2080s-and-2083s)?_g=(refreshInterval:(display:Off,pause:!f,section:0,value:0),time:(from:'2017-10-10T08:58:25-0600',mode:absolute,to:'2017-10-10T11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3" s="204" t="str">
        <f>IF(AA173&lt;VLOOKUP(AG173,Variables!$AC$3:$AD$8,2,FALSE),"Y","N")</f>
        <v>N</v>
      </c>
      <c r="X173" s="204">
        <f t="shared" si="122"/>
        <v>1</v>
      </c>
      <c r="Y173" s="204">
        <f t="shared" si="117"/>
        <v>9.9900000000000003E-2</v>
      </c>
      <c r="Z173" s="204">
        <f t="shared" si="118"/>
        <v>5.8987999999999996</v>
      </c>
      <c r="AA173" s="204">
        <f t="shared" si="119"/>
        <v>5.7988999999999997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120"/>
        <v>815</v>
      </c>
      <c r="AE17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3" s="74" t="str">
        <f t="shared" si="89"/>
        <v>"C:\Program Files (x86)\AstroGrep\AstroGrep.exe" /e /r /s /spath="%USERPROFILE%\AppData\Local\Temp\OnboardLogs" /stypes="app*4036*20171010*" /stext=" 16:.+((SYSTEM_STATE.+slice.+state.+changed )|(ment ac)|(multiple cpu faults)|(system.+state.+changed )|(\[timeout)|(PRM\|1\|D)|(kpr)|(kdp)|(train st.+moving)|(\|lc)|(penalty))"</v>
      </c>
      <c r="AG173" s="182" t="str">
        <f t="shared" si="121"/>
        <v>NW</v>
      </c>
      <c r="AH173" s="78" t="str">
        <f t="shared" si="91"/>
        <v>"%USERPROFILE%\Documents\GitHub\eaglep3\Utilities\RefineRTDCRunTimes.py" --tripid 815-10 --locoid 4036 --swversion DE.1.0.9.0 --startMP 204:999 --initTime 2017-10-10T09:58:25 --startdatetime 2017-10-10T10:09:47 --delay 51 --endMP 300:58988 --enddatetime 2017-10-10T10:24:00 --enforcementcount 0 &gt;&gt;%USERPROFILE%\Documents\GitHub\eaglep3-reporting\EC\2017-10-10-refined-times.txt</v>
      </c>
      <c r="AI17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{"issue":{"subject":"","project_id":79,"tracker_id":40,"status_id":1,"priority_id":2,"assigned_to_id":338,"start_date":"2017-10-10","description":"","custom_fields":[{"id":1,"name":"Subdivision","value":"NW"},{"id":4,"name":"Milepost","value":"5.8988"},{"id":17,"name":"Train ID","value":"815-10"},{"id":16,"name":"Locomotive ID","value":"4036"},{"id":130,"name":"Impact","value":""},{"id":150,"name":"Time of Event (Mountain Time)","value":"10:24:00"},{"id":151,"name":"Denver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93"/>
        <v>start /low /b %USERPROFILE%\Documents\GitHub\eaglep3\Utilities\DownloadLogsFromS3.py --loco 4036 --day 2017-10-10</v>
      </c>
      <c r="AN17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5"/>
        <v>https://d0f6bd738d7f1b3e5a7ca70fe4ff75f0.us-east-1.aws.found.io/app/kibana#/discover/Steve-Slow-Train-Analysis-(2080s-and-2083s)?_g=(refreshInterval:(display:Off,pause:!f,section:0,value:0),time:(from:'2017-10-10T08:58:25-0600',mode:absolute,to:'2017-10-10T11:24:00-0600'))&amp;_a=(columns:!('Message%20ID',Summary),filters:!(),index:'emp_*',interval:auto,query:(query_string:(analyze_wildcard:!t,query:'%22rtdc.l.rtdc.4036%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710</v>
      </c>
      <c r="B174" s="7">
        <v>4035</v>
      </c>
      <c r="C174" s="21" t="s">
        <v>194</v>
      </c>
      <c r="D174" s="21" t="s">
        <v>969</v>
      </c>
      <c r="E174" s="13">
        <v>43018.434641203705</v>
      </c>
      <c r="F174" s="13">
        <v>43018.446284722224</v>
      </c>
      <c r="G174" s="7">
        <v>55</v>
      </c>
      <c r="H174" s="21" t="s">
        <v>970</v>
      </c>
      <c r="I174" s="13">
        <v>43018.455196759256</v>
      </c>
      <c r="J174" s="7">
        <v>0</v>
      </c>
      <c r="K174" s="89" t="str">
        <f t="shared" si="112"/>
        <v>4035/4036</v>
      </c>
      <c r="L174" s="185" t="str">
        <f>VLOOKUP(A174,'Trips&amp;Operators'!$C$1:$G$99911,5,FALSE)</f>
        <v>FORTUNATO FRANK</v>
      </c>
      <c r="M174" s="6">
        <f t="shared" si="113"/>
        <v>8.9120370321325026E-3</v>
      </c>
      <c r="N174" s="7">
        <f t="shared" si="114"/>
        <v>12.833333326270804</v>
      </c>
      <c r="O174" s="7"/>
      <c r="P174" s="7"/>
      <c r="Q174" s="22"/>
      <c r="R174" s="174"/>
      <c r="S174" s="221">
        <f t="shared" si="115"/>
        <v>1</v>
      </c>
      <c r="T174" s="174" t="str">
        <f t="shared" si="116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2"/>
        <v>https://d0f6bd738d7f1b3e5a7ca70fe4ff75f0.us-east-1.aws.found.io/app/kibana#/discover/Steve-Slow-Train-Analysis-(2080s-and-2083s)?_g=(refreshInterval:(display:Off,pause:!f,section:0,value:0),time:(from:'2017-10-10T09:25:53-0600',mode:absolute,to:'2017-10-10T11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4" s="204" t="str">
        <f>IF(AA174&lt;VLOOKUP(AG174,Variables!$AC$3:$AD$8,2,FALSE),"Y","N")</f>
        <v>N</v>
      </c>
      <c r="X174" s="204">
        <f t="shared" si="122"/>
        <v>1</v>
      </c>
      <c r="Y174" s="204">
        <f t="shared" si="117"/>
        <v>5.8678999999999997</v>
      </c>
      <c r="Z174" s="204">
        <f t="shared" si="118"/>
        <v>6.7299999999999999E-2</v>
      </c>
      <c r="AA174" s="204">
        <f t="shared" si="119"/>
        <v>5.8005999999999993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120"/>
        <v>816</v>
      </c>
      <c r="AE17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4" s="74" t="str">
        <f t="shared" si="89"/>
        <v>"C:\Program Files (x86)\AstroGrep\AstroGrep.exe" /e /r /s /spath="%USERPROFILE%\AppData\Local\Temp\OnboardLogs" /stypes="app*4035*20171010*" /stext=" 16:.+((SYSTEM_STATE.+slice.+state.+changed )|(ment ac)|(multiple cpu faults)|(system.+state.+changed )|(\[timeout)|(PRM\|1\|D)|(kpr)|(kdp)|(train st.+moving)|(\|lc)|(penalty))"</v>
      </c>
      <c r="AG174" s="182" t="str">
        <f t="shared" si="121"/>
        <v>NW</v>
      </c>
      <c r="AH174" s="78" t="str">
        <f t="shared" si="91"/>
        <v>"%USERPROFILE%\Documents\GitHub\eaglep3\Utilities\RefineRTDCRunTimes.py" --tripid 816-10 --locoid 4035 --swversion DE.1.0.9.0 --startMP 300:58679 --initTime 2017-10-10T10:25:53 --startdatetime 2017-10-10T10:42:39 --delay 55 --endMP 204:673 --enddatetime 2017-10-10T10:55:29 --enforcementcount 0 &gt;&gt;%USERPROFILE%\Documents\GitHub\eaglep3-reporting\EC\2017-10-10-refined-times.txt</v>
      </c>
      <c r="AI17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{"issue":{"subject":"","project_id":79,"tracker_id":40,"status_id":1,"priority_id":2,"assigned_to_id":338,"start_date":"2017-10-10","description":"","custom_fields":[{"id":1,"name":"Subdivision","value":"NW"},{"id":4,"name":"Milepost","value":"0.0673"},{"id":17,"name":"Train ID","value":"816-10"},{"id":16,"name":"Locomotive ID","value":"4035"},{"id":130,"name":"Impact","value":""},{"id":150,"name":"Time of Event (Mountain Time)","value":"10:55:29"},{"id":151,"name":"Denver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93"/>
        <v>start /low /b %USERPROFILE%\Documents\GitHub\eaglep3\Utilities\DownloadLogsFromS3.py --loco 4035 --day 2017-10-10</v>
      </c>
      <c r="AN17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5"/>
        <v>https://d0f6bd738d7f1b3e5a7ca70fe4ff75f0.us-east-1.aws.found.io/app/kibana#/discover/Steve-Slow-Train-Analysis-(2080s-and-2083s)?_g=(refreshInterval:(display:Off,pause:!f,section:0,value:0),time:(from:'2017-10-10T09:25:53-0600',mode:absolute,to:'2017-10-10T11:55:29-0600'))&amp;_a=(columns:!('Message%20ID',Summary),filters:!(),index:'emp_*',interval:auto,query:(query_string:(analyze_wildcard:!t,query:'%22rtdc.l.rtdc.4035%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716</v>
      </c>
      <c r="B175" s="7">
        <v>4036</v>
      </c>
      <c r="C175" s="21" t="s">
        <v>194</v>
      </c>
      <c r="D175" s="21" t="s">
        <v>580</v>
      </c>
      <c r="E175" s="13">
        <v>43018.45653935185</v>
      </c>
      <c r="F175" s="13">
        <v>43018.46503472222</v>
      </c>
      <c r="G175" s="7">
        <v>51</v>
      </c>
      <c r="H175" s="21" t="s">
        <v>971</v>
      </c>
      <c r="I175" s="13">
        <v>43018.474733796298</v>
      </c>
      <c r="J175" s="7">
        <v>0</v>
      </c>
      <c r="K175" s="89" t="str">
        <f t="shared" si="112"/>
        <v>4035/4036</v>
      </c>
      <c r="L175" s="185" t="str">
        <f>VLOOKUP(A175,'Trips&amp;Operators'!$C$1:$G$99911,5,FALSE)</f>
        <v>FORTUNATO FRANK</v>
      </c>
      <c r="M175" s="6">
        <f t="shared" si="113"/>
        <v>9.6990740785258822E-3</v>
      </c>
      <c r="N175" s="7">
        <f t="shared" si="114"/>
        <v>13.96666667307727</v>
      </c>
      <c r="O175" s="7"/>
      <c r="P175" s="7"/>
      <c r="Q175" s="22"/>
      <c r="R175" s="174"/>
      <c r="S175" s="221">
        <f t="shared" si="115"/>
        <v>1</v>
      </c>
      <c r="T175" s="174" t="str">
        <f t="shared" si="116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2"/>
        <v>https://d0f6bd738d7f1b3e5a7ca70fe4ff75f0.us-east-1.aws.found.io/app/kibana#/discover/Steve-Slow-Train-Analysis-(2080s-and-2083s)?_g=(refreshInterval:(display:Off,pause:!f,section:0,value:0),time:(from:'2017-10-10T09:57:25-0600',mode:absolute,to:'2017-10-10T12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5" s="204" t="str">
        <f>IF(AA175&lt;VLOOKUP(AG175,Variables!$AC$3:$AD$8,2,FALSE),"Y","N")</f>
        <v>N</v>
      </c>
      <c r="X175" s="204">
        <f t="shared" si="122"/>
        <v>1</v>
      </c>
      <c r="Y175" s="204">
        <f t="shared" si="117"/>
        <v>9.3899999999999997E-2</v>
      </c>
      <c r="Z175" s="204">
        <f t="shared" si="118"/>
        <v>5.8983999999999996</v>
      </c>
      <c r="AA175" s="204">
        <f t="shared" si="119"/>
        <v>5.8045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120"/>
        <v>817</v>
      </c>
      <c r="AE17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5" s="74" t="str">
        <f t="shared" si="89"/>
        <v>"C:\Program Files (x86)\AstroGrep\AstroGrep.exe" /e /r /s /spath="%USERPROFILE%\AppData\Local\Temp\OnboardLogs" /stypes="app*4036*20171010*" /stext=" 17:.+((SYSTEM_STATE.+slice.+state.+changed )|(ment ac)|(multiple cpu faults)|(system.+state.+changed )|(\[timeout)|(PRM\|1\|D)|(kpr)|(kdp)|(train st.+moving)|(\|lc)|(penalty))"</v>
      </c>
      <c r="AG175" s="182" t="str">
        <f t="shared" si="121"/>
        <v>NW</v>
      </c>
      <c r="AH175" s="78" t="str">
        <f t="shared" si="91"/>
        <v>"%USERPROFILE%\Documents\GitHub\eaglep3\Utilities\RefineRTDCRunTimes.py" --tripid 817-10 --locoid 4036 --swversion DE.1.0.9.0 --startMP 204:939 --initTime 2017-10-10T10:57:25 --startdatetime 2017-10-10T11:09:39 --delay 51 --endMP 300:58984 --enddatetime 2017-10-10T11:23:37 --enforcementcount 0 &gt;&gt;%USERPROFILE%\Documents\GitHub\eaglep3-reporting\EC\2017-10-10-refined-times.txt</v>
      </c>
      <c r="AI17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{"issue":{"subject":"","project_id":79,"tracker_id":40,"status_id":1,"priority_id":2,"assigned_to_id":338,"start_date":"2017-10-10","description":"","custom_fields":[{"id":1,"name":"Subdivision","value":"NW"},{"id":4,"name":"Milepost","value":"5.8984"},{"id":17,"name":"Train ID","value":"817-10"},{"id":16,"name":"Locomotive ID","value":"4036"},{"id":130,"name":"Impact","value":""},{"id":150,"name":"Time of Event (Mountain Time)","value":"11:23:37"},{"id":151,"name":"Denver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93"/>
        <v>start /low /b %USERPROFILE%\Documents\GitHub\eaglep3\Utilities\DownloadLogsFromS3.py --loco 4036 --day 2017-10-10</v>
      </c>
      <c r="AN17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5"/>
        <v>https://d0f6bd738d7f1b3e5a7ca70fe4ff75f0.us-east-1.aws.found.io/app/kibana#/discover/Steve-Slow-Train-Analysis-(2080s-and-2083s)?_g=(refreshInterval:(display:Off,pause:!f,section:0,value:0),time:(from:'2017-10-10T09:57:25-0600',mode:absolute,to:'2017-10-10T12:23:37-0600'))&amp;_a=(columns:!('Message%20ID',Summary),filters:!(),index:'emp_*',interval:auto,query:(query_string:(analyze_wildcard:!t,query:'%22rtdc.l.rtdc.4036%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722</v>
      </c>
      <c r="B176" s="7">
        <v>4035</v>
      </c>
      <c r="C176" s="21" t="s">
        <v>194</v>
      </c>
      <c r="D176" s="21" t="s">
        <v>972</v>
      </c>
      <c r="E176" s="13">
        <v>43018.476087962961</v>
      </c>
      <c r="F176" s="13">
        <v>43018.488564814812</v>
      </c>
      <c r="G176" s="7">
        <v>50</v>
      </c>
      <c r="H176" s="21" t="s">
        <v>959</v>
      </c>
      <c r="I176" s="13">
        <v>43018.49722222222</v>
      </c>
      <c r="J176" s="7">
        <v>0</v>
      </c>
      <c r="K176" s="89" t="str">
        <f t="shared" si="112"/>
        <v>4035/4036</v>
      </c>
      <c r="L176" s="185" t="str">
        <f>VLOOKUP(A176,'Trips&amp;Operators'!$C$1:$G$99911,5,FALSE)</f>
        <v>FORTUNATO FRANK</v>
      </c>
      <c r="M176" s="6">
        <f t="shared" si="113"/>
        <v>8.6574074084637687E-3</v>
      </c>
      <c r="N176" s="7">
        <f t="shared" si="114"/>
        <v>12.466666668187827</v>
      </c>
      <c r="O176" s="7"/>
      <c r="P176" s="7"/>
      <c r="Q176" s="22"/>
      <c r="R176" s="174"/>
      <c r="S176" s="221">
        <f t="shared" si="115"/>
        <v>1</v>
      </c>
      <c r="T176" s="174" t="str">
        <f t="shared" si="116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2"/>
        <v>https://d0f6bd738d7f1b3e5a7ca70fe4ff75f0.us-east-1.aws.found.io/app/kibana#/discover/Steve-Slow-Train-Analysis-(2080s-and-2083s)?_g=(refreshInterval:(display:Off,pause:!f,section:0,value:0),time:(from:'2017-10-10T10:25:34-0600',mode:absolute,to:'2017-10-10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6" s="204" t="str">
        <f>IF(AA176&lt;VLOOKUP(AG176,Variables!$AC$3:$AD$8,2,FALSE),"Y","N")</f>
        <v>N</v>
      </c>
      <c r="X176" s="204">
        <f t="shared" si="122"/>
        <v>1</v>
      </c>
      <c r="Y176" s="204">
        <f t="shared" si="117"/>
        <v>5.867</v>
      </c>
      <c r="Z176" s="204">
        <f t="shared" si="118"/>
        <v>7.22E-2</v>
      </c>
      <c r="AA176" s="204">
        <f t="shared" si="119"/>
        <v>5.7948000000000004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120"/>
        <v>818</v>
      </c>
      <c r="AE17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6" s="74" t="str">
        <f t="shared" si="89"/>
        <v>"C:\Program Files (x86)\AstroGrep\AstroGrep.exe" /e /r /s /spath="%USERPROFILE%\AppData\Local\Temp\OnboardLogs" /stypes="app*4035*20171010*" /stext=" 17:.+((SYSTEM_STATE.+slice.+state.+changed )|(ment ac)|(multiple cpu faults)|(system.+state.+changed )|(\[timeout)|(PRM\|1\|D)|(kpr)|(kdp)|(train st.+moving)|(\|lc)|(penalty))"</v>
      </c>
      <c r="AG176" s="182" t="str">
        <f t="shared" si="121"/>
        <v>NW</v>
      </c>
      <c r="AH176" s="78" t="str">
        <f t="shared" si="91"/>
        <v>"%USERPROFILE%\Documents\GitHub\eaglep3\Utilities\RefineRTDCRunTimes.py" --tripid 818-10 --locoid 4035 --swversion DE.1.0.9.0 --startMP 300:58670 --initTime 2017-10-10T11:25:34 --startdatetime 2017-10-10T11:43:32 --delay 50 --endMP 204:722 --enddatetime 2017-10-10T11:56:00 --enforcementcount 0 &gt;&gt;%USERPROFILE%\Documents\GitHub\eaglep3-reporting\EC\2017-10-10-refined-times.txt</v>
      </c>
      <c r="AI17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{"issue":{"subject":"","project_id":79,"tracker_id":40,"status_id":1,"priority_id":2,"assigned_to_id":338,"start_date":"2017-10-10","description":"","custom_fields":[{"id":1,"name":"Subdivision","value":"NW"},{"id":4,"name":"Milepost","value":"0.0722"},{"id":17,"name":"Train ID","value":"818-10"},{"id":16,"name":"Locomotive ID","value":"4035"},{"id":130,"name":"Impact","value":""},{"id":150,"name":"Time of Event (Mountain Time)","value":"11:56:00"},{"id":151,"name":"Denver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93"/>
        <v>start /low /b %USERPROFILE%\Documents\GitHub\eaglep3\Utilities\DownloadLogsFromS3.py --loco 4035 --day 2017-10-10</v>
      </c>
      <c r="AN17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5"/>
        <v>https://d0f6bd738d7f1b3e5a7ca70fe4ff75f0.us-east-1.aws.found.io/app/kibana#/discover/Steve-Slow-Train-Analysis-(2080s-and-2083s)?_g=(refreshInterval:(display:Off,pause:!f,section:0,value:0),time:(from:'2017-10-10T10:25:34-0600',mode:absolute,to:'2017-10-10T12:56:00-0600'))&amp;_a=(columns:!('Message%20ID',Summary),filters:!(),index:'emp_*',interval:auto,query:(query_string:(analyze_wildcard:!t,query:'%22rtdc.l.rtdc.4035%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732</v>
      </c>
      <c r="B177" s="7">
        <v>4036</v>
      </c>
      <c r="C177" s="21" t="s">
        <v>194</v>
      </c>
      <c r="D177" s="21" t="s">
        <v>574</v>
      </c>
      <c r="E177" s="13">
        <v>43018.49931712963</v>
      </c>
      <c r="F177" s="13">
        <v>43018.506562499999</v>
      </c>
      <c r="G177" s="7">
        <v>63</v>
      </c>
      <c r="H177" s="21" t="s">
        <v>581</v>
      </c>
      <c r="I177" s="13">
        <v>43018.516458333332</v>
      </c>
      <c r="J177" s="7">
        <v>0</v>
      </c>
      <c r="K177" s="89" t="str">
        <f t="shared" si="112"/>
        <v>4035/4036</v>
      </c>
      <c r="L177" s="185" t="str">
        <f>VLOOKUP(A177,'Trips&amp;Operators'!$C$1:$G$99911,5,FALSE)</f>
        <v>FORTUNATO FRANK</v>
      </c>
      <c r="M177" s="6">
        <f t="shared" si="113"/>
        <v>9.8958333328482695E-3</v>
      </c>
      <c r="N177" s="7">
        <f t="shared" si="114"/>
        <v>14.249999999301508</v>
      </c>
      <c r="O177" s="7"/>
      <c r="P177" s="7"/>
      <c r="Q177" s="22"/>
      <c r="R177" s="174"/>
      <c r="S177" s="221">
        <f t="shared" si="115"/>
        <v>1</v>
      </c>
      <c r="T177" s="174" t="str">
        <f t="shared" si="116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2"/>
        <v>https://d0f6bd738d7f1b3e5a7ca70fe4ff75f0.us-east-1.aws.found.io/app/kibana#/discover/Steve-Slow-Train-Analysis-(2080s-and-2083s)?_g=(refreshInterval:(display:Off,pause:!f,section:0,value:0),time:(from:'2017-10-10T10:59:01-0600',mode:absolute,to:'2017-10-10T13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7" s="204" t="str">
        <f>IF(AA177&lt;VLOOKUP(AG177,Variables!$AC$3:$AD$8,2,FALSE),"Y","N")</f>
        <v>N</v>
      </c>
      <c r="X177" s="204">
        <f t="shared" si="122"/>
        <v>1</v>
      </c>
      <c r="Y177" s="204">
        <f t="shared" si="117"/>
        <v>9.8100000000000007E-2</v>
      </c>
      <c r="Z177" s="204">
        <f t="shared" si="118"/>
        <v>5.8958000000000004</v>
      </c>
      <c r="AA177" s="204">
        <f t="shared" si="119"/>
        <v>5.7977000000000007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120"/>
        <v>819</v>
      </c>
      <c r="AE177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7" s="74" t="str">
        <f t="shared" si="89"/>
        <v>"C:\Program Files (x86)\AstroGrep\AstroGrep.exe" /e /r /s /spath="%USERPROFILE%\AppData\Local\Temp\OnboardLogs" /stypes="app*4036*20171010*" /stext=" 18:.+((SYSTEM_STATE.+slice.+state.+changed )|(ment ac)|(multiple cpu faults)|(system.+state.+changed )|(\[timeout)|(PRM\|1\|D)|(kpr)|(kdp)|(train st.+moving)|(\|lc)|(penalty))"</v>
      </c>
      <c r="AG177" s="182" t="str">
        <f t="shared" si="121"/>
        <v>NW</v>
      </c>
      <c r="AH177" s="78" t="str">
        <f t="shared" si="91"/>
        <v>"%USERPROFILE%\Documents\GitHub\eaglep3\Utilities\RefineRTDCRunTimes.py" --tripid 819-10 --locoid 4036 --swversion DE.1.0.9.0 --startMP 204:981 --initTime 2017-10-10T11:59:01 --startdatetime 2017-10-10T12:09:27 --delay 63 --endMP 300:58958 --enddatetime 2017-10-10T12:23:42 --enforcementcount 0 &gt;&gt;%USERPROFILE%\Documents\GitHub\eaglep3-reporting\EC\2017-10-10-refined-times.txt</v>
      </c>
      <c r="AI17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{"issue":{"subject":"","project_id":79,"tracker_id":40,"status_id":1,"priority_id":2,"assigned_to_id":338,"start_date":"2017-10-10","description":"","custom_fields":[{"id":1,"name":"Subdivision","value":"NW"},{"id":4,"name":"Milepost","value":"5.8958"},{"id":17,"name":"Train ID","value":"819-10"},{"id":16,"name":"Locomotive ID","value":"4036"},{"id":130,"name":"Impact","value":""},{"id":150,"name":"Time of Event (Mountain Time)","value":"12:23:42"},{"id":151,"name":"Denver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93"/>
        <v>start /low /b %USERPROFILE%\Documents\GitHub\eaglep3\Utilities\DownloadLogsFromS3.py --loco 4036 --day 2017-10-10</v>
      </c>
      <c r="AN17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5"/>
        <v>https://d0f6bd738d7f1b3e5a7ca70fe4ff75f0.us-east-1.aws.found.io/app/kibana#/discover/Steve-Slow-Train-Analysis-(2080s-and-2083s)?_g=(refreshInterval:(display:Off,pause:!f,section:0,value:0),time:(from:'2017-10-10T10:59:01-0600',mode:absolute,to:'2017-10-10T13:23:42-0600'))&amp;_a=(columns:!('Message%20ID',Summary),filters:!(),index:'emp_*',interval:auto,query:(query_string:(analyze_wildcard:!t,query:'%22rtdc.l.rtdc.4036%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736</v>
      </c>
      <c r="B178" s="7">
        <v>4035</v>
      </c>
      <c r="C178" s="21" t="s">
        <v>194</v>
      </c>
      <c r="D178" s="21" t="s">
        <v>973</v>
      </c>
      <c r="E178" s="13">
        <v>43018.517685185187</v>
      </c>
      <c r="F178" s="13">
        <v>43018.529386574075</v>
      </c>
      <c r="G178" s="7">
        <v>54</v>
      </c>
      <c r="H178" s="21" t="s">
        <v>974</v>
      </c>
      <c r="I178" s="13">
        <v>43018.538344907407</v>
      </c>
      <c r="J178" s="7">
        <v>0</v>
      </c>
      <c r="K178" s="89" t="str">
        <f t="shared" si="112"/>
        <v>4035/4036</v>
      </c>
      <c r="L178" s="185" t="str">
        <f>VLOOKUP(A178,'Trips&amp;Operators'!$C$1:$G$99911,5,FALSE)</f>
        <v>FORTUNATO FRANK</v>
      </c>
      <c r="M178" s="6">
        <f t="shared" si="113"/>
        <v>8.9583333319751546E-3</v>
      </c>
      <c r="N178" s="7">
        <f t="shared" si="114"/>
        <v>12.899999998044223</v>
      </c>
      <c r="O178" s="7"/>
      <c r="P178" s="7"/>
      <c r="Q178" s="22"/>
      <c r="R178" s="174"/>
      <c r="S178" s="221">
        <f t="shared" si="115"/>
        <v>1</v>
      </c>
      <c r="T178" s="174" t="str">
        <f t="shared" si="116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2"/>
        <v>https://d0f6bd738d7f1b3e5a7ca70fe4ff75f0.us-east-1.aws.found.io/app/kibana#/discover/Steve-Slow-Train-Analysis-(2080s-and-2083s)?_g=(refreshInterval:(display:Off,pause:!f,section:0,value:0),time:(from:'2017-10-10T11:25:28-0600',mode:absolute,to:'2017-10-10T13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8" s="204" t="str">
        <f>IF(AA178&lt;VLOOKUP(AG178,Variables!$AC$3:$AD$8,2,FALSE),"Y","N")</f>
        <v>N</v>
      </c>
      <c r="X178" s="204">
        <f t="shared" si="122"/>
        <v>1</v>
      </c>
      <c r="Y178" s="204">
        <f t="shared" si="117"/>
        <v>5.8654999999999999</v>
      </c>
      <c r="Z178" s="204">
        <f t="shared" si="118"/>
        <v>7.2900000000000006E-2</v>
      </c>
      <c r="AA178" s="204">
        <f t="shared" si="119"/>
        <v>5.7926000000000002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120"/>
        <v>820</v>
      </c>
      <c r="AE17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8" s="74" t="str">
        <f t="shared" si="89"/>
        <v>"C:\Program Files (x86)\AstroGrep\AstroGrep.exe" /e /r /s /spath="%USERPROFILE%\AppData\Local\Temp\OnboardLogs" /stypes="app*4035*20171010*" /stext=" 18:.+((SYSTEM_STATE.+slice.+state.+changed )|(ment ac)|(multiple cpu faults)|(system.+state.+changed )|(\[timeout)|(PRM\|1\|D)|(kpr)|(kdp)|(train st.+moving)|(\|lc)|(penalty))"</v>
      </c>
      <c r="AG178" s="182" t="str">
        <f t="shared" si="121"/>
        <v>NW</v>
      </c>
      <c r="AH178" s="78" t="str">
        <f t="shared" si="91"/>
        <v>"%USERPROFILE%\Documents\GitHub\eaglep3\Utilities\RefineRTDCRunTimes.py" --tripid 820-10 --locoid 4035 --swversion DE.1.0.9.0 --startMP 300:58655 --initTime 2017-10-10T12:25:28 --startdatetime 2017-10-10T12:42:19 --delay 54 --endMP 204:729 --enddatetime 2017-10-10T12:55:13 --enforcementcount 0 &gt;&gt;%USERPROFILE%\Documents\GitHub\eaglep3-reporting\EC\2017-10-10-refined-times.txt</v>
      </c>
      <c r="AI17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{"issue":{"subject":"","project_id":79,"tracker_id":40,"status_id":1,"priority_id":2,"assigned_to_id":338,"start_date":"2017-10-10","description":"","custom_fields":[{"id":1,"name":"Subdivision","value":"NW"},{"id":4,"name":"Milepost","value":"0.0729"},{"id":17,"name":"Train ID","value":"820-10"},{"id":16,"name":"Locomotive ID","value":"4035"},{"id":130,"name":"Impact","value":""},{"id":150,"name":"Time of Event (Mountain Time)","value":"12:55:13"},{"id":151,"name":"Denver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93"/>
        <v>start /low /b %USERPROFILE%\Documents\GitHub\eaglep3\Utilities\DownloadLogsFromS3.py --loco 4035 --day 2017-10-10</v>
      </c>
      <c r="AN17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5"/>
        <v>https://d0f6bd738d7f1b3e5a7ca70fe4ff75f0.us-east-1.aws.found.io/app/kibana#/discover/Steve-Slow-Train-Analysis-(2080s-and-2083s)?_g=(refreshInterval:(display:Off,pause:!f,section:0,value:0),time:(from:'2017-10-10T11:25:28-0600',mode:absolute,to:'2017-10-10T13:55:13-0600'))&amp;_a=(columns:!('Message%20ID',Summary),filters:!(),index:'emp_*',interval:auto,query:(query_string:(analyze_wildcard:!t,query:'%22rtdc.l.rtdc.4035%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743</v>
      </c>
      <c r="B179" s="7">
        <v>4036</v>
      </c>
      <c r="C179" s="21" t="s">
        <v>194</v>
      </c>
      <c r="D179" s="21" t="s">
        <v>490</v>
      </c>
      <c r="E179" s="13">
        <v>43018.539814814816</v>
      </c>
      <c r="F179" s="13">
        <v>43018.548472222225</v>
      </c>
      <c r="G179" s="7">
        <v>117</v>
      </c>
      <c r="H179" s="21" t="s">
        <v>524</v>
      </c>
      <c r="I179" s="13">
        <v>43018.557974537034</v>
      </c>
      <c r="J179" s="7">
        <v>0</v>
      </c>
      <c r="K179" s="89" t="str">
        <f t="shared" si="112"/>
        <v>4035/4036</v>
      </c>
      <c r="L179" s="185" t="str">
        <f>VLOOKUP(A179,'Trips&amp;Operators'!$C$1:$G$99911,5,FALSE)</f>
        <v>GUZMAN DANNY</v>
      </c>
      <c r="M179" s="6">
        <f t="shared" si="113"/>
        <v>9.5023148096515797E-3</v>
      </c>
      <c r="N179" s="7">
        <f t="shared" si="114"/>
        <v>13.683333325898275</v>
      </c>
      <c r="O179" s="7"/>
      <c r="P179" s="7"/>
      <c r="Q179" s="22"/>
      <c r="R179" s="174"/>
      <c r="S179" s="221">
        <f t="shared" si="115"/>
        <v>1</v>
      </c>
      <c r="T179" s="174" t="str">
        <f t="shared" si="116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2"/>
        <v>https://d0f6bd738d7f1b3e5a7ca70fe4ff75f0.us-east-1.aws.found.io/app/kibana#/discover/Steve-Slow-Train-Analysis-(2080s-and-2083s)?_g=(refreshInterval:(display:Off,pause:!f,section:0,value:0),time:(from:'2017-10-10T11:57:20-0600',mode:absolute,to:'2017-10-10T14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9" s="204" t="str">
        <f>IF(AA179&lt;VLOOKUP(AG179,Variables!$AC$3:$AD$8,2,FALSE),"Y","N")</f>
        <v>N</v>
      </c>
      <c r="X179" s="204">
        <f t="shared" si="122"/>
        <v>1</v>
      </c>
      <c r="Y179" s="204">
        <f t="shared" si="117"/>
        <v>9.9199999999999997E-2</v>
      </c>
      <c r="Z179" s="204">
        <f t="shared" si="118"/>
        <v>5.8939000000000004</v>
      </c>
      <c r="AA179" s="204">
        <f t="shared" si="119"/>
        <v>5.7947000000000006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120"/>
        <v>821</v>
      </c>
      <c r="AE17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9" s="74" t="str">
        <f t="shared" si="89"/>
        <v>"C:\Program Files (x86)\AstroGrep\AstroGrep.exe" /e /r /s /spath="%USERPROFILE%\AppData\Local\Temp\OnboardLogs" /stypes="app*4036*20171010*" /stext=" 19:.+((SYSTEM_STATE.+slice.+state.+changed )|(ment ac)|(multiple cpu faults)|(system.+state.+changed )|(\[timeout)|(PRM\|1\|D)|(kpr)|(kdp)|(train st.+moving)|(\|lc)|(penalty))"</v>
      </c>
      <c r="AG179" s="182" t="str">
        <f t="shared" si="121"/>
        <v>NW</v>
      </c>
      <c r="AH179" s="78" t="str">
        <f t="shared" si="91"/>
        <v>"%USERPROFILE%\Documents\GitHub\eaglep3\Utilities\RefineRTDCRunTimes.py" --tripid 821-10 --locoid 4036 --swversion DE.1.0.9.0 --startMP 204:992 --initTime 2017-10-10T12:57:20 --startdatetime 2017-10-10T13:09:48 --delay 117 --endMP 300:58939 --enddatetime 2017-10-10T13:23:29 --enforcementcount 0 &gt;&gt;%USERPROFILE%\Documents\GitHub\eaglep3-reporting\EC\2017-10-10-refined-times.txt</v>
      </c>
      <c r="AI17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ID","value":"821-10"},{"id":16,"name":"Locomotive ID","value":"4036"},{"id":130,"name":"Impact","value":""},{"id":150,"name":"Time of Event (Mountain Time)","value":"13:23:29"},{"id":151,"name":"Denver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93"/>
        <v>start /low /b %USERPROFILE%\Documents\GitHub\eaglep3\Utilities\DownloadLogsFromS3.py --loco 4036 --day 2017-10-10</v>
      </c>
      <c r="AN17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5"/>
        <v>https://d0f6bd738d7f1b3e5a7ca70fe4ff75f0.us-east-1.aws.found.io/app/kibana#/discover/Steve-Slow-Train-Analysis-(2080s-and-2083s)?_g=(refreshInterval:(display:Off,pause:!f,section:0,value:0),time:(from:'2017-10-10T11:57:20-0600',mode:absolute,to:'2017-10-10T14:23:29-0600'))&amp;_a=(columns:!('Message%20ID',Summary),filters:!(),index:'emp_*',interval:auto,query:(query_string:(analyze_wildcard:!t,query:'%22rtdc.l.rtdc.4036%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748</v>
      </c>
      <c r="B180" s="7">
        <v>4035</v>
      </c>
      <c r="C180" s="21" t="s">
        <v>194</v>
      </c>
      <c r="D180" s="21" t="s">
        <v>492</v>
      </c>
      <c r="E180" s="13">
        <v>43018.560891203706</v>
      </c>
      <c r="F180" s="13">
        <v>43018.571238425924</v>
      </c>
      <c r="G180" s="7">
        <v>60</v>
      </c>
      <c r="H180" s="21" t="s">
        <v>975</v>
      </c>
      <c r="I180" s="13">
        <v>43018.579884259256</v>
      </c>
      <c r="J180" s="7">
        <v>0</v>
      </c>
      <c r="K180" s="89" t="str">
        <f t="shared" si="112"/>
        <v>4035/4036</v>
      </c>
      <c r="L180" s="185" t="str">
        <f>VLOOKUP(A180,'Trips&amp;Operators'!$C$1:$G$99911,5,FALSE)</f>
        <v>GUZMAN DANNY</v>
      </c>
      <c r="M180" s="6">
        <f t="shared" si="113"/>
        <v>8.6458333316841163E-3</v>
      </c>
      <c r="N180" s="7">
        <f t="shared" si="114"/>
        <v>12.449999997625127</v>
      </c>
      <c r="O180" s="7"/>
      <c r="P180" s="7"/>
      <c r="Q180" s="22"/>
      <c r="R180" s="174"/>
      <c r="S180" s="221">
        <f t="shared" si="115"/>
        <v>1</v>
      </c>
      <c r="T180" s="174" t="str">
        <f t="shared" si="116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2"/>
        <v>https://d0f6bd738d7f1b3e5a7ca70fe4ff75f0.us-east-1.aws.found.io/app/kibana#/discover/Steve-Slow-Train-Analysis-(2080s-and-2083s)?_g=(refreshInterval:(display:Off,pause:!f,section:0,value:0),time:(from:'2017-10-10T12:27:41-0600',mode:absolute,to:'2017-10-10T14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0" s="204" t="str">
        <f>IF(AA180&lt;VLOOKUP(AG180,Variables!$AC$3:$AD$8,2,FALSE),"Y","N")</f>
        <v>N</v>
      </c>
      <c r="X180" s="204">
        <f t="shared" si="122"/>
        <v>1</v>
      </c>
      <c r="Y180" s="204">
        <f t="shared" si="117"/>
        <v>5.8616999999999999</v>
      </c>
      <c r="Z180" s="204">
        <f t="shared" si="118"/>
        <v>6.7500000000000004E-2</v>
      </c>
      <c r="AA180" s="204">
        <f t="shared" si="119"/>
        <v>5.7942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120"/>
        <v>822</v>
      </c>
      <c r="AE18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0" s="74" t="str">
        <f t="shared" si="89"/>
        <v>"C:\Program Files (x86)\AstroGrep\AstroGrep.exe" /e /r /s /spath="%USERPROFILE%\AppData\Local\Temp\OnboardLogs" /stypes="app*4035*20171010*" /stext=" 19:.+((SYSTEM_STATE.+slice.+state.+changed )|(ment ac)|(multiple cpu faults)|(system.+state.+changed )|(\[timeout)|(PRM\|1\|D)|(kpr)|(kdp)|(train st.+moving)|(\|lc)|(penalty))"</v>
      </c>
      <c r="AG180" s="182" t="str">
        <f t="shared" si="121"/>
        <v>NW</v>
      </c>
      <c r="AH180" s="78" t="str">
        <f t="shared" si="91"/>
        <v>"%USERPROFILE%\Documents\GitHub\eaglep3\Utilities\RefineRTDCRunTimes.py" --tripid 822-10 --locoid 4035 --swversion DE.1.0.9.0 --startMP 300:58617 --initTime 2017-10-10T13:27:41 --startdatetime 2017-10-10T13:42:35 --delay 60 --endMP 204:675 --enddatetime 2017-10-10T13:55:02 --enforcementcount 0 &gt;&gt;%USERPROFILE%\Documents\GitHub\eaglep3-reporting\EC\2017-10-10-refined-times.txt</v>
      </c>
      <c r="AI18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{"issue":{"subject":"","project_id":79,"tracker_id":40,"status_id":1,"priority_id":2,"assigned_to_id":338,"start_date":"2017-10-10","description":"","custom_fields":[{"id":1,"name":"Subdivision","value":"NW"},{"id":4,"name":"Milepost","value":"0.0675"},{"id":17,"name":"Train ID","value":"822-10"},{"id":16,"name":"Locomotive ID","value":"4035"},{"id":130,"name":"Impact","value":""},{"id":150,"name":"Time of Event (Mountain Time)","value":"13:55:02"},{"id":151,"name":"Denver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93"/>
        <v>start /low /b %USERPROFILE%\Documents\GitHub\eaglep3\Utilities\DownloadLogsFromS3.py --loco 4035 --day 2017-10-10</v>
      </c>
      <c r="AN18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5"/>
        <v>https://d0f6bd738d7f1b3e5a7ca70fe4ff75f0.us-east-1.aws.found.io/app/kibana#/discover/Steve-Slow-Train-Analysis-(2080s-and-2083s)?_g=(refreshInterval:(display:Off,pause:!f,section:0,value:0),time:(from:'2017-10-10T12:27:41-0600',mode:absolute,to:'2017-10-10T14:55:02-0600'))&amp;_a=(columns:!('Message%20ID',Summary),filters:!(),index:'emp_*',interval:auto,query:(query_string:(analyze_wildcard:!t,query:'%22rtdc.l.rtdc.4035%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752</v>
      </c>
      <c r="B181" s="7">
        <v>4036</v>
      </c>
      <c r="C181" s="21" t="s">
        <v>194</v>
      </c>
      <c r="D181" s="21" t="s">
        <v>976</v>
      </c>
      <c r="E181" s="13">
        <v>43018.586284722223</v>
      </c>
      <c r="F181" s="13">
        <v>43018.590104166666</v>
      </c>
      <c r="G181" s="7">
        <v>55</v>
      </c>
      <c r="H181" s="21" t="s">
        <v>493</v>
      </c>
      <c r="I181" s="13">
        <v>43018.599988425929</v>
      </c>
      <c r="J181" s="7">
        <v>0</v>
      </c>
      <c r="K181" s="89" t="str">
        <f t="shared" si="112"/>
        <v>4035/4036</v>
      </c>
      <c r="L181" s="185" t="str">
        <f>VLOOKUP(A181,'Trips&amp;Operators'!$C$1:$G$99911,5,FALSE)</f>
        <v>GUZMAN DANNY</v>
      </c>
      <c r="M181" s="6">
        <f t="shared" si="113"/>
        <v>9.8842592633445747E-3</v>
      </c>
      <c r="N181" s="7">
        <f t="shared" si="114"/>
        <v>14.233333339216188</v>
      </c>
      <c r="O181" s="7"/>
      <c r="P181" s="7"/>
      <c r="Q181" s="22"/>
      <c r="R181" s="174"/>
      <c r="S181" s="221">
        <f t="shared" si="115"/>
        <v>1</v>
      </c>
      <c r="T181" s="174" t="str">
        <f t="shared" si="11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2"/>
        <v>https://d0f6bd738d7f1b3e5a7ca70fe4ff75f0.us-east-1.aws.found.io/app/kibana#/discover/Steve-Slow-Train-Analysis-(2080s-and-2083s)?_g=(refreshInterval:(display:Off,pause:!f,section:0,value:0),time:(from:'2017-10-10T13:04:15-0600',mode:absolute,to:'2017-10-10T15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1" s="204" t="str">
        <f>IF(AA181&lt;VLOOKUP(AG181,Variables!$AC$3:$AD$8,2,FALSE),"Y","N")</f>
        <v>N</v>
      </c>
      <c r="X181" s="204">
        <f t="shared" si="122"/>
        <v>1</v>
      </c>
      <c r="Y181" s="204">
        <f t="shared" si="117"/>
        <v>9.5799999999999996E-2</v>
      </c>
      <c r="Z181" s="204">
        <f t="shared" si="118"/>
        <v>5.8930999999999996</v>
      </c>
      <c r="AA181" s="204">
        <f t="shared" si="119"/>
        <v>5.7972999999999999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120"/>
        <v>823</v>
      </c>
      <c r="AE18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1" s="74" t="str">
        <f t="shared" si="89"/>
        <v>"C:\Program Files (x86)\AstroGrep\AstroGrep.exe" /e /r /s /spath="%USERPROFILE%\AppData\Local\Temp\OnboardLogs" /stypes="app*4036*20171010*" /stext=" 20:.+((SYSTEM_STATE.+slice.+state.+changed )|(ment ac)|(multiple cpu faults)|(system.+state.+changed )|(\[timeout)|(PRM\|1\|D)|(kpr)|(kdp)|(train st.+moving)|(\|lc)|(penalty))"</v>
      </c>
      <c r="AG181" s="182" t="str">
        <f t="shared" si="121"/>
        <v>NW</v>
      </c>
      <c r="AH181" s="78" t="str">
        <f t="shared" si="91"/>
        <v>"%USERPROFILE%\Documents\GitHub\eaglep3\Utilities\RefineRTDCRunTimes.py" --tripid 823-10 --locoid 4036 --swversion DE.1.0.9.0 --startMP 204:958 --initTime 2017-10-10T14:04:15 --startdatetime 2017-10-10T14:09:45 --delay 55 --endMP 300:58931 --enddatetime 2017-10-10T14:23:59 --enforcementcount 0 &gt;&gt;%USERPROFILE%\Documents\GitHub\eaglep3-reporting\EC\2017-10-10-refined-times.txt</v>
      </c>
      <c r="AI18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{"issue":{"subject":"","project_id":79,"tracker_id":40,"status_id":1,"priority_id":2,"assigned_to_id":338,"start_date":"2017-10-10","description":"","custom_fields":[{"id":1,"name":"Subdivision","value":"NW"},{"id":4,"name":"Milepost","value":"5.8931"},{"id":17,"name":"Train ID","value":"823-10"},{"id":16,"name":"Locomotive ID","value":"4036"},{"id":130,"name":"Impact","value":""},{"id":150,"name":"Time of Event (Mountain Time)","value":"14:23:59"},{"id":151,"name":"Denver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93"/>
        <v>start /low /b %USERPROFILE%\Documents\GitHub\eaglep3\Utilities\DownloadLogsFromS3.py --loco 4036 --day 2017-10-10</v>
      </c>
      <c r="AN18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5"/>
        <v>https://d0f6bd738d7f1b3e5a7ca70fe4ff75f0.us-east-1.aws.found.io/app/kibana#/discover/Steve-Slow-Train-Analysis-(2080s-and-2083s)?_g=(refreshInterval:(display:Off,pause:!f,section:0,value:0),time:(from:'2017-10-10T13:04:15-0600',mode:absolute,to:'2017-10-10T15:23:59-0600'))&amp;_a=(columns:!('Message%20ID',Summary),filters:!(),index:'emp_*',interval:auto,query:(query_string:(analyze_wildcard:!t,query:'%22rtdc.l.rtdc.4036%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756</v>
      </c>
      <c r="B182" s="7">
        <v>4035</v>
      </c>
      <c r="C182" s="21" t="s">
        <v>194</v>
      </c>
      <c r="D182" s="21" t="s">
        <v>525</v>
      </c>
      <c r="E182" s="13">
        <v>43018.600902777776</v>
      </c>
      <c r="F182" s="13">
        <v>43018.61341435185</v>
      </c>
      <c r="G182" s="7">
        <v>48</v>
      </c>
      <c r="H182" s="21" t="s">
        <v>429</v>
      </c>
      <c r="I182" s="13">
        <v>43018.621747685182</v>
      </c>
      <c r="J182" s="7">
        <v>0</v>
      </c>
      <c r="K182" s="89" t="str">
        <f t="shared" si="112"/>
        <v>4035/4036</v>
      </c>
      <c r="L182" s="185" t="str">
        <f>VLOOKUP(A182,'Trips&amp;Operators'!$C$1:$G$99911,5,FALSE)</f>
        <v>GUZMAN DANNY</v>
      </c>
      <c r="M182" s="6">
        <f t="shared" si="113"/>
        <v>8.333333331393078E-3</v>
      </c>
      <c r="N182" s="7">
        <f t="shared" si="114"/>
        <v>11.999999997206032</v>
      </c>
      <c r="O182" s="7"/>
      <c r="P182" s="7"/>
      <c r="Q182" s="22"/>
      <c r="R182" s="174"/>
      <c r="S182" s="221">
        <f t="shared" si="115"/>
        <v>1</v>
      </c>
      <c r="T182" s="174" t="str">
        <f t="shared" si="11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2"/>
        <v>https://d0f6bd738d7f1b3e5a7ca70fe4ff75f0.us-east-1.aws.found.io/app/kibana#/discover/Steve-Slow-Train-Analysis-(2080s-and-2083s)?_g=(refreshInterval:(display:Off,pause:!f,section:0,value:0),time:(from:'2017-10-10T13:25:18-0600',mode:absolute,to:'2017-10-10T15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2" s="204" t="str">
        <f>IF(AA182&lt;VLOOKUP(AG182,Variables!$AC$3:$AD$8,2,FALSE),"Y","N")</f>
        <v>N</v>
      </c>
      <c r="X182" s="204">
        <f t="shared" si="122"/>
        <v>1</v>
      </c>
      <c r="Y182" s="204">
        <f t="shared" si="117"/>
        <v>5.8615000000000004</v>
      </c>
      <c r="Z182" s="204">
        <f t="shared" si="118"/>
        <v>6.9400000000000003E-2</v>
      </c>
      <c r="AA182" s="204">
        <f t="shared" si="119"/>
        <v>5.7921000000000005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120"/>
        <v>824</v>
      </c>
      <c r="AE18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2" s="74" t="str">
        <f t="shared" si="89"/>
        <v>"C:\Program Files (x86)\AstroGrep\AstroGrep.exe" /e /r /s /spath="%USERPROFILE%\AppData\Local\Temp\OnboardLogs" /stypes="app*4035*20171010*" /stext=" 20:.+((SYSTEM_STATE.+slice.+state.+changed )|(ment ac)|(multiple cpu faults)|(system.+state.+changed )|(\[timeout)|(PRM\|1\|D)|(kpr)|(kdp)|(train st.+moving)|(\|lc)|(penalty))"</v>
      </c>
      <c r="AG182" s="182" t="str">
        <f t="shared" si="121"/>
        <v>NW</v>
      </c>
      <c r="AH182" s="78" t="str">
        <f t="shared" si="91"/>
        <v>"%USERPROFILE%\Documents\GitHub\eaglep3\Utilities\RefineRTDCRunTimes.py" --tripid 824-10 --locoid 4035 --swversion DE.1.0.9.0 --startMP 300:58615 --initTime 2017-10-10T14:25:18 --startdatetime 2017-10-10T14:43:19 --delay 48 --endMP 204:694 --enddatetime 2017-10-10T14:55:19 --enforcementcount 0 &gt;&gt;%USERPROFILE%\Documents\GitHub\eaglep3-reporting\EC\2017-10-10-refined-times.txt</v>
      </c>
      <c r="AI18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{"issue":{"subject":"","project_id":79,"tracker_id":40,"status_id":1,"priority_id":2,"assigned_to_id":338,"start_date":"2017-10-10","description":"","custom_fields":[{"id":1,"name":"Subdivision","value":"NW"},{"id":4,"name":"Milepost","value":"0.0694"},{"id":17,"name":"Train ID","value":"824-10"},{"id":16,"name":"Locomotive ID","value":"4035"},{"id":130,"name":"Impact","value":""},{"id":150,"name":"Time of Event (Mountain Time)","value":"14:55:19"},{"id":151,"name":"Denver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93"/>
        <v>start /low /b %USERPROFILE%\Documents\GitHub\eaglep3\Utilities\DownloadLogsFromS3.py --loco 4035 --day 2017-10-10</v>
      </c>
      <c r="AN18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5"/>
        <v>https://d0f6bd738d7f1b3e5a7ca70fe4ff75f0.us-east-1.aws.found.io/app/kibana#/discover/Steve-Slow-Train-Analysis-(2080s-and-2083s)?_g=(refreshInterval:(display:Off,pause:!f,section:0,value:0),time:(from:'2017-10-10T13:25:18-0600',mode:absolute,to:'2017-10-10T15:55:19-0600'))&amp;_a=(columns:!('Message%20ID',Summary),filters:!(),index:'emp_*',interval:auto,query:(query_string:(analyze_wildcard:!t,query:'%22rtdc.l.rtdc.4035%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761</v>
      </c>
      <c r="B183" s="7">
        <v>4036</v>
      </c>
      <c r="C183" s="21" t="s">
        <v>194</v>
      </c>
      <c r="D183" s="21" t="s">
        <v>960</v>
      </c>
      <c r="E183" s="13">
        <v>43018.627453703702</v>
      </c>
      <c r="F183" s="13">
        <v>43018.631423611114</v>
      </c>
      <c r="G183" s="7">
        <v>53</v>
      </c>
      <c r="H183" s="21" t="s">
        <v>587</v>
      </c>
      <c r="I183" s="13">
        <v>43018.641585648147</v>
      </c>
      <c r="J183" s="7">
        <v>0</v>
      </c>
      <c r="K183" s="89" t="str">
        <f t="shared" si="112"/>
        <v>4035/4036</v>
      </c>
      <c r="L183" s="185" t="str">
        <f>VLOOKUP(A183,'Trips&amp;Operators'!$C$1:$G$99911,5,FALSE)</f>
        <v>GUZMAN DANNY</v>
      </c>
      <c r="M183" s="6">
        <f t="shared" si="113"/>
        <v>1.0162037033296656E-2</v>
      </c>
      <c r="N183" s="7">
        <f t="shared" si="114"/>
        <v>14.633333327947184</v>
      </c>
      <c r="O183" s="7"/>
      <c r="P183" s="7"/>
      <c r="Q183" s="22"/>
      <c r="R183" s="174"/>
      <c r="S183" s="221">
        <f t="shared" si="115"/>
        <v>1</v>
      </c>
      <c r="T183" s="174" t="str">
        <f t="shared" si="11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2"/>
        <v>https://d0f6bd738d7f1b3e5a7ca70fe4ff75f0.us-east-1.aws.found.io/app/kibana#/discover/Steve-Slow-Train-Analysis-(2080s-and-2083s)?_g=(refreshInterval:(display:Off,pause:!f,section:0,value:0),time:(from:'2017-10-10T14:03:32-0600',mode:absolute,to:'2017-10-10T16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3" s="204" t="str">
        <f>IF(AA183&lt;VLOOKUP(AG183,Variables!$AC$3:$AD$8,2,FALSE),"Y","N")</f>
        <v>N</v>
      </c>
      <c r="X183" s="204">
        <f t="shared" si="122"/>
        <v>1</v>
      </c>
      <c r="Y183" s="204">
        <f t="shared" si="117"/>
        <v>9.7600000000000006E-2</v>
      </c>
      <c r="Z183" s="204">
        <f t="shared" si="118"/>
        <v>5.8945999999999996</v>
      </c>
      <c r="AA183" s="204">
        <f t="shared" si="119"/>
        <v>5.7969999999999997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120"/>
        <v>825</v>
      </c>
      <c r="AE18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3" s="74" t="str">
        <f t="shared" si="89"/>
        <v>"C:\Program Files (x86)\AstroGrep\AstroGrep.exe" /e /r /s /spath="%USERPROFILE%\AppData\Local\Temp\OnboardLogs" /stypes="app*4036*20171010*" /stext=" 21:.+((SYSTEM_STATE.+slice.+state.+changed )|(ment ac)|(multiple cpu faults)|(system.+state.+changed )|(\[timeout)|(PRM\|1\|D)|(kpr)|(kdp)|(train st.+moving)|(\|lc)|(penalty))"</v>
      </c>
      <c r="AG183" s="182" t="str">
        <f t="shared" si="121"/>
        <v>NW</v>
      </c>
      <c r="AH183" s="78" t="str">
        <f t="shared" si="91"/>
        <v>"%USERPROFILE%\Documents\GitHub\eaglep3\Utilities\RefineRTDCRunTimes.py" --tripid 825-10 --locoid 4036 --swversion DE.1.0.9.0 --startMP 204:976 --initTime 2017-10-10T15:03:32 --startdatetime 2017-10-10T15:09:15 --delay 53 --endMP 300:58946 --enddatetime 2017-10-10T15:23:53 --enforcementcount 0 &gt;&gt;%USERPROFILE%\Documents\GitHub\eaglep3-reporting\EC\2017-10-10-refined-times.txt</v>
      </c>
      <c r="AI18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{"issue":{"subject":"","project_id":79,"tracker_id":40,"status_id":1,"priority_id":2,"assigned_to_id":338,"start_date":"2017-10-10","description":"","custom_fields":[{"id":1,"name":"Subdivision","value":"NW"},{"id":4,"name":"Milepost","value":"5.8946"},{"id":17,"name":"Train ID","value":"825-10"},{"id":16,"name":"Locomotive ID","value":"4036"},{"id":130,"name":"Impact","value":""},{"id":150,"name":"Time of Event (Mountain Time)","value":"15:23:53"},{"id":151,"name":"Denver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93"/>
        <v>start /low /b %USERPROFILE%\Documents\GitHub\eaglep3\Utilities\DownloadLogsFromS3.py --loco 4036 --day 2017-10-10</v>
      </c>
      <c r="AN18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5"/>
        <v>https://d0f6bd738d7f1b3e5a7ca70fe4ff75f0.us-east-1.aws.found.io/app/kibana#/discover/Steve-Slow-Train-Analysis-(2080s-and-2083s)?_g=(refreshInterval:(display:Off,pause:!f,section:0,value:0),time:(from:'2017-10-10T14:03:32-0600',mode:absolute,to:'2017-10-10T16:23:53-0600'))&amp;_a=(columns:!('Message%20ID',Summary),filters:!(),index:'emp_*',interval:auto,query:(query_string:(analyze_wildcard:!t,query:'%22rtdc.l.rtdc.4036%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767</v>
      </c>
      <c r="B184" s="7">
        <v>4035</v>
      </c>
      <c r="C184" s="21" t="s">
        <v>194</v>
      </c>
      <c r="D184" s="21" t="s">
        <v>977</v>
      </c>
      <c r="E184" s="13">
        <v>43018.642847222225</v>
      </c>
      <c r="F184" s="13">
        <v>43018.654907407406</v>
      </c>
      <c r="G184" s="7">
        <v>50</v>
      </c>
      <c r="H184" s="21" t="s">
        <v>978</v>
      </c>
      <c r="I184" s="13">
        <v>43018.663217592592</v>
      </c>
      <c r="J184" s="7">
        <v>0</v>
      </c>
      <c r="K184" s="89" t="str">
        <f t="shared" si="112"/>
        <v>4035/4036</v>
      </c>
      <c r="L184" s="185" t="str">
        <f>VLOOKUP(A184,'Trips&amp;Operators'!$C$1:$G$99911,5,FALSE)</f>
        <v>GUZMAN DANNY</v>
      </c>
      <c r="M184" s="6">
        <f t="shared" si="113"/>
        <v>8.3101851851097308E-3</v>
      </c>
      <c r="N184" s="7">
        <f t="shared" si="114"/>
        <v>11.966666666558012</v>
      </c>
      <c r="O184" s="7"/>
      <c r="P184" s="7"/>
      <c r="Q184" s="22"/>
      <c r="R184" s="174"/>
      <c r="S184" s="221">
        <f t="shared" si="115"/>
        <v>1</v>
      </c>
      <c r="T184" s="174" t="str">
        <f t="shared" si="11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2"/>
        <v>https://d0f6bd738d7f1b3e5a7ca70fe4ff75f0.us-east-1.aws.found.io/app/kibana#/discover/Steve-Slow-Train-Analysis-(2080s-and-2083s)?_g=(refreshInterval:(display:Off,pause:!f,section:0,value:0),time:(from:'2017-10-10T14:25:42-0600',mode:absolute,to:'2017-10-10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4" s="204" t="str">
        <f>IF(AA184&lt;VLOOKUP(AG184,Variables!$AC$3:$AD$8,2,FALSE),"Y","N")</f>
        <v>N</v>
      </c>
      <c r="X184" s="204">
        <f t="shared" si="122"/>
        <v>1</v>
      </c>
      <c r="Y184" s="204">
        <f t="shared" si="117"/>
        <v>5.8619000000000003</v>
      </c>
      <c r="Z184" s="204">
        <f t="shared" si="118"/>
        <v>6.8199999999999997E-2</v>
      </c>
      <c r="AA184" s="204">
        <f t="shared" si="119"/>
        <v>5.7937000000000003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120"/>
        <v>826</v>
      </c>
      <c r="AE18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4" s="74" t="str">
        <f t="shared" si="89"/>
        <v>"C:\Program Files (x86)\AstroGrep\AstroGrep.exe" /e /r /s /spath="%USERPROFILE%\AppData\Local\Temp\OnboardLogs" /stypes="app*4035*20171010*" /stext=" 21:.+((SYSTEM_STATE.+slice.+state.+changed )|(ment ac)|(multiple cpu faults)|(system.+state.+changed )|(\[timeout)|(PRM\|1\|D)|(kpr)|(kdp)|(train st.+moving)|(\|lc)|(penalty))"</v>
      </c>
      <c r="AG184" s="182" t="str">
        <f t="shared" si="121"/>
        <v>NW</v>
      </c>
      <c r="AH184" s="78" t="str">
        <f t="shared" si="91"/>
        <v>"%USERPROFILE%\Documents\GitHub\eaglep3\Utilities\RefineRTDCRunTimes.py" --tripid 826-10 --locoid 4035 --swversion DE.1.0.9.0 --startMP 300:58619 --initTime 2017-10-10T15:25:42 --startdatetime 2017-10-10T15:43:04 --delay 50 --endMP 204:682 --enddatetime 2017-10-10T15:55:02 --enforcementcount 0 &gt;&gt;%USERPROFILE%\Documents\GitHub\eaglep3-reporting\EC\2017-10-10-refined-times.txt</v>
      </c>
      <c r="AI18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{"issue":{"subject":"","project_id":79,"tracker_id":40,"status_id":1,"priority_id":2,"assigned_to_id":338,"start_date":"2017-10-10","description":"","custom_fields":[{"id":1,"name":"Subdivision","value":"NW"},{"id":4,"name":"Milepost","value":"0.0682"},{"id":17,"name":"Train ID","value":"826-10"},{"id":16,"name":"Locomotive ID","value":"4035"},{"id":130,"name":"Impact","value":""},{"id":150,"name":"Time of Event (Mountain Time)","value":"15:55:02"},{"id":151,"name":"Denver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93"/>
        <v>start /low /b %USERPROFILE%\Documents\GitHub\eaglep3\Utilities\DownloadLogsFromS3.py --loco 4035 --day 2017-10-10</v>
      </c>
      <c r="AN18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5"/>
        <v>https://d0f6bd738d7f1b3e5a7ca70fe4ff75f0.us-east-1.aws.found.io/app/kibana#/discover/Steve-Slow-Train-Analysis-(2080s-and-2083s)?_g=(refreshInterval:(display:Off,pause:!f,section:0,value:0),time:(from:'2017-10-10T14:25:42-0600',mode:absolute,to:'2017-10-10T16:55:02-0600'))&amp;_a=(columns:!('Message%20ID',Summary),filters:!(),index:'emp_*',interval:auto,query:(query_string:(analyze_wildcard:!t,query:'%22rtdc.l.rtdc.4035%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768</v>
      </c>
      <c r="B185" s="7">
        <v>4060</v>
      </c>
      <c r="C185" s="21" t="s">
        <v>194</v>
      </c>
      <c r="D185" s="21" t="s">
        <v>979</v>
      </c>
      <c r="E185" s="13">
        <v>43018.648865740739</v>
      </c>
      <c r="F185" s="13">
        <v>43018.652303240742</v>
      </c>
      <c r="G185" s="7">
        <v>59</v>
      </c>
      <c r="H185" s="21" t="s">
        <v>575</v>
      </c>
      <c r="I185" s="13">
        <v>43018.662395833337</v>
      </c>
      <c r="J185" s="7">
        <v>0</v>
      </c>
      <c r="K185" s="89" t="str">
        <f t="shared" si="112"/>
        <v>4059/4060</v>
      </c>
      <c r="L185" s="185" t="str">
        <f>VLOOKUP(A185,'Trips&amp;Operators'!$C$1:$G$99911,5,FALSE)</f>
        <v>STAMBAUGH JAMES</v>
      </c>
      <c r="M185" s="6">
        <f t="shared" si="113"/>
        <v>1.0092592594446614E-2</v>
      </c>
      <c r="N185" s="7">
        <f t="shared" si="114"/>
        <v>14.533333336003125</v>
      </c>
      <c r="O185" s="7"/>
      <c r="P185" s="7"/>
      <c r="Q185" s="22"/>
      <c r="R185" s="174"/>
      <c r="S185" s="221">
        <f t="shared" si="115"/>
        <v>1</v>
      </c>
      <c r="T185" s="174" t="str">
        <f t="shared" si="11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2"/>
        <v>https://d0f6bd738d7f1b3e5a7ca70fe4ff75f0.us-east-1.aws.found.io/app/kibana#/discover/Steve-Slow-Train-Analysis-(2080s-and-2083s)?_g=(refreshInterval:(display:Off,pause:!f,section:0,value:0),time:(from:'2017-10-10T14:34:22-0600',mode:absolute,to:'2017-10-10T16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5" s="204" t="str">
        <f>IF(AA185&lt;VLOOKUP(AG185,Variables!$AC$3:$AD$8,2,FALSE),"Y","N")</f>
        <v>N</v>
      </c>
      <c r="X185" s="204">
        <f t="shared" si="122"/>
        <v>1</v>
      </c>
      <c r="Y185" s="204">
        <f t="shared" si="117"/>
        <v>9.69E-2</v>
      </c>
      <c r="Z185" s="204">
        <f t="shared" si="118"/>
        <v>5.8959999999999999</v>
      </c>
      <c r="AA185" s="204">
        <f t="shared" si="119"/>
        <v>5.7991000000000001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120"/>
        <v>827</v>
      </c>
      <c r="AE185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85" s="74" t="str">
        <f t="shared" si="89"/>
        <v>"C:\Program Files (x86)\AstroGrep\AstroGrep.exe" /e /r /s /spath="%USERPROFILE%\AppData\Local\Temp\OnboardLogs" /stypes="app*4060*20171010*" /stext=" 21:.+((SYSTEM_STATE.+slice.+state.+changed )|(ment ac)|(multiple cpu faults)|(system.+state.+changed )|(\[timeout)|(PRM\|1\|D)|(kpr)|(kdp)|(train st.+moving)|(\|lc)|(penalty))"</v>
      </c>
      <c r="AG185" s="182" t="str">
        <f t="shared" si="121"/>
        <v>NW</v>
      </c>
      <c r="AH185" s="78" t="str">
        <f t="shared" si="91"/>
        <v>"%USERPROFILE%\Documents\GitHub\eaglep3\Utilities\RefineRTDCRunTimes.py" --tripid 827-10 --locoid 4060 --swversion DE.1.0.9.0 --startMP 204:969 --initTime 2017-10-10T15:34:22 --startdatetime 2017-10-10T15:39:19 --delay 59 --endMP 300:58960 --enddatetime 2017-10-10T15:53:51 --enforcementcount 0 &gt;&gt;%USERPROFILE%\Documents\GitHub\eaglep3-reporting\EC\2017-10-10-refined-times.txt</v>
      </c>
      <c r="AI18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{"issue":{"subject":"","project_id":79,"tracker_id":40,"status_id":1,"priority_id":2,"assigned_to_id":338,"start_date":"2017-10-10","description":"","custom_fields":[{"id":1,"name":"Subdivision","value":"NW"},{"id":4,"name":"Milepost","value":"5.896"},{"id":17,"name":"Train ID","value":"827-10"},{"id":16,"name":"Locomotive ID","value":"4060"},{"id":130,"name":"Impact","value":""},{"id":150,"name":"Time of Event (Mountain Time)","value":"15:53:51"},{"id":151,"name":"Denver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93"/>
        <v>start /low /b %USERPROFILE%\Documents\GitHub\eaglep3\Utilities\DownloadLogsFromS3.py --loco 4060 --day 2017-10-10</v>
      </c>
      <c r="AN18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5"/>
        <v>https://d0f6bd738d7f1b3e5a7ca70fe4ff75f0.us-east-1.aws.found.io/app/kibana#/discover/Steve-Slow-Train-Analysis-(2080s-and-2083s)?_g=(refreshInterval:(display:Off,pause:!f,section:0,value:0),time:(from:'2017-10-10T14:34:22-0600',mode:absolute,to:'2017-10-10T16:53:51-0600'))&amp;_a=(columns:!('Message%20ID',Summary),filters:!(),index:'emp_*',interval:auto,query:(query_string:(analyze_wildcard:!t,query:'%22rtdc.l.rtdc.4060%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771</v>
      </c>
      <c r="B186" s="7">
        <v>4059</v>
      </c>
      <c r="C186" s="21" t="s">
        <v>194</v>
      </c>
      <c r="D186" s="21" t="s">
        <v>980</v>
      </c>
      <c r="E186" s="13">
        <v>43018.663356481484</v>
      </c>
      <c r="F186" s="13">
        <v>43018.675092592595</v>
      </c>
      <c r="G186" s="7">
        <v>78</v>
      </c>
      <c r="H186" s="21" t="s">
        <v>576</v>
      </c>
      <c r="I186" s="13">
        <v>43018.683472222219</v>
      </c>
      <c r="J186" s="7">
        <v>0</v>
      </c>
      <c r="K186" s="89" t="str">
        <f t="shared" si="112"/>
        <v>4059/4060</v>
      </c>
      <c r="L186" s="185" t="str">
        <f>VLOOKUP(A186,'Trips&amp;Operators'!$C$1:$G$99911,5,FALSE)</f>
        <v>STAMBAUGH JAMES</v>
      </c>
      <c r="M186" s="6">
        <f t="shared" si="113"/>
        <v>8.3796296239597723E-3</v>
      </c>
      <c r="N186" s="7">
        <f t="shared" si="114"/>
        <v>12.066666658502072</v>
      </c>
      <c r="O186" s="7"/>
      <c r="P186" s="7"/>
      <c r="Q186" s="22"/>
      <c r="R186" s="174"/>
      <c r="S186" s="221">
        <f t="shared" si="115"/>
        <v>1</v>
      </c>
      <c r="T186" s="174" t="str">
        <f t="shared" si="11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2"/>
        <v>https://d0f6bd738d7f1b3e5a7ca70fe4ff75f0.us-east-1.aws.found.io/app/kibana#/discover/Steve-Slow-Train-Analysis-(2080s-and-2083s)?_g=(refreshInterval:(display:Off,pause:!f,section:0,value:0),time:(from:'2017-10-10T14:55:14-0600',mode:absolute,to:'2017-10-10T17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6" s="204" t="str">
        <f>IF(AA186&lt;VLOOKUP(AG186,Variables!$AC$3:$AD$8,2,FALSE),"Y","N")</f>
        <v>N</v>
      </c>
      <c r="X186" s="204">
        <f t="shared" si="122"/>
        <v>1</v>
      </c>
      <c r="Y186" s="204">
        <f t="shared" si="117"/>
        <v>5.8648999999999996</v>
      </c>
      <c r="Z186" s="204">
        <f t="shared" si="118"/>
        <v>6.6299999999999998E-2</v>
      </c>
      <c r="AA186" s="204">
        <f t="shared" si="119"/>
        <v>5.7985999999999995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120"/>
        <v>828</v>
      </c>
      <c r="AE186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86" s="74" t="str">
        <f t="shared" si="89"/>
        <v>"C:\Program Files (x86)\AstroGrep\AstroGrep.exe" /e /r /s /spath="%USERPROFILE%\AppData\Local\Temp\OnboardLogs" /stypes="app*4059*20171010*" /stext=" 22:.+((SYSTEM_STATE.+slice.+state.+changed )|(ment ac)|(multiple cpu faults)|(system.+state.+changed )|(\[timeout)|(PRM\|1\|D)|(kpr)|(kdp)|(train st.+moving)|(\|lc)|(penalty))"</v>
      </c>
      <c r="AG186" s="182" t="str">
        <f t="shared" si="121"/>
        <v>NW</v>
      </c>
      <c r="AH186" s="78" t="str">
        <f t="shared" si="91"/>
        <v>"%USERPROFILE%\Documents\GitHub\eaglep3\Utilities\RefineRTDCRunTimes.py" --tripid 828-10 --locoid 4059 --swversion DE.1.0.9.0 --startMP 300:58649 --initTime 2017-10-10T15:55:14 --startdatetime 2017-10-10T16:12:08 --delay 78 --endMP 204:663 --enddatetime 2017-10-10T16:24:12 --enforcementcount 0 &gt;&gt;%USERPROFILE%\Documents\GitHub\eaglep3-reporting\EC\2017-10-10-refined-times.txt</v>
      </c>
      <c r="AI18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{"issue":{"subject":"","project_id":79,"tracker_id":40,"status_id":1,"priority_id":2,"assigned_to_id":338,"start_date":"2017-10-10","description":"","custom_fields":[{"id":1,"name":"Subdivision","value":"NW"},{"id":4,"name":"Milepost","value":"0.0663"},{"id":17,"name":"Train ID","value":"828-10"},{"id":16,"name":"Locomotive ID","value":"4059"},{"id":130,"name":"Impact","value":""},{"id":150,"name":"Time of Event (Mountain Time)","value":"16:24:12"},{"id":151,"name":"Denver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93"/>
        <v>start /low /b %USERPROFILE%\Documents\GitHub\eaglep3\Utilities\DownloadLogsFromS3.py --loco 4059 --day 2017-10-10</v>
      </c>
      <c r="AN18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5"/>
        <v>https://d0f6bd738d7f1b3e5a7ca70fe4ff75f0.us-east-1.aws.found.io/app/kibana#/discover/Steve-Slow-Train-Analysis-(2080s-and-2083s)?_g=(refreshInterval:(display:Off,pause:!f,section:0,value:0),time:(from:'2017-10-10T14:55:14-0600',mode:absolute,to:'2017-10-10T17:24:12-0600'))&amp;_a=(columns:!('Message%20ID',Summary),filters:!(),index:'emp_*',interval:auto,query:(query_string:(analyze_wildcard:!t,query:'%22rtdc.l.rtdc.4059%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773</v>
      </c>
      <c r="B187" s="7">
        <v>4036</v>
      </c>
      <c r="C187" s="21" t="s">
        <v>194</v>
      </c>
      <c r="D187" s="21" t="s">
        <v>586</v>
      </c>
      <c r="E187" s="13">
        <v>43018.670034722221</v>
      </c>
      <c r="F187" s="13">
        <v>43018.673090277778</v>
      </c>
      <c r="G187" s="7">
        <v>49</v>
      </c>
      <c r="H187" s="21" t="s">
        <v>584</v>
      </c>
      <c r="I187" s="13">
        <v>43018.683553240742</v>
      </c>
      <c r="J187" s="7">
        <v>0</v>
      </c>
      <c r="K187" s="89" t="str">
        <f t="shared" si="112"/>
        <v>4035/4036</v>
      </c>
      <c r="L187" s="185" t="str">
        <f>VLOOKUP(A187,'Trips&amp;Operators'!$C$1:$G$99911,5,FALSE)</f>
        <v>GUZMAN DANNY</v>
      </c>
      <c r="M187" s="6">
        <f t="shared" si="113"/>
        <v>1.0462962964083999E-2</v>
      </c>
      <c r="N187" s="7">
        <f t="shared" si="114"/>
        <v>15.066666668280959</v>
      </c>
      <c r="O187" s="7"/>
      <c r="P187" s="7"/>
      <c r="Q187" s="22"/>
      <c r="R187" s="174"/>
      <c r="S187" s="221">
        <f t="shared" si="115"/>
        <v>1</v>
      </c>
      <c r="T187" s="174" t="str">
        <f t="shared" si="116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2"/>
        <v>https://d0f6bd738d7f1b3e5a7ca70fe4ff75f0.us-east-1.aws.found.io/app/kibana#/discover/Steve-Slow-Train-Analysis-(2080s-and-2083s)?_g=(refreshInterval:(display:Off,pause:!f,section:0,value:0),time:(from:'2017-10-10T15:04:51-0600',mode:absolute,to:'2017-10-10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7" s="204" t="str">
        <f>IF(AA187&lt;VLOOKUP(AG187,Variables!$AC$3:$AD$8,2,FALSE),"Y","N")</f>
        <v>N</v>
      </c>
      <c r="X187" s="204">
        <f t="shared" si="122"/>
        <v>1</v>
      </c>
      <c r="Y187" s="204">
        <f t="shared" si="117"/>
        <v>9.6699999999999994E-2</v>
      </c>
      <c r="Z187" s="204">
        <f t="shared" si="118"/>
        <v>5.8943000000000003</v>
      </c>
      <c r="AA187" s="204">
        <f t="shared" si="119"/>
        <v>5.7976000000000001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120"/>
        <v>829</v>
      </c>
      <c r="AE187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7" s="74" t="str">
        <f t="shared" si="89"/>
        <v>"C:\Program Files (x86)\AstroGrep\AstroGrep.exe" /e /r /s /spath="%USERPROFILE%\AppData\Local\Temp\OnboardLogs" /stypes="app*4036*20171010*" /stext=" 22:.+((SYSTEM_STATE.+slice.+state.+changed )|(ment ac)|(multiple cpu faults)|(system.+state.+changed )|(\[timeout)|(PRM\|1\|D)|(kpr)|(kdp)|(train st.+moving)|(\|lc)|(penalty))"</v>
      </c>
      <c r="AG187" s="182" t="str">
        <f t="shared" si="121"/>
        <v>NW</v>
      </c>
      <c r="AH187" s="78" t="str">
        <f t="shared" si="91"/>
        <v>"%USERPROFILE%\Documents\GitHub\eaglep3\Utilities\RefineRTDCRunTimes.py" --tripid 829-10 --locoid 4036 --swversion DE.1.0.9.0 --startMP 204:967 --initTime 2017-10-10T16:04:51 --startdatetime 2017-10-10T16:09:15 --delay 49 --endMP 300:58943 --enddatetime 2017-10-10T16:24:19 --enforcementcount 0 &gt;&gt;%USERPROFILE%\Documents\GitHub\eaglep3-reporting\EC\2017-10-10-refined-times.txt</v>
      </c>
      <c r="AI18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{"issue":{"subject":"","project_id":79,"tracker_id":40,"status_id":1,"priority_id":2,"assigned_to_id":338,"start_date":"2017-10-10","description":"","custom_fields":[{"id":1,"name":"Subdivision","value":"NW"},{"id":4,"name":"Milepost","value":"5.8943"},{"id":17,"name":"Train ID","value":"829-10"},{"id":16,"name":"Locomotive ID","value":"4036"},{"id":130,"name":"Impact","value":""},{"id":150,"name":"Time of Event (Mountain Time)","value":"16:24:19"},{"id":151,"name":"Denver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93"/>
        <v>start /low /b %USERPROFILE%\Documents\GitHub\eaglep3\Utilities\DownloadLogsFromS3.py --loco 4036 --day 2017-10-10</v>
      </c>
      <c r="AN18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5"/>
        <v>https://d0f6bd738d7f1b3e5a7ca70fe4ff75f0.us-east-1.aws.found.io/app/kibana#/discover/Steve-Slow-Train-Analysis-(2080s-and-2083s)?_g=(refreshInterval:(display:Off,pause:!f,section:0,value:0),time:(from:'2017-10-10T15:04:51-0600',mode:absolute,to:'2017-10-10T17:24:19-0600'))&amp;_a=(columns:!('Message%20ID',Summary),filters:!(),index:'emp_*',interval:auto,query:(query_string:(analyze_wildcard:!t,query:'%22rtdc.l.rtdc.4036%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777</v>
      </c>
      <c r="B188" s="7">
        <v>4035</v>
      </c>
      <c r="C188" s="21" t="s">
        <v>194</v>
      </c>
      <c r="D188" s="21" t="s">
        <v>586</v>
      </c>
      <c r="E188" s="13">
        <v>43018.670034722221</v>
      </c>
      <c r="F188" s="13">
        <v>43018.696574074071</v>
      </c>
      <c r="G188" s="7">
        <v>49</v>
      </c>
      <c r="H188" s="21" t="s">
        <v>584</v>
      </c>
      <c r="I188" s="13">
        <v>43018.705393518518</v>
      </c>
      <c r="J188" s="7">
        <v>0</v>
      </c>
      <c r="K188" s="89" t="str">
        <f t="shared" si="112"/>
        <v>4035/4036</v>
      </c>
      <c r="L188" s="185" t="str">
        <f>VLOOKUP(A188,'Trips&amp;Operators'!$C$1:$G$99911,5,FALSE)</f>
        <v>GUZMAN DANNY</v>
      </c>
      <c r="M188" s="6">
        <f t="shared" si="113"/>
        <v>8.819444446999114E-3</v>
      </c>
      <c r="N188" s="7">
        <f t="shared" si="114"/>
        <v>12.700000003678724</v>
      </c>
      <c r="O188" s="7"/>
      <c r="P188" s="7"/>
      <c r="Q188" s="22"/>
      <c r="R188" s="174"/>
      <c r="S188" s="221">
        <f t="shared" si="115"/>
        <v>1</v>
      </c>
      <c r="T188" s="174" t="str">
        <f t="shared" si="116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2"/>
        <v>https://d0f6bd738d7f1b3e5a7ca70fe4ff75f0.us-east-1.aws.found.io/app/kibana#/discover/Steve-Slow-Train-Analysis-(2080s-and-2083s)?_g=(refreshInterval:(display:Off,pause:!f,section:0,value:0),time:(from:'2017-10-10T15:04:51-0600',mode:absolute,to:'2017-10-10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8" s="204" t="str">
        <f>IF(AA188&lt;VLOOKUP(AG188,Variables!$AC$3:$AD$8,2,FALSE),"Y","N")</f>
        <v>N</v>
      </c>
      <c r="X188" s="204">
        <f t="shared" si="122"/>
        <v>1</v>
      </c>
      <c r="Y188" s="204">
        <v>5.8648999999999996</v>
      </c>
      <c r="Z188" s="204">
        <v>6.6299999999999998E-2</v>
      </c>
      <c r="AA188" s="204">
        <f t="shared" si="119"/>
        <v>5.7985999999999995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120"/>
        <v>830</v>
      </c>
      <c r="AE18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8" s="74" t="str">
        <f t="shared" si="89"/>
        <v>"C:\Program Files (x86)\AstroGrep\AstroGrep.exe" /e /r /s /spath="%USERPROFILE%\AppData\Local\Temp\OnboardLogs" /stypes="app*4035*20171010*" /stext=" 22:.+((SYSTEM_STATE.+slice.+state.+changed )|(ment ac)|(multiple cpu faults)|(system.+state.+changed )|(\[timeout)|(PRM\|1\|D)|(kpr)|(kdp)|(train st.+moving)|(\|lc)|(penalty))"</v>
      </c>
      <c r="AG188" s="182" t="str">
        <f t="shared" si="121"/>
        <v>NW</v>
      </c>
      <c r="AH188" s="78" t="str">
        <f t="shared" ref="AH188" si="123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830-10 --locoid 4035 --swversion DE.1.0.9.0 --startMP 204:967 --initTime 2017-10-10T16:04:51 --startdatetime 2017-10-10T16:43:04 --delay 49 --endMP 300:58943 --enddatetime 2017-10-10T16:55:46 --enforcementcount 0 &gt;&gt;%USERPROFILE%\Documents\GitHub\eaglep3-reporting\EC\2017-10-10-refined-times.txt</v>
      </c>
      <c r="AI188" s="96" t="str">
        <f t="shared" ref="AI188" si="124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{"issue":{"subject":"","project_id":79,"tracker_id":40,"status_id":1,"priority_id":2,"assigned_to_id":338,"start_date":"2017-10-10","description":"","custom_fields":[{"id":1,"name":"Subdivision","value":"NW"},{"id":4,"name":"Milepost","value":"0.0663"},{"id":17,"name":"Train ID","value":"830-10"},{"id":16,"name":"Locomotive ID","value":"4035"},{"id":130,"name":"Impact","value":""},{"id":150,"name":"Time of Event (Mountain Time)","value":"16:55:46"},{"id":151,"name":"Denver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125">"start /low /b "&amp;dls3logs&amp;" --loco "&amp;B188&amp;" --day "&amp;TEXT(F188,"YYYY-MM-DD")</f>
        <v>start /low /b %USERPROFILE%\Documents\GitHub\eaglep3\Utilities\DownloadLogsFromS3.py --loco 4035 --day 2017-10-10</v>
      </c>
      <c r="AN188" s="151" t="str">
        <f t="shared" ref="AN188" si="126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127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-10T15:04:51-0600',mode:absolute,to:'2017-10-10T17:55:46-0600'))&amp;_a=(columns:!('Message%20ID',Summary),filters:!(),index:'emp_*',interval:auto,query:(query_string:(analyze_wildcard:!t,query:'%22rtdc.l.rtdc.4035%22')),sort:!(Time.ISO8601,asc))</v>
      </c>
    </row>
    <row r="189" spans="1:91" s="20" customFormat="1" x14ac:dyDescent="0.25">
      <c r="A189" s="32" t="s">
        <v>781</v>
      </c>
      <c r="B189" s="7">
        <v>4060</v>
      </c>
      <c r="C189" s="21" t="s">
        <v>194</v>
      </c>
      <c r="D189" s="21" t="s">
        <v>981</v>
      </c>
      <c r="E189" s="13">
        <v>43018.692291666666</v>
      </c>
      <c r="F189" s="13">
        <v>43018.693993055553</v>
      </c>
      <c r="G189" s="7">
        <v>58</v>
      </c>
      <c r="H189" s="21" t="s">
        <v>982</v>
      </c>
      <c r="I189" s="13">
        <v>43018.70416666667</v>
      </c>
      <c r="J189" s="7">
        <v>0</v>
      </c>
      <c r="K189" s="89" t="str">
        <f t="shared" si="112"/>
        <v>4059/4060</v>
      </c>
      <c r="L189" s="185" t="str">
        <f>VLOOKUP(A189,'Trips&amp;Operators'!$C$1:$G$99911,5,FALSE)</f>
        <v>STAMBAUGH JAMES</v>
      </c>
      <c r="M189" s="6">
        <f t="shared" si="113"/>
        <v>1.0173611117352266E-2</v>
      </c>
      <c r="N189" s="7">
        <f t="shared" si="114"/>
        <v>14.650000008987263</v>
      </c>
      <c r="O189" s="7"/>
      <c r="P189" s="7"/>
      <c r="Q189" s="22"/>
      <c r="R189" s="174"/>
      <c r="S189" s="221">
        <f t="shared" si="115"/>
        <v>1</v>
      </c>
      <c r="T189" s="174" t="str">
        <f t="shared" si="116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2"/>
        <v>https://d0f6bd738d7f1b3e5a7ca70fe4ff75f0.us-east-1.aws.found.io/app/kibana#/discover/Steve-Slow-Train-Analysis-(2080s-and-2083s)?_g=(refreshInterval:(display:Off,pause:!f,section:0,value:0),time:(from:'2017-10-10T15:36:54-0600',mode:absolute,to:'2017-10-10T17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9" s="204" t="str">
        <f>IF(AA189&lt;VLOOKUP(AG189,Variables!$AC$3:$AD$8,2,FALSE),"Y","N")</f>
        <v>N</v>
      </c>
      <c r="X189" s="204">
        <f t="shared" si="122"/>
        <v>1</v>
      </c>
      <c r="Y189" s="204">
        <f>RIGHT(D189,LEN(D189)-4)/10000</f>
        <v>9.3399999999999997E-2</v>
      </c>
      <c r="Z189" s="204">
        <f>RIGHT(H189,LEN(H189)-4)/10000</f>
        <v>5.8940999999999999</v>
      </c>
      <c r="AA189" s="204">
        <f t="shared" si="119"/>
        <v>5.8007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120"/>
        <v>831</v>
      </c>
      <c r="AE189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89" s="74" t="str">
        <f t="shared" si="89"/>
        <v>"C:\Program Files (x86)\AstroGrep\AstroGrep.exe" /e /r /s /spath="%USERPROFILE%\AppData\Local\Temp\OnboardLogs" /stypes="app*4060*20171010*" /stext=" 22:.+((SYSTEM_STATE.+slice.+state.+changed )|(ment ac)|(multiple cpu faults)|(system.+state.+changed )|(\[timeout)|(PRM\|1\|D)|(kpr)|(kdp)|(train st.+moving)|(\|lc)|(penalty))"</v>
      </c>
      <c r="AG189" s="182" t="str">
        <f t="shared" si="121"/>
        <v>NW</v>
      </c>
      <c r="AH189" s="78" t="str">
        <f t="shared" si="91"/>
        <v>"%USERPROFILE%\Documents\GitHub\eaglep3\Utilities\RefineRTDCRunTimes.py" --tripid 831-10 --locoid 4060 --swversion DE.1.0.9.0 --startMP 204:934 --initTime 2017-10-10T16:36:54 --startdatetime 2017-10-10T16:39:21 --delay 58 --endMP 300:58941 --enddatetime 2017-10-10T16:54:00 --enforcementcount 0 &gt;&gt;%USERPROFILE%\Documents\GitHub\eaglep3-reporting\EC\2017-10-10-refined-times.txt</v>
      </c>
      <c r="AI18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{"issue":{"subject":"","project_id":79,"tracker_id":40,"status_id":1,"priority_id":2,"assigned_to_id":338,"start_date":"2017-10-10","description":"","custom_fields":[{"id":1,"name":"Subdivision","value":"NW"},{"id":4,"name":"Milepost","value":"5.8941"},{"id":17,"name":"Train ID","value":"831-10"},{"id":16,"name":"Locomotive ID","value":"4060"},{"id":130,"name":"Impact","value":""},{"id":150,"name":"Time of Event (Mountain Time)","value":"16:54:00"},{"id":151,"name":"Denver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93"/>
        <v>start /low /b %USERPROFILE%\Documents\GitHub\eaglep3\Utilities\DownloadLogsFromS3.py --loco 4060 --day 2017-10-10</v>
      </c>
      <c r="AN18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5"/>
        <v>https://d0f6bd738d7f1b3e5a7ca70fe4ff75f0.us-east-1.aws.found.io/app/kibana#/discover/Steve-Slow-Train-Analysis-(2080s-and-2083s)?_g=(refreshInterval:(display:Off,pause:!f,section:0,value:0),time:(from:'2017-10-10T15:36:54-0600',mode:absolute,to:'2017-10-10T17:54:00-0600'))&amp;_a=(columns:!('Message%20ID',Summary),filters:!(),index:'emp_*',interval:auto,query:(query_string:(analyze_wildcard:!t,query:'%22rtdc.l.rtdc.4060%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784</v>
      </c>
      <c r="B190" s="7">
        <v>4059</v>
      </c>
      <c r="C190" s="21" t="s">
        <v>194</v>
      </c>
      <c r="D190" s="21" t="s">
        <v>522</v>
      </c>
      <c r="E190" s="13">
        <v>43018.704930555556</v>
      </c>
      <c r="F190" s="13">
        <v>43018.717407407406</v>
      </c>
      <c r="G190" s="7">
        <v>64</v>
      </c>
      <c r="H190" s="21" t="s">
        <v>571</v>
      </c>
      <c r="I190" s="13">
        <v>43018.725601851853</v>
      </c>
      <c r="J190" s="7">
        <v>0</v>
      </c>
      <c r="K190" s="89" t="str">
        <f t="shared" ref="K190:K221" si="128">IF(ISEVEN(B190),(B190-1)&amp;"/"&amp;B190,B190&amp;"/"&amp;(B190+1))</f>
        <v>4059/4060</v>
      </c>
      <c r="L190" s="185" t="str">
        <f>VLOOKUP(A190,'Trips&amp;Operators'!$C$1:$G$99911,5,FALSE)</f>
        <v>STAMBAUGH JAMES</v>
      </c>
      <c r="M190" s="6">
        <f t="shared" ref="M190:M221" si="129">I190-F190</f>
        <v>8.1944444464170374E-3</v>
      </c>
      <c r="N190" s="7">
        <f t="shared" si="114"/>
        <v>11.800000002840534</v>
      </c>
      <c r="O190" s="7"/>
      <c r="P190" s="7"/>
      <c r="Q190" s="22"/>
      <c r="R190" s="174"/>
      <c r="S190" s="221">
        <f t="shared" ref="S190:S221" si="130">1/IF(AG190="EC",12,1)*SUM(U190:U190)</f>
        <v>1</v>
      </c>
      <c r="T190" s="174" t="str">
        <f t="shared" ref="T190:T221" si="131"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2"/>
        <v>https://d0f6bd738d7f1b3e5a7ca70fe4ff75f0.us-east-1.aws.found.io/app/kibana#/discover/Steve-Slow-Train-Analysis-(2080s-and-2083s)?_g=(refreshInterval:(display:Off,pause:!f,section:0,value:0),time:(from:'2017-10-10T15:55:06-0600',mode:absolute,to:'2017-10-10T18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0" s="204" t="str">
        <f>IF(AA190&lt;VLOOKUP(AG190,Variables!$AC$3:$AD$8,2,FALSE),"Y","N")</f>
        <v>N</v>
      </c>
      <c r="X190" s="204">
        <f t="shared" si="122"/>
        <v>1</v>
      </c>
      <c r="Y190" s="204">
        <f>RIGHT(D190,LEN(D190)-4)/10000</f>
        <v>5.8624000000000001</v>
      </c>
      <c r="Z190" s="204">
        <f>RIGHT(H190,LEN(H190)-4)/10000</f>
        <v>6.7000000000000004E-2</v>
      </c>
      <c r="AA190" s="204">
        <f t="shared" ref="AA190:AA221" si="132">ABS(Z190-Y190)</f>
        <v>5.7953999999999999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ref="AD190:AD221" si="133">VALUE(LEFT(A190,LEN(A190)-3))</f>
        <v>832</v>
      </c>
      <c r="AE190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90" s="74" t="str">
        <f t="shared" si="89"/>
        <v>"C:\Program Files (x86)\AstroGrep\AstroGrep.exe" /e /r /s /spath="%USERPROFILE%\AppData\Local\Temp\OnboardLogs" /stypes="app*4059*20171010*" /stext=" 23:.+((SYSTEM_STATE.+slice.+state.+changed )|(ment ac)|(multiple cpu faults)|(system.+state.+changed )|(\[timeout)|(PRM\|1\|D)|(kpr)|(kdp)|(train st.+moving)|(\|lc)|(penalty))"</v>
      </c>
      <c r="AG190" s="182" t="str">
        <f t="shared" ref="AG190:AG221" si="134">DetSubdiv(A190)</f>
        <v>NW</v>
      </c>
      <c r="AH190" s="78" t="str">
        <f t="shared" si="91"/>
        <v>"%USERPROFILE%\Documents\GitHub\eaglep3\Utilities\RefineRTDCRunTimes.py" --tripid 832-10 --locoid 4059 --swversion DE.1.0.9.0 --startMP 300:58624 --initTime 2017-10-10T16:55:06 --startdatetime 2017-10-10T17:13:04 --delay 64 --endMP 204:670 --enddatetime 2017-10-10T17:24:52 --enforcementcount 0 &gt;&gt;%USERPROFILE%\Documents\GitHub\eaglep3-reporting\EC\2017-10-10-refined-times.txt</v>
      </c>
      <c r="AI19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ID","value":"832-10"},{"id":16,"name":"Locomotive ID","value":"4059"},{"id":130,"name":"Impact","value":""},{"id":150,"name":"Time of Event (Mountain Time)","value":"17:24:52"},{"id":151,"name":"Denver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93"/>
        <v>start /low /b %USERPROFILE%\Documents\GitHub\eaglep3\Utilities\DownloadLogsFromS3.py --loco 4059 --day 2017-10-10</v>
      </c>
      <c r="AN19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5"/>
        <v>https://d0f6bd738d7f1b3e5a7ca70fe4ff75f0.us-east-1.aws.found.io/app/kibana#/discover/Steve-Slow-Train-Analysis-(2080s-and-2083s)?_g=(refreshInterval:(display:Off,pause:!f,section:0,value:0),time:(from:'2017-10-10T15:55:06-0600',mode:absolute,to:'2017-10-10T18:24:52-0600'))&amp;_a=(columns:!('Message%20ID',Summary),filters:!(),index:'emp_*',interval:auto,query:(query_string:(analyze_wildcard:!t,query:'%22rtdc.l.rtdc.4059%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787</v>
      </c>
      <c r="B191" s="7">
        <v>4036</v>
      </c>
      <c r="C191" s="21" t="s">
        <v>194</v>
      </c>
      <c r="D191" s="21" t="s">
        <v>960</v>
      </c>
      <c r="E191" s="13">
        <v>43018.712291666663</v>
      </c>
      <c r="F191" s="13">
        <v>43018.714942129627</v>
      </c>
      <c r="G191" s="7">
        <v>62</v>
      </c>
      <c r="H191" s="21" t="s">
        <v>983</v>
      </c>
      <c r="I191" s="13">
        <v>43018.725706018522</v>
      </c>
      <c r="J191" s="7">
        <v>0</v>
      </c>
      <c r="K191" s="89" t="str">
        <f t="shared" si="128"/>
        <v>4035/4036</v>
      </c>
      <c r="L191" s="185" t="str">
        <f>VLOOKUP(A191,'Trips&amp;Operators'!$C$1:$G$99911,5,FALSE)</f>
        <v>GUZMAN DANNY</v>
      </c>
      <c r="M191" s="6">
        <f t="shared" si="129"/>
        <v>1.0763888894871343E-2</v>
      </c>
      <c r="N191" s="7">
        <f t="shared" si="114"/>
        <v>15.500000008614734</v>
      </c>
      <c r="O191" s="7"/>
      <c r="P191" s="7"/>
      <c r="Q191" s="22"/>
      <c r="R191" s="174"/>
      <c r="S191" s="221">
        <f t="shared" si="130"/>
        <v>1</v>
      </c>
      <c r="T191" s="174" t="str">
        <f t="shared" si="131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2"/>
        <v>https://d0f6bd738d7f1b3e5a7ca70fe4ff75f0.us-east-1.aws.found.io/app/kibana#/discover/Steve-Slow-Train-Analysis-(2080s-and-2083s)?_g=(refreshInterval:(display:Off,pause:!f,section:0,value:0),time:(from:'2017-10-10T16:05:42-0600',mode:absolute,to:'2017-10-10T18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1" s="204" t="str">
        <f>IF(AA191&lt;VLOOKUP(AG191,Variables!$AC$3:$AD$8,2,FALSE),"Y","N")</f>
        <v>N</v>
      </c>
      <c r="X191" s="204">
        <f t="shared" si="122"/>
        <v>1</v>
      </c>
      <c r="Y191" s="204">
        <f>RIGHT(D191,LEN(D191)-4)/10000</f>
        <v>9.7600000000000006E-2</v>
      </c>
      <c r="Z191" s="204">
        <f>RIGHT(H191,LEN(H191)-4)/10000</f>
        <v>5.8929</v>
      </c>
      <c r="AA191" s="204">
        <f t="shared" si="132"/>
        <v>5.7953000000000001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133"/>
        <v>833</v>
      </c>
      <c r="AE19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1" s="74" t="str">
        <f t="shared" si="89"/>
        <v>"C:\Program Files (x86)\AstroGrep\AstroGrep.exe" /e /r /s /spath="%USERPROFILE%\AppData\Local\Temp\OnboardLogs" /stypes="app*4036*20171010*" /stext=" 23:.+((SYSTEM_STATE.+slice.+state.+changed )|(ment ac)|(multiple cpu faults)|(system.+state.+changed )|(\[timeout)|(PRM\|1\|D)|(kpr)|(kdp)|(train st.+moving)|(\|lc)|(penalty))"</v>
      </c>
      <c r="AG191" s="182" t="str">
        <f t="shared" si="134"/>
        <v>NW</v>
      </c>
      <c r="AH191" s="78" t="str">
        <f t="shared" si="91"/>
        <v>"%USERPROFILE%\Documents\GitHub\eaglep3\Utilities\RefineRTDCRunTimes.py" --tripid 833-10 --locoid 4036 --swversion DE.1.0.9.0 --startMP 204:976 --initTime 2017-10-10T17:05:42 --startdatetime 2017-10-10T17:09:31 --delay 62 --endMP 300:58929 --enddatetime 2017-10-10T17:25:01 --enforcementcount 0 &gt;&gt;%USERPROFILE%\Documents\GitHub\eaglep3-reporting\EC\2017-10-10-refined-times.txt</v>
      </c>
      <c r="AI19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{"issue":{"subject":"","project_id":79,"tracker_id":40,"status_id":1,"priority_id":2,"assigned_to_id":338,"start_date":"2017-10-10","description":"","custom_fields":[{"id":1,"name":"Subdivision","value":"NW"},{"id":4,"name":"Milepost","value":"5.8929"},{"id":17,"name":"Train ID","value":"833-10"},{"id":16,"name":"Locomotive ID","value":"4036"},{"id":130,"name":"Impact","value":""},{"id":150,"name":"Time of Event (Mountain Time)","value":"17:25:01"},{"id":151,"name":"Denver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93"/>
        <v>start /low /b %USERPROFILE%\Documents\GitHub\eaglep3\Utilities\DownloadLogsFromS3.py --loco 4036 --day 2017-10-10</v>
      </c>
      <c r="AN19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5"/>
        <v>https://d0f6bd738d7f1b3e5a7ca70fe4ff75f0.us-east-1.aws.found.io/app/kibana#/discover/Steve-Slow-Train-Analysis-(2080s-and-2083s)?_g=(refreshInterval:(display:Off,pause:!f,section:0,value:0),time:(from:'2017-10-10T16:05:42-0600',mode:absolute,to:'2017-10-10T18:25:01-0600'))&amp;_a=(columns:!('Message%20ID',Summary),filters:!(),index:'emp_*',interval:auto,query:(query_string:(analyze_wildcard:!t,query:'%22rtdc.l.rtdc.4036%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790</v>
      </c>
      <c r="B192" s="7">
        <v>4035</v>
      </c>
      <c r="C192" s="21" t="s">
        <v>194</v>
      </c>
      <c r="D192" s="21" t="s">
        <v>492</v>
      </c>
      <c r="E192" s="13">
        <v>43018.726782407408</v>
      </c>
      <c r="F192" s="13">
        <v>43018.738356481481</v>
      </c>
      <c r="G192" s="7">
        <v>50</v>
      </c>
      <c r="H192" s="21" t="s">
        <v>984</v>
      </c>
      <c r="I192" s="13">
        <v>43018.748136574075</v>
      </c>
      <c r="J192" s="7">
        <v>0</v>
      </c>
      <c r="K192" s="89" t="str">
        <f t="shared" si="128"/>
        <v>4035/4036</v>
      </c>
      <c r="L192" s="185" t="str">
        <f>VLOOKUP(A192,'Trips&amp;Operators'!$C$1:$G$99911,5,FALSE)</f>
        <v>GUZMAN DANNY</v>
      </c>
      <c r="M192" s="6">
        <f t="shared" si="129"/>
        <v>9.7800925941555761E-3</v>
      </c>
      <c r="N192" s="7"/>
      <c r="O192" s="7"/>
      <c r="P192" s="7">
        <f>24*60*SUM($M192:$M192)</f>
        <v>14.08333333558403</v>
      </c>
      <c r="Q192" s="22"/>
      <c r="R192" s="174" t="s">
        <v>1017</v>
      </c>
      <c r="S192" s="221">
        <f t="shared" si="130"/>
        <v>0</v>
      </c>
      <c r="T192" s="174" t="str">
        <f t="shared" si="131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216" t="str">
        <f t="shared" si="82"/>
        <v>https://d0f6bd738d7f1b3e5a7ca70fe4ff75f0.us-east-1.aws.found.io/app/kibana#/discover/Steve-Slow-Train-Analysis-(2080s-and-2083s)?_g=(refreshInterval:(display:Off,pause:!f,section:0,value:0),time:(from:'2017-10-10T16:26:34-0600',mode:absolute,to:'2017-10-10T18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2" s="204" t="str">
        <f>IF(AA192&lt;VLOOKUP(AG192,Variables!$AC$3:$AD$8,2,FALSE),"Y","N")</f>
        <v>Y</v>
      </c>
      <c r="X192" s="204">
        <f t="shared" si="122"/>
        <v>1</v>
      </c>
      <c r="Y192" s="204">
        <f>RIGHT(D192,LEN(D192)-4)/10000</f>
        <v>5.8616999999999999</v>
      </c>
      <c r="Z192" s="204">
        <f>RIGHT(H192,LEN(H192)-4)/10000</f>
        <v>5.7236000000000002</v>
      </c>
      <c r="AA192" s="204">
        <f t="shared" si="132"/>
        <v>0.13809999999999967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133"/>
        <v>834</v>
      </c>
      <c r="AE19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2" s="74" t="str">
        <f t="shared" si="89"/>
        <v>"C:\Program Files (x86)\AstroGrep\AstroGrep.exe" /e /r /s /spath="%USERPROFILE%\AppData\Local\Temp\OnboardLogs" /stypes="app*4035*20171010*" /stext=" 23:.+((SYSTEM_STATE.+slice.+state.+changed )|(ment ac)|(multiple cpu faults)|(system.+state.+changed )|(\[timeout)|(PRM\|1\|D)|(kpr)|(kdp)|(train st.+moving)|(\|lc)|(penalty))"</v>
      </c>
      <c r="AG192" s="182" t="str">
        <f t="shared" si="134"/>
        <v>NW</v>
      </c>
      <c r="AH192" s="78" t="str">
        <f t="shared" si="91"/>
        <v>"%USERPROFILE%\Documents\GitHub\eaglep3\Utilities\RefineRTDCRunTimes.py" --tripid 834-10 --locoid 4035 --swversion DE.1.0.9.0 --startMP 300:58617 --initTime 2017-10-10T17:26:34 --startdatetime 2017-10-10T17:43:14 --delay 50 --endMP 300:57236 --enddatetime 2017-10-10T17:57:19 --enforcementcount 0 &gt;&gt;%USERPROFILE%\Documents\GitHub\eaglep3-reporting\EC\2017-10-10-refined-times.txt</v>
      </c>
      <c r="AI192" s="96" t="str">
        <f t="shared" si="92"/>
        <v>echo {"issue":{"subject":"Went active beyond Westminster 2S","project_id":79,"tracker_id":40,"status_id":1,"priority_id":2,"assigned_to_id":338,"start_date":"2017-10-10","description":"","custom_fields":[{"id":1,"name":"Subdivision","value":"NW"},{"id":4,"name":"Milepost","value":"5.7236"},{"id":17,"name":"Train ID","value":"834-10"},{"id":16,"name":"Locomotive ID","value":"4035"},{"id":130,"name":"Impact","value":""},{"id":150,"name":"Time of Event (Mountain Time)","value":"17:57:19"},{"id":151,"name":"Denver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93"/>
        <v>start /low /b %USERPROFILE%\Documents\GitHub\eaglep3\Utilities\DownloadLogsFromS3.py --loco 4035 --day 2017-10-10</v>
      </c>
      <c r="AN192" s="151" t="str">
        <f t="shared" si="94"/>
        <v>echo {"issue":{"subject":"Went active beyond Westminster 2S","project_id":30,"tracker_id":4,"status_id":1,"priority_id":1,"assigned_to_id":10,"start_date":"2017-10-10","description":"","custom_fields":[{"id":30,"name":"Category","value":"Issue"},{"id":3,"name":"Functional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5"/>
        <v>https://d0f6bd738d7f1b3e5a7ca70fe4ff75f0.us-east-1.aws.found.io/app/kibana#/discover/Steve-Slow-Train-Analysis-(2080s-and-2083s)?_g=(refreshInterval:(display:Off,pause:!f,section:0,value:0),time:(from:'2017-10-10T16:26:34-0600',mode:absolute,to:'2017-10-10T18:57:19-0600'))&amp;_a=(columns:!('Message%20ID',Summary),filters:!(),index:'emp_*',interval:auto,query:(query_string:(analyze_wildcard:!t,query:'%22rtdc.l.rtdc.4035%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792</v>
      </c>
      <c r="B193" s="7">
        <v>4060</v>
      </c>
      <c r="C193" s="21" t="s">
        <v>194</v>
      </c>
      <c r="D193" s="21" t="s">
        <v>523</v>
      </c>
      <c r="E193" s="13">
        <v>43018.733773148146</v>
      </c>
      <c r="F193" s="13">
        <v>43018.735879629632</v>
      </c>
      <c r="G193" s="7">
        <v>69</v>
      </c>
      <c r="H193" s="21" t="s">
        <v>985</v>
      </c>
      <c r="I193" s="13">
        <v>43018.775636574072</v>
      </c>
      <c r="J193" s="7">
        <v>0</v>
      </c>
      <c r="K193" s="89" t="str">
        <f t="shared" si="128"/>
        <v>4059/4060</v>
      </c>
      <c r="L193" s="185" t="str">
        <f>VLOOKUP(A193,'Trips&amp;Operators'!$C$1:$G$99911,5,FALSE)</f>
        <v>STAMBAUGH JAMES</v>
      </c>
      <c r="M193" s="6">
        <f t="shared" si="129"/>
        <v>3.9756944439432118E-2</v>
      </c>
      <c r="N193" s="7"/>
      <c r="O193" s="7"/>
      <c r="P193" s="7">
        <f>24*60*SUM($M193:$M193)</f>
        <v>57.24999999278225</v>
      </c>
      <c r="Q193" s="22"/>
      <c r="R193" s="174" t="s">
        <v>1016</v>
      </c>
      <c r="S193" s="221">
        <f t="shared" si="130"/>
        <v>1</v>
      </c>
      <c r="T193" s="174" t="str">
        <f t="shared" si="131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2"/>
        <v>https://d0f6bd738d7f1b3e5a7ca70fe4ff75f0.us-east-1.aws.found.io/app/kibana#/discover/Steve-Slow-Train-Analysis-(2080s-and-2083s)?_g=(refreshInterval:(display:Off,pause:!f,section:0,value:0),time:(from:'2017-10-10T16:36:38-0600',mode:absolute,to:'2017-10-10T19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3" s="204" t="str">
        <f>IF(AA193&lt;VLOOKUP(AG193,Variables!$AC$3:$AD$8,2,FALSE),"Y","N")</f>
        <v>Y</v>
      </c>
      <c r="X193" s="204">
        <f t="shared" si="122"/>
        <v>1</v>
      </c>
      <c r="Y193" s="204">
        <f>RIGHT(D193,LEN(D193)-4)/10000</f>
        <v>9.7100000000000006E-2</v>
      </c>
      <c r="Z193" s="204">
        <f>RIGHT(H193,LEN(H193)-4)/10000</f>
        <v>3.5445000000000002</v>
      </c>
      <c r="AA193" s="204">
        <f t="shared" si="132"/>
        <v>3.4474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133"/>
        <v>835</v>
      </c>
      <c r="AE193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93" s="74" t="str">
        <f t="shared" si="89"/>
        <v>"C:\Program Files (x86)\AstroGrep\AstroGrep.exe" /e /r /s /spath="%USERPROFILE%\AppData\Local\Temp\OnboardLogs" /stypes="app*4060*20171011*" /stext=" 00:.+((SYSTEM_STATE.+slice.+state.+changed )|(ment ac)|(multiple cpu faults)|(system.+state.+changed )|(\[timeout)|(PRM\|1\|D)|(kpr)|(kdp)|(train st.+moving)|(\|lc)|(penalty))"</v>
      </c>
      <c r="AG193" s="182" t="str">
        <f t="shared" si="134"/>
        <v>NW</v>
      </c>
      <c r="AH193" s="78" t="str">
        <f t="shared" si="91"/>
        <v>"%USERPROFILE%\Documents\GitHub\eaglep3\Utilities\RefineRTDCRunTimes.py" --tripid 835-10 --locoid 4060 --swversion DE.1.0.9.0 --startMP 204:971 --initTime 2017-10-10T17:36:38 --startdatetime 2017-10-10T17:39:40 --delay 69 --endMP 300:35445 --enddatetime 2017-10-10T18:36:55 --enforcementcount 0 &gt;&gt;%USERPROFILE%\Documents\GitHub\eaglep3-reporting\EC\2017-10-10-refined-times.txt</v>
      </c>
      <c r="AI193" s="96" t="str">
        <f t="shared" si="92"/>
        <v>echo {"issue":{"subject":"Onboard en route failure","project_id":79,"tracker_id":40,"status_id":1,"priority_id":2,"assigned_to_id":338,"start_date":"2017-10-10","description":"","custom_fields":[{"id":1,"name":"Subdivision","value":"NW"},{"id":4,"name":"Milepost","value":"3.5445"},{"id":17,"name":"Train ID","value":"835-10"},{"id":16,"name":"Locomotive ID","value":"4060"},{"id":130,"name":"Impact","value":""},{"id":150,"name":"Time of Event (Mountain Time)","value":"18:36:55"},{"id":151,"name":"Denver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93"/>
        <v>start /low /b %USERPROFILE%\Documents\GitHub\eaglep3\Utilities\DownloadLogsFromS3.py --loco 4060 --day 2017-10-10</v>
      </c>
      <c r="AN193" s="151" t="str">
        <f t="shared" si="94"/>
        <v>echo {"issue":{"subject":"Onboard en route failure","project_id":30,"tracker_id":4,"status_id":1,"priority_id":1,"assigned_to_id":10,"start_date":"2017-10-11","description":"","custom_fields":[{"id":30,"name":"Category","value":"Issue"},{"id":3,"name":"Functional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5"/>
        <v>https://d0f6bd738d7f1b3e5a7ca70fe4ff75f0.us-east-1.aws.found.io/app/kibana#/discover/Steve-Slow-Train-Analysis-(2080s-and-2083s)?_g=(refreshInterval:(display:Off,pause:!f,section:0,value:0),time:(from:'2017-10-10T16:36:38-0600',mode:absolute,to:'2017-10-10T19:36:55-0600'))&amp;_a=(columns:!('Message%20ID',Summary),filters:!(),index:'emp_*',interval:auto,query:(query_string:(analyze_wildcard:!t,query:'%22rtdc.l.rtdc.4060%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608</v>
      </c>
      <c r="B194" s="7">
        <v>4059</v>
      </c>
      <c r="C194" s="21" t="s">
        <v>194</v>
      </c>
      <c r="D194" s="21" t="s">
        <v>523</v>
      </c>
      <c r="E194" s="13">
        <v>43018.733773148146</v>
      </c>
      <c r="F194" s="13">
        <v>43018.75885416667</v>
      </c>
      <c r="G194" s="7">
        <v>69</v>
      </c>
      <c r="H194" s="21" t="s">
        <v>985</v>
      </c>
      <c r="I194" s="13">
        <v>43018.767222222225</v>
      </c>
      <c r="J194" s="7">
        <v>0</v>
      </c>
      <c r="K194" s="89" t="str">
        <f t="shared" si="128"/>
        <v>4059/4060</v>
      </c>
      <c r="L194" s="185" t="str">
        <f>VLOOKUP(A194,'Trips&amp;Operators'!$C$1:$G$99911,5,FALSE)</f>
        <v>STAMBAUGH JAMES</v>
      </c>
      <c r="M194" s="6">
        <f t="shared" si="129"/>
        <v>8.3680555544560775E-3</v>
      </c>
      <c r="N194" s="7">
        <f t="shared" ref="N194:N225" si="135">24*60*SUM($M194:$M194)</f>
        <v>12.049999998416752</v>
      </c>
      <c r="O194" s="7"/>
      <c r="P194" s="7"/>
      <c r="Q194" s="22"/>
      <c r="R194" s="174"/>
      <c r="S194" s="221">
        <f t="shared" si="130"/>
        <v>1</v>
      </c>
      <c r="T194" s="174" t="str">
        <f t="shared" si="131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2"/>
        <v>https://d0f6bd738d7f1b3e5a7ca70fe4ff75f0.us-east-1.aws.found.io/app/kibana#/discover/Steve-Slow-Train-Analysis-(2080s-and-2083s)?_g=(refreshInterval:(display:Off,pause:!f,section:0,value:0),time:(from:'2017-10-10T16:36:38-0600',mode:absolute,to:'2017-10-10T19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4" s="204" t="str">
        <f>IF(AA194&lt;VLOOKUP(AG194,Variables!$AC$3:$AD$8,2,FALSE),"Y","N")</f>
        <v>N</v>
      </c>
      <c r="X194" s="204">
        <f t="shared" si="122"/>
        <v>1</v>
      </c>
      <c r="Y194" s="204">
        <v>5.8624000000000001</v>
      </c>
      <c r="Z194" s="204">
        <v>6.7000000000000004E-2</v>
      </c>
      <c r="AA194" s="204">
        <f t="shared" si="132"/>
        <v>5.7953999999999999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133"/>
        <v>836</v>
      </c>
      <c r="AE194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94" s="74" t="str">
        <f t="shared" si="89"/>
        <v>"C:\Program Files (x86)\AstroGrep\AstroGrep.exe" /e /r /s /spath="%USERPROFILE%\AppData\Local\Temp\OnboardLogs" /stypes="app*4059*20171011*" /stext=" 00:.+((SYSTEM_STATE.+slice.+state.+changed )|(ment ac)|(multiple cpu faults)|(system.+state.+changed )|(\[timeout)|(PRM\|1\|D)|(kpr)|(kdp)|(train st.+moving)|(\|lc)|(penalty))"</v>
      </c>
      <c r="AG194" s="182" t="str">
        <f t="shared" si="134"/>
        <v>NW</v>
      </c>
      <c r="AH194" s="78" t="str">
        <f t="shared" ref="AH194" si="136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836-10 --locoid 4059 --swversion DE.1.0.9.0 --startMP 204:971 --initTime 2017-10-10T17:36:38 --startdatetime 2017-10-10T18:12:45 --delay 69 --endMP 300:35445 --enddatetime 2017-10-10T18:24:48 --enforcementcount 0 &gt;&gt;%USERPROFILE%\Documents\GitHub\eaglep3-reporting\EC\2017-10-10-refined-times.txt</v>
      </c>
      <c r="AI194" s="96" t="str">
        <f t="shared" ref="AI194" si="137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ID","value":"836-10"},{"id":16,"name":"Locomotive ID","value":"4059"},{"id":130,"name":"Impact","value":""},{"id":150,"name":"Time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ref="AM194" si="138">"start /low /b "&amp;dls3logs&amp;" --loco "&amp;B194&amp;" --day "&amp;TEXT(F194,"YYYY-MM-DD")</f>
        <v>start /low /b %USERPROFILE%\Documents\GitHub\eaglep3\Utilities\DownloadLogsFromS3.py --loco 4059 --day 2017-10-10</v>
      </c>
      <c r="AN194" s="151" t="str">
        <f t="shared" ref="AN194" si="139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ref="AO194" si="140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-10T16:36:38-0600',mode:absolute,to:'2017-10-10T19:24:48-0600'))&amp;_a=(columns:!('Message%20ID',Summary),filters:!(),index:'emp_*',interval:auto,query:(query_string:(analyze_wildcard:!t,query:'%22rtdc.l.rtdc.4059%22')),sort:!(Time.ISO8601,asc))</v>
      </c>
    </row>
    <row r="195" spans="1:91" s="20" customFormat="1" x14ac:dyDescent="0.25">
      <c r="A195" s="32" t="s">
        <v>800</v>
      </c>
      <c r="B195" s="7">
        <v>4036</v>
      </c>
      <c r="C195" s="21" t="s">
        <v>194</v>
      </c>
      <c r="D195" s="21" t="s">
        <v>986</v>
      </c>
      <c r="E195" s="13">
        <v>43018.753599537034</v>
      </c>
      <c r="F195" s="13">
        <v>43018.756423611114</v>
      </c>
      <c r="G195" s="7">
        <v>50</v>
      </c>
      <c r="H195" s="21" t="s">
        <v>524</v>
      </c>
      <c r="I195" s="13">
        <v>43018.767048611109</v>
      </c>
      <c r="J195" s="7">
        <v>0</v>
      </c>
      <c r="K195" s="89" t="str">
        <f t="shared" si="128"/>
        <v>4035/4036</v>
      </c>
      <c r="L195" s="185" t="str">
        <f>VLOOKUP(A195,'Trips&amp;Operators'!$C$1:$G$99911,5,FALSE)</f>
        <v>GUZMAN DANNY</v>
      </c>
      <c r="M195" s="6">
        <f t="shared" si="129"/>
        <v>1.0624999995343387E-2</v>
      </c>
      <c r="N195" s="7">
        <f t="shared" si="135"/>
        <v>15.299999993294477</v>
      </c>
      <c r="O195" s="7"/>
      <c r="P195" s="7"/>
      <c r="Q195" s="22"/>
      <c r="R195" s="174"/>
      <c r="S195" s="221">
        <f t="shared" si="130"/>
        <v>1</v>
      </c>
      <c r="T195" s="174" t="str">
        <f t="shared" si="131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2"/>
        <v>https://d0f6bd738d7f1b3e5a7ca70fe4ff75f0.us-east-1.aws.found.io/app/kibana#/discover/Steve-Slow-Train-Analysis-(2080s-and-2083s)?_g=(refreshInterval:(display:Off,pause:!f,section:0,value:0),time:(from:'2017-10-10T17:05:11-0600',mode:absolute,to:'2017-10-10T19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5" s="204" t="str">
        <f>IF(AA195&lt;VLOOKUP(AG195,Variables!$AC$3:$AD$8,2,FALSE),"Y","N")</f>
        <v>N</v>
      </c>
      <c r="X195" s="204">
        <f t="shared" si="122"/>
        <v>1</v>
      </c>
      <c r="Y195" s="204">
        <f>RIGHT(D195,LEN(D195)-4)/10000</f>
        <v>9.7799999999999998E-2</v>
      </c>
      <c r="Z195" s="204">
        <f>RIGHT(H195,LEN(H195)-4)/10000</f>
        <v>5.8939000000000004</v>
      </c>
      <c r="AA195" s="204">
        <f t="shared" si="132"/>
        <v>5.7961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133"/>
        <v>837</v>
      </c>
      <c r="AE19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5" s="74" t="str">
        <f t="shared" si="89"/>
        <v>"C:\Program Files (x86)\AstroGrep\AstroGrep.exe" /e /r /s /spath="%USERPROFILE%\AppData\Local\Temp\OnboardLogs" /stypes="app*4036*20171011*" /stext=" 00:.+((SYSTEM_STATE.+slice.+state.+changed )|(ment ac)|(multiple cpu faults)|(system.+state.+changed )|(\[timeout)|(PRM\|1\|D)|(kpr)|(kdp)|(train st.+moving)|(\|lc)|(penalty))"</v>
      </c>
      <c r="AG195" s="182" t="str">
        <f t="shared" si="134"/>
        <v>NW</v>
      </c>
      <c r="AH195" s="78" t="str">
        <f t="shared" si="91"/>
        <v>"%USERPROFILE%\Documents\GitHub\eaglep3\Utilities\RefineRTDCRunTimes.py" --tripid 837-10 --locoid 4036 --swversion DE.1.0.9.0 --startMP 204:978 --initTime 2017-10-10T18:05:11 --startdatetime 2017-10-10T18:09:15 --delay 50 --endMP 300:58939 --enddatetime 2017-10-10T18:24:33 --enforcementcount 0 &gt;&gt;%USERPROFILE%\Documents\GitHub\eaglep3-reporting\EC\2017-10-10-refined-times.txt</v>
      </c>
      <c r="AI19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ID","value":"837-10"},{"id":16,"name":"Locomotive ID","value":"4036"},{"id":130,"name":"Impact","value":""},{"id":150,"name":"Time of Event (Mountain Time)","value":"18:24:33"},{"id":151,"name":"Denver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93"/>
        <v>start /low /b %USERPROFILE%\Documents\GitHub\eaglep3\Utilities\DownloadLogsFromS3.py --loco 4036 --day 2017-10-10</v>
      </c>
      <c r="AN19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5"/>
        <v>https://d0f6bd738d7f1b3e5a7ca70fe4ff75f0.us-east-1.aws.found.io/app/kibana#/discover/Steve-Slow-Train-Analysis-(2080s-and-2083s)?_g=(refreshInterval:(display:Off,pause:!f,section:0,value:0),time:(from:'2017-10-10T17:05:11-0600',mode:absolute,to:'2017-10-10T19:24:33-0600'))&amp;_a=(columns:!('Message%20ID',Summary),filters:!(),index:'emp_*',interval:auto,query:(query_string:(analyze_wildcard:!t,query:'%22rtdc.l.rtdc.4036%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804</v>
      </c>
      <c r="B196" s="7">
        <v>4035</v>
      </c>
      <c r="C196" s="21" t="s">
        <v>194</v>
      </c>
      <c r="D196" s="21" t="s">
        <v>986</v>
      </c>
      <c r="E196" s="13">
        <v>43018.753599537034</v>
      </c>
      <c r="F196" s="13">
        <v>43018.779907407406</v>
      </c>
      <c r="G196" s="7">
        <v>50</v>
      </c>
      <c r="H196" s="21" t="s">
        <v>524</v>
      </c>
      <c r="I196" s="13">
        <v>43018.78875</v>
      </c>
      <c r="J196" s="7">
        <v>0</v>
      </c>
      <c r="K196" s="89" t="str">
        <f t="shared" si="128"/>
        <v>4035/4036</v>
      </c>
      <c r="L196" s="185" t="str">
        <f>VLOOKUP(A196,'Trips&amp;Operators'!$C$1:$G$99911,5,FALSE)</f>
        <v>GUZMAN DANNY</v>
      </c>
      <c r="M196" s="6">
        <f t="shared" si="129"/>
        <v>8.8425925932824612E-3</v>
      </c>
      <c r="N196" s="7">
        <f t="shared" si="135"/>
        <v>12.733333334326744</v>
      </c>
      <c r="O196" s="7"/>
      <c r="P196" s="7"/>
      <c r="Q196" s="22"/>
      <c r="R196" s="174"/>
      <c r="S196" s="221">
        <f t="shared" si="130"/>
        <v>1</v>
      </c>
      <c r="T196" s="174" t="str">
        <f t="shared" si="131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2"/>
        <v>https://d0f6bd738d7f1b3e5a7ca70fe4ff75f0.us-east-1.aws.found.io/app/kibana#/discover/Steve-Slow-Train-Analysis-(2080s-and-2083s)?_g=(refreshInterval:(display:Off,pause:!f,section:0,value:0),time:(from:'2017-10-10T17:05:11-0600',mode:absolute,to:'2017-10-10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6" s="204" t="str">
        <f>IF(AA196&lt;VLOOKUP(AG196,Variables!$AC$3:$AD$8,2,FALSE),"Y","N")</f>
        <v>N</v>
      </c>
      <c r="X196" s="204">
        <f t="shared" ref="X196:X197" si="141">VALUE(LEFT(AD196,4))-VALUE(LEFT(AD195,4))</f>
        <v>1</v>
      </c>
      <c r="Y196" s="204">
        <v>5.8624000000000001</v>
      </c>
      <c r="Z196" s="204">
        <v>6.7000000000000004E-2</v>
      </c>
      <c r="AA196" s="204">
        <f t="shared" si="132"/>
        <v>5.7953999999999999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133"/>
        <v>838</v>
      </c>
      <c r="AE19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6" s="74" t="str">
        <f t="shared" si="89"/>
        <v>"C:\Program Files (x86)\AstroGrep\AstroGrep.exe" /e /r /s /spath="%USERPROFILE%\AppData\Local\Temp\OnboardLogs" /stypes="app*4035*20171011*" /stext=" 00:.+((SYSTEM_STATE.+slice.+state.+changed )|(ment ac)|(multiple cpu faults)|(system.+state.+changed )|(\[timeout)|(PRM\|1\|D)|(kpr)|(kdp)|(train st.+moving)|(\|lc)|(penalty))"</v>
      </c>
      <c r="AG196" s="182" t="str">
        <f t="shared" si="134"/>
        <v>NW</v>
      </c>
      <c r="AH196" s="78" t="str">
        <f t="shared" ref="AH196" si="142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838-10 --locoid 4035 --swversion DE.1.0.9.0 --startMP 204:978 --initTime 2017-10-10T18:05:11 --startdatetime 2017-10-10T18:43:04 --delay 50 --endMP 300:58939 --enddatetime 2017-10-10T18:55:48 --enforcementcount 0 &gt;&gt;%USERPROFILE%\Documents\GitHub\eaglep3-reporting\EC\2017-10-10-refined-times.txt</v>
      </c>
      <c r="AI196" s="96" t="str">
        <f t="shared" ref="AI196" si="143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ID","value":"838-10"},{"id":16,"name":"Locomotive ID","value":"4035"},{"id":130,"name":"Impact","value":""},{"id":150,"name":"Time of Event (Mountain Time)","value":"18:55:48"},{"id":151,"name":"Denver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ref="AM196" si="144">"start /low /b "&amp;dls3logs&amp;" --loco "&amp;B196&amp;" --day "&amp;TEXT(F196,"YYYY-MM-DD")</f>
        <v>start /low /b %USERPROFILE%\Documents\GitHub\eaglep3\Utilities\DownloadLogsFromS3.py --loco 4035 --day 2017-10-10</v>
      </c>
      <c r="AN196" s="151" t="str">
        <f t="shared" ref="AN196" si="145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ref="AO196" si="146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-10T17:05:11-0600',mode:absolute,to:'2017-10-10T19:55:48-0600'))&amp;_a=(columns:!('Message%20ID',Summary),filters:!(),index:'emp_*',interval:auto,query:(query_string:(analyze_wildcard:!t,query:'%22rtdc.l.rtdc.4035%22')),sort:!(Time.ISO8601,asc))</v>
      </c>
    </row>
    <row r="197" spans="1:91" s="20" customFormat="1" x14ac:dyDescent="0.25">
      <c r="A197" s="32" t="s">
        <v>807</v>
      </c>
      <c r="B197" s="7">
        <v>4060</v>
      </c>
      <c r="C197" s="21" t="s">
        <v>194</v>
      </c>
      <c r="D197" s="21" t="s">
        <v>523</v>
      </c>
      <c r="E197" s="13">
        <v>43018.775000000001</v>
      </c>
      <c r="F197" s="13">
        <v>43018.777696759258</v>
      </c>
      <c r="G197" s="7">
        <v>55</v>
      </c>
      <c r="H197" s="21" t="s">
        <v>572</v>
      </c>
      <c r="I197" s="13">
        <v>43018.787766203706</v>
      </c>
      <c r="J197" s="7">
        <v>0</v>
      </c>
      <c r="K197" s="89" t="str">
        <f t="shared" si="128"/>
        <v>4059/4060</v>
      </c>
      <c r="L197" s="185" t="str">
        <f>VLOOKUP(A197,'Trips&amp;Operators'!$C$1:$G$99911,5,FALSE)</f>
        <v>STAMBAUGH JAMES</v>
      </c>
      <c r="M197" s="6">
        <f t="shared" si="129"/>
        <v>1.0069444448163267E-2</v>
      </c>
      <c r="N197" s="7">
        <f t="shared" si="135"/>
        <v>14.500000005355105</v>
      </c>
      <c r="O197" s="7"/>
      <c r="P197" s="7"/>
      <c r="Q197" s="22"/>
      <c r="R197" s="174"/>
      <c r="S197" s="221">
        <f t="shared" si="130"/>
        <v>1</v>
      </c>
      <c r="T197" s="174" t="str">
        <f t="shared" si="131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2"/>
        <v>https://d0f6bd738d7f1b3e5a7ca70fe4ff75f0.us-east-1.aws.found.io/app/kibana#/discover/Steve-Slow-Train-Analysis-(2080s-and-2083s)?_g=(refreshInterval:(display:Off,pause:!f,section:0,value:0),time:(from:'2017-10-10T17:36:00-0600',mode:absolute,to:'2017-10-10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7" s="204" t="str">
        <f>IF(AA197&lt;VLOOKUP(AG197,Variables!$AC$3:$AD$8,2,FALSE),"Y","N")</f>
        <v>N</v>
      </c>
      <c r="X197" s="204">
        <f t="shared" si="141"/>
        <v>1</v>
      </c>
      <c r="Y197" s="204">
        <f>RIGHT(D197,LEN(D197)-4)/10000</f>
        <v>9.7100000000000006E-2</v>
      </c>
      <c r="Z197" s="204">
        <f>RIGHT(H197,LEN(H197)-4)/10000</f>
        <v>5.8936999999999999</v>
      </c>
      <c r="AA197" s="204">
        <f t="shared" si="132"/>
        <v>5.7965999999999998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133"/>
        <v>839</v>
      </c>
      <c r="AE197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97" s="74" t="str">
        <f t="shared" si="89"/>
        <v>"C:\Program Files (x86)\AstroGrep\AstroGrep.exe" /e /r /s /spath="%USERPROFILE%\AppData\Local\Temp\OnboardLogs" /stypes="app*4060*20171011*" /stext=" 00:.+((SYSTEM_STATE.+slice.+state.+changed )|(ment ac)|(multiple cpu faults)|(system.+state.+changed )|(\[timeout)|(PRM\|1\|D)|(kpr)|(kdp)|(train st.+moving)|(\|lc)|(penalty))"</v>
      </c>
      <c r="AG197" s="182" t="str">
        <f t="shared" si="134"/>
        <v>NW</v>
      </c>
      <c r="AH197" s="78" t="str">
        <f t="shared" si="91"/>
        <v>"%USERPROFILE%\Documents\GitHub\eaglep3\Utilities\RefineRTDCRunTimes.py" --tripid 839-10 --locoid 4060 --swversion DE.1.0.9.0 --startMP 204:971 --initTime 2017-10-10T18:36:00 --startdatetime 2017-10-10T18:39:53 --delay 55 --endMP 300:58937 --enddatetime 2017-10-10T18:54:23 --enforcementcount 0 &gt;&gt;%USERPROFILE%\Documents\GitHub\eaglep3-reporting\EC\2017-10-10-refined-times.txt</v>
      </c>
      <c r="AI19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{"issue":{"subject":"","project_id":79,"tracker_id":40,"status_id":1,"priority_id":2,"assigned_to_id":338,"start_date":"2017-10-10","description":"","custom_fields":[{"id":1,"name":"Subdivision","value":"NW"},{"id":4,"name":"Milepost","value":"5.8937"},{"id":17,"name":"Train ID","value":"839-10"},{"id":16,"name":"Locomotive ID","value":"4060"},{"id":130,"name":"Impact","value":""},{"id":150,"name":"Time of Event (Mountain Time)","value":"18:54:23"},{"id":151,"name":"Denver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93"/>
        <v>start /low /b %USERPROFILE%\Documents\GitHub\eaglep3\Utilities\DownloadLogsFromS3.py --loco 4060 --day 2017-10-10</v>
      </c>
      <c r="AN19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5"/>
        <v>https://d0f6bd738d7f1b3e5a7ca70fe4ff75f0.us-east-1.aws.found.io/app/kibana#/discover/Steve-Slow-Train-Analysis-(2080s-and-2083s)?_g=(refreshInterval:(display:Off,pause:!f,section:0,value:0),time:(from:'2017-10-10T17:36:00-0600',mode:absolute,to:'2017-10-10T19:54:23-0600'))&amp;_a=(columns:!('Message%20ID',Summary),filters:!(),index:'emp_*',interval:auto,query:(query_string:(analyze_wildcard:!t,query:'%22rtdc.l.rtdc.4060%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611</v>
      </c>
      <c r="B198" s="7">
        <v>4035</v>
      </c>
      <c r="C198" s="21" t="s">
        <v>194</v>
      </c>
      <c r="D198" s="21" t="s">
        <v>987</v>
      </c>
      <c r="E198" s="13">
        <v>43018.809212962966</v>
      </c>
      <c r="F198" s="13">
        <v>43018.821712962963</v>
      </c>
      <c r="G198" s="7">
        <v>104</v>
      </c>
      <c r="H198" s="21" t="s">
        <v>988</v>
      </c>
      <c r="I198" s="13">
        <v>43018.830312500002</v>
      </c>
      <c r="J198" s="7">
        <v>0</v>
      </c>
      <c r="K198" s="89" t="str">
        <f t="shared" si="128"/>
        <v>4035/4036</v>
      </c>
      <c r="L198" s="185" t="str">
        <f>VLOOKUP(A198,'Trips&amp;Operators'!$C$1:$G$99911,5,FALSE)</f>
        <v>ZEWDU DEREJE</v>
      </c>
      <c r="M198" s="6">
        <f t="shared" si="129"/>
        <v>8.599537039117422E-3</v>
      </c>
      <c r="N198" s="7">
        <f t="shared" si="135"/>
        <v>12.383333336329088</v>
      </c>
      <c r="O198" s="7"/>
      <c r="P198" s="7"/>
      <c r="Q198" s="22"/>
      <c r="R198" s="174"/>
      <c r="S198" s="221">
        <f t="shared" si="130"/>
        <v>1</v>
      </c>
      <c r="T198" s="174" t="str">
        <f t="shared" si="131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2"/>
        <v>https://d0f6bd738d7f1b3e5a7ca70fe4ff75f0.us-east-1.aws.found.io/app/kibana#/discover/Steve-Slow-Train-Analysis-(2080s-and-2083s)?_g=(refreshInterval:(display:Off,pause:!f,section:0,value:0),time:(from:'2017-10-10T18:25:16-0600',mode:absolute,to:'2017-10-10T20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8" s="204" t="str">
        <f>IF(AA198&lt;VLOOKUP(AG198,Variables!$AC$3:$AD$8,2,FALSE),"Y","N")</f>
        <v>N</v>
      </c>
      <c r="X198" s="204">
        <f t="shared" ref="X198:X242" si="147">VALUE(LEFT(AD198,4))-VALUE(LEFT(AD197,4))</f>
        <v>1</v>
      </c>
      <c r="Y198" s="204">
        <f>RIGHT(D198,LEN(D198)-4)/10000</f>
        <v>5.8666</v>
      </c>
      <c r="Z198" s="204">
        <f>RIGHT(H198,LEN(H198)-4)/10000</f>
        <v>7.0800000000000002E-2</v>
      </c>
      <c r="AA198" s="204">
        <f t="shared" si="132"/>
        <v>5.7957999999999998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133"/>
        <v>840</v>
      </c>
      <c r="AE19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8" s="74" t="str">
        <f t="shared" si="89"/>
        <v>"C:\Program Files (x86)\AstroGrep\AstroGrep.exe" /e /r /s /spath="%USERPROFILE%\AppData\Local\Temp\OnboardLogs" /stypes="app*4035*20171011*" /stext=" 01:.+((SYSTEM_STATE.+slice.+state.+changed )|(ment ac)|(multiple cpu faults)|(system.+state.+changed )|(\[timeout)|(PRM\|1\|D)|(kpr)|(kdp)|(train st.+moving)|(\|lc)|(penalty))"</v>
      </c>
      <c r="AG198" s="182" t="str">
        <f t="shared" si="134"/>
        <v>NW</v>
      </c>
      <c r="AH198" s="78" t="str">
        <f t="shared" si="91"/>
        <v>"%USERPROFILE%\Documents\GitHub\eaglep3\Utilities\RefineRTDCRunTimes.py" --tripid 840-10 --locoid 4035 --swversion DE.1.0.9.0 --startMP 300:58666 --initTime 2017-10-10T19:25:16 --startdatetime 2017-10-10T19:43:16 --delay 104 --endMP 204:708 --enddatetime 2017-10-10T19:55:39 --enforcementcount 0 &gt;&gt;%USERPROFILE%\Documents\GitHub\eaglep3-reporting\EC\2017-10-10-refined-times.txt</v>
      </c>
      <c r="AI19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{"issue":{"subject":"","project_id":79,"tracker_id":40,"status_id":1,"priority_id":2,"assigned_to_id":338,"start_date":"2017-10-10","description":"","custom_fields":[{"id":1,"name":"Subdivision","value":"NW"},{"id":4,"name":"Milepost","value":"0.0708"},{"id":17,"name":"Train ID","value":"840-10"},{"id":16,"name":"Locomotive ID","value":"4035"},{"id":130,"name":"Impact","value":""},{"id":150,"name":"Time of Event (Mountain Time)","value":"19:55:39"},{"id":151,"name":"Denver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93"/>
        <v>start /low /b %USERPROFILE%\Documents\GitHub\eaglep3\Utilities\DownloadLogsFromS3.py --loco 4035 --day 2017-10-10</v>
      </c>
      <c r="AN198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5"/>
        <v>https://d0f6bd738d7f1b3e5a7ca70fe4ff75f0.us-east-1.aws.found.io/app/kibana#/discover/Steve-Slow-Train-Analysis-(2080s-and-2083s)?_g=(refreshInterval:(display:Off,pause:!f,section:0,value:0),time:(from:'2017-10-10T18:25:16-0600',mode:absolute,to:'2017-10-10T20:55:39-0600'))&amp;_a=(columns:!('Message%20ID',Summary),filters:!(),index:'emp_*',interval:auto,query:(query_string:(analyze_wildcard:!t,query:'%22rtdc.l.rtdc.4035%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609</v>
      </c>
      <c r="B199" s="7">
        <v>4036</v>
      </c>
      <c r="C199" s="21" t="s">
        <v>194</v>
      </c>
      <c r="D199" s="21" t="s">
        <v>411</v>
      </c>
      <c r="E199" s="13">
        <v>43018.793657407405</v>
      </c>
      <c r="F199" s="13">
        <v>43018.798159722224</v>
      </c>
      <c r="G199" s="7">
        <v>83</v>
      </c>
      <c r="H199" s="21" t="s">
        <v>971</v>
      </c>
      <c r="I199" s="13">
        <v>43018.808113425926</v>
      </c>
      <c r="J199" s="7">
        <v>0</v>
      </c>
      <c r="K199" s="89" t="str">
        <f t="shared" si="128"/>
        <v>4035/4036</v>
      </c>
      <c r="L199" s="185" t="str">
        <f>VLOOKUP(A199,'Trips&amp;Operators'!$C$1:$G$99911,5,FALSE)</f>
        <v>ZEWDU DEREJE</v>
      </c>
      <c r="M199" s="6">
        <f t="shared" si="129"/>
        <v>9.9537037021946162E-3</v>
      </c>
      <c r="N199" s="7">
        <f t="shared" si="135"/>
        <v>14.333333331160247</v>
      </c>
      <c r="O199" s="7"/>
      <c r="P199" s="7"/>
      <c r="Q199" s="22"/>
      <c r="R199" s="174"/>
      <c r="S199" s="221">
        <f t="shared" si="130"/>
        <v>1</v>
      </c>
      <c r="T199" s="174" t="str">
        <f t="shared" si="13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2"/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9" s="204" t="str">
        <f>IF(AA199&lt;VLOOKUP(AG199,Variables!$AC$3:$AD$8,2,FALSE),"Y","N")</f>
        <v>N</v>
      </c>
      <c r="X199" s="204">
        <f t="shared" si="147"/>
        <v>1</v>
      </c>
      <c r="Y199" s="204">
        <f>RIGHT(D199,LEN(D199)-4)/10000</f>
        <v>9.74E-2</v>
      </c>
      <c r="Z199" s="204">
        <f>RIGHT(H199,LEN(H199)-4)/10000</f>
        <v>5.8983999999999996</v>
      </c>
      <c r="AA199" s="204">
        <f t="shared" si="132"/>
        <v>5.8009999999999993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133"/>
        <v>841</v>
      </c>
      <c r="AE19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9" s="74" t="str">
        <f t="shared" si="89"/>
        <v>"C:\Program Files (x86)\AstroGrep\AstroGrep.exe" /e /r /s /spath="%USERPROFILE%\AppData\Local\Temp\OnboardLogs" /stypes="app*4036*20171011*" /stext=" 01:.+((SYSTEM_STATE.+slice.+state.+changed )|(ment ac)|(multiple cpu faults)|(system.+state.+changed )|(\[timeout)|(PRM\|1\|D)|(kpr)|(kdp)|(train st.+moving)|(\|lc)|(penalty))"</v>
      </c>
      <c r="AG199" s="182" t="str">
        <f t="shared" si="134"/>
        <v>NW</v>
      </c>
      <c r="AH199" s="78" t="str">
        <f t="shared" si="91"/>
        <v>"%USERPROFILE%\Documents\GitHub\eaglep3\Utilities\RefineRTDCRunTimes.py" --tripid 841-10 --locoid 4036 --swversion DE.1.0.9.0 --startMP 204:974 --initTime 2017-10-10T19:02:52 --startdatetime 2017-10-10T19:09:21 --delay 83 --endMP 300:58984 --enddatetime 2017-10-10T19:23:41 --enforcementcount 0 &gt;&gt;%USERPROFILE%\Documents\GitHub\eaglep3-reporting\EC\2017-10-10-refined-times.txt</v>
      </c>
      <c r="AI19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{"issue":{"subject":"","project_id":79,"tracker_id":40,"status_id":1,"priority_id":2,"assigned_to_id":338,"start_date":"2017-10-10","description":"","custom_fields":[{"id":1,"name":"Subdivision","value":"NW"},{"id":4,"name":"Milepost","value":"5.8984"},{"id":17,"name":"Train ID","value":"841-10"},{"id":16,"name":"Locomotive ID","value":"4036"},{"id":130,"name":"Impact","value":""},{"id":150,"name":"Time of Event (Mountain Time)","value":"19:23:41"},{"id":151,"name":"Denver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93"/>
        <v>start /low /b %USERPROFILE%\Documents\GitHub\eaglep3\Utilities\DownloadLogsFromS3.py --loco 4036 --day 2017-10-10</v>
      </c>
      <c r="AN19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5"/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Message%20ID',Summary),filters:!(),index:'emp_*',interval:auto,query:(query_string:(analyze_wildcard:!t,query:'%22rtdc.l.rtdc.4036%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822</v>
      </c>
      <c r="B200" s="7">
        <v>4035</v>
      </c>
      <c r="C200" s="21" t="s">
        <v>194</v>
      </c>
      <c r="D200" s="21" t="s">
        <v>411</v>
      </c>
      <c r="E200" s="13">
        <v>43018.793657407405</v>
      </c>
      <c r="F200" s="13">
        <v>43018.863263888888</v>
      </c>
      <c r="G200" s="7">
        <v>83</v>
      </c>
      <c r="H200" s="21" t="s">
        <v>971</v>
      </c>
      <c r="I200" s="13">
        <v>43018.871435185189</v>
      </c>
      <c r="J200" s="7">
        <v>0</v>
      </c>
      <c r="K200" s="89" t="str">
        <f t="shared" si="128"/>
        <v>4035/4036</v>
      </c>
      <c r="L200" s="185" t="str">
        <f>VLOOKUP(A200,'Trips&amp;Operators'!$C$1:$G$99911,5,FALSE)</f>
        <v>ZEWDU DEREJE</v>
      </c>
      <c r="M200" s="6">
        <f t="shared" si="129"/>
        <v>8.1712963001336902E-3</v>
      </c>
      <c r="N200" s="7">
        <f t="shared" si="135"/>
        <v>11.766666672192514</v>
      </c>
      <c r="O200" s="7"/>
      <c r="P200" s="7"/>
      <c r="Q200" s="22"/>
      <c r="R200" s="174"/>
      <c r="S200" s="221">
        <f t="shared" si="130"/>
        <v>1</v>
      </c>
      <c r="T200" s="174" t="str">
        <f t="shared" si="13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2"/>
        <v>https://d0f6bd738d7f1b3e5a7ca70fe4ff75f0.us-east-1.aws.found.io/app/kibana#/discover/Steve-Slow-Train-Analysis-(2080s-and-2083s)?_g=(refreshInterval:(display:Off,pause:!f,section:0,value:0),time:(from:'2017-10-10T18:02:52-0600',mode:absolute,to:'2017-10-10T21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04" t="str">
        <f>IF(AA200&lt;VLOOKUP(AG200,Variables!$AC$3:$AD$8,2,FALSE),"Y","N")</f>
        <v>N</v>
      </c>
      <c r="X200" s="204">
        <f t="shared" si="147"/>
        <v>1</v>
      </c>
      <c r="Y200" s="204">
        <v>5.8666</v>
      </c>
      <c r="Z200" s="204">
        <v>7.0800000000000002E-2</v>
      </c>
      <c r="AA200" s="204">
        <f t="shared" si="132"/>
        <v>5.7957999999999998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133"/>
        <v>842</v>
      </c>
      <c r="AE20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0" s="74" t="str">
        <f t="shared" si="89"/>
        <v>"C:\Program Files (x86)\AstroGrep\AstroGrep.exe" /e /r /s /spath="%USERPROFILE%\AppData\Local\Temp\OnboardLogs" /stypes="app*4035*20171011*" /stext=" 02:.+((SYSTEM_STATE.+slice.+state.+changed )|(ment ac)|(multiple cpu faults)|(system.+state.+changed )|(\[timeout)|(PRM\|1\|D)|(kpr)|(kdp)|(train st.+moving)|(\|lc)|(penalty))"</v>
      </c>
      <c r="AG200" s="182" t="str">
        <f t="shared" si="134"/>
        <v>NW</v>
      </c>
      <c r="AH200" s="78" t="str">
        <f t="shared" ref="AH200" si="148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842-10 --locoid 4035 --swversion DE.1.0.9.0 --startMP 204:974 --initTime 2017-10-10T19:02:52 --startdatetime 2017-10-10T20:43:06 --delay 83 --endMP 300:58984 --enddatetime 2017-10-10T20:54:52 --enforcementcount 0 &gt;&gt;%USERPROFILE%\Documents\GitHub\eaglep3-reporting\EC\2017-10-10-refined-times.txt</v>
      </c>
      <c r="AI200" s="96" t="str">
        <f t="shared" ref="AI200" si="149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{"issue":{"subject":"","project_id":79,"tracker_id":40,"status_id":1,"priority_id":2,"assigned_to_id":338,"start_date":"2017-10-10","description":"","custom_fields":[{"id":1,"name":"Subdivision","value":"NW"},{"id":4,"name":"Milepost","value":"0.0708"},{"id":17,"name":"Train ID","value":"842-10"},{"id":16,"name":"Locomotive ID","value":"4035"},{"id":130,"name":"Impact","value":""},{"id":150,"name":"Time of Event (Mountain Time)","value":"20:54:52"},{"id":151,"name":"Denver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ref="AM200" si="150">"start /low /b "&amp;dls3logs&amp;" --loco "&amp;B200&amp;" --day "&amp;TEXT(F200,"YYYY-MM-DD")</f>
        <v>start /low /b %USERPROFILE%\Documents\GitHub\eaglep3\Utilities\DownloadLogsFromS3.py --loco 4035 --day 2017-10-10</v>
      </c>
      <c r="AN200" s="151" t="str">
        <f t="shared" ref="AN200" si="151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152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-10T18:02:52-0600',mode:absolute,to:'2017-10-10T21:54:52-0600'))&amp;_a=(columns:!('Message%20ID',Summary),filters:!(),index:'emp_*',interval:auto,query:(query_string:(analyze_wildcard:!t,query:'%22rtdc.l.rtdc.4035%22')),sort:!(Time.ISO8601,asc))</v>
      </c>
    </row>
    <row r="201" spans="1:91" s="20" customFormat="1" x14ac:dyDescent="0.25">
      <c r="A201" s="32" t="s">
        <v>612</v>
      </c>
      <c r="B201" s="7">
        <v>4036</v>
      </c>
      <c r="C201" s="21" t="s">
        <v>194</v>
      </c>
      <c r="D201" s="21" t="s">
        <v>976</v>
      </c>
      <c r="E201" s="13">
        <v>43018.832233796296</v>
      </c>
      <c r="F201" s="13">
        <v>43018.840243055558</v>
      </c>
      <c r="G201" s="7">
        <v>66</v>
      </c>
      <c r="H201" s="21" t="s">
        <v>587</v>
      </c>
      <c r="I201" s="13">
        <v>43018.84988425926</v>
      </c>
      <c r="J201" s="7">
        <v>0</v>
      </c>
      <c r="K201" s="89" t="str">
        <f t="shared" si="128"/>
        <v>4035/4036</v>
      </c>
      <c r="L201" s="185" t="str">
        <f>VLOOKUP(A201,'Trips&amp;Operators'!$C$1:$G$99911,5,FALSE)</f>
        <v>ZEWDU DEREJE</v>
      </c>
      <c r="M201" s="6">
        <f t="shared" si="129"/>
        <v>9.6412037019035779E-3</v>
      </c>
      <c r="N201" s="7">
        <f t="shared" si="135"/>
        <v>13.883333330741152</v>
      </c>
      <c r="O201" s="7"/>
      <c r="P201" s="7"/>
      <c r="Q201" s="22"/>
      <c r="R201" s="174"/>
      <c r="S201" s="221">
        <f t="shared" si="130"/>
        <v>1</v>
      </c>
      <c r="T201" s="174" t="str">
        <f t="shared" si="13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2"/>
        <v>https://d0f6bd738d7f1b3e5a7ca70fe4ff75f0.us-east-1.aws.found.io/app/kibana#/discover/Steve-Slow-Train-Analysis-(2080s-and-2083s)?_g=(refreshInterval:(display:Off,pause:!f,section:0,value:0),time:(from:'2017-10-10T18:58:25-0600',mode:absolute,to:'2017-10-10T21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1" s="204" t="str">
        <f>IF(AA201&lt;VLOOKUP(AG201,Variables!$AC$3:$AD$8,2,FALSE),"Y","N")</f>
        <v>N</v>
      </c>
      <c r="X201" s="204">
        <f t="shared" si="147"/>
        <v>1</v>
      </c>
      <c r="Y201" s="204">
        <f>RIGHT(D201,LEN(D201)-4)/10000</f>
        <v>9.5799999999999996E-2</v>
      </c>
      <c r="Z201" s="204">
        <f>RIGHT(H201,LEN(H201)-4)/10000</f>
        <v>5.8945999999999996</v>
      </c>
      <c r="AA201" s="204">
        <f t="shared" si="132"/>
        <v>5.7988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133"/>
        <v>843</v>
      </c>
      <c r="AE20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1" s="74" t="str">
        <f t="shared" si="89"/>
        <v>"C:\Program Files (x86)\AstroGrep\AstroGrep.exe" /e /r /s /spath="%USERPROFILE%\AppData\Local\Temp\OnboardLogs" /stypes="app*4036*20171011*" /stext=" 02:.+((SYSTEM_STATE.+slice.+state.+changed )|(ment ac)|(multiple cpu faults)|(system.+state.+changed )|(\[timeout)|(PRM\|1\|D)|(kpr)|(kdp)|(train st.+moving)|(\|lc)|(penalty))"</v>
      </c>
      <c r="AG201" s="182" t="str">
        <f t="shared" si="134"/>
        <v>NW</v>
      </c>
      <c r="AH201" s="78" t="str">
        <f t="shared" si="91"/>
        <v>"%USERPROFILE%\Documents\GitHub\eaglep3\Utilities\RefineRTDCRunTimes.py" --tripid 843-10 --locoid 4036 --swversion DE.1.0.9.0 --startMP 204:958 --initTime 2017-10-10T19:58:25 --startdatetime 2017-10-10T20:09:57 --delay 66 --endMP 300:58946 --enddatetime 2017-10-10T20:23:50 --enforcementcount 0 &gt;&gt;%USERPROFILE%\Documents\GitHub\eaglep3-reporting\EC\2017-10-10-refined-times.txt</v>
      </c>
      <c r="AI20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{"issue":{"subject":"","project_id":79,"tracker_id":40,"status_id":1,"priority_id":2,"assigned_to_id":338,"start_date":"2017-10-10","description":"","custom_fields":[{"id":1,"name":"Subdivision","value":"NW"},{"id":4,"name":"Milepost","value":"5.8946"},{"id":17,"name":"Train ID","value":"843-10"},{"id":16,"name":"Locomotive ID","value":"4036"},{"id":130,"name":"Impact","value":""},{"id":150,"name":"Time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93"/>
        <v>start /low /b %USERPROFILE%\Documents\GitHub\eaglep3\Utilities\DownloadLogsFromS3.py --loco 4036 --day 2017-10-10</v>
      </c>
      <c r="AN201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5"/>
        <v>https://d0f6bd738d7f1b3e5a7ca70fe4ff75f0.us-east-1.aws.found.io/app/kibana#/discover/Steve-Slow-Train-Analysis-(2080s-and-2083s)?_g=(refreshInterval:(display:Off,pause:!f,section:0,value:0),time:(from:'2017-10-10T18:58:25-0600',mode:absolute,to:'2017-10-10T21:23:50-0600'))&amp;_a=(columns:!('Message%20ID',Summary),filters:!(),index:'emp_*',interval:auto,query:(query_string:(analyze_wildcard:!t,query:'%22rtdc.l.rtdc.4036%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826</v>
      </c>
      <c r="B202" s="7">
        <v>4035</v>
      </c>
      <c r="C202" s="21" t="s">
        <v>194</v>
      </c>
      <c r="D202" s="21" t="s">
        <v>526</v>
      </c>
      <c r="E202" s="13">
        <v>43018.891689814816</v>
      </c>
      <c r="F202" s="13">
        <v>43018.904456018521</v>
      </c>
      <c r="G202" s="7">
        <v>61</v>
      </c>
      <c r="H202" s="21" t="s">
        <v>989</v>
      </c>
      <c r="I202" s="13">
        <v>43018.913055555553</v>
      </c>
      <c r="J202" s="7">
        <v>0</v>
      </c>
      <c r="K202" s="89" t="str">
        <f t="shared" si="128"/>
        <v>4035/4036</v>
      </c>
      <c r="L202" s="185" t="str">
        <f>VLOOKUP(A202,'Trips&amp;Operators'!$C$1:$G$99911,5,FALSE)</f>
        <v>STAMBAUGH JAMES</v>
      </c>
      <c r="M202" s="6">
        <f t="shared" si="129"/>
        <v>8.5995370318414643E-3</v>
      </c>
      <c r="N202" s="7">
        <f t="shared" si="135"/>
        <v>12.383333325851709</v>
      </c>
      <c r="O202" s="7"/>
      <c r="P202" s="7"/>
      <c r="Q202" s="22"/>
      <c r="R202" s="174"/>
      <c r="S202" s="221">
        <f t="shared" si="130"/>
        <v>1</v>
      </c>
      <c r="T202" s="174" t="str">
        <f t="shared" si="13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2"/>
        <v>https://d0f6bd738d7f1b3e5a7ca70fe4ff75f0.us-east-1.aws.found.io/app/kibana#/discover/Steve-Slow-Train-Analysis-(2080s-and-2083s)?_g=(refreshInterval:(display:Off,pause:!f,section:0,value:0),time:(from:'2017-10-10T20:24:02-0600',mode:absolute,to:'2017-10-10T22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2" s="204" t="str">
        <f>IF(AA202&lt;VLOOKUP(AG202,Variables!$AC$3:$AD$8,2,FALSE),"Y","N")</f>
        <v>N</v>
      </c>
      <c r="X202" s="204">
        <f t="shared" si="147"/>
        <v>1</v>
      </c>
      <c r="Y202" s="204">
        <f>RIGHT(D202,LEN(D202)-4)/10000</f>
        <v>5.8638000000000003</v>
      </c>
      <c r="Z202" s="204">
        <f>RIGHT(H202,LEN(H202)-4)/10000</f>
        <v>6.5600000000000006E-2</v>
      </c>
      <c r="AA202" s="204">
        <f t="shared" si="132"/>
        <v>5.7982000000000005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133"/>
        <v>844</v>
      </c>
      <c r="AE20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2" s="74" t="str">
        <f t="shared" si="89"/>
        <v>"C:\Program Files (x86)\AstroGrep\AstroGrep.exe" /e /r /s /spath="%USERPROFILE%\AppData\Local\Temp\OnboardLogs" /stypes="app*4035*20171011*" /stext=" 03:.+((SYSTEM_STATE.+slice.+state.+changed )|(ment ac)|(multiple cpu faults)|(system.+state.+changed )|(\[timeout)|(PRM\|1\|D)|(kpr)|(kdp)|(train st.+moving)|(\|lc)|(penalty))"</v>
      </c>
      <c r="AG202" s="182" t="str">
        <f t="shared" si="134"/>
        <v>NW</v>
      </c>
      <c r="AH202" s="78" t="str">
        <f t="shared" si="91"/>
        <v>"%USERPROFILE%\Documents\GitHub\eaglep3\Utilities\RefineRTDCRunTimes.py" --tripid 844-10 --locoid 4035 --swversion DE.1.0.9.0 --startMP 300:58638 --initTime 2017-10-10T21:24:02 --startdatetime 2017-10-10T21:42:25 --delay 61 --endMP 204:656 --enddatetime 2017-10-10T21:54:48 --enforcementcount 0 &gt;&gt;%USERPROFILE%\Documents\GitHub\eaglep3-reporting\EC\2017-10-10-refined-times.txt</v>
      </c>
      <c r="AI20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{"issue":{"subject":"","project_id":79,"tracker_id":40,"status_id":1,"priority_id":2,"assigned_to_id":338,"start_date":"2017-10-10","description":"","custom_fields":[{"id":1,"name":"Subdivision","value":"NW"},{"id":4,"name":"Milepost","value":"0.0656"},{"id":17,"name":"Train ID","value":"844-10"},{"id":16,"name":"Locomotive ID","value":"4035"},{"id":130,"name":"Impact","value":""},{"id":150,"name":"Time of Event (Mountain Time)","value":"21:54:48"},{"id":151,"name":"Denver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93"/>
        <v>start /low /b %USERPROFILE%\Documents\GitHub\eaglep3\Utilities\DownloadLogsFromS3.py --loco 4035 --day 2017-10-10</v>
      </c>
      <c r="AN20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5"/>
        <v>https://d0f6bd738d7f1b3e5a7ca70fe4ff75f0.us-east-1.aws.found.io/app/kibana#/discover/Steve-Slow-Train-Analysis-(2080s-and-2083s)?_g=(refreshInterval:(display:Off,pause:!f,section:0,value:0),time:(from:'2017-10-10T20:24:02-0600',mode:absolute,to:'2017-10-10T22:54:48-0600'))&amp;_a=(columns:!('Message%20ID',Summary),filters:!(),index:'emp_*',interval:auto,query:(query_string:(analyze_wildcard:!t,query:'%22rtdc.l.rtdc.4035%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824</v>
      </c>
      <c r="B203" s="7">
        <v>4036</v>
      </c>
      <c r="C203" s="21" t="s">
        <v>194</v>
      </c>
      <c r="D203" s="21" t="s">
        <v>960</v>
      </c>
      <c r="E203" s="13">
        <v>43018.875532407408</v>
      </c>
      <c r="F203" s="13">
        <v>43018.882060185184</v>
      </c>
      <c r="G203" s="7">
        <v>73</v>
      </c>
      <c r="H203" s="21" t="s">
        <v>581</v>
      </c>
      <c r="I203" s="13">
        <v>43018.890879629631</v>
      </c>
      <c r="J203" s="7">
        <v>0</v>
      </c>
      <c r="K203" s="89" t="str">
        <f t="shared" si="128"/>
        <v>4035/4036</v>
      </c>
      <c r="L203" s="185" t="str">
        <f>VLOOKUP(A203,'Trips&amp;Operators'!$C$1:$G$99911,5,FALSE)</f>
        <v>STAMBAUGH JAMES</v>
      </c>
      <c r="M203" s="6">
        <f t="shared" si="129"/>
        <v>8.819444446999114E-3</v>
      </c>
      <c r="N203" s="7">
        <f t="shared" si="135"/>
        <v>12.700000003678724</v>
      </c>
      <c r="O203" s="7"/>
      <c r="P203" s="7"/>
      <c r="Q203" s="22"/>
      <c r="R203" s="174"/>
      <c r="S203" s="221">
        <f t="shared" si="130"/>
        <v>1</v>
      </c>
      <c r="T203" s="174" t="str">
        <f t="shared" si="131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2"/>
        <v>https://d0f6bd738d7f1b3e5a7ca70fe4ff75f0.us-east-1.aws.found.io/app/kibana#/discover/Steve-Slow-Train-Analysis-(2080s-and-2083s)?_g=(refreshInterval:(display:Off,pause:!f,section:0,value:0),time:(from:'2017-10-10T20:00:46-0600',mode:absolute,to:'2017-10-10T22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04" t="str">
        <f>IF(AA203&lt;VLOOKUP(AG203,Variables!$AC$3:$AD$8,2,FALSE),"Y","N")</f>
        <v>N</v>
      </c>
      <c r="X203" s="204">
        <f t="shared" si="147"/>
        <v>1</v>
      </c>
      <c r="Y203" s="204">
        <f>RIGHT(D203,LEN(D203)-4)/10000</f>
        <v>9.7600000000000006E-2</v>
      </c>
      <c r="Z203" s="204">
        <f>RIGHT(H203,LEN(H203)-4)/10000</f>
        <v>5.8958000000000004</v>
      </c>
      <c r="AA203" s="204">
        <f t="shared" si="132"/>
        <v>5.7982000000000005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133"/>
        <v>845</v>
      </c>
      <c r="AE20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3" s="74" t="str">
        <f t="shared" si="89"/>
        <v>"C:\Program Files (x86)\AstroGrep\AstroGrep.exe" /e /r /s /spath="%USERPROFILE%\AppData\Local\Temp\OnboardLogs" /stypes="app*4036*20171011*" /stext=" 03:.+((SYSTEM_STATE.+slice.+state.+changed )|(ment ac)|(multiple cpu faults)|(system.+state.+changed )|(\[timeout)|(PRM\|1\|D)|(kpr)|(kdp)|(train st.+moving)|(\|lc)|(penalty))"</v>
      </c>
      <c r="AG203" s="182" t="str">
        <f t="shared" si="134"/>
        <v>NW</v>
      </c>
      <c r="AH203" s="78" t="str">
        <f t="shared" si="91"/>
        <v>"%USERPROFILE%\Documents\GitHub\eaglep3\Utilities\RefineRTDCRunTimes.py" --tripid 845-10 --locoid 4036 --swversion DE.1.0.9.0 --startMP 204:976 --initTime 2017-10-10T21:00:46 --startdatetime 2017-10-10T21:10:10 --delay 73 --endMP 300:58958 --enddatetime 2017-10-10T21:22:52 --enforcementcount 0 &gt;&gt;%USERPROFILE%\Documents\GitHub\eaglep3-reporting\EC\2017-10-10-refined-times.txt</v>
      </c>
      <c r="AI20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{"issue":{"subject":"","project_id":79,"tracker_id":40,"status_id":1,"priority_id":2,"assigned_to_id":338,"start_date":"2017-10-10","description":"","custom_fields":[{"id":1,"name":"Subdivision","value":"NW"},{"id":4,"name":"Milepost","value":"5.8958"},{"id":17,"name":"Train ID","value":"845-10"},{"id":16,"name":"Locomotive ID","value":"4036"},{"id":130,"name":"Impact","value":""},{"id":150,"name":"Time of Event (Mountain Time)","value":"21:22:52"},{"id":151,"name":"Denver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93"/>
        <v>start /low /b %USERPROFILE%\Documents\GitHub\eaglep3\Utilities\DownloadLogsFromS3.py --loco 4036 --day 2017-10-10</v>
      </c>
      <c r="AN203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5"/>
        <v>https://d0f6bd738d7f1b3e5a7ca70fe4ff75f0.us-east-1.aws.found.io/app/kibana#/discover/Steve-Slow-Train-Analysis-(2080s-and-2083s)?_g=(refreshInterval:(display:Off,pause:!f,section:0,value:0),time:(from:'2017-10-10T20:00:46-0600',mode:absolute,to:'2017-10-10T22:22:52-0600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833</v>
      </c>
      <c r="B204" s="7">
        <v>4035</v>
      </c>
      <c r="C204" s="21" t="s">
        <v>194</v>
      </c>
      <c r="D204" s="21" t="s">
        <v>960</v>
      </c>
      <c r="E204" s="13">
        <v>43018.875532407408</v>
      </c>
      <c r="F204" s="13">
        <v>43018.946585648147</v>
      </c>
      <c r="G204" s="7">
        <v>73</v>
      </c>
      <c r="H204" s="21" t="s">
        <v>581</v>
      </c>
      <c r="I204" s="13">
        <v>43018.955023148148</v>
      </c>
      <c r="J204" s="7">
        <v>0</v>
      </c>
      <c r="K204" s="89" t="str">
        <f t="shared" si="128"/>
        <v>4035/4036</v>
      </c>
      <c r="L204" s="185" t="str">
        <f>VLOOKUP(A204,'Trips&amp;Operators'!$C$1:$G$99911,5,FALSE)</f>
        <v>GUNTHIER ERIC</v>
      </c>
      <c r="M204" s="6">
        <f t="shared" si="129"/>
        <v>8.4375000005820766E-3</v>
      </c>
      <c r="N204" s="7">
        <f t="shared" si="135"/>
        <v>12.15000000083819</v>
      </c>
      <c r="O204" s="7"/>
      <c r="P204" s="7"/>
      <c r="Q204" s="22"/>
      <c r="R204" s="174"/>
      <c r="S204" s="221">
        <f t="shared" si="130"/>
        <v>1</v>
      </c>
      <c r="T204" s="174" t="str">
        <f t="shared" si="131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2"/>
        <v>https://d0f6bd738d7f1b3e5a7ca70fe4ff75f0.us-east-1.aws.found.io/app/kibana#/discover/Steve-Slow-Train-Analysis-(2080s-and-2083s)?_g=(refreshInterval:(display:Off,pause:!f,section:0,value:0),time:(from:'2017-10-10T20:00:46-0600',mode:absolute,to:'2017-10-10T23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4" s="204" t="str">
        <f>IF(AA204&lt;VLOOKUP(AG204,Variables!$AC$3:$AD$8,2,FALSE),"Y","N")</f>
        <v>N</v>
      </c>
      <c r="X204" s="204">
        <f t="shared" si="147"/>
        <v>1</v>
      </c>
      <c r="Y204" s="204">
        <v>5.8638000000000003</v>
      </c>
      <c r="Z204" s="204">
        <v>6.5600000000000006E-2</v>
      </c>
      <c r="AA204" s="204">
        <f t="shared" si="132"/>
        <v>5.7982000000000005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133"/>
        <v>846</v>
      </c>
      <c r="AE20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4" s="74" t="str">
        <f t="shared" si="89"/>
        <v>"C:\Program Files (x86)\AstroGrep\AstroGrep.exe" /e /r /s /spath="%USERPROFILE%\AppData\Local\Temp\OnboardLogs" /stypes="app*4035*20171011*" /stext=" 04:.+((SYSTEM_STATE.+slice.+state.+changed )|(ment ac)|(multiple cpu faults)|(system.+state.+changed )|(\[timeout)|(PRM\|1\|D)|(kpr)|(kdp)|(train st.+moving)|(\|lc)|(penalty))"</v>
      </c>
      <c r="AG204" s="182" t="str">
        <f t="shared" si="134"/>
        <v>NW</v>
      </c>
      <c r="AH204" s="78" t="str">
        <f t="shared" ref="AH204" si="15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846-10 --locoid 4035 --swversion DE.1.0.9.0 --startMP 204:976 --initTime 2017-10-10T21:00:46 --startdatetime 2017-10-10T22:43:05 --delay 73 --endMP 300:58958 --enddatetime 2017-10-10T22:55:14 --enforcementcount 0 &gt;&gt;%USERPROFILE%\Documents\GitHub\eaglep3-reporting\EC\2017-10-10-refined-times.txt</v>
      </c>
      <c r="AI204" s="96" t="str">
        <f t="shared" ref="AI204" si="15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{"issue":{"subject":"","project_id":79,"tracker_id":40,"status_id":1,"priority_id":2,"assigned_to_id":338,"start_date":"2017-10-10","description":"","custom_fields":[{"id":1,"name":"Subdivision","value":"NW"},{"id":4,"name":"Milepost","value":"0.0656"},{"id":17,"name":"Train ID","value":"846-10"},{"id":16,"name":"Locomotive ID","value":"4035"},{"id":130,"name":"Impact","value":""},{"id":150,"name":"Time of Event (Mountain Time)","value":"22:55:14"},{"id":151,"name":"Denver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155">"start /low /b "&amp;dls3logs&amp;" --loco "&amp;B204&amp;" --day "&amp;TEXT(F204,"YYYY-MM-DD")</f>
        <v>start /low /b %USERPROFILE%\Documents\GitHub\eaglep3\Utilities\DownloadLogsFromS3.py --loco 4035 --day 2017-10-10</v>
      </c>
      <c r="AN204" s="151" t="str">
        <f t="shared" ref="AN204" si="15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15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-10T20:00:46-0600',mode:absolute,to:'2017-10-10T23:55:14-0600'))&amp;_a=(columns:!('Message%20ID',Summary),filters:!(),index:'emp_*',interval:auto,query:(query_string:(analyze_wildcard:!t,query:'%22rtdc.l.rtdc.4035%22')),sort:!(Time.ISO8601,asc))</v>
      </c>
    </row>
    <row r="205" spans="1:91" s="20" customFormat="1" x14ac:dyDescent="0.25">
      <c r="A205" s="32" t="s">
        <v>830</v>
      </c>
      <c r="B205" s="7">
        <v>4036</v>
      </c>
      <c r="C205" s="21" t="s">
        <v>194</v>
      </c>
      <c r="D205" s="21" t="s">
        <v>954</v>
      </c>
      <c r="E205" s="13">
        <v>43018.917604166665</v>
      </c>
      <c r="F205" s="13">
        <v>43018.923101851855</v>
      </c>
      <c r="G205" s="7">
        <v>71</v>
      </c>
      <c r="H205" s="21" t="s">
        <v>524</v>
      </c>
      <c r="I205" s="13">
        <v>43018.933171296296</v>
      </c>
      <c r="J205" s="7">
        <v>0</v>
      </c>
      <c r="K205" s="89" t="str">
        <f t="shared" si="128"/>
        <v>4035/4036</v>
      </c>
      <c r="L205" s="185" t="str">
        <f>VLOOKUP(A205,'Trips&amp;Operators'!$C$1:$G$99911,5,FALSE)</f>
        <v>GUNTHIER ERIC</v>
      </c>
      <c r="M205" s="6">
        <f t="shared" si="129"/>
        <v>1.006944444088731E-2</v>
      </c>
      <c r="N205" s="7">
        <f t="shared" si="135"/>
        <v>14.499999994877726</v>
      </c>
      <c r="O205" s="7"/>
      <c r="P205" s="7"/>
      <c r="Q205" s="22"/>
      <c r="R205" s="174"/>
      <c r="S205" s="221">
        <f t="shared" si="130"/>
        <v>1</v>
      </c>
      <c r="T205" s="174" t="str">
        <f t="shared" si="131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2" si="15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-10T21:01:21-0600',mode:absolute,to:'2017-10-10T23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04" t="str">
        <f>IF(AA205&lt;VLOOKUP(AG205,Variables!$AC$3:$AD$8,2,FALSE),"Y","N")</f>
        <v>N</v>
      </c>
      <c r="X205" s="204">
        <f t="shared" si="147"/>
        <v>1</v>
      </c>
      <c r="Y205" s="204">
        <f t="shared" ref="Y205:Y242" si="159">RIGHT(D205,LEN(D205)-4)/10000</f>
        <v>9.64E-2</v>
      </c>
      <c r="Z205" s="204">
        <f t="shared" ref="Z205:Z242" si="160">RIGHT(H205,LEN(H205)-4)/10000</f>
        <v>5.8939000000000004</v>
      </c>
      <c r="AA205" s="204">
        <f t="shared" si="132"/>
        <v>5.7975000000000003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133"/>
        <v>847</v>
      </c>
      <c r="AE205" s="77" t="str">
        <f t="shared" ref="AE205:AE242" si="16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5" s="74" t="str">
        <f t="shared" ref="AF205:AF242" si="16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/stypes="app*4036*20171011*" /stext=" 04:.+((SYSTEM_STATE.+slice.+state.+changed )|(ment ac)|(multiple cpu faults)|(system.+state.+changed )|(\[timeout)|(PRM\|1\|D)|(kpr)|(kdp)|(train st.+moving)|(\|lc)|(penalty))"</v>
      </c>
      <c r="AG205" s="182" t="str">
        <f t="shared" si="134"/>
        <v>NW</v>
      </c>
      <c r="AH205" s="78" t="str">
        <f t="shared" si="91"/>
        <v>"%USERPROFILE%\Documents\GitHub\eaglep3\Utilities\RefineRTDCRunTimes.py" --tripid 847-10 --locoid 4036 --swversion DE.1.0.9.0 --startMP 204:964 --initTime 2017-10-10T22:01:21 --startdatetime 2017-10-10T22:09:16 --delay 71 --endMP 300:58939 --enddatetime 2017-10-10T22:23:46 --enforcementcount 0 &gt;&gt;%USERPROFILE%\Documents\GitHub\eaglep3-reporting\EC\2017-10-10-refined-times.txt</v>
      </c>
      <c r="AI20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ID","value":"847-10"},{"id":16,"name":"Locomotive ID","value":"4036"},{"id":130,"name":"Impact","value":""},{"id":150,"name":"Time of Event (Mountain Time)","value":"22:23:46"},{"id":151,"name":"Denver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3"/>
        <v>start /low /b %USERPROFILE%\Documents\GitHub\eaglep3\Utilities\DownloadLogsFromS3.py --loco 4036 --day 2017-10-10</v>
      </c>
      <c r="AN20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5"/>
        <v>https://d0f6bd738d7f1b3e5a7ca70fe4ff75f0.us-east-1.aws.found.io/app/kibana#/discover/Steve-Slow-Train-Analysis-(2080s-and-2083s)?_g=(refreshInterval:(display:Off,pause:!f,section:0,value:0),time:(from:'2017-10-10T21:01:21-0600',mode:absolute,to:'2017-10-10T23:23:46-0600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835</v>
      </c>
      <c r="B206" s="7">
        <v>4036</v>
      </c>
      <c r="C206" s="21" t="s">
        <v>194</v>
      </c>
      <c r="D206" s="21" t="s">
        <v>990</v>
      </c>
      <c r="E206" s="13">
        <v>43018.961516203701</v>
      </c>
      <c r="F206" s="13">
        <v>43018.964768518519</v>
      </c>
      <c r="G206" s="7">
        <v>168</v>
      </c>
      <c r="H206" s="21" t="s">
        <v>991</v>
      </c>
      <c r="I206" s="13">
        <v>43018.973530092589</v>
      </c>
      <c r="J206" s="7">
        <v>0</v>
      </c>
      <c r="K206" s="89" t="str">
        <f t="shared" si="128"/>
        <v>4035/4036</v>
      </c>
      <c r="L206" s="185" t="str">
        <f>VLOOKUP(A206,'Trips&amp;Operators'!$C$1:$G$99911,5,FALSE)</f>
        <v>STAMBAUGH JAMES</v>
      </c>
      <c r="M206" s="6">
        <f t="shared" si="129"/>
        <v>8.7615740703768097E-3</v>
      </c>
      <c r="N206" s="7">
        <f t="shared" si="135"/>
        <v>12.616666661342606</v>
      </c>
      <c r="O206" s="7"/>
      <c r="P206" s="7"/>
      <c r="Q206" s="22"/>
      <c r="R206" s="174"/>
      <c r="S206" s="221">
        <f t="shared" si="130"/>
        <v>1</v>
      </c>
      <c r="T206" s="174" t="str">
        <f t="shared" si="131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58"/>
        <v>https://d0f6bd738d7f1b3e5a7ca70fe4ff75f0.us-east-1.aws.found.io/app/kibana#/discover/Steve-Slow-Train-Analysis-(2080s-and-2083s)?_g=(refreshInterval:(display:Off,pause:!f,section:0,value:0),time:(from:'2017-10-10T22:04:35-0600',mode:absolute,to:'2017-10-11T00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6" s="204" t="str">
        <f>IF(AA206&lt;VLOOKUP(AG206,Variables!$AC$3:$AD$8,2,FALSE),"Y","N")</f>
        <v>N</v>
      </c>
      <c r="X206" s="204">
        <f t="shared" si="147"/>
        <v>2</v>
      </c>
      <c r="Y206" s="204">
        <f t="shared" si="159"/>
        <v>9.7199999999999995E-2</v>
      </c>
      <c r="Z206" s="204">
        <f t="shared" si="160"/>
        <v>5.8952</v>
      </c>
      <c r="AA206" s="204">
        <f t="shared" si="132"/>
        <v>5.798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33"/>
        <v>849</v>
      </c>
      <c r="AE206" s="77" t="str">
        <f t="shared" si="161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6" s="74" t="str">
        <f t="shared" si="162"/>
        <v>"C:\Program Files (x86)\AstroGrep\AstroGrep.exe" /e /r /s /spath="%USERPROFILE%\AppData\Local\Temp\OnboardLogs" /stypes="app*4036*20171011*" /stext=" 05:.+((SYSTEM_STATE.+slice.+state.+changed )|(ment ac)|(multiple cpu faults)|(system.+state.+changed )|(\[timeout)|(PRM\|1\|D)|(kpr)|(kdp)|(train st.+moving)|(\|lc)|(penalty))"</v>
      </c>
      <c r="AG206" s="182" t="str">
        <f t="shared" si="134"/>
        <v>NW</v>
      </c>
      <c r="AH206" s="78" t="str">
        <f t="shared" si="91"/>
        <v>"%USERPROFILE%\Documents\GitHub\eaglep3\Utilities\RefineRTDCRunTimes.py" --tripid 849-10 --locoid 4036 --swversion DE.1.0.9.0 --startMP 204:972 --initTime 2017-10-10T23:04:35 --startdatetime 2017-10-10T23:09:16 --delay 168 --endMP 300:58952 --enddatetime 2017-10-10T23:21:53 --enforcementcount 0 &gt;&gt;%USERPROFILE%\Documents\GitHub\eaglep3-reporting\EC\2017-10-10-refined-times.txt</v>
      </c>
      <c r="AI20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{"issue":{"subject":"","project_id":79,"tracker_id":40,"status_id":1,"priority_id":2,"assigned_to_id":338,"start_date":"2017-10-10","description":"","custom_fields":[{"id":1,"name":"Subdivision","value":"NW"},{"id":4,"name":"Milepost","value":"5.8952"},{"id":17,"name":"Train ID","value":"849-10"},{"id":16,"name":"Locomotive ID","value":"4036"},{"id":130,"name":"Impact","value":""},{"id":150,"name":"Time of Event (Mountain Time)","value":"23:21:53"},{"id":151,"name":"Denver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3"/>
        <v>start /low /b %USERPROFILE%\Documents\GitHub\eaglep3\Utilities\DownloadLogsFromS3.py --loco 4036 --day 2017-10-10</v>
      </c>
      <c r="AN206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5"/>
        <v>https://d0f6bd738d7f1b3e5a7ca70fe4ff75f0.us-east-1.aws.found.io/app/kibana#/discover/Steve-Slow-Train-Analysis-(2080s-and-2083s)?_g=(refreshInterval:(display:Off,pause:!f,section:0,value:0),time:(from:'2017-10-10T22:04:35-0600',mode:absolute,to:'2017-10-11T00:21:53-0600'))&amp;_a=(columns:!('Message%20ID',Summary),filters:!(),index:'emp_*',interval:auto,query:(query_string:(analyze_wildcard:!t,query:'%22rtdc.l.rtdc.4036%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808</v>
      </c>
      <c r="B207" s="7">
        <v>4042</v>
      </c>
      <c r="C207" s="21" t="s">
        <v>194</v>
      </c>
      <c r="D207" s="21" t="s">
        <v>396</v>
      </c>
      <c r="E207" s="13">
        <v>43018.778912037036</v>
      </c>
      <c r="F207" s="13">
        <v>43018.780381944445</v>
      </c>
      <c r="G207" s="7">
        <v>62</v>
      </c>
      <c r="H207" s="21" t="s">
        <v>566</v>
      </c>
      <c r="I207" s="13">
        <v>43018.786620370367</v>
      </c>
      <c r="J207" s="7">
        <v>0</v>
      </c>
      <c r="K207" s="89" t="str">
        <f t="shared" si="128"/>
        <v>4041/4042</v>
      </c>
      <c r="L207" s="185" t="str">
        <f>VLOOKUP(A207,'Trips&amp;Operators'!$C$1:$G$99911,5,FALSE)</f>
        <v>LEVIN SCOTT</v>
      </c>
      <c r="M207" s="6">
        <f t="shared" si="129"/>
        <v>6.2384259217651561E-3</v>
      </c>
      <c r="N207" s="7">
        <f t="shared" si="135"/>
        <v>8.9833333273418248</v>
      </c>
      <c r="O207" s="7"/>
      <c r="P207" s="7"/>
      <c r="Q207" s="22"/>
      <c r="R207" s="174"/>
      <c r="S207" s="221">
        <f t="shared" si="130"/>
        <v>1</v>
      </c>
      <c r="T207" s="174" t="str">
        <f t="shared" si="131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58"/>
        <v>https://d0f6bd738d7f1b3e5a7ca70fe4ff75f0.us-east-1.aws.found.io/app/kibana#/discover/Steve-Slow-Train-Analysis-(2080s-and-2083s)?_g=(refreshInterval:(display:Off,pause:!f,section:0,value:0),time:(from:'2017-10-10T17:41:38-0600',mode:absolute,to:'2017-10-10T19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4" t="str">
        <f>IF(AA207&lt;VLOOKUP(AG207,Variables!$AC$3:$AD$8,2,FALSE),"Y","N")</f>
        <v>Y</v>
      </c>
      <c r="X207" s="204">
        <f t="shared" si="147"/>
        <v>-548</v>
      </c>
      <c r="Y207" s="204">
        <f t="shared" si="159"/>
        <v>4.6699999999999998E-2</v>
      </c>
      <c r="Z207" s="204">
        <f t="shared" si="160"/>
        <v>2.3313999999999999</v>
      </c>
      <c r="AA207" s="204">
        <f t="shared" si="132"/>
        <v>2.2847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33"/>
        <v>301</v>
      </c>
      <c r="AE207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07" s="74" t="str">
        <f t="shared" si="162"/>
        <v>"C:\Program Files (x86)\AstroGrep\AstroGrep.exe" /e /r /s /spath="%USERPROFILE%\AppData\Local\Temp\OnboardLogs" /stypes="app*4042*20171011*" /stext=" 00:.+((SYSTEM_STATE.+slice.+state.+changed )|(ment ac)|(multiple cpu faults)|(system.+state.+changed )|(\[timeout)|(PRM\|1\|D)|(kpr)|(kdp)|(train st.+moving)|(\|lc)|(penalty))"</v>
      </c>
      <c r="AG207" s="182" t="str">
        <f t="shared" si="134"/>
        <v>Other</v>
      </c>
      <c r="AH207" s="78" t="str">
        <f t="shared" si="91"/>
        <v>"%USERPROFILE%\Documents\GitHub\eaglep3\Utilities\RefineRTDCRunTimes.py" --tripid 301-10 --locoid 4042 --swversion DE.1.0.9.0 --startMP 204:467 --initTime 2017-10-10T18:41:38 --startdatetime 2017-10-10T18:43:45 --delay 62 --endMP 300:23314 --enddatetime 2017-10-10T18:52:44 --enforcementcount 0 &gt;&gt;%USERPROFILE%\Documents\GitHub\eaglep3-reporting\EC\2017-10-10-refined-times.txt</v>
      </c>
      <c r="AI207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{"issue":{"subject":"","project_id":79,"tracker_id":40,"status_id":1,"priority_id":2,"assigned_to_id":338,"start_date":"2017-10-10","description":"","custom_fields":[{"id":1,"name":"Subdivision","value":"Other"},{"id":4,"name":"Milepost","value":"2.3314"},{"id":17,"name":"Train ID","value":"301-10"},{"id":16,"name":"Locomotive ID","value":"4042"},{"id":130,"name":"Impact","value":""},{"id":150,"name":"Time of Event (Mountain Time)","value":"18:52:44"},{"id":151,"name":"Denver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3"/>
        <v>start /low /b %USERPROFILE%\Documents\GitHub\eaglep3\Utilities\DownloadLogsFromS3.py --loco 4042 --day 2017-10-10</v>
      </c>
      <c r="AN20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5"/>
        <v>https://d0f6bd738d7f1b3e5a7ca70fe4ff75f0.us-east-1.aws.found.io/app/kibana#/discover/Steve-Slow-Train-Analysis-(2080s-and-2083s)?_g=(refreshInterval:(display:Off,pause:!f,section:0,value:0),time:(from:'2017-10-10T17:41:38-0600',mode:absolute,to:'2017-10-10T19:52:44-0600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625</v>
      </c>
      <c r="B208" s="7">
        <v>4065</v>
      </c>
      <c r="C208" s="21" t="s">
        <v>194</v>
      </c>
      <c r="D208" s="21" t="s">
        <v>917</v>
      </c>
      <c r="E208" s="13">
        <v>43018.142650462964</v>
      </c>
      <c r="F208" s="13">
        <v>43018.145474537036</v>
      </c>
      <c r="G208" s="7">
        <v>71</v>
      </c>
      <c r="H208" s="21" t="s">
        <v>337</v>
      </c>
      <c r="I208" s="13">
        <v>43018.15111111111</v>
      </c>
      <c r="J208" s="7">
        <v>0</v>
      </c>
      <c r="K208" s="89" t="str">
        <f t="shared" si="128"/>
        <v>4065/4066</v>
      </c>
      <c r="L208" s="185" t="str">
        <f>VLOOKUP(A208,'Trips&amp;Operators'!$C$1:$G$99911,5,FALSE)</f>
        <v>BONDS REYNALDO</v>
      </c>
      <c r="M208" s="6">
        <f t="shared" si="129"/>
        <v>5.6365740747423843E-3</v>
      </c>
      <c r="N208" s="7">
        <f t="shared" si="135"/>
        <v>8.1166666676290333</v>
      </c>
      <c r="O208" s="7"/>
      <c r="P208" s="7"/>
      <c r="Q208" s="22"/>
      <c r="R208" s="174"/>
      <c r="S208" s="221">
        <f t="shared" si="130"/>
        <v>1</v>
      </c>
      <c r="T208" s="174" t="str">
        <f t="shared" si="131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58"/>
        <v>https://d0f6bd738d7f1b3e5a7ca70fe4ff75f0.us-east-1.aws.found.io/app/kibana#/discover/Steve-Slow-Train-Analysis-(2080s-and-2083s)?_g=(refreshInterval:(display:Off,pause:!f,section:0,value:0),time:(from:'2017-10-10T02:25:25-0600',mode:absolute,to:'2017-10-10T04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8" s="204" t="str">
        <f>IF(AA208&lt;VLOOKUP(AG208,Variables!$AC$3:$AD$8,2,FALSE),"Y","N")</f>
        <v>Y</v>
      </c>
      <c r="X208" s="204">
        <f t="shared" si="147"/>
        <v>1</v>
      </c>
      <c r="Y208" s="204">
        <f t="shared" si="159"/>
        <v>2.3546</v>
      </c>
      <c r="Z208" s="204">
        <f t="shared" si="160"/>
        <v>1.43E-2</v>
      </c>
      <c r="AA208" s="204">
        <f t="shared" si="132"/>
        <v>2.3403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33"/>
        <v>302</v>
      </c>
      <c r="AE208" s="77" t="str">
        <f t="shared" si="16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208" s="74" t="str">
        <f t="shared" si="162"/>
        <v>"C:\Program Files (x86)\AstroGrep\AstroGrep.exe" /e /r /s /spath="%USERPROFILE%\AppData\Local\Temp\OnboardLogs" /stypes="app*4065*20171010*" /stext=" 09:.+((SYSTEM_STATE.+slice.+state.+changed )|(ment ac)|(multiple cpu faults)|(system.+state.+changed )|(\[timeout)|(PRM\|1\|D)|(kpr)|(kdp)|(train st.+moving)|(\|lc)|(penalty))"</v>
      </c>
      <c r="AG208" s="182" t="str">
        <f t="shared" si="134"/>
        <v>Other</v>
      </c>
      <c r="AH208" s="78" t="str">
        <f t="shared" si="91"/>
        <v>"%USERPROFILE%\Documents\GitHub\eaglep3\Utilities\RefineRTDCRunTimes.py" --tripid 302-10 --locoid 4065 --swversion DE.1.0.9.0 --startMP 300:23546 --initTime 2017-10-10T03:25:25 --startdatetime 2017-10-10T03:29:29 --delay 71 --endMP 204:143 --enddatetime 2017-10-10T03:37:36 --enforcementcount 0 &gt;&gt;%USERPROFILE%\Documents\GitHub\eaglep3-reporting\EC\2017-10-10-refined-times.txt</v>
      </c>
      <c r="AI208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{"issue":{"subject":"","project_id":79,"tracker_id":40,"status_id":1,"priority_id":2,"assigned_to_id":338,"start_date":"2017-10-10","description":"","custom_fields":[{"id":1,"name":"Subdivision","value":"Other"},{"id":4,"name":"Milepost","value":"0.0143"},{"id":17,"name":"Train ID","value":"302-10"},{"id":16,"name":"Locomotive ID","value":"4065"},{"id":130,"name":"Impact","value":""},{"id":150,"name":"Time of Event (Mountain Time)","value":"03:37:36"},{"id":151,"name":"Denver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3"/>
        <v>start /low /b %USERPROFILE%\Documents\GitHub\eaglep3\Utilities\DownloadLogsFromS3.py --loco 4065 --day 2017-10-10</v>
      </c>
      <c r="AN20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5"/>
        <v>https://d0f6bd738d7f1b3e5a7ca70fe4ff75f0.us-east-1.aws.found.io/app/kibana#/discover/Steve-Slow-Train-Analysis-(2080s-and-2083s)?_g=(refreshInterval:(display:Off,pause:!f,section:0,value:0),time:(from:'2017-10-10T02:25:25-0600',mode:absolute,to:'2017-10-10T04:37:36-0600'))&amp;_a=(columns:!('Message%20ID',Summary),filters:!(),index:'emp_*',interval:auto,query:(query_string:(analyze_wildcard:!t,query:'%22rtdc.l.rtdc.4065%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814</v>
      </c>
      <c r="B209" s="7">
        <v>4056</v>
      </c>
      <c r="C209" s="21" t="s">
        <v>194</v>
      </c>
      <c r="D209" s="21" t="s">
        <v>372</v>
      </c>
      <c r="E209" s="13">
        <v>43018.797685185185</v>
      </c>
      <c r="F209" s="13">
        <v>43018.799328703702</v>
      </c>
      <c r="G209" s="7">
        <v>60</v>
      </c>
      <c r="H209" s="21" t="s">
        <v>918</v>
      </c>
      <c r="I209" s="13">
        <v>43018.806087962963</v>
      </c>
      <c r="J209" s="7">
        <v>0</v>
      </c>
      <c r="K209" s="89" t="str">
        <f t="shared" si="128"/>
        <v>4055/4056</v>
      </c>
      <c r="L209" s="185" t="str">
        <f>VLOOKUP(A209,'Trips&amp;Operators'!$C$1:$G$99911,5,FALSE)</f>
        <v>SAFIEF AEIMEN</v>
      </c>
      <c r="M209" s="6">
        <f t="shared" si="129"/>
        <v>6.7592592604341917E-3</v>
      </c>
      <c r="N209" s="7">
        <f t="shared" si="135"/>
        <v>9.733333335025236</v>
      </c>
      <c r="O209" s="7"/>
      <c r="P209" s="7"/>
      <c r="Q209" s="22"/>
      <c r="R209" s="174"/>
      <c r="S209" s="221">
        <f t="shared" si="130"/>
        <v>1</v>
      </c>
      <c r="T209" s="174" t="str">
        <f t="shared" si="131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58"/>
        <v>https://d0f6bd738d7f1b3e5a7ca70fe4ff75f0.us-east-1.aws.found.io/app/kibana#/discover/Steve-Slow-Train-Analysis-(2080s-and-2083s)?_g=(refreshInterval:(display:Off,pause:!f,section:0,value:0),time:(from:'2017-10-10T18:08:40-0600',mode:absolute,to:'2017-10-10T20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204" t="str">
        <f>IF(AA209&lt;VLOOKUP(AG209,Variables!$AC$3:$AD$8,2,FALSE),"Y","N")</f>
        <v>Y</v>
      </c>
      <c r="X209" s="204">
        <f t="shared" si="147"/>
        <v>1</v>
      </c>
      <c r="Y209" s="204">
        <f t="shared" si="159"/>
        <v>4.7100000000000003E-2</v>
      </c>
      <c r="Z209" s="204">
        <f t="shared" si="160"/>
        <v>2.3296999999999999</v>
      </c>
      <c r="AA209" s="204">
        <f t="shared" si="132"/>
        <v>2.2826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33"/>
        <v>303</v>
      </c>
      <c r="AE209" s="77" t="str">
        <f t="shared" si="16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209" s="74" t="str">
        <f t="shared" si="162"/>
        <v>"C:\Program Files (x86)\AstroGrep\AstroGrep.exe" /e /r /s /spath="%USERPROFILE%\AppData\Local\Temp\OnboardLogs" /stypes="app*4056*20171011*" /stext=" 01:.+((SYSTEM_STATE.+slice.+state.+changed )|(ment ac)|(multiple cpu faults)|(system.+state.+changed )|(\[timeout)|(PRM\|1\|D)|(kpr)|(kdp)|(train st.+moving)|(\|lc)|(penalty))"</v>
      </c>
      <c r="AG209" s="182" t="str">
        <f t="shared" si="134"/>
        <v>Other</v>
      </c>
      <c r="AH209" s="78" t="str">
        <f t="shared" si="91"/>
        <v>"%USERPROFILE%\Documents\GitHub\eaglep3\Utilities\RefineRTDCRunTimes.py" --tripid 303-10 --locoid 4056 --swversion DE.1.0.9.0 --startMP 204:471 --initTime 2017-10-10T19:08:40 --startdatetime 2017-10-10T19:11:02 --delay 60 --endMP 300:23297 --enddatetime 2017-10-10T19:20:46 --enforcementcount 0 &gt;&gt;%USERPROFILE%\Documents\GitHub\eaglep3-reporting\EC\2017-10-10-refined-times.txt</v>
      </c>
      <c r="AI209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{"issue":{"subject":"","project_id":79,"tracker_id":40,"status_id":1,"priority_id":2,"assigned_to_id":338,"start_date":"2017-10-10","description":"","custom_fields":[{"id":1,"name":"Subdivision","value":"Other"},{"id":4,"name":"Milepost","value":"2.3297"},{"id":17,"name":"Train ID","value":"303-10"},{"id":16,"name":"Locomotive ID","value":"4056"},{"id":130,"name":"Impact","value":""},{"id":150,"name":"Time of Event (Mountain Time)","value":"19:20:46"},{"id":151,"name":"Denver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3"/>
        <v>start /low /b %USERPROFILE%\Documents\GitHub\eaglep3\Utilities\DownloadLogsFromS3.py --loco 4056 --day 2017-10-10</v>
      </c>
      <c r="AN20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5"/>
        <v>https://d0f6bd738d7f1b3e5a7ca70fe4ff75f0.us-east-1.aws.found.io/app/kibana#/discover/Steve-Slow-Train-Analysis-(2080s-and-2083s)?_g=(refreshInterval:(display:Off,pause:!f,section:0,value:0),time:(from:'2017-10-10T18:08:40-0600',mode:absolute,to:'2017-10-10T20:20:46-0600'))&amp;_a=(columns:!('Message%20ID',Summary),filters:!(),index:'emp_*',interval:auto,query:(query_string:(analyze_wildcard:!t,query:'%22rtdc.l.rtdc.4056%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627</v>
      </c>
      <c r="B210" s="7">
        <v>4019</v>
      </c>
      <c r="C210" s="21" t="s">
        <v>194</v>
      </c>
      <c r="D210" s="21" t="s">
        <v>919</v>
      </c>
      <c r="E210" s="13">
        <v>43018.157199074078</v>
      </c>
      <c r="F210" s="13">
        <v>43018.164467592593</v>
      </c>
      <c r="G210" s="7">
        <v>89</v>
      </c>
      <c r="H210" s="21" t="s">
        <v>375</v>
      </c>
      <c r="I210" s="13">
        <v>43018.170266203706</v>
      </c>
      <c r="J210" s="7">
        <v>0</v>
      </c>
      <c r="K210" s="89" t="str">
        <f t="shared" si="128"/>
        <v>4019/4020</v>
      </c>
      <c r="L210" s="185" t="str">
        <f>VLOOKUP(A210,'Trips&amp;Operators'!$C$1:$G$99911,5,FALSE)</f>
        <v>LANGERAK WILLIAM</v>
      </c>
      <c r="M210" s="6">
        <f t="shared" si="129"/>
        <v>5.7986111132777296E-3</v>
      </c>
      <c r="N210" s="7">
        <f t="shared" si="135"/>
        <v>8.3500000031199306</v>
      </c>
      <c r="O210" s="7"/>
      <c r="P210" s="7"/>
      <c r="Q210" s="22"/>
      <c r="R210" s="174"/>
      <c r="S210" s="221">
        <f t="shared" si="130"/>
        <v>1</v>
      </c>
      <c r="T210" s="174" t="str">
        <f t="shared" si="131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58"/>
        <v>https://d0f6bd738d7f1b3e5a7ca70fe4ff75f0.us-east-1.aws.found.io/app/kibana#/discover/Steve-Slow-Train-Analysis-(2080s-and-2083s)?_g=(refreshInterval:(display:Off,pause:!f,section:0,value:0),time:(from:'2017-10-10T02:46:22-0600',mode:absolute,to:'2017-10-10T05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04" t="str">
        <f>IF(AA210&lt;VLOOKUP(AG210,Variables!$AC$3:$AD$8,2,FALSE),"Y","N")</f>
        <v>Y</v>
      </c>
      <c r="X210" s="204">
        <f t="shared" si="147"/>
        <v>1</v>
      </c>
      <c r="Y210" s="204">
        <f t="shared" si="159"/>
        <v>2.2058</v>
      </c>
      <c r="Z210" s="204">
        <f t="shared" si="160"/>
        <v>1.54E-2</v>
      </c>
      <c r="AA210" s="204">
        <f t="shared" si="132"/>
        <v>2.1903999999999999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33"/>
        <v>304</v>
      </c>
      <c r="AE210" s="77" t="str">
        <f t="shared" si="16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210" s="74" t="str">
        <f t="shared" si="162"/>
        <v>"C:\Program Files (x86)\AstroGrep\AstroGrep.exe" /e /r /s /spath="%USERPROFILE%\AppData\Local\Temp\OnboardLogs" /stypes="app*4019*20171010*" /stext=" 10:.+((SYSTEM_STATE.+slice.+state.+changed )|(ment ac)|(multiple cpu faults)|(system.+state.+changed )|(\[timeout)|(PRM\|1\|D)|(kpr)|(kdp)|(train st.+moving)|(\|lc)|(penalty))"</v>
      </c>
      <c r="AG210" s="182" t="str">
        <f t="shared" si="134"/>
        <v>Other</v>
      </c>
      <c r="AH210" s="78" t="str">
        <f t="shared" si="91"/>
        <v>"%USERPROFILE%\Documents\GitHub\eaglep3\Utilities\RefineRTDCRunTimes.py" --tripid 304-10 --locoid 4019 --swversion DE.1.0.9.0 --startMP 300:22058 --initTime 2017-10-10T03:46:22 --startdatetime 2017-10-10T03:56:50 --delay 89 --endMP 204:154 --enddatetime 2017-10-10T04:05:11 --enforcementcount 0 &gt;&gt;%USERPROFILE%\Documents\GitHub\eaglep3-reporting\EC\2017-10-10-refined-times.txt</v>
      </c>
      <c r="AI210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{"issue":{"subject":"","project_id":79,"tracker_id":40,"status_id":1,"priority_id":2,"assigned_to_id":338,"start_date":"2017-10-10","description":"","custom_fields":[{"id":1,"name":"Subdivision","value":"Other"},{"id":4,"name":"Milepost","value":"0.0154"},{"id":17,"name":"Train ID","value":"304-10"},{"id":16,"name":"Locomotive ID","value":"4019"},{"id":130,"name":"Impact","value":""},{"id":150,"name":"Time of Event (Mountain Time)","value":"04:05:11"},{"id":151,"name":"Denver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93"/>
        <v>start /low /b %USERPROFILE%\Documents\GitHub\eaglep3\Utilities\DownloadLogsFromS3.py --loco 4019 --day 2017-10-10</v>
      </c>
      <c r="AN21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5"/>
        <v>https://d0f6bd738d7f1b3e5a7ca70fe4ff75f0.us-east-1.aws.found.io/app/kibana#/discover/Steve-Slow-Train-Analysis-(2080s-and-2083s)?_g=(refreshInterval:(display:Off,pause:!f,section:0,value:0),time:(from:'2017-10-10T02:46:22-0600',mode:absolute,to:'2017-10-10T05:05:11-0600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629</v>
      </c>
      <c r="B211" s="7">
        <v>4051</v>
      </c>
      <c r="C211" s="21" t="s">
        <v>194</v>
      </c>
      <c r="D211" s="21" t="s">
        <v>920</v>
      </c>
      <c r="E211" s="13">
        <v>43018.166261574072</v>
      </c>
      <c r="F211" s="13">
        <v>43018.170520833337</v>
      </c>
      <c r="G211" s="7">
        <v>57</v>
      </c>
      <c r="H211" s="21" t="s">
        <v>358</v>
      </c>
      <c r="I211" s="13">
        <v>43018.179722222223</v>
      </c>
      <c r="J211" s="7">
        <v>0</v>
      </c>
      <c r="K211" s="89" t="str">
        <f t="shared" si="128"/>
        <v>4051/4052</v>
      </c>
      <c r="L211" s="185" t="str">
        <f>VLOOKUP(A211,'Trips&amp;Operators'!$C$1:$G$99911,5,FALSE)</f>
        <v>LALONDE GREGORY</v>
      </c>
      <c r="M211" s="6">
        <f t="shared" si="129"/>
        <v>9.2013888861401938E-3</v>
      </c>
      <c r="N211" s="7">
        <f t="shared" si="135"/>
        <v>13.249999996041879</v>
      </c>
      <c r="O211" s="7"/>
      <c r="P211" s="7"/>
      <c r="Q211" s="22"/>
      <c r="R211" s="174"/>
      <c r="S211" s="221">
        <f t="shared" si="130"/>
        <v>1</v>
      </c>
      <c r="T211" s="174" t="str">
        <f t="shared" si="131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58"/>
        <v>https://d0f6bd738d7f1b3e5a7ca70fe4ff75f0.us-east-1.aws.found.io/app/kibana#/discover/Steve-Slow-Train-Analysis-(2080s-and-2083s)?_g=(refreshInterval:(display:Off,pause:!f,section:0,value:0),time:(from:'2017-10-10T02:59:25-0600',mode:absolute,to:'2017-10-10T05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04" t="str">
        <f>IF(AA211&lt;VLOOKUP(AG211,Variables!$AC$3:$AD$8,2,FALSE),"Y","N")</f>
        <v>Y</v>
      </c>
      <c r="X211" s="204">
        <f t="shared" si="147"/>
        <v>2</v>
      </c>
      <c r="Y211" s="204">
        <f t="shared" si="159"/>
        <v>2.3569</v>
      </c>
      <c r="Z211" s="204">
        <f t="shared" si="160"/>
        <v>1.5599999999999999E-2</v>
      </c>
      <c r="AA211" s="204">
        <f t="shared" si="132"/>
        <v>2.3412999999999999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33"/>
        <v>306</v>
      </c>
      <c r="AE211" s="77" t="str">
        <f t="shared" si="16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211" s="74" t="str">
        <f t="shared" si="162"/>
        <v>"C:\Program Files (x86)\AstroGrep\AstroGrep.exe" /e /r /s /spath="%USERPROFILE%\AppData\Local\Temp\OnboardLogs" /stypes="app*4051*20171010*" /stext=" 10:.+((SYSTEM_STATE.+slice.+state.+changed )|(ment ac)|(multiple cpu faults)|(system.+state.+changed )|(\[timeout)|(PRM\|1\|D)|(kpr)|(kdp)|(train st.+moving)|(\|lc)|(penalty))"</v>
      </c>
      <c r="AG211" s="182" t="str">
        <f t="shared" si="134"/>
        <v>Other</v>
      </c>
      <c r="AH211" s="78" t="str">
        <f t="shared" si="91"/>
        <v>"%USERPROFILE%\Documents\GitHub\eaglep3\Utilities\RefineRTDCRunTimes.py" --tripid 306-10 --locoid 4051 --swversion DE.1.0.9.0 --startMP 300:23569 --initTime 2017-10-10T03:59:25 --startdatetime 2017-10-10T04:05:33 --delay 57 --endMP 204:156 --enddatetime 2017-10-10T04:18:48 --enforcementcount 0 &gt;&gt;%USERPROFILE%\Documents\GitHub\eaglep3-reporting\EC\2017-10-10-refined-times.txt</v>
      </c>
      <c r="AI211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{"issue":{"subject":"","project_id":79,"tracker_id":40,"status_id":1,"priority_id":2,"assigned_to_id":338,"start_date":"2017-10-10","description":"","custom_fields":[{"id":1,"name":"Subdivision","value":"Other"},{"id":4,"name":"Milepost","value":"0.0156"},{"id":17,"name":"Train ID","value":"306-10"},{"id":16,"name":"Locomotive ID","value":"4051"},{"id":130,"name":"Impact","value":""},{"id":150,"name":"Time of Event (Mountain Time)","value":"04:18:48"},{"id":151,"name":"Denver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93"/>
        <v>start /low /b %USERPROFILE%\Documents\GitHub\eaglep3\Utilities\DownloadLogsFromS3.py --loco 4051 --day 2017-10-10</v>
      </c>
      <c r="AN21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5"/>
        <v>https://d0f6bd738d7f1b3e5a7ca70fe4ff75f0.us-east-1.aws.found.io/app/kibana#/discover/Steve-Slow-Train-Analysis-(2080s-and-2083s)?_g=(refreshInterval:(display:Off,pause:!f,section:0,value:0),time:(from:'2017-10-10T02:59:25-0600',mode:absolute,to:'2017-10-10T05:18:48-0600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847</v>
      </c>
      <c r="B212" s="7">
        <v>4066</v>
      </c>
      <c r="C212" s="21" t="s">
        <v>194</v>
      </c>
      <c r="D212" s="21" t="s">
        <v>875</v>
      </c>
      <c r="E212" s="13">
        <v>43019.046747685185</v>
      </c>
      <c r="F212" s="13">
        <v>43019.048402777778</v>
      </c>
      <c r="G212" s="7">
        <v>61</v>
      </c>
      <c r="H212" s="21" t="s">
        <v>488</v>
      </c>
      <c r="I212" s="13">
        <v>43019.055451388886</v>
      </c>
      <c r="J212" s="7">
        <v>0</v>
      </c>
      <c r="K212" s="89" t="str">
        <f t="shared" si="128"/>
        <v>4065/4066</v>
      </c>
      <c r="L212" s="185" t="str">
        <f>VLOOKUP(A212,'Trips&amp;Operators'!$C$1:$G$99911,5,FALSE)</f>
        <v>LOZA FIDEL</v>
      </c>
      <c r="M212" s="6">
        <f t="shared" si="129"/>
        <v>7.0486111071659252E-3</v>
      </c>
      <c r="N212" s="7">
        <f t="shared" si="135"/>
        <v>10.149999994318932</v>
      </c>
      <c r="O212" s="7"/>
      <c r="P212" s="7"/>
      <c r="Q212" s="22"/>
      <c r="R212" s="174"/>
      <c r="S212" s="221">
        <f t="shared" si="130"/>
        <v>1</v>
      </c>
      <c r="T212" s="174" t="str">
        <f t="shared" si="131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58"/>
        <v>https://d0f6bd738d7f1b3e5a7ca70fe4ff75f0.us-east-1.aws.found.io/app/kibana#/discover/Steve-Slow-Train-Analysis-(2080s-and-2083s)?_g=(refreshInterval:(display:Off,pause:!f,section:0,value:0),time:(from:'2017-10-11T00:07:19-0600',mode:absolute,to:'2017-10-11T02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2" s="204" t="str">
        <f>IF(AA212&lt;VLOOKUP(AG212,Variables!$AC$3:$AD$8,2,FALSE),"Y","N")</f>
        <v>Y</v>
      </c>
      <c r="X212" s="204">
        <f t="shared" si="147"/>
        <v>1</v>
      </c>
      <c r="Y212" s="204">
        <f t="shared" si="159"/>
        <v>4.6199999999999998E-2</v>
      </c>
      <c r="Z212" s="204">
        <f t="shared" si="160"/>
        <v>2.331</v>
      </c>
      <c r="AA212" s="204">
        <f t="shared" si="132"/>
        <v>2.2848000000000002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33"/>
        <v>307</v>
      </c>
      <c r="AE212" s="77" t="str">
        <f t="shared" si="161"/>
        <v>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 &amp; 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</v>
      </c>
      <c r="AF212" s="74" t="str">
        <f t="shared" si="162"/>
        <v>"C:\Program Files (x86)\AstroGrep\AstroGrep.exe" /e /r /s /spath="%USERPROFILE%\AppData\Local\Temp\OnboardLogs" /stypes="app*4066*20171011*" /stext=" 07:.+((SYSTEM_STATE.+slice.+state.+changed )|(ment ac)|(multiple cpu faults)|(system.+state.+changed )|(\[timeout)|(PRM\|1\|D)|(kpr)|(kdp)|(train st.+moving)|(\|lc)|(penalty))"</v>
      </c>
      <c r="AG212" s="182" t="str">
        <f t="shared" si="134"/>
        <v>Other</v>
      </c>
      <c r="AH212" s="78" t="str">
        <f t="shared" si="91"/>
        <v>"%USERPROFILE%\Documents\GitHub\eaglep3\Utilities\RefineRTDCRunTimes.py" --tripid 307-10 --locoid 4066 --swversion DE.1.0.9.0 --startMP 204:462 --initTime 2017-10-11T01:07:19 --startdatetime 2017-10-11T01:09:42 --delay 61 --endMP 300:23310 --enddatetime 2017-10-11T01:19:51 --enforcementcount 0 &gt;&gt;%USERPROFILE%\Documents\GitHub\eaglep3-reporting\EC\2017-10-10-refined-times.txt</v>
      </c>
      <c r="AI212" s="96" t="str">
        <f t="shared" si="92"/>
        <v>echo {"issue":{"subject":"","project_id":79,"tracker_id":40,"status_id":1,"priority_id":2,"assigned_to_id":338,"start_date":"2017-10-11","description":"","custom_fields":[{"id":1,"name":"Subdivision","value":"Other"},{"id":4,"name":"Milepost","value":"2.331"},{"id":17,"name":"Train ID","value":"307-10"},{"id":16,"name":"Locomotive ID","value":"4066"},{"id":130,"name":"Impact","value":""},{"id":150,"name":"Time of Event (Mountain Time)","value":"01:19:51"},{"id":151,"name":"Denver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93"/>
        <v>start /low /b %USERPROFILE%\Documents\GitHub\eaglep3\Utilities\DownloadLogsFromS3.py --loco 4066 --day 2017-10-11</v>
      </c>
      <c r="AN21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5"/>
        <v>https://d0f6bd738d7f1b3e5a7ca70fe4ff75f0.us-east-1.aws.found.io/app/kibana#/discover/Steve-Slow-Train-Analysis-(2080s-and-2083s)?_g=(refreshInterval:(display:Off,pause:!f,section:0,value:0),time:(from:'2017-10-11T00:07:19-0600',mode:absolute,to:'2017-10-11T02:19:51-0600'))&amp;_a=(columns:!('Message%20ID',Summary),filters:!(),index:'emp_*',interval:auto,query:(query_string:(analyze_wildcard:!t,query:'%22rtdc.l.rtdc.4066%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631</v>
      </c>
      <c r="B213" s="7">
        <v>4043</v>
      </c>
      <c r="C213" s="21" t="s">
        <v>194</v>
      </c>
      <c r="D213" s="21" t="s">
        <v>921</v>
      </c>
      <c r="E213" s="13">
        <v>43018.180555555555</v>
      </c>
      <c r="F213" s="13">
        <v>43018.183761574073</v>
      </c>
      <c r="G213" s="7">
        <v>109</v>
      </c>
      <c r="H213" s="21" t="s">
        <v>339</v>
      </c>
      <c r="I213" s="13">
        <v>43018.190717592595</v>
      </c>
      <c r="J213" s="7">
        <v>0</v>
      </c>
      <c r="K213" s="89" t="str">
        <f t="shared" si="128"/>
        <v>4043/4044</v>
      </c>
      <c r="L213" s="185" t="str">
        <f>VLOOKUP(A213,'Trips&amp;Operators'!$C$1:$G$99911,5,FALSE)</f>
        <v>BROWN JACOB</v>
      </c>
      <c r="M213" s="6">
        <f t="shared" si="129"/>
        <v>6.9560185220325366E-3</v>
      </c>
      <c r="N213" s="7">
        <f t="shared" si="135"/>
        <v>10.016666671726853</v>
      </c>
      <c r="O213" s="7"/>
      <c r="P213" s="7"/>
      <c r="Q213" s="22"/>
      <c r="R213" s="174"/>
      <c r="S213" s="221">
        <f t="shared" si="130"/>
        <v>1</v>
      </c>
      <c r="T213" s="174" t="str">
        <f t="shared" si="131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58"/>
        <v>https://d0f6bd738d7f1b3e5a7ca70fe4ff75f0.us-east-1.aws.found.io/app/kibana#/discover/Steve-Slow-Train-Analysis-(2080s-and-2083s)?_g=(refreshInterval:(display:Off,pause:!f,section:0,value:0),time:(from:'2017-10-10T03:20:00-0600',mode:absolute,to:'2017-10-10T05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204" t="str">
        <f>IF(AA213&lt;VLOOKUP(AG213,Variables!$AC$3:$AD$8,2,FALSE),"Y","N")</f>
        <v>Y</v>
      </c>
      <c r="X213" s="204">
        <f t="shared" si="147"/>
        <v>1</v>
      </c>
      <c r="Y213" s="204">
        <f t="shared" si="159"/>
        <v>2.3635000000000002</v>
      </c>
      <c r="Z213" s="204">
        <f t="shared" si="160"/>
        <v>1.47E-2</v>
      </c>
      <c r="AA213" s="204">
        <f t="shared" si="132"/>
        <v>2.3488000000000002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33"/>
        <v>308</v>
      </c>
      <c r="AE213" s="77" t="str">
        <f t="shared" si="16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13" s="74" t="str">
        <f t="shared" si="162"/>
        <v>"C:\Program Files (x86)\AstroGrep\AstroGrep.exe" /e /r /s /spath="%USERPROFILE%\AppData\Local\Temp\OnboardLogs" /stypes="app*4043*20171010*" /stext=" 10:.+((SYSTEM_STATE.+slice.+state.+changed )|(ment ac)|(multiple cpu faults)|(system.+state.+changed )|(\[timeout)|(PRM\|1\|D)|(kpr)|(kdp)|(train st.+moving)|(\|lc)|(penalty))"</v>
      </c>
      <c r="AG213" s="182" t="str">
        <f t="shared" si="134"/>
        <v>Other</v>
      </c>
      <c r="AH213" s="78" t="str">
        <f t="shared" si="91"/>
        <v>"%USERPROFILE%\Documents\GitHub\eaglep3\Utilities\RefineRTDCRunTimes.py" --tripid 308-10 --locoid 4043 --swversion DE.1.0.9.0 --startMP 300:23635 --initTime 2017-10-10T04:20:00 --startdatetime 2017-10-10T04:24:37 --delay 109 --endMP 204:147 --enddatetime 2017-10-10T04:34:38 --enforcementcount 0 &gt;&gt;%USERPROFILE%\Documents\GitHub\eaglep3-reporting\EC\2017-10-10-refined-times.txt</v>
      </c>
      <c r="AI213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{"issue":{"subject":"","project_id":79,"tracker_id":40,"status_id":1,"priority_id":2,"assigned_to_id":338,"start_date":"2017-10-10","description":"","custom_fields":[{"id":1,"name":"Subdivision","value":"Other"},{"id":4,"name":"Milepost","value":"0.0147"},{"id":17,"name":"Train ID","value":"308-10"},{"id":16,"name":"Locomotive ID","value":"4043"},{"id":130,"name":"Impact","value":""},{"id":150,"name":"Time of Event (Mountain Time)","value":"04:34:38"},{"id":151,"name":"Denver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93"/>
        <v>start /low /b %USERPROFILE%\Documents\GitHub\eaglep3\Utilities\DownloadLogsFromS3.py --loco 4043 --day 2017-10-10</v>
      </c>
      <c r="AN21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5"/>
        <v>https://d0f6bd738d7f1b3e5a7ca70fe4ff75f0.us-east-1.aws.found.io/app/kibana#/discover/Steve-Slow-Train-Analysis-(2080s-and-2083s)?_g=(refreshInterval:(display:Off,pause:!f,section:0,value:0),time:(from:'2017-10-10T03:20:00-0600',mode:absolute,to:'2017-10-10T05:34:38-0600'))&amp;_a=(columns:!('Message%20ID',Summary),filters:!(),index:'emp_*',interval:auto,query:(query_string:(analyze_wildcard:!t,query:'%22rtdc.l.rtdc.4043%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620</v>
      </c>
      <c r="B214" s="7">
        <v>4020</v>
      </c>
      <c r="C214" s="21" t="s">
        <v>194</v>
      </c>
      <c r="D214" s="21" t="s">
        <v>381</v>
      </c>
      <c r="E214" s="13">
        <v>43019.070902777778</v>
      </c>
      <c r="F214" s="13">
        <v>43019.072326388887</v>
      </c>
      <c r="G214" s="7">
        <v>47</v>
      </c>
      <c r="H214" s="21" t="s">
        <v>567</v>
      </c>
      <c r="I214" s="13">
        <v>43019.08253472222</v>
      </c>
      <c r="J214" s="7">
        <v>0</v>
      </c>
      <c r="K214" s="89" t="str">
        <f t="shared" si="128"/>
        <v>4019/4020</v>
      </c>
      <c r="L214" s="185" t="str">
        <f>VLOOKUP(A214,'Trips&amp;Operators'!$C$1:$G$99911,5,FALSE)</f>
        <v>BIRKHOLZ NADINE</v>
      </c>
      <c r="M214" s="6">
        <f t="shared" si="129"/>
        <v>1.0208333333139308E-2</v>
      </c>
      <c r="N214" s="7">
        <f t="shared" si="135"/>
        <v>14.699999999720603</v>
      </c>
      <c r="O214" s="7"/>
      <c r="P214" s="7"/>
      <c r="Q214" s="22"/>
      <c r="R214" s="174"/>
      <c r="S214" s="221">
        <f t="shared" si="130"/>
        <v>1</v>
      </c>
      <c r="T214" s="174" t="str">
        <f t="shared" si="131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58"/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4" s="204" t="str">
        <f>IF(AA214&lt;VLOOKUP(AG214,Variables!$AC$3:$AD$8,2,FALSE),"Y","N")</f>
        <v>Y</v>
      </c>
      <c r="X214" s="204">
        <f t="shared" si="147"/>
        <v>1</v>
      </c>
      <c r="Y214" s="204">
        <f t="shared" si="159"/>
        <v>4.5699999999999998E-2</v>
      </c>
      <c r="Z214" s="204">
        <f t="shared" si="160"/>
        <v>2.3302</v>
      </c>
      <c r="AA214" s="204">
        <f t="shared" si="132"/>
        <v>2.2845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33"/>
        <v>309</v>
      </c>
      <c r="AE214" s="77" t="str">
        <f t="shared" si="161"/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14" s="74" t="str">
        <f t="shared" si="162"/>
        <v>"C:\Program Files (x86)\AstroGrep\AstroGrep.exe" /e /r /s /spath="%USERPROFILE%\AppData\Local\Temp\OnboardLogs" /stypes="app*4020*20171011*" /stext=" 07:.+((SYSTEM_STATE.+slice.+state.+changed )|(ment ac)|(multiple cpu faults)|(system.+state.+changed )|(\[timeout)|(PRM\|1\|D)|(kpr)|(kdp)|(train st.+moving)|(\|lc)|(penalty))"</v>
      </c>
      <c r="AG214" s="182" t="str">
        <f t="shared" si="134"/>
        <v>Other</v>
      </c>
      <c r="AH214" s="78" t="str">
        <f t="shared" ref="AH214:AH242" si="163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309-10 --locoid 4020 --swversion DE.1.0.9.0 --startMP 204:457 --initTime 2017-10-11T01:42:06 --startdatetime 2017-10-11T01:44:09 --delay 47 --endMP 300:23302 --enddatetime 2017-10-11T01:58:51 --enforcementcount 0 &gt;&gt;%USERPROFILE%\Documents\GitHub\eaglep3-reporting\EC\2017-10-10-refined-times.txt</v>
      </c>
      <c r="AI214" s="96" t="str">
        <f t="shared" ref="AI214:AI242" si="164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{"issue":{"subject":"","project_id":79,"tracker_id":40,"status_id":1,"priority_id":2,"assigned_to_id":338,"start_date":"2017-10-11","description":"","custom_fields":[{"id":1,"name":"Subdivision","value":"Other"},{"id":4,"name":"Milepost","value":"2.3302"},{"id":17,"name":"Train ID","value":"309-10"},{"id":16,"name":"Locomotive ID","value":"4020"},{"id":130,"name":"Impact","value":""},{"id":150,"name":"Time of Event (Mountain Time)","value":"01:58:51"},{"id":151,"name":"Denver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ref="AM214:AM242" si="165">"start /low /b "&amp;dls3logs&amp;" --loco "&amp;B214&amp;" --day "&amp;TEXT(F214,"YYYY-MM-DD")</f>
        <v>start /low /b %USERPROFILE%\Documents\GitHub\eaglep3\Utilities\DownloadLogsFromS3.py --loco 4020 --day 2017-10-11</v>
      </c>
      <c r="AN214" s="151" t="str">
        <f t="shared" ref="AN214:AN242" si="166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42" si="167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Message%20ID',Summary),filters:!(),index:'emp_*',interval:auto,query:(query_string:(analyze_wildcard:!t,query:'%22rtdc.l.rtdc.4020%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634</v>
      </c>
      <c r="B215" s="7">
        <v>4055</v>
      </c>
      <c r="C215" s="21" t="s">
        <v>194</v>
      </c>
      <c r="D215" s="21" t="s">
        <v>922</v>
      </c>
      <c r="E215" s="13">
        <v>43018.19295138889</v>
      </c>
      <c r="F215" s="13">
        <v>43018.195983796293</v>
      </c>
      <c r="G215" s="7">
        <v>112</v>
      </c>
      <c r="H215" s="21" t="s">
        <v>358</v>
      </c>
      <c r="I215" s="13">
        <v>43018.202326388891</v>
      </c>
      <c r="J215" s="7">
        <v>0</v>
      </c>
      <c r="K215" s="89" t="str">
        <f t="shared" si="128"/>
        <v>4055/4056</v>
      </c>
      <c r="L215" s="185" t="str">
        <f>VLOOKUP(A215,'Trips&amp;Operators'!$C$1:$G$99911,5,FALSE)</f>
        <v>YANAI IAN</v>
      </c>
      <c r="M215" s="6">
        <f t="shared" si="129"/>
        <v>6.3425925982301123E-3</v>
      </c>
      <c r="N215" s="7">
        <f t="shared" si="135"/>
        <v>9.1333333414513618</v>
      </c>
      <c r="O215" s="7"/>
      <c r="P215" s="7"/>
      <c r="Q215" s="22"/>
      <c r="R215" s="174"/>
      <c r="S215" s="221">
        <f t="shared" si="130"/>
        <v>1</v>
      </c>
      <c r="T215" s="174" t="str">
        <f t="shared" si="131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58"/>
        <v>https://d0f6bd738d7f1b3e5a7ca70fe4ff75f0.us-east-1.aws.found.io/app/kibana#/discover/Steve-Slow-Train-Analysis-(2080s-and-2083s)?_g=(refreshInterval:(display:Off,pause:!f,section:0,value:0),time:(from:'2017-10-10T03:37:51-0600',mode:absolute,to:'2017-10-10T05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04" t="str">
        <f>IF(AA215&lt;VLOOKUP(AG215,Variables!$AC$3:$AD$8,2,FALSE),"Y","N")</f>
        <v>Y</v>
      </c>
      <c r="X215" s="204">
        <f t="shared" si="147"/>
        <v>1</v>
      </c>
      <c r="Y215" s="204">
        <f t="shared" si="159"/>
        <v>2.3730000000000002</v>
      </c>
      <c r="Z215" s="204">
        <f t="shared" si="160"/>
        <v>1.5599999999999999E-2</v>
      </c>
      <c r="AA215" s="204">
        <f t="shared" si="132"/>
        <v>2.3574000000000002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33"/>
        <v>310</v>
      </c>
      <c r="AE215" s="77" t="str">
        <f t="shared" si="16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215" s="74" t="str">
        <f t="shared" si="162"/>
        <v>"C:\Program Files (x86)\AstroGrep\AstroGrep.exe" /e /r /s /spath="%USERPROFILE%\AppData\Local\Temp\OnboardLogs" /stypes="app*4055*20171010*" /stext=" 10:.+((SYSTEM_STATE.+slice.+state.+changed )|(ment ac)|(multiple cpu faults)|(system.+state.+changed )|(\[timeout)|(PRM\|1\|D)|(kpr)|(kdp)|(train st.+moving)|(\|lc)|(penalty))"</v>
      </c>
      <c r="AG215" s="182" t="str">
        <f t="shared" si="134"/>
        <v>Other</v>
      </c>
      <c r="AH215" s="78" t="str">
        <f t="shared" si="163"/>
        <v>"%USERPROFILE%\Documents\GitHub\eaglep3\Utilities\RefineRTDCRunTimes.py" --tripid 310-10 --locoid 4055 --swversion DE.1.0.9.0 --startMP 300:23730 --initTime 2017-10-10T04:37:51 --startdatetime 2017-10-10T04:42:13 --delay 112 --endMP 204:156 --enddatetime 2017-10-10T04:51:21 --enforcementcount 0 &gt;&gt;%USERPROFILE%\Documents\GitHub\eaglep3-reporting\EC\2017-10-10-refined-times.txt</v>
      </c>
      <c r="AI215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{"issue":{"subject":"","project_id":79,"tracker_id":40,"status_id":1,"priority_id":2,"assigned_to_id":338,"start_date":"2017-10-10","description":"","custom_fields":[{"id":1,"name":"Subdivision","value":"Other"},{"id":4,"name":"Milepost","value":"0.0156"},{"id":17,"name":"Train ID","value":"310-10"},{"id":16,"name":"Locomotive ID","value":"4055"},{"id":130,"name":"Impact","value":""},{"id":150,"name":"Time of Event (Mountain Time)","value":"04:51:21"},{"id":151,"name":"Denver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65"/>
        <v>start /low /b %USERPROFILE%\Documents\GitHub\eaglep3\Utilities\DownloadLogsFromS3.py --loco 4055 --day 2017-10-10</v>
      </c>
      <c r="AN21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67"/>
        <v>https://d0f6bd738d7f1b3e5a7ca70fe4ff75f0.us-east-1.aws.found.io/app/kibana#/discover/Steve-Slow-Train-Analysis-(2080s-and-2083s)?_g=(refreshInterval:(display:Off,pause:!f,section:0,value:0),time:(from:'2017-10-10T03:37:51-0600',mode:absolute,to:'2017-10-10T05:51:21-0600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849</v>
      </c>
      <c r="B216" s="7">
        <v>4052</v>
      </c>
      <c r="C216" s="21" t="s">
        <v>194</v>
      </c>
      <c r="D216" s="21" t="s">
        <v>424</v>
      </c>
      <c r="E216" s="13">
        <v>43019.088645833333</v>
      </c>
      <c r="F216" s="13">
        <v>43019.090115740742</v>
      </c>
      <c r="G216" s="7">
        <v>60</v>
      </c>
      <c r="H216" s="21" t="s">
        <v>568</v>
      </c>
      <c r="I216" s="13">
        <v>43019.100243055553</v>
      </c>
      <c r="J216" s="7">
        <v>0</v>
      </c>
      <c r="K216" s="89" t="str">
        <f t="shared" si="128"/>
        <v>4051/4052</v>
      </c>
      <c r="L216" s="185" t="str">
        <f>VLOOKUP(A216,'Trips&amp;Operators'!$C$1:$G$99911,5,FALSE)</f>
        <v>ANDERS STEVEN</v>
      </c>
      <c r="M216" s="6">
        <f t="shared" si="129"/>
        <v>1.0127314810233656E-2</v>
      </c>
      <c r="N216" s="7">
        <f t="shared" si="135"/>
        <v>14.583333326736465</v>
      </c>
      <c r="O216" s="7"/>
      <c r="P216" s="7"/>
      <c r="Q216" s="22"/>
      <c r="R216" s="174"/>
      <c r="S216" s="221">
        <f t="shared" si="130"/>
        <v>1</v>
      </c>
      <c r="T216" s="174" t="str">
        <f t="shared" si="131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58"/>
        <v>https://d0f6bd738d7f1b3e5a7ca70fe4ff75f0.us-east-1.aws.found.io/app/kibana#/discover/Steve-Slow-Train-Analysis-(2080s-and-2083s)?_g=(refreshInterval:(display:Off,pause:!f,section:0,value:0),time:(from:'2017-10-11T01:07:39-0600',mode:absolute,to:'2017-10-11T03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204" t="str">
        <f>IF(AA216&lt;VLOOKUP(AG216,Variables!$AC$3:$AD$8,2,FALSE),"Y","N")</f>
        <v>Y</v>
      </c>
      <c r="X216" s="204">
        <f t="shared" si="147"/>
        <v>1</v>
      </c>
      <c r="Y216" s="204">
        <f t="shared" si="159"/>
        <v>4.3700000000000003E-2</v>
      </c>
      <c r="Z216" s="204">
        <f t="shared" si="160"/>
        <v>2.3311999999999999</v>
      </c>
      <c r="AA216" s="204">
        <f t="shared" si="132"/>
        <v>2.2875000000000001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33"/>
        <v>311</v>
      </c>
      <c r="AE216" s="77" t="str">
        <f t="shared" si="161"/>
        <v>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 &amp; 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</v>
      </c>
      <c r="AF216" s="74" t="str">
        <f t="shared" si="162"/>
        <v>"C:\Program Files (x86)\AstroGrep\AstroGrep.exe" /e /r /s /spath="%USERPROFILE%\AppData\Local\Temp\OnboardLogs" /stypes="app*4052*20171011*" /stext=" 08:.+((SYSTEM_STATE.+slice.+state.+changed )|(ment ac)|(multiple cpu faults)|(system.+state.+changed )|(\[timeout)|(PRM\|1\|D)|(kpr)|(kdp)|(train st.+moving)|(\|lc)|(penalty))"</v>
      </c>
      <c r="AG216" s="182" t="str">
        <f t="shared" si="134"/>
        <v>Other</v>
      </c>
      <c r="AH216" s="78" t="str">
        <f t="shared" si="163"/>
        <v>"%USERPROFILE%\Documents\GitHub\eaglep3\Utilities\RefineRTDCRunTimes.py" --tripid 311-10 --locoid 4052 --swversion DE.1.0.9.0 --startMP 204:437 --initTime 2017-10-11T02:07:39 --startdatetime 2017-10-11T02:09:46 --delay 60 --endMP 300:23312 --enddatetime 2017-10-11T02:24:21 --enforcementcount 0 &gt;&gt;%USERPROFILE%\Documents\GitHub\eaglep3-reporting\EC\2017-10-10-refined-times.txt</v>
      </c>
      <c r="AI216" s="96" t="str">
        <f t="shared" si="164"/>
        <v>echo {"issue":{"subject":"","project_id":79,"tracker_id":40,"status_id":1,"priority_id":2,"assigned_to_id":338,"start_date":"2017-10-11","description":"","custom_fields":[{"id":1,"name":"Subdivision","value":"Other"},{"id":4,"name":"Milepost","value":"2.3312"},{"id":17,"name":"Train ID","value":"311-10"},{"id":16,"name":"Locomotive ID","value":"4052"},{"id":130,"name":"Impact","value":""},{"id":150,"name":"Time of Event (Mountain Time)","value":"02:24:21"},{"id":151,"name":"Denver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65"/>
        <v>start /low /b %USERPROFILE%\Documents\GitHub\eaglep3\Utilities\DownloadLogsFromS3.py --loco 4052 --day 2017-10-11</v>
      </c>
      <c r="AN216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08:24:21"},{"id":29,"name":"Sharepoint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67"/>
        <v>https://d0f6bd738d7f1b3e5a7ca70fe4ff75f0.us-east-1.aws.found.io/app/kibana#/discover/Steve-Slow-Train-Analysis-(2080s-and-2083s)?_g=(refreshInterval:(display:Off,pause:!f,section:0,value:0),time:(from:'2017-10-11T01:07:39-0600',mode:absolute,to:'2017-10-11T03:24:21-0600'))&amp;_a=(columns:!('Message%20ID',Summary),filters:!(),index:'emp_*',interval:auto,query:(query_string:(analyze_wildcard:!t,query:'%22rtdc.l.rtdc.4052%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644</v>
      </c>
      <c r="B217" s="7">
        <v>4053</v>
      </c>
      <c r="C217" s="21" t="s">
        <v>194</v>
      </c>
      <c r="D217" s="21" t="s">
        <v>923</v>
      </c>
      <c r="E217" s="13">
        <v>43018.221145833333</v>
      </c>
      <c r="F217" s="13">
        <v>43018.225810185184</v>
      </c>
      <c r="G217" s="7">
        <v>158</v>
      </c>
      <c r="H217" s="21" t="s">
        <v>548</v>
      </c>
      <c r="I217" s="13">
        <v>43018.232499999998</v>
      </c>
      <c r="J217" s="7">
        <v>0</v>
      </c>
      <c r="K217" s="89" t="str">
        <f t="shared" si="128"/>
        <v>4053/4054</v>
      </c>
      <c r="L217" s="185" t="str">
        <f>VLOOKUP(A217,'Trips&amp;Operators'!$C$1:$G$99911,5,FALSE)</f>
        <v>MACDONALD THOMAS</v>
      </c>
      <c r="M217" s="6">
        <f t="shared" si="129"/>
        <v>6.6898148143081926E-3</v>
      </c>
      <c r="N217" s="7">
        <f t="shared" si="135"/>
        <v>9.6333333326037973</v>
      </c>
      <c r="O217" s="7"/>
      <c r="P217" s="7"/>
      <c r="Q217" s="22"/>
      <c r="R217" s="174"/>
      <c r="S217" s="221">
        <f t="shared" si="130"/>
        <v>1</v>
      </c>
      <c r="T217" s="174" t="str">
        <f t="shared" si="131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58"/>
        <v>https://d0f6bd738d7f1b3e5a7ca70fe4ff75f0.us-east-1.aws.found.io/app/kibana#/discover/Steve-Slow-Train-Analysis-(2080s-and-2083s)?_g=(refreshInterval:(display:Off,pause:!f,section:0,value:0),time:(from:'2017-10-10T04:18:27-0600',mode:absolute,to:'2017-10-10T06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204" t="str">
        <f>IF(AA217&lt;VLOOKUP(AG217,Variables!$AC$3:$AD$8,2,FALSE),"Y","N")</f>
        <v>Y</v>
      </c>
      <c r="X217" s="204">
        <f t="shared" si="147"/>
        <v>1</v>
      </c>
      <c r="Y217" s="204">
        <f t="shared" si="159"/>
        <v>2.5771999999999999</v>
      </c>
      <c r="Z217" s="204">
        <f t="shared" si="160"/>
        <v>1.6500000000000001E-2</v>
      </c>
      <c r="AA217" s="204">
        <f t="shared" si="132"/>
        <v>2.5606999999999998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33"/>
        <v>312</v>
      </c>
      <c r="AE217" s="77" t="str">
        <f t="shared" si="16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217" s="74" t="str">
        <f t="shared" si="162"/>
        <v>"C:\Program Files (x86)\AstroGrep\AstroGrep.exe" /e /r /s /spath="%USERPROFILE%\AppData\Local\Temp\OnboardLogs" /stypes="app*4053*20171010*" /stext=" 11:.+((SYSTEM_STATE.+slice.+state.+changed )|(ment ac)|(multiple cpu faults)|(system.+state.+changed )|(\[timeout)|(PRM\|1\|D)|(kpr)|(kdp)|(train st.+moving)|(\|lc)|(penalty))"</v>
      </c>
      <c r="AG217" s="182" t="str">
        <f t="shared" si="134"/>
        <v>Other</v>
      </c>
      <c r="AH217" s="78" t="str">
        <f t="shared" si="163"/>
        <v>"%USERPROFILE%\Documents\GitHub\eaglep3\Utilities\RefineRTDCRunTimes.py" --tripid 312-10 --locoid 4053 --swversion DE.1.0.9.0 --startMP 300:25772 --initTime 2017-10-10T05:18:27 --startdatetime 2017-10-10T05:25:10 --delay 158 --endMP 204:165 --enddatetime 2017-10-10T05:34:48 --enforcementcount 0 &gt;&gt;%USERPROFILE%\Documents\GitHub\eaglep3-reporting\EC\2017-10-10-refined-times.txt</v>
      </c>
      <c r="AI217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{"issue":{"subject":"","project_id":79,"tracker_id":40,"status_id":1,"priority_id":2,"assigned_to_id":338,"start_date":"2017-10-10","description":"","custom_fields":[{"id":1,"name":"Subdivision","value":"Other"},{"id":4,"name":"Milepost","value":"0.0165"},{"id":17,"name":"Train ID","value":"312-10"},{"id":16,"name":"Locomotive ID","value":"4053"},{"id":130,"name":"Impact","value":""},{"id":150,"name":"Time of Event (Mountain Time)","value":"05:34:48"},{"id":151,"name":"Denver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65"/>
        <v>start /low /b %USERPROFILE%\Documents\GitHub\eaglep3\Utilities\DownloadLogsFromS3.py --loco 4053 --day 2017-10-10</v>
      </c>
      <c r="AN21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67"/>
        <v>https://d0f6bd738d7f1b3e5a7ca70fe4ff75f0.us-east-1.aws.found.io/app/kibana#/discover/Steve-Slow-Train-Analysis-(2080s-and-2083s)?_g=(refreshInterval:(display:Off,pause:!f,section:0,value:0),time:(from:'2017-10-10T04:18:27-0600',mode:absolute,to:'2017-10-10T06:34:48-0600'))&amp;_a=(columns:!('Message%20ID',Summary),filters:!(),index:'emp_*',interval:auto,query:(query_string:(analyze_wildcard:!t,query:'%22rtdc.l.rtdc.4053%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845</v>
      </c>
      <c r="B218" s="7">
        <v>4050</v>
      </c>
      <c r="C218" s="21" t="s">
        <v>194</v>
      </c>
      <c r="D218" s="21" t="s">
        <v>370</v>
      </c>
      <c r="E218" s="13">
        <v>43019.025497685187</v>
      </c>
      <c r="F218" s="13">
        <v>43019.02679398148</v>
      </c>
      <c r="G218" s="7">
        <v>66</v>
      </c>
      <c r="H218" s="21" t="s">
        <v>924</v>
      </c>
      <c r="I218" s="13">
        <v>43019.034143518518</v>
      </c>
      <c r="J218" s="7">
        <v>0</v>
      </c>
      <c r="K218" s="89" t="str">
        <f t="shared" si="128"/>
        <v>4049/4050</v>
      </c>
      <c r="L218" s="185" t="str">
        <f>VLOOKUP(A218,'Trips&amp;Operators'!$C$1:$G$99911,5,FALSE)</f>
        <v>DUNCAN SHEILA</v>
      </c>
      <c r="M218" s="6">
        <f t="shared" si="129"/>
        <v>7.3495370379532687E-3</v>
      </c>
      <c r="N218" s="7">
        <f t="shared" si="135"/>
        <v>10.583333334652707</v>
      </c>
      <c r="O218" s="7"/>
      <c r="P218" s="7"/>
      <c r="Q218" s="22"/>
      <c r="R218" s="174"/>
      <c r="S218" s="221">
        <f t="shared" si="130"/>
        <v>1</v>
      </c>
      <c r="T218" s="174" t="str">
        <f t="shared" si="13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8"/>
        <v>https://d0f6bd738d7f1b3e5a7ca70fe4ff75f0.us-east-1.aws.found.io/app/kibana#/discover/Steve-Slow-Train-Analysis-(2080s-and-2083s)?_g=(refreshInterval:(display:Off,pause:!f,section:0,value:0),time:(from:'2017-10-10T23:36:43-0600',mode:absolute,to:'2017-10-11T01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04" t="str">
        <f>IF(AA218&lt;VLOOKUP(AG218,Variables!$AC$3:$AD$8,2,FALSE),"Y","N")</f>
        <v>Y</v>
      </c>
      <c r="X218" s="204">
        <f t="shared" si="147"/>
        <v>1</v>
      </c>
      <c r="Y218" s="204">
        <f t="shared" si="159"/>
        <v>4.5100000000000001E-2</v>
      </c>
      <c r="Z218" s="204">
        <f t="shared" si="160"/>
        <v>2.3346</v>
      </c>
      <c r="AA218" s="204">
        <f t="shared" si="132"/>
        <v>2.2894999999999999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33"/>
        <v>313</v>
      </c>
      <c r="AE218" s="77" t="str">
        <f t="shared" si="161"/>
        <v>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 &amp; aws s3 cp s3://rtdc.mdm.uploadarchive.raw/RTDC4050/ "%USERPROFILE%\AppData\Local\Temp\OnboardLogs"\RTDC4050\2017-10-12 --exclude "*" --recursive --include "*20171012*" &amp; "%USERPROFILE%\Documents\GitHub\mrs-test-scripts\Headless Mode &amp; Sideloading\WalkAndUnGZ.bat" "%USERPROFILE%\AppData\Local\Temp\OnboardLogs"\RTDC4050\2017-10-12</v>
      </c>
      <c r="AF218" s="74" t="str">
        <f t="shared" si="162"/>
        <v>"C:\Program Files (x86)\AstroGrep\AstroGrep.exe" /e /r /s /spath="%USERPROFILE%\AppData\Local\Temp\OnboardLogs" /stypes="app*4050*20171011*" /stext=" 06:.+((SYSTEM_STATE.+slice.+state.+changed )|(ment ac)|(multiple cpu faults)|(system.+state.+changed )|(\[timeout)|(PRM\|1\|D)|(kpr)|(kdp)|(train st.+moving)|(\|lc)|(penalty))"</v>
      </c>
      <c r="AG218" s="182" t="str">
        <f t="shared" si="134"/>
        <v>Other</v>
      </c>
      <c r="AH218" s="78" t="str">
        <f t="shared" si="163"/>
        <v>"%USERPROFILE%\Documents\GitHub\eaglep3\Utilities\RefineRTDCRunTimes.py" --tripid 313-10 --locoid 4050 --swversion DE.1.0.9.0 --startMP 204:451 --initTime 2017-10-11T00:36:43 --startdatetime 2017-10-11T00:38:35 --delay 66 --endMP 300:23346 --enddatetime 2017-10-11T00:49:10 --enforcementcount 0 &gt;&gt;%USERPROFILE%\Documents\GitHub\eaglep3-reporting\EC\2017-10-10-refined-times.txt</v>
      </c>
      <c r="AI218" s="96" t="str">
        <f t="shared" si="164"/>
        <v>echo {"issue":{"subject":"","project_id":79,"tracker_id":40,"status_id":1,"priority_id":2,"assigned_to_id":338,"start_date":"2017-10-11","description":"","custom_fields":[{"id":1,"name":"Subdivision","value":"Other"},{"id":4,"name":"Milepost","value":"2.3346"},{"id":17,"name":"Train ID","value":"313-10"},{"id":16,"name":"Locomotive ID","value":"4050"},{"id":130,"name":"Impact","value":""},{"id":150,"name":"Time of Event (Mountain Time)","value":"00:49:10"},{"id":151,"name":"Denver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65"/>
        <v>start /low /b %USERPROFILE%\Documents\GitHub\eaglep3\Utilities\DownloadLogsFromS3.py --loco 4050 --day 2017-10-11</v>
      </c>
      <c r="AN218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7"/>
        <v>https://d0f6bd738d7f1b3e5a7ca70fe4ff75f0.us-east-1.aws.found.io/app/kibana#/discover/Steve-Slow-Train-Analysis-(2080s-and-2083s)?_g=(refreshInterval:(display:Off,pause:!f,section:0,value:0),time:(from:'2017-10-10T23:36:43-0600',mode:absolute,to:'2017-10-11T01:49:10-0600'))&amp;_a=(columns:!('Message%20ID',Summary),filters:!(),index:'emp_*',interval:auto,query:(query_string:(analyze_wildcard:!t,query:'%22rtdc.l.rtdc.4050%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638</v>
      </c>
      <c r="B219" s="7">
        <v>4060</v>
      </c>
      <c r="C219" s="21" t="s">
        <v>194</v>
      </c>
      <c r="D219" s="21" t="s">
        <v>992</v>
      </c>
      <c r="E219" s="13">
        <v>43018.196018518516</v>
      </c>
      <c r="F219" s="13">
        <v>43018.201111111113</v>
      </c>
      <c r="G219" s="7">
        <v>86</v>
      </c>
      <c r="H219" s="21" t="s">
        <v>430</v>
      </c>
      <c r="I219" s="13">
        <v>43018.207349537035</v>
      </c>
      <c r="J219" s="7">
        <v>0</v>
      </c>
      <c r="K219" s="89" t="str">
        <f t="shared" si="128"/>
        <v>4059/4060</v>
      </c>
      <c r="L219" s="185" t="str">
        <f>VLOOKUP(A219,'Trips&amp;Operators'!$C$1:$G$99911,5,FALSE)</f>
        <v>YANG JAN</v>
      </c>
      <c r="M219" s="6">
        <f t="shared" si="129"/>
        <v>6.2384259217651561E-3</v>
      </c>
      <c r="N219" s="7">
        <f t="shared" si="135"/>
        <v>8.9833333273418248</v>
      </c>
      <c r="O219" s="7"/>
      <c r="P219" s="7"/>
      <c r="Q219" s="22"/>
      <c r="R219" s="174"/>
      <c r="S219" s="221">
        <f t="shared" si="130"/>
        <v>0</v>
      </c>
      <c r="T219" s="174" t="str">
        <f t="shared" si="131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58"/>
        <v>https://d0f6bd738d7f1b3e5a7ca70fe4ff75f0.us-east-1.aws.found.io/app/kibana#/discover/Steve-Slow-Train-Analysis-(2080s-and-2083s)?_g=(refreshInterval:(display:Off,pause:!f,section:0,value:0),time:(from:'2017-10-10T03:42:16-0600',mode:absolute,to:'2017-10-10T05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204" t="str">
        <f>IF(AA219&lt;VLOOKUP(AG219,Variables!$AC$3:$AD$8,2,FALSE),"Y","N")</f>
        <v>Y</v>
      </c>
      <c r="X219" s="204">
        <f t="shared" si="147"/>
        <v>588</v>
      </c>
      <c r="Y219" s="204">
        <f t="shared" si="159"/>
        <v>2.9710000000000001</v>
      </c>
      <c r="Z219" s="204">
        <f t="shared" si="160"/>
        <v>5.8933</v>
      </c>
      <c r="AA219" s="204">
        <f t="shared" si="132"/>
        <v>2.9222999999999999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33"/>
        <v>901</v>
      </c>
      <c r="AE219" s="77" t="str">
        <f t="shared" si="161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219" s="74" t="str">
        <f t="shared" si="162"/>
        <v>"C:\Program Files (x86)\AstroGrep\AstroGrep.exe" /e /r /s /spath="%USERPROFILE%\AppData\Local\Temp\OnboardLogs" /stypes="app*4060*20171010*" /stext=" 10:.+((SYSTEM_STATE.+slice.+state.+changed )|(ment ac)|(multiple cpu faults)|(system.+state.+changed )|(\[timeout)|(PRM\|1\|D)|(kpr)|(kdp)|(train st.+moving)|(\|lc)|(penalty))"</v>
      </c>
      <c r="AG219" s="182" t="str">
        <f t="shared" si="134"/>
        <v>Other</v>
      </c>
      <c r="AH219" s="78" t="str">
        <f t="shared" si="163"/>
        <v>"%USERPROFILE%\Documents\GitHub\eaglep3\Utilities\RefineRTDCRunTimes.py" --tripid 901-10 --locoid 4060 --swversion DE.1.0.9.0 --startMP 300:29710 --initTime 2017-10-10T04:42:16 --startdatetime 2017-10-10T04:49:36 --delay 86 --endMP 300:58933 --enddatetime 2017-10-10T04:58:35 --enforcementcount 0 &gt;&gt;%USERPROFILE%\Documents\GitHub\eaglep3-reporting\EC\2017-10-10-refined-times.txt</v>
      </c>
      <c r="AI219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{"issue":{"subject":"","project_id":79,"tracker_id":40,"status_id":1,"priority_id":2,"assigned_to_id":338,"start_date":"2017-10-10","description":"","custom_fields":[{"id":1,"name":"Subdivision","value":"Other"},{"id":4,"name":"Milepost","value":"5.8933"},{"id":17,"name":"Train ID","value":"901-10"},{"id":16,"name":"Locomotive ID","value":"4060"},{"id":130,"name":"Impact","value":""},{"id":150,"name":"Time of Event (Mountain Time)","value":"04:58:35"},{"id":151,"name":"Denver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65"/>
        <v>start /low /b %USERPROFILE%\Documents\GitHub\eaglep3\Utilities\DownloadLogsFromS3.py --loco 4060 --day 2017-10-10</v>
      </c>
      <c r="AN21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7"/>
        <v>https://d0f6bd738d7f1b3e5a7ca70fe4ff75f0.us-east-1.aws.found.io/app/kibana#/discover/Steve-Slow-Train-Analysis-(2080s-and-2083s)?_g=(refreshInterval:(display:Off,pause:!f,section:0,value:0),time:(from:'2017-10-10T03:42:16-0600',mode:absolute,to:'2017-10-10T05:58:35-0600'))&amp;_a=(columns:!('Message%20ID',Summary),filters:!(),index:'emp_*',interval:auto,query:(query_string:(analyze_wildcard:!t,query:'%22rtdc.l.rtdc.4060%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651</v>
      </c>
      <c r="B220" s="7">
        <v>4035</v>
      </c>
      <c r="C220" s="21" t="s">
        <v>194</v>
      </c>
      <c r="D220" s="21" t="s">
        <v>922</v>
      </c>
      <c r="E220" s="13">
        <v>43018.23673611111</v>
      </c>
      <c r="F220" s="13">
        <v>43018.242685185185</v>
      </c>
      <c r="G220" s="7">
        <v>72</v>
      </c>
      <c r="H220" s="21" t="s">
        <v>583</v>
      </c>
      <c r="I220" s="13">
        <v>43018.248888888891</v>
      </c>
      <c r="J220" s="7">
        <v>0</v>
      </c>
      <c r="K220" s="89" t="str">
        <f t="shared" si="128"/>
        <v>4035/4036</v>
      </c>
      <c r="L220" s="185" t="str">
        <f>VLOOKUP(A220,'Trips&amp;Operators'!$C$1:$G$99911,5,FALSE)</f>
        <v>FORTUNATO FRANK</v>
      </c>
      <c r="M220" s="6">
        <f t="shared" si="129"/>
        <v>6.2037037059781142E-3</v>
      </c>
      <c r="N220" s="7">
        <f t="shared" si="135"/>
        <v>8.9333333366084844</v>
      </c>
      <c r="O220" s="7"/>
      <c r="P220" s="7"/>
      <c r="Q220" s="22"/>
      <c r="R220" s="174"/>
      <c r="S220" s="221">
        <f t="shared" si="130"/>
        <v>1</v>
      </c>
      <c r="T220" s="174" t="str">
        <f t="shared" si="131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58"/>
        <v>https://d0f6bd738d7f1b3e5a7ca70fe4ff75f0.us-east-1.aws.found.io/app/kibana#/discover/Steve-Slow-Train-Analysis-(2080s-and-2083s)?_g=(refreshInterval:(display:Off,pause:!f,section:0,value:0),time:(from:'2017-10-10T04:40:54-0600',mode:absolute,to:'2017-10-10T06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0" s="204" t="str">
        <f>IF(AA220&lt;VLOOKUP(AG220,Variables!$AC$3:$AD$8,2,FALSE),"Y","N")</f>
        <v>Y</v>
      </c>
      <c r="X220" s="204">
        <f t="shared" si="147"/>
        <v>1</v>
      </c>
      <c r="Y220" s="204">
        <f t="shared" si="159"/>
        <v>2.3730000000000002</v>
      </c>
      <c r="Z220" s="204">
        <f t="shared" si="160"/>
        <v>6.8000000000000005E-2</v>
      </c>
      <c r="AA220" s="204">
        <f t="shared" si="132"/>
        <v>2.3050000000000002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33"/>
        <v>902</v>
      </c>
      <c r="AE220" s="77" t="str">
        <f t="shared" si="161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20" s="74" t="str">
        <f t="shared" si="162"/>
        <v>"C:\Program Files (x86)\AstroGrep\AstroGrep.exe" /e /r /s /spath="%USERPROFILE%\AppData\Local\Temp\OnboardLogs" /stypes="app*4035*20171010*" /stext=" 11:.+((SYSTEM_STATE.+slice.+state.+changed )|(ment ac)|(multiple cpu faults)|(system.+state.+changed )|(\[timeout)|(PRM\|1\|D)|(kpr)|(kdp)|(train st.+moving)|(\|lc)|(penalty))"</v>
      </c>
      <c r="AG220" s="182" t="str">
        <f t="shared" si="134"/>
        <v>Other</v>
      </c>
      <c r="AH220" s="78" t="str">
        <f t="shared" si="163"/>
        <v>"%USERPROFILE%\Documents\GitHub\eaglep3\Utilities\RefineRTDCRunTimes.py" --tripid 902-10 --locoid 4035 --swversion DE.1.0.9.0 --startMP 300:23730 --initTime 2017-10-10T05:40:54 --startdatetime 2017-10-10T05:49:28 --delay 72 --endMP 204:680 --enddatetime 2017-10-10T05:58:24 --enforcementcount 0 &gt;&gt;%USERPROFILE%\Documents\GitHub\eaglep3-reporting\EC\2017-10-10-refined-times.txt</v>
      </c>
      <c r="AI220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{"issue":{"subject":"","project_id":79,"tracker_id":40,"status_id":1,"priority_id":2,"assigned_to_id":338,"start_date":"2017-10-10","description":"","custom_fields":[{"id":1,"name":"Subdivision","value":"Other"},{"id":4,"name":"Milepost","value":"0.068"},{"id":17,"name":"Train ID","value":"902-10"},{"id":16,"name":"Locomotive ID","value":"4035"},{"id":130,"name":"Impact","value":""},{"id":150,"name":"Time of Event (Mountain Time)","value":"05:58:24"},{"id":151,"name":"Denver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65"/>
        <v>start /low /b %USERPROFILE%\Documents\GitHub\eaglep3\Utilities\DownloadLogsFromS3.py --loco 4035 --day 2017-10-10</v>
      </c>
      <c r="AN22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7"/>
        <v>https://d0f6bd738d7f1b3e5a7ca70fe4ff75f0.us-east-1.aws.found.io/app/kibana#/discover/Steve-Slow-Train-Analysis-(2080s-and-2083s)?_g=(refreshInterval:(display:Off,pause:!f,section:0,value:0),time:(from:'2017-10-10T04:40:54-0600',mode:absolute,to:'2017-10-10T06:58:24-0600'))&amp;_a=(columns:!('Message%20ID',Summary),filters:!(),index:'emp_*',interval:auto,query:(query_string:(analyze_wildcard:!t,query:'%22rtdc.l.rtdc.4035%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692</v>
      </c>
      <c r="B221" s="7">
        <v>4060</v>
      </c>
      <c r="C221" s="21" t="s">
        <v>194</v>
      </c>
      <c r="D221" s="21" t="s">
        <v>993</v>
      </c>
      <c r="E221" s="13">
        <v>43018.353067129632</v>
      </c>
      <c r="F221" s="13">
        <v>43018.356203703705</v>
      </c>
      <c r="G221" s="7">
        <v>64</v>
      </c>
      <c r="H221" s="21" t="s">
        <v>994</v>
      </c>
      <c r="I221" s="13">
        <v>43018.363275462965</v>
      </c>
      <c r="J221" s="7">
        <v>0</v>
      </c>
      <c r="K221" s="89" t="str">
        <f t="shared" si="128"/>
        <v>4059/4060</v>
      </c>
      <c r="L221" s="185" t="str">
        <f>VLOOKUP(A221,'Trips&amp;Operators'!$C$1:$G$99911,5,FALSE)</f>
        <v>YANG JAN</v>
      </c>
      <c r="M221" s="6">
        <f t="shared" si="129"/>
        <v>7.07175926072523E-3</v>
      </c>
      <c r="N221" s="7">
        <f t="shared" si="135"/>
        <v>10.183333335444331</v>
      </c>
      <c r="O221" s="7"/>
      <c r="P221" s="7"/>
      <c r="Q221" s="22"/>
      <c r="R221" s="174"/>
      <c r="S221" s="221">
        <f t="shared" si="130"/>
        <v>1</v>
      </c>
      <c r="T221" s="174" t="str">
        <f t="shared" si="131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58"/>
        <v>https://d0f6bd738d7f1b3e5a7ca70fe4ff75f0.us-east-1.aws.found.io/app/kibana#/discover/Steve-Slow-Train-Analysis-(2080s-and-2083s)?_g=(refreshInterval:(display:Off,pause:!f,section:0,value:0),time:(from:'2017-10-10T07:28:25-0600',mode:absolute,to:'2017-10-10T09:43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204" t="str">
        <f>IF(AA221&lt;VLOOKUP(AG221,Variables!$AC$3:$AD$8,2,FALSE),"Y","N")</f>
        <v>Y</v>
      </c>
      <c r="X221" s="204">
        <f t="shared" si="147"/>
        <v>1</v>
      </c>
      <c r="Y221" s="204">
        <f t="shared" si="159"/>
        <v>4.3200000000000002E-2</v>
      </c>
      <c r="Z221" s="204">
        <f t="shared" si="160"/>
        <v>2.4237000000000002</v>
      </c>
      <c r="AA221" s="204">
        <f t="shared" si="132"/>
        <v>2.3805000000000001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33"/>
        <v>903</v>
      </c>
      <c r="AE221" s="77" t="str">
        <f t="shared" si="161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221" s="74" t="str">
        <f t="shared" si="162"/>
        <v>"C:\Program Files (x86)\AstroGrep\AstroGrep.exe" /e /r /s /spath="%USERPROFILE%\AppData\Local\Temp\OnboardLogs" /stypes="app*4060*20171010*" /stext=" 14:.+((SYSTEM_STATE.+slice.+state.+changed )|(ment ac)|(multiple cpu faults)|(system.+state.+changed )|(\[timeout)|(PRM\|1\|D)|(kpr)|(kdp)|(train st.+moving)|(\|lc)|(penalty))"</v>
      </c>
      <c r="AG221" s="182" t="str">
        <f t="shared" si="134"/>
        <v>Other</v>
      </c>
      <c r="AH221" s="78" t="str">
        <f t="shared" si="163"/>
        <v>"%USERPROFILE%\Documents\GitHub\eaglep3\Utilities\RefineRTDCRunTimes.py" --tripid 903-10 --locoid 4060 --swversion DE.1.0.9.0 --startMP 204:432 --initTime 2017-10-10T08:28:25 --startdatetime 2017-10-10T08:32:56 --delay 64 --endMP 300:24237 --enddatetime 2017-10-10T08:43:07 --enforcementcount 0 &gt;&gt;%USERPROFILE%\Documents\GitHub\eaglep3-reporting\EC\2017-10-10-refined-times.txt</v>
      </c>
      <c r="AI221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{"issue":{"subject":"","project_id":79,"tracker_id":40,"status_id":1,"priority_id":2,"assigned_to_id":338,"start_date":"2017-10-10","description":"","custom_fields":[{"id":1,"name":"Subdivision","value":"Other"},{"id":4,"name":"Milepost","value":"2.4237"},{"id":17,"name":"Train ID","value":"903-10"},{"id":16,"name":"Locomotive ID","value":"4060"},{"id":130,"name":"Impact","value":""},{"id":150,"name":"Time of Event (Mountain Time)","value":"08:43:07"},{"id":151,"name":"Denver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65"/>
        <v>start /low /b %USERPROFILE%\Documents\GitHub\eaglep3\Utilities\DownloadLogsFromS3.py --loco 4060 --day 2017-10-10</v>
      </c>
      <c r="AN22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14:43:07"},{"id":29,"name":"Sharepoint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7"/>
        <v>https://d0f6bd738d7f1b3e5a7ca70fe4ff75f0.us-east-1.aws.found.io/app/kibana#/discover/Steve-Slow-Train-Analysis-(2080s-and-2083s)?_g=(refreshInterval:(display:Off,pause:!f,section:0,value:0),time:(from:'2017-10-10T07:28:25-0600',mode:absolute,to:'2017-10-10T09:43:07-0600'))&amp;_a=(columns:!('Message%20ID',Summary),filters:!(),index:'emp_*',interval:auto,query:(query_string:(analyze_wildcard:!t,query:'%22rtdc.l.rtdc.4060%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764</v>
      </c>
      <c r="B222" s="7">
        <v>4059</v>
      </c>
      <c r="C222" s="21" t="s">
        <v>194</v>
      </c>
      <c r="D222" s="21" t="s">
        <v>995</v>
      </c>
      <c r="E222" s="13">
        <v>43018.633321759262</v>
      </c>
      <c r="F222" s="13">
        <v>43018.635393518518</v>
      </c>
      <c r="G222" s="7">
        <v>63</v>
      </c>
      <c r="H222" s="21" t="s">
        <v>571</v>
      </c>
      <c r="I222" s="13">
        <v>43018.640590277777</v>
      </c>
      <c r="J222" s="7">
        <v>0</v>
      </c>
      <c r="K222" s="89" t="str">
        <f t="shared" ref="K222:K242" si="168">IF(ISEVEN(B222),(B222-1)&amp;"/"&amp;B222,B222&amp;"/"&amp;(B222+1))</f>
        <v>4059/4060</v>
      </c>
      <c r="L222" s="185" t="str">
        <f>VLOOKUP(A222,'Trips&amp;Operators'!$C$1:$G$99911,5,FALSE)</f>
        <v>STAMBAUGH JAMES</v>
      </c>
      <c r="M222" s="6">
        <f t="shared" ref="M222:M242" si="169">I222-F222</f>
        <v>5.1967592589790002E-3</v>
      </c>
      <c r="N222" s="7">
        <f t="shared" si="135"/>
        <v>7.4833333329297602</v>
      </c>
      <c r="O222" s="7"/>
      <c r="P222" s="7"/>
      <c r="Q222" s="22"/>
      <c r="R222" s="174"/>
      <c r="S222" s="221">
        <f t="shared" ref="S222:S242" si="170">1/IF(AG222="EC",12,1)*SUM(U222:U222)</f>
        <v>1</v>
      </c>
      <c r="T222" s="174" t="str">
        <f t="shared" ref="T222:T242" si="171"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58"/>
        <v>https://d0f6bd738d7f1b3e5a7ca70fe4ff75f0.us-east-1.aws.found.io/app/kibana#/discover/Steve-Slow-Train-Analysis-(2080s-and-2083s)?_g=(refreshInterval:(display:Off,pause:!f,section:0,value:0),time:(from:'2017-10-10T14:11:59-0600',mode:absolute,to:'2017-10-10T16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204" t="str">
        <f>IF(AA222&lt;VLOOKUP(AG222,Variables!$AC$3:$AD$8,2,FALSE),"Y","N")</f>
        <v>Y</v>
      </c>
      <c r="X222" s="204">
        <f t="shared" si="147"/>
        <v>1</v>
      </c>
      <c r="Y222" s="204">
        <f t="shared" si="159"/>
        <v>2.5125999999999999</v>
      </c>
      <c r="Z222" s="204">
        <f t="shared" si="160"/>
        <v>6.7000000000000004E-2</v>
      </c>
      <c r="AA222" s="204">
        <f t="shared" ref="AA222:AA242" si="172">ABS(Z222-Y222)</f>
        <v>2.4455999999999998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ref="AD222:AD242" si="173">VALUE(LEFT(A222,LEN(A222)-3))</f>
        <v>904</v>
      </c>
      <c r="AE222" s="77" t="str">
        <f t="shared" si="161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222" s="74" t="str">
        <f t="shared" si="162"/>
        <v>"C:\Program Files (x86)\AstroGrep\AstroGrep.exe" /e /r /s /spath="%USERPROFILE%\AppData\Local\Temp\OnboardLogs" /stypes="app*4059*20171010*" /stext=" 21:.+((SYSTEM_STATE.+slice.+state.+changed )|(ment ac)|(multiple cpu faults)|(system.+state.+changed )|(\[timeout)|(PRM\|1\|D)|(kpr)|(kdp)|(train st.+moving)|(\|lc)|(penalty))"</v>
      </c>
      <c r="AG222" s="182" t="str">
        <f t="shared" ref="AG222:AG242" si="174">DetSubdiv(A222)</f>
        <v>Other</v>
      </c>
      <c r="AH222" s="78" t="str">
        <f t="shared" si="163"/>
        <v>"%USERPROFILE%\Documents\GitHub\eaglep3\Utilities\RefineRTDCRunTimes.py" --tripid 904-10 --locoid 4059 --swversion DE.1.0.9.0 --startMP 300:25126 --initTime 2017-10-10T15:11:59 --startdatetime 2017-10-10T15:14:58 --delay 63 --endMP 204:670 --enddatetime 2017-10-10T15:22:27 --enforcementcount 0 &gt;&gt;%USERPROFILE%\Documents\GitHub\eaglep3-reporting\EC\2017-10-10-refined-times.txt</v>
      </c>
      <c r="AI222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{"issue":{"subject":"","project_id":79,"tracker_id":40,"status_id":1,"priority_id":2,"assigned_to_id":338,"start_date":"2017-10-10","description":"","custom_fields":[{"id":1,"name":"Subdivision","value":"Other"},{"id":4,"name":"Milepost","value":"0.067"},{"id":17,"name":"Train ID","value":"904-10"},{"id":16,"name":"Locomotive ID","value":"4059"},{"id":130,"name":"Impact","value":""},{"id":150,"name":"Time of Event (Mountain Time)","value":"15:22:27"},{"id":151,"name":"Denver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65"/>
        <v>start /low /b %USERPROFILE%\Documents\GitHub\eaglep3\Utilities\DownloadLogsFromS3.py --loco 4059 --day 2017-10-10</v>
      </c>
      <c r="AN222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7"/>
        <v>https://d0f6bd738d7f1b3e5a7ca70fe4ff75f0.us-east-1.aws.found.io/app/kibana#/discover/Steve-Slow-Train-Analysis-(2080s-and-2083s)?_g=(refreshInterval:(display:Off,pause:!f,section:0,value:0),time:(from:'2017-10-10T14:11:59-0600',mode:absolute,to:'2017-10-10T16:22:27-0600'))&amp;_a=(columns:!('Message%20ID',Summary),filters:!(),index:'emp_*',interval:auto,query:(query_string:(analyze_wildcard:!t,query:'%22rtdc.l.rtdc.4059%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810</v>
      </c>
      <c r="B223" s="7">
        <v>4059</v>
      </c>
      <c r="C223" s="21" t="s">
        <v>194</v>
      </c>
      <c r="D223" s="21" t="s">
        <v>579</v>
      </c>
      <c r="E223" s="13">
        <v>43018.788634259261</v>
      </c>
      <c r="F223" s="13">
        <v>43018.790150462963</v>
      </c>
      <c r="G223" s="7">
        <v>78</v>
      </c>
      <c r="H223" s="21" t="s">
        <v>996</v>
      </c>
      <c r="I223" s="13">
        <v>43018.796053240738</v>
      </c>
      <c r="J223" s="7">
        <v>0</v>
      </c>
      <c r="K223" s="89" t="str">
        <f t="shared" si="168"/>
        <v>4059/4060</v>
      </c>
      <c r="L223" s="185" t="str">
        <f>VLOOKUP(A223,'Trips&amp;Operators'!$C$1:$G$99911,5,FALSE)</f>
        <v>STAMBAUGH JAMES</v>
      </c>
      <c r="M223" s="6">
        <f t="shared" si="169"/>
        <v>5.9027777751907706E-3</v>
      </c>
      <c r="N223" s="7">
        <f t="shared" si="135"/>
        <v>8.4999999962747097</v>
      </c>
      <c r="O223" s="7"/>
      <c r="P223" s="7"/>
      <c r="Q223" s="22"/>
      <c r="R223" s="174"/>
      <c r="S223" s="221">
        <f t="shared" si="170"/>
        <v>0</v>
      </c>
      <c r="T223" s="174" t="str">
        <f t="shared" si="171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58"/>
        <v>https://d0f6bd738d7f1b3e5a7ca70fe4ff75f0.us-east-1.aws.found.io/app/kibana#/discover/Steve-Slow-Train-Analysis-(2080s-and-2083s)?_g=(refreshInterval:(display:Off,pause:!f,section:0,value:0),time:(from:'2017-10-10T17:55:38-0600',mode:absolute,to:'2017-10-10T20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204" t="str">
        <f>IF(AA223&lt;VLOOKUP(AG223,Variables!$AC$3:$AD$8,2,FALSE),"Y","N")</f>
        <v>Y</v>
      </c>
      <c r="X223" s="204">
        <f t="shared" si="147"/>
        <v>2</v>
      </c>
      <c r="Y223" s="204">
        <f t="shared" si="159"/>
        <v>5.8625999999999996</v>
      </c>
      <c r="Z223" s="204">
        <f t="shared" si="160"/>
        <v>2.8788999999999998</v>
      </c>
      <c r="AA223" s="204">
        <f t="shared" si="172"/>
        <v>2.9836999999999998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73"/>
        <v>906</v>
      </c>
      <c r="AE223" s="77" t="str">
        <f t="shared" si="161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223" s="74" t="str">
        <f t="shared" si="162"/>
        <v>"C:\Program Files (x86)\AstroGrep\AstroGrep.exe" /e /r /s /spath="%USERPROFILE%\AppData\Local\Temp\OnboardLogs" /stypes="app*4059*20171011*" /stext=" 01:.+((SYSTEM_STATE.+slice.+state.+changed )|(ment ac)|(multiple cpu faults)|(system.+state.+changed )|(\[timeout)|(PRM\|1\|D)|(kpr)|(kdp)|(train st.+moving)|(\|lc)|(penalty))"</v>
      </c>
      <c r="AG223" s="182" t="str">
        <f t="shared" si="174"/>
        <v>Other</v>
      </c>
      <c r="AH223" s="78" t="str">
        <f t="shared" si="163"/>
        <v>"%USERPROFILE%\Documents\GitHub\eaglep3\Utilities\RefineRTDCRunTimes.py" --tripid 906-10 --locoid 4059 --swversion DE.1.0.9.0 --startMP 300:58626 --initTime 2017-10-10T18:55:38 --startdatetime 2017-10-10T18:57:49 --delay 78 --endMP 300:28789 --enddatetime 2017-10-10T19:06:19 --enforcementcount 0 &gt;&gt;%USERPROFILE%\Documents\GitHub\eaglep3-reporting\EC\2017-10-10-refined-times.txt</v>
      </c>
      <c r="AI223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{"issue":{"subject":"","project_id":79,"tracker_id":40,"status_id":1,"priority_id":2,"assigned_to_id":338,"start_date":"2017-10-10","description":"","custom_fields":[{"id":1,"name":"Subdivision","value":"Other"},{"id":4,"name":"Milepost","value":"2.8789"},{"id":17,"name":"Train ID","value":"906-10"},{"id":16,"name":"Locomotive ID","value":"4059"},{"id":130,"name":"Impact","value":""},{"id":150,"name":"Time of Event (Mountain Time)","value":"19:06:19"},{"id":151,"name":"Denver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65"/>
        <v>start /low /b %USERPROFILE%\Documents\GitHub\eaglep3\Utilities\DownloadLogsFromS3.py --loco 4059 --day 2017-10-10</v>
      </c>
      <c r="AN223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67"/>
        <v>https://d0f6bd738d7f1b3e5a7ca70fe4ff75f0.us-east-1.aws.found.io/app/kibana#/discover/Steve-Slow-Train-Analysis-(2080s-and-2083s)?_g=(refreshInterval:(display:Off,pause:!f,section:0,value:0),time:(from:'2017-10-10T17:55:38-0600',mode:absolute,to:'2017-10-10T20:06:19-0600'))&amp;_a=(columns:!('Message%20ID',Summary),filters:!(),index:'emp_*',interval:auto,query:(query_string:(analyze_wildcard:!t,query:'%22rtdc.l.rtdc.4059%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838</v>
      </c>
      <c r="B224" s="7">
        <v>4035</v>
      </c>
      <c r="C224" s="21" t="s">
        <v>194</v>
      </c>
      <c r="D224" s="21" t="s">
        <v>997</v>
      </c>
      <c r="E224" s="13">
        <v>43018.974629629629</v>
      </c>
      <c r="F224" s="13">
        <v>43018.975972222222</v>
      </c>
      <c r="G224" s="7">
        <v>65</v>
      </c>
      <c r="H224" s="21" t="s">
        <v>998</v>
      </c>
      <c r="I224" s="13">
        <v>43018.983935185184</v>
      </c>
      <c r="J224" s="7">
        <v>0</v>
      </c>
      <c r="K224" s="89" t="str">
        <f t="shared" si="168"/>
        <v>4035/4036</v>
      </c>
      <c r="L224" s="185" t="str">
        <f>VLOOKUP(A224,'Trips&amp;Operators'!$C$1:$G$99911,5,FALSE)</f>
        <v>STAMBAUGH JAMES</v>
      </c>
      <c r="M224" s="6">
        <f t="shared" si="169"/>
        <v>7.962962961755693E-3</v>
      </c>
      <c r="N224" s="7">
        <f t="shared" si="135"/>
        <v>11.466666664928198</v>
      </c>
      <c r="O224" s="7"/>
      <c r="P224" s="7"/>
      <c r="Q224" s="22"/>
      <c r="R224" s="174"/>
      <c r="S224" s="221">
        <f t="shared" si="170"/>
        <v>0</v>
      </c>
      <c r="T224" s="174" t="str">
        <f t="shared" si="171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58"/>
        <v>https://d0f6bd738d7f1b3e5a7ca70fe4ff75f0.us-east-1.aws.found.io/app/kibana#/discover/Steve-Slow-Train-Analysis-(2080s-and-2083s)?_g=(refreshInterval:(display:Off,pause:!f,section:0,value:0),time:(from:'2017-10-10T22:23:28-0600',mode:absolute,to:'2017-10-11T00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4" s="204" t="str">
        <f>IF(AA224&lt;VLOOKUP(AG224,Variables!$AC$3:$AD$8,2,FALSE),"Y","N")</f>
        <v>Y</v>
      </c>
      <c r="X224" s="204">
        <f t="shared" si="147"/>
        <v>2</v>
      </c>
      <c r="Y224" s="204">
        <f t="shared" si="159"/>
        <v>5.8628</v>
      </c>
      <c r="Z224" s="204">
        <f t="shared" si="160"/>
        <v>2.8772000000000002</v>
      </c>
      <c r="AA224" s="204">
        <f t="shared" si="172"/>
        <v>2.9855999999999998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73"/>
        <v>908</v>
      </c>
      <c r="AE224" s="77" t="str">
        <f t="shared" si="161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24" s="74" t="str">
        <f t="shared" si="162"/>
        <v>"C:\Program Files (x86)\AstroGrep\AstroGrep.exe" /e /r /s /spath="%USERPROFILE%\AppData\Local\Temp\OnboardLogs" /stypes="app*4035*20171011*" /stext=" 05:.+((SYSTEM_STATE.+slice.+state.+changed )|(ment ac)|(multiple cpu faults)|(system.+state.+changed )|(\[timeout)|(PRM\|1\|D)|(kpr)|(kdp)|(train st.+moving)|(\|lc)|(penalty))"</v>
      </c>
      <c r="AG224" s="182" t="str">
        <f t="shared" si="174"/>
        <v>Other</v>
      </c>
      <c r="AH224" s="78" t="str">
        <f t="shared" si="163"/>
        <v>"%USERPROFILE%\Documents\GitHub\eaglep3\Utilities\RefineRTDCRunTimes.py" --tripid 908-10 --locoid 4035 --swversion DE.1.0.9.0 --startMP 300:58628 --initTime 2017-10-10T23:23:28 --startdatetime 2017-10-10T23:25:24 --delay 65 --endMP 300:28772 --enddatetime 2017-10-10T23:36:52 --enforcementcount 0 &gt;&gt;%USERPROFILE%\Documents\GitHub\eaglep3-reporting\EC\2017-10-10-refined-times.txt</v>
      </c>
      <c r="AI224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{"issue":{"subject":"","project_id":79,"tracker_id":40,"status_id":1,"priority_id":2,"assigned_to_id":338,"start_date":"2017-10-10","description":"","custom_fields":[{"id":1,"name":"Subdivision","value":"Other"},{"id":4,"name":"Milepost","value":"2.8772"},{"id":17,"name":"Train ID","value":"908-10"},{"id":16,"name":"Locomotive ID","value":"4035"},{"id":130,"name":"Impact","value":""},{"id":150,"name":"Time of Event (Mountain Time)","value":"23:36:52"},{"id":151,"name":"Denver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65"/>
        <v>start /low /b %USERPROFILE%\Documents\GitHub\eaglep3\Utilities\DownloadLogsFromS3.py --loco 4035 --day 2017-10-10</v>
      </c>
      <c r="AN224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67"/>
        <v>https://d0f6bd738d7f1b3e5a7ca70fe4ff75f0.us-east-1.aws.found.io/app/kibana#/discover/Steve-Slow-Train-Analysis-(2080s-and-2083s)?_g=(refreshInterval:(display:Off,pause:!f,section:0,value:0),time:(from:'2017-10-10T22:23:28-0600',mode:absolute,to:'2017-10-11T00:36:52-0600'))&amp;_a=(columns:!('Message%20ID',Summary),filters:!(),index:'emp_*',interval:auto,query:(query_string:(analyze_wildcard:!t,query:'%22rtdc.l.rtdc.4035%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702</v>
      </c>
      <c r="B225" s="7">
        <v>4017</v>
      </c>
      <c r="C225" s="21" t="s">
        <v>194</v>
      </c>
      <c r="D225" s="21" t="s">
        <v>925</v>
      </c>
      <c r="E225" s="13">
        <v>43018.40520833333</v>
      </c>
      <c r="F225" s="13">
        <v>43018.408553240741</v>
      </c>
      <c r="G225" s="7">
        <v>73</v>
      </c>
      <c r="H225" s="21" t="s">
        <v>926</v>
      </c>
      <c r="I225" s="13">
        <v>43018.414085648146</v>
      </c>
      <c r="J225" s="7">
        <v>0</v>
      </c>
      <c r="K225" s="89" t="str">
        <f t="shared" si="168"/>
        <v>4017/4018</v>
      </c>
      <c r="L225" s="185" t="str">
        <f>VLOOKUP(A225,'Trips&amp;Operators'!$C$1:$G$99911,5,FALSE)</f>
        <v>YANG JAN</v>
      </c>
      <c r="M225" s="6">
        <f t="shared" si="169"/>
        <v>5.5324074055533856E-3</v>
      </c>
      <c r="N225" s="7">
        <f t="shared" si="135"/>
        <v>7.9666666639968753</v>
      </c>
      <c r="O225" s="7"/>
      <c r="P225" s="7"/>
      <c r="Q225" s="22"/>
      <c r="R225" s="174"/>
      <c r="S225" s="221">
        <f t="shared" si="170"/>
        <v>1</v>
      </c>
      <c r="T225" s="174" t="str">
        <f t="shared" si="171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58"/>
        <v>https://d0f6bd738d7f1b3e5a7ca70fe4ff75f0.us-east-1.aws.found.io/app/kibana#/discover/Steve-Slow-Train-Analysis-(2080s-and-2083s)?_g=(refreshInterval:(display:Off,pause:!f,section:0,value:0),time:(from:'2017-10-10T08:43:30-0600',mode:absolute,to:'2017-10-10T10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204" t="str">
        <f>IF(AA225&lt;VLOOKUP(AG225,Variables!$AC$3:$AD$8,2,FALSE),"Y","N")</f>
        <v>Y</v>
      </c>
      <c r="X225" s="204">
        <f t="shared" si="147"/>
        <v>-858</v>
      </c>
      <c r="Y225" s="204">
        <f t="shared" si="159"/>
        <v>2.3626999999999998</v>
      </c>
      <c r="Z225" s="204">
        <f t="shared" si="160"/>
        <v>1.4E-2</v>
      </c>
      <c r="AA225" s="204">
        <f t="shared" si="172"/>
        <v>2.3487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73"/>
        <v>50</v>
      </c>
      <c r="AE225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25" s="74" t="str">
        <f t="shared" si="162"/>
        <v>"C:\Program Files (x86)\AstroGrep\AstroGrep.exe" /e /r /s /spath="%USERPROFILE%\AppData\Local\Temp\OnboardLogs" /stypes="app*4017*20171010*" /stext=" 15:.+((SYSTEM_STATE.+slice.+state.+changed )|(ment ac)|(multiple cpu faults)|(system.+state.+changed )|(\[timeout)|(PRM\|1\|D)|(kpr)|(kdp)|(train st.+moving)|(\|lc)|(penalty))"</v>
      </c>
      <c r="AG225" s="182" t="str">
        <f t="shared" si="174"/>
        <v>Shuttle/Test</v>
      </c>
      <c r="AH225" s="78" t="str">
        <f t="shared" si="163"/>
        <v>"%USERPROFILE%\Documents\GitHub\eaglep3\Utilities\RefineRTDCRunTimes.py" --tripid 50-10 --locoid 4017 --swversion DE.1.0.9.0 --startMP 300:23627 --initTime 2017-10-10T09:43:30 --startdatetime 2017-10-10T09:48:19 --delay 73 --endMP 204:140 --enddatetime 2017-10-10T09:56:17 --enforcementcount 0 &gt;&gt;%USERPROFILE%\Documents\GitHub\eaglep3-reporting\EC\2017-10-10-refined-times.txt</v>
      </c>
      <c r="AI225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0.014"},{"id":17,"name":"Train ID","value":"50-10"},{"id":16,"name":"Locomotive ID","value":"4017"},{"id":130,"name":"Impact","value":""},{"id":150,"name":"Time of Event (Mountain Time)","value":"09:56:17"},{"id":151,"name":"Denver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65"/>
        <v>start /low /b %USERPROFILE%\Documents\GitHub\eaglep3\Utilities\DownloadLogsFromS3.py --loco 4017 --day 2017-10-10</v>
      </c>
      <c r="AN22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67"/>
        <v>https://d0f6bd738d7f1b3e5a7ca70fe4ff75f0.us-east-1.aws.found.io/app/kibana#/discover/Steve-Slow-Train-Analysis-(2080s-and-2083s)?_g=(refreshInterval:(display:Off,pause:!f,section:0,value:0),time:(from:'2017-10-10T08:43:30-0600',mode:absolute,to:'2017-10-10T10:56:17-0600'))&amp;_a=(columns:!('Message%20ID',Summary),filters:!(),index:'emp_*',interval:auto,query:(query_string:(analyze_wildcard:!t,query:'%22rtdc.l.rtdc.4017%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622</v>
      </c>
      <c r="B226" s="7">
        <v>4042</v>
      </c>
      <c r="C226" s="21" t="s">
        <v>194</v>
      </c>
      <c r="D226" s="21" t="s">
        <v>549</v>
      </c>
      <c r="E226" s="13">
        <v>43018.124155092592</v>
      </c>
      <c r="F226" s="13">
        <v>43018.137627314813</v>
      </c>
      <c r="G226" s="7">
        <v>71</v>
      </c>
      <c r="H226" s="21" t="s">
        <v>927</v>
      </c>
      <c r="I226" s="13">
        <v>43018.139224537037</v>
      </c>
      <c r="J226" s="7">
        <v>0</v>
      </c>
      <c r="K226" s="89" t="str">
        <f t="shared" si="168"/>
        <v>4041/4042</v>
      </c>
      <c r="L226" s="185" t="str">
        <f>VLOOKUP(A226,'Trips&amp;Operators'!$C$1:$G$99911,5,FALSE)</f>
        <v>SPECTOR MICHAEL</v>
      </c>
      <c r="M226" s="6">
        <f t="shared" si="169"/>
        <v>1.5972222245181911E-3</v>
      </c>
      <c r="N226" s="7">
        <f t="shared" ref="N226:N242" si="175">24*60*SUM($M226:$M226)</f>
        <v>2.3000000033061951</v>
      </c>
      <c r="O226" s="7"/>
      <c r="P226" s="7"/>
      <c r="Q226" s="22"/>
      <c r="R226" s="174"/>
      <c r="S226" s="221">
        <f t="shared" si="170"/>
        <v>0</v>
      </c>
      <c r="T226" s="174" t="str">
        <f t="shared" si="171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58"/>
        <v>https://d0f6bd738d7f1b3e5a7ca70fe4ff75f0.us-east-1.aws.found.io/app/kibana#/discover/Steve-Slow-Train-Analysis-(2080s-and-2083s)?_g=(refreshInterval:(display:Off,pause:!f,section:0,value:0),time:(from:'2017-10-10T01:58:47-0600',mode:absolute,to:'2017-10-10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204" t="str">
        <f>IF(AA226&lt;VLOOKUP(AG226,Variables!$AC$3:$AD$8,2,FALSE),"Y","N")</f>
        <v>Y</v>
      </c>
      <c r="X226" s="204">
        <f t="shared" si="147"/>
        <v>1</v>
      </c>
      <c r="Y226" s="204">
        <f t="shared" si="159"/>
        <v>4.2900000000000001E-2</v>
      </c>
      <c r="Z226" s="204">
        <f t="shared" si="160"/>
        <v>0.35899999999999999</v>
      </c>
      <c r="AA226" s="204">
        <f t="shared" si="172"/>
        <v>0.31609999999999999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73"/>
        <v>51</v>
      </c>
      <c r="AE226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26" s="74" t="str">
        <f t="shared" si="162"/>
        <v>"C:\Program Files (x86)\AstroGrep\AstroGrep.exe" /e /r /s /spath="%USERPROFILE%\AppData\Local\Temp\OnboardLogs" /stypes="app*4042*20171010*" /stext=" 09:.+((SYSTEM_STATE.+slice.+state.+changed )|(ment ac)|(multiple cpu faults)|(system.+state.+changed )|(\[timeout)|(PRM\|1\|D)|(kpr)|(kdp)|(train st.+moving)|(\|lc)|(penalty))"</v>
      </c>
      <c r="AG226" s="182" t="str">
        <f t="shared" si="174"/>
        <v>Shuttle/Test</v>
      </c>
      <c r="AH226" s="78" t="str">
        <f t="shared" si="163"/>
        <v>"%USERPROFILE%\Documents\GitHub\eaglep3\Utilities\RefineRTDCRunTimes.py" --tripid 51-10 --locoid 4042 --swversion DE.1.0.9.0 --startMP 204:429 --initTime 2017-10-10T02:58:47 --startdatetime 2017-10-10T03:18:11 --delay 71 --endMP 204:3590 --enddatetime 2017-10-10T03:20:29 --enforcementcount 0 &gt;&gt;%USERPROFILE%\Documents\GitHub\eaglep3-reporting\EC\2017-10-10-refined-times.txt</v>
      </c>
      <c r="AI226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0.359"},{"id":17,"name":"Train ID","value":"51-10"},{"id":16,"name":"Locomotive ID","value":"4042"},{"id":130,"name":"Impact","value":""},{"id":150,"name":"Time of Event (Mountain Time)","value":"03:20:29"},{"id":151,"name":"Denver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65"/>
        <v>start /low /b %USERPROFILE%\Documents\GitHub\eaglep3\Utilities\DownloadLogsFromS3.py --loco 4042 --day 2017-10-10</v>
      </c>
      <c r="AN226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67"/>
        <v>https://d0f6bd738d7f1b3e5a7ca70fe4ff75f0.us-east-1.aws.found.io/app/kibana#/discover/Steve-Slow-Train-Analysis-(2080s-and-2083s)?_g=(refreshInterval:(display:Off,pause:!f,section:0,value:0),time:(from:'2017-10-10T01:58:47-0600',mode:absolute,to:'2017-10-10T04:20:29-0600'))&amp;_a=(columns:!('Message%20ID',Summary),filters:!(),index:'emp_*',interval:auto,query:(query_string:(analyze_wildcard:!t,query:'%22rtdc.l.rtdc.4042%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622</v>
      </c>
      <c r="B227" s="7">
        <v>4018</v>
      </c>
      <c r="C227" s="21" t="s">
        <v>194</v>
      </c>
      <c r="D227" s="21" t="s">
        <v>334</v>
      </c>
      <c r="E227" s="13">
        <v>43018.419386574074</v>
      </c>
      <c r="F227" s="13">
        <v>43018.424513888887</v>
      </c>
      <c r="G227" s="7">
        <v>84</v>
      </c>
      <c r="H227" s="21" t="s">
        <v>928</v>
      </c>
      <c r="I227" s="13">
        <v>43018.430335648147</v>
      </c>
      <c r="J227" s="7">
        <v>0</v>
      </c>
      <c r="K227" s="89" t="str">
        <f t="shared" si="168"/>
        <v>4017/4018</v>
      </c>
      <c r="L227" s="185" t="str">
        <f>VLOOKUP(A227,'Trips&amp;Operators'!$C$1:$G$99911,5,FALSE)</f>
        <v>SPECTOR MICHAEL</v>
      </c>
      <c r="M227" s="6">
        <f t="shared" si="169"/>
        <v>5.8217592595610768E-3</v>
      </c>
      <c r="N227" s="7">
        <f t="shared" si="175"/>
        <v>8.3833333337679505</v>
      </c>
      <c r="O227" s="7"/>
      <c r="P227" s="7"/>
      <c r="Q227" s="22"/>
      <c r="R227" s="174"/>
      <c r="S227" s="221">
        <f t="shared" si="170"/>
        <v>1</v>
      </c>
      <c r="T227" s="174" t="str">
        <f t="shared" si="171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58"/>
        <v>https://d0f6bd738d7f1b3e5a7ca70fe4ff75f0.us-east-1.aws.found.io/app/kibana#/discover/Steve-Slow-Train-Analysis-(2080s-and-2083s)?_g=(refreshInterval:(display:Off,pause:!f,section:0,value:0),time:(from:'2017-10-10T09:03:55-0600',mode:absolute,to:'2017-10-10T11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204" t="str">
        <f>IF(AA227&lt;VLOOKUP(AG227,Variables!$AC$3:$AD$8,2,FALSE),"Y","N")</f>
        <v>Y</v>
      </c>
      <c r="X227" s="204">
        <f t="shared" si="147"/>
        <v>0</v>
      </c>
      <c r="Y227" s="204">
        <f t="shared" si="159"/>
        <v>4.4600000000000001E-2</v>
      </c>
      <c r="Z227" s="204">
        <f t="shared" si="160"/>
        <v>2.4205000000000001</v>
      </c>
      <c r="AA227" s="204">
        <f t="shared" si="172"/>
        <v>2.3759000000000001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73"/>
        <v>51</v>
      </c>
      <c r="AE227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27" s="74" t="str">
        <f t="shared" si="162"/>
        <v>"C:\Program Files (x86)\AstroGrep\AstroGrep.exe" /e /r /s /spath="%USERPROFILE%\AppData\Local\Temp\OnboardLogs" /stypes="app*4018*20171010*" /stext=" 16:.+((SYSTEM_STATE.+slice.+state.+changed )|(ment ac)|(multiple cpu faults)|(system.+state.+changed )|(\[timeout)|(PRM\|1\|D)|(kpr)|(kdp)|(train st.+moving)|(\|lc)|(penalty))"</v>
      </c>
      <c r="AG227" s="182" t="str">
        <f t="shared" si="174"/>
        <v>Shuttle/Test</v>
      </c>
      <c r="AH227" s="78" t="str">
        <f t="shared" si="163"/>
        <v>"%USERPROFILE%\Documents\GitHub\eaglep3\Utilities\RefineRTDCRunTimes.py" --tripid 51-10 --locoid 4018 --swversion DE.1.0.9.0 --startMP 204:446 --initTime 2017-10-10T10:03:55 --startdatetime 2017-10-10T10:11:18 --delay 84 --endMP 300:24205 --enddatetime 2017-10-10T10:19:41 --enforcementcount 0 &gt;&gt;%USERPROFILE%\Documents\GitHub\eaglep3-reporting\EC\2017-10-10-refined-times.txt</v>
      </c>
      <c r="AI227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2.4205"},{"id":17,"name":"Train ID","value":"51-10"},{"id":16,"name":"Locomotive ID","value":"4018"},{"id":130,"name":"Impact","value":""},{"id":150,"name":"Time of Event (Mountain Time)","value":"10:19:41"},{"id":151,"name":"Denver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65"/>
        <v>start /low /b %USERPROFILE%\Documents\GitHub\eaglep3\Utilities\DownloadLogsFromS3.py --loco 4018 --day 2017-10-10</v>
      </c>
      <c r="AN22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67"/>
        <v>https://d0f6bd738d7f1b3e5a7ca70fe4ff75f0.us-east-1.aws.found.io/app/kibana#/discover/Steve-Slow-Train-Analysis-(2080s-and-2083s)?_g=(refreshInterval:(display:Off,pause:!f,section:0,value:0),time:(from:'2017-10-10T09:03:55-0600',mode:absolute,to:'2017-10-10T11:19:41-0600'))&amp;_a=(columns:!('Message%20ID',Summary),filters:!(),index:'emp_*',interval:auto,query:(query_string:(analyze_wildcard:!t,query:'%22rtdc.l.rtdc.4018%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624</v>
      </c>
      <c r="B228" s="7">
        <v>4041</v>
      </c>
      <c r="C228" s="21" t="s">
        <v>194</v>
      </c>
      <c r="D228" s="21" t="s">
        <v>929</v>
      </c>
      <c r="E228" s="13">
        <v>43018.140231481484</v>
      </c>
      <c r="F228" s="13">
        <v>43018.142094907409</v>
      </c>
      <c r="G228" s="7">
        <v>92</v>
      </c>
      <c r="H228" s="21" t="s">
        <v>930</v>
      </c>
      <c r="I228" s="13">
        <v>43018.143206018518</v>
      </c>
      <c r="J228" s="7">
        <v>0</v>
      </c>
      <c r="K228" s="89" t="str">
        <f t="shared" si="168"/>
        <v>4041/4042</v>
      </c>
      <c r="L228" s="185" t="str">
        <f>VLOOKUP(A228,'Trips&amp;Operators'!$C$1:$G$99911,5,FALSE)</f>
        <v>SPECTOR MICHAEL</v>
      </c>
      <c r="M228" s="6">
        <f t="shared" si="169"/>
        <v>1.111111108912155E-3</v>
      </c>
      <c r="N228" s="7">
        <f t="shared" si="175"/>
        <v>1.5999999968335032</v>
      </c>
      <c r="O228" s="7"/>
      <c r="P228" s="7"/>
      <c r="Q228" s="22"/>
      <c r="R228" s="174"/>
      <c r="S228" s="221">
        <f t="shared" si="170"/>
        <v>0</v>
      </c>
      <c r="T228" s="174" t="str">
        <f t="shared" si="171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58"/>
        <v>https://d0f6bd738d7f1b3e5a7ca70fe4ff75f0.us-east-1.aws.found.io/app/kibana#/discover/Steve-Slow-Train-Analysis-(2080s-and-2083s)?_g=(refreshInterval:(display:Off,pause:!f,section:0,value:0),time:(from:'2017-10-10T02:21:56-0600',mode:absolute,to:'2017-10-10T04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204" t="str">
        <f>IF(AA228&lt;VLOOKUP(AG228,Variables!$AC$3:$AD$8,2,FALSE),"Y","N")</f>
        <v>Y</v>
      </c>
      <c r="X228" s="204">
        <f t="shared" si="147"/>
        <v>1</v>
      </c>
      <c r="Y228" s="204">
        <f t="shared" si="159"/>
        <v>0.32640000000000002</v>
      </c>
      <c r="Z228" s="204">
        <f t="shared" si="160"/>
        <v>0.1186</v>
      </c>
      <c r="AA228" s="204">
        <f t="shared" si="172"/>
        <v>0.20780000000000004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73"/>
        <v>52</v>
      </c>
      <c r="AE228" s="77" t="str">
        <f t="shared" si="16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228" s="74" t="str">
        <f t="shared" si="162"/>
        <v>"C:\Program Files (x86)\AstroGrep\AstroGrep.exe" /e /r /s /spath="%USERPROFILE%\AppData\Local\Temp\OnboardLogs" /stypes="app*4041*20171010*" /stext=" 09:.+((SYSTEM_STATE.+slice.+state.+changed )|(ment ac)|(multiple cpu faults)|(system.+state.+changed )|(\[timeout)|(PRM\|1\|D)|(kpr)|(kdp)|(train st.+moving)|(\|lc)|(penalty))"</v>
      </c>
      <c r="AG228" s="182" t="str">
        <f t="shared" si="174"/>
        <v>Shuttle/Test</v>
      </c>
      <c r="AH228" s="78" t="str">
        <f t="shared" si="163"/>
        <v>"%USERPROFILE%\Documents\GitHub\eaglep3\Utilities\RefineRTDCRunTimes.py" --tripid 52-10 --locoid 4041 --swversion DE.1.0.9.0 --startMP 204:3264 --initTime 2017-10-10T03:21:56 --startdatetime 2017-10-10T03:24:37 --delay 92 --endMP 204:1186 --enddatetime 2017-10-10T03:26:13 --enforcementcount 0 &gt;&gt;%USERPROFILE%\Documents\GitHub\eaglep3-reporting\EC\2017-10-10-refined-times.txt</v>
      </c>
      <c r="AI228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0.1186"},{"id":17,"name":"Train ID","value":"52-10"},{"id":16,"name":"Locomotive ID","value":"4041"},{"id":130,"name":"Impact","value":""},{"id":150,"name":"Time of Event (Mountain Time)","value":"03:26:13"},{"id":151,"name":"Denver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65"/>
        <v>start /low /b %USERPROFILE%\Documents\GitHub\eaglep3\Utilities\DownloadLogsFromS3.py --loco 4041 --day 2017-10-10</v>
      </c>
      <c r="AN228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67"/>
        <v>https://d0f6bd738d7f1b3e5a7ca70fe4ff75f0.us-east-1.aws.found.io/app/kibana#/discover/Steve-Slow-Train-Analysis-(2080s-and-2083s)?_g=(refreshInterval:(display:Off,pause:!f,section:0,value:0),time:(from:'2017-10-10T02:21:56-0600',mode:absolute,to:'2017-10-10T04:26:13-0600'))&amp;_a=(columns:!('Message%20ID',Summary),filters:!(),index:'emp_*',interval:auto,query:(query_string:(analyze_wildcard:!t,query:'%22rtdc.l.rtdc.4041%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682</v>
      </c>
      <c r="B229" s="7">
        <v>4041</v>
      </c>
      <c r="C229" s="21" t="s">
        <v>194</v>
      </c>
      <c r="D229" s="21" t="s">
        <v>931</v>
      </c>
      <c r="E229" s="13">
        <v>43018.334479166668</v>
      </c>
      <c r="F229" s="13">
        <v>43018.336226851854</v>
      </c>
      <c r="G229" s="7">
        <v>89</v>
      </c>
      <c r="H229" s="21" t="s">
        <v>358</v>
      </c>
      <c r="I229" s="13">
        <v>43018.337604166663</v>
      </c>
      <c r="J229" s="7">
        <v>0</v>
      </c>
      <c r="K229" s="89" t="str">
        <f t="shared" si="168"/>
        <v>4041/4042</v>
      </c>
      <c r="L229" s="185" t="str">
        <f>VLOOKUP(A229,'Trips&amp;Operators'!$C$1:$G$99911,5,FALSE)</f>
        <v>SPECTOR MICHAEL</v>
      </c>
      <c r="M229" s="6">
        <f t="shared" si="169"/>
        <v>1.3773148093605414E-3</v>
      </c>
      <c r="N229" s="7">
        <f t="shared" si="175"/>
        <v>1.9833333254791796</v>
      </c>
      <c r="O229" s="7"/>
      <c r="P229" s="7"/>
      <c r="Q229" s="22"/>
      <c r="R229" s="174"/>
      <c r="S229" s="221">
        <f t="shared" si="170"/>
        <v>0</v>
      </c>
      <c r="T229" s="174" t="str">
        <f t="shared" si="171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58"/>
        <v>https://d0f6bd738d7f1b3e5a7ca70fe4ff75f0.us-east-1.aws.found.io/app/kibana#/discover/Steve-Slow-Train-Analysis-(2080s-and-2083s)?_g=(refreshInterval:(display:Off,pause:!f,section:0,value:0),time:(from:'2017-10-10T07:01:39-0600',mode:absolute,to:'2017-10-10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9" s="204" t="str">
        <f>IF(AA229&lt;VLOOKUP(AG229,Variables!$AC$3:$AD$8,2,FALSE),"Y","N")</f>
        <v>Y</v>
      </c>
      <c r="X229" s="204">
        <f t="shared" si="147"/>
        <v>1</v>
      </c>
      <c r="Y229" s="204">
        <f t="shared" si="159"/>
        <v>0.32419999999999999</v>
      </c>
      <c r="Z229" s="204">
        <f t="shared" si="160"/>
        <v>1.5599999999999999E-2</v>
      </c>
      <c r="AA229" s="204">
        <f t="shared" si="172"/>
        <v>0.30859999999999999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73"/>
        <v>53</v>
      </c>
      <c r="AE229" s="77" t="str">
        <f t="shared" si="16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229" s="74" t="str">
        <f t="shared" si="162"/>
        <v>"C:\Program Files (x86)\AstroGrep\AstroGrep.exe" /e /r /s /spath="%USERPROFILE%\AppData\Local\Temp\OnboardLogs" /stypes="app*4041*20171010*" /stext=" 14:.+((SYSTEM_STATE.+slice.+state.+changed )|(ment ac)|(multiple cpu faults)|(system.+state.+changed )|(\[timeout)|(PRM\|1\|D)|(kpr)|(kdp)|(train st.+moving)|(\|lc)|(penalty))"</v>
      </c>
      <c r="AG229" s="182" t="str">
        <f t="shared" si="174"/>
        <v>Shuttle/Test</v>
      </c>
      <c r="AH229" s="78" t="str">
        <f t="shared" si="163"/>
        <v>"%USERPROFILE%\Documents\GitHub\eaglep3\Utilities\RefineRTDCRunTimes.py" --tripid 53-10 --locoid 4041 --swversion DE.1.0.9.0 --startMP 204:3242 --initTime 2017-10-10T08:01:39 --startdatetime 2017-10-10T08:04:10 --delay 89 --endMP 204:156 --enddatetime 2017-10-10T08:06:09 --enforcementcount 0 &gt;&gt;%USERPROFILE%\Documents\GitHub\eaglep3-reporting\EC\2017-10-10-refined-times.txt</v>
      </c>
      <c r="AI229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0.0156"},{"id":17,"name":"Train ID","value":"53-10"},{"id":16,"name":"Locomotive ID","value":"4041"},{"id":130,"name":"Impact","value":""},{"id":150,"name":"Time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65"/>
        <v>start /low /b %USERPROFILE%\Documents\GitHub\eaglep3\Utilities\DownloadLogsFromS3.py --loco 4041 --day 2017-10-10</v>
      </c>
      <c r="AN22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67"/>
        <v>https://d0f6bd738d7f1b3e5a7ca70fe4ff75f0.us-east-1.aws.found.io/app/kibana#/discover/Steve-Slow-Train-Analysis-(2080s-and-2083s)?_g=(refreshInterval:(display:Off,pause:!f,section:0,value:0),time:(from:'2017-10-10T07:01:39-0600',mode:absolute,to:'2017-10-10T09:06:09-0600'))&amp;_a=(columns:!('Message%20ID',Summary),filters:!(),index:'emp_*',interval:auto,query:(query_string:(analyze_wildcard:!t,query:'%22rtdc.l.rtdc.4041%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682</v>
      </c>
      <c r="B230" s="7">
        <v>4042</v>
      </c>
      <c r="C230" s="21" t="s">
        <v>194</v>
      </c>
      <c r="D230" s="21" t="s">
        <v>932</v>
      </c>
      <c r="E230" s="13">
        <v>43018.330706018518</v>
      </c>
      <c r="F230" s="13">
        <v>43018.336226851854</v>
      </c>
      <c r="G230" s="7">
        <v>65</v>
      </c>
      <c r="H230" s="21" t="s">
        <v>933</v>
      </c>
      <c r="I230" s="13">
        <v>43018.337604166663</v>
      </c>
      <c r="J230" s="7">
        <v>0</v>
      </c>
      <c r="K230" s="89" t="str">
        <f t="shared" si="168"/>
        <v>4041/4042</v>
      </c>
      <c r="L230" s="185" t="str">
        <f>VLOOKUP(A230,'Trips&amp;Operators'!$C$1:$G$99911,5,FALSE)</f>
        <v>SPECTOR MICHAEL</v>
      </c>
      <c r="M230" s="6">
        <f t="shared" si="169"/>
        <v>1.3773148093605414E-3</v>
      </c>
      <c r="N230" s="7">
        <f t="shared" si="175"/>
        <v>1.9833333254791796</v>
      </c>
      <c r="O230" s="7"/>
      <c r="P230" s="7"/>
      <c r="Q230" s="22"/>
      <c r="R230" s="174"/>
      <c r="S230" s="221">
        <f t="shared" si="170"/>
        <v>0</v>
      </c>
      <c r="T230" s="174" t="str">
        <f t="shared" si="171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58"/>
        <v>https://d0f6bd738d7f1b3e5a7ca70fe4ff75f0.us-east-1.aws.found.io/app/kibana#/discover/Steve-Slow-Train-Analysis-(2080s-and-2083s)?_g=(refreshInterval:(display:Off,pause:!f,section:0,value:0),time:(from:'2017-10-10T06:56:13-0600',mode:absolute,to:'2017-10-10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204" t="str">
        <f>IF(AA230&lt;VLOOKUP(AG230,Variables!$AC$3:$AD$8,2,FALSE),"Y","N")</f>
        <v>Y</v>
      </c>
      <c r="X230" s="204">
        <f t="shared" si="147"/>
        <v>0</v>
      </c>
      <c r="Y230" s="204">
        <f t="shared" si="159"/>
        <v>0.14829999999999999</v>
      </c>
      <c r="Z230" s="204">
        <f t="shared" si="160"/>
        <v>0.35449999999999998</v>
      </c>
      <c r="AA230" s="204">
        <f t="shared" si="172"/>
        <v>0.20619999999999999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73"/>
        <v>53</v>
      </c>
      <c r="AE230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30" s="74" t="str">
        <f t="shared" si="162"/>
        <v>"C:\Program Files (x86)\AstroGrep\AstroGrep.exe" /e /r /s /spath="%USERPROFILE%\AppData\Local\Temp\OnboardLogs" /stypes="app*4042*20171010*" /stext=" 14:.+((SYSTEM_STATE.+slice.+state.+changed )|(ment ac)|(multiple cpu faults)|(system.+state.+changed )|(\[timeout)|(PRM\|1\|D)|(kpr)|(kdp)|(train st.+moving)|(\|lc)|(penalty))"</v>
      </c>
      <c r="AG230" s="182" t="str">
        <f t="shared" si="174"/>
        <v>Shuttle/Test</v>
      </c>
      <c r="AH230" s="78" t="str">
        <f t="shared" si="163"/>
        <v>"%USERPROFILE%\Documents\GitHub\eaglep3\Utilities\RefineRTDCRunTimes.py" --tripid 53-10 --locoid 4042 --swversion DE.1.0.9.0 --startMP 204:1483 --initTime 2017-10-10T07:56:13 --startdatetime 2017-10-10T08:04:10 --delay 65 --endMP 204:3545 --enddatetime 2017-10-10T08:06:09 --enforcementcount 0 &gt;&gt;%USERPROFILE%\Documents\GitHub\eaglep3-reporting\EC\2017-10-10-refined-times.txt</v>
      </c>
      <c r="AI230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0.3545"},{"id":17,"name":"Train ID","value":"53-10"},{"id":16,"name":"Locomotive ID","value":"4042"},{"id":130,"name":"Impact","value":""},{"id":150,"name":"Time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65"/>
        <v>start /low /b %USERPROFILE%\Documents\GitHub\eaglep3\Utilities\DownloadLogsFromS3.py --loco 4042 --day 2017-10-10</v>
      </c>
      <c r="AN23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67"/>
        <v>https://d0f6bd738d7f1b3e5a7ca70fe4ff75f0.us-east-1.aws.found.io/app/kibana#/discover/Steve-Slow-Train-Analysis-(2080s-and-2083s)?_g=(refreshInterval:(display:Off,pause:!f,section:0,value:0),time:(from:'2017-10-10T06:56:13-0600',mode:absolute,to:'2017-10-10T09:06:09-0600'))&amp;_a=(columns:!('Message%20ID',Summary),filters:!(),index:'emp_*',interval:auto,query:(query_string:(analyze_wildcard:!t,query:'%22rtdc.l.rtdc.4042%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711</v>
      </c>
      <c r="B231" s="7">
        <v>4044</v>
      </c>
      <c r="C231" s="21" t="s">
        <v>194</v>
      </c>
      <c r="D231" s="21" t="s">
        <v>934</v>
      </c>
      <c r="E231" s="13">
        <v>43018.437951388885</v>
      </c>
      <c r="F231" s="13">
        <v>43018.443194444444</v>
      </c>
      <c r="G231" s="7">
        <v>80</v>
      </c>
      <c r="H231" s="21" t="s">
        <v>935</v>
      </c>
      <c r="I231" s="13">
        <v>43018.444861111115</v>
      </c>
      <c r="J231" s="7">
        <v>0</v>
      </c>
      <c r="K231" s="89" t="str">
        <f t="shared" si="168"/>
        <v>4043/4044</v>
      </c>
      <c r="L231" s="185" t="str">
        <f>VLOOKUP(A231,'Trips&amp;Operators'!$C$1:$G$99911,5,FALSE)</f>
        <v>ROMERO CHAD</v>
      </c>
      <c r="M231" s="6">
        <f t="shared" si="169"/>
        <v>1.6666666706441902E-3</v>
      </c>
      <c r="N231" s="7">
        <f t="shared" si="175"/>
        <v>2.4000000057276338</v>
      </c>
      <c r="O231" s="7"/>
      <c r="P231" s="7"/>
      <c r="Q231" s="22"/>
      <c r="R231" s="174"/>
      <c r="S231" s="221">
        <f t="shared" si="170"/>
        <v>0</v>
      </c>
      <c r="T231" s="174" t="str">
        <f t="shared" si="171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30:39-0600',mode:absolute,to:'2017-10-10T11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1" s="204" t="str">
        <f>IF(AA231&lt;VLOOKUP(AG231,Variables!$AC$3:$AD$8,2,FALSE),"Y","N")</f>
        <v>Y</v>
      </c>
      <c r="X231" s="204">
        <f t="shared" si="147"/>
        <v>2</v>
      </c>
      <c r="Y231" s="204">
        <f t="shared" si="159"/>
        <v>0.121</v>
      </c>
      <c r="Z231" s="204">
        <f t="shared" si="160"/>
        <v>0.51990000000000003</v>
      </c>
      <c r="AA231" s="204">
        <f t="shared" si="172"/>
        <v>0.39890000000000003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73"/>
        <v>55</v>
      </c>
      <c r="AE231" s="77" t="str">
        <f t="shared" si="16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31" s="74" t="str">
        <f t="shared" si="162"/>
        <v>"C:\Program Files (x86)\AstroGrep\AstroGrep.exe" /e /r /s /spath="%USERPROFILE%\AppData\Local\Temp\OnboardLogs" /stypes="app*4044*20171010*" /stext=" 16:.+((SYSTEM_STATE.+slice.+state.+changed )|(ment ac)|(multiple cpu faults)|(system.+state.+changed )|(\[timeout)|(PRM\|1\|D)|(kpr)|(kdp)|(train st.+moving)|(\|lc)|(penalty))"</v>
      </c>
      <c r="AG231" s="182" t="str">
        <f t="shared" si="174"/>
        <v>Shuttle/Test</v>
      </c>
      <c r="AH231" s="78" t="str">
        <f t="shared" si="163"/>
        <v>"%USERPROFILE%\Documents\GitHub\eaglep3\Utilities\RefineRTDCRunTimes.py" --tripid 55-10 --locoid 4044 --swversion DE.1.0.9.0 --startMP 204:1210 --initTime 2017-10-10T10:30:39 --startdatetime 2017-10-10T10:38:12 --delay 80 --endMP 300:5199 --enddatetime 2017-10-10T10:40:36 --enforcementcount 0 &gt;&gt;%USERPROFILE%\Documents\GitHub\eaglep3-reporting\EC\2017-10-10-refined-times.txt</v>
      </c>
      <c r="AI231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0.5199"},{"id":17,"name":"Train ID","value":"55-10"},{"id":16,"name":"Locomotive ID","value":"4044"},{"id":130,"name":"Impact","value":""},{"id":150,"name":"Time of Event (Mountain Time)","value":"10:40:36"},{"id":151,"name":"Denver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65"/>
        <v>start /low /b %USERPROFILE%\Documents\GitHub\eaglep3\Utilities\DownloadLogsFromS3.py --loco 4044 --day 2017-10-10</v>
      </c>
      <c r="AN23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30:39-0600',mode:absolute,to:'2017-10-10T11:40:36-0600'))&amp;_a=(columns:!('Message%20ID',Summary),filters:!(),index:'emp_*',interval:auto,query:(query_string:(analyze_wildcard:!t,query:'%22rtdc.l.rtdc.4044%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711</v>
      </c>
      <c r="B232" s="7">
        <v>4043</v>
      </c>
      <c r="C232" s="21" t="s">
        <v>194</v>
      </c>
      <c r="D232" s="21" t="s">
        <v>936</v>
      </c>
      <c r="E232" s="13">
        <v>43018.441354166665</v>
      </c>
      <c r="F232" s="13">
        <v>43018.443194444444</v>
      </c>
      <c r="G232" s="7">
        <v>76</v>
      </c>
      <c r="H232" s="21" t="s">
        <v>937</v>
      </c>
      <c r="I232" s="13">
        <v>43018.444861111115</v>
      </c>
      <c r="J232" s="7">
        <v>0</v>
      </c>
      <c r="K232" s="89" t="str">
        <f t="shared" si="168"/>
        <v>4043/4044</v>
      </c>
      <c r="L232" s="185" t="str">
        <f>VLOOKUP(A232,'Trips&amp;Operators'!$C$1:$G$99911,5,FALSE)</f>
        <v>ROMERO CHAD</v>
      </c>
      <c r="M232" s="6">
        <f t="shared" si="169"/>
        <v>1.6666666706441902E-3</v>
      </c>
      <c r="N232" s="7">
        <f t="shared" si="175"/>
        <v>2.4000000057276338</v>
      </c>
      <c r="O232" s="7"/>
      <c r="P232" s="7"/>
      <c r="Q232" s="22"/>
      <c r="R232" s="174"/>
      <c r="S232" s="221">
        <f t="shared" si="170"/>
        <v>0</v>
      </c>
      <c r="T232" s="174" t="str">
        <f t="shared" si="171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35:33-0600',mode:absolute,to:'2017-10-10T11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2" s="204" t="str">
        <f>IF(AA232&lt;VLOOKUP(AG232,Variables!$AC$3:$AD$8,2,FALSE),"Y","N")</f>
        <v>Y</v>
      </c>
      <c r="X232" s="204">
        <f t="shared" si="147"/>
        <v>0</v>
      </c>
      <c r="Y232" s="204">
        <f t="shared" si="159"/>
        <v>0.48770000000000002</v>
      </c>
      <c r="Z232" s="204">
        <f t="shared" si="160"/>
        <v>0.11559999999999999</v>
      </c>
      <c r="AA232" s="204">
        <f t="shared" si="172"/>
        <v>0.37210000000000004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73"/>
        <v>55</v>
      </c>
      <c r="AE232" s="77" t="str">
        <f t="shared" si="16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32" s="74" t="str">
        <f t="shared" si="162"/>
        <v>"C:\Program Files (x86)\AstroGrep\AstroGrep.exe" /e /r /s /spath="%USERPROFILE%\AppData\Local\Temp\OnboardLogs" /stypes="app*4043*20171010*" /stext=" 16:.+((SYSTEM_STATE.+slice.+state.+changed )|(ment ac)|(multiple cpu faults)|(system.+state.+changed )|(\[timeout)|(PRM\|1\|D)|(kpr)|(kdp)|(train st.+moving)|(\|lc)|(penalty))"</v>
      </c>
      <c r="AG232" s="182" t="str">
        <f t="shared" si="174"/>
        <v>Shuttle/Test</v>
      </c>
      <c r="AH232" s="78" t="str">
        <f t="shared" si="163"/>
        <v>"%USERPROFILE%\Documents\GitHub\eaglep3\Utilities\RefineRTDCRunTimes.py" --tripid 55-10 --locoid 4043 --swversion DE.1.0.9.0 --startMP 300:4877 --initTime 2017-10-10T10:35:33 --startdatetime 2017-10-10T10:38:12 --delay 76 --endMP 204:1156 --enddatetime 2017-10-10T10:40:36 --enforcementcount 0 &gt;&gt;%USERPROFILE%\Documents\GitHub\eaglep3-reporting\EC\2017-10-10-refined-times.txt</v>
      </c>
      <c r="AI232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0.1156"},{"id":17,"name":"Train ID","value":"55-10"},{"id":16,"name":"Locomotive ID","value":"4043"},{"id":130,"name":"Impact","value":""},{"id":150,"name":"Time of Event (Mountain Time)","value":"10:40:36"},{"id":151,"name":"Denver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65"/>
        <v>start /low /b %USERPROFILE%\Documents\GitHub\eaglep3\Utilities\DownloadLogsFromS3.py --loco 4043 --day 2017-10-10</v>
      </c>
      <c r="AN232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35:33-0600',mode:absolute,to:'2017-10-10T11:40:36-0600'))&amp;_a=(columns:!('Message%20ID',Summary),filters:!(),index:'emp_*',interval:auto,query:(query_string:(analyze_wildcard:!t,query:'%22rtdc.l.rtdc.4043%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597</v>
      </c>
      <c r="B233" s="7">
        <v>4017</v>
      </c>
      <c r="C233" s="21" t="s">
        <v>194</v>
      </c>
      <c r="D233" s="21" t="s">
        <v>938</v>
      </c>
      <c r="E233" s="13">
        <v>43018.44159722222</v>
      </c>
      <c r="F233" s="13">
        <v>43018.445057870369</v>
      </c>
      <c r="G233" s="7">
        <v>135</v>
      </c>
      <c r="H233" s="21" t="s">
        <v>573</v>
      </c>
      <c r="I233" s="13">
        <v>43018.451145833336</v>
      </c>
      <c r="J233" s="7">
        <v>0</v>
      </c>
      <c r="K233" s="89" t="str">
        <f t="shared" si="168"/>
        <v>4017/4018</v>
      </c>
      <c r="L233" s="185" t="str">
        <f>VLOOKUP(A233,'Trips&amp;Operators'!$C$1:$G$99911,5,FALSE)</f>
        <v>DE LA ROSA ALEX</v>
      </c>
      <c r="M233" s="6">
        <f t="shared" si="169"/>
        <v>6.0879629672854207E-3</v>
      </c>
      <c r="N233" s="7">
        <f t="shared" si="175"/>
        <v>8.7666666728910059</v>
      </c>
      <c r="O233" s="7"/>
      <c r="P233" s="7"/>
      <c r="Q233" s="22"/>
      <c r="R233" s="174"/>
      <c r="S233" s="221">
        <f t="shared" si="170"/>
        <v>1</v>
      </c>
      <c r="T233" s="174" t="str">
        <f t="shared" si="171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35:54-0600',mode:absolute,to:'2017-10-10T11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147"/>
        <v>1</v>
      </c>
      <c r="Y233" s="204">
        <f t="shared" si="159"/>
        <v>2.3515999999999999</v>
      </c>
      <c r="Z233" s="204">
        <f t="shared" si="160"/>
        <v>9.6500000000000002E-2</v>
      </c>
      <c r="AA233" s="204">
        <f t="shared" si="172"/>
        <v>2.2551000000000001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73"/>
        <v>56</v>
      </c>
      <c r="AE233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33" s="74" t="str">
        <f t="shared" si="162"/>
        <v>"C:\Program Files (x86)\AstroGrep\AstroGrep.exe" /e /r /s /spath="%USERPROFILE%\AppData\Local\Temp\OnboardLogs" /stypes="app*4017*20171010*" /stext=" 16:.+((SYSTEM_STATE.+slice.+state.+changed )|(ment ac)|(multiple cpu faults)|(system.+state.+changed )|(\[timeout)|(PRM\|1\|D)|(kpr)|(kdp)|(train st.+moving)|(\|lc)|(penalty))"</v>
      </c>
      <c r="AG233" s="182" t="str">
        <f t="shared" si="174"/>
        <v>Shuttle/Test</v>
      </c>
      <c r="AH233" s="78" t="str">
        <f t="shared" si="163"/>
        <v>"%USERPROFILE%\Documents\GitHub\eaglep3\Utilities\RefineRTDCRunTimes.py" --tripid 56-10 --locoid 4017 --swversion DE.1.0.9.0 --startMP 300:23516 --initTime 2017-10-10T10:35:54 --startdatetime 2017-10-10T10:40:53 --delay 135 --endMP 204:965 --enddatetime 2017-10-10T10:49:39 --enforcementcount 0 &gt;&gt;%USERPROFILE%\Documents\GitHub\eaglep3-reporting\EC\2017-10-10-refined-times.txt</v>
      </c>
      <c r="AI233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0.0965"},{"id":17,"name":"Train ID","value":"56-10"},{"id":16,"name":"Locomotive ID","value":"4017"},{"id":130,"name":"Impact","value":""},{"id":150,"name":"Time of Event (Mountain Time)","value":"10:49:39"},{"id":151,"name":"Denver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65"/>
        <v>start /low /b %USERPROFILE%\Documents\GitHub\eaglep3\Utilities\DownloadLogsFromS3.py --loco 4017 --day 2017-10-10</v>
      </c>
      <c r="AN233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35:54-0600',mode:absolute,to:'2017-10-10T11:49:39-0600'))&amp;_a=(columns:!('Message%20ID',Summary),filters:!(),index:'emp_*',interval:auto,query:(query_string:(analyze_wildcard:!t,query:'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726</v>
      </c>
      <c r="B234" s="7">
        <v>4018</v>
      </c>
      <c r="C234" s="21" t="s">
        <v>194</v>
      </c>
      <c r="D234" s="21" t="s">
        <v>939</v>
      </c>
      <c r="E234" s="13">
        <v>43018.478298611109</v>
      </c>
      <c r="F234" s="13">
        <v>43018.485625000001</v>
      </c>
      <c r="G234" s="7">
        <v>74</v>
      </c>
      <c r="H234" s="21" t="s">
        <v>940</v>
      </c>
      <c r="I234" s="13">
        <v>43018.490486111114</v>
      </c>
      <c r="J234" s="7">
        <v>0</v>
      </c>
      <c r="K234" s="89" t="str">
        <f t="shared" si="168"/>
        <v>4017/4018</v>
      </c>
      <c r="L234" s="185" t="str">
        <f>VLOOKUP(A234,'Trips&amp;Operators'!$C$1:$G$99911,5,FALSE)</f>
        <v>ROMERO CHAD</v>
      </c>
      <c r="M234" s="6">
        <f t="shared" si="169"/>
        <v>4.8611111124046147E-3</v>
      </c>
      <c r="N234" s="7">
        <f t="shared" si="175"/>
        <v>7.0000000018626451</v>
      </c>
      <c r="O234" s="7"/>
      <c r="P234" s="7"/>
      <c r="Q234" s="22"/>
      <c r="R234" s="174"/>
      <c r="S234" s="221">
        <f t="shared" si="170"/>
        <v>1</v>
      </c>
      <c r="T234" s="174" t="str">
        <f t="shared" si="171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58"/>
        <v>https://d0f6bd738d7f1b3e5a7ca70fe4ff75f0.us-east-1.aws.found.io/app/kibana#/discover/Steve-Slow-Train-Analysis-(2080s-and-2083s)?_g=(refreshInterval:(display:Off,pause:!f,section:0,value:0),time:(from:'2017-10-10T10:28:45-0600',mode:absolute,to:'2017-10-10T12:46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204" t="str">
        <f>IF(AA234&lt;VLOOKUP(AG234,Variables!$AC$3:$AD$8,2,FALSE),"Y","N")</f>
        <v>Y</v>
      </c>
      <c r="X234" s="204">
        <f t="shared" si="147"/>
        <v>1</v>
      </c>
      <c r="Y234" s="204">
        <f t="shared" si="159"/>
        <v>0.1171</v>
      </c>
      <c r="Z234" s="204">
        <f t="shared" si="160"/>
        <v>2.4226000000000001</v>
      </c>
      <c r="AA234" s="204">
        <f t="shared" si="172"/>
        <v>2.3054999999999999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73"/>
        <v>57</v>
      </c>
      <c r="AE234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34" s="74" t="str">
        <f t="shared" si="162"/>
        <v>"C:\Program Files (x86)\AstroGrep\AstroGrep.exe" /e /r /s /spath="%USERPROFILE%\AppData\Local\Temp\OnboardLogs" /stypes="app*4018*20171010*" /stext=" 17:.+((SYSTEM_STATE.+slice.+state.+changed )|(ment ac)|(multiple cpu faults)|(system.+state.+changed )|(\[timeout)|(PRM\|1\|D)|(kpr)|(kdp)|(train st.+moving)|(\|lc)|(penalty))"</v>
      </c>
      <c r="AG234" s="182" t="str">
        <f t="shared" si="174"/>
        <v>Shuttle/Test</v>
      </c>
      <c r="AH234" s="78" t="str">
        <f t="shared" si="163"/>
        <v>"%USERPROFILE%\Documents\GitHub\eaglep3\Utilities\RefineRTDCRunTimes.py" --tripid 57-10 --locoid 4018 --swversion DE.1.0.9.0 --startMP 204:1171 --initTime 2017-10-10T11:28:45 --startdatetime 2017-10-10T11:39:18 --delay 74 --endMP 300:24226 --enddatetime 2017-10-10T11:46:18 --enforcementcount 0 &gt;&gt;%USERPROFILE%\Documents\GitHub\eaglep3-reporting\EC\2017-10-10-refined-times.txt</v>
      </c>
      <c r="AI234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2.4226"},{"id":17,"name":"Train ID","value":"57-10"},{"id":16,"name":"Locomotive ID","value":"4018"},{"id":130,"name":"Impact","value":""},{"id":150,"name":"Time of Event (Mountain Time)","value":"11:46:18"},{"id":151,"name":"Denver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65"/>
        <v>start /low /b %USERPROFILE%\Documents\GitHub\eaglep3\Utilities\DownloadLogsFromS3.py --loco 4018 --day 2017-10-10</v>
      </c>
      <c r="AN234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17:46:18"},{"id":29,"name":"Sharepoint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67"/>
        <v>https://d0f6bd738d7f1b3e5a7ca70fe4ff75f0.us-east-1.aws.found.io/app/kibana#/discover/Steve-Slow-Train-Analysis-(2080s-and-2083s)?_g=(refreshInterval:(display:Off,pause:!f,section:0,value:0),time:(from:'2017-10-10T10:28:45-0600',mode:absolute,to:'2017-10-10T12:46:18-0600'))&amp;_a=(columns:!('Message%20ID',Summary),filters:!(),index:'emp_*',interval:auto,query:(query_string:(analyze_wildcard:!t,query:'%22rtdc.l.rtdc.4018%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723</v>
      </c>
      <c r="B235" s="7">
        <v>4023</v>
      </c>
      <c r="C235" s="21" t="s">
        <v>194</v>
      </c>
      <c r="D235" s="21" t="s">
        <v>941</v>
      </c>
      <c r="E235" s="13">
        <v>43018.475763888891</v>
      </c>
      <c r="F235" s="13">
        <v>43018.480046296296</v>
      </c>
      <c r="G235" s="7">
        <v>140</v>
      </c>
      <c r="H235" s="21" t="s">
        <v>942</v>
      </c>
      <c r="I235" s="13">
        <v>43018.485937500001</v>
      </c>
      <c r="J235" s="7">
        <v>0</v>
      </c>
      <c r="K235" s="89" t="str">
        <f t="shared" si="168"/>
        <v>4023/4024</v>
      </c>
      <c r="L235" s="185" t="str">
        <f>VLOOKUP(A235,'Trips&amp;Operators'!$C$1:$G$99911,5,FALSE)</f>
        <v>MOSES BRADLEY</v>
      </c>
      <c r="M235" s="6">
        <f t="shared" si="169"/>
        <v>5.8912037056870759E-3</v>
      </c>
      <c r="N235" s="7">
        <f t="shared" si="175"/>
        <v>8.4833333361893892</v>
      </c>
      <c r="O235" s="7"/>
      <c r="P235" s="7"/>
      <c r="Q235" s="22"/>
      <c r="R235" s="174"/>
      <c r="S235" s="221">
        <f t="shared" si="170"/>
        <v>1</v>
      </c>
      <c r="T235" s="174" t="str">
        <f t="shared" si="171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58"/>
        <v>https://d0f6bd738d7f1b3e5a7ca70fe4ff75f0.us-east-1.aws.found.io/app/kibana#/discover/Steve-Slow-Train-Analysis-(2080s-and-2083s)?_g=(refreshInterval:(display:Off,pause:!f,section:0,value:0),time:(from:'2017-10-10T10:25:06-0600',mode:absolute,to:'2017-10-10T12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4" t="str">
        <f>IF(AA235&lt;VLOOKUP(AG235,Variables!$AC$3:$AD$8,2,FALSE),"Y","N")</f>
        <v>Y</v>
      </c>
      <c r="X235" s="204">
        <f t="shared" si="147"/>
        <v>1</v>
      </c>
      <c r="Y235" s="204">
        <f t="shared" si="159"/>
        <v>2.2153</v>
      </c>
      <c r="Z235" s="204">
        <f t="shared" si="160"/>
        <v>1.17E-2</v>
      </c>
      <c r="AA235" s="204">
        <f t="shared" si="172"/>
        <v>2.2036000000000002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73"/>
        <v>58</v>
      </c>
      <c r="AE235" s="77" t="str">
        <f t="shared" si="161"/>
        <v>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 &amp; 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</v>
      </c>
      <c r="AF235" s="74" t="str">
        <f t="shared" si="162"/>
        <v>"C:\Program Files (x86)\AstroGrep\AstroGrep.exe" /e /r /s /spath="%USERPROFILE%\AppData\Local\Temp\OnboardLogs" /stypes="app*4023*20171010*" /stext=" 17:.+((SYSTEM_STATE.+slice.+state.+changed )|(ment ac)|(multiple cpu faults)|(system.+state.+changed )|(\[timeout)|(PRM\|1\|D)|(kpr)|(kdp)|(train st.+moving)|(\|lc)|(penalty))"</v>
      </c>
      <c r="AG235" s="182" t="str">
        <f t="shared" si="174"/>
        <v>Shuttle/Test</v>
      </c>
      <c r="AH235" s="78" t="str">
        <f t="shared" si="163"/>
        <v>"%USERPROFILE%\Documents\GitHub\eaglep3\Utilities\RefineRTDCRunTimes.py" --tripid 58-10 --locoid 4023 --swversion DE.1.0.9.0 --startMP 300:22153 --initTime 2017-10-10T11:25:06 --startdatetime 2017-10-10T11:31:16 --delay 140 --endMP 204:117 --enddatetime 2017-10-10T11:39:45 --enforcementcount 0 &gt;&gt;%USERPROFILE%\Documents\GitHub\eaglep3-reporting\EC\2017-10-10-refined-times.txt</v>
      </c>
      <c r="AI235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0.0117"},{"id":17,"name":"Train ID","value":"58-10"},{"id":16,"name":"Locomotive ID","value":"4023"},{"id":130,"name":"Impact","value":""},{"id":150,"name":"Time of Event (Mountain Time)","value":"11:39:45"},{"id":151,"name":"Denver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65"/>
        <v>start /low /b %USERPROFILE%\Documents\GitHub\eaglep3\Utilities\DownloadLogsFromS3.py --loco 4023 --day 2017-10-10</v>
      </c>
      <c r="AN23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67"/>
        <v>https://d0f6bd738d7f1b3e5a7ca70fe4ff75f0.us-east-1.aws.found.io/app/kibana#/discover/Steve-Slow-Train-Analysis-(2080s-and-2083s)?_g=(refreshInterval:(display:Off,pause:!f,section:0,value:0),time:(from:'2017-10-10T10:25:06-0600',mode:absolute,to:'2017-10-10T12:39:45-0600'))&amp;_a=(columns:!('Message%20ID',Summary),filters:!(),index:'emp_*',interval:auto,query:(query_string:(analyze_wildcard:!t,query:'%22rtdc.l.rtdc.4023%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731</v>
      </c>
      <c r="B236" s="7">
        <v>4017</v>
      </c>
      <c r="C236" s="21" t="s">
        <v>194</v>
      </c>
      <c r="D236" s="21" t="s">
        <v>943</v>
      </c>
      <c r="E236" s="13">
        <v>43018.49800925926</v>
      </c>
      <c r="F236" s="13">
        <v>43018.500520833331</v>
      </c>
      <c r="G236" s="7">
        <v>88</v>
      </c>
      <c r="H236" s="21" t="s">
        <v>944</v>
      </c>
      <c r="I236" s="13">
        <v>43018.506273148145</v>
      </c>
      <c r="J236" s="7">
        <v>0</v>
      </c>
      <c r="K236" s="89" t="str">
        <f t="shared" si="168"/>
        <v>4017/4018</v>
      </c>
      <c r="L236" s="185" t="str">
        <f>VLOOKUP(A236,'Trips&amp;Operators'!$C$1:$G$99911,5,FALSE)</f>
        <v>SMITH MICHAEL</v>
      </c>
      <c r="M236" s="6">
        <f t="shared" si="169"/>
        <v>5.7523148134350777E-3</v>
      </c>
      <c r="N236" s="7">
        <f t="shared" si="175"/>
        <v>8.2833333313465118</v>
      </c>
      <c r="O236" s="7"/>
      <c r="P236" s="7"/>
      <c r="Q236" s="22"/>
      <c r="R236" s="174"/>
      <c r="S236" s="221">
        <f t="shared" si="170"/>
        <v>1</v>
      </c>
      <c r="T236" s="174" t="str">
        <f t="shared" si="171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158"/>
        <v>https://d0f6bd738d7f1b3e5a7ca70fe4ff75f0.us-east-1.aws.found.io/app/kibana#/discover/Steve-Slow-Train-Analysis-(2080s-and-2083s)?_g=(refreshInterval:(display:Off,pause:!f,section:0,value:0),time:(from:'2017-10-10T10:57:08-0600',mode:absolute,to:'2017-10-10T13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204" t="str">
        <f>IF(AA236&lt;VLOOKUP(AG236,Variables!$AC$3:$AD$8,2,FALSE),"Y","N")</f>
        <v>Y</v>
      </c>
      <c r="X236" s="204">
        <f t="shared" si="147"/>
        <v>2</v>
      </c>
      <c r="Y236" s="204">
        <f t="shared" si="159"/>
        <v>2.3332000000000002</v>
      </c>
      <c r="Z236" s="204">
        <f t="shared" si="160"/>
        <v>8.6900000000000005E-2</v>
      </c>
      <c r="AA236" s="204">
        <f t="shared" si="172"/>
        <v>2.2463000000000002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73"/>
        <v>60</v>
      </c>
      <c r="AE236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36" s="74" t="str">
        <f t="shared" si="162"/>
        <v>"C:\Program Files (x86)\AstroGrep\AstroGrep.exe" /e /r /s /spath="%USERPROFILE%\AppData\Local\Temp\OnboardLogs" /stypes="app*4017*20171010*" /stext=" 18:.+((SYSTEM_STATE.+slice.+state.+changed )|(ment ac)|(multiple cpu faults)|(system.+state.+changed )|(\[timeout)|(PRM\|1\|D)|(kpr)|(kdp)|(train st.+moving)|(\|lc)|(penalty))"</v>
      </c>
      <c r="AG236" s="182" t="str">
        <f t="shared" si="174"/>
        <v>Shuttle/Test</v>
      </c>
      <c r="AH236" s="78" t="str">
        <f t="shared" si="163"/>
        <v>"%USERPROFILE%\Documents\GitHub\eaglep3\Utilities\RefineRTDCRunTimes.py" --tripid 60-10 --locoid 4017 --swversion DE.1.0.9.0 --startMP 300:23332 --initTime 2017-10-10T11:57:08 --startdatetime 2017-10-10T12:00:45 --delay 88 --endMP 204:869 --enddatetime 2017-10-10T12:09:02 --enforcementcount 0 &gt;&gt;%USERPROFILE%\Documents\GitHub\eaglep3-reporting\EC\2017-10-10-refined-times.txt</v>
      </c>
      <c r="AI236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0.0869"},{"id":17,"name":"Train ID","value":"60-10"},{"id":16,"name":"Locomotive ID","value":"4017"},{"id":130,"name":"Impact","value":""},{"id":150,"name":"Time of Event (Mountain Time)","value":"12:09:02"},{"id":151,"name":"Denver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65"/>
        <v>start /low /b %USERPROFILE%\Documents\GitHub\eaglep3\Utilities\DownloadLogsFromS3.py --loco 4017 --day 2017-10-10</v>
      </c>
      <c r="AN236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67"/>
        <v>https://d0f6bd738d7f1b3e5a7ca70fe4ff75f0.us-east-1.aws.found.io/app/kibana#/discover/Steve-Slow-Train-Analysis-(2080s-and-2083s)?_g=(refreshInterval:(display:Off,pause:!f,section:0,value:0),time:(from:'2017-10-10T10:57:08-0600',mode:absolute,to:'2017-10-10T13:09:02-0600'))&amp;_a=(columns:!('Message%20ID',Summary),filters:!(),index:'emp_*',interval:auto,query:(query_string:(analyze_wildcard:!t,query:'%22rtdc.l.rtdc.4017%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733</v>
      </c>
      <c r="B237" s="7">
        <v>4024</v>
      </c>
      <c r="C237" s="21" t="s">
        <v>194</v>
      </c>
      <c r="D237" s="21" t="s">
        <v>945</v>
      </c>
      <c r="E237" s="13">
        <v>43018.499965277777</v>
      </c>
      <c r="F237" s="13">
        <v>43018.506296296298</v>
      </c>
      <c r="G237" s="7">
        <v>86</v>
      </c>
      <c r="H237" s="21" t="s">
        <v>946</v>
      </c>
      <c r="I237" s="13">
        <v>43018.513518518521</v>
      </c>
      <c r="J237" s="7">
        <v>0</v>
      </c>
      <c r="K237" s="89" t="str">
        <f t="shared" si="168"/>
        <v>4023/4024</v>
      </c>
      <c r="L237" s="185" t="str">
        <f>VLOOKUP(A237,'Trips&amp;Operators'!$C$1:$G$99911,5,FALSE)</f>
        <v>YANG JAN</v>
      </c>
      <c r="M237" s="6">
        <f t="shared" si="169"/>
        <v>7.2222222224809229E-3</v>
      </c>
      <c r="N237" s="7">
        <f t="shared" si="175"/>
        <v>10.400000000372529</v>
      </c>
      <c r="O237" s="7"/>
      <c r="P237" s="7"/>
      <c r="Q237" s="22"/>
      <c r="R237" s="174"/>
      <c r="S237" s="221">
        <f t="shared" si="170"/>
        <v>1</v>
      </c>
      <c r="T237" s="174" t="str">
        <f t="shared" si="171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158"/>
        <v>https://d0f6bd738d7f1b3e5a7ca70fe4ff75f0.us-east-1.aws.found.io/app/kibana#/discover/Steve-Slow-Train-Analysis-(2080s-and-2083s)?_g=(refreshInterval:(display:Off,pause:!f,section:0,value:0),time:(from:'2017-10-10T10:59:57-0600',mode:absolute,to:'2017-10-10T13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204" t="str">
        <f>IF(AA237&lt;VLOOKUP(AG237,Variables!$AC$3:$AD$8,2,FALSE),"Y","N")</f>
        <v>Y</v>
      </c>
      <c r="X237" s="204">
        <f t="shared" si="147"/>
        <v>1</v>
      </c>
      <c r="Y237" s="204">
        <f t="shared" si="159"/>
        <v>4.3900000000000002E-2</v>
      </c>
      <c r="Z237" s="204">
        <f t="shared" si="160"/>
        <v>2.4211999999999998</v>
      </c>
      <c r="AA237" s="204">
        <f t="shared" si="172"/>
        <v>2.3773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73"/>
        <v>61</v>
      </c>
      <c r="AE237" s="77" t="str">
        <f t="shared" si="161"/>
        <v>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 &amp; 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</v>
      </c>
      <c r="AF237" s="74" t="str">
        <f t="shared" si="162"/>
        <v>"C:\Program Files (x86)\AstroGrep\AstroGrep.exe" /e /r /s /spath="%USERPROFILE%\AppData\Local\Temp\OnboardLogs" /stypes="app*4024*20171010*" /stext=" 18:.+((SYSTEM_STATE.+slice.+state.+changed )|(ment ac)|(multiple cpu faults)|(system.+state.+changed )|(\[timeout)|(PRM\|1\|D)|(kpr)|(kdp)|(train st.+moving)|(\|lc)|(penalty))"</v>
      </c>
      <c r="AG237" s="182" t="str">
        <f t="shared" si="174"/>
        <v>Shuttle/Test</v>
      </c>
      <c r="AH237" s="78" t="str">
        <f t="shared" si="163"/>
        <v>"%USERPROFILE%\Documents\GitHub\eaglep3\Utilities\RefineRTDCRunTimes.py" --tripid 61-10 --locoid 4024 --swversion DE.1.0.9.0 --startMP 204:439 --initTime 2017-10-10T11:59:57 --startdatetime 2017-10-10T12:09:04 --delay 86 --endMP 300:24212 --enddatetime 2017-10-10T12:19:28 --enforcementcount 0 &gt;&gt;%USERPROFILE%\Documents\GitHub\eaglep3-reporting\EC\2017-10-10-refined-times.txt</v>
      </c>
      <c r="AI237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2.4212"},{"id":17,"name":"Train ID","value":"61-10"},{"id":16,"name":"Locomotive ID","value":"4024"},{"id":130,"name":"Impact","value":""},{"id":150,"name":"Time of Event (Mountain Time)","value":"12:19:28"},{"id":151,"name":"Denver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65"/>
        <v>start /low /b %USERPROFILE%\Documents\GitHub\eaglep3\Utilities\DownloadLogsFromS3.py --loco 4024 --day 2017-10-10</v>
      </c>
      <c r="AN23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67"/>
        <v>https://d0f6bd738d7f1b3e5a7ca70fe4ff75f0.us-east-1.aws.found.io/app/kibana#/discover/Steve-Slow-Train-Analysis-(2080s-and-2083s)?_g=(refreshInterval:(display:Off,pause:!f,section:0,value:0),time:(from:'2017-10-10T10:59:57-0600',mode:absolute,to:'2017-10-10T13:19:28-0600'))&amp;_a=(columns:!('Message%20ID',Summary),filters:!(),index:'emp_*',interval:auto,query:(query_string:(analyze_wildcard:!t,query:'%22rtdc.l.rtdc.4024%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739</v>
      </c>
      <c r="B238" s="7">
        <v>4018</v>
      </c>
      <c r="C238" s="21" t="s">
        <v>194</v>
      </c>
      <c r="D238" s="21" t="s">
        <v>569</v>
      </c>
      <c r="E238" s="13">
        <v>43018.531192129631</v>
      </c>
      <c r="F238" s="13">
        <v>43018.532268518517</v>
      </c>
      <c r="G238" s="7">
        <v>52</v>
      </c>
      <c r="H238" s="21" t="s">
        <v>947</v>
      </c>
      <c r="I238" s="13">
        <v>25568.708333333332</v>
      </c>
      <c r="J238" s="7">
        <v>0</v>
      </c>
      <c r="K238" s="89" t="str">
        <f t="shared" si="168"/>
        <v>4017/4018</v>
      </c>
      <c r="L238" s="185" t="str">
        <f>VLOOKUP(A238,'Trips&amp;Operators'!$C$1:$G$99911,5,FALSE)</f>
        <v>MACDONALD THOMAS</v>
      </c>
      <c r="M238" s="6">
        <f t="shared" si="169"/>
        <v>-17449.823935185184</v>
      </c>
      <c r="N238" s="7">
        <f t="shared" si="175"/>
        <v>-25127746.466666665</v>
      </c>
      <c r="O238" s="7"/>
      <c r="P238" s="7"/>
      <c r="Q238" s="22"/>
      <c r="R238" s="174" t="s">
        <v>1021</v>
      </c>
      <c r="S238" s="221">
        <f t="shared" si="170"/>
        <v>0</v>
      </c>
      <c r="T238" s="174" t="str">
        <f t="shared" si="171"/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158"/>
        <v>https://d0f6bd738d7f1b3e5a7ca70fe4ff75f0.us-east-1.aws.found.io/app/kibana#/discover/Steve-Slow-Train-Analysis-(2080s-and-2083s)?_g=(refreshInterval:(display:Off,pause:!f,section:0,value:0),time:(from:'2017-10-10T11:44:55-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204" t="str">
        <f>IF(AA238&lt;VLOOKUP(AG238,Variables!$AC$3:$AD$8,2,FALSE),"Y","N")</f>
        <v>Y</v>
      </c>
      <c r="X238" s="204">
        <f t="shared" si="147"/>
        <v>1</v>
      </c>
      <c r="Y238" s="204">
        <f t="shared" si="159"/>
        <v>0.11840000000000001</v>
      </c>
      <c r="Z238" s="204">
        <f t="shared" si="160"/>
        <v>2.4277000000000002</v>
      </c>
      <c r="AA238" s="204">
        <f t="shared" si="172"/>
        <v>2.3093000000000004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73"/>
        <v>62</v>
      </c>
      <c r="AE238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38" s="74" t="str">
        <f t="shared" si="162"/>
        <v>"C:\Program Files (x86)\AstroGrep\AstroGrep.exe" /e /r /s /spath="%USERPROFILE%\AppData\Local\Temp\OnboardLogs" /stypes="app*4018*19691231*" /stext=" 23:.+((SYSTEM_STATE.+slice.+state.+changed )|(ment ac)|(multiple cpu faults)|(system.+state.+changed )|(\[timeout)|(PRM\|1\|D)|(kpr)|(kdp)|(train st.+moving)|(\|lc)|(penalty))"</v>
      </c>
      <c r="AG238" s="182" t="str">
        <f t="shared" si="174"/>
        <v>Shuttle/Test</v>
      </c>
      <c r="AH238" s="78" t="str">
        <f t="shared" si="163"/>
        <v>"%USERPROFILE%\Documents\GitHub\eaglep3\Utilities\RefineRTDCRunTimes.py" --tripid 62-10 --locoid 4018 --swversion DE.1.0.9.0 --startMP 204:1184 --initTime 2017-10-10T12:44:55 --startdatetime 2017-10-10T12:46:28 --delay 52 --endMP 300:24277 --enddatetime 1969-12-31T17:00:00 --enforcementcount 0 &gt;&gt;%USERPROFILE%\Documents\GitHub\eaglep3-reporting\EC\2017-10-10-refined-times.txt</v>
      </c>
      <c r="AI238" s="96" t="str">
        <f t="shared" si="164"/>
        <v>echo {"issue":{"subject":"Mid-block init","project_id":79,"tracker_id":40,"status_id":1,"priority_id":2,"assigned_to_id":338,"start_date":"1969-12-31","description":"","custom_fields":[{"id":1,"name":"Subdivision","value":"Shuttle/Test"},{"id":4,"name":"Milepost","value":"2.4277"},{"id":17,"name":"Train ID","value":"62-10"},{"id":16,"name":"Locomotive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65"/>
        <v>start /low /b %USERPROFILE%\Documents\GitHub\eaglep3\Utilities\DownloadLogsFromS3.py --loco 4018 --day 2017-10-10</v>
      </c>
      <c r="AN238" s="151" t="str">
        <f t="shared" si="166"/>
        <v>echo {"issue":{"subject":"Mid-block init","project_id":30,"tracker_id":4,"status_id":1,"priority_id":1,"assigned_to_id":10,"start_date":"1969-12-31","description":"","custom_fields":[{"id":30,"name":"Category","value":"Issue"},{"id":3,"name":"Functional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67"/>
        <v>https://d0f6bd738d7f1b3e5a7ca70fe4ff75f0.us-east-1.aws.found.io/app/kibana#/discover/Steve-Slow-Train-Analysis-(2080s-and-2083s)?_g=(refreshInterval:(display:Off,pause:!f,section:0,value:0),time:(from:'2017-10-10T11:44:55-0600',mode:absolute,to:'1969-12-31T18:00:00-0600'))&amp;_a=(columns:!('Message%20ID',Summary),filters:!(),index:'emp_*',interval:auto,query:(query_string:(analyze_wildcard:!t,query:'%22rtdc.l.rtdc.4018%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739</v>
      </c>
      <c r="B239" s="7">
        <v>4007</v>
      </c>
      <c r="C239" s="21" t="s">
        <v>194</v>
      </c>
      <c r="D239" s="21" t="s">
        <v>948</v>
      </c>
      <c r="E239" s="13">
        <v>43018.735486111109</v>
      </c>
      <c r="F239" s="13">
        <v>43018.745416666665</v>
      </c>
      <c r="G239" s="7">
        <v>147</v>
      </c>
      <c r="H239" s="21" t="s">
        <v>949</v>
      </c>
      <c r="I239" s="13">
        <v>43018.746666666666</v>
      </c>
      <c r="J239" s="7">
        <v>0</v>
      </c>
      <c r="K239" s="89" t="str">
        <f t="shared" si="168"/>
        <v>4007/4008</v>
      </c>
      <c r="L239" s="185" t="str">
        <f>VLOOKUP(A239,'Trips&amp;Operators'!$C$1:$G$99911,5,FALSE)</f>
        <v>MACDONALD THOMAS</v>
      </c>
      <c r="M239" s="6">
        <f t="shared" si="169"/>
        <v>1.2500000011641532E-3</v>
      </c>
      <c r="N239" s="7">
        <f t="shared" si="175"/>
        <v>1.8000000016763806</v>
      </c>
      <c r="O239" s="7"/>
      <c r="P239" s="7"/>
      <c r="Q239" s="22"/>
      <c r="R239" s="174"/>
      <c r="S239" s="221">
        <f t="shared" si="170"/>
        <v>0</v>
      </c>
      <c r="T239" s="174" t="str">
        <f t="shared" si="171"/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58"/>
        <v>https://d0f6bd738d7f1b3e5a7ca70fe4ff75f0.us-east-1.aws.found.io/app/kibana#/discover/Steve-Slow-Train-Analysis-(2080s-and-2083s)?_g=(refreshInterval:(display:Off,pause:!f,section:0,value:0),time:(from:'2017-10-10T16:39:06-0600',mode:absolute,to:'2017-10-10T18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9" s="204" t="str">
        <f>IF(AA239&lt;VLOOKUP(AG239,Variables!$AC$3:$AD$8,2,FALSE),"Y","N")</f>
        <v>Y</v>
      </c>
      <c r="X239" s="204">
        <f t="shared" si="147"/>
        <v>0</v>
      </c>
      <c r="Y239" s="204">
        <f t="shared" si="159"/>
        <v>2.3917000000000002</v>
      </c>
      <c r="Z239" s="204">
        <f t="shared" si="160"/>
        <v>1.9795</v>
      </c>
      <c r="AA239" s="204">
        <f t="shared" si="172"/>
        <v>0.41220000000000012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73"/>
        <v>62</v>
      </c>
      <c r="AE239" s="77" t="str">
        <f t="shared" si="161"/>
        <v>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 &amp; 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</v>
      </c>
      <c r="AF239" s="74" t="str">
        <f t="shared" si="162"/>
        <v>"C:\Program Files (x86)\AstroGrep\AstroGrep.exe" /e /r /s /spath="%USERPROFILE%\AppData\Local\Temp\OnboardLogs" /stypes="app*4007*20171010*" /stext=" 23:.+((SYSTEM_STATE.+slice.+state.+changed )|(ment ac)|(multiple cpu faults)|(system.+state.+changed )|(\[timeout)|(PRM\|1\|D)|(kpr)|(kdp)|(train st.+moving)|(\|lc)|(penalty))"</v>
      </c>
      <c r="AG239" s="182" t="str">
        <f t="shared" si="174"/>
        <v>Shuttle/Test</v>
      </c>
      <c r="AH239" s="78" t="str">
        <f t="shared" si="163"/>
        <v>"%USERPROFILE%\Documents\GitHub\eaglep3\Utilities\RefineRTDCRunTimes.py" --tripid 62-10 --locoid 4007 --swversion DE.1.0.9.0 --startMP 300:23917 --initTime 2017-10-10T17:39:06 --startdatetime 2017-10-10T17:53:24 --delay 147 --endMP 300:19795 --enddatetime 2017-10-10T17:55:12 --enforcementcount 0 &gt;&gt;%USERPROFILE%\Documents\GitHub\eaglep3-reporting\EC\2017-10-10-refined-times.txt</v>
      </c>
      <c r="AI239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1.9795"},{"id":17,"name":"Train ID","value":"62-10"},{"id":16,"name":"Locomotive ID","value":"4007"},{"id":130,"name":"Impact","value":""},{"id":150,"name":"Time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65"/>
        <v>start /low /b %USERPROFILE%\Documents\GitHub\eaglep3\Utilities\DownloadLogsFromS3.py --loco 4007 --day 2017-10-10</v>
      </c>
      <c r="AN23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67"/>
        <v>https://d0f6bd738d7f1b3e5a7ca70fe4ff75f0.us-east-1.aws.found.io/app/kibana#/discover/Steve-Slow-Train-Analysis-(2080s-and-2083s)?_g=(refreshInterval:(display:Off,pause:!f,section:0,value:0),time:(from:'2017-10-10T16:39:06-0600',mode:absolute,to:'2017-10-10T18:55:12-0600'))&amp;_a=(columns:!('Message%20ID',Summary),filters:!(),index:'emp_*',interval:auto,query:(query_string:(analyze_wildcard:!t,query:'%22rtdc.l.rtdc.4007%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779</v>
      </c>
      <c r="B240" s="7">
        <v>4044</v>
      </c>
      <c r="C240" s="21" t="s">
        <v>194</v>
      </c>
      <c r="D240" s="21" t="s">
        <v>950</v>
      </c>
      <c r="E240" s="13">
        <v>43018.685173611113</v>
      </c>
      <c r="F240" s="13">
        <v>43018.686990740738</v>
      </c>
      <c r="G240" s="7">
        <v>76</v>
      </c>
      <c r="H240" s="21" t="s">
        <v>951</v>
      </c>
      <c r="I240" s="13">
        <v>43018.695393518516</v>
      </c>
      <c r="J240" s="7">
        <v>0</v>
      </c>
      <c r="K240" s="89" t="str">
        <f t="shared" si="168"/>
        <v>4043/4044</v>
      </c>
      <c r="L240" s="185" t="str">
        <f>VLOOKUP(A240,'Trips&amp;Operators'!$C$1:$G$99911,5,FALSE)</f>
        <v>NEWELL JAMES</v>
      </c>
      <c r="M240" s="6">
        <f t="shared" si="169"/>
        <v>8.4027777775190771E-3</v>
      </c>
      <c r="N240" s="7">
        <f t="shared" si="175"/>
        <v>12.099999999627471</v>
      </c>
      <c r="O240" s="7"/>
      <c r="P240" s="7"/>
      <c r="Q240" s="22"/>
      <c r="R240" s="174"/>
      <c r="S240" s="221">
        <f t="shared" si="170"/>
        <v>1</v>
      </c>
      <c r="T240" s="174" t="str">
        <f t="shared" si="171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 t="shared" si="158"/>
        <v>https://d0f6bd738d7f1b3e5a7ca70fe4ff75f0.us-east-1.aws.found.io/app/kibana#/discover/Steve-Slow-Train-Analysis-(2080s-and-2083s)?_g=(refreshInterval:(display:Off,pause:!f,section:0,value:0),time:(from:'2017-10-10T15:26:39-0600',mode:absolute,to:'2017-10-10T17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0" s="204" t="str">
        <f>IF(AA240&lt;VLOOKUP(AG240,Variables!$AC$3:$AD$8,2,FALSE),"Y","N")</f>
        <v>Y</v>
      </c>
      <c r="X240" s="204">
        <f t="shared" si="147"/>
        <v>13</v>
      </c>
      <c r="Y240" s="204">
        <f t="shared" si="159"/>
        <v>0.14749999999999999</v>
      </c>
      <c r="Z240" s="204">
        <f t="shared" si="160"/>
        <v>2.3306</v>
      </c>
      <c r="AA240" s="204">
        <f t="shared" si="172"/>
        <v>2.1831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73"/>
        <v>75</v>
      </c>
      <c r="AE240" s="77" t="str">
        <f t="shared" si="16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40" s="74" t="str">
        <f t="shared" si="162"/>
        <v>"C:\Program Files (x86)\AstroGrep\AstroGrep.exe" /e /r /s /spath="%USERPROFILE%\AppData\Local\Temp\OnboardLogs" /stypes="app*4044*20171010*" /stext=" 22:.+((SYSTEM_STATE.+slice.+state.+changed )|(ment ac)|(multiple cpu faults)|(system.+state.+changed )|(\[timeout)|(PRM\|1\|D)|(kpr)|(kdp)|(train st.+moving)|(\|lc)|(penalty))"</v>
      </c>
      <c r="AG240" s="182" t="str">
        <f t="shared" si="174"/>
        <v>Shuttle/Test</v>
      </c>
      <c r="AH240" s="78" t="str">
        <f t="shared" si="163"/>
        <v>"%USERPROFILE%\Documents\GitHub\eaglep3\Utilities\RefineRTDCRunTimes.py" --tripid 75-10 --locoid 4044 --swversion DE.1.0.9.0 --startMP 204:1475 --initTime 2017-10-10T16:26:39 --startdatetime 2017-10-10T16:29:16 --delay 76 --endMP 300:23306 --enddatetime 2017-10-10T16:41:22 --enforcementcount 0 &gt;&gt;%USERPROFILE%\Documents\GitHub\eaglep3-reporting\EC\2017-10-10-refined-times.txt</v>
      </c>
      <c r="AI240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2.3306"},{"id":17,"name":"Train ID","value":"75-10"},{"id":16,"name":"Locomotive ID","value":"4044"},{"id":130,"name":"Impact","value":""},{"id":150,"name":"Time of Event (Mountain Time)","value":"16:41:22"},{"id":151,"name":"Denver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65"/>
        <v>start /low /b %USERPROFILE%\Documents\GitHub\eaglep3\Utilities\DownloadLogsFromS3.py --loco 4044 --day 2017-10-10</v>
      </c>
      <c r="AN24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67"/>
        <v>https://d0f6bd738d7f1b3e5a7ca70fe4ff75f0.us-east-1.aws.found.io/app/kibana#/discover/Steve-Slow-Train-Analysis-(2080s-and-2083s)?_g=(refreshInterval:(display:Off,pause:!f,section:0,value:0),time:(from:'2017-10-10T15:26:39-0600',mode:absolute,to:'2017-10-10T17:41:22-0600'))&amp;_a=(columns:!('Message%20ID',Summary),filters:!(),index:'emp_*',interval:auto,query:(query_string:(analyze_wildcard:!t,query:'%22rtdc.l.rtdc.4044%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791</v>
      </c>
      <c r="B241" s="7">
        <v>4058</v>
      </c>
      <c r="C241" s="21" t="s">
        <v>194</v>
      </c>
      <c r="D241" s="21" t="s">
        <v>570</v>
      </c>
      <c r="E241" s="13">
        <v>43018.727060185185</v>
      </c>
      <c r="F241" s="13">
        <v>43018.734571759262</v>
      </c>
      <c r="G241" s="7">
        <v>77</v>
      </c>
      <c r="H241" s="21" t="s">
        <v>952</v>
      </c>
      <c r="I241" s="13">
        <v>43018.745844907404</v>
      </c>
      <c r="J241" s="7">
        <v>0</v>
      </c>
      <c r="K241" s="89" t="str">
        <f t="shared" si="168"/>
        <v>4057/4058</v>
      </c>
      <c r="L241" s="185" t="str">
        <f>VLOOKUP(A241,'Trips&amp;Operators'!$C$1:$G$99911,5,FALSE)</f>
        <v>MOSES BRADLEY</v>
      </c>
      <c r="M241" s="6">
        <f t="shared" si="169"/>
        <v>1.1273148142208811E-2</v>
      </c>
      <c r="N241" s="7">
        <f t="shared" si="175"/>
        <v>16.233333324780688</v>
      </c>
      <c r="O241" s="7"/>
      <c r="P241" s="7"/>
      <c r="Q241" s="22"/>
      <c r="R241" s="174"/>
      <c r="S241" s="221">
        <f t="shared" si="170"/>
        <v>1</v>
      </c>
      <c r="T241" s="174" t="str">
        <f t="shared" si="171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158"/>
        <v>https://d0f6bd738d7f1b3e5a7ca70fe4ff75f0.us-east-1.aws.found.io/app/kibana#/discover/Steve-Slow-Train-Analysis-(2080s-and-2083s)?_g=(refreshInterval:(display:Off,pause:!f,section:0,value:0),time:(from:'2017-10-10T16:26:58-0600',mode:absolute,to:'2017-10-10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1" s="204" t="str">
        <f>IF(AA241&lt;VLOOKUP(AG241,Variables!$AC$3:$AD$8,2,FALSE),"Y","N")</f>
        <v>Y</v>
      </c>
      <c r="X241" s="204">
        <f t="shared" si="147"/>
        <v>2</v>
      </c>
      <c r="Y241" s="204">
        <f t="shared" si="159"/>
        <v>0.115</v>
      </c>
      <c r="Z241" s="204">
        <f t="shared" si="160"/>
        <v>2.3298999999999999</v>
      </c>
      <c r="AA241" s="204">
        <f t="shared" si="172"/>
        <v>2.2148999999999996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73"/>
        <v>77</v>
      </c>
      <c r="AE241" s="77" t="str">
        <f t="shared" si="161"/>
        <v>aws s3 cp s3://rtdc.mdm.uploadarchive.raw/RTDC4058/ "%USERPROFILE%\AppData\Local\Temp\OnboardLogs"\RTDC4058\2017-10-10 --exclude "*" --recursive --include "*20171010*" &amp; "%USERPROFILE%\Documents\GitHub\mrs-test-scripts\Headless Mode &amp; Sideloading\WalkAndUnGZ.bat" "%USERPROFILE%\AppData\Local\Temp\OnboardLogs"\RTDC4058\2017-10-10 &amp; aws s3 cp s3://rtdc.mdm.uploadarchive.raw/RTDC4058/ "%USERPROFILE%\AppData\Local\Temp\OnboardLogs"\RTDC4058\2017-10-11 --exclude "*" --recursive --include "*20171011*" &amp; "%USERPROFILE%\Documents\GitHub\mrs-test-scripts\Headless Mode &amp; Sideloading\WalkAndUnGZ.bat" "%USERPROFILE%\AppData\Local\Temp\OnboardLogs"\RTDC4058\2017-10-11</v>
      </c>
      <c r="AF241" s="74" t="str">
        <f t="shared" si="162"/>
        <v>"C:\Program Files (x86)\AstroGrep\AstroGrep.exe" /e /r /s /spath="%USERPROFILE%\AppData\Local\Temp\OnboardLogs" /stypes="app*4058*20171010*" /stext=" 23:.+((SYSTEM_STATE.+slice.+state.+changed )|(ment ac)|(multiple cpu faults)|(system.+state.+changed )|(\[timeout)|(PRM\|1\|D)|(kpr)|(kdp)|(train st.+moving)|(\|lc)|(penalty))"</v>
      </c>
      <c r="AG241" s="182" t="str">
        <f t="shared" si="174"/>
        <v>Shuttle/Test</v>
      </c>
      <c r="AH241" s="78" t="str">
        <f t="shared" si="163"/>
        <v>"%USERPROFILE%\Documents\GitHub\eaglep3\Utilities\RefineRTDCRunTimes.py" --tripid 77-10 --locoid 4058 --swversion DE.1.0.9.0 --startMP 204:1150 --initTime 2017-10-10T17:26:58 --startdatetime 2017-10-10T17:37:47 --delay 77 --endMP 300:23299 --enddatetime 2017-10-10T17:54:01 --enforcementcount 0 &gt;&gt;%USERPROFILE%\Documents\GitHub\eaglep3-reporting\EC\2017-10-10-refined-times.txt</v>
      </c>
      <c r="AI241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2.3299"},{"id":17,"name":"Train ID","value":"77-10"},{"id":16,"name":"Locomotive ID","value":"4058"},{"id":130,"name":"Impact","value":""},{"id":150,"name":"Time of Event (Mountain Time)","value":"17:54:01"},{"id":151,"name":"Denver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165"/>
        <v>start /low /b %USERPROFILE%\Documents\GitHub\eaglep3\Utilities\DownloadLogsFromS3.py --loco 4058 --day 2017-10-10</v>
      </c>
      <c r="AN24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67"/>
        <v>https://d0f6bd738d7f1b3e5a7ca70fe4ff75f0.us-east-1.aws.found.io/app/kibana#/discover/Steve-Slow-Train-Analysis-(2080s-and-2083s)?_g=(refreshInterval:(display:Off,pause:!f,section:0,value:0),time:(from:'2017-10-10T16:26:58-0600',mode:absolute,to:'2017-10-10T18:54:01-0600'))&amp;_a=(columns:!('Message%20ID',Summary),filters:!(),index:'emp_*',interval:auto,query:(query_string:(analyze_wildcard:!t,query:'%22rtdc.l.rtdc.4058%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841</v>
      </c>
      <c r="B242" s="7">
        <v>4008</v>
      </c>
      <c r="C242" s="21" t="s">
        <v>194</v>
      </c>
      <c r="D242" s="21" t="s">
        <v>961</v>
      </c>
      <c r="E242" s="13">
        <v>43018.998194444444</v>
      </c>
      <c r="F242" s="13">
        <v>43019.005694444444</v>
      </c>
      <c r="G242" s="7">
        <v>148</v>
      </c>
      <c r="H242" s="21" t="s">
        <v>962</v>
      </c>
      <c r="I242" s="13">
        <v>43019.007800925923</v>
      </c>
      <c r="J242" s="7">
        <v>0</v>
      </c>
      <c r="K242" s="89" t="str">
        <f t="shared" si="168"/>
        <v>4007/4008</v>
      </c>
      <c r="L242" s="185" t="str">
        <f>VLOOKUP(A242,'Trips&amp;Operators'!$C$1:$G$99911,5,FALSE)</f>
        <v>BARRON PERLA</v>
      </c>
      <c r="M242" s="6">
        <f t="shared" si="169"/>
        <v>2.1064814791316167E-3</v>
      </c>
      <c r="N242" s="7">
        <f t="shared" si="175"/>
        <v>3.033333329949528</v>
      </c>
      <c r="O242" s="7"/>
      <c r="P242" s="7"/>
      <c r="Q242" s="22"/>
      <c r="R242" s="174"/>
      <c r="S242" s="221">
        <f t="shared" si="170"/>
        <v>0</v>
      </c>
      <c r="T242" s="174" t="str">
        <f t="shared" si="171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58"/>
        <v>https://d0f6bd738d7f1b3e5a7ca70fe4ff75f0.us-east-1.aws.found.io/app/kibana#/discover/Steve-Slow-Train-Analysis-(2080s-and-2083s)?_g=(refreshInterval:(display:Off,pause:!f,section:0,value:0),time:(from:'2017-10-10T22:57:24-0600',mode:absolute,to:'2017-10-11T01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2" s="204" t="str">
        <f>IF(AA242&lt;VLOOKUP(AG242,Variables!$AC$3:$AD$8,2,FALSE),"Y","N")</f>
        <v>Y</v>
      </c>
      <c r="X242" s="204">
        <f t="shared" si="147"/>
        <v>4</v>
      </c>
      <c r="Y242" s="204">
        <f t="shared" si="159"/>
        <v>0.1167</v>
      </c>
      <c r="Z242" s="204">
        <f t="shared" si="160"/>
        <v>0.54359999999999997</v>
      </c>
      <c r="AA242" s="204">
        <f t="shared" si="172"/>
        <v>0.42689999999999995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73"/>
        <v>81</v>
      </c>
      <c r="AE242" s="77" t="str">
        <f t="shared" si="161"/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242" s="74" t="str">
        <f t="shared" si="162"/>
        <v>"C:\Program Files (x86)\AstroGrep\AstroGrep.exe" /e /r /s /spath="%USERPROFILE%\AppData\Local\Temp\OnboardLogs" /stypes="app*4008*20171011*" /stext=" 06:.+((SYSTEM_STATE.+slice.+state.+changed )|(ment ac)|(multiple cpu faults)|(system.+state.+changed )|(\[timeout)|(PRM\|1\|D)|(kpr)|(kdp)|(train st.+moving)|(\|lc)|(penalty))"</v>
      </c>
      <c r="AG242" s="182" t="str">
        <f t="shared" si="174"/>
        <v>Shuttle/Test</v>
      </c>
      <c r="AH242" s="78" t="str">
        <f t="shared" si="163"/>
        <v>"%USERPROFILE%\Documents\GitHub\eaglep3\Utilities\RefineRTDCRunTimes.py" --tripid 81-10 --locoid 4008 --swversion DE.1.0.9.0 --startMP 204:1167 --initTime 2017-10-10T23:57:24 --startdatetime 2017-10-11T00:08:12 --delay 148 --endMP 300:5436 --enddatetime 2017-10-11T00:11:14 --enforcementcount 0 &gt;&gt;%USERPROFILE%\Documents\GitHub\eaglep3-reporting\EC\2017-10-10-refined-times.txt</v>
      </c>
      <c r="AI242" s="96" t="str">
        <f t="shared" si="164"/>
        <v>echo {"issue":{"subject":"","project_id":79,"tracker_id":40,"status_id":1,"priority_id":2,"assigned_to_id":338,"start_date":"2017-10-11","description":"","custom_fields":[{"id":1,"name":"Subdivision","value":"Shuttle/Test"},{"id":4,"name":"Milepost","value":"0.5436"},{"id":17,"name":"Train ID","value":"81-10"},{"id":16,"name":"Locomotive ID","value":"4008"},{"id":130,"name":"Impact","value":""},{"id":150,"name":"Time of Event (Mountain Time)","value":"00:11:14"},{"id":151,"name":"Denver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165"/>
        <v>start /low /b %USERPROFILE%\Documents\GitHub\eaglep3\Utilities\DownloadLogsFromS3.py --loco 4008 --day 2017-10-11</v>
      </c>
      <c r="AN242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67"/>
        <v>https://d0f6bd738d7f1b3e5a7ca70fe4ff75f0.us-east-1.aws.found.io/app/kibana#/discover/Steve-Slow-Train-Analysis-(2080s-and-2083s)?_g=(refreshInterval:(display:Off,pause:!f,section:0,value:0),time:(from:'2017-10-10T22:57:24-0600',mode:absolute,to:'2017-10-11T01:11:14-0600'))&amp;_a=(columns:!('Message%20ID',Summary),filters:!(),index:'emp_*',interval:auto,query:(query_string:(analyze_wildcard:!t,query:'%22rtdc.l.rtdc.4008%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</sheetData>
  <autoFilter ref="A12:AG359">
    <sortState ref="A13:AG351">
      <sortCondition ref="AG13:AG234"/>
      <sortCondition ref="AD13:AD234"/>
    </sortState>
  </autoFilter>
  <sortState ref="A13:AN269">
    <sortCondition ref="AG13:AG269"/>
    <sortCondition ref="AD13:AD269"/>
  </sortState>
  <mergeCells count="1">
    <mergeCell ref="A11:P11"/>
  </mergeCells>
  <conditionalFormatting sqref="W11:W12 W365:X1048576 W13:X242">
    <cfRule type="cellIs" dxfId="10" priority="422" operator="equal">
      <formula>"Y"</formula>
    </cfRule>
  </conditionalFormatting>
  <conditionalFormatting sqref="X365:X1048576 X13:X242">
    <cfRule type="cellIs" dxfId="9" priority="405" operator="greaterThan">
      <formula>1</formula>
    </cfRule>
  </conditionalFormatting>
  <conditionalFormatting sqref="X365:X1048576 X12:X242">
    <cfRule type="cellIs" dxfId="8" priority="402" operator="equal">
      <formula>0</formula>
    </cfRule>
  </conditionalFormatting>
  <conditionalFormatting sqref="A13:S24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- 2017-10-10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43018.446817129632</v>
      </c>
      <c r="B7" s="30" t="s">
        <v>595</v>
      </c>
      <c r="C7" s="30" t="s">
        <v>596</v>
      </c>
      <c r="D7" s="30" t="s">
        <v>49</v>
      </c>
      <c r="E7" s="30" t="s">
        <v>185</v>
      </c>
      <c r="F7" s="42">
        <v>0</v>
      </c>
      <c r="G7" s="42">
        <v>245</v>
      </c>
      <c r="H7" s="42">
        <v>31171</v>
      </c>
      <c r="I7" s="42">
        <v>30730</v>
      </c>
      <c r="J7" s="30" t="s">
        <v>186</v>
      </c>
      <c r="K7" s="42">
        <v>30970</v>
      </c>
      <c r="L7" s="131" t="s">
        <v>51</v>
      </c>
      <c r="M7" s="132">
        <f t="shared" ref="M7:M34" si="0">CONVERT((I7-K7)/10000,"mi","ft")*IF(L7="Increasing Mileposts (1)",-1,1)</f>
        <v>-126.72</v>
      </c>
      <c r="N7" s="133" t="str">
        <f>VLOOKUP(C7,'Trips&amp;Operators'!$C$1:$G$99911,5,FALSE)</f>
        <v>MACDONALD THOMAS</v>
      </c>
      <c r="O7" s="176" t="s">
        <v>178</v>
      </c>
      <c r="P7" s="134" t="s">
        <v>357</v>
      </c>
      <c r="Q7" s="30"/>
      <c r="R7" s="81" t="str">
        <f>VLOOKUP(C7,'Train Runs'!$A$13:$AE$10018,31,0)</f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S7" s="84" t="str">
        <f>VLOOKUP(C7,'Train Runs'!$A$13:$AE$10018,22,0)</f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/stypes="*4053*201710101*" /stext=" 16:.+((SYSTEM_STATE.+slice.+state.+changed )|(ment ac)|(multiple cpu faults)|(system.+state.+changed )|(\[timeout)|(PRM\|1\|D)|(kpr)|(kdp)|(train st.+moving)|(\|lc)|(penalty))"</v>
      </c>
      <c r="U7" s="9" t="str">
        <f t="shared" ref="U7:U34" si="2">MID(B7,13,4)</f>
        <v>4053</v>
      </c>
      <c r="V7" s="31">
        <f t="shared" ref="V7:V34" si="3">A7-utc_offset/24</f>
        <v>43018.696817129632</v>
      </c>
      <c r="W7" s="45" t="str">
        <f t="shared" ref="W7:W34" si="4">DetSubdiv(C7)</f>
        <v>EC</v>
      </c>
      <c r="X7" s="22">
        <f t="shared" ref="X7:X34" si="5">VALUE(LEFT(C7,LEN(C7)-3))</f>
        <v>146</v>
      </c>
      <c r="Y7" s="96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Arrival","project_id":79,"tracker_id":40,"status_id":1,"priority_id":2,"assigned_to_id":338,"start_date":"2017-10-10","description":"","custom_fields":[{"id":1,"name":"Subdivision","value":"EC"},{"id":4,"name":"Milepost","value":"3.097"},{"id":17,"name":"Train ID","value":"146-10"},{"id":16,"name":"Locomotive ID","value":"4053"},{"id":130,"name":"Impact","value":""},{"id":150,"name":"Time of Event (Mountain Time)","value":"10:43:25"},{"id":151,"name":"Denver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/c/Users/stu/AppData/Local/Temp/OnboardLogs/RTDC4053 --include="*4053*201710101*"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"%USERPROFILE%\AppData\Local\Temp\OnboardLogs"\RTDC4053\*4053*201710101* &gt;&gt; 2017-10-10-SliceDisagreementCheck.txt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2017-10-10</v>
      </c>
    </row>
    <row r="8" spans="1:32" s="1" customFormat="1" x14ac:dyDescent="0.25">
      <c r="A8" s="31">
        <v>43018.474085648151</v>
      </c>
      <c r="B8" s="30" t="s">
        <v>496</v>
      </c>
      <c r="C8" s="30" t="s">
        <v>598</v>
      </c>
      <c r="D8" s="30" t="s">
        <v>49</v>
      </c>
      <c r="E8" s="30" t="s">
        <v>185</v>
      </c>
      <c r="F8" s="42">
        <v>0</v>
      </c>
      <c r="G8" s="42">
        <v>452</v>
      </c>
      <c r="H8" s="42">
        <v>53668</v>
      </c>
      <c r="I8" s="42">
        <v>52176</v>
      </c>
      <c r="J8" s="30" t="s">
        <v>186</v>
      </c>
      <c r="K8" s="42">
        <v>53277</v>
      </c>
      <c r="L8" s="131" t="s">
        <v>51</v>
      </c>
      <c r="M8" s="132">
        <f t="shared" si="0"/>
        <v>-581.32799999999997</v>
      </c>
      <c r="N8" s="133" t="str">
        <f>VLOOKUP(C8,'Trips&amp;Operators'!$C$1:$G$99911,5,FALSE)</f>
        <v>BROWN JACOB</v>
      </c>
      <c r="O8" s="176" t="s">
        <v>178</v>
      </c>
      <c r="P8" s="134" t="s">
        <v>357</v>
      </c>
      <c r="Q8" s="30"/>
      <c r="R8" s="81" t="str">
        <f>VLOOKUP(C8,'Train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8" s="84" t="str">
        <f>VLOOKUP(C8,'Train Runs'!$A$13:$AE$10018,22,0)</f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/stypes="*4041*201710101*"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43018.724085648151</v>
      </c>
      <c r="W8" s="45" t="str">
        <f t="shared" si="4"/>
        <v>EC</v>
      </c>
      <c r="X8" s="22">
        <f t="shared" si="5"/>
        <v>152</v>
      </c>
      <c r="Y8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Arrival","project_id":79,"tracker_id":40,"status_id":1,"priority_id":2,"assigned_to_id":338,"start_date":"2017-10-10","description":"","custom_fields":[{"id":1,"name":"Subdivision","value":"EC"},{"id":4,"name":"Milepost","value":"5.3277"},{"id":17,"name":"Train ID","value":"152-10"},{"id":16,"name":"Locomotive ID","value":"4041"},{"id":130,"name":"Impact","value":""},{"id":150,"name":"Time of Event (Mountain Time)","value":"11:22:41"},{"id":151,"name":"Denver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/c/Users/stu/AppData/Local/Temp/OnboardLogs/RTDC4041 --include="*4041*201710101*"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8" s="145" t="str">
        <f t="shared" ref="AE8:AE34" si="9">"start /low /b "&amp;dls3logs&amp;" --loco "&amp;U8&amp;" --day "&amp;TEXT(V8,"YYYY-MM-DD")</f>
        <v>start /low /b %USERPROFILE%\Documents\GitHub\eaglep3\Utilities\DownloadLogsFromS3.py --loco 4041 --day 2017-10-10</v>
      </c>
    </row>
    <row r="9" spans="1:32" s="1" customFormat="1" x14ac:dyDescent="0.25">
      <c r="A9" s="31">
        <v>43018.967141203706</v>
      </c>
      <c r="B9" s="30" t="s">
        <v>393</v>
      </c>
      <c r="C9" s="30" t="s">
        <v>617</v>
      </c>
      <c r="D9" s="30" t="s">
        <v>49</v>
      </c>
      <c r="E9" s="30" t="s">
        <v>185</v>
      </c>
      <c r="F9" s="42">
        <v>320</v>
      </c>
      <c r="G9" s="42">
        <v>482</v>
      </c>
      <c r="H9" s="42">
        <v>61919</v>
      </c>
      <c r="I9" s="42">
        <v>63098</v>
      </c>
      <c r="J9" s="30" t="s">
        <v>186</v>
      </c>
      <c r="K9" s="42">
        <v>63069</v>
      </c>
      <c r="L9" s="131" t="s">
        <v>50</v>
      </c>
      <c r="M9" s="132">
        <f t="shared" si="0"/>
        <v>-15.311999999999999</v>
      </c>
      <c r="N9" s="133" t="str">
        <f>VLOOKUP(C9,'Trips&amp;Operators'!$C$1:$G$99911,5,FALSE)</f>
        <v>DUNCAN SHEILA</v>
      </c>
      <c r="O9" s="176" t="s">
        <v>178</v>
      </c>
      <c r="P9" s="134" t="s">
        <v>357</v>
      </c>
      <c r="Q9" s="30"/>
      <c r="R9" s="81" t="str">
        <f>VLOOKUP(C9,'Train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9" s="84" t="str">
        <f>VLOOKUP(C9,'Train Runs'!$A$13:$AE$10018,22,0)</f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9" s="86" t="str">
        <f t="shared" si="1"/>
        <v>"C:\Program Files (x86)\AstroGrep\AstroGrep.exe" /e /r /s /spath="%USERPROFILE%\AppData\Local\Temp\OnboardLogs" /stypes="*4050*201710110*"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4050</v>
      </c>
      <c r="V9" s="31">
        <f t="shared" si="3"/>
        <v>43019.217141203706</v>
      </c>
      <c r="W9" s="45" t="str">
        <f t="shared" si="4"/>
        <v>EC</v>
      </c>
      <c r="X9" s="22">
        <f t="shared" si="5"/>
        <v>237</v>
      </c>
      <c r="Y9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Arrival","project_id":79,"tracker_id":40,"status_id":1,"priority_id":2,"assigned_to_id":338,"start_date":"2017-10-10","description":"","custom_fields":[{"id":1,"name":"Subdivision","value":"EC"},{"id":4,"name":"Milepost","value":"6.3069"},{"id":17,"name":"Train ID","value":"237-10"},{"id":16,"name":"Locomotive ID","value":"4050"},{"id":130,"name":"Impact","value":""},{"id":150,"name":"Time of Event (Mountain Time)","value":"23:12:41"},{"id":151,"name":"Denver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/c/Users/stu/AppData/Local/Temp/OnboardLogs/RTDC4050 --include="*4050*201710110*"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9" s="145" t="str">
        <f t="shared" si="9"/>
        <v>start /low /b %USERPROFILE%\Documents\GitHub\eaglep3\Utilities\DownloadLogsFromS3.py --loco 4050 --day 2017-10-11</v>
      </c>
    </row>
    <row r="10" spans="1:32" s="1" customFormat="1" x14ac:dyDescent="0.25">
      <c r="A10" s="31">
        <v>43018.442372685182</v>
      </c>
      <c r="B10" s="30" t="s">
        <v>595</v>
      </c>
      <c r="C10" s="30" t="s">
        <v>596</v>
      </c>
      <c r="D10" s="30" t="s">
        <v>95</v>
      </c>
      <c r="E10" s="30" t="s">
        <v>185</v>
      </c>
      <c r="F10" s="42">
        <v>160</v>
      </c>
      <c r="G10" s="42">
        <v>218</v>
      </c>
      <c r="H10" s="42">
        <v>63130</v>
      </c>
      <c r="I10" s="42">
        <v>62668</v>
      </c>
      <c r="J10" s="30" t="s">
        <v>186</v>
      </c>
      <c r="K10" s="42">
        <v>63309</v>
      </c>
      <c r="L10" s="131" t="s">
        <v>51</v>
      </c>
      <c r="M10" s="132">
        <f t="shared" si="0"/>
        <v>-338.44800000000004</v>
      </c>
      <c r="N10" s="133" t="str">
        <f>VLOOKUP(C10,'Trips&amp;Operators'!$C$1:$G$99911,5,FALSE)</f>
        <v>MACDONALD THOMAS</v>
      </c>
      <c r="O10" s="176" t="s">
        <v>178</v>
      </c>
      <c r="P10" s="134" t="s">
        <v>357</v>
      </c>
      <c r="Q10" s="30"/>
      <c r="R10" s="81" t="str">
        <f>VLOOKUP(C10,'Train Runs'!$A$13:$AE$10018,31,0)</f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S10" s="84" t="str">
        <f>VLOOKUP(C10,'Train Runs'!$A$13:$AE$10018,22,0)</f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 t="shared" si="1"/>
        <v>"C:\Program Files (x86)\AstroGrep\AstroGrep.exe" /e /r /s /spath="%USERPROFILE%\AppData\Local\Temp\OnboardLogs" /stypes="*4053*201710101*"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4053</v>
      </c>
      <c r="V10" s="31">
        <f t="shared" si="3"/>
        <v>43018.692372685182</v>
      </c>
      <c r="W10" s="45" t="str">
        <f t="shared" si="4"/>
        <v>EC</v>
      </c>
      <c r="X10" s="22">
        <f t="shared" si="5"/>
        <v>146</v>
      </c>
      <c r="Y10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Arrival","project_id":79,"tracker_id":40,"status_id":1,"priority_id":2,"assigned_to_id":338,"start_date":"2017-10-10","description":"","custom_fields":[{"id":1,"name":"Subdivision","value":"EC"},{"id":4,"name":"Milepost","value":"6.3309"},{"id":17,"name":"Train ID","value":"146-10"},{"id":16,"name":"Locomotive ID","value":"4053"},{"id":130,"name":"Impact","value":""},{"id":150,"name":"Time of Event (Mountain Time)","value":"10:37:01"},{"id":151,"name":"Denver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/c/Users/stu/AppData/Local/Temp/OnboardLogs/RTDC4053 --include="*4053*201710101*"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"%USERPROFILE%\AppData\Local\Temp\OnboardLogs"\RTDC4053\*4053*201710101* &gt;&gt; 2017-10-10-SliceDisagreementCheck.txt</v>
      </c>
      <c r="AE10" s="145" t="str">
        <f t="shared" si="9"/>
        <v>start /low /b %USERPROFILE%\Documents\GitHub\eaglep3\Utilities\DownloadLogsFromS3.py --loco 4053 --day 2017-10-10</v>
      </c>
    </row>
    <row r="11" spans="1:32" s="1" customFormat="1" x14ac:dyDescent="0.25">
      <c r="A11" s="31">
        <v>43018.326863425929</v>
      </c>
      <c r="B11" s="30" t="s">
        <v>590</v>
      </c>
      <c r="C11" s="30" t="s">
        <v>591</v>
      </c>
      <c r="D11" s="30" t="s">
        <v>49</v>
      </c>
      <c r="E11" s="30" t="s">
        <v>185</v>
      </c>
      <c r="F11" s="42">
        <v>210</v>
      </c>
      <c r="G11" s="42">
        <v>266</v>
      </c>
      <c r="H11" s="42">
        <v>63587</v>
      </c>
      <c r="I11" s="42">
        <v>63150</v>
      </c>
      <c r="J11" s="30" t="s">
        <v>186</v>
      </c>
      <c r="K11" s="42">
        <v>63309</v>
      </c>
      <c r="L11" s="131" t="s">
        <v>51</v>
      </c>
      <c r="M11" s="132">
        <f t="shared" si="0"/>
        <v>-83.951999999999998</v>
      </c>
      <c r="N11" s="133" t="str">
        <f>VLOOKUP(C11,'Trips&amp;Operators'!$C$1:$G$99911,5,FALSE)</f>
        <v>BROWN JACOB</v>
      </c>
      <c r="O11" s="176" t="s">
        <v>178</v>
      </c>
      <c r="P11" s="134" t="s">
        <v>357</v>
      </c>
      <c r="Q11" s="30"/>
      <c r="R11" s="81" t="str">
        <f>VLOOKUP(C11,'Train Runs'!$A$13:$AE$10018,31,0)</f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S11" s="84" t="str">
        <f>VLOOKUP(C11,'Train Runs'!$A$13:$AE$10018,22,0)</f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/stypes="*4043*201710101*"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43018.576863425929</v>
      </c>
      <c r="W11" s="45" t="str">
        <f t="shared" si="4"/>
        <v>EC</v>
      </c>
      <c r="X11" s="22">
        <f t="shared" si="5"/>
        <v>124</v>
      </c>
      <c r="Y11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Arrival","project_id":79,"tracker_id":40,"status_id":1,"priority_id":2,"assigned_to_id":338,"start_date":"2017-10-10","description":"","custom_fields":[{"id":1,"name":"Subdivision","value":"EC"},{"id":4,"name":"Milepost","value":"6.3309"},{"id":17,"name":"Train ID","value":"124-10"},{"id":16,"name":"Locomotive ID","value":"4043"},{"id":130,"name":"Impact","value":""},{"id":150,"name":"Time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/c/Users/stu/AppData/Local/Temp/OnboardLogs/RTDC4043 --include="*4043*201710101*"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"%USERPROFILE%\AppData\Local\Temp\OnboardLogs"\RTDC4043\*4043*201710101* &gt;&gt; 2017-10-10-SliceDisagreementCheck.txt</v>
      </c>
      <c r="AE11" s="145" t="str">
        <f t="shared" si="9"/>
        <v>start /low /b %USERPROFILE%\Documents\GitHub\eaglep3\Utilities\DownloadLogsFromS3.py --loco 4043 --day 2017-10-10</v>
      </c>
    </row>
    <row r="12" spans="1:32" x14ac:dyDescent="0.25">
      <c r="A12" s="31">
        <v>43018.542280092595</v>
      </c>
      <c r="B12" s="30" t="s">
        <v>496</v>
      </c>
      <c r="C12" s="30" t="s">
        <v>600</v>
      </c>
      <c r="D12" s="30" t="s">
        <v>49</v>
      </c>
      <c r="E12" s="30" t="s">
        <v>185</v>
      </c>
      <c r="F12" s="42">
        <v>430</v>
      </c>
      <c r="G12" s="42">
        <v>483</v>
      </c>
      <c r="H12" s="42">
        <v>104770</v>
      </c>
      <c r="I12" s="42">
        <v>103154</v>
      </c>
      <c r="J12" s="30" t="s">
        <v>186</v>
      </c>
      <c r="K12" s="42">
        <v>103800</v>
      </c>
      <c r="L12" s="131" t="s">
        <v>51</v>
      </c>
      <c r="M12" s="132">
        <f t="shared" si="0"/>
        <v>-341.08800000000002</v>
      </c>
      <c r="N12" s="133" t="str">
        <f>VLOOKUP(C12,'Trips&amp;Operators'!$C$1:$G$99911,5,FALSE)</f>
        <v>LEVIN SCOTT</v>
      </c>
      <c r="O12" s="176" t="s">
        <v>178</v>
      </c>
      <c r="P12" s="134" t="s">
        <v>357</v>
      </c>
      <c r="Q12" s="30"/>
      <c r="R12" s="81" t="str">
        <f>VLOOKUP(C12,'Train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2" s="84" t="str">
        <f>VLOOKUP(C12,'Train Runs'!$A$13:$AE$10018,22,0)</f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/stypes="*4041*201710101*"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43018.792280092595</v>
      </c>
      <c r="W12" s="45" t="str">
        <f t="shared" si="4"/>
        <v>EC</v>
      </c>
      <c r="X12" s="22">
        <f t="shared" si="5"/>
        <v>166</v>
      </c>
      <c r="Y12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Arrival","project_id":79,"tracker_id":40,"status_id":1,"priority_id":2,"assigned_to_id":338,"start_date":"2017-10-10","description":"","custom_fields":[{"id":1,"name":"Subdivision","value":"EC"},{"id":4,"name":"Milepost","value":"10.38"},{"id":17,"name":"Train ID","value":"166-10"},{"id":16,"name":"Locomotive ID","value":"4041"},{"id":130,"name":"Impact","value":""},{"id":150,"name":"Time of Event (Mountain Time)","value":"13:00:53"},{"id":151,"name":"Denver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/c/Users/stu/AppData/Local/Temp/OnboardLogs/RTDC4041 --include="*4041*201710101*"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12" s="145" t="str">
        <f t="shared" si="9"/>
        <v>start /low /b %USERPROFILE%\Documents\GitHub\eaglep3\Utilities\DownloadLogsFromS3.py --loco 4041 --day 2017-10-10</v>
      </c>
      <c r="AF12" s="1"/>
    </row>
    <row r="13" spans="1:32" x14ac:dyDescent="0.25">
      <c r="A13" s="31">
        <v>43018.739594907405</v>
      </c>
      <c r="B13" s="30" t="s">
        <v>604</v>
      </c>
      <c r="C13" s="30" t="s">
        <v>606</v>
      </c>
      <c r="D13" s="30" t="s">
        <v>49</v>
      </c>
      <c r="E13" s="30" t="s">
        <v>185</v>
      </c>
      <c r="F13" s="42">
        <v>0</v>
      </c>
      <c r="G13" s="42">
        <v>221</v>
      </c>
      <c r="H13" s="42">
        <v>110125</v>
      </c>
      <c r="I13" s="42">
        <v>109590</v>
      </c>
      <c r="J13" s="30" t="s">
        <v>186</v>
      </c>
      <c r="K13" s="42">
        <v>109135</v>
      </c>
      <c r="L13" s="131" t="s">
        <v>51</v>
      </c>
      <c r="M13" s="132">
        <f t="shared" si="0"/>
        <v>240.24</v>
      </c>
      <c r="N13" s="133" t="str">
        <f>VLOOKUP(C13,'Trips&amp;Operators'!$C$1:$G$99911,5,FALSE)</f>
        <v>BRUDER RICHARD</v>
      </c>
      <c r="O13" s="176" t="s">
        <v>178</v>
      </c>
      <c r="P13" s="134" t="s">
        <v>357</v>
      </c>
      <c r="Q13" s="30"/>
      <c r="R13" s="81" t="str">
        <f>VLOOKUP(C13,'Train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3" s="84" t="str">
        <f>VLOOKUP(C13,'Train Runs'!$A$13:$AE$10018,22,0)</f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 t="shared" si="1"/>
        <v>"C:\Program Files (x86)\AstroGrep\AstroGrep.exe" /e /r /s /spath="%USERPROFILE%\AppData\Local\Temp\OnboardLogs" /stypes="*4019*201710102*"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4019</v>
      </c>
      <c r="V13" s="31">
        <f t="shared" si="3"/>
        <v>43018.989594907405</v>
      </c>
      <c r="W13" s="45" t="str">
        <f t="shared" si="4"/>
        <v>EC</v>
      </c>
      <c r="X13" s="22">
        <f t="shared" si="5"/>
        <v>204</v>
      </c>
      <c r="Y13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ID","value":"204-10"},{"id":16,"name":"Locomotive ID","value":"4019"},{"id":130,"name":"Impact","value":""},{"id":150,"name":"Time of Event (Mountain Time)","value":"17:45:01"},{"id":151,"name":"Denver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/c/Users/stu/AppData/Local/Temp/OnboardLogs/RTDC4019 --include="*4019*201710102*"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3" s="145" t="str">
        <f t="shared" si="9"/>
        <v>start /low /b %USERPROFILE%\Documents\GitHub\eaglep3\Utilities\DownloadLogsFromS3.py --loco 4019 --day 2017-10-10</v>
      </c>
      <c r="AF13" s="1"/>
    </row>
    <row r="14" spans="1:32" x14ac:dyDescent="0.25">
      <c r="A14" s="31">
        <v>43018.739988425928</v>
      </c>
      <c r="B14" s="30" t="s">
        <v>604</v>
      </c>
      <c r="C14" s="30" t="s">
        <v>606</v>
      </c>
      <c r="D14" s="30" t="s">
        <v>49</v>
      </c>
      <c r="E14" s="30" t="s">
        <v>185</v>
      </c>
      <c r="F14" s="42">
        <v>30</v>
      </c>
      <c r="G14" s="42">
        <v>90</v>
      </c>
      <c r="H14" s="42">
        <v>109491</v>
      </c>
      <c r="I14" s="42">
        <v>109423</v>
      </c>
      <c r="J14" s="30" t="s">
        <v>186</v>
      </c>
      <c r="K14" s="42">
        <v>109135</v>
      </c>
      <c r="L14" s="131" t="s">
        <v>51</v>
      </c>
      <c r="M14" s="132">
        <f t="shared" si="0"/>
        <v>152.06399999999999</v>
      </c>
      <c r="N14" s="133" t="str">
        <f>VLOOKUP(C14,'Trips&amp;Operators'!$C$1:$G$99911,5,FALSE)</f>
        <v>BRUDER RICHARD</v>
      </c>
      <c r="O14" s="176" t="s">
        <v>178</v>
      </c>
      <c r="P14" s="134" t="s">
        <v>357</v>
      </c>
      <c r="Q14" s="30"/>
      <c r="R14" s="81" t="str">
        <f>VLOOKUP(C14,'Train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4" s="84" t="str">
        <f>VLOOKUP(C14,'Train Runs'!$A$13:$AE$10018,22,0)</f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4" s="86" t="str">
        <f t="shared" si="1"/>
        <v>"C:\Program Files (x86)\AstroGrep\AstroGrep.exe" /e /r /s /spath="%USERPROFILE%\AppData\Local\Temp\OnboardLogs" /stypes="*4019*201710102*"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4019</v>
      </c>
      <c r="V14" s="31">
        <f t="shared" si="3"/>
        <v>43018.989988425928</v>
      </c>
      <c r="W14" s="45" t="str">
        <f t="shared" si="4"/>
        <v>EC</v>
      </c>
      <c r="X14" s="22">
        <f t="shared" si="5"/>
        <v>204</v>
      </c>
      <c r="Y14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ID","value":"204-10"},{"id":16,"name":"Locomotive ID","value":"4019"},{"id":130,"name":"Impact","value":""},{"id":150,"name":"Time of Event (Mountain Time)","value":"17:45:35"},{"id":151,"name":"Denver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/c/Users/stu/AppData/Local/Temp/OnboardLogs/RTDC4019 --include="*4019*201710102*"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4" s="145" t="str">
        <f t="shared" si="9"/>
        <v>start /low /b %USERPROFILE%\Documents\GitHub\eaglep3\Utilities\DownloadLogsFromS3.py --loco 4019 --day 2017-10-10</v>
      </c>
      <c r="AF14" s="1"/>
    </row>
    <row r="15" spans="1:32" x14ac:dyDescent="0.25">
      <c r="A15" s="31">
        <v>43018.613703703704</v>
      </c>
      <c r="B15" s="30" t="s">
        <v>496</v>
      </c>
      <c r="C15" s="30" t="s">
        <v>602</v>
      </c>
      <c r="D15" s="30" t="s">
        <v>49</v>
      </c>
      <c r="E15" s="30" t="s">
        <v>185</v>
      </c>
      <c r="F15" s="42">
        <v>350</v>
      </c>
      <c r="G15" s="42">
        <v>420</v>
      </c>
      <c r="H15" s="42">
        <v>110029</v>
      </c>
      <c r="I15" s="42">
        <v>109010</v>
      </c>
      <c r="J15" s="30" t="s">
        <v>186</v>
      </c>
      <c r="K15" s="42">
        <v>109135</v>
      </c>
      <c r="L15" s="131" t="s">
        <v>51</v>
      </c>
      <c r="M15" s="132">
        <f t="shared" si="0"/>
        <v>-66</v>
      </c>
      <c r="N15" s="133" t="str">
        <f>VLOOKUP(C15,'Trips&amp;Operators'!$C$1:$G$99911,5,FALSE)</f>
        <v>LEVIN SCOTT</v>
      </c>
      <c r="O15" s="176" t="s">
        <v>178</v>
      </c>
      <c r="P15" s="134" t="s">
        <v>357</v>
      </c>
      <c r="Q15" s="30"/>
      <c r="R15" s="81" t="str">
        <f>VLOOKUP(C15,'Train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5" s="84" t="str">
        <f>VLOOKUP(C15,'Train Runs'!$A$13:$AE$10018,22,0)</f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/stypes="*4041*201710102*" /stext=" 20:.+((SYSTEM_STATE.+slice.+state.+changed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43018.863703703704</v>
      </c>
      <c r="W15" s="45" t="str">
        <f t="shared" si="4"/>
        <v>EC</v>
      </c>
      <c r="X15" s="22">
        <f t="shared" si="5"/>
        <v>180</v>
      </c>
      <c r="Y15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ID","value":"180-10"},{"id":16,"name":"Locomotive ID","value":"4041"},{"id":130,"name":"Impact","value":""},{"id":150,"name":"Time of Event (Mountain Time)","value":"14:43:44"},{"id":151,"name":"Denver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/c/Users/stu/AppData/Local/Temp/OnboardLogs/RTDC4041 --include="*4041*201710102*"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"%USERPROFILE%\AppData\Local\Temp\OnboardLogs"\RTDC4041\*4041*201710102* &gt;&gt; 2017-10-10-SliceDisagreementCheck.txt</v>
      </c>
      <c r="AE15" s="145" t="str">
        <f t="shared" si="9"/>
        <v>start /low /b %USERPROFILE%\Documents\GitHub\eaglep3\Utilities\DownloadLogsFromS3.py --loco 4041 --day 2017-10-10</v>
      </c>
      <c r="AF15" s="1"/>
    </row>
    <row r="16" spans="1:32" x14ac:dyDescent="0.25">
      <c r="A16" s="31">
        <v>43018.541446759256</v>
      </c>
      <c r="B16" s="30" t="s">
        <v>496</v>
      </c>
      <c r="C16" s="30" t="s">
        <v>600</v>
      </c>
      <c r="D16" s="30" t="s">
        <v>95</v>
      </c>
      <c r="E16" s="30" t="s">
        <v>185</v>
      </c>
      <c r="F16" s="42">
        <v>420</v>
      </c>
      <c r="G16" s="42">
        <v>472</v>
      </c>
      <c r="H16" s="42">
        <v>109015</v>
      </c>
      <c r="I16" s="42">
        <v>107166</v>
      </c>
      <c r="J16" s="30" t="s">
        <v>186</v>
      </c>
      <c r="K16" s="42">
        <v>109135</v>
      </c>
      <c r="L16" s="131" t="s">
        <v>51</v>
      </c>
      <c r="M16" s="132">
        <f t="shared" si="0"/>
        <v>-1039.6320000000001</v>
      </c>
      <c r="N16" s="133" t="str">
        <f>VLOOKUP(C16,'Trips&amp;Operators'!$C$1:$G$99911,5,FALSE)</f>
        <v>LEVIN SCOTT</v>
      </c>
      <c r="O16" s="176" t="s">
        <v>178</v>
      </c>
      <c r="P16" s="134" t="s">
        <v>357</v>
      </c>
      <c r="Q16" s="30"/>
      <c r="R16" s="81" t="str">
        <f>VLOOKUP(C16,'Train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6" s="84" t="str">
        <f>VLOOKUP(C16,'Train Runs'!$A$13:$AE$10018,22,0)</f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 t="shared" si="1"/>
        <v>"C:\Program Files (x86)\AstroGrep\AstroGrep.exe" /e /r /s /spath="%USERPROFILE%\AppData\Local\Temp\OnboardLogs" /stypes="*4041*201710101*"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43018.791446759256</v>
      </c>
      <c r="W16" s="45" t="str">
        <f t="shared" si="4"/>
        <v>EC</v>
      </c>
      <c r="X16" s="22">
        <f t="shared" si="5"/>
        <v>166</v>
      </c>
      <c r="Y16" s="96" t="str">
        <f t="shared" si="6"/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ID","value":"166-10"},{"id":16,"name":"Locomotive ID","value":"4041"},{"id":130,"name":"Impact","value":""},{"id":150,"name":"Time of Event (Mountain Time)","value":"12:59:41"},{"id":151,"name":"Denver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/c/Users/stu/AppData/Local/Temp/OnboardLogs/RTDC4041 --include="*4041*201710101*"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16" s="145" t="str">
        <f t="shared" si="9"/>
        <v>start /low /b %USERPROFILE%\Documents\GitHub\eaglep3\Utilities\DownloadLogsFromS3.py --loco 4041 --day 2017-10-10</v>
      </c>
      <c r="AF16" s="1"/>
    </row>
    <row r="17" spans="1:32" x14ac:dyDescent="0.25">
      <c r="A17" s="31">
        <v>43018.669930555552</v>
      </c>
      <c r="B17" s="30" t="s">
        <v>442</v>
      </c>
      <c r="C17" s="30" t="s">
        <v>603</v>
      </c>
      <c r="D17" s="30" t="s">
        <v>49</v>
      </c>
      <c r="E17" s="30" t="s">
        <v>192</v>
      </c>
      <c r="F17" s="42">
        <v>400</v>
      </c>
      <c r="G17" s="42">
        <v>527</v>
      </c>
      <c r="H17" s="42">
        <v>16400</v>
      </c>
      <c r="I17" s="42">
        <v>17954</v>
      </c>
      <c r="J17" s="30" t="s">
        <v>193</v>
      </c>
      <c r="K17" s="42">
        <v>17867</v>
      </c>
      <c r="L17" s="131" t="s">
        <v>50</v>
      </c>
      <c r="M17" s="132">
        <f t="shared" si="0"/>
        <v>-45.936</v>
      </c>
      <c r="N17" s="133" t="str">
        <f>VLOOKUP(C17,'Trips&amp;Operators'!$C$1:$G$99911,5,FALSE)</f>
        <v>DAVIS MICHAEL</v>
      </c>
      <c r="O17" s="176" t="s">
        <v>178</v>
      </c>
      <c r="P17" s="134"/>
      <c r="Q17" s="30"/>
      <c r="R17" s="81" t="str">
        <f>VLOOKUP(C17,'Train Runs'!$A$13:$AE$10018,31,0)</f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S17" s="84" t="str">
        <f>VLOOKUP(C17,'Train Runs'!$A$13:$AE$10018,22,0)</f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7" s="86" t="str">
        <f t="shared" si="1"/>
        <v>"C:\Program Files (x86)\AstroGrep\AstroGrep.exe" /e /r /s /spath="%USERPROFILE%\AppData\Local\Temp\OnboardLogs" /stypes="*4066*201710102*"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4066</v>
      </c>
      <c r="V17" s="31">
        <f t="shared" si="3"/>
        <v>43018.919930555552</v>
      </c>
      <c r="W17" s="45" t="str">
        <f t="shared" si="4"/>
        <v>EC</v>
      </c>
      <c r="X17" s="22">
        <f t="shared" si="5"/>
        <v>199</v>
      </c>
      <c r="Y17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{"issue":{"subject":"","project_id":79,"tracker_id":40,"status_id":1,"priority_id":2,"assigned_to_id":338,"start_date":"2017-10-10","description":"","custom_fields":[{"id":1,"name":"Subdivision","value":"EC"},{"id":4,"name":"Milepost","value":"1.7867"},{"id":17,"name":"Train ID","value":"199-10"},{"id":16,"name":"Locomotive ID","value":"4066"},{"id":130,"name":"Impact","value":""},{"id":150,"name":"Time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/c/Users/stu/AppData/Local/Temp/OnboardLogs/RTDC4066 --include="*4066*201710102*"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"%USERPROFILE%\AppData\Local\Temp\OnboardLogs"\RTDC4066\*4066*201710102* &gt;&gt; 2017-10-10-SliceDisagreementCheck.txt</v>
      </c>
      <c r="AE17" s="145" t="str">
        <f t="shared" si="9"/>
        <v>start /low /b %USERPROFILE%\Documents\GitHub\eaglep3\Utilities\DownloadLogsFromS3.py --loco 4066 --day 2017-10-10</v>
      </c>
      <c r="AF17" s="1"/>
    </row>
    <row r="18" spans="1:32" x14ac:dyDescent="0.25">
      <c r="A18" s="31">
        <v>43018.919432870367</v>
      </c>
      <c r="B18" s="30" t="s">
        <v>614</v>
      </c>
      <c r="C18" s="30" t="s">
        <v>615</v>
      </c>
      <c r="D18" s="30" t="s">
        <v>49</v>
      </c>
      <c r="E18" s="30" t="s">
        <v>192</v>
      </c>
      <c r="F18" s="42">
        <v>400</v>
      </c>
      <c r="G18" s="42">
        <v>462</v>
      </c>
      <c r="H18" s="42">
        <v>17610</v>
      </c>
      <c r="I18" s="42">
        <v>18309</v>
      </c>
      <c r="J18" s="30" t="s">
        <v>193</v>
      </c>
      <c r="K18" s="42">
        <v>17867</v>
      </c>
      <c r="L18" s="131" t="s">
        <v>50</v>
      </c>
      <c r="M18" s="132">
        <f t="shared" si="0"/>
        <v>-233.376</v>
      </c>
      <c r="N18" s="133" t="str">
        <f>VLOOKUP(C18,'Trips&amp;Operators'!$C$1:$G$99911,5,FALSE)</f>
        <v>ROBINSON KADDIBA</v>
      </c>
      <c r="O18" s="176" t="s">
        <v>178</v>
      </c>
      <c r="P18" s="134"/>
      <c r="Q18" s="30"/>
      <c r="R18" s="81" t="str">
        <f>VLOOKUP(C18,'Train Runs'!$A$13:$AE$10018,31,0)</f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S18" s="84" t="str">
        <f>VLOOKUP(C18,'Train Runs'!$A$13:$AE$10018,22,0)</f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86" t="str">
        <f t="shared" si="1"/>
        <v>"C:\Program Files (x86)\AstroGrep\AstroGrep.exe" /e /r /s /spath="%USERPROFILE%\AppData\Local\Temp\OnboardLogs" /stypes="*4020*201710110*" /stext=" 04:.+((SYSTEM_STATE.+slice.+state.+changed )|(ment ac)|(multiple cpu faults)|(system.+state.+changed )|(\[timeout)|(PRM\|1\|D)|(kpr)|(kdp)|(train st.+moving)|(\|lc)|(penalty))"</v>
      </c>
      <c r="U18" s="9" t="str">
        <f t="shared" si="2"/>
        <v>4020</v>
      </c>
      <c r="V18" s="31">
        <f t="shared" si="3"/>
        <v>43019.169432870367</v>
      </c>
      <c r="W18" s="45" t="str">
        <f t="shared" si="4"/>
        <v>EC</v>
      </c>
      <c r="X18" s="22">
        <f t="shared" si="5"/>
        <v>233</v>
      </c>
      <c r="Y18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{"issue":{"subject":"","project_id":79,"tracker_id":40,"status_id":1,"priority_id":2,"assigned_to_id":338,"start_date":"2017-10-10","description":"","custom_fields":[{"id":1,"name":"Subdivision","value":"EC"},{"id":4,"name":"Milepost","value":"1.7867"},{"id":17,"name":"Train ID","value":"233-10"},{"id":16,"name":"Locomotive ID","value":"4020"},{"id":130,"name":"Impact","value":""},{"id":150,"name":"Time of Event (Mountain Time)","value":"22:03:59"},{"id":151,"name":"Denver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/c/Users/stu/AppData/Local/Temp/OnboardLogs/RTDC4020 --include="*4020*201710110*"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"%USERPROFILE%\AppData\Local\Temp\OnboardLogs"\RTDC4020\*4020*201710110* &gt;&gt; 2017-10-10-SliceDisagreementCheck.txt</v>
      </c>
      <c r="AE18" s="145" t="str">
        <f t="shared" si="9"/>
        <v>start /low /b %USERPROFILE%\Documents\GitHub\eaglep3\Utilities\DownloadLogsFromS3.py --loco 4020 --day 2017-10-11</v>
      </c>
      <c r="AF18" s="1"/>
    </row>
    <row r="19" spans="1:32" x14ac:dyDescent="0.25">
      <c r="A19" s="31">
        <v>43018.67496527778</v>
      </c>
      <c r="B19" s="30" t="s">
        <v>604</v>
      </c>
      <c r="C19" s="30" t="s">
        <v>605</v>
      </c>
      <c r="D19" s="30" t="s">
        <v>49</v>
      </c>
      <c r="E19" s="30" t="s">
        <v>192</v>
      </c>
      <c r="F19" s="42">
        <v>200</v>
      </c>
      <c r="G19" s="42">
        <v>250</v>
      </c>
      <c r="H19" s="42">
        <v>31191</v>
      </c>
      <c r="I19" s="42">
        <v>28585</v>
      </c>
      <c r="J19" s="30" t="s">
        <v>193</v>
      </c>
      <c r="K19" s="42">
        <v>30562</v>
      </c>
      <c r="L19" s="131" t="s">
        <v>51</v>
      </c>
      <c r="M19" s="132">
        <f t="shared" si="0"/>
        <v>-1043.856</v>
      </c>
      <c r="N19" s="133" t="str">
        <f>VLOOKUP(C19,'Trips&amp;Operators'!$C$1:$G$99911,5,FALSE)</f>
        <v>BRUDER RICHARD</v>
      </c>
      <c r="O19" s="176" t="s">
        <v>178</v>
      </c>
      <c r="P19" s="134"/>
      <c r="Q19" s="30"/>
      <c r="R19" s="81" t="str">
        <f>VLOOKUP(C19,'Train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9" s="84" t="str">
        <f>VLOOKUP(C19,'Train Runs'!$A$13:$AE$10018,22,0)</f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 t="shared" si="1"/>
        <v>"C:\Program Files (x86)\AstroGrep\AstroGrep.exe" /e /r /s /spath="%USERPROFILE%\AppData\Local\Temp\OnboardLogs" /stypes="*4019*201710102*"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4019</v>
      </c>
      <c r="V19" s="31">
        <f t="shared" si="3"/>
        <v>43018.92496527778</v>
      </c>
      <c r="W19" s="45" t="str">
        <f t="shared" si="4"/>
        <v>EC</v>
      </c>
      <c r="X19" s="22">
        <f t="shared" si="5"/>
        <v>190</v>
      </c>
      <c r="Y19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{"issue":{"subject":"","project_id":79,"tracker_id":40,"status_id":1,"priority_id":2,"assigned_to_id":338,"start_date":"2017-10-10","description":"","custom_fields":[{"id":1,"name":"Subdivision","value":"EC"},{"id":4,"name":"Milepost","value":"3.0562"},{"id":17,"name":"Train ID","value":"190-10"},{"id":16,"name":"Locomotive ID","value":"4019"},{"id":130,"name":"Impact","value":""},{"id":150,"name":"Time of Event (Mountain Time)","value":"16:11:57"},{"id":151,"name":"Denver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/c/Users/stu/AppData/Local/Temp/OnboardLogs/RTDC4019 --include="*4019*201710102*"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9" s="145" t="str">
        <f t="shared" si="9"/>
        <v>start /low /b %USERPROFILE%\Documents\GitHub\eaglep3\Utilities\DownloadLogsFromS3.py --loco 4019 --day 2017-10-10</v>
      </c>
      <c r="AF19" s="1"/>
    </row>
    <row r="20" spans="1:32" x14ac:dyDescent="0.25">
      <c r="A20" s="31">
        <v>43018.478564814817</v>
      </c>
      <c r="B20" s="30" t="s">
        <v>400</v>
      </c>
      <c r="C20" s="30" t="s">
        <v>599</v>
      </c>
      <c r="D20" s="30" t="s">
        <v>95</v>
      </c>
      <c r="E20" s="30" t="s">
        <v>192</v>
      </c>
      <c r="F20" s="42">
        <v>350</v>
      </c>
      <c r="G20" s="42">
        <v>400</v>
      </c>
      <c r="H20" s="42">
        <v>225615</v>
      </c>
      <c r="I20" s="42">
        <v>224583</v>
      </c>
      <c r="J20" s="30" t="s">
        <v>193</v>
      </c>
      <c r="K20" s="42">
        <v>232107</v>
      </c>
      <c r="L20" s="131" t="s">
        <v>51</v>
      </c>
      <c r="M20" s="132">
        <f t="shared" si="0"/>
        <v>-3972.672</v>
      </c>
      <c r="N20" s="133" t="str">
        <f>VLOOKUP(C20,'Trips&amp;Operators'!$C$1:$G$99911,5,FALSE)</f>
        <v>YANAI IAN</v>
      </c>
      <c r="O20" s="176" t="s">
        <v>178</v>
      </c>
      <c r="P20" s="134"/>
      <c r="Q20" s="30"/>
      <c r="R20" s="81" t="str">
        <f>VLOOKUP(C20,'Train Runs'!$A$13:$AE$10018,31,0)</f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S20" s="84" t="str">
        <f>VLOOKUP(C20,'Train Runs'!$A$13:$AE$10018,22,0)</f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6" t="str">
        <f t="shared" si="1"/>
        <v>"C:\Program Files (x86)\AstroGrep\AstroGrep.exe" /e /r /s /spath="%USERPROFILE%\AppData\Local\Temp\OnboardLogs" /stypes="*4055*201710101*"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4055</v>
      </c>
      <c r="V20" s="31">
        <f t="shared" si="3"/>
        <v>43018.728564814817</v>
      </c>
      <c r="W20" s="45" t="str">
        <f t="shared" si="4"/>
        <v>EC</v>
      </c>
      <c r="X20" s="22">
        <f t="shared" si="5"/>
        <v>156</v>
      </c>
      <c r="Y20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{"issue":{"subject":"","project_id":79,"tracker_id":40,"status_id":1,"priority_id":2,"assigned_to_id":338,"start_date":"2017-10-10","description":"","custom_fields":[{"id":1,"name":"Subdivision","value":"EC"},{"id":4,"name":"Milepost","value":"23.2107"},{"id":17,"name":"Train ID","value":"156-10"},{"id":16,"name":"Locomotive ID","value":"4055"},{"id":130,"name":"Impact","value":""},{"id":150,"name":"Time of Event (Mountain Time)","value":"11:29:08"},{"id":151,"name":"Denver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/c/Users/stu/AppData/Local/Temp/OnboardLogs/RTDC4055 --include="*4055*201710101*"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"%USERPROFILE%\AppData\Local\Temp\OnboardLogs"\RTDC4055\*4055*201710101* &gt;&gt; 2017-10-10-SliceDisagreementCheck.txt</v>
      </c>
      <c r="AE20" s="145" t="str">
        <f t="shared" si="9"/>
        <v>start /low /b %USERPROFILE%\Documents\GitHub\eaglep3\Utilities\DownloadLogsFromS3.py --loco 4055 --day 2017-10-10</v>
      </c>
      <c r="AF20" s="1"/>
    </row>
    <row r="21" spans="1:32" x14ac:dyDescent="0.25">
      <c r="A21" s="31">
        <v>43018.973900462966</v>
      </c>
      <c r="B21" s="30" t="s">
        <v>393</v>
      </c>
      <c r="C21" s="30" t="s">
        <v>617</v>
      </c>
      <c r="D21" s="30" t="s">
        <v>49</v>
      </c>
      <c r="E21" s="30" t="s">
        <v>618</v>
      </c>
      <c r="F21" s="42">
        <v>0</v>
      </c>
      <c r="G21" s="42">
        <v>549</v>
      </c>
      <c r="H21" s="42">
        <v>125455</v>
      </c>
      <c r="I21" s="42">
        <v>127395</v>
      </c>
      <c r="J21" s="30" t="s">
        <v>619</v>
      </c>
      <c r="K21" s="42">
        <v>126678</v>
      </c>
      <c r="L21" s="131" t="s">
        <v>50</v>
      </c>
      <c r="M21" s="132">
        <f t="shared" si="0"/>
        <v>-378.57600000000002</v>
      </c>
      <c r="N21" s="133" t="str">
        <f>VLOOKUP(C21,'Trips&amp;Operators'!$C$1:$G$99911,5,FALSE)</f>
        <v>DUNCAN SHEILA</v>
      </c>
      <c r="O21" s="176" t="s">
        <v>380</v>
      </c>
      <c r="P21" s="134" t="s">
        <v>405</v>
      </c>
      <c r="Q21" s="30"/>
      <c r="R21" s="81" t="str">
        <f>VLOOKUP(C21,'Train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21" s="84" t="str">
        <f>VLOOKUP(C21,'Train Runs'!$A$13:$AE$10018,22,0)</f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 t="shared" si="1"/>
        <v>"C:\Program Files (x86)\AstroGrep\AstroGrep.exe" /e /r /s /spath="%USERPROFILE%\AppData\Local\Temp\OnboardLogs" /stypes="*4050*201710110*" /stext=" 05:.+((SYSTEM_STATE.+slice.+state.+changed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43019.223900462966</v>
      </c>
      <c r="W21" s="45" t="str">
        <f t="shared" si="4"/>
        <v>EC</v>
      </c>
      <c r="X21" s="22">
        <f t="shared" si="5"/>
        <v>237</v>
      </c>
      <c r="Y21" s="96" t="str">
        <f t="shared" si="6"/>
        <v>echo {"issue":{"subject":"Wi-MAX data drop","project_id":79,"tracker_id":40,"status_id":1,"priority_id":2,"assigned_to_id":338,"start_date":"2017-10-10","description":"","custom_fields":[{"id":1,"name":"Subdivision","value":"EC"},{"id":4,"name":"Milepost","value":"12.6678"},{"id":17,"name":"Train ID","value":"237-10"},{"id":16,"name":"Locomotive ID","value":"4050"},{"id":130,"name":"Impact","value":""},{"id":150,"name":"Time of Event (Mountain Time)","value":"23:22:25"},{"id":151,"name":"Denver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/c/Users/stu/AppData/Local/Temp/OnboardLogs/RTDC4050 --include="*4050*201710110*"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21" s="145" t="str">
        <f t="shared" si="9"/>
        <v>start /low /b %USERPROFILE%\Documents\GitHub\eaglep3\Utilities\DownloadLogsFromS3.py --loco 4050 --day 2017-10-11</v>
      </c>
      <c r="AF21" s="1"/>
    </row>
    <row r="22" spans="1:32" x14ac:dyDescent="0.25">
      <c r="A22" s="31">
        <v>43018.483495370368</v>
      </c>
      <c r="B22" s="30" t="s">
        <v>496</v>
      </c>
      <c r="C22" s="30" t="s">
        <v>598</v>
      </c>
      <c r="D22" s="30" t="s">
        <v>49</v>
      </c>
      <c r="E22" s="30" t="s">
        <v>179</v>
      </c>
      <c r="F22" s="42">
        <v>0</v>
      </c>
      <c r="G22" s="42">
        <v>75</v>
      </c>
      <c r="H22" s="42">
        <v>362</v>
      </c>
      <c r="I22" s="42">
        <v>271</v>
      </c>
      <c r="J22" s="30" t="s">
        <v>180</v>
      </c>
      <c r="K22" s="42">
        <v>1</v>
      </c>
      <c r="L22" s="131" t="s">
        <v>51</v>
      </c>
      <c r="M22" s="132">
        <f t="shared" si="0"/>
        <v>142.56</v>
      </c>
      <c r="N22" s="133" t="str">
        <f>VLOOKUP(C22,'Trips&amp;Operators'!$C$1:$G$99911,5,FALSE)</f>
        <v>BROWN JACOB</v>
      </c>
      <c r="O22" s="176" t="s">
        <v>178</v>
      </c>
      <c r="P22" s="134"/>
      <c r="Q22" s="30"/>
      <c r="R22" s="81" t="str">
        <f>VLOOKUP(C22,'Train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22" s="84" t="str">
        <f>VLOOKUP(C22,'Train Runs'!$A$13:$AE$10018,22,0)</f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/stypes="*4041*201710101*"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43018.733495370368</v>
      </c>
      <c r="W22" s="45" t="str">
        <f t="shared" si="4"/>
        <v>EC</v>
      </c>
      <c r="X22" s="22">
        <f t="shared" si="5"/>
        <v>152</v>
      </c>
      <c r="Y22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{"issue":{"subject":"","project_id":79,"tracker_id":40,"status_id":1,"priority_id":2,"assigned_to_id":338,"start_date":"2017-10-10","description":"","custom_fields":[{"id":1,"name":"Subdivision","value":"EC"},{"id":4,"name":"Milepost","value":"0.0001"},{"id":17,"name":"Train ID","value":"152-10"},{"id":16,"name":"Locomotive ID","value":"4041"},{"id":130,"name":"Impact","value":""},{"id":150,"name":"Time of Event (Mountain Time)","value":"11:36:14"},{"id":151,"name":"Denver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/c/Users/stu/AppData/Local/Temp/OnboardLogs/RTDC4041 --include="*4041*201710101*"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22" s="145" t="str">
        <f t="shared" si="9"/>
        <v>start /low /b %USERPROFILE%\Documents\GitHub\eaglep3\Utilities\DownloadLogsFromS3.py --loco 4041 --day 2017-10-10</v>
      </c>
      <c r="AF22" s="1"/>
    </row>
    <row r="23" spans="1:32" x14ac:dyDescent="0.25">
      <c r="A23" s="31">
        <v>43018.546087962961</v>
      </c>
      <c r="B23" s="30" t="s">
        <v>529</v>
      </c>
      <c r="C23" s="30" t="s">
        <v>601</v>
      </c>
      <c r="D23" s="30" t="s">
        <v>49</v>
      </c>
      <c r="E23" s="30" t="s">
        <v>179</v>
      </c>
      <c r="F23" s="42">
        <v>0</v>
      </c>
      <c r="G23" s="42">
        <v>66</v>
      </c>
      <c r="H23" s="42">
        <v>247</v>
      </c>
      <c r="I23" s="42">
        <v>181</v>
      </c>
      <c r="J23" s="30" t="s">
        <v>180</v>
      </c>
      <c r="K23" s="42">
        <v>1</v>
      </c>
      <c r="L23" s="131" t="s">
        <v>51</v>
      </c>
      <c r="M23" s="132">
        <f t="shared" si="0"/>
        <v>95.04</v>
      </c>
      <c r="N23" s="133" t="str">
        <f>VLOOKUP(C23,'Trips&amp;Operators'!$C$1:$G$99911,5,FALSE)</f>
        <v>STEWART MICHAEL</v>
      </c>
      <c r="O23" s="176" t="s">
        <v>178</v>
      </c>
      <c r="P23" s="134"/>
      <c r="Q23" s="30"/>
      <c r="R23" s="81" t="str">
        <f>VLOOKUP(C23,'Train Runs'!$A$13:$AE$10018,31,0)</f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S23" s="84" t="str">
        <f>VLOOKUP(C23,'Train Runs'!$A$13:$AE$10018,22,0)</f>
        <v>https://d0f6bd738d7f1b3e5a7ca70fe4ff75f0.us-east-1.aws.found.io/app/kibana#/discover/Steve-Slow-Train-Analysis-(2080s-and-2083s)?_g=(refreshInterval:(display:Off,pause:!f,section:0,value:0),time:(from:'2017-10-10T11:22:30-0600',mode:absolute,to:'2017-10-10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3" s="86" t="str">
        <f t="shared" si="1"/>
        <v>"C:\Program Files (x86)\AstroGrep\AstroGrep.exe" /e /r /s /spath="%USERPROFILE%\AppData\Local\Temp\OnboardLogs" /stypes="*4051*201710101*"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4051</v>
      </c>
      <c r="V23" s="31">
        <f t="shared" si="3"/>
        <v>43018.796087962961</v>
      </c>
      <c r="W23" s="45" t="str">
        <f t="shared" si="4"/>
        <v>EC</v>
      </c>
      <c r="X23" s="22">
        <f t="shared" si="5"/>
        <v>164</v>
      </c>
      <c r="Y23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{"issue":{"subject":"","project_id":79,"tracker_id":40,"status_id":1,"priority_id":2,"assigned_to_id":338,"start_date":"2017-10-10","description":"","custom_fields":[{"id":1,"name":"Subdivision","value":"EC"},{"id":4,"name":"Milepost","value":"0.0001"},{"id":17,"name":"Train ID","value":"164-10"},{"id":16,"name":"Locomotive ID","value":"4051"},{"id":130,"name":"Impact","value":""},{"id":150,"name":"Time of Event (Mountain Time)","value":"13:06:22"},{"id":151,"name":"Denver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/c/Users/stu/AppData/Local/Temp/OnboardLogs/RTDC4051 --include="*4051*201710101*"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"%USERPROFILE%\AppData\Local\Temp\OnboardLogs"\RTDC4051\*4051*201710101* &gt;&gt; 2017-10-10-SliceDisagreementCheck.txt</v>
      </c>
      <c r="AE23" s="145" t="str">
        <f t="shared" si="9"/>
        <v>start /low /b %USERPROFILE%\Documents\GitHub\eaglep3\Utilities\DownloadLogsFromS3.py --loco 4051 --day 2017-10-10</v>
      </c>
      <c r="AF23" s="1"/>
    </row>
    <row r="24" spans="1:32" x14ac:dyDescent="0.25">
      <c r="A24" s="31">
        <v>43018.920428240737</v>
      </c>
      <c r="B24" s="30" t="s">
        <v>529</v>
      </c>
      <c r="C24" s="30" t="s">
        <v>616</v>
      </c>
      <c r="D24" s="30" t="s">
        <v>49</v>
      </c>
      <c r="E24" s="30" t="s">
        <v>179</v>
      </c>
      <c r="F24" s="42">
        <v>0</v>
      </c>
      <c r="G24" s="42">
        <v>35</v>
      </c>
      <c r="H24" s="42">
        <v>134</v>
      </c>
      <c r="I24" s="42">
        <v>114</v>
      </c>
      <c r="J24" s="30" t="s">
        <v>180</v>
      </c>
      <c r="K24" s="42">
        <v>1</v>
      </c>
      <c r="L24" s="131" t="s">
        <v>51</v>
      </c>
      <c r="M24" s="132">
        <f t="shared" si="0"/>
        <v>59.664000000000001</v>
      </c>
      <c r="N24" s="133" t="str">
        <f>VLOOKUP(C24,'Trips&amp;Operators'!$C$1:$G$99911,5,FALSE)</f>
        <v>ANDERS STEVEN</v>
      </c>
      <c r="O24" s="176" t="s">
        <v>178</v>
      </c>
      <c r="P24" s="134"/>
      <c r="Q24" s="30"/>
      <c r="R24" s="81" t="str">
        <f>VLOOKUP(C24,'Train Runs'!$A$13:$AE$10018,31,0)</f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S24" s="84" t="str">
        <f>VLOOKUP(C24,'Train Runs'!$A$13:$AE$10018,22,0)</f>
        <v>https://d0f6bd738d7f1b3e5a7ca70fe4ff75f0.us-east-1.aws.found.io/app/kibana#/discover/Steve-Slow-Train-Analysis-(2080s-and-2083s)?_g=(refreshInterval:(display:Off,pause:!f,section:0,value:0),time:(from:'2017-10-10T20:19:16-0600',mode:absolute,to:'2017-10-10T23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86" t="str">
        <f t="shared" si="1"/>
        <v>"C:\Program Files (x86)\AstroGrep\AstroGrep.exe" /e /r /s /spath="%USERPROFILE%\AppData\Local\Temp\OnboardLogs" /stypes="*4051*201710110*" /stext=" 04:.+((SYSTEM_STATE.+slice.+state.+changed )|(ment ac)|(multiple cpu faults)|(system.+state.+changed )|(\[timeout)|(PRM\|1\|D)|(kpr)|(kdp)|(train st.+moving)|(\|lc)|(penalty))"</v>
      </c>
      <c r="U24" s="9" t="str">
        <f t="shared" si="2"/>
        <v>4051</v>
      </c>
      <c r="V24" s="31">
        <f t="shared" si="3"/>
        <v>43019.170428240737</v>
      </c>
      <c r="W24" s="45" t="str">
        <f t="shared" si="4"/>
        <v>EC</v>
      </c>
      <c r="X24" s="22">
        <f t="shared" si="5"/>
        <v>228</v>
      </c>
      <c r="Y24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{"issue":{"subject":"","project_id":79,"tracker_id":40,"status_id":1,"priority_id":2,"assigned_to_id":338,"start_date":"2017-10-10","description":"","custom_fields":[{"id":1,"name":"Subdivision","value":"EC"},{"id":4,"name":"Milepost","value":"0.0001"},{"id":17,"name":"Train ID","value":"228-10"},{"id":16,"name":"Locomotive ID","value":"4051"},{"id":130,"name":"Impact","value":""},{"id":150,"name":"Time of Event (Mountain Time)","value":"22:05:25"},{"id":151,"name":"Denver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/c/Users/stu/AppData/Local/Temp/OnboardLogs/RTDC4051 --include="*4051*201710110*"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"%USERPROFILE%\AppData\Local\Temp\OnboardLogs"\RTDC4051\*4051*201710110* &gt;&gt; 2017-10-10-SliceDisagreementCheck.txt</v>
      </c>
      <c r="AE24" s="145" t="str">
        <f t="shared" si="9"/>
        <v>start /low /b %USERPROFILE%\Documents\GitHub\eaglep3\Utilities\DownloadLogsFromS3.py --loco 4051 --day 2017-10-11</v>
      </c>
      <c r="AF24" s="1"/>
    </row>
    <row r="25" spans="1:32" x14ac:dyDescent="0.25">
      <c r="A25" s="31">
        <v>43018.327314814815</v>
      </c>
      <c r="B25" s="30" t="s">
        <v>442</v>
      </c>
      <c r="C25" s="30" t="s">
        <v>592</v>
      </c>
      <c r="D25" s="30" t="s">
        <v>49</v>
      </c>
      <c r="E25" s="30" t="s">
        <v>179</v>
      </c>
      <c r="F25" s="42">
        <v>0</v>
      </c>
      <c r="G25" s="42">
        <v>51</v>
      </c>
      <c r="H25" s="42">
        <v>233293</v>
      </c>
      <c r="I25" s="42">
        <v>233347</v>
      </c>
      <c r="J25" s="30" t="s">
        <v>180</v>
      </c>
      <c r="K25" s="42">
        <v>233491</v>
      </c>
      <c r="L25" s="131" t="s">
        <v>50</v>
      </c>
      <c r="M25" s="132">
        <f t="shared" si="0"/>
        <v>76.031999999999996</v>
      </c>
      <c r="N25" s="133" t="str">
        <f>VLOOKUP(C25,'Trips&amp;Operators'!$C$1:$G$99911,5,FALSE)</f>
        <v>BONDS REYNALDO</v>
      </c>
      <c r="O25" s="176" t="s">
        <v>178</v>
      </c>
      <c r="P25" s="134"/>
      <c r="Q25" s="30"/>
      <c r="R25" s="81" t="str">
        <f>VLOOKUP(C25,'Train Runs'!$A$13:$AE$10018,31,0)</f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S25" s="84" t="str">
        <f>VLOOKUP(C25,'Train Runs'!$A$13:$AE$10018,22,0)</f>
        <v>https://d0f6bd738d7f1b3e5a7ca70fe4ff75f0.us-east-1.aws.found.io/app/kibana#/discover/Steve-Slow-Train-Analysis-(2080s-and-2083s)?_g=(refreshInterval:(display:Off,pause:!f,section:0,value:0),time:(from:'2017-10-10T06:08:46-0600',mode:absolute,to:'2017-10-10T08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5" s="86" t="str">
        <f t="shared" si="1"/>
        <v>"C:\Program Files (x86)\AstroGrep\AstroGrep.exe" /e /r /s /spath="%USERPROFILE%\AppData\Local\Temp\OnboardLogs" /stypes="*4066*201710101*"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4066</v>
      </c>
      <c r="V25" s="31">
        <f t="shared" si="3"/>
        <v>43018.577314814815</v>
      </c>
      <c r="W25" s="45" t="str">
        <f t="shared" si="4"/>
        <v>EC</v>
      </c>
      <c r="X25" s="22">
        <f t="shared" si="5"/>
        <v>129</v>
      </c>
      <c r="Y25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{"issue":{"subject":"","project_id":79,"tracker_id":40,"status_id":1,"priority_id":2,"assigned_to_id":338,"start_date":"2017-10-10","description":"","custom_fields":[{"id":1,"name":"Subdivision","value":"EC"},{"id":4,"name":"Milepost","value":"23.3491"},{"id":17,"name":"Train ID","value":"129-10"},{"id":16,"name":"Locomotive ID","value":"4066"},{"id":130,"name":"Impact","value":""},{"id":150,"name":"Time of Event (Mountain Time)","value":"07:51:20"},{"id":151,"name":"Denver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/c/Users/stu/AppData/Local/Temp/OnboardLogs/RTDC4066 --include="*4066*201710101*"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"%USERPROFILE%\AppData\Local\Temp\OnboardLogs"\RTDC4066\*4066*201710101* &gt;&gt; 2017-10-10-SliceDisagreementCheck.txt</v>
      </c>
      <c r="AE25" s="145" t="str">
        <f t="shared" si="9"/>
        <v>start /low /b %USERPROFILE%\Documents\GitHub\eaglep3\Utilities\DownloadLogsFromS3.py --loco 4066 --day 2017-10-10</v>
      </c>
      <c r="AF25" s="1"/>
    </row>
    <row r="26" spans="1:32" x14ac:dyDescent="0.25">
      <c r="A26" s="31">
        <v>43018.402106481481</v>
      </c>
      <c r="B26" s="30" t="s">
        <v>442</v>
      </c>
      <c r="C26" s="30" t="s">
        <v>594</v>
      </c>
      <c r="D26" s="30" t="s">
        <v>49</v>
      </c>
      <c r="E26" s="30" t="s">
        <v>179</v>
      </c>
      <c r="F26" s="42">
        <v>0</v>
      </c>
      <c r="G26" s="42">
        <v>45</v>
      </c>
      <c r="H26" s="42">
        <v>233338</v>
      </c>
      <c r="I26" s="42">
        <v>233370</v>
      </c>
      <c r="J26" s="30" t="s">
        <v>180</v>
      </c>
      <c r="K26" s="42">
        <v>233491</v>
      </c>
      <c r="L26" s="131" t="s">
        <v>50</v>
      </c>
      <c r="M26" s="132">
        <f t="shared" si="0"/>
        <v>63.887999999999998</v>
      </c>
      <c r="N26" s="133" t="str">
        <f>VLOOKUP(C26,'Trips&amp;Operators'!$C$1:$G$99911,5,FALSE)</f>
        <v>BONDS REYNALDO</v>
      </c>
      <c r="O26" s="176" t="s">
        <v>178</v>
      </c>
      <c r="P26" s="134"/>
      <c r="Q26" s="30"/>
      <c r="R26" s="81" t="str">
        <f>VLOOKUP(C26,'Train Runs'!$A$13:$AE$10018,31,0)</f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S26" s="84" t="str">
        <f>VLOOKUP(C26,'Train Runs'!$A$13:$AE$10018,22,0)</f>
        <v>https://d0f6bd738d7f1b3e5a7ca70fe4ff75f0.us-east-1.aws.found.io/app/kibana#/discover/Steve-Slow-Train-Analysis-(2080s-and-2083s)?_g=(refreshInterval:(display:Off,pause:!f,section:0,value:0),time:(from:'2017-10-10T07:53:24-0600',mode:absolute,to:'2017-10-10T10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6" s="86" t="str">
        <f t="shared" si="1"/>
        <v>"C:\Program Files (x86)\AstroGrep\AstroGrep.exe" /e /r /s /spath="%USERPROFILE%\AppData\Local\Temp\OnboardLogs" /stypes="*4066*201710101*"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4066</v>
      </c>
      <c r="V26" s="31">
        <f t="shared" si="3"/>
        <v>43018.652106481481</v>
      </c>
      <c r="W26" s="45" t="str">
        <f t="shared" si="4"/>
        <v>EC</v>
      </c>
      <c r="X26" s="22">
        <f t="shared" si="5"/>
        <v>143</v>
      </c>
      <c r="Y26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{"issue":{"subject":"","project_id":79,"tracker_id":40,"status_id":1,"priority_id":2,"assigned_to_id":338,"start_date":"2017-10-10","description":"","custom_fields":[{"id":1,"name":"Subdivision","value":"EC"},{"id":4,"name":"Milepost","value":"23.3491"},{"id":17,"name":"Train ID","value":"143-10"},{"id":16,"name":"Locomotive ID","value":"4066"},{"id":130,"name":"Impact","value":""},{"id":150,"name":"Time of Event (Mountain Time)","value":"09:39:02"},{"id":151,"name":"Denver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/c/Users/stu/AppData/Local/Temp/OnboardLogs/RTDC4066 --include="*4066*201710101*"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"%USERPROFILE%\AppData\Local\Temp\OnboardLogs"\RTDC4066\*4066*201710101* &gt;&gt; 2017-10-10-SliceDisagreementCheck.txt</v>
      </c>
      <c r="AE26" s="145" t="str">
        <f t="shared" si="9"/>
        <v>start /low /b %USERPROFILE%\Documents\GitHub\eaglep3\Utilities\DownloadLogsFromS3.py --loco 4066 --day 2017-10-10</v>
      </c>
      <c r="AF26" s="1"/>
    </row>
    <row r="27" spans="1:32" x14ac:dyDescent="0.25">
      <c r="A27" s="31">
        <v>43018.899606481478</v>
      </c>
      <c r="B27" s="30" t="s">
        <v>393</v>
      </c>
      <c r="C27" s="30" t="s">
        <v>613</v>
      </c>
      <c r="D27" s="30" t="s">
        <v>49</v>
      </c>
      <c r="E27" s="30" t="s">
        <v>179</v>
      </c>
      <c r="F27" s="42">
        <v>0</v>
      </c>
      <c r="G27" s="42">
        <v>163</v>
      </c>
      <c r="H27" s="42">
        <v>232787</v>
      </c>
      <c r="I27" s="42">
        <v>233004</v>
      </c>
      <c r="J27" s="30" t="s">
        <v>180</v>
      </c>
      <c r="K27" s="42">
        <v>233491</v>
      </c>
      <c r="L27" s="131" t="s">
        <v>50</v>
      </c>
      <c r="M27" s="132">
        <f t="shared" si="0"/>
        <v>257.13600000000002</v>
      </c>
      <c r="N27" s="133" t="str">
        <f>VLOOKUP(C27,'Trips&amp;Operators'!$C$1:$G$99911,5,FALSE)</f>
        <v>DUNCAN SHEILA</v>
      </c>
      <c r="O27" s="176" t="s">
        <v>178</v>
      </c>
      <c r="P27" s="134"/>
      <c r="Q27" s="30"/>
      <c r="R27" s="81" t="str">
        <f>VLOOKUP(C27,'Train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27" s="84" t="str">
        <f>VLOOKUP(C27,'Train Runs'!$A$13:$AE$10018,22,0)</f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/stypes="*4050*201710110*" /stext=" 03:.+((SYSTEM_STATE.+slice.+state.+changed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43019.149606481478</v>
      </c>
      <c r="W27" s="45" t="str">
        <f t="shared" si="4"/>
        <v>EC</v>
      </c>
      <c r="X27" s="22">
        <f t="shared" si="5"/>
        <v>229</v>
      </c>
      <c r="Y27" s="96" t="str">
        <f t="shared" si="6"/>
        <v>echo {"issue":{"subject":"","project_id":79,"tracker_id":40,"status_id":1,"priority_id":2,"assigned_to_id":338,"start_date":"2017-10-10","description":"","custom_fields":[{"id":1,"name":"Subdivision","value":"EC"},{"id":4,"name":"Milepost","value":"23.3491"},{"id":17,"name":"Train ID","value":"229-10"},{"id":16,"name":"Locomotive ID","value":"4050"},{"id":130,"name":"Impact","value":""},{"id":150,"name":"Time of Event (Mountain Time)","value":"21:35:26"},{"id":151,"name":"Denver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/c/Users/stu/AppData/Local/Temp/OnboardLogs/RTDC4050 --include="*4050*201710110*"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27" s="145" t="str">
        <f t="shared" si="9"/>
        <v>start /low /b %USERPROFILE%\Documents\GitHub\eaglep3\Utilities\DownloadLogsFromS3.py --loco 4050 --day 2017-10-11</v>
      </c>
      <c r="AF27" s="1"/>
    </row>
    <row r="28" spans="1:32" x14ac:dyDescent="0.25">
      <c r="A28" s="31">
        <v>43018.80574074074</v>
      </c>
      <c r="B28" s="30" t="s">
        <v>495</v>
      </c>
      <c r="C28" s="30" t="s">
        <v>609</v>
      </c>
      <c r="D28" s="30" t="s">
        <v>49</v>
      </c>
      <c r="E28" s="30" t="s">
        <v>192</v>
      </c>
      <c r="F28" s="42">
        <v>150</v>
      </c>
      <c r="G28" s="42">
        <v>318</v>
      </c>
      <c r="H28" s="42">
        <v>55723</v>
      </c>
      <c r="I28" s="42">
        <v>56310</v>
      </c>
      <c r="J28" s="30" t="s">
        <v>193</v>
      </c>
      <c r="K28" s="42">
        <v>57008</v>
      </c>
      <c r="L28" s="131" t="s">
        <v>50</v>
      </c>
      <c r="M28" s="132">
        <f t="shared" si="0"/>
        <v>368.54399999999998</v>
      </c>
      <c r="N28" s="133" t="str">
        <f>VLOOKUP(C28,'Trips&amp;Operators'!$C$1:$G$99911,5,FALSE)</f>
        <v>ZEWDU DEREJE</v>
      </c>
      <c r="O28" s="176" t="s">
        <v>178</v>
      </c>
      <c r="P28" s="134"/>
      <c r="Q28" s="30"/>
      <c r="R28" s="81" t="str">
        <f>VLOOKUP(C28,'Train Runs'!$A$13:$AE$10018,31,0)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S28" s="84" t="str">
        <f>VLOOKUP(C28,'Train Runs'!$A$13:$AE$10018,22,0)</f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8" s="86" t="str">
        <f t="shared" si="1"/>
        <v>"C:\Program Files (x86)\AstroGrep\AstroGrep.exe" /e /r /s /spath="%USERPROFILE%\AppData\Local\Temp\OnboardLogs" /stypes="*4036*201710110*" /stext=" 01:.+((SYSTEM_STATE.+slice.+state.+changed )|(ment ac)|(multiple cpu faults)|(system.+state.+changed )|(\[timeout)|(PRM\|1\|D)|(kpr)|(kdp)|(train st.+moving)|(\|lc)|(penalty))"</v>
      </c>
      <c r="U28" s="9" t="str">
        <f t="shared" si="2"/>
        <v>4036</v>
      </c>
      <c r="V28" s="31">
        <f t="shared" si="3"/>
        <v>43019.05574074074</v>
      </c>
      <c r="W28" s="45" t="str">
        <f t="shared" si="4"/>
        <v>NW</v>
      </c>
      <c r="X28" s="22">
        <f t="shared" si="5"/>
        <v>841</v>
      </c>
      <c r="Y28" s="96" t="str">
        <f t="shared" si="6"/>
        <v>echo {"issue":{"subject":"","project_id":79,"tracker_id":40,"status_id":1,"priority_id":2,"assigned_to_id":338,"start_date":"2017-10-10","description":"","custom_fields":[{"id":1,"name":"Subdivision","value":"NW"},{"id":4,"name":"Milepost","value":"5.7008"},{"id":17,"name":"Train ID","value":"841-10"},{"id":16,"name":"Locomotive ID","value":"4036"},{"id":130,"name":"Impact","value":""},{"id":150,"name":"Time of Event (Mountain Time)","value":"19:20:16"},{"id":151,"name":"Denver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/c/Users/stu/AppData/Local/Temp/OnboardLogs/RTDC4036 --include="*4036*201710110*"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"%USERPROFILE%\AppData\Local\Temp\OnboardLogs"\RTDC4036\*4036*201710110* &gt;&gt; 2017-10-10-SliceDisagreementCheck.txt</v>
      </c>
      <c r="AE28" s="145" t="str">
        <f t="shared" si="9"/>
        <v>start /low /b %USERPROFILE%\Documents\GitHub\eaglep3\Utilities\DownloadLogsFromS3.py --loco 4036 --day 2017-10-11</v>
      </c>
      <c r="AF28" s="1"/>
    </row>
    <row r="29" spans="1:32" x14ac:dyDescent="0.25">
      <c r="A29" s="31">
        <v>43018.767222222225</v>
      </c>
      <c r="B29" s="30" t="s">
        <v>607</v>
      </c>
      <c r="C29" s="30" t="s">
        <v>608</v>
      </c>
      <c r="D29" s="30" t="s">
        <v>49</v>
      </c>
      <c r="E29" s="30" t="s">
        <v>179</v>
      </c>
      <c r="F29" s="42">
        <v>0</v>
      </c>
      <c r="G29" s="42">
        <v>32</v>
      </c>
      <c r="H29" s="42">
        <v>671</v>
      </c>
      <c r="I29" s="42">
        <v>643</v>
      </c>
      <c r="J29" s="30" t="s">
        <v>180</v>
      </c>
      <c r="K29" s="42">
        <v>575</v>
      </c>
      <c r="L29" s="131" t="s">
        <v>51</v>
      </c>
      <c r="M29" s="132">
        <f t="shared" si="0"/>
        <v>35.904000000000003</v>
      </c>
      <c r="N29" s="133" t="str">
        <f>VLOOKUP(C29,'Trips&amp;Operators'!$C$1:$G$99911,5,FALSE)</f>
        <v>STAMBAUGH JAMES</v>
      </c>
      <c r="O29" s="176" t="s">
        <v>178</v>
      </c>
      <c r="P29" s="134"/>
      <c r="Q29" s="30"/>
      <c r="R29" s="81" t="str">
        <f>VLOOKUP(C29,'Train Runs'!$A$13:$AE$10018,31,0)</f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S29" s="84" t="str">
        <f>VLOOKUP(C29,'Train Runs'!$A$13:$AE$10018,22,0)</f>
        <v>https://d0f6bd738d7f1b3e5a7ca70fe4ff75f0.us-east-1.aws.found.io/app/kibana#/discover/Steve-Slow-Train-Analysis-(2080s-and-2083s)?_g=(refreshInterval:(display:Off,pause:!f,section:0,value:0),time:(from:'2017-10-10T16:36:38-0600',mode:absolute,to:'2017-10-10T19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9" s="86" t="str">
        <f t="shared" si="1"/>
        <v>"C:\Program Files (x86)\AstroGrep\AstroGrep.exe" /e /r /s /spath="%USERPROFILE%\AppData\Local\Temp\OnboardLogs" /stypes="*4059*201710110*"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4059</v>
      </c>
      <c r="V29" s="31">
        <f t="shared" si="3"/>
        <v>43019.017222222225</v>
      </c>
      <c r="W29" s="45" t="str">
        <f t="shared" si="4"/>
        <v>NW</v>
      </c>
      <c r="X29" s="22">
        <f t="shared" si="5"/>
        <v>836</v>
      </c>
      <c r="Y29" s="96" t="str">
        <f t="shared" si="6"/>
        <v>echo {"issue":{"subject":"","project_id":79,"tracker_id":40,"status_id":1,"priority_id":2,"assigned_to_id":338,"start_date":"2017-10-10","description":"","custom_fields":[{"id":1,"name":"Subdivision","value":"NW"},{"id":4,"name":"Milepost","value":"0.0575"},{"id":17,"name":"Train ID","value":"836-10"},{"id":16,"name":"Locomotive ID","value":"4059"},{"id":130,"name":"Impact","value":""},{"id":150,"name":"Time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/c/Users/stu/AppData/Local/Temp/OnboardLogs/RTDC4059 --include="*4059*201710110*"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"%USERPROFILE%\AppData\Local\Temp\OnboardLogs"\RTDC4059\*4059*201710110* &gt;&gt; 2017-10-10-SliceDisagreementCheck.txt</v>
      </c>
      <c r="AE29" s="145" t="str">
        <f t="shared" si="9"/>
        <v>start /low /b %USERPROFILE%\Documents\GitHub\eaglep3\Utilities\DownloadLogsFromS3.py --loco 4059 --day 2017-10-11</v>
      </c>
      <c r="AF29" s="1"/>
    </row>
    <row r="30" spans="1:32" x14ac:dyDescent="0.25">
      <c r="A30" s="31">
        <v>43018.830335648148</v>
      </c>
      <c r="B30" s="30" t="s">
        <v>610</v>
      </c>
      <c r="C30" s="30" t="s">
        <v>611</v>
      </c>
      <c r="D30" s="30" t="s">
        <v>49</v>
      </c>
      <c r="E30" s="30" t="s">
        <v>179</v>
      </c>
      <c r="F30" s="42">
        <v>0</v>
      </c>
      <c r="G30" s="42">
        <v>32</v>
      </c>
      <c r="H30" s="42">
        <v>663</v>
      </c>
      <c r="I30" s="42">
        <v>682</v>
      </c>
      <c r="J30" s="30" t="s">
        <v>180</v>
      </c>
      <c r="K30" s="42">
        <v>575</v>
      </c>
      <c r="L30" s="131" t="s">
        <v>51</v>
      </c>
      <c r="M30" s="132">
        <f t="shared" si="0"/>
        <v>56.496000000000002</v>
      </c>
      <c r="N30" s="133" t="str">
        <f>VLOOKUP(C30,'Trips&amp;Operators'!$C$1:$G$99911,5,FALSE)</f>
        <v>ZEWDU DEREJE</v>
      </c>
      <c r="O30" s="176" t="s">
        <v>178</v>
      </c>
      <c r="P30" s="134"/>
      <c r="Q30" s="30"/>
      <c r="R30" s="81" t="str">
        <f>VLOOKUP(C30,'Train Runs'!$A$13:$AE$10018,31,0)</f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S30" s="84" t="str">
        <f>VLOOKUP(C30,'Train Runs'!$A$13:$AE$10018,22,0)</f>
        <v>https://d0f6bd738d7f1b3e5a7ca70fe4ff75f0.us-east-1.aws.found.io/app/kibana#/discover/Steve-Slow-Train-Analysis-(2080s-and-2083s)?_g=(refreshInterval:(display:Off,pause:!f,section:0,value:0),time:(from:'2017-10-10T18:25:16-0600',mode:absolute,to:'2017-10-10T20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30" s="86" t="str">
        <f t="shared" si="1"/>
        <v>"C:\Program Files (x86)\AstroGrep\AstroGrep.exe" /e /r /s /spath="%USERPROFILE%\AppData\Local\Temp\OnboardLogs" /stypes="*4035*201710110*"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4035</v>
      </c>
      <c r="V30" s="31">
        <f t="shared" si="3"/>
        <v>43019.080335648148</v>
      </c>
      <c r="W30" s="45" t="str">
        <f t="shared" si="4"/>
        <v>NW</v>
      </c>
      <c r="X30" s="22">
        <f t="shared" si="5"/>
        <v>840</v>
      </c>
      <c r="Y30" s="96" t="str">
        <f t="shared" si="6"/>
        <v>echo {"issue":{"subject":"","project_id":79,"tracker_id":40,"status_id":1,"priority_id":2,"assigned_to_id":338,"start_date":"2017-10-10","description":"","custom_fields":[{"id":1,"name":"Subdivision","value":"NW"},{"id":4,"name":"Milepost","value":"0.0575"},{"id":17,"name":"Train ID","value":"840-10"},{"id":16,"name":"Locomotive ID","value":"4035"},{"id":130,"name":"Impact","value":""},{"id":150,"name":"Time of Event (Mountain Time)","value":"19:55:41"},{"id":151,"name":"Denver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/c/Users/stu/AppData/Local/Temp/OnboardLogs/RTDC4035 --include="*4035*201710110*"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"%USERPROFILE%\AppData\Local\Temp\OnboardLogs"\RTDC4035\*4035*201710110* &gt;&gt; 2017-10-10-SliceDisagreementCheck.txt</v>
      </c>
      <c r="AE30" s="145" t="str">
        <f t="shared" si="9"/>
        <v>start /low /b %USERPROFILE%\Documents\GitHub\eaglep3\Utilities\DownloadLogsFromS3.py --loco 4035 --day 2017-10-11</v>
      </c>
      <c r="AF30" s="1"/>
    </row>
    <row r="31" spans="1:32" x14ac:dyDescent="0.25">
      <c r="A31" s="31">
        <v>43018.391365740739</v>
      </c>
      <c r="B31" s="30" t="s">
        <v>495</v>
      </c>
      <c r="C31" s="30" t="s">
        <v>593</v>
      </c>
      <c r="D31" s="30" t="s">
        <v>49</v>
      </c>
      <c r="E31" s="30" t="s">
        <v>179</v>
      </c>
      <c r="F31" s="42">
        <v>0</v>
      </c>
      <c r="G31" s="42">
        <v>47</v>
      </c>
      <c r="H31" s="42">
        <v>58933</v>
      </c>
      <c r="I31" s="42">
        <v>58980</v>
      </c>
      <c r="J31" s="30" t="s">
        <v>180</v>
      </c>
      <c r="K31" s="42">
        <v>59048</v>
      </c>
      <c r="L31" s="131" t="s">
        <v>50</v>
      </c>
      <c r="M31" s="132">
        <f t="shared" si="0"/>
        <v>35.904000000000003</v>
      </c>
      <c r="N31" s="133" t="str">
        <f>VLOOKUP(C31,'Trips&amp;Operators'!$C$1:$G$99911,5,FALSE)</f>
        <v>FORTUNATO FRANK</v>
      </c>
      <c r="O31" s="176" t="s">
        <v>178</v>
      </c>
      <c r="P31" s="134"/>
      <c r="Q31" s="30"/>
      <c r="R31" s="81" t="str">
        <f>VLOOKUP(C31,'Train Runs'!$A$13:$AE$10018,31,0)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S31" s="84" t="str">
        <f>VLOOKUP(C31,'Train Runs'!$A$13:$AE$10018,22,0)</f>
        <v>https://d0f6bd738d7f1b3e5a7ca70fe4ff75f0.us-east-1.aws.found.io/app/kibana#/discover/Steve-Slow-Train-Analysis-(2080s-and-2083s)?_g=(refreshInterval:(display:Off,pause:!f,section:0,value:0),time:(from:'2017-10-10T08:05:31-0600',mode:absolute,to:'2017-10-10T10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1" s="86" t="str">
        <f t="shared" si="1"/>
        <v>"C:\Program Files (x86)\AstroGrep\AstroGrep.exe" /e /r /s /spath="%USERPROFILE%\AppData\Local\Temp\OnboardLogs" /stypes="*4036*201710101*" /stext=" 15:.+((SYSTEM_STATE.+slice.+state.+changed )|(ment ac)|(multiple cpu faults)|(system.+state.+changed )|(\[timeout)|(PRM\|1\|D)|(kpr)|(kdp)|(train st.+moving)|(\|lc)|(penalty))"</v>
      </c>
      <c r="U31" s="9" t="str">
        <f t="shared" si="2"/>
        <v>4036</v>
      </c>
      <c r="V31" s="31">
        <f t="shared" si="3"/>
        <v>43018.641365740739</v>
      </c>
      <c r="W31" s="45" t="str">
        <f t="shared" si="4"/>
        <v>NW</v>
      </c>
      <c r="X31" s="22">
        <f t="shared" si="5"/>
        <v>813</v>
      </c>
      <c r="Y31" s="96" t="str">
        <f t="shared" si="6"/>
        <v>echo {"issue":{"subject":"","project_id":79,"tracker_id":40,"status_id":1,"priority_id":2,"assigned_to_id":338,"start_date":"2017-10-10","description":"","custom_fields":[{"id":1,"name":"Subdivision","value":"NW"},{"id":4,"name":"Milepost","value":"5.9048"},{"id":17,"name":"Train ID","value":"813-10"},{"id":16,"name":"Locomotive ID","value":"4036"},{"id":130,"name":"Impact","value":""},{"id":150,"name":"Time of Event (Mountain Time)","value":"09:23:34"},{"id":151,"name":"Denver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/c/Users/stu/AppData/Local/Temp/OnboardLogs/RTDC4036 --include="*4036*201710101*"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"%USERPROFILE%\AppData\Local\Temp\OnboardLogs"\RTDC4036\*4036*201710101* &gt;&gt; 2017-10-10-SliceDisagreementCheck.txt</v>
      </c>
      <c r="AE31" s="145" t="str">
        <f t="shared" si="9"/>
        <v>start /low /b %USERPROFILE%\Documents\GitHub\eaglep3\Utilities\DownloadLogsFromS3.py --loco 4036 --day 2017-10-10</v>
      </c>
      <c r="AF31" s="1"/>
    </row>
    <row r="32" spans="1:32" x14ac:dyDescent="0.25">
      <c r="A32" s="31">
        <v>43018.84988425926</v>
      </c>
      <c r="B32" s="30" t="s">
        <v>495</v>
      </c>
      <c r="C32" s="30" t="s">
        <v>612</v>
      </c>
      <c r="D32" s="30" t="s">
        <v>49</v>
      </c>
      <c r="E32" s="30" t="s">
        <v>179</v>
      </c>
      <c r="F32" s="42">
        <v>0</v>
      </c>
      <c r="G32" s="42">
        <v>25</v>
      </c>
      <c r="H32" s="42">
        <v>58961</v>
      </c>
      <c r="I32" s="42">
        <v>58976</v>
      </c>
      <c r="J32" s="30" t="s">
        <v>180</v>
      </c>
      <c r="K32" s="42">
        <v>59048</v>
      </c>
      <c r="L32" s="131" t="s">
        <v>50</v>
      </c>
      <c r="M32" s="132">
        <f t="shared" si="0"/>
        <v>38.015999999999998</v>
      </c>
      <c r="N32" s="133" t="str">
        <f>VLOOKUP(C32,'Trips&amp;Operators'!$C$1:$G$99911,5,FALSE)</f>
        <v>ZEWDU DEREJE</v>
      </c>
      <c r="O32" s="176" t="s">
        <v>178</v>
      </c>
      <c r="P32" s="134"/>
      <c r="Q32" s="30"/>
      <c r="R32" s="81" t="str">
        <f>VLOOKUP(C32,'Train Runs'!$A$13:$AE$10018,31,0)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S32" s="84" t="str">
        <f>VLOOKUP(C32,'Train Runs'!$A$13:$AE$10018,22,0)</f>
        <v>https://d0f6bd738d7f1b3e5a7ca70fe4ff75f0.us-east-1.aws.found.io/app/kibana#/discover/Steve-Slow-Train-Analysis-(2080s-and-2083s)?_g=(refreshInterval:(display:Off,pause:!f,section:0,value:0),time:(from:'2017-10-10T18:58:25-0600',mode:absolute,to:'2017-10-10T21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2" s="86" t="str">
        <f t="shared" si="1"/>
        <v>"C:\Program Files (x86)\AstroGrep\AstroGrep.exe" /e /r /s /spath="%USERPROFILE%\AppData\Local\Temp\OnboardLogs" /stypes="*4036*201710110*" /stext=" 02:.+((SYSTEM_STATE.+slice.+state.+changed )|(ment ac)|(multiple cpu faults)|(system.+state.+changed )|(\[timeout)|(PRM\|1\|D)|(kpr)|(kdp)|(train st.+moving)|(\|lc)|(penalty))"</v>
      </c>
      <c r="U32" s="9" t="str">
        <f t="shared" si="2"/>
        <v>4036</v>
      </c>
      <c r="V32" s="31">
        <f t="shared" si="3"/>
        <v>43019.09988425926</v>
      </c>
      <c r="W32" s="45" t="str">
        <f t="shared" si="4"/>
        <v>NW</v>
      </c>
      <c r="X32" s="22">
        <f t="shared" si="5"/>
        <v>843</v>
      </c>
      <c r="Y32" s="96" t="str">
        <f t="shared" si="6"/>
        <v>echo {"issue":{"subject":"","project_id":79,"tracker_id":40,"status_id":1,"priority_id":2,"assigned_to_id":338,"start_date":"2017-10-10","description":"","custom_fields":[{"id":1,"name":"Subdivision","value":"NW"},{"id":4,"name":"Milepost","value":"5.9048"},{"id":17,"name":"Train ID","value":"843-10"},{"id":16,"name":"Locomotive ID","value":"4036"},{"id":130,"name":"Impact","value":""},{"id":150,"name":"Time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/c/Users/stu/AppData/Local/Temp/OnboardLogs/RTDC4036 --include="*4036*201710110*"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"%USERPROFILE%\AppData\Local\Temp\OnboardLogs"\RTDC4036\*4036*201710110* &gt;&gt; 2017-10-10-SliceDisagreementCheck.txt</v>
      </c>
      <c r="AE32" s="145" t="str">
        <f t="shared" si="9"/>
        <v>start /low /b %USERPROFILE%\Documents\GitHub\eaglep3\Utilities\DownloadLogsFromS3.py --loco 4036 --day 2017-10-11</v>
      </c>
      <c r="AF32" s="1"/>
    </row>
    <row r="33" spans="1:32" x14ac:dyDescent="0.25">
      <c r="A33" s="31">
        <v>43019.075358796297</v>
      </c>
      <c r="B33" s="30" t="s">
        <v>614</v>
      </c>
      <c r="C33" s="30" t="s">
        <v>620</v>
      </c>
      <c r="D33" s="30" t="s">
        <v>49</v>
      </c>
      <c r="E33" s="30" t="s">
        <v>185</v>
      </c>
      <c r="F33" s="42">
        <v>0</v>
      </c>
      <c r="G33" s="42">
        <v>298</v>
      </c>
      <c r="H33" s="42">
        <v>10177</v>
      </c>
      <c r="I33" s="42">
        <v>10803</v>
      </c>
      <c r="J33" s="30" t="s">
        <v>186</v>
      </c>
      <c r="K33" s="42">
        <v>10716</v>
      </c>
      <c r="L33" s="131" t="s">
        <v>50</v>
      </c>
      <c r="M33" s="132">
        <f t="shared" si="0"/>
        <v>-45.936</v>
      </c>
      <c r="N33" s="133" t="str">
        <f>VLOOKUP(C33,'Trips&amp;Operators'!$C$1:$G$99911,5,FALSE)</f>
        <v>BIRKHOLZ NADINE</v>
      </c>
      <c r="O33" s="176" t="s">
        <v>178</v>
      </c>
      <c r="P33" s="134"/>
      <c r="Q33" s="30"/>
      <c r="R33" s="81" t="str">
        <f>VLOOKUP(C33,'Train Runs'!$A$13:$AE$10018,31,0)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33" s="84" t="str">
        <f>VLOOKUP(C33,'Train Runs'!$A$13:$AE$10018,22,0)</f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3" s="86" t="str">
        <f t="shared" si="1"/>
        <v>"C:\Program Files (x86)\AstroGrep\AstroGrep.exe" /e /r /s /spath="%USERPROFILE%\AppData\Local\Temp\OnboardLogs" /stypes="*4020*201710110*" /stext=" 07:.+((SYSTEM_STATE.+slice.+state.+changed )|(ment ac)|(multiple cpu faults)|(system.+state.+changed )|(\[timeout)|(PRM\|1\|D)|(kpr)|(kdp)|(train st.+moving)|(\|lc)|(penalty))"</v>
      </c>
      <c r="U33" s="9" t="str">
        <f t="shared" si="2"/>
        <v>4020</v>
      </c>
      <c r="V33" s="31">
        <f t="shared" si="3"/>
        <v>43019.325358796297</v>
      </c>
      <c r="W33" s="45" t="str">
        <f t="shared" si="4"/>
        <v>Other</v>
      </c>
      <c r="X33" s="22">
        <f t="shared" si="5"/>
        <v>309</v>
      </c>
      <c r="Y33" s="96" t="str">
        <f t="shared" si="6"/>
        <v>echo {"issue":{"subject":"","project_id":79,"tracker_id":40,"status_id":1,"priority_id":2,"assigned_to_id":338,"start_date":"2017-10-11","description":"","custom_fields":[{"id":1,"name":"Subdivision","value":"Other"},{"id":4,"name":"Milepost","value":"1.0716"},{"id":17,"name":"Train ID","value":"309-10"},{"id":16,"name":"Locomotive ID","value":"4020"},{"id":130,"name":"Impact","value":""},{"id":150,"name":"Time of Event (Mountain Time)","value":"01:48:31"},{"id":151,"name":"Denver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/c/Users/stu/AppData/Local/Temp/OnboardLogs/RTDC4020 --include="*4020*201710110*"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"%USERPROFILE%\AppData\Local\Temp\OnboardLogs"\RTDC4020\*4020*201710110* &gt;&gt; 2017-10-10-SliceDisagreementCheck.txt</v>
      </c>
      <c r="AE33" s="145" t="str">
        <f t="shared" si="9"/>
        <v>start /low /b %USERPROFILE%\Documents\GitHub\eaglep3\Utilities\DownloadLogsFromS3.py --loco 4020 --day 2017-10-11</v>
      </c>
      <c r="AF33" s="1"/>
    </row>
    <row r="34" spans="1:32" x14ac:dyDescent="0.25">
      <c r="A34" s="31">
        <v>43018.45113425926</v>
      </c>
      <c r="B34" s="30" t="s">
        <v>446</v>
      </c>
      <c r="C34" s="30" t="s">
        <v>597</v>
      </c>
      <c r="D34" s="30" t="s">
        <v>95</v>
      </c>
      <c r="E34" s="30" t="s">
        <v>179</v>
      </c>
      <c r="F34" s="42">
        <v>0</v>
      </c>
      <c r="G34" s="42">
        <v>9</v>
      </c>
      <c r="H34" s="42">
        <v>826</v>
      </c>
      <c r="I34" s="42">
        <v>0</v>
      </c>
      <c r="J34" s="30" t="s">
        <v>180</v>
      </c>
      <c r="K34" s="42">
        <v>826</v>
      </c>
      <c r="L34" s="131" t="s">
        <v>51</v>
      </c>
      <c r="M34" s="132">
        <f t="shared" si="0"/>
        <v>-436.12799999999999</v>
      </c>
      <c r="N34" s="133" t="str">
        <f>VLOOKUP(C34,'Trips&amp;Operators'!$C$1:$G$99911,5,FALSE)</f>
        <v>DE LA ROSA ALEX</v>
      </c>
      <c r="O34" s="176" t="s">
        <v>178</v>
      </c>
      <c r="P34" s="134"/>
      <c r="Q34" s="30"/>
      <c r="R34" s="81" t="str">
        <f>VLOOKUP(C34,'Train Runs'!$A$13:$AE$10018,31,0)</f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S34" s="84" t="str">
        <f>VLOOKUP(C34,'Train Runs'!$A$13:$AE$10018,22,0)</f>
        <v>https://d0f6bd738d7f1b3e5a7ca70fe4ff75f0.us-east-1.aws.found.io/app/kibana#/discover/Steve-Slow-Train-Analysis-(2080s-and-2083s)?_g=(refreshInterval:(display:Off,pause:!f,section:0,value:0),time:(from:'2017-10-10T09:35:54-0600',mode:absolute,to:'2017-10-10T11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86" t="str">
        <f t="shared" si="1"/>
        <v>"C:\Program Files (x86)\AstroGrep\AstroGrep.exe" /e /r /s /spath="%USERPROFILE%\AppData\Local\Temp\OnboardLogs" /stypes="*4017*201710101*" /stext=" 16:.+((SYSTEM_STATE.+slice.+state.+changed )|(ment ac)|(multiple cpu faults)|(system.+state.+changed )|(\[timeout)|(PRM\|1\|D)|(kpr)|(kdp)|(train st.+moving)|(\|lc)|(penalty))"</v>
      </c>
      <c r="U34" s="9" t="str">
        <f t="shared" si="2"/>
        <v>4017</v>
      </c>
      <c r="V34" s="31">
        <f t="shared" si="3"/>
        <v>43018.70113425926</v>
      </c>
      <c r="W34" s="45" t="str">
        <f t="shared" si="4"/>
        <v>Shuttle/Test</v>
      </c>
      <c r="X34" s="22">
        <f t="shared" si="5"/>
        <v>56</v>
      </c>
      <c r="Y34" s="96" t="str">
        <f t="shared" si="6"/>
        <v>echo {"issue":{"subject":"","project_id":79,"tracker_id":40,"status_id":1,"priority_id":2,"assigned_to_id":338,"start_date":"2017-10-10","description":"","custom_fields":[{"id":1,"name":"Subdivision","value":"Shuttle/Test"},{"id":4,"name":"Milepost","value":"0.0826"},{"id":17,"name":"Train ID","value":"56-10"},{"id":16,"name":"Locomotive ID","value":"4017"},{"id":130,"name":"Impact","value":""},{"id":150,"name":"Time of Event (Mountain Time)","value":"10:49:38"},{"id":151,"name":"Denver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/c/Users/stu/AppData/Local/Temp/OnboardLogs/RTDC4017 --include="*4017*201710101*"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"%USERPROFILE%\AppData\Local\Temp\OnboardLogs"\RTDC4017\*4017*201710101* &gt;&gt; 2017-10-10-SliceDisagreementCheck.txt</v>
      </c>
      <c r="AE34" s="145" t="str">
        <f t="shared" si="9"/>
        <v>start /low /b %USERPROFILE%\Documents\GitHub\eaglep3\Utilities\DownloadLogsFromS3.py --loco 4017 --day 2017-10-10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34"/>
      <sortCondition ref="E7:E34"/>
      <sortCondition ref="K7:K34"/>
      <sortCondition ref="F7:F34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 O7:O34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34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2017-10-10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842</v>
      </c>
      <c r="B3" s="42" t="str">
        <f>A3&amp;"-"&amp;IF(DAY(Variables!$A$2)&lt;10,0,"")&amp;DAY(Variables!$A$2)</f>
        <v>842-10</v>
      </c>
      <c r="C3" s="135"/>
      <c r="D3" s="153" t="str">
        <f>VLOOKUP(B3,'Trips&amp;Operators'!$C$1:$H$1072,6,FALSE)</f>
        <v>4035</v>
      </c>
      <c r="E3" s="30"/>
      <c r="F3" s="21" t="str">
        <f>VLOOKUP(B3,'Trips&amp;Operators'!$C$2:$E$9912,3,FALSE)</f>
        <v>ZEWDU</v>
      </c>
      <c r="G3" s="21" t="str">
        <f>VLOOKUP(B3,'Trips&amp;Operators'!$C$1:$F$9912,4,FALSE)</f>
        <v>DEREJE</v>
      </c>
      <c r="H3" s="29" t="str">
        <f>VLOOKUP(B3,'Trips&amp;Operators'!$C$1:$H$9912,5,FALSE)</f>
        <v>ZEWDU DEREJE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22842-10%22)),sort:!(Time.ISO8601,asc))</v>
      </c>
      <c r="J3" s="30" t="str">
        <f>VLOOKUP(B3,'Train Runs'!$A$13:$A$100015,1,FALSE)</f>
        <v>842-10</v>
      </c>
    </row>
    <row r="4" spans="1:10" x14ac:dyDescent="0.25">
      <c r="A4" s="198">
        <v>846</v>
      </c>
      <c r="B4" s="42" t="str">
        <f>A4&amp;"-"&amp;IF(DAY(Variables!$A$2)&lt;10,0,"")&amp;DAY(Variables!$A$2)</f>
        <v>846-10</v>
      </c>
      <c r="C4" s="135"/>
      <c r="D4" s="153" t="str">
        <f>VLOOKUP(B4,'Trips&amp;Operators'!$C$1:$H$1072,6,FALSE)</f>
        <v>4035</v>
      </c>
      <c r="E4" s="30"/>
      <c r="F4" s="21" t="str">
        <f>VLOOKUP(B4,'Trips&amp;Operators'!$C$2:$E$9912,3,FALSE)</f>
        <v>GUNTHIER</v>
      </c>
      <c r="G4" s="21" t="str">
        <f>VLOOKUP(B4,'Trips&amp;Operators'!$C$1:$F$9912,4,FALSE)</f>
        <v>ERIC</v>
      </c>
      <c r="H4" s="29" t="str">
        <f>VLOOKUP(B4,'Trips&amp;Operators'!$C$1:$H$9912,5,FALSE)</f>
        <v>GUNTHIER ERIC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-10%22)),sort:!(Time.ISO8601,asc))</v>
      </c>
      <c r="J4" s="30" t="str">
        <f>VLOOKUP(B4,'Train Runs'!$A$13:$A$100015,1,FALSE)</f>
        <v>846-10</v>
      </c>
    </row>
    <row r="5" spans="1:10" x14ac:dyDescent="0.25">
      <c r="A5" s="198"/>
      <c r="B5" s="42" t="str">
        <f>A5&amp;"-"&amp;IF(DAY(Variables!$A$2)&lt;10,0,"")&amp;DAY(Variables!$A$2)</f>
        <v>-10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Runs'!$A$13:$A$100015,1,FALSE)</f>
        <v>#N/A</v>
      </c>
    </row>
    <row r="6" spans="1:10" x14ac:dyDescent="0.25">
      <c r="A6" s="198"/>
      <c r="B6" s="42" t="str">
        <f>A6&amp;"-"&amp;IF(DAY(Variables!$A$2)&lt;10,0,"")&amp;DAY(Variables!$A$2)</f>
        <v>-10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Runs'!$A$13:$A$100015,1,FALSE)</f>
        <v>#N/A</v>
      </c>
    </row>
    <row r="7" spans="1:10" x14ac:dyDescent="0.25">
      <c r="A7" s="198"/>
      <c r="B7" s="42" t="str">
        <f>A7&amp;"-"&amp;IF(DAY(Variables!$A$2)&lt;10,0,"")&amp;DAY(Variables!$A$2)</f>
        <v>-10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Runs'!$A$13:$A$100015,1,FALSE)</f>
        <v>#N/A</v>
      </c>
    </row>
    <row r="8" spans="1:10" x14ac:dyDescent="0.25">
      <c r="A8" s="198"/>
      <c r="B8" s="42" t="str">
        <f>A8&amp;"-"&amp;IF(DAY(Variables!$A$2)&lt;10,0,"")&amp;DAY(Variables!$A$2)</f>
        <v>-10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Runs'!$A$13:$A$100015,1,FALSE)</f>
        <v>#N/A</v>
      </c>
    </row>
    <row r="9" spans="1:10" x14ac:dyDescent="0.25">
      <c r="A9" s="198"/>
      <c r="B9" s="42" t="str">
        <f>A9&amp;"-"&amp;IF(DAY(Variables!$A$2)&lt;10,0,"")&amp;DAY(Variables!$A$2)</f>
        <v>-10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Runs'!$A$13:$A$100015,1,FALSE)</f>
        <v>#N/A</v>
      </c>
    </row>
    <row r="10" spans="1:10" x14ac:dyDescent="0.25">
      <c r="A10" s="198"/>
      <c r="B10" s="42" t="str">
        <f>A10&amp;"-"&amp;IF(DAY(Variables!$A$2)&lt;10,0,"")&amp;DAY(Variables!$A$2)</f>
        <v>-10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Runs'!$A$13:$A$100015,1,FALSE)</f>
        <v>#N/A</v>
      </c>
    </row>
    <row r="11" spans="1:10" x14ac:dyDescent="0.25">
      <c r="A11" s="198"/>
      <c r="B11" s="42" t="str">
        <f>A11&amp;"-"&amp;IF(DAY(Variables!$A$2)&lt;10,0,"")&amp;DAY(Variables!$A$2)</f>
        <v>-10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Runs'!$A$13:$A$100015,1,FALSE)</f>
        <v>#N/A</v>
      </c>
    </row>
    <row r="12" spans="1:10" x14ac:dyDescent="0.25">
      <c r="A12" s="198"/>
      <c r="B12" s="42" t="str">
        <f>A12&amp;"-"&amp;IF(DAY(Variables!$A$2)&lt;10,0,"")&amp;DAY(Variables!$A$2)</f>
        <v>-10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Runs'!$A$13:$A$100015,1,FALSE)</f>
        <v>#N/A</v>
      </c>
    </row>
    <row r="13" spans="1:10" x14ac:dyDescent="0.25">
      <c r="A13" s="198"/>
      <c r="B13" s="42" t="str">
        <f>A13&amp;"-"&amp;IF(DAY(Variables!$A$2)&lt;10,0,"")&amp;DAY(Variables!$A$2)</f>
        <v>-10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Runs'!$A$13:$A$100015,1,FALSE)</f>
        <v>#N/A</v>
      </c>
    </row>
    <row r="14" spans="1:10" x14ac:dyDescent="0.25">
      <c r="A14" s="198"/>
      <c r="B14" s="42" t="str">
        <f>A14&amp;"-"&amp;IF(DAY(Variables!$A$2)&lt;10,0,"")&amp;DAY(Variables!$A$2)</f>
        <v>-10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Runs'!$A$13:$A$100015,1,FALSE)</f>
        <v>#N/A</v>
      </c>
    </row>
    <row r="15" spans="1:10" x14ac:dyDescent="0.25">
      <c r="A15" s="198"/>
      <c r="B15" s="42" t="str">
        <f>A15&amp;"-"&amp;IF(DAY(Variables!$A$2)&lt;10,0,"")&amp;DAY(Variables!$A$2)</f>
        <v>-10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Runs'!$A$13:$A$100015,1,FALSE)</f>
        <v>#N/A</v>
      </c>
    </row>
    <row r="16" spans="1:10" x14ac:dyDescent="0.25">
      <c r="A16" s="198"/>
      <c r="B16" s="42" t="str">
        <f>A16&amp;"-"&amp;IF(DAY(Variables!$A$2)&lt;10,0,"")&amp;DAY(Variables!$A$2)</f>
        <v>-10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Runs'!$A$13:$A$100015,1,FALSE)</f>
        <v>#N/A</v>
      </c>
    </row>
    <row r="17" spans="1:10" x14ac:dyDescent="0.25">
      <c r="A17" s="198"/>
      <c r="B17" s="42" t="str">
        <f>A17&amp;"-"&amp;IF(DAY(Variables!$A$2)&lt;10,0,"")&amp;DAY(Variables!$A$2)</f>
        <v>-10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Runs'!$A$13:$A$100015,1,FALSE)</f>
        <v>#N/A</v>
      </c>
    </row>
    <row r="18" spans="1:10" x14ac:dyDescent="0.25">
      <c r="A18" s="198"/>
      <c r="B18" s="42" t="str">
        <f>A18&amp;"-"&amp;IF(DAY(Variables!$A$2)&lt;10,0,"")&amp;DAY(Variables!$A$2)</f>
        <v>-10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Runs'!$A$13:$A$100015,1,FALSE)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43018.047858796293</v>
      </c>
      <c r="B2" s="20" t="s">
        <v>534</v>
      </c>
      <c r="C2" s="20" t="s">
        <v>542</v>
      </c>
      <c r="D2" s="138">
        <v>890000</v>
      </c>
      <c r="E2" s="20" t="s">
        <v>359</v>
      </c>
      <c r="F2" s="20" t="s">
        <v>360</v>
      </c>
      <c r="G2" s="8" t="str">
        <f>E2&amp;" "&amp;F2</f>
        <v>LOZA FIDEL</v>
      </c>
      <c r="H2" t="str">
        <f>MID(B2,13,4)</f>
        <v>4016</v>
      </c>
    </row>
    <row r="3" spans="1:8" x14ac:dyDescent="0.25">
      <c r="A3" s="8">
        <v>43018.05709490741</v>
      </c>
      <c r="B3" s="20" t="s">
        <v>384</v>
      </c>
      <c r="C3" s="20" t="s">
        <v>543</v>
      </c>
      <c r="D3" s="138">
        <v>3040000</v>
      </c>
      <c r="E3" s="20" t="s">
        <v>497</v>
      </c>
      <c r="F3" s="20" t="s">
        <v>498</v>
      </c>
      <c r="G3" s="8" t="str">
        <f t="shared" ref="G3:G66" si="0">E3&amp;" "&amp;F3</f>
        <v>WILLIAMS DONTE</v>
      </c>
      <c r="H3" s="20" t="str">
        <f t="shared" ref="H3:H66" si="1">MID(B3,13,4)</f>
        <v>4039</v>
      </c>
    </row>
    <row r="4" spans="1:8" x14ac:dyDescent="0.25">
      <c r="A4" s="8">
        <v>43018.068935185183</v>
      </c>
      <c r="B4" s="20" t="s">
        <v>531</v>
      </c>
      <c r="C4" s="20" t="s">
        <v>544</v>
      </c>
      <c r="D4" s="138">
        <v>2680000</v>
      </c>
      <c r="E4" s="20" t="s">
        <v>365</v>
      </c>
      <c r="F4" s="20" t="s">
        <v>366</v>
      </c>
      <c r="G4" s="8" t="str">
        <f t="shared" si="0"/>
        <v>DUNCAN SHEILA</v>
      </c>
      <c r="H4" s="20" t="str">
        <f t="shared" si="1"/>
        <v>4046</v>
      </c>
    </row>
    <row r="5" spans="1:8" x14ac:dyDescent="0.25">
      <c r="A5" s="8">
        <v>43018.090439814812</v>
      </c>
      <c r="B5" s="20" t="s">
        <v>385</v>
      </c>
      <c r="C5" s="20" t="s">
        <v>545</v>
      </c>
      <c r="D5" s="138">
        <v>3040000</v>
      </c>
      <c r="E5" s="20" t="s">
        <v>497</v>
      </c>
      <c r="F5" s="20" t="s">
        <v>498</v>
      </c>
      <c r="G5" s="8" t="str">
        <f t="shared" si="0"/>
        <v>WILLIAMS DONTE</v>
      </c>
      <c r="H5" s="20" t="str">
        <f t="shared" si="1"/>
        <v>4040</v>
      </c>
    </row>
    <row r="6" spans="1:8" x14ac:dyDescent="0.25">
      <c r="A6" s="8">
        <v>43018.113541666666</v>
      </c>
      <c r="B6" s="20" t="s">
        <v>496</v>
      </c>
      <c r="C6" s="20" t="s">
        <v>546</v>
      </c>
      <c r="D6" s="138">
        <v>1830000</v>
      </c>
      <c r="E6" s="20" t="s">
        <v>378</v>
      </c>
      <c r="F6" s="20" t="s">
        <v>379</v>
      </c>
      <c r="G6" s="8" t="str">
        <f t="shared" si="0"/>
        <v>YORK EDGAR</v>
      </c>
      <c r="H6" s="20" t="str">
        <f t="shared" si="1"/>
        <v>4041</v>
      </c>
    </row>
    <row r="7" spans="1:8" x14ac:dyDescent="0.25">
      <c r="A7" s="8">
        <v>43018.124675925923</v>
      </c>
      <c r="B7" s="20" t="s">
        <v>621</v>
      </c>
      <c r="C7" s="20" t="s">
        <v>622</v>
      </c>
      <c r="D7" s="138">
        <v>1090000</v>
      </c>
      <c r="E7" s="20" t="s">
        <v>414</v>
      </c>
      <c r="F7" s="20" t="s">
        <v>406</v>
      </c>
      <c r="G7" s="8" t="str">
        <f t="shared" si="0"/>
        <v>SPECTOR MICHAEL</v>
      </c>
      <c r="H7" s="20" t="str">
        <f t="shared" si="1"/>
        <v>4042</v>
      </c>
    </row>
    <row r="8" spans="1:8" x14ac:dyDescent="0.25">
      <c r="A8" s="8">
        <v>43018.126562500001</v>
      </c>
      <c r="B8" s="20" t="s">
        <v>393</v>
      </c>
      <c r="C8" s="20" t="s">
        <v>623</v>
      </c>
      <c r="D8" s="138">
        <v>1830000</v>
      </c>
      <c r="E8" s="20" t="s">
        <v>378</v>
      </c>
      <c r="F8" s="20" t="s">
        <v>379</v>
      </c>
      <c r="G8" s="8" t="str">
        <f t="shared" si="0"/>
        <v>YORK EDGAR</v>
      </c>
      <c r="H8" s="20" t="str">
        <f t="shared" si="1"/>
        <v>4050</v>
      </c>
    </row>
    <row r="9" spans="1:8" ht="15.75" thickBot="1" x14ac:dyDescent="0.3">
      <c r="A9" s="24">
        <v>43018.14099537037</v>
      </c>
      <c r="B9" s="20" t="s">
        <v>496</v>
      </c>
      <c r="C9" s="20" t="s">
        <v>624</v>
      </c>
      <c r="D9" s="138">
        <v>1090000</v>
      </c>
      <c r="E9" s="20" t="s">
        <v>414</v>
      </c>
      <c r="F9" s="20" t="s">
        <v>406</v>
      </c>
      <c r="G9" s="8" t="str">
        <f t="shared" si="0"/>
        <v>SPECTOR MICHAEL</v>
      </c>
      <c r="H9" s="20" t="str">
        <f t="shared" si="1"/>
        <v>4041</v>
      </c>
    </row>
    <row r="10" spans="1:8" x14ac:dyDescent="0.25">
      <c r="A10" s="8">
        <v>43018.143159722225</v>
      </c>
      <c r="B10" s="20" t="s">
        <v>447</v>
      </c>
      <c r="C10" s="20" t="s">
        <v>625</v>
      </c>
      <c r="D10" s="138">
        <v>940000</v>
      </c>
      <c r="E10" s="20" t="s">
        <v>415</v>
      </c>
      <c r="F10" s="20" t="s">
        <v>416</v>
      </c>
      <c r="G10" s="8" t="str">
        <f t="shared" si="0"/>
        <v>BONDS REYNALDO</v>
      </c>
      <c r="H10" s="20" t="str">
        <f t="shared" si="1"/>
        <v>4065</v>
      </c>
    </row>
    <row r="11" spans="1:8" x14ac:dyDescent="0.25">
      <c r="A11" s="8">
        <v>43018.153460648151</v>
      </c>
      <c r="B11" s="20" t="s">
        <v>442</v>
      </c>
      <c r="C11" s="20" t="s">
        <v>626</v>
      </c>
      <c r="D11" s="138">
        <v>940000</v>
      </c>
      <c r="E11" s="20" t="s">
        <v>415</v>
      </c>
      <c r="F11" s="20" t="s">
        <v>416</v>
      </c>
      <c r="G11" s="8" t="str">
        <f t="shared" si="0"/>
        <v>BONDS REYNALDO</v>
      </c>
      <c r="H11" s="20" t="str">
        <f t="shared" si="1"/>
        <v>4066</v>
      </c>
    </row>
    <row r="12" spans="1:8" x14ac:dyDescent="0.25">
      <c r="A12" s="8">
        <v>43018.157997685186</v>
      </c>
      <c r="B12" s="20" t="s">
        <v>604</v>
      </c>
      <c r="C12" s="20" t="s">
        <v>627</v>
      </c>
      <c r="D12" s="138">
        <v>3300000</v>
      </c>
      <c r="E12" s="20" t="s">
        <v>532</v>
      </c>
      <c r="F12" s="20" t="s">
        <v>533</v>
      </c>
      <c r="G12" s="8" t="str">
        <f t="shared" si="0"/>
        <v>LANGERAK WILLIAM</v>
      </c>
      <c r="H12" s="20" t="str">
        <f t="shared" si="1"/>
        <v>4019</v>
      </c>
    </row>
    <row r="13" spans="1:8" x14ac:dyDescent="0.25">
      <c r="A13" s="8">
        <v>43018.161261574074</v>
      </c>
      <c r="B13" s="20" t="s">
        <v>432</v>
      </c>
      <c r="C13" s="20" t="s">
        <v>628</v>
      </c>
      <c r="D13" s="138">
        <v>1830000</v>
      </c>
      <c r="E13" s="20" t="s">
        <v>378</v>
      </c>
      <c r="F13" s="20" t="s">
        <v>379</v>
      </c>
      <c r="G13" s="8" t="str">
        <f t="shared" si="0"/>
        <v>YORK EDGAR</v>
      </c>
      <c r="H13" s="20" t="str">
        <f t="shared" si="1"/>
        <v>4049</v>
      </c>
    </row>
    <row r="14" spans="1:8" x14ac:dyDescent="0.25">
      <c r="A14" s="8">
        <v>43018.166701388887</v>
      </c>
      <c r="B14" s="20" t="s">
        <v>529</v>
      </c>
      <c r="C14" s="20" t="s">
        <v>629</v>
      </c>
      <c r="D14" s="138">
        <v>2530000</v>
      </c>
      <c r="E14" s="20" t="s">
        <v>501</v>
      </c>
      <c r="F14" s="20" t="s">
        <v>502</v>
      </c>
      <c r="G14" s="8" t="str">
        <f t="shared" si="0"/>
        <v>LALONDE GREGORY</v>
      </c>
      <c r="H14" s="20" t="str">
        <f t="shared" si="1"/>
        <v>4051</v>
      </c>
    </row>
    <row r="15" spans="1:8" x14ac:dyDescent="0.25">
      <c r="A15" s="8">
        <v>43018.172696759262</v>
      </c>
      <c r="B15" s="20" t="s">
        <v>614</v>
      </c>
      <c r="C15" s="20" t="s">
        <v>630</v>
      </c>
      <c r="D15" s="138">
        <v>3300000</v>
      </c>
      <c r="E15" s="20" t="s">
        <v>532</v>
      </c>
      <c r="F15" s="20" t="s">
        <v>533</v>
      </c>
      <c r="G15" s="8" t="str">
        <f t="shared" si="0"/>
        <v>LANGERAK WILLIAM</v>
      </c>
      <c r="H15" s="20" t="str">
        <f t="shared" si="1"/>
        <v>4020</v>
      </c>
    </row>
    <row r="16" spans="1:8" x14ac:dyDescent="0.25">
      <c r="A16" s="8">
        <v>43018.181608796294</v>
      </c>
      <c r="B16" s="20" t="s">
        <v>590</v>
      </c>
      <c r="C16" s="20" t="s">
        <v>631</v>
      </c>
      <c r="D16" s="138">
        <v>2270000</v>
      </c>
      <c r="E16" s="20" t="s">
        <v>537</v>
      </c>
      <c r="F16" s="20" t="s">
        <v>538</v>
      </c>
      <c r="G16" s="8" t="str">
        <f t="shared" si="0"/>
        <v>BROWN JACOB</v>
      </c>
      <c r="H16" s="20" t="str">
        <f t="shared" si="1"/>
        <v>4043</v>
      </c>
    </row>
    <row r="17" spans="1:8" x14ac:dyDescent="0.25">
      <c r="A17" s="8">
        <v>43018.181840277779</v>
      </c>
      <c r="B17" s="20" t="s">
        <v>528</v>
      </c>
      <c r="C17" s="20" t="s">
        <v>632</v>
      </c>
      <c r="D17" s="138">
        <v>2530000</v>
      </c>
      <c r="E17" s="20" t="s">
        <v>501</v>
      </c>
      <c r="F17" s="20" t="s">
        <v>502</v>
      </c>
      <c r="G17" s="8" t="str">
        <f t="shared" si="0"/>
        <v>LALONDE GREGORY</v>
      </c>
      <c r="H17" s="20" t="str">
        <f t="shared" si="1"/>
        <v>4052</v>
      </c>
    </row>
    <row r="18" spans="1:8" x14ac:dyDescent="0.25">
      <c r="A18" s="8">
        <v>43018.187395833331</v>
      </c>
      <c r="B18" s="20" t="s">
        <v>447</v>
      </c>
      <c r="C18" s="20" t="s">
        <v>633</v>
      </c>
      <c r="D18" s="138">
        <v>940000</v>
      </c>
      <c r="E18" s="20" t="s">
        <v>415</v>
      </c>
      <c r="F18" s="20" t="s">
        <v>416</v>
      </c>
      <c r="G18" s="8" t="str">
        <f t="shared" si="0"/>
        <v>BONDS REYNALDO</v>
      </c>
      <c r="H18" s="20" t="str">
        <f t="shared" si="1"/>
        <v>4065</v>
      </c>
    </row>
    <row r="19" spans="1:8" x14ac:dyDescent="0.25">
      <c r="A19" s="8">
        <v>43018.194039351853</v>
      </c>
      <c r="B19" s="20" t="s">
        <v>400</v>
      </c>
      <c r="C19" s="20" t="s">
        <v>634</v>
      </c>
      <c r="D19" s="138">
        <v>1230000</v>
      </c>
      <c r="E19" s="20" t="s">
        <v>417</v>
      </c>
      <c r="F19" s="20" t="s">
        <v>418</v>
      </c>
      <c r="G19" s="8" t="str">
        <f t="shared" si="0"/>
        <v>YANAI IAN</v>
      </c>
      <c r="H19" s="20" t="str">
        <f t="shared" si="1"/>
        <v>4055</v>
      </c>
    </row>
    <row r="20" spans="1:8" x14ac:dyDescent="0.25">
      <c r="A20" s="8">
        <v>43018.195520833331</v>
      </c>
      <c r="B20" s="20" t="s">
        <v>635</v>
      </c>
      <c r="C20" s="20" t="s">
        <v>636</v>
      </c>
      <c r="D20" s="138">
        <v>2270000</v>
      </c>
      <c r="E20" s="20" t="s">
        <v>537</v>
      </c>
      <c r="F20" s="20" t="s">
        <v>538</v>
      </c>
      <c r="G20" s="8" t="str">
        <f t="shared" si="0"/>
        <v>BROWN JACOB</v>
      </c>
      <c r="H20" s="20" t="str">
        <f t="shared" si="1"/>
        <v>4044</v>
      </c>
    </row>
    <row r="21" spans="1:8" x14ac:dyDescent="0.25">
      <c r="A21" s="8">
        <v>43018.196782407409</v>
      </c>
      <c r="B21" s="20" t="s">
        <v>637</v>
      </c>
      <c r="C21" s="20" t="s">
        <v>638</v>
      </c>
      <c r="D21" s="138">
        <v>2730000</v>
      </c>
      <c r="E21" s="20" t="s">
        <v>535</v>
      </c>
      <c r="F21" s="20" t="s">
        <v>536</v>
      </c>
      <c r="G21" s="8" t="str">
        <f t="shared" si="0"/>
        <v>YANG JAN</v>
      </c>
      <c r="H21" s="20" t="str">
        <f t="shared" si="1"/>
        <v>4060</v>
      </c>
    </row>
    <row r="22" spans="1:8" x14ac:dyDescent="0.25">
      <c r="A22" s="26">
        <v>43018.2033912037</v>
      </c>
      <c r="B22" s="20" t="s">
        <v>393</v>
      </c>
      <c r="C22" s="20" t="s">
        <v>639</v>
      </c>
      <c r="D22" s="138">
        <v>1830000</v>
      </c>
      <c r="E22" s="20" t="s">
        <v>378</v>
      </c>
      <c r="F22" s="20" t="s">
        <v>379</v>
      </c>
      <c r="G22" s="8" t="str">
        <f t="shared" si="0"/>
        <v>YORK EDGAR</v>
      </c>
      <c r="H22" s="20" t="str">
        <f t="shared" si="1"/>
        <v>4050</v>
      </c>
    </row>
    <row r="23" spans="1:8" x14ac:dyDescent="0.25">
      <c r="A23" s="8">
        <v>43018.205370370371</v>
      </c>
      <c r="B23" s="20" t="s">
        <v>604</v>
      </c>
      <c r="C23" s="20" t="s">
        <v>640</v>
      </c>
      <c r="D23" s="138">
        <v>3300000</v>
      </c>
      <c r="E23" s="20" t="s">
        <v>532</v>
      </c>
      <c r="F23" s="20" t="s">
        <v>533</v>
      </c>
      <c r="G23" s="8" t="str">
        <f t="shared" si="0"/>
        <v>LANGERAK WILLIAM</v>
      </c>
      <c r="H23" s="20" t="str">
        <f t="shared" si="1"/>
        <v>4019</v>
      </c>
    </row>
    <row r="24" spans="1:8" x14ac:dyDescent="0.25">
      <c r="A24" s="8">
        <v>43018.209502314814</v>
      </c>
      <c r="B24" s="20" t="s">
        <v>607</v>
      </c>
      <c r="C24" s="20" t="s">
        <v>641</v>
      </c>
      <c r="D24" s="138">
        <v>2730000</v>
      </c>
      <c r="E24" s="20" t="s">
        <v>535</v>
      </c>
      <c r="F24" s="20" t="s">
        <v>536</v>
      </c>
      <c r="G24" s="8" t="str">
        <f t="shared" si="0"/>
        <v>YANG JAN</v>
      </c>
      <c r="H24" s="20" t="str">
        <f t="shared" si="1"/>
        <v>4059</v>
      </c>
    </row>
    <row r="25" spans="1:8" x14ac:dyDescent="0.25">
      <c r="A25" s="8">
        <v>43018.210659722223</v>
      </c>
      <c r="B25" s="20" t="s">
        <v>401</v>
      </c>
      <c r="C25" s="20" t="s">
        <v>642</v>
      </c>
      <c r="D25" s="138">
        <v>1230000</v>
      </c>
      <c r="E25" s="20" t="s">
        <v>417</v>
      </c>
      <c r="F25" s="20" t="s">
        <v>418</v>
      </c>
      <c r="G25" s="8" t="str">
        <f t="shared" si="0"/>
        <v>YANAI IAN</v>
      </c>
      <c r="H25" s="20" t="str">
        <f t="shared" si="1"/>
        <v>4056</v>
      </c>
    </row>
    <row r="26" spans="1:8" x14ac:dyDescent="0.25">
      <c r="A26" s="8">
        <v>43018.213483796295</v>
      </c>
      <c r="B26" s="20" t="s">
        <v>529</v>
      </c>
      <c r="C26" s="20" t="s">
        <v>643</v>
      </c>
      <c r="D26" s="138">
        <v>2530000</v>
      </c>
      <c r="E26" s="20" t="s">
        <v>501</v>
      </c>
      <c r="F26" s="20" t="s">
        <v>502</v>
      </c>
      <c r="G26" s="8" t="str">
        <f t="shared" si="0"/>
        <v>LALONDE GREGORY</v>
      </c>
      <c r="H26" s="20" t="str">
        <f t="shared" si="1"/>
        <v>4051</v>
      </c>
    </row>
    <row r="27" spans="1:8" x14ac:dyDescent="0.25">
      <c r="A27" s="8">
        <v>43018.222662037035</v>
      </c>
      <c r="B27" s="20" t="s">
        <v>595</v>
      </c>
      <c r="C27" s="20" t="s">
        <v>644</v>
      </c>
      <c r="D27" s="138">
        <v>2560000</v>
      </c>
      <c r="E27" s="20" t="s">
        <v>499</v>
      </c>
      <c r="F27" s="20" t="s">
        <v>500</v>
      </c>
      <c r="G27" s="8" t="str">
        <f t="shared" si="0"/>
        <v>MACDONALD THOMAS</v>
      </c>
      <c r="H27" s="20" t="str">
        <f t="shared" si="1"/>
        <v>4053</v>
      </c>
    </row>
    <row r="28" spans="1:8" x14ac:dyDescent="0.25">
      <c r="A28" s="8">
        <v>43018.224409722221</v>
      </c>
      <c r="B28" s="20" t="s">
        <v>442</v>
      </c>
      <c r="C28" s="20" t="s">
        <v>645</v>
      </c>
      <c r="D28" s="138">
        <v>940000</v>
      </c>
      <c r="E28" s="20" t="s">
        <v>415</v>
      </c>
      <c r="F28" s="20" t="s">
        <v>416</v>
      </c>
      <c r="G28" s="8" t="str">
        <f t="shared" si="0"/>
        <v>BONDS REYNALDO</v>
      </c>
      <c r="H28" s="20" t="str">
        <f t="shared" si="1"/>
        <v>4066</v>
      </c>
    </row>
    <row r="29" spans="1:8" x14ac:dyDescent="0.25">
      <c r="A29" s="8">
        <v>43018.229016203702</v>
      </c>
      <c r="B29" s="20" t="s">
        <v>590</v>
      </c>
      <c r="C29" s="20" t="s">
        <v>646</v>
      </c>
      <c r="D29" s="138">
        <v>2270000</v>
      </c>
      <c r="E29" s="20" t="s">
        <v>537</v>
      </c>
      <c r="F29" s="20" t="s">
        <v>538</v>
      </c>
      <c r="G29" s="8" t="str">
        <f t="shared" si="0"/>
        <v>BROWN JACOB</v>
      </c>
      <c r="H29" s="20" t="str">
        <f t="shared" si="1"/>
        <v>4043</v>
      </c>
    </row>
    <row r="30" spans="1:8" x14ac:dyDescent="0.25">
      <c r="A30" s="8">
        <v>43018.232164351852</v>
      </c>
      <c r="B30" s="20" t="s">
        <v>637</v>
      </c>
      <c r="C30" s="20" t="s">
        <v>647</v>
      </c>
      <c r="D30" s="138">
        <v>2730000</v>
      </c>
      <c r="E30" s="20" t="s">
        <v>535</v>
      </c>
      <c r="F30" s="20" t="s">
        <v>536</v>
      </c>
      <c r="G30" s="8" t="str">
        <f t="shared" si="0"/>
        <v>YANG JAN</v>
      </c>
      <c r="H30" s="20" t="str">
        <f t="shared" si="1"/>
        <v>4060</v>
      </c>
    </row>
    <row r="31" spans="1:8" x14ac:dyDescent="0.25">
      <c r="A31" s="8">
        <v>43018.234155092592</v>
      </c>
      <c r="B31" s="20" t="s">
        <v>432</v>
      </c>
      <c r="C31" s="20" t="s">
        <v>648</v>
      </c>
      <c r="D31" s="138">
        <v>1830000</v>
      </c>
      <c r="E31" s="20" t="s">
        <v>378</v>
      </c>
      <c r="F31" s="20" t="s">
        <v>379</v>
      </c>
      <c r="G31" s="8" t="str">
        <f t="shared" si="0"/>
        <v>YORK EDGAR</v>
      </c>
      <c r="H31" s="20" t="str">
        <f t="shared" si="1"/>
        <v>4049</v>
      </c>
    </row>
    <row r="32" spans="1:8" x14ac:dyDescent="0.25">
      <c r="A32" s="8">
        <v>43018.235127314816</v>
      </c>
      <c r="B32" s="20" t="s">
        <v>649</v>
      </c>
      <c r="C32" s="20" t="s">
        <v>650</v>
      </c>
      <c r="D32" s="138">
        <v>2560000</v>
      </c>
      <c r="E32" s="20" t="s">
        <v>499</v>
      </c>
      <c r="F32" s="20" t="s">
        <v>500</v>
      </c>
      <c r="G32" s="8" t="str">
        <f t="shared" si="0"/>
        <v>MACDONALD THOMAS</v>
      </c>
      <c r="H32" s="20" t="str">
        <f t="shared" si="1"/>
        <v>4054</v>
      </c>
    </row>
    <row r="33" spans="1:8" x14ac:dyDescent="0.25">
      <c r="A33" s="8">
        <v>43018.237268518518</v>
      </c>
      <c r="B33" s="20" t="s">
        <v>610</v>
      </c>
      <c r="C33" s="20" t="s">
        <v>651</v>
      </c>
      <c r="D33" s="138">
        <v>3000000</v>
      </c>
      <c r="E33" s="20" t="s">
        <v>652</v>
      </c>
      <c r="F33" s="20" t="s">
        <v>653</v>
      </c>
      <c r="G33" s="8" t="str">
        <f t="shared" si="0"/>
        <v>FORTUNATO FRANK</v>
      </c>
      <c r="H33" s="20" t="str">
        <f t="shared" si="1"/>
        <v>4035</v>
      </c>
    </row>
    <row r="34" spans="1:8" x14ac:dyDescent="0.25">
      <c r="A34" s="8">
        <v>43018.245266203703</v>
      </c>
      <c r="B34" s="20" t="s">
        <v>400</v>
      </c>
      <c r="C34" s="20" t="s">
        <v>654</v>
      </c>
      <c r="D34" s="138">
        <v>1230000</v>
      </c>
      <c r="E34" s="20" t="s">
        <v>417</v>
      </c>
      <c r="F34" s="20" t="s">
        <v>418</v>
      </c>
      <c r="G34" s="8" t="str">
        <f t="shared" si="0"/>
        <v>YANAI IAN</v>
      </c>
      <c r="H34" s="20" t="str">
        <f t="shared" si="1"/>
        <v>4055</v>
      </c>
    </row>
    <row r="35" spans="1:8" x14ac:dyDescent="0.25">
      <c r="A35" s="8">
        <v>43018.248240740744</v>
      </c>
      <c r="B35" s="20" t="s">
        <v>607</v>
      </c>
      <c r="C35" s="20" t="s">
        <v>655</v>
      </c>
      <c r="D35" s="138">
        <v>2730000</v>
      </c>
      <c r="E35" s="20" t="s">
        <v>535</v>
      </c>
      <c r="F35" s="20" t="s">
        <v>536</v>
      </c>
      <c r="G35" s="8" t="str">
        <f t="shared" si="0"/>
        <v>YANG JAN</v>
      </c>
      <c r="H35" s="20" t="str">
        <f t="shared" si="1"/>
        <v>4059</v>
      </c>
    </row>
    <row r="36" spans="1:8" x14ac:dyDescent="0.25">
      <c r="A36" s="8">
        <v>43018.249791666669</v>
      </c>
      <c r="B36" s="20" t="s">
        <v>614</v>
      </c>
      <c r="C36" s="20" t="s">
        <v>656</v>
      </c>
      <c r="D36" s="138">
        <v>1110000</v>
      </c>
      <c r="E36" s="20" t="s">
        <v>657</v>
      </c>
      <c r="F36" s="20" t="s">
        <v>658</v>
      </c>
      <c r="G36" s="8" t="str">
        <f t="shared" si="0"/>
        <v>STARKS ANGELINA</v>
      </c>
      <c r="H36" s="20" t="str">
        <f t="shared" si="1"/>
        <v>4020</v>
      </c>
    </row>
    <row r="37" spans="1:8" x14ac:dyDescent="0.25">
      <c r="A37" s="8">
        <v>43018.250601851854</v>
      </c>
      <c r="B37" s="20" t="s">
        <v>495</v>
      </c>
      <c r="C37" s="20" t="s">
        <v>659</v>
      </c>
      <c r="D37" s="138">
        <v>3000000</v>
      </c>
      <c r="E37" s="20" t="s">
        <v>652</v>
      </c>
      <c r="F37" s="20" t="s">
        <v>653</v>
      </c>
      <c r="G37" s="8" t="str">
        <f t="shared" si="0"/>
        <v>FORTUNATO FRANK</v>
      </c>
      <c r="H37" s="20" t="str">
        <f t="shared" si="1"/>
        <v>4036</v>
      </c>
    </row>
    <row r="38" spans="1:8" x14ac:dyDescent="0.25">
      <c r="A38" s="8">
        <v>43018.25613425926</v>
      </c>
      <c r="B38" s="20" t="s">
        <v>528</v>
      </c>
      <c r="C38" s="20" t="s">
        <v>660</v>
      </c>
      <c r="D38" s="138">
        <v>2530000</v>
      </c>
      <c r="E38" s="20" t="s">
        <v>501</v>
      </c>
      <c r="F38" s="20" t="s">
        <v>502</v>
      </c>
      <c r="G38" s="8" t="str">
        <f t="shared" si="0"/>
        <v>LALONDE GREGORY</v>
      </c>
      <c r="H38" s="20" t="str">
        <f t="shared" si="1"/>
        <v>4052</v>
      </c>
    </row>
    <row r="39" spans="1:8" x14ac:dyDescent="0.25">
      <c r="A39" s="8">
        <v>43018.263391203705</v>
      </c>
      <c r="B39" s="20" t="s">
        <v>447</v>
      </c>
      <c r="C39" s="20" t="s">
        <v>661</v>
      </c>
      <c r="D39" s="138">
        <v>940000</v>
      </c>
      <c r="E39" s="20" t="s">
        <v>415</v>
      </c>
      <c r="F39" s="20" t="s">
        <v>416</v>
      </c>
      <c r="G39" s="8" t="str">
        <f t="shared" si="0"/>
        <v>BONDS REYNALDO</v>
      </c>
      <c r="H39" s="20" t="str">
        <f t="shared" si="1"/>
        <v>4065</v>
      </c>
    </row>
    <row r="40" spans="1:8" x14ac:dyDescent="0.25">
      <c r="A40" s="8">
        <v>43018.268680555557</v>
      </c>
      <c r="B40" s="25" t="s">
        <v>635</v>
      </c>
      <c r="C40" s="20" t="s">
        <v>662</v>
      </c>
      <c r="D40" s="138">
        <v>2270000</v>
      </c>
      <c r="E40" s="20" t="s">
        <v>537</v>
      </c>
      <c r="F40" s="20" t="s">
        <v>538</v>
      </c>
      <c r="G40" s="8" t="str">
        <f t="shared" si="0"/>
        <v>BROWN JACOB</v>
      </c>
      <c r="H40" s="20" t="str">
        <f t="shared" si="1"/>
        <v>4044</v>
      </c>
    </row>
    <row r="41" spans="1:8" x14ac:dyDescent="0.25">
      <c r="A41" s="8">
        <v>43018.268946759257</v>
      </c>
      <c r="B41" s="20" t="s">
        <v>610</v>
      </c>
      <c r="C41" s="20" t="s">
        <v>663</v>
      </c>
      <c r="D41" s="138">
        <v>3000000</v>
      </c>
      <c r="E41" s="20" t="s">
        <v>652</v>
      </c>
      <c r="F41" s="20" t="s">
        <v>653</v>
      </c>
      <c r="G41" s="8" t="str">
        <f t="shared" si="0"/>
        <v>FORTUNATO FRANK</v>
      </c>
      <c r="H41" s="20" t="str">
        <f t="shared" si="1"/>
        <v>4035</v>
      </c>
    </row>
    <row r="42" spans="1:8" x14ac:dyDescent="0.25">
      <c r="A42" s="8">
        <v>43018.273356481484</v>
      </c>
      <c r="B42" s="20" t="s">
        <v>637</v>
      </c>
      <c r="C42" s="20" t="s">
        <v>664</v>
      </c>
      <c r="D42" s="138">
        <v>2730000</v>
      </c>
      <c r="E42" s="20" t="s">
        <v>535</v>
      </c>
      <c r="F42" s="20" t="s">
        <v>536</v>
      </c>
      <c r="G42" s="8" t="str">
        <f t="shared" si="0"/>
        <v>YANG JAN</v>
      </c>
      <c r="H42" s="20" t="str">
        <f t="shared" si="1"/>
        <v>4060</v>
      </c>
    </row>
    <row r="43" spans="1:8" x14ac:dyDescent="0.25">
      <c r="A43" s="8">
        <v>43018.275706018518</v>
      </c>
      <c r="B43" s="20" t="s">
        <v>393</v>
      </c>
      <c r="C43" s="20" t="s">
        <v>665</v>
      </c>
      <c r="D43" s="138">
        <v>1830000</v>
      </c>
      <c r="E43" s="20" t="s">
        <v>378</v>
      </c>
      <c r="F43" s="20" t="s">
        <v>379</v>
      </c>
      <c r="G43" s="8" t="str">
        <f t="shared" si="0"/>
        <v>YORK EDGAR</v>
      </c>
      <c r="H43" s="20" t="str">
        <f t="shared" si="1"/>
        <v>4050</v>
      </c>
    </row>
    <row r="44" spans="1:8" x14ac:dyDescent="0.25">
      <c r="A44" s="8">
        <v>43018.275902777779</v>
      </c>
      <c r="B44" s="20" t="s">
        <v>595</v>
      </c>
      <c r="C44" s="20" t="s">
        <v>666</v>
      </c>
      <c r="D44" s="138">
        <v>2560000</v>
      </c>
      <c r="E44" s="20" t="s">
        <v>499</v>
      </c>
      <c r="F44" s="20" t="s">
        <v>500</v>
      </c>
      <c r="G44" s="8" t="str">
        <f t="shared" si="0"/>
        <v>MACDONALD THOMAS</v>
      </c>
      <c r="H44" s="20" t="str">
        <f t="shared" si="1"/>
        <v>4053</v>
      </c>
    </row>
    <row r="45" spans="1:8" x14ac:dyDescent="0.25">
      <c r="A45" s="8">
        <v>43018.280081018522</v>
      </c>
      <c r="B45" s="20" t="s">
        <v>604</v>
      </c>
      <c r="C45" s="20" t="s">
        <v>667</v>
      </c>
      <c r="D45" s="138">
        <v>1100000</v>
      </c>
      <c r="E45" s="20" t="s">
        <v>668</v>
      </c>
      <c r="F45" s="20" t="s">
        <v>669</v>
      </c>
      <c r="G45" s="8" t="str">
        <f t="shared" si="0"/>
        <v>GEBRETEKLE DAGNEW</v>
      </c>
      <c r="H45" s="20" t="str">
        <f t="shared" si="1"/>
        <v>4019</v>
      </c>
    </row>
    <row r="46" spans="1:8" x14ac:dyDescent="0.25">
      <c r="A46" s="8">
        <v>43018.285567129627</v>
      </c>
      <c r="B46" s="20" t="s">
        <v>393</v>
      </c>
      <c r="C46" s="20" t="s">
        <v>665</v>
      </c>
      <c r="D46" s="138">
        <v>1830000</v>
      </c>
      <c r="E46" s="20" t="s">
        <v>378</v>
      </c>
      <c r="F46" s="20" t="s">
        <v>379</v>
      </c>
      <c r="G46" s="8" t="str">
        <f t="shared" si="0"/>
        <v>YORK EDGAR</v>
      </c>
      <c r="H46" s="20" t="str">
        <f t="shared" si="1"/>
        <v>4050</v>
      </c>
    </row>
    <row r="47" spans="1:8" x14ac:dyDescent="0.25">
      <c r="A47" s="8">
        <v>43018.286192129628</v>
      </c>
      <c r="B47" s="20" t="s">
        <v>401</v>
      </c>
      <c r="C47" s="20" t="s">
        <v>670</v>
      </c>
      <c r="D47" s="138">
        <v>1230000</v>
      </c>
      <c r="E47" s="20" t="s">
        <v>417</v>
      </c>
      <c r="F47" s="20" t="s">
        <v>418</v>
      </c>
      <c r="G47" s="8" t="str">
        <f t="shared" si="0"/>
        <v>YANAI IAN</v>
      </c>
      <c r="H47" s="20" t="str">
        <f t="shared" si="1"/>
        <v>4056</v>
      </c>
    </row>
    <row r="48" spans="1:8" x14ac:dyDescent="0.25">
      <c r="A48" s="8">
        <v>43018.286516203705</v>
      </c>
      <c r="B48" s="20" t="s">
        <v>529</v>
      </c>
      <c r="C48" s="20" t="s">
        <v>671</v>
      </c>
      <c r="D48" s="138">
        <v>2470000</v>
      </c>
      <c r="E48" s="20" t="s">
        <v>672</v>
      </c>
      <c r="F48" s="20" t="s">
        <v>673</v>
      </c>
      <c r="G48" s="8" t="str">
        <f t="shared" si="0"/>
        <v>ROMERO CHAD</v>
      </c>
      <c r="H48" s="20" t="str">
        <f t="shared" si="1"/>
        <v>4051</v>
      </c>
    </row>
    <row r="49" spans="1:8" x14ac:dyDescent="0.25">
      <c r="A49" s="8">
        <v>43018.289675925924</v>
      </c>
      <c r="B49" s="20" t="s">
        <v>607</v>
      </c>
      <c r="C49" s="20" t="s">
        <v>674</v>
      </c>
      <c r="D49" s="138">
        <v>2730000</v>
      </c>
      <c r="E49" s="20" t="s">
        <v>535</v>
      </c>
      <c r="F49" s="20" t="s">
        <v>536</v>
      </c>
      <c r="G49" s="8" t="str">
        <f t="shared" si="0"/>
        <v>YANG JAN</v>
      </c>
      <c r="H49" s="20" t="str">
        <f t="shared" si="1"/>
        <v>4059</v>
      </c>
    </row>
    <row r="50" spans="1:8" x14ac:dyDescent="0.25">
      <c r="A50" s="8">
        <v>43018.290196759262</v>
      </c>
      <c r="B50" s="20" t="s">
        <v>495</v>
      </c>
      <c r="C50" s="20" t="s">
        <v>675</v>
      </c>
      <c r="D50" s="138">
        <v>3000000</v>
      </c>
      <c r="E50" s="20" t="s">
        <v>652</v>
      </c>
      <c r="F50" s="20" t="s">
        <v>653</v>
      </c>
      <c r="G50" s="8" t="str">
        <f t="shared" si="0"/>
        <v>FORTUNATO FRANK</v>
      </c>
      <c r="H50" s="20" t="str">
        <f t="shared" si="1"/>
        <v>4036</v>
      </c>
    </row>
    <row r="51" spans="1:8" x14ac:dyDescent="0.25">
      <c r="A51" s="8">
        <v>43018.298136574071</v>
      </c>
      <c r="B51" s="20" t="s">
        <v>442</v>
      </c>
      <c r="C51" s="20" t="s">
        <v>592</v>
      </c>
      <c r="D51" s="138">
        <v>940000</v>
      </c>
      <c r="E51" s="20" t="s">
        <v>415</v>
      </c>
      <c r="F51" s="20" t="s">
        <v>416</v>
      </c>
      <c r="G51" s="8" t="str">
        <f t="shared" si="0"/>
        <v>BONDS REYNALDO</v>
      </c>
      <c r="H51" s="20" t="str">
        <f t="shared" si="1"/>
        <v>4066</v>
      </c>
    </row>
    <row r="52" spans="1:8" x14ac:dyDescent="0.25">
      <c r="A52" s="8">
        <v>43018.300983796296</v>
      </c>
      <c r="B52" s="20" t="s">
        <v>590</v>
      </c>
      <c r="C52" s="20" t="s">
        <v>591</v>
      </c>
      <c r="D52" s="138">
        <v>2270000</v>
      </c>
      <c r="E52" s="20" t="s">
        <v>537</v>
      </c>
      <c r="F52" s="20" t="s">
        <v>538</v>
      </c>
      <c r="G52" s="8" t="str">
        <f t="shared" si="0"/>
        <v>BROWN JACOB</v>
      </c>
      <c r="H52" s="20" t="str">
        <f t="shared" si="1"/>
        <v>4043</v>
      </c>
    </row>
    <row r="53" spans="1:8" x14ac:dyDescent="0.25">
      <c r="A53" s="8">
        <v>43018.310497685183</v>
      </c>
      <c r="B53" s="20" t="s">
        <v>610</v>
      </c>
      <c r="C53" s="20" t="s">
        <v>676</v>
      </c>
      <c r="D53" s="138">
        <v>3000000</v>
      </c>
      <c r="E53" s="20" t="s">
        <v>652</v>
      </c>
      <c r="F53" s="20" t="s">
        <v>653</v>
      </c>
      <c r="G53" s="8" t="str">
        <f t="shared" si="0"/>
        <v>FORTUNATO FRANK</v>
      </c>
      <c r="H53" s="20" t="str">
        <f t="shared" si="1"/>
        <v>4035</v>
      </c>
    </row>
    <row r="54" spans="1:8" x14ac:dyDescent="0.25">
      <c r="A54" s="8">
        <v>43018.310706018521</v>
      </c>
      <c r="B54" s="20" t="s">
        <v>649</v>
      </c>
      <c r="C54" s="20" t="s">
        <v>677</v>
      </c>
      <c r="D54" s="138">
        <v>2560000</v>
      </c>
      <c r="E54" s="20" t="s">
        <v>499</v>
      </c>
      <c r="F54" s="20" t="s">
        <v>500</v>
      </c>
      <c r="G54" s="8" t="str">
        <f t="shared" si="0"/>
        <v>MACDONALD THOMAS</v>
      </c>
      <c r="H54" s="20" t="str">
        <f t="shared" si="1"/>
        <v>4054</v>
      </c>
    </row>
    <row r="55" spans="1:8" x14ac:dyDescent="0.25">
      <c r="A55" s="8">
        <v>43018.31490740741</v>
      </c>
      <c r="B55" s="20" t="s">
        <v>637</v>
      </c>
      <c r="C55" s="20" t="s">
        <v>678</v>
      </c>
      <c r="D55" s="138">
        <v>2730000</v>
      </c>
      <c r="E55" s="20" t="s">
        <v>535</v>
      </c>
      <c r="F55" s="20" t="s">
        <v>536</v>
      </c>
      <c r="G55" s="8" t="str">
        <f t="shared" si="0"/>
        <v>YANG JAN</v>
      </c>
      <c r="H55" s="20" t="str">
        <f t="shared" si="1"/>
        <v>4060</v>
      </c>
    </row>
    <row r="56" spans="1:8" x14ac:dyDescent="0.25">
      <c r="A56" s="8">
        <v>43018.318148148152</v>
      </c>
      <c r="B56" s="20" t="s">
        <v>400</v>
      </c>
      <c r="C56" s="20" t="s">
        <v>679</v>
      </c>
      <c r="D56" s="138">
        <v>1230000</v>
      </c>
      <c r="E56" s="20" t="s">
        <v>417</v>
      </c>
      <c r="F56" s="20" t="s">
        <v>418</v>
      </c>
      <c r="G56" s="8" t="str">
        <f t="shared" si="0"/>
        <v>YANAI IAN</v>
      </c>
      <c r="H56" s="20" t="str">
        <f t="shared" si="1"/>
        <v>4055</v>
      </c>
    </row>
    <row r="57" spans="1:8" x14ac:dyDescent="0.25">
      <c r="A57" s="8">
        <v>43018.31858796296</v>
      </c>
      <c r="B57" s="20" t="s">
        <v>432</v>
      </c>
      <c r="C57" s="20" t="s">
        <v>680</v>
      </c>
      <c r="D57" s="138">
        <v>1830000</v>
      </c>
      <c r="E57" s="20" t="s">
        <v>378</v>
      </c>
      <c r="F57" s="20" t="s">
        <v>379</v>
      </c>
      <c r="G57" s="8" t="str">
        <f t="shared" si="0"/>
        <v>YORK EDGAR</v>
      </c>
      <c r="H57" s="20" t="str">
        <f t="shared" si="1"/>
        <v>4049</v>
      </c>
    </row>
    <row r="58" spans="1:8" x14ac:dyDescent="0.25">
      <c r="A58" s="8">
        <v>43018.319837962961</v>
      </c>
      <c r="B58" s="20" t="s">
        <v>614</v>
      </c>
      <c r="C58" s="20" t="s">
        <v>681</v>
      </c>
      <c r="D58" s="138">
        <v>3300000</v>
      </c>
      <c r="E58" s="20" t="s">
        <v>532</v>
      </c>
      <c r="F58" s="20" t="s">
        <v>533</v>
      </c>
      <c r="G58" s="8" t="str">
        <f t="shared" si="0"/>
        <v>LANGERAK WILLIAM</v>
      </c>
      <c r="H58" s="20" t="str">
        <f t="shared" si="1"/>
        <v>4020</v>
      </c>
    </row>
    <row r="59" spans="1:8" x14ac:dyDescent="0.25">
      <c r="A59" s="8">
        <v>43018.331157407411</v>
      </c>
      <c r="B59" s="20" t="s">
        <v>621</v>
      </c>
      <c r="C59" s="20" t="s">
        <v>682</v>
      </c>
      <c r="D59" s="138">
        <v>1090000</v>
      </c>
      <c r="E59" s="20" t="s">
        <v>414</v>
      </c>
      <c r="F59" s="20" t="s">
        <v>406</v>
      </c>
      <c r="G59" s="8" t="str">
        <f t="shared" si="0"/>
        <v>SPECTOR MICHAEL</v>
      </c>
      <c r="H59" s="20" t="str">
        <f t="shared" si="1"/>
        <v>4042</v>
      </c>
    </row>
    <row r="60" spans="1:8" x14ac:dyDescent="0.25">
      <c r="A60" s="8">
        <v>43018.331296296295</v>
      </c>
      <c r="B60" s="20" t="s">
        <v>528</v>
      </c>
      <c r="C60" s="20" t="s">
        <v>683</v>
      </c>
      <c r="D60" s="138">
        <v>2530000</v>
      </c>
      <c r="E60" s="20" t="s">
        <v>501</v>
      </c>
      <c r="F60" s="20" t="s">
        <v>502</v>
      </c>
      <c r="G60" s="8" t="str">
        <f t="shared" si="0"/>
        <v>LALONDE GREGORY</v>
      </c>
      <c r="H60" s="20" t="str">
        <f t="shared" si="1"/>
        <v>4052</v>
      </c>
    </row>
    <row r="61" spans="1:8" x14ac:dyDescent="0.25">
      <c r="A61" s="8">
        <v>43018.331296296295</v>
      </c>
      <c r="B61" s="20" t="s">
        <v>607</v>
      </c>
      <c r="C61" s="20" t="s">
        <v>684</v>
      </c>
      <c r="D61" s="138">
        <v>2730000</v>
      </c>
      <c r="E61" s="20" t="s">
        <v>535</v>
      </c>
      <c r="F61" s="20" t="s">
        <v>536</v>
      </c>
      <c r="G61" s="8" t="str">
        <f t="shared" si="0"/>
        <v>YANG JAN</v>
      </c>
      <c r="H61" s="20" t="str">
        <f t="shared" si="1"/>
        <v>4059</v>
      </c>
    </row>
    <row r="62" spans="1:8" x14ac:dyDescent="0.25">
      <c r="A62" s="8">
        <v>43018.332152777781</v>
      </c>
      <c r="B62" s="20" t="s">
        <v>495</v>
      </c>
      <c r="C62" s="20" t="s">
        <v>685</v>
      </c>
      <c r="D62" s="138">
        <v>3000000</v>
      </c>
      <c r="E62" s="20" t="s">
        <v>652</v>
      </c>
      <c r="F62" s="20" t="s">
        <v>653</v>
      </c>
      <c r="G62" s="8" t="str">
        <f t="shared" si="0"/>
        <v>FORTUNATO FRANK</v>
      </c>
      <c r="H62" s="20" t="str">
        <f t="shared" si="1"/>
        <v>4036</v>
      </c>
    </row>
    <row r="63" spans="1:8" x14ac:dyDescent="0.25">
      <c r="A63" s="8">
        <v>43018.332175925927</v>
      </c>
      <c r="B63" s="20" t="s">
        <v>447</v>
      </c>
      <c r="C63" s="20" t="s">
        <v>686</v>
      </c>
      <c r="D63" s="138">
        <v>940000</v>
      </c>
      <c r="E63" s="20" t="s">
        <v>415</v>
      </c>
      <c r="F63" s="20" t="s">
        <v>416</v>
      </c>
      <c r="G63" s="8" t="str">
        <f t="shared" si="0"/>
        <v>BONDS REYNALDO</v>
      </c>
      <c r="H63" s="20" t="str">
        <f t="shared" si="1"/>
        <v>4065</v>
      </c>
    </row>
    <row r="64" spans="1:8" x14ac:dyDescent="0.25">
      <c r="A64" s="26">
        <v>43018.335173611114</v>
      </c>
      <c r="B64" s="20" t="s">
        <v>496</v>
      </c>
      <c r="C64" s="20" t="s">
        <v>682</v>
      </c>
      <c r="D64" s="138">
        <v>1090000</v>
      </c>
      <c r="E64" s="20" t="s">
        <v>414</v>
      </c>
      <c r="F64" s="20" t="s">
        <v>406</v>
      </c>
      <c r="G64" s="8" t="str">
        <f t="shared" si="0"/>
        <v>SPECTOR MICHAEL</v>
      </c>
      <c r="H64" s="20" t="str">
        <f t="shared" si="1"/>
        <v>4041</v>
      </c>
    </row>
    <row r="65" spans="1:8" x14ac:dyDescent="0.25">
      <c r="A65" s="8">
        <v>43018.345810185187</v>
      </c>
      <c r="B65" s="20" t="s">
        <v>621</v>
      </c>
      <c r="C65" s="20" t="s">
        <v>687</v>
      </c>
      <c r="D65" s="138">
        <v>2270000</v>
      </c>
      <c r="E65" s="20" t="s">
        <v>537</v>
      </c>
      <c r="F65" s="20" t="s">
        <v>538</v>
      </c>
      <c r="G65" s="8" t="str">
        <f t="shared" si="0"/>
        <v>BROWN JACOB</v>
      </c>
      <c r="H65" s="20" t="str">
        <f t="shared" si="1"/>
        <v>4042</v>
      </c>
    </row>
    <row r="66" spans="1:8" x14ac:dyDescent="0.25">
      <c r="A66" s="8">
        <v>43018.349386574075</v>
      </c>
      <c r="B66" s="20" t="s">
        <v>393</v>
      </c>
      <c r="C66" s="20" t="s">
        <v>688</v>
      </c>
      <c r="D66" s="138">
        <v>1830000</v>
      </c>
      <c r="E66" s="20" t="s">
        <v>378</v>
      </c>
      <c r="F66" s="20" t="s">
        <v>379</v>
      </c>
      <c r="G66" s="8" t="str">
        <f t="shared" si="0"/>
        <v>YORK EDGAR</v>
      </c>
      <c r="H66" s="20" t="str">
        <f t="shared" si="1"/>
        <v>4050</v>
      </c>
    </row>
    <row r="67" spans="1:8" x14ac:dyDescent="0.25">
      <c r="A67" s="8">
        <v>43018.349733796298</v>
      </c>
      <c r="B67" s="20" t="s">
        <v>595</v>
      </c>
      <c r="C67" s="20" t="s">
        <v>689</v>
      </c>
      <c r="D67" s="138">
        <v>2560000</v>
      </c>
      <c r="E67" s="20" t="s">
        <v>499</v>
      </c>
      <c r="F67" s="20" t="s">
        <v>500</v>
      </c>
      <c r="G67" s="8" t="str">
        <f t="shared" ref="G67:G130" si="2">E67&amp;" "&amp;F67</f>
        <v>MACDONALD THOMAS</v>
      </c>
      <c r="H67" s="20" t="str">
        <f t="shared" ref="H67:H130" si="3">MID(B67,13,4)</f>
        <v>4053</v>
      </c>
    </row>
    <row r="68" spans="1:8" x14ac:dyDescent="0.25">
      <c r="A68" s="8">
        <v>43018.350289351853</v>
      </c>
      <c r="B68" s="20" t="s">
        <v>604</v>
      </c>
      <c r="C68" s="20" t="s">
        <v>690</v>
      </c>
      <c r="D68" s="138">
        <v>3300000</v>
      </c>
      <c r="E68" s="20" t="s">
        <v>532</v>
      </c>
      <c r="F68" s="20" t="s">
        <v>533</v>
      </c>
      <c r="G68" s="8" t="str">
        <f t="shared" si="2"/>
        <v>LANGERAK WILLIAM</v>
      </c>
      <c r="H68" s="20" t="str">
        <f t="shared" si="3"/>
        <v>4019</v>
      </c>
    </row>
    <row r="69" spans="1:8" x14ac:dyDescent="0.25">
      <c r="A69" s="8">
        <v>43018.352083333331</v>
      </c>
      <c r="B69" s="20" t="s">
        <v>610</v>
      </c>
      <c r="C69" s="20" t="s">
        <v>691</v>
      </c>
      <c r="D69" s="138">
        <v>3000000</v>
      </c>
      <c r="E69" s="20" t="s">
        <v>652</v>
      </c>
      <c r="F69" s="20" t="s">
        <v>653</v>
      </c>
      <c r="G69" s="8" t="str">
        <f t="shared" si="2"/>
        <v>FORTUNATO FRANK</v>
      </c>
      <c r="H69" s="20" t="str">
        <f t="shared" si="3"/>
        <v>4035</v>
      </c>
    </row>
    <row r="70" spans="1:8" x14ac:dyDescent="0.25">
      <c r="A70" s="8">
        <v>43018.353587962964</v>
      </c>
      <c r="B70" s="20" t="s">
        <v>637</v>
      </c>
      <c r="C70" s="20" t="s">
        <v>692</v>
      </c>
      <c r="D70" s="138">
        <v>2730000</v>
      </c>
      <c r="E70" s="20" t="s">
        <v>535</v>
      </c>
      <c r="F70" s="20" t="s">
        <v>536</v>
      </c>
      <c r="G70" s="8" t="str">
        <f t="shared" si="2"/>
        <v>YANG JAN</v>
      </c>
      <c r="H70" s="20" t="str">
        <f t="shared" si="3"/>
        <v>4060</v>
      </c>
    </row>
    <row r="71" spans="1:8" x14ac:dyDescent="0.25">
      <c r="A71" s="8">
        <v>43018.3594212963</v>
      </c>
      <c r="B71" s="20" t="s">
        <v>401</v>
      </c>
      <c r="C71" s="20" t="s">
        <v>693</v>
      </c>
      <c r="D71" s="138">
        <v>1230000</v>
      </c>
      <c r="E71" s="20" t="s">
        <v>417</v>
      </c>
      <c r="F71" s="20" t="s">
        <v>418</v>
      </c>
      <c r="G71" s="8" t="str">
        <f t="shared" si="2"/>
        <v>YANAI IAN</v>
      </c>
      <c r="H71" s="20" t="str">
        <f t="shared" si="3"/>
        <v>4056</v>
      </c>
    </row>
    <row r="72" spans="1:8" x14ac:dyDescent="0.25">
      <c r="A72" s="8">
        <v>43018.360462962963</v>
      </c>
      <c r="B72" s="20" t="s">
        <v>529</v>
      </c>
      <c r="C72" s="20" t="s">
        <v>694</v>
      </c>
      <c r="D72" s="138">
        <v>2530000</v>
      </c>
      <c r="E72" s="20" t="s">
        <v>501</v>
      </c>
      <c r="F72" s="20" t="s">
        <v>502</v>
      </c>
      <c r="G72" s="8" t="str">
        <f t="shared" si="2"/>
        <v>LALONDE GREGORY</v>
      </c>
      <c r="H72" s="20" t="str">
        <f t="shared" si="3"/>
        <v>4051</v>
      </c>
    </row>
    <row r="73" spans="1:8" x14ac:dyDescent="0.25">
      <c r="A73" s="8">
        <v>43018.370740740742</v>
      </c>
      <c r="B73" s="20" t="s">
        <v>442</v>
      </c>
      <c r="C73" s="20" t="s">
        <v>594</v>
      </c>
      <c r="D73" s="138">
        <v>940000</v>
      </c>
      <c r="E73" s="20" t="s">
        <v>415</v>
      </c>
      <c r="F73" s="20" t="s">
        <v>416</v>
      </c>
      <c r="G73" s="8" t="str">
        <f t="shared" si="2"/>
        <v>BONDS REYNALDO</v>
      </c>
      <c r="H73" s="20" t="str">
        <f t="shared" si="3"/>
        <v>4066</v>
      </c>
    </row>
    <row r="74" spans="1:8" x14ac:dyDescent="0.25">
      <c r="A74" s="8">
        <v>43018.378113425926</v>
      </c>
      <c r="B74" s="20" t="s">
        <v>496</v>
      </c>
      <c r="C74" s="20" t="s">
        <v>695</v>
      </c>
      <c r="D74" s="138">
        <v>2270000</v>
      </c>
      <c r="E74" s="20" t="s">
        <v>537</v>
      </c>
      <c r="F74" s="20" t="s">
        <v>538</v>
      </c>
      <c r="G74" s="8" t="str">
        <f t="shared" si="2"/>
        <v>BROWN JACOB</v>
      </c>
      <c r="H74" s="20" t="str">
        <f t="shared" si="3"/>
        <v>4041</v>
      </c>
    </row>
    <row r="75" spans="1:8" x14ac:dyDescent="0.25">
      <c r="A75" s="8">
        <v>43018.379247685189</v>
      </c>
      <c r="B75" s="20" t="s">
        <v>495</v>
      </c>
      <c r="C75" s="20" t="s">
        <v>593</v>
      </c>
      <c r="D75" s="138">
        <v>3000000</v>
      </c>
      <c r="E75" s="20" t="s">
        <v>652</v>
      </c>
      <c r="F75" s="20" t="s">
        <v>653</v>
      </c>
      <c r="G75" s="8" t="str">
        <f t="shared" si="2"/>
        <v>FORTUNATO FRANK</v>
      </c>
      <c r="H75" s="20" t="str">
        <f t="shared" si="3"/>
        <v>4036</v>
      </c>
    </row>
    <row r="76" spans="1:8" x14ac:dyDescent="0.25">
      <c r="A76" s="8">
        <v>43018.380567129629</v>
      </c>
      <c r="B76" s="20" t="s">
        <v>432</v>
      </c>
      <c r="C76" s="20" t="s">
        <v>696</v>
      </c>
      <c r="D76" s="138">
        <v>1830000</v>
      </c>
      <c r="E76" s="20" t="s">
        <v>378</v>
      </c>
      <c r="F76" s="20" t="s">
        <v>379</v>
      </c>
      <c r="G76" s="8" t="str">
        <f t="shared" si="2"/>
        <v>YORK EDGAR</v>
      </c>
      <c r="H76" s="20" t="str">
        <f t="shared" si="3"/>
        <v>4049</v>
      </c>
    </row>
    <row r="77" spans="1:8" x14ac:dyDescent="0.25">
      <c r="A77" s="8">
        <v>43018.383275462962</v>
      </c>
      <c r="B77" s="20" t="s">
        <v>649</v>
      </c>
      <c r="C77" s="20" t="s">
        <v>697</v>
      </c>
      <c r="D77" s="138">
        <v>2560000</v>
      </c>
      <c r="E77" s="20" t="s">
        <v>499</v>
      </c>
      <c r="F77" s="20" t="s">
        <v>500</v>
      </c>
      <c r="G77" s="8" t="str">
        <f t="shared" si="2"/>
        <v>MACDONALD THOMAS</v>
      </c>
      <c r="H77" s="20" t="str">
        <f t="shared" si="3"/>
        <v>4054</v>
      </c>
    </row>
    <row r="78" spans="1:8" x14ac:dyDescent="0.25">
      <c r="A78" s="8">
        <v>43018.392731481479</v>
      </c>
      <c r="B78" s="20" t="s">
        <v>614</v>
      </c>
      <c r="C78" s="20" t="s">
        <v>698</v>
      </c>
      <c r="D78" s="138">
        <v>3300000</v>
      </c>
      <c r="E78" s="20" t="s">
        <v>532</v>
      </c>
      <c r="F78" s="20" t="s">
        <v>533</v>
      </c>
      <c r="G78" s="8" t="str">
        <f t="shared" si="2"/>
        <v>LANGERAK WILLIAM</v>
      </c>
      <c r="H78" s="20" t="str">
        <f t="shared" si="3"/>
        <v>4020</v>
      </c>
    </row>
    <row r="79" spans="1:8" x14ac:dyDescent="0.25">
      <c r="A79" s="8">
        <v>43018.392743055556</v>
      </c>
      <c r="B79" s="20" t="s">
        <v>400</v>
      </c>
      <c r="C79" s="20" t="s">
        <v>699</v>
      </c>
      <c r="D79" s="138">
        <v>1230000</v>
      </c>
      <c r="E79" s="20" t="s">
        <v>417</v>
      </c>
      <c r="F79" s="20" t="s">
        <v>418</v>
      </c>
      <c r="G79" s="8" t="str">
        <f t="shared" si="2"/>
        <v>YANAI IAN</v>
      </c>
      <c r="H79" s="20" t="str">
        <f t="shared" si="3"/>
        <v>4055</v>
      </c>
    </row>
    <row r="80" spans="1:8" x14ac:dyDescent="0.25">
      <c r="A80" s="8">
        <v>43018.393518518518</v>
      </c>
      <c r="B80" s="20" t="s">
        <v>610</v>
      </c>
      <c r="C80" s="20" t="s">
        <v>700</v>
      </c>
      <c r="D80" s="138">
        <v>3000000</v>
      </c>
      <c r="E80" s="20" t="s">
        <v>652</v>
      </c>
      <c r="F80" s="20" t="s">
        <v>653</v>
      </c>
      <c r="G80" s="8" t="str">
        <f t="shared" si="2"/>
        <v>FORTUNATO FRANK</v>
      </c>
      <c r="H80" s="20" t="str">
        <f t="shared" si="3"/>
        <v>4035</v>
      </c>
    </row>
    <row r="81" spans="1:8" x14ac:dyDescent="0.25">
      <c r="A81" s="8">
        <v>43018.404270833336</v>
      </c>
      <c r="B81" s="20" t="s">
        <v>528</v>
      </c>
      <c r="C81" s="20" t="s">
        <v>701</v>
      </c>
      <c r="D81" s="138">
        <v>2530000</v>
      </c>
      <c r="E81" s="20" t="s">
        <v>501</v>
      </c>
      <c r="F81" s="20" t="s">
        <v>502</v>
      </c>
      <c r="G81" s="8" t="str">
        <f t="shared" si="2"/>
        <v>LALONDE GREGORY</v>
      </c>
      <c r="H81" s="20" t="str">
        <f t="shared" si="3"/>
        <v>4052</v>
      </c>
    </row>
    <row r="82" spans="1:8" x14ac:dyDescent="0.25">
      <c r="A82" s="8">
        <v>43018.405752314815</v>
      </c>
      <c r="B82" s="20" t="s">
        <v>446</v>
      </c>
      <c r="C82" s="20" t="s">
        <v>702</v>
      </c>
      <c r="D82" s="138">
        <v>2730000</v>
      </c>
      <c r="E82" s="20" t="s">
        <v>535</v>
      </c>
      <c r="F82" s="20" t="s">
        <v>536</v>
      </c>
      <c r="G82" s="8" t="str">
        <f t="shared" si="2"/>
        <v>YANG JAN</v>
      </c>
      <c r="H82" s="20" t="str">
        <f t="shared" si="3"/>
        <v>4017</v>
      </c>
    </row>
    <row r="83" spans="1:8" x14ac:dyDescent="0.25">
      <c r="A83" s="8">
        <v>43018.40797453704</v>
      </c>
      <c r="B83" s="20" t="s">
        <v>447</v>
      </c>
      <c r="C83" s="20" t="s">
        <v>703</v>
      </c>
      <c r="D83" s="138">
        <v>940000</v>
      </c>
      <c r="E83" s="20" t="s">
        <v>415</v>
      </c>
      <c r="F83" s="20" t="s">
        <v>416</v>
      </c>
      <c r="G83" s="8" t="str">
        <f t="shared" si="2"/>
        <v>BONDS REYNALDO</v>
      </c>
      <c r="H83" s="20" t="str">
        <f t="shared" si="3"/>
        <v>4065</v>
      </c>
    </row>
    <row r="84" spans="1:8" x14ac:dyDescent="0.25">
      <c r="A84" s="8">
        <v>43018.414201388892</v>
      </c>
      <c r="B84" s="20" t="s">
        <v>621</v>
      </c>
      <c r="C84" s="20" t="s">
        <v>704</v>
      </c>
      <c r="D84" s="138">
        <v>2270000</v>
      </c>
      <c r="E84" s="20" t="s">
        <v>537</v>
      </c>
      <c r="F84" s="20" t="s">
        <v>538</v>
      </c>
      <c r="G84" s="8" t="str">
        <f t="shared" si="2"/>
        <v>BROWN JACOB</v>
      </c>
      <c r="H84" s="20" t="str">
        <f t="shared" si="3"/>
        <v>4042</v>
      </c>
    </row>
    <row r="85" spans="1:8" x14ac:dyDescent="0.25">
      <c r="A85" s="8">
        <v>43018.415949074071</v>
      </c>
      <c r="B85" s="20" t="s">
        <v>495</v>
      </c>
      <c r="C85" s="20" t="s">
        <v>705</v>
      </c>
      <c r="D85" s="138">
        <v>3000000</v>
      </c>
      <c r="E85" s="20" t="s">
        <v>652</v>
      </c>
      <c r="F85" s="20" t="s">
        <v>653</v>
      </c>
      <c r="G85" s="8" t="str">
        <f t="shared" si="2"/>
        <v>FORTUNATO FRANK</v>
      </c>
      <c r="H85" s="20" t="str">
        <f t="shared" si="3"/>
        <v>4036</v>
      </c>
    </row>
    <row r="86" spans="1:8" x14ac:dyDescent="0.25">
      <c r="A86" s="8">
        <v>43018.419988425929</v>
      </c>
      <c r="B86" s="20" t="s">
        <v>445</v>
      </c>
      <c r="C86" s="20" t="s">
        <v>622</v>
      </c>
      <c r="D86" s="138">
        <v>1090000</v>
      </c>
      <c r="E86" s="20" t="s">
        <v>414</v>
      </c>
      <c r="F86" s="20" t="s">
        <v>406</v>
      </c>
      <c r="G86" s="8" t="str">
        <f t="shared" si="2"/>
        <v>SPECTOR MICHAEL</v>
      </c>
      <c r="H86" s="20" t="str">
        <f t="shared" si="3"/>
        <v>4018</v>
      </c>
    </row>
    <row r="87" spans="1:8" x14ac:dyDescent="0.25">
      <c r="A87" s="8">
        <v>43018.422731481478</v>
      </c>
      <c r="B87" s="20" t="s">
        <v>604</v>
      </c>
      <c r="C87" s="20" t="s">
        <v>706</v>
      </c>
      <c r="D87" s="138">
        <v>3300000</v>
      </c>
      <c r="E87" s="20" t="s">
        <v>532</v>
      </c>
      <c r="F87" s="20" t="s">
        <v>533</v>
      </c>
      <c r="G87" s="8" t="str">
        <f t="shared" si="2"/>
        <v>LANGERAK WILLIAM</v>
      </c>
      <c r="H87" s="20" t="str">
        <f t="shared" si="3"/>
        <v>4019</v>
      </c>
    </row>
    <row r="88" spans="1:8" x14ac:dyDescent="0.25">
      <c r="A88" s="8">
        <v>43018.422986111109</v>
      </c>
      <c r="B88" s="20" t="s">
        <v>393</v>
      </c>
      <c r="C88" s="20" t="s">
        <v>707</v>
      </c>
      <c r="D88" s="138">
        <v>2730000</v>
      </c>
      <c r="E88" s="20" t="s">
        <v>535</v>
      </c>
      <c r="F88" s="20" t="s">
        <v>536</v>
      </c>
      <c r="G88" s="8" t="str">
        <f t="shared" si="2"/>
        <v>YANG JAN</v>
      </c>
      <c r="H88" s="20" t="str">
        <f t="shared" si="3"/>
        <v>4050</v>
      </c>
    </row>
    <row r="89" spans="1:8" x14ac:dyDescent="0.25">
      <c r="A89" s="8">
        <v>43018.424722222226</v>
      </c>
      <c r="B89" s="20" t="s">
        <v>595</v>
      </c>
      <c r="C89" s="20" t="s">
        <v>596</v>
      </c>
      <c r="D89" s="138">
        <v>2560000</v>
      </c>
      <c r="E89" s="20" t="s">
        <v>499</v>
      </c>
      <c r="F89" s="20" t="s">
        <v>500</v>
      </c>
      <c r="G89" s="8" t="str">
        <f t="shared" si="2"/>
        <v>MACDONALD THOMAS</v>
      </c>
      <c r="H89" s="20" t="str">
        <f t="shared" si="3"/>
        <v>4053</v>
      </c>
    </row>
    <row r="90" spans="1:8" x14ac:dyDescent="0.25">
      <c r="A90" s="8">
        <v>43018.432210648149</v>
      </c>
      <c r="B90" s="20" t="s">
        <v>529</v>
      </c>
      <c r="C90" s="20" t="s">
        <v>708</v>
      </c>
      <c r="D90" s="138">
        <v>2530000</v>
      </c>
      <c r="E90" s="20" t="s">
        <v>501</v>
      </c>
      <c r="F90" s="20" t="s">
        <v>502</v>
      </c>
      <c r="G90" s="8" t="str">
        <f t="shared" si="2"/>
        <v>LALONDE GREGORY</v>
      </c>
      <c r="H90" s="20" t="str">
        <f t="shared" si="3"/>
        <v>4051</v>
      </c>
    </row>
    <row r="91" spans="1:8" x14ac:dyDescent="0.25">
      <c r="A91" s="8">
        <v>43018.433206018519</v>
      </c>
      <c r="B91" s="20" t="s">
        <v>401</v>
      </c>
      <c r="C91" s="20" t="s">
        <v>709</v>
      </c>
      <c r="D91" s="138">
        <v>1230000</v>
      </c>
      <c r="E91" s="20" t="s">
        <v>417</v>
      </c>
      <c r="F91" s="20" t="s">
        <v>418</v>
      </c>
      <c r="G91" s="8" t="str">
        <f t="shared" si="2"/>
        <v>YANAI IAN</v>
      </c>
      <c r="H91" s="20" t="str">
        <f t="shared" si="3"/>
        <v>4056</v>
      </c>
    </row>
    <row r="92" spans="1:8" x14ac:dyDescent="0.25">
      <c r="A92" s="8">
        <v>43018.435069444444</v>
      </c>
      <c r="B92" s="20" t="s">
        <v>610</v>
      </c>
      <c r="C92" s="20" t="s">
        <v>710</v>
      </c>
      <c r="D92" s="138">
        <v>3000000</v>
      </c>
      <c r="E92" s="20" t="s">
        <v>652</v>
      </c>
      <c r="F92" s="20" t="s">
        <v>653</v>
      </c>
      <c r="G92" s="8" t="str">
        <f t="shared" si="2"/>
        <v>FORTUNATO FRANK</v>
      </c>
      <c r="H92" s="20" t="str">
        <f t="shared" si="3"/>
        <v>4035</v>
      </c>
    </row>
    <row r="93" spans="1:8" x14ac:dyDescent="0.25">
      <c r="A93" s="8">
        <v>43018.438657407409</v>
      </c>
      <c r="B93" s="20" t="s">
        <v>635</v>
      </c>
      <c r="C93" s="20" t="s">
        <v>711</v>
      </c>
      <c r="D93" s="138">
        <v>2470000</v>
      </c>
      <c r="E93" s="20" t="s">
        <v>672</v>
      </c>
      <c r="F93" s="20" t="s">
        <v>673</v>
      </c>
      <c r="G93" s="8" t="str">
        <f t="shared" si="2"/>
        <v>ROMERO CHAD</v>
      </c>
      <c r="H93" s="20" t="str">
        <f t="shared" si="3"/>
        <v>4044</v>
      </c>
    </row>
    <row r="94" spans="1:8" x14ac:dyDescent="0.25">
      <c r="A94" s="8">
        <v>43018.441944444443</v>
      </c>
      <c r="B94" s="20" t="s">
        <v>590</v>
      </c>
      <c r="C94" s="20" t="s">
        <v>711</v>
      </c>
      <c r="D94" s="138">
        <v>2470000</v>
      </c>
      <c r="E94" s="20" t="s">
        <v>672</v>
      </c>
      <c r="F94" s="20" t="s">
        <v>673</v>
      </c>
      <c r="G94" s="8" t="str">
        <f t="shared" si="2"/>
        <v>ROMERO CHAD</v>
      </c>
      <c r="H94" s="20" t="str">
        <f t="shared" si="3"/>
        <v>4043</v>
      </c>
    </row>
    <row r="95" spans="1:8" x14ac:dyDescent="0.25">
      <c r="A95" s="8">
        <v>43018.442939814813</v>
      </c>
      <c r="B95" s="20" t="s">
        <v>446</v>
      </c>
      <c r="C95" s="20" t="s">
        <v>597</v>
      </c>
      <c r="D95" s="138">
        <v>1780000</v>
      </c>
      <c r="E95" s="20" t="s">
        <v>712</v>
      </c>
      <c r="F95" s="20" t="s">
        <v>713</v>
      </c>
      <c r="G95" s="8" t="str">
        <f t="shared" si="2"/>
        <v>DE LA ROSA ALEX</v>
      </c>
      <c r="H95" s="20" t="str">
        <f t="shared" si="3"/>
        <v>4017</v>
      </c>
    </row>
    <row r="96" spans="1:8" x14ac:dyDescent="0.25">
      <c r="A96" s="8">
        <v>43018.444895833331</v>
      </c>
      <c r="B96" s="20" t="s">
        <v>442</v>
      </c>
      <c r="C96" s="20" t="s">
        <v>714</v>
      </c>
      <c r="D96" s="138">
        <v>920000</v>
      </c>
      <c r="E96" s="20" t="s">
        <v>341</v>
      </c>
      <c r="F96" s="20" t="s">
        <v>406</v>
      </c>
      <c r="G96" s="8" t="str">
        <f t="shared" si="2"/>
        <v>DAVIS MICHAEL</v>
      </c>
      <c r="H96" s="20" t="str">
        <f t="shared" si="3"/>
        <v>4066</v>
      </c>
    </row>
    <row r="97" spans="1:8" x14ac:dyDescent="0.25">
      <c r="A97" s="8">
        <v>43018.451203703706</v>
      </c>
      <c r="B97" s="20" t="s">
        <v>496</v>
      </c>
      <c r="C97" s="20" t="s">
        <v>598</v>
      </c>
      <c r="D97" s="138">
        <v>2270000</v>
      </c>
      <c r="E97" s="20" t="s">
        <v>537</v>
      </c>
      <c r="F97" s="20" t="s">
        <v>538</v>
      </c>
      <c r="G97" s="8" t="str">
        <f t="shared" si="2"/>
        <v>BROWN JACOB</v>
      </c>
      <c r="H97" s="20" t="str">
        <f t="shared" si="3"/>
        <v>4041</v>
      </c>
    </row>
    <row r="98" spans="1:8" x14ac:dyDescent="0.25">
      <c r="A98" s="8">
        <v>43018.454687500001</v>
      </c>
      <c r="B98" s="20" t="s">
        <v>649</v>
      </c>
      <c r="C98" s="20" t="s">
        <v>715</v>
      </c>
      <c r="D98" s="138">
        <v>2560000</v>
      </c>
      <c r="E98" s="20" t="s">
        <v>499</v>
      </c>
      <c r="F98" s="20" t="s">
        <v>500</v>
      </c>
      <c r="G98" s="8" t="str">
        <f t="shared" si="2"/>
        <v>MACDONALD THOMAS</v>
      </c>
      <c r="H98" s="20" t="str">
        <f t="shared" si="3"/>
        <v>4054</v>
      </c>
    </row>
    <row r="99" spans="1:8" x14ac:dyDescent="0.25">
      <c r="A99" s="8">
        <v>43018.456875000003</v>
      </c>
      <c r="B99" s="20" t="s">
        <v>495</v>
      </c>
      <c r="C99" s="20" t="s">
        <v>716</v>
      </c>
      <c r="D99" s="138">
        <v>3000000</v>
      </c>
      <c r="E99" s="20" t="s">
        <v>652</v>
      </c>
      <c r="F99" s="20" t="s">
        <v>653</v>
      </c>
      <c r="G99" s="8" t="str">
        <f t="shared" si="2"/>
        <v>FORTUNATO FRANK</v>
      </c>
      <c r="H99" s="20" t="str">
        <f t="shared" si="3"/>
        <v>4036</v>
      </c>
    </row>
    <row r="100" spans="1:8" x14ac:dyDescent="0.25">
      <c r="A100" s="8">
        <v>43018.46230324074</v>
      </c>
      <c r="B100" s="20" t="s">
        <v>432</v>
      </c>
      <c r="C100" s="20" t="s">
        <v>717</v>
      </c>
      <c r="D100" s="138">
        <v>2730000</v>
      </c>
      <c r="E100" s="20" t="s">
        <v>535</v>
      </c>
      <c r="F100" s="20" t="s">
        <v>536</v>
      </c>
      <c r="G100" s="8" t="str">
        <f t="shared" si="2"/>
        <v>YANG JAN</v>
      </c>
      <c r="H100" s="20" t="str">
        <f t="shared" si="3"/>
        <v>4049</v>
      </c>
    </row>
    <row r="101" spans="1:8" x14ac:dyDescent="0.25">
      <c r="A101" s="8">
        <v>43018.463576388887</v>
      </c>
      <c r="B101" s="20" t="s">
        <v>400</v>
      </c>
      <c r="C101" s="20" t="s">
        <v>599</v>
      </c>
      <c r="D101" s="138">
        <v>1230000</v>
      </c>
      <c r="E101" s="20" t="s">
        <v>417</v>
      </c>
      <c r="F101" s="20" t="s">
        <v>418</v>
      </c>
      <c r="G101" s="8" t="str">
        <f t="shared" si="2"/>
        <v>YANAI IAN</v>
      </c>
      <c r="H101" s="20" t="str">
        <f t="shared" si="3"/>
        <v>4055</v>
      </c>
    </row>
    <row r="102" spans="1:8" x14ac:dyDescent="0.25">
      <c r="A102" s="8">
        <v>43018.466597222221</v>
      </c>
      <c r="B102" s="20" t="s">
        <v>614</v>
      </c>
      <c r="C102" s="20" t="s">
        <v>718</v>
      </c>
      <c r="D102" s="138">
        <v>1770000</v>
      </c>
      <c r="E102" s="20" t="s">
        <v>719</v>
      </c>
      <c r="F102" s="20" t="s">
        <v>720</v>
      </c>
      <c r="G102" s="8" t="str">
        <f t="shared" si="2"/>
        <v>BRUDER RICHARD</v>
      </c>
      <c r="H102" s="20" t="str">
        <f t="shared" si="3"/>
        <v>4020</v>
      </c>
    </row>
    <row r="103" spans="1:8" x14ac:dyDescent="0.25">
      <c r="A103" s="8">
        <v>43018.474270833336</v>
      </c>
      <c r="B103" s="20" t="s">
        <v>528</v>
      </c>
      <c r="C103" s="20" t="s">
        <v>721</v>
      </c>
      <c r="D103" s="138">
        <v>880000</v>
      </c>
      <c r="E103" s="20" t="s">
        <v>541</v>
      </c>
      <c r="F103" s="20" t="s">
        <v>406</v>
      </c>
      <c r="G103" s="8" t="str">
        <f t="shared" si="2"/>
        <v>STEWART MICHAEL</v>
      </c>
      <c r="H103" s="20" t="str">
        <f t="shared" si="3"/>
        <v>4052</v>
      </c>
    </row>
    <row r="104" spans="1:8" x14ac:dyDescent="0.25">
      <c r="A104" s="8">
        <v>43018.476446759261</v>
      </c>
      <c r="B104" s="20" t="s">
        <v>610</v>
      </c>
      <c r="C104" s="20" t="s">
        <v>722</v>
      </c>
      <c r="D104" s="138">
        <v>3000000</v>
      </c>
      <c r="E104" s="20" t="s">
        <v>652</v>
      </c>
      <c r="F104" s="20" t="s">
        <v>653</v>
      </c>
      <c r="G104" s="8" t="str">
        <f t="shared" si="2"/>
        <v>FORTUNATO FRANK</v>
      </c>
      <c r="H104" s="20" t="str">
        <f t="shared" si="3"/>
        <v>4035</v>
      </c>
    </row>
    <row r="105" spans="1:8" x14ac:dyDescent="0.25">
      <c r="A105" s="8">
        <v>43018.477106481485</v>
      </c>
      <c r="B105" s="20" t="s">
        <v>530</v>
      </c>
      <c r="C105" s="20" t="s">
        <v>723</v>
      </c>
      <c r="D105" s="138">
        <v>2040000</v>
      </c>
      <c r="E105" s="20" t="s">
        <v>724</v>
      </c>
      <c r="F105" s="20" t="s">
        <v>725</v>
      </c>
      <c r="G105" s="8" t="str">
        <f t="shared" si="2"/>
        <v>MOSES BRADLEY</v>
      </c>
      <c r="H105" s="20" t="str">
        <f t="shared" si="3"/>
        <v>4023</v>
      </c>
    </row>
    <row r="106" spans="1:8" x14ac:dyDescent="0.25">
      <c r="A106" s="8">
        <v>43018.477939814817</v>
      </c>
      <c r="B106" s="20" t="s">
        <v>445</v>
      </c>
      <c r="C106" s="20" t="s">
        <v>726</v>
      </c>
      <c r="D106" s="138">
        <v>2470000</v>
      </c>
      <c r="E106" s="20" t="s">
        <v>672</v>
      </c>
      <c r="F106" s="20" t="s">
        <v>673</v>
      </c>
      <c r="G106" s="8" t="str">
        <f t="shared" si="2"/>
        <v>ROMERO CHAD</v>
      </c>
      <c r="H106" s="20" t="str">
        <f t="shared" si="3"/>
        <v>4018</v>
      </c>
    </row>
    <row r="107" spans="1:8" x14ac:dyDescent="0.25">
      <c r="A107" s="8">
        <v>43018.47865740741</v>
      </c>
      <c r="B107" s="20" t="s">
        <v>445</v>
      </c>
      <c r="C107" s="20" t="s">
        <v>726</v>
      </c>
      <c r="D107" s="138">
        <v>2470000</v>
      </c>
      <c r="E107" s="20" t="s">
        <v>672</v>
      </c>
      <c r="F107" s="20" t="s">
        <v>673</v>
      </c>
      <c r="G107" s="8" t="str">
        <f t="shared" si="2"/>
        <v>ROMERO CHAD</v>
      </c>
      <c r="H107" s="20" t="str">
        <f t="shared" si="3"/>
        <v>4018</v>
      </c>
    </row>
    <row r="108" spans="1:8" x14ac:dyDescent="0.25">
      <c r="A108" s="8">
        <v>43018.486562500002</v>
      </c>
      <c r="B108" s="20" t="s">
        <v>621</v>
      </c>
      <c r="C108" s="20" t="s">
        <v>727</v>
      </c>
      <c r="D108" s="138">
        <v>1300000</v>
      </c>
      <c r="E108" s="20" t="s">
        <v>421</v>
      </c>
      <c r="F108" s="20" t="s">
        <v>422</v>
      </c>
      <c r="G108" s="8" t="str">
        <f t="shared" si="2"/>
        <v>LEVIN SCOTT</v>
      </c>
      <c r="H108" s="20" t="str">
        <f t="shared" si="3"/>
        <v>4042</v>
      </c>
    </row>
    <row r="109" spans="1:8" x14ac:dyDescent="0.25">
      <c r="A109" s="8">
        <v>43018.486909722225</v>
      </c>
      <c r="B109" s="20" t="s">
        <v>447</v>
      </c>
      <c r="C109" s="20" t="s">
        <v>728</v>
      </c>
      <c r="D109" s="138">
        <v>920000</v>
      </c>
      <c r="E109" s="20" t="s">
        <v>341</v>
      </c>
      <c r="F109" s="20" t="s">
        <v>406</v>
      </c>
      <c r="G109" s="8" t="str">
        <f t="shared" si="2"/>
        <v>DAVIS MICHAEL</v>
      </c>
      <c r="H109" s="20" t="str">
        <f t="shared" si="3"/>
        <v>4065</v>
      </c>
    </row>
    <row r="110" spans="1:8" x14ac:dyDescent="0.25">
      <c r="A110" s="8">
        <v>43018.495787037034</v>
      </c>
      <c r="B110" s="20" t="s">
        <v>595</v>
      </c>
      <c r="C110" s="20" t="s">
        <v>729</v>
      </c>
      <c r="D110" s="138">
        <v>2560000</v>
      </c>
      <c r="E110" s="20" t="s">
        <v>499</v>
      </c>
      <c r="F110" s="20" t="s">
        <v>500</v>
      </c>
      <c r="G110" s="8" t="str">
        <f t="shared" si="2"/>
        <v>MACDONALD THOMAS</v>
      </c>
      <c r="H110" s="20" t="str">
        <f t="shared" si="3"/>
        <v>4053</v>
      </c>
    </row>
    <row r="111" spans="1:8" x14ac:dyDescent="0.25">
      <c r="A111" s="8">
        <v>43018.49728009259</v>
      </c>
      <c r="B111" s="20" t="s">
        <v>393</v>
      </c>
      <c r="C111" s="20" t="s">
        <v>730</v>
      </c>
      <c r="D111" s="138">
        <v>1180000</v>
      </c>
      <c r="E111" s="20" t="s">
        <v>419</v>
      </c>
      <c r="F111" s="20" t="s">
        <v>420</v>
      </c>
      <c r="G111" s="8" t="str">
        <f t="shared" si="2"/>
        <v>LEVERE CRAIG</v>
      </c>
      <c r="H111" s="20" t="str">
        <f t="shared" si="3"/>
        <v>4050</v>
      </c>
    </row>
    <row r="112" spans="1:8" x14ac:dyDescent="0.25">
      <c r="A112" s="8">
        <v>43018.498576388891</v>
      </c>
      <c r="B112" s="20" t="s">
        <v>446</v>
      </c>
      <c r="C112" s="20" t="s">
        <v>731</v>
      </c>
      <c r="D112" s="138">
        <v>2230000</v>
      </c>
      <c r="E112" s="20" t="s">
        <v>505</v>
      </c>
      <c r="F112" s="20" t="s">
        <v>406</v>
      </c>
      <c r="G112" s="8" t="str">
        <f t="shared" si="2"/>
        <v>SMITH MICHAEL</v>
      </c>
      <c r="H112" s="20" t="str">
        <f t="shared" si="3"/>
        <v>4017</v>
      </c>
    </row>
    <row r="113" spans="1:8" x14ac:dyDescent="0.25">
      <c r="A113" s="8">
        <v>43018.499780092592</v>
      </c>
      <c r="B113" s="20" t="s">
        <v>495</v>
      </c>
      <c r="C113" s="20" t="s">
        <v>732</v>
      </c>
      <c r="D113" s="138">
        <v>3000000</v>
      </c>
      <c r="E113" s="20" t="s">
        <v>652</v>
      </c>
      <c r="F113" s="20" t="s">
        <v>653</v>
      </c>
      <c r="G113" s="8" t="str">
        <f t="shared" si="2"/>
        <v>FORTUNATO FRANK</v>
      </c>
      <c r="H113" s="20" t="str">
        <f t="shared" si="3"/>
        <v>4036</v>
      </c>
    </row>
    <row r="114" spans="1:8" x14ac:dyDescent="0.25">
      <c r="A114" s="8">
        <v>43018.500543981485</v>
      </c>
      <c r="B114" s="20" t="s">
        <v>527</v>
      </c>
      <c r="C114" s="20" t="s">
        <v>733</v>
      </c>
      <c r="D114" s="138">
        <v>2730000</v>
      </c>
      <c r="E114" s="20" t="s">
        <v>535</v>
      </c>
      <c r="F114" s="20" t="s">
        <v>536</v>
      </c>
      <c r="G114" s="8" t="str">
        <f t="shared" si="2"/>
        <v>YANG JAN</v>
      </c>
      <c r="H114" s="20" t="str">
        <f t="shared" si="3"/>
        <v>4024</v>
      </c>
    </row>
    <row r="115" spans="1:8" x14ac:dyDescent="0.25">
      <c r="A115" s="8">
        <v>43018.50608796296</v>
      </c>
      <c r="B115" s="20" t="s">
        <v>604</v>
      </c>
      <c r="C115" s="20" t="s">
        <v>734</v>
      </c>
      <c r="D115" s="138">
        <v>1770000</v>
      </c>
      <c r="E115" s="20" t="s">
        <v>719</v>
      </c>
      <c r="F115" s="20" t="s">
        <v>720</v>
      </c>
      <c r="G115" s="8" t="str">
        <f t="shared" si="2"/>
        <v>BRUDER RICHARD</v>
      </c>
      <c r="H115" s="20" t="str">
        <f t="shared" si="3"/>
        <v>4019</v>
      </c>
    </row>
    <row r="116" spans="1:8" x14ac:dyDescent="0.25">
      <c r="A116" s="8">
        <v>43018.506782407407</v>
      </c>
      <c r="B116" s="20" t="s">
        <v>401</v>
      </c>
      <c r="C116" s="20" t="s">
        <v>735</v>
      </c>
      <c r="D116" s="138">
        <v>2630000</v>
      </c>
      <c r="E116" s="20" t="s">
        <v>503</v>
      </c>
      <c r="F116" s="20" t="s">
        <v>504</v>
      </c>
      <c r="G116" s="8" t="str">
        <f t="shared" si="2"/>
        <v>SAFIEF AEIMEN</v>
      </c>
      <c r="H116" s="20" t="str">
        <f t="shared" si="3"/>
        <v>4056</v>
      </c>
    </row>
    <row r="117" spans="1:8" x14ac:dyDescent="0.25">
      <c r="A117" s="8">
        <v>43018.516168981485</v>
      </c>
      <c r="B117" s="20" t="s">
        <v>529</v>
      </c>
      <c r="C117" s="20" t="s">
        <v>601</v>
      </c>
      <c r="D117" s="138">
        <v>880000</v>
      </c>
      <c r="E117" s="20" t="s">
        <v>541</v>
      </c>
      <c r="F117" s="20" t="s">
        <v>406</v>
      </c>
      <c r="G117" s="8" t="str">
        <f t="shared" si="2"/>
        <v>STEWART MICHAEL</v>
      </c>
      <c r="H117" s="20" t="str">
        <f t="shared" si="3"/>
        <v>4051</v>
      </c>
    </row>
    <row r="118" spans="1:8" x14ac:dyDescent="0.25">
      <c r="A118" s="8">
        <v>43018.518090277779</v>
      </c>
      <c r="B118" s="20" t="s">
        <v>610</v>
      </c>
      <c r="C118" s="20" t="s">
        <v>736</v>
      </c>
      <c r="D118" s="138">
        <v>3000000</v>
      </c>
      <c r="E118" s="20" t="s">
        <v>652</v>
      </c>
      <c r="F118" s="20" t="s">
        <v>653</v>
      </c>
      <c r="G118" s="8" t="str">
        <f t="shared" si="2"/>
        <v>FORTUNATO FRANK</v>
      </c>
      <c r="H118" s="20" t="str">
        <f t="shared" si="3"/>
        <v>4035</v>
      </c>
    </row>
    <row r="119" spans="1:8" x14ac:dyDescent="0.25">
      <c r="A119" s="8">
        <v>43018.519918981481</v>
      </c>
      <c r="B119" s="20" t="s">
        <v>442</v>
      </c>
      <c r="C119" s="20" t="s">
        <v>737</v>
      </c>
      <c r="D119" s="138">
        <v>920000</v>
      </c>
      <c r="E119" s="20" t="s">
        <v>341</v>
      </c>
      <c r="F119" s="20" t="s">
        <v>406</v>
      </c>
      <c r="G119" s="8" t="str">
        <f t="shared" si="2"/>
        <v>DAVIS MICHAEL</v>
      </c>
      <c r="H119" s="20" t="str">
        <f t="shared" si="3"/>
        <v>4066</v>
      </c>
    </row>
    <row r="120" spans="1:8" x14ac:dyDescent="0.25">
      <c r="A120" s="8">
        <v>43018.52238425926</v>
      </c>
      <c r="B120" s="20" t="s">
        <v>496</v>
      </c>
      <c r="C120" s="20" t="s">
        <v>600</v>
      </c>
      <c r="D120" s="138">
        <v>1300000</v>
      </c>
      <c r="E120" s="20" t="s">
        <v>421</v>
      </c>
      <c r="F120" s="20" t="s">
        <v>422</v>
      </c>
      <c r="G120" s="8" t="str">
        <f t="shared" si="2"/>
        <v>LEVIN SCOTT</v>
      </c>
      <c r="H120" s="20" t="str">
        <f t="shared" si="3"/>
        <v>4041</v>
      </c>
    </row>
    <row r="121" spans="1:8" x14ac:dyDescent="0.25">
      <c r="A121" s="8">
        <v>43018.527638888889</v>
      </c>
      <c r="B121" s="20" t="s">
        <v>649</v>
      </c>
      <c r="C121" s="20" t="s">
        <v>738</v>
      </c>
      <c r="D121" s="138">
        <v>2230000</v>
      </c>
      <c r="E121" s="20" t="s">
        <v>505</v>
      </c>
      <c r="F121" s="20" t="s">
        <v>406</v>
      </c>
      <c r="G121" s="8" t="str">
        <f t="shared" si="2"/>
        <v>SMITH MICHAEL</v>
      </c>
      <c r="H121" s="20" t="str">
        <f t="shared" si="3"/>
        <v>4054</v>
      </c>
    </row>
    <row r="122" spans="1:8" x14ac:dyDescent="0.25">
      <c r="A122" s="8">
        <v>43018.531087962961</v>
      </c>
      <c r="B122" s="25" t="s">
        <v>445</v>
      </c>
      <c r="C122" s="20" t="s">
        <v>739</v>
      </c>
      <c r="D122" s="138">
        <v>2560000</v>
      </c>
      <c r="E122" s="20" t="s">
        <v>499</v>
      </c>
      <c r="F122" s="20" t="s">
        <v>500</v>
      </c>
      <c r="G122" s="8" t="str">
        <f t="shared" si="2"/>
        <v>MACDONALD THOMAS</v>
      </c>
      <c r="H122" s="20" t="str">
        <f t="shared" si="3"/>
        <v>4018</v>
      </c>
    </row>
    <row r="123" spans="1:8" x14ac:dyDescent="0.25">
      <c r="A123" s="8">
        <v>43018.531585648147</v>
      </c>
      <c r="B123" s="20" t="s">
        <v>445</v>
      </c>
      <c r="C123" s="20" t="s">
        <v>739</v>
      </c>
      <c r="D123" s="138">
        <v>2560000</v>
      </c>
      <c r="E123" s="20" t="s">
        <v>499</v>
      </c>
      <c r="F123" s="20" t="s">
        <v>500</v>
      </c>
      <c r="G123" s="8" t="str">
        <f t="shared" si="2"/>
        <v>MACDONALD THOMAS</v>
      </c>
      <c r="H123" s="20" t="str">
        <f t="shared" si="3"/>
        <v>4018</v>
      </c>
    </row>
    <row r="124" spans="1:8" x14ac:dyDescent="0.25">
      <c r="A124" s="8">
        <v>43018.532789351855</v>
      </c>
      <c r="B124" s="20" t="s">
        <v>432</v>
      </c>
      <c r="C124" s="20" t="s">
        <v>740</v>
      </c>
      <c r="D124" s="138">
        <v>1180000</v>
      </c>
      <c r="E124" s="20" t="s">
        <v>419</v>
      </c>
      <c r="F124" s="20" t="s">
        <v>420</v>
      </c>
      <c r="G124" s="8" t="str">
        <f t="shared" si="2"/>
        <v>LEVERE CRAIG</v>
      </c>
      <c r="H124" s="20" t="str">
        <f t="shared" si="3"/>
        <v>4049</v>
      </c>
    </row>
    <row r="125" spans="1:8" x14ac:dyDescent="0.25">
      <c r="A125" s="8">
        <v>43018.537789351853</v>
      </c>
      <c r="B125" s="20" t="s">
        <v>614</v>
      </c>
      <c r="C125" s="20" t="s">
        <v>741</v>
      </c>
      <c r="D125" s="138">
        <v>1770000</v>
      </c>
      <c r="E125" s="20" t="s">
        <v>719</v>
      </c>
      <c r="F125" s="20" t="s">
        <v>720</v>
      </c>
      <c r="G125" s="8" t="str">
        <f t="shared" si="2"/>
        <v>BRUDER RICHARD</v>
      </c>
      <c r="H125" s="20" t="str">
        <f t="shared" si="3"/>
        <v>4020</v>
      </c>
    </row>
    <row r="126" spans="1:8" x14ac:dyDescent="0.25">
      <c r="A126" s="8">
        <v>43018.540902777779</v>
      </c>
      <c r="B126" s="20" t="s">
        <v>400</v>
      </c>
      <c r="C126" s="20" t="s">
        <v>742</v>
      </c>
      <c r="D126" s="138">
        <v>2630000</v>
      </c>
      <c r="E126" s="20" t="s">
        <v>503</v>
      </c>
      <c r="F126" s="20" t="s">
        <v>504</v>
      </c>
      <c r="G126" s="8" t="str">
        <f t="shared" si="2"/>
        <v>SAFIEF AEIMEN</v>
      </c>
      <c r="H126" s="20" t="str">
        <f t="shared" si="3"/>
        <v>4055</v>
      </c>
    </row>
    <row r="127" spans="1:8" x14ac:dyDescent="0.25">
      <c r="A127" s="8">
        <v>43018.540960648148</v>
      </c>
      <c r="B127" s="20" t="s">
        <v>495</v>
      </c>
      <c r="C127" s="20" t="s">
        <v>743</v>
      </c>
      <c r="D127" s="138">
        <v>2970000</v>
      </c>
      <c r="E127" s="20" t="s">
        <v>539</v>
      </c>
      <c r="F127" s="20" t="s">
        <v>540</v>
      </c>
      <c r="G127" s="8" t="str">
        <f t="shared" si="2"/>
        <v>GUZMAN DANNY</v>
      </c>
      <c r="H127" s="20" t="str">
        <f t="shared" si="3"/>
        <v>4036</v>
      </c>
    </row>
    <row r="128" spans="1:8" x14ac:dyDescent="0.25">
      <c r="A128" s="8">
        <v>43018.548761574071</v>
      </c>
      <c r="B128" s="20" t="s">
        <v>528</v>
      </c>
      <c r="C128" s="20" t="s">
        <v>744</v>
      </c>
      <c r="D128" s="138">
        <v>880000</v>
      </c>
      <c r="E128" s="20" t="s">
        <v>541</v>
      </c>
      <c r="F128" s="20" t="s">
        <v>406</v>
      </c>
      <c r="G128" s="8" t="str">
        <f t="shared" si="2"/>
        <v>STEWART MICHAEL</v>
      </c>
      <c r="H128" s="20" t="str">
        <f t="shared" si="3"/>
        <v>4052</v>
      </c>
    </row>
    <row r="129" spans="1:8" x14ac:dyDescent="0.25">
      <c r="A129" s="8">
        <v>43018.558657407404</v>
      </c>
      <c r="B129" s="20" t="s">
        <v>447</v>
      </c>
      <c r="C129" s="20" t="s">
        <v>745</v>
      </c>
      <c r="D129" s="138">
        <v>920000</v>
      </c>
      <c r="E129" s="20" t="s">
        <v>341</v>
      </c>
      <c r="F129" s="20" t="s">
        <v>406</v>
      </c>
      <c r="G129" s="8" t="str">
        <f t="shared" si="2"/>
        <v>DAVIS MICHAEL</v>
      </c>
      <c r="H129" s="20" t="str">
        <f t="shared" si="3"/>
        <v>4065</v>
      </c>
    </row>
    <row r="130" spans="1:8" x14ac:dyDescent="0.25">
      <c r="A130" s="8">
        <v>43018.559016203704</v>
      </c>
      <c r="B130" s="20" t="s">
        <v>595</v>
      </c>
      <c r="C130" s="20" t="s">
        <v>746</v>
      </c>
      <c r="D130" s="138">
        <v>2230000</v>
      </c>
      <c r="E130" s="20" t="s">
        <v>505</v>
      </c>
      <c r="F130" s="20" t="s">
        <v>406</v>
      </c>
      <c r="G130" s="8" t="str">
        <f t="shared" si="2"/>
        <v>SMITH MICHAEL</v>
      </c>
      <c r="H130" s="20" t="str">
        <f t="shared" si="3"/>
        <v>4053</v>
      </c>
    </row>
    <row r="131" spans="1:8" x14ac:dyDescent="0.25">
      <c r="A131" s="8">
        <v>43018.561006944445</v>
      </c>
      <c r="B131" s="20" t="s">
        <v>621</v>
      </c>
      <c r="C131" s="20" t="s">
        <v>747</v>
      </c>
      <c r="D131" s="138">
        <v>1300000</v>
      </c>
      <c r="E131" s="20" t="s">
        <v>421</v>
      </c>
      <c r="F131" s="20" t="s">
        <v>422</v>
      </c>
      <c r="G131" s="8" t="str">
        <f t="shared" ref="G131:G194" si="4">E131&amp;" "&amp;F131</f>
        <v>LEVIN SCOTT</v>
      </c>
      <c r="H131" s="20" t="str">
        <f t="shared" ref="H131:H194" si="5">MID(B131,13,4)</f>
        <v>4042</v>
      </c>
    </row>
    <row r="132" spans="1:8" x14ac:dyDescent="0.25">
      <c r="A132" s="8">
        <v>43018.561319444445</v>
      </c>
      <c r="B132" s="20" t="s">
        <v>610</v>
      </c>
      <c r="C132" s="20" t="s">
        <v>748</v>
      </c>
      <c r="D132" s="138">
        <v>2970000</v>
      </c>
      <c r="E132" s="20" t="s">
        <v>539</v>
      </c>
      <c r="F132" s="20" t="s">
        <v>540</v>
      </c>
      <c r="G132" s="8" t="str">
        <f t="shared" si="4"/>
        <v>GUZMAN DANNY</v>
      </c>
      <c r="H132" s="20" t="str">
        <f t="shared" si="5"/>
        <v>4035</v>
      </c>
    </row>
    <row r="133" spans="1:8" x14ac:dyDescent="0.25">
      <c r="A133" s="8">
        <v>43018.570196759261</v>
      </c>
      <c r="B133" s="20" t="s">
        <v>393</v>
      </c>
      <c r="C133" s="20" t="s">
        <v>749</v>
      </c>
      <c r="D133" s="138">
        <v>2040000</v>
      </c>
      <c r="E133" s="20" t="s">
        <v>724</v>
      </c>
      <c r="F133" s="20" t="s">
        <v>725</v>
      </c>
      <c r="G133" s="8" t="str">
        <f t="shared" si="4"/>
        <v>MOSES BRADLEY</v>
      </c>
      <c r="H133" s="20" t="str">
        <f t="shared" si="5"/>
        <v>4050</v>
      </c>
    </row>
    <row r="134" spans="1:8" x14ac:dyDescent="0.25">
      <c r="A134" s="8">
        <v>43018.578900462962</v>
      </c>
      <c r="B134" s="20" t="s">
        <v>604</v>
      </c>
      <c r="C134" s="20" t="s">
        <v>750</v>
      </c>
      <c r="D134" s="138">
        <v>1770000</v>
      </c>
      <c r="E134" s="20" t="s">
        <v>719</v>
      </c>
      <c r="F134" s="20" t="s">
        <v>720</v>
      </c>
      <c r="G134" s="8" t="str">
        <f t="shared" si="4"/>
        <v>BRUDER RICHARD</v>
      </c>
      <c r="H134" s="20" t="str">
        <f t="shared" si="5"/>
        <v>4019</v>
      </c>
    </row>
    <row r="135" spans="1:8" x14ac:dyDescent="0.25">
      <c r="A135" s="8">
        <v>43018.579108796293</v>
      </c>
      <c r="B135" s="20" t="s">
        <v>401</v>
      </c>
      <c r="C135" s="20" t="s">
        <v>751</v>
      </c>
      <c r="D135" s="138">
        <v>2630000</v>
      </c>
      <c r="E135" s="20" t="s">
        <v>503</v>
      </c>
      <c r="F135" s="20" t="s">
        <v>504</v>
      </c>
      <c r="G135" s="8" t="str">
        <f t="shared" si="4"/>
        <v>SAFIEF AEIMEN</v>
      </c>
      <c r="H135" s="20" t="str">
        <f t="shared" si="5"/>
        <v>4056</v>
      </c>
    </row>
    <row r="136" spans="1:8" x14ac:dyDescent="0.25">
      <c r="A136" s="8">
        <v>43018.586701388886</v>
      </c>
      <c r="B136" s="20" t="s">
        <v>495</v>
      </c>
      <c r="C136" s="20" t="s">
        <v>752</v>
      </c>
      <c r="D136" s="138">
        <v>2970000</v>
      </c>
      <c r="E136" s="20" t="s">
        <v>539</v>
      </c>
      <c r="F136" s="20" t="s">
        <v>540</v>
      </c>
      <c r="G136" s="8" t="str">
        <f t="shared" si="4"/>
        <v>GUZMAN DANNY</v>
      </c>
      <c r="H136" s="20" t="str">
        <f t="shared" si="5"/>
        <v>4036</v>
      </c>
    </row>
    <row r="137" spans="1:8" x14ac:dyDescent="0.25">
      <c r="A137" s="8">
        <v>43018.588958333334</v>
      </c>
      <c r="B137" s="20" t="s">
        <v>529</v>
      </c>
      <c r="C137" s="20" t="s">
        <v>753</v>
      </c>
      <c r="D137" s="138">
        <v>880000</v>
      </c>
      <c r="E137" s="20" t="s">
        <v>541</v>
      </c>
      <c r="F137" s="20" t="s">
        <v>406</v>
      </c>
      <c r="G137" s="8" t="str">
        <f t="shared" si="4"/>
        <v>STEWART MICHAEL</v>
      </c>
      <c r="H137" s="20" t="str">
        <f t="shared" si="5"/>
        <v>4051</v>
      </c>
    </row>
    <row r="138" spans="1:8" x14ac:dyDescent="0.25">
      <c r="A138" s="8">
        <v>43018.591620370367</v>
      </c>
      <c r="B138" s="20" t="s">
        <v>442</v>
      </c>
      <c r="C138" s="20" t="s">
        <v>754</v>
      </c>
      <c r="D138" s="138">
        <v>920000</v>
      </c>
      <c r="E138" s="20" t="s">
        <v>341</v>
      </c>
      <c r="F138" s="20" t="s">
        <v>406</v>
      </c>
      <c r="G138" s="8" t="str">
        <f t="shared" si="4"/>
        <v>DAVIS MICHAEL</v>
      </c>
      <c r="H138" s="20" t="str">
        <f t="shared" si="5"/>
        <v>4066</v>
      </c>
    </row>
    <row r="139" spans="1:8" x14ac:dyDescent="0.25">
      <c r="A139" s="8">
        <v>43018.597280092596</v>
      </c>
      <c r="B139" s="20" t="s">
        <v>496</v>
      </c>
      <c r="C139" s="20" t="s">
        <v>602</v>
      </c>
      <c r="D139" s="138">
        <v>1300000</v>
      </c>
      <c r="E139" s="20" t="s">
        <v>421</v>
      </c>
      <c r="F139" s="20" t="s">
        <v>422</v>
      </c>
      <c r="G139" s="8" t="str">
        <f t="shared" si="4"/>
        <v>LEVIN SCOTT</v>
      </c>
      <c r="H139" s="20" t="str">
        <f t="shared" si="5"/>
        <v>4041</v>
      </c>
    </row>
    <row r="140" spans="1:8" x14ac:dyDescent="0.25">
      <c r="A140" s="8">
        <v>43018.60087962963</v>
      </c>
      <c r="B140" s="20" t="s">
        <v>649</v>
      </c>
      <c r="C140" s="20" t="s">
        <v>755</v>
      </c>
      <c r="D140" s="138">
        <v>2230000</v>
      </c>
      <c r="E140" s="20" t="s">
        <v>505</v>
      </c>
      <c r="F140" s="20" t="s">
        <v>406</v>
      </c>
      <c r="G140" s="8" t="str">
        <f t="shared" si="4"/>
        <v>SMITH MICHAEL</v>
      </c>
      <c r="H140" s="20" t="str">
        <f t="shared" si="5"/>
        <v>4054</v>
      </c>
    </row>
    <row r="141" spans="1:8" x14ac:dyDescent="0.25">
      <c r="A141" s="8">
        <v>43018.601238425923</v>
      </c>
      <c r="B141" s="20" t="s">
        <v>610</v>
      </c>
      <c r="C141" s="20" t="s">
        <v>756</v>
      </c>
      <c r="D141" s="138">
        <v>2970000</v>
      </c>
      <c r="E141" s="20" t="s">
        <v>539</v>
      </c>
      <c r="F141" s="20" t="s">
        <v>540</v>
      </c>
      <c r="G141" s="8" t="str">
        <f t="shared" si="4"/>
        <v>GUZMAN DANNY</v>
      </c>
      <c r="H141" s="20" t="str">
        <f t="shared" si="5"/>
        <v>4035</v>
      </c>
    </row>
    <row r="142" spans="1:8" x14ac:dyDescent="0.25">
      <c r="A142" s="8">
        <v>43018.60864583333</v>
      </c>
      <c r="B142" s="20" t="s">
        <v>432</v>
      </c>
      <c r="C142" s="20" t="s">
        <v>757</v>
      </c>
      <c r="D142" s="138">
        <v>2040000</v>
      </c>
      <c r="E142" s="20" t="s">
        <v>724</v>
      </c>
      <c r="F142" s="20" t="s">
        <v>725</v>
      </c>
      <c r="G142" s="8" t="str">
        <f t="shared" si="4"/>
        <v>MOSES BRADLEY</v>
      </c>
      <c r="H142" s="20" t="str">
        <f t="shared" si="5"/>
        <v>4049</v>
      </c>
    </row>
    <row r="143" spans="1:8" x14ac:dyDescent="0.25">
      <c r="A143" s="8">
        <v>43018.609849537039</v>
      </c>
      <c r="B143" s="20" t="s">
        <v>614</v>
      </c>
      <c r="C143" s="20" t="s">
        <v>758</v>
      </c>
      <c r="D143" s="138">
        <v>1770000</v>
      </c>
      <c r="E143" s="20" t="s">
        <v>719</v>
      </c>
      <c r="F143" s="20" t="s">
        <v>720</v>
      </c>
      <c r="G143" s="8" t="str">
        <f t="shared" si="4"/>
        <v>BRUDER RICHARD</v>
      </c>
      <c r="H143" s="20" t="str">
        <f t="shared" si="5"/>
        <v>4020</v>
      </c>
    </row>
    <row r="144" spans="1:8" x14ac:dyDescent="0.25">
      <c r="A144" s="8">
        <v>43018.611446759256</v>
      </c>
      <c r="B144" s="20" t="s">
        <v>400</v>
      </c>
      <c r="C144" s="20" t="s">
        <v>759</v>
      </c>
      <c r="D144" s="138">
        <v>2630000</v>
      </c>
      <c r="E144" s="20" t="s">
        <v>503</v>
      </c>
      <c r="F144" s="20" t="s">
        <v>504</v>
      </c>
      <c r="G144" s="8" t="str">
        <f t="shared" si="4"/>
        <v>SAFIEF AEIMEN</v>
      </c>
      <c r="H144" s="20" t="str">
        <f t="shared" si="5"/>
        <v>4055</v>
      </c>
    </row>
    <row r="145" spans="1:8" x14ac:dyDescent="0.25">
      <c r="A145" s="8">
        <v>43018.622129629628</v>
      </c>
      <c r="B145" s="20" t="s">
        <v>528</v>
      </c>
      <c r="C145" s="20" t="s">
        <v>760</v>
      </c>
      <c r="D145" s="138">
        <v>880000</v>
      </c>
      <c r="E145" s="20" t="s">
        <v>541</v>
      </c>
      <c r="F145" s="20" t="s">
        <v>406</v>
      </c>
      <c r="G145" s="8" t="str">
        <f t="shared" si="4"/>
        <v>STEWART MICHAEL</v>
      </c>
      <c r="H145" s="20" t="str">
        <f t="shared" si="5"/>
        <v>4052</v>
      </c>
    </row>
    <row r="146" spans="1:8" x14ac:dyDescent="0.25">
      <c r="A146" s="8">
        <v>43018.627847222226</v>
      </c>
      <c r="B146" s="20" t="s">
        <v>495</v>
      </c>
      <c r="C146" s="20" t="s">
        <v>761</v>
      </c>
      <c r="D146" s="138">
        <v>2970000</v>
      </c>
      <c r="E146" s="20" t="s">
        <v>539</v>
      </c>
      <c r="F146" s="20" t="s">
        <v>540</v>
      </c>
      <c r="G146" s="8" t="str">
        <f t="shared" si="4"/>
        <v>GUZMAN DANNY</v>
      </c>
      <c r="H146" s="20" t="str">
        <f t="shared" si="5"/>
        <v>4036</v>
      </c>
    </row>
    <row r="147" spans="1:8" x14ac:dyDescent="0.25">
      <c r="A147" s="8">
        <v>43018.630462962959</v>
      </c>
      <c r="B147" s="20" t="s">
        <v>621</v>
      </c>
      <c r="C147" s="20" t="s">
        <v>762</v>
      </c>
      <c r="D147" s="138">
        <v>1300000</v>
      </c>
      <c r="E147" s="20" t="s">
        <v>421</v>
      </c>
      <c r="F147" s="20" t="s">
        <v>422</v>
      </c>
      <c r="G147" s="8" t="str">
        <f t="shared" si="4"/>
        <v>LEVIN SCOTT</v>
      </c>
      <c r="H147" s="20" t="str">
        <f t="shared" si="5"/>
        <v>4042</v>
      </c>
    </row>
    <row r="148" spans="1:8" x14ac:dyDescent="0.25">
      <c r="A148" s="8">
        <v>43018.631550925929</v>
      </c>
      <c r="B148" s="20" t="s">
        <v>447</v>
      </c>
      <c r="C148" s="20" t="s">
        <v>763</v>
      </c>
      <c r="D148" s="138">
        <v>920000</v>
      </c>
      <c r="E148" s="20" t="s">
        <v>341</v>
      </c>
      <c r="F148" s="20" t="s">
        <v>406</v>
      </c>
      <c r="G148" s="8" t="str">
        <f t="shared" si="4"/>
        <v>DAVIS MICHAEL</v>
      </c>
      <c r="H148" s="20" t="str">
        <f t="shared" si="5"/>
        <v>4065</v>
      </c>
    </row>
    <row r="149" spans="1:8" x14ac:dyDescent="0.25">
      <c r="A149" s="8">
        <v>43018.633055555554</v>
      </c>
      <c r="B149" s="20" t="s">
        <v>528</v>
      </c>
      <c r="C149" s="20" t="s">
        <v>760</v>
      </c>
      <c r="D149" s="138">
        <v>880000</v>
      </c>
      <c r="E149" s="20" t="s">
        <v>541</v>
      </c>
      <c r="F149" s="20" t="s">
        <v>406</v>
      </c>
      <c r="G149" s="8" t="str">
        <f t="shared" si="4"/>
        <v>STEWART MICHAEL</v>
      </c>
      <c r="H149" s="20" t="str">
        <f t="shared" si="5"/>
        <v>4052</v>
      </c>
    </row>
    <row r="150" spans="1:8" x14ac:dyDescent="0.25">
      <c r="A150" s="8">
        <v>43018.63380787037</v>
      </c>
      <c r="B150" s="20" t="s">
        <v>607</v>
      </c>
      <c r="C150" s="20" t="s">
        <v>764</v>
      </c>
      <c r="D150" s="138">
        <v>2000000</v>
      </c>
      <c r="E150" s="20" t="s">
        <v>373</v>
      </c>
      <c r="F150" s="20" t="s">
        <v>362</v>
      </c>
      <c r="G150" s="8" t="str">
        <f t="shared" si="4"/>
        <v>STAMBAUGH JAMES</v>
      </c>
      <c r="H150" s="20" t="str">
        <f t="shared" si="5"/>
        <v>4059</v>
      </c>
    </row>
    <row r="151" spans="1:8" x14ac:dyDescent="0.25">
      <c r="A151" s="8">
        <v>43018.635266203702</v>
      </c>
      <c r="B151" s="20" t="s">
        <v>595</v>
      </c>
      <c r="C151" s="20" t="s">
        <v>765</v>
      </c>
      <c r="D151" s="138">
        <v>2230000</v>
      </c>
      <c r="E151" s="20" t="s">
        <v>505</v>
      </c>
      <c r="F151" s="20" t="s">
        <v>406</v>
      </c>
      <c r="G151" s="8" t="str">
        <f t="shared" si="4"/>
        <v>SMITH MICHAEL</v>
      </c>
      <c r="H151" s="20" t="str">
        <f t="shared" si="5"/>
        <v>4053</v>
      </c>
    </row>
    <row r="152" spans="1:8" x14ac:dyDescent="0.25">
      <c r="A152" s="8">
        <v>43018.642210648148</v>
      </c>
      <c r="B152" s="20" t="s">
        <v>393</v>
      </c>
      <c r="C152" s="20" t="s">
        <v>766</v>
      </c>
      <c r="D152" s="138">
        <v>1180000</v>
      </c>
      <c r="E152" s="20" t="s">
        <v>419</v>
      </c>
      <c r="F152" s="20" t="s">
        <v>420</v>
      </c>
      <c r="G152" s="8" t="str">
        <f t="shared" si="4"/>
        <v>LEVERE CRAIG</v>
      </c>
      <c r="H152" s="20" t="str">
        <f t="shared" si="5"/>
        <v>4050</v>
      </c>
    </row>
    <row r="153" spans="1:8" x14ac:dyDescent="0.25">
      <c r="A153" s="8">
        <v>43018.643194444441</v>
      </c>
      <c r="B153" s="20" t="s">
        <v>610</v>
      </c>
      <c r="C153" s="20" t="s">
        <v>767</v>
      </c>
      <c r="D153" s="138">
        <v>2970000</v>
      </c>
      <c r="E153" s="20" t="s">
        <v>539</v>
      </c>
      <c r="F153" s="20" t="s">
        <v>540</v>
      </c>
      <c r="G153" s="8" t="str">
        <f t="shared" si="4"/>
        <v>GUZMAN DANNY</v>
      </c>
      <c r="H153" s="20" t="str">
        <f t="shared" si="5"/>
        <v>4035</v>
      </c>
    </row>
    <row r="154" spans="1:8" x14ac:dyDescent="0.25">
      <c r="A154" s="8">
        <v>43018.649351851855</v>
      </c>
      <c r="B154" s="20" t="s">
        <v>637</v>
      </c>
      <c r="C154" s="20" t="s">
        <v>768</v>
      </c>
      <c r="D154" s="138">
        <v>2000000</v>
      </c>
      <c r="E154" s="20" t="s">
        <v>373</v>
      </c>
      <c r="F154" s="20" t="s">
        <v>362</v>
      </c>
      <c r="G154" s="8" t="str">
        <f t="shared" si="4"/>
        <v>STAMBAUGH JAMES</v>
      </c>
      <c r="H154" s="20" t="str">
        <f t="shared" si="5"/>
        <v>4060</v>
      </c>
    </row>
    <row r="155" spans="1:8" x14ac:dyDescent="0.25">
      <c r="A155" s="8">
        <v>43018.651388888888</v>
      </c>
      <c r="B155" s="20" t="s">
        <v>604</v>
      </c>
      <c r="C155" s="20" t="s">
        <v>605</v>
      </c>
      <c r="D155" s="138">
        <v>1770000</v>
      </c>
      <c r="E155" s="20" t="s">
        <v>719</v>
      </c>
      <c r="F155" s="20" t="s">
        <v>720</v>
      </c>
      <c r="G155" s="8" t="str">
        <f t="shared" si="4"/>
        <v>BRUDER RICHARD</v>
      </c>
      <c r="H155" s="20" t="str">
        <f t="shared" si="5"/>
        <v>4019</v>
      </c>
    </row>
    <row r="156" spans="1:8" x14ac:dyDescent="0.25">
      <c r="A156" s="8">
        <v>43018.652650462966</v>
      </c>
      <c r="B156" s="20" t="s">
        <v>401</v>
      </c>
      <c r="C156" s="20" t="s">
        <v>769</v>
      </c>
      <c r="D156" s="138">
        <v>2630000</v>
      </c>
      <c r="E156" s="20" t="s">
        <v>503</v>
      </c>
      <c r="F156" s="20" t="s">
        <v>504</v>
      </c>
      <c r="G156" s="8" t="str">
        <f t="shared" si="4"/>
        <v>SAFIEF AEIMEN</v>
      </c>
      <c r="H156" s="20" t="str">
        <f t="shared" si="5"/>
        <v>4056</v>
      </c>
    </row>
    <row r="157" spans="1:8" x14ac:dyDescent="0.25">
      <c r="A157" s="8">
        <v>43018.662164351852</v>
      </c>
      <c r="B157" s="20" t="s">
        <v>529</v>
      </c>
      <c r="C157" s="20" t="s">
        <v>770</v>
      </c>
      <c r="D157" s="138">
        <v>880000</v>
      </c>
      <c r="E157" s="20" t="s">
        <v>541</v>
      </c>
      <c r="F157" s="20" t="s">
        <v>406</v>
      </c>
      <c r="G157" s="8" t="str">
        <f t="shared" si="4"/>
        <v>STEWART MICHAEL</v>
      </c>
      <c r="H157" s="20" t="str">
        <f t="shared" si="5"/>
        <v>4051</v>
      </c>
    </row>
    <row r="158" spans="1:8" x14ac:dyDescent="0.25">
      <c r="A158" s="8">
        <v>43018.663888888892</v>
      </c>
      <c r="B158" s="20" t="s">
        <v>607</v>
      </c>
      <c r="C158" s="20" t="s">
        <v>771</v>
      </c>
      <c r="D158" s="138">
        <v>2000000</v>
      </c>
      <c r="E158" s="20" t="s">
        <v>373</v>
      </c>
      <c r="F158" s="20" t="s">
        <v>362</v>
      </c>
      <c r="G158" s="8" t="str">
        <f t="shared" si="4"/>
        <v>STAMBAUGH JAMES</v>
      </c>
      <c r="H158" s="20" t="str">
        <f t="shared" si="5"/>
        <v>4059</v>
      </c>
    </row>
    <row r="159" spans="1:8" x14ac:dyDescent="0.25">
      <c r="A159" s="8">
        <v>43018.665370370371</v>
      </c>
      <c r="B159" s="20" t="s">
        <v>496</v>
      </c>
      <c r="C159" s="20" t="s">
        <v>772</v>
      </c>
      <c r="D159" s="138">
        <v>1300000</v>
      </c>
      <c r="E159" s="20" t="s">
        <v>421</v>
      </c>
      <c r="F159" s="20" t="s">
        <v>422</v>
      </c>
      <c r="G159" s="8" t="str">
        <f t="shared" si="4"/>
        <v>LEVIN SCOTT</v>
      </c>
      <c r="H159" s="20" t="str">
        <f t="shared" si="5"/>
        <v>4041</v>
      </c>
    </row>
    <row r="160" spans="1:8" x14ac:dyDescent="0.25">
      <c r="A160" s="8">
        <v>43018.665405092594</v>
      </c>
      <c r="B160" s="20" t="s">
        <v>442</v>
      </c>
      <c r="C160" s="20" t="s">
        <v>603</v>
      </c>
      <c r="D160" s="138">
        <v>920000</v>
      </c>
      <c r="E160" s="20" t="s">
        <v>341</v>
      </c>
      <c r="F160" s="20" t="s">
        <v>406</v>
      </c>
      <c r="G160" s="8" t="str">
        <f t="shared" si="4"/>
        <v>DAVIS MICHAEL</v>
      </c>
      <c r="H160" s="20" t="str">
        <f t="shared" si="5"/>
        <v>4066</v>
      </c>
    </row>
    <row r="161" spans="1:8" x14ac:dyDescent="0.25">
      <c r="A161" s="8">
        <v>43018.670370370368</v>
      </c>
      <c r="B161" s="20" t="s">
        <v>495</v>
      </c>
      <c r="C161" s="20" t="s">
        <v>773</v>
      </c>
      <c r="D161" s="138">
        <v>2970000</v>
      </c>
      <c r="E161" s="20" t="s">
        <v>539</v>
      </c>
      <c r="F161" s="20" t="s">
        <v>540</v>
      </c>
      <c r="G161" s="8" t="str">
        <f t="shared" si="4"/>
        <v>GUZMAN DANNY</v>
      </c>
      <c r="H161" s="20" t="str">
        <f t="shared" si="5"/>
        <v>4036</v>
      </c>
    </row>
    <row r="162" spans="1:8" x14ac:dyDescent="0.25">
      <c r="A162" s="8">
        <v>43018.674884259257</v>
      </c>
      <c r="B162" s="20" t="s">
        <v>649</v>
      </c>
      <c r="C162" s="20" t="s">
        <v>774</v>
      </c>
      <c r="D162" s="138">
        <v>2230000</v>
      </c>
      <c r="E162" s="20" t="s">
        <v>505</v>
      </c>
      <c r="F162" s="20" t="s">
        <v>406</v>
      </c>
      <c r="G162" s="8" t="str">
        <f t="shared" si="4"/>
        <v>SMITH MICHAEL</v>
      </c>
      <c r="H162" s="20" t="str">
        <f t="shared" si="5"/>
        <v>4054</v>
      </c>
    </row>
    <row r="163" spans="1:8" x14ac:dyDescent="0.25">
      <c r="A163" s="8">
        <v>43018.681018518517</v>
      </c>
      <c r="B163" s="20" t="s">
        <v>432</v>
      </c>
      <c r="C163" s="20" t="s">
        <v>775</v>
      </c>
      <c r="D163" s="138">
        <v>1180000</v>
      </c>
      <c r="E163" s="20" t="s">
        <v>419</v>
      </c>
      <c r="F163" s="20" t="s">
        <v>420</v>
      </c>
      <c r="G163" s="8" t="str">
        <f t="shared" si="4"/>
        <v>LEVERE CRAIG</v>
      </c>
      <c r="H163" s="20" t="str">
        <f t="shared" si="5"/>
        <v>4049</v>
      </c>
    </row>
    <row r="164" spans="1:8" x14ac:dyDescent="0.25">
      <c r="A164" s="8">
        <v>43018.683194444442</v>
      </c>
      <c r="B164" s="20" t="s">
        <v>614</v>
      </c>
      <c r="C164" s="20" t="s">
        <v>776</v>
      </c>
      <c r="D164" s="138">
        <v>1770000</v>
      </c>
      <c r="E164" s="20" t="s">
        <v>719</v>
      </c>
      <c r="F164" s="20" t="s">
        <v>720</v>
      </c>
      <c r="G164" s="8" t="str">
        <f t="shared" si="4"/>
        <v>BRUDER RICHARD</v>
      </c>
      <c r="H164" s="20" t="str">
        <f t="shared" si="5"/>
        <v>4020</v>
      </c>
    </row>
    <row r="165" spans="1:8" x14ac:dyDescent="0.25">
      <c r="A165" s="8">
        <v>43018.684930555559</v>
      </c>
      <c r="B165" s="20" t="s">
        <v>610</v>
      </c>
      <c r="C165" s="20" t="s">
        <v>777</v>
      </c>
      <c r="D165" s="138">
        <v>2970000</v>
      </c>
      <c r="E165" s="20" t="s">
        <v>539</v>
      </c>
      <c r="F165" s="20" t="s">
        <v>540</v>
      </c>
      <c r="G165" s="8" t="str">
        <f t="shared" si="4"/>
        <v>GUZMAN DANNY</v>
      </c>
      <c r="H165" s="20" t="str">
        <f t="shared" si="5"/>
        <v>4035</v>
      </c>
    </row>
    <row r="166" spans="1:8" x14ac:dyDescent="0.25">
      <c r="A166" s="8">
        <v>43018.685277777775</v>
      </c>
      <c r="B166" s="20" t="s">
        <v>400</v>
      </c>
      <c r="C166" s="20" t="s">
        <v>778</v>
      </c>
      <c r="D166" s="138">
        <v>2630000</v>
      </c>
      <c r="E166" s="20" t="s">
        <v>503</v>
      </c>
      <c r="F166" s="20" t="s">
        <v>504</v>
      </c>
      <c r="G166" s="8" t="str">
        <f t="shared" si="4"/>
        <v>SAFIEF AEIMEN</v>
      </c>
      <c r="H166" s="20" t="str">
        <f t="shared" si="5"/>
        <v>4055</v>
      </c>
    </row>
    <row r="167" spans="1:8" x14ac:dyDescent="0.25">
      <c r="A167" s="8">
        <v>43018.685717592591</v>
      </c>
      <c r="B167" s="20" t="s">
        <v>635</v>
      </c>
      <c r="C167" s="20" t="s">
        <v>779</v>
      </c>
      <c r="D167" s="138">
        <v>1810000</v>
      </c>
      <c r="E167" s="20" t="s">
        <v>780</v>
      </c>
      <c r="F167" s="20" t="s">
        <v>362</v>
      </c>
      <c r="G167" s="8" t="str">
        <f t="shared" si="4"/>
        <v>NEWELL JAMES</v>
      </c>
      <c r="H167" s="20" t="str">
        <f t="shared" si="5"/>
        <v>4044</v>
      </c>
    </row>
    <row r="168" spans="1:8" x14ac:dyDescent="0.25">
      <c r="A168" s="8">
        <v>43018.692719907405</v>
      </c>
      <c r="B168" s="20" t="s">
        <v>637</v>
      </c>
      <c r="C168" s="20" t="s">
        <v>781</v>
      </c>
      <c r="D168" s="138">
        <v>2000000</v>
      </c>
      <c r="E168" s="20" t="s">
        <v>373</v>
      </c>
      <c r="F168" s="20" t="s">
        <v>362</v>
      </c>
      <c r="G168" s="8" t="str">
        <f t="shared" si="4"/>
        <v>STAMBAUGH JAMES</v>
      </c>
      <c r="H168" s="20" t="str">
        <f t="shared" si="5"/>
        <v>4060</v>
      </c>
    </row>
    <row r="169" spans="1:8" x14ac:dyDescent="0.25">
      <c r="A169" s="8">
        <v>43018.694467592592</v>
      </c>
      <c r="B169" s="20" t="s">
        <v>528</v>
      </c>
      <c r="C169" s="20" t="s">
        <v>782</v>
      </c>
      <c r="D169" s="138">
        <v>880000</v>
      </c>
      <c r="E169" s="20" t="s">
        <v>541</v>
      </c>
      <c r="F169" s="20" t="s">
        <v>406</v>
      </c>
      <c r="G169" s="8" t="str">
        <f t="shared" si="4"/>
        <v>STEWART MICHAEL</v>
      </c>
      <c r="H169" s="20" t="str">
        <f t="shared" si="5"/>
        <v>4052</v>
      </c>
    </row>
    <row r="170" spans="1:8" x14ac:dyDescent="0.25">
      <c r="A170" s="8">
        <v>43018.704247685186</v>
      </c>
      <c r="B170" s="20" t="s">
        <v>447</v>
      </c>
      <c r="C170" s="20" t="s">
        <v>783</v>
      </c>
      <c r="D170" s="138">
        <v>920000</v>
      </c>
      <c r="E170" s="20" t="s">
        <v>341</v>
      </c>
      <c r="F170" s="20" t="s">
        <v>406</v>
      </c>
      <c r="G170" s="8" t="str">
        <f t="shared" si="4"/>
        <v>DAVIS MICHAEL</v>
      </c>
      <c r="H170" s="20" t="str">
        <f t="shared" si="5"/>
        <v>4065</v>
      </c>
    </row>
    <row r="171" spans="1:8" x14ac:dyDescent="0.25">
      <c r="A171" s="8">
        <v>43018.705358796295</v>
      </c>
      <c r="B171" s="20" t="s">
        <v>607</v>
      </c>
      <c r="C171" s="20" t="s">
        <v>784</v>
      </c>
      <c r="D171" s="138">
        <v>2000000</v>
      </c>
      <c r="E171" s="20" t="s">
        <v>373</v>
      </c>
      <c r="F171" s="20" t="s">
        <v>362</v>
      </c>
      <c r="G171" s="8" t="str">
        <f t="shared" si="4"/>
        <v>STAMBAUGH JAMES</v>
      </c>
      <c r="H171" s="20" t="str">
        <f t="shared" si="5"/>
        <v>4059</v>
      </c>
    </row>
    <row r="172" spans="1:8" x14ac:dyDescent="0.25">
      <c r="A172" s="8">
        <v>43018.70590277778</v>
      </c>
      <c r="B172" s="20" t="s">
        <v>621</v>
      </c>
      <c r="C172" s="20" t="s">
        <v>785</v>
      </c>
      <c r="D172" s="138">
        <v>1300000</v>
      </c>
      <c r="E172" s="20" t="s">
        <v>421</v>
      </c>
      <c r="F172" s="20" t="s">
        <v>422</v>
      </c>
      <c r="G172" s="8" t="str">
        <f t="shared" si="4"/>
        <v>LEVIN SCOTT</v>
      </c>
      <c r="H172" s="20" t="str">
        <f t="shared" si="5"/>
        <v>4042</v>
      </c>
    </row>
    <row r="173" spans="1:8" x14ac:dyDescent="0.25">
      <c r="A173" s="8">
        <v>43018.710902777777</v>
      </c>
      <c r="B173" s="20" t="s">
        <v>595</v>
      </c>
      <c r="C173" s="20" t="s">
        <v>786</v>
      </c>
      <c r="D173" s="138">
        <v>2230000</v>
      </c>
      <c r="E173" s="20" t="s">
        <v>505</v>
      </c>
      <c r="F173" s="20" t="s">
        <v>406</v>
      </c>
      <c r="G173" s="8" t="str">
        <f t="shared" si="4"/>
        <v>SMITH MICHAEL</v>
      </c>
      <c r="H173" s="20" t="str">
        <f t="shared" si="5"/>
        <v>4053</v>
      </c>
    </row>
    <row r="174" spans="1:8" x14ac:dyDescent="0.25">
      <c r="A174" s="8">
        <v>43018.712789351855</v>
      </c>
      <c r="B174" s="20" t="s">
        <v>495</v>
      </c>
      <c r="C174" s="20" t="s">
        <v>787</v>
      </c>
      <c r="D174" s="138">
        <v>2970000</v>
      </c>
      <c r="E174" s="20" t="s">
        <v>539</v>
      </c>
      <c r="F174" s="20" t="s">
        <v>540</v>
      </c>
      <c r="G174" s="8" t="str">
        <f t="shared" si="4"/>
        <v>GUZMAN DANNY</v>
      </c>
      <c r="H174" s="20" t="str">
        <f t="shared" si="5"/>
        <v>4036</v>
      </c>
    </row>
    <row r="175" spans="1:8" x14ac:dyDescent="0.25">
      <c r="A175" s="8">
        <v>43018.715300925927</v>
      </c>
      <c r="B175" s="20" t="s">
        <v>393</v>
      </c>
      <c r="C175" s="20" t="s">
        <v>788</v>
      </c>
      <c r="D175" s="138">
        <v>1180000</v>
      </c>
      <c r="E175" s="20" t="s">
        <v>419</v>
      </c>
      <c r="F175" s="20" t="s">
        <v>420</v>
      </c>
      <c r="G175" s="8" t="str">
        <f t="shared" si="4"/>
        <v>LEVERE CRAIG</v>
      </c>
      <c r="H175" s="20" t="str">
        <f t="shared" si="5"/>
        <v>4050</v>
      </c>
    </row>
    <row r="176" spans="1:8" x14ac:dyDescent="0.25">
      <c r="A176" s="8">
        <v>43018.724143518521</v>
      </c>
      <c r="B176" s="20" t="s">
        <v>604</v>
      </c>
      <c r="C176" s="20" t="s">
        <v>606</v>
      </c>
      <c r="D176" s="138">
        <v>1770000</v>
      </c>
      <c r="E176" s="20" t="s">
        <v>719</v>
      </c>
      <c r="F176" s="20" t="s">
        <v>720</v>
      </c>
      <c r="G176" s="8" t="str">
        <f t="shared" si="4"/>
        <v>BRUDER RICHARD</v>
      </c>
      <c r="H176" s="20" t="str">
        <f t="shared" si="5"/>
        <v>4019</v>
      </c>
    </row>
    <row r="177" spans="1:8" x14ac:dyDescent="0.25">
      <c r="A177" s="8">
        <v>43018.724756944444</v>
      </c>
      <c r="B177" s="20" t="s">
        <v>401</v>
      </c>
      <c r="C177" s="20" t="s">
        <v>789</v>
      </c>
      <c r="D177" s="138">
        <v>2630000</v>
      </c>
      <c r="E177" s="20" t="s">
        <v>503</v>
      </c>
      <c r="F177" s="20" t="s">
        <v>504</v>
      </c>
      <c r="G177" s="8" t="str">
        <f t="shared" si="4"/>
        <v>SAFIEF AEIMEN</v>
      </c>
      <c r="H177" s="20" t="str">
        <f t="shared" si="5"/>
        <v>4056</v>
      </c>
    </row>
    <row r="178" spans="1:8" x14ac:dyDescent="0.25">
      <c r="A178" s="8">
        <v>43018.727152777778</v>
      </c>
      <c r="B178" s="20" t="s">
        <v>610</v>
      </c>
      <c r="C178" s="20" t="s">
        <v>790</v>
      </c>
      <c r="D178" s="138">
        <v>2970000</v>
      </c>
      <c r="E178" s="20" t="s">
        <v>539</v>
      </c>
      <c r="F178" s="20" t="s">
        <v>540</v>
      </c>
      <c r="G178" s="8" t="str">
        <f t="shared" si="4"/>
        <v>GUZMAN DANNY</v>
      </c>
      <c r="H178" s="20" t="str">
        <f t="shared" si="5"/>
        <v>4035</v>
      </c>
    </row>
    <row r="179" spans="1:8" x14ac:dyDescent="0.25">
      <c r="A179" s="8">
        <v>43018.727650462963</v>
      </c>
      <c r="B179" s="20" t="s">
        <v>374</v>
      </c>
      <c r="C179" s="20" t="s">
        <v>791</v>
      </c>
      <c r="D179" s="138">
        <v>2040000</v>
      </c>
      <c r="E179" s="20" t="s">
        <v>724</v>
      </c>
      <c r="F179" s="20" t="s">
        <v>725</v>
      </c>
      <c r="G179" s="8" t="str">
        <f t="shared" si="4"/>
        <v>MOSES BRADLEY</v>
      </c>
      <c r="H179" s="20" t="str">
        <f t="shared" si="5"/>
        <v>4058</v>
      </c>
    </row>
    <row r="180" spans="1:8" x14ac:dyDescent="0.25">
      <c r="A180" s="8">
        <v>43018.734236111108</v>
      </c>
      <c r="B180" s="20" t="s">
        <v>637</v>
      </c>
      <c r="C180" s="20" t="s">
        <v>792</v>
      </c>
      <c r="D180" s="138">
        <v>2000000</v>
      </c>
      <c r="E180" s="20" t="s">
        <v>373</v>
      </c>
      <c r="F180" s="20" t="s">
        <v>362</v>
      </c>
      <c r="G180" s="8" t="str">
        <f t="shared" si="4"/>
        <v>STAMBAUGH JAMES</v>
      </c>
      <c r="H180" s="20" t="str">
        <f t="shared" si="5"/>
        <v>4060</v>
      </c>
    </row>
    <row r="181" spans="1:8" x14ac:dyDescent="0.25">
      <c r="A181" s="8">
        <v>43018.734490740739</v>
      </c>
      <c r="B181" s="20" t="s">
        <v>529</v>
      </c>
      <c r="C181" s="20" t="s">
        <v>793</v>
      </c>
      <c r="D181" s="138">
        <v>880000</v>
      </c>
      <c r="E181" s="20" t="s">
        <v>541</v>
      </c>
      <c r="F181" s="20" t="s">
        <v>406</v>
      </c>
      <c r="G181" s="8" t="str">
        <f t="shared" si="4"/>
        <v>STEWART MICHAEL</v>
      </c>
      <c r="H181" s="20" t="str">
        <f t="shared" si="5"/>
        <v>4051</v>
      </c>
    </row>
    <row r="182" spans="1:8" x14ac:dyDescent="0.25">
      <c r="A182" s="8">
        <v>43018.736145833333</v>
      </c>
      <c r="B182" s="20" t="s">
        <v>610</v>
      </c>
      <c r="C182" s="20" t="s">
        <v>790</v>
      </c>
      <c r="D182" s="138">
        <v>2970000</v>
      </c>
      <c r="E182" s="20" t="s">
        <v>539</v>
      </c>
      <c r="F182" s="20" t="s">
        <v>540</v>
      </c>
      <c r="G182" s="8" t="str">
        <f t="shared" si="4"/>
        <v>GUZMAN DANNY</v>
      </c>
      <c r="H182" s="20" t="str">
        <f t="shared" si="5"/>
        <v>4035</v>
      </c>
    </row>
    <row r="183" spans="1:8" x14ac:dyDescent="0.25">
      <c r="A183" s="8">
        <v>43018.736793981479</v>
      </c>
      <c r="B183" s="20" t="s">
        <v>431</v>
      </c>
      <c r="C183" s="20" t="s">
        <v>739</v>
      </c>
      <c r="D183" s="138">
        <v>3510000</v>
      </c>
      <c r="E183" s="20" t="s">
        <v>794</v>
      </c>
      <c r="F183" s="20" t="s">
        <v>795</v>
      </c>
      <c r="G183" s="8" t="str">
        <f t="shared" si="4"/>
        <v>BARRON PERLA</v>
      </c>
      <c r="H183" s="20" t="str">
        <f t="shared" si="5"/>
        <v>4007</v>
      </c>
    </row>
    <row r="184" spans="1:8" x14ac:dyDescent="0.25">
      <c r="A184" s="8">
        <v>43018.737222222226</v>
      </c>
      <c r="B184" s="20" t="s">
        <v>442</v>
      </c>
      <c r="C184" s="20" t="s">
        <v>796</v>
      </c>
      <c r="D184" s="138">
        <v>890000</v>
      </c>
      <c r="E184" s="20" t="s">
        <v>359</v>
      </c>
      <c r="F184" s="20" t="s">
        <v>360</v>
      </c>
      <c r="G184" s="8" t="str">
        <f t="shared" si="4"/>
        <v>LOZA FIDEL</v>
      </c>
      <c r="H184" s="20" t="str">
        <f t="shared" si="5"/>
        <v>4066</v>
      </c>
    </row>
    <row r="185" spans="1:8" x14ac:dyDescent="0.25">
      <c r="A185" s="8">
        <v>43018.749039351853</v>
      </c>
      <c r="B185" s="20" t="s">
        <v>649</v>
      </c>
      <c r="C185" s="20" t="s">
        <v>797</v>
      </c>
      <c r="D185" s="138">
        <v>2230000</v>
      </c>
      <c r="E185" s="20" t="s">
        <v>505</v>
      </c>
      <c r="F185" s="20" t="s">
        <v>406</v>
      </c>
      <c r="G185" s="8" t="str">
        <f t="shared" si="4"/>
        <v>SMITH MICHAEL</v>
      </c>
      <c r="H185" s="20" t="str">
        <f t="shared" si="5"/>
        <v>4054</v>
      </c>
    </row>
    <row r="186" spans="1:8" x14ac:dyDescent="0.25">
      <c r="A186" s="8">
        <v>43018.7496875</v>
      </c>
      <c r="B186" s="20" t="s">
        <v>607</v>
      </c>
      <c r="C186" s="20" t="s">
        <v>608</v>
      </c>
      <c r="D186" s="138">
        <v>2000000</v>
      </c>
      <c r="E186" s="20" t="s">
        <v>373</v>
      </c>
      <c r="F186" s="20" t="s">
        <v>362</v>
      </c>
      <c r="G186" s="8" t="str">
        <f t="shared" si="4"/>
        <v>STAMBAUGH JAMES</v>
      </c>
      <c r="H186" s="20" t="str">
        <f t="shared" si="5"/>
        <v>4059</v>
      </c>
    </row>
    <row r="187" spans="1:8" x14ac:dyDescent="0.25">
      <c r="A187" s="8">
        <v>43018.749930555554</v>
      </c>
      <c r="B187" s="20" t="s">
        <v>649</v>
      </c>
      <c r="C187" s="20" t="s">
        <v>798</v>
      </c>
      <c r="D187" s="138">
        <v>2230000</v>
      </c>
      <c r="E187" s="20" t="s">
        <v>505</v>
      </c>
      <c r="F187" s="20" t="s">
        <v>406</v>
      </c>
      <c r="G187" s="8" t="str">
        <f t="shared" si="4"/>
        <v>SMITH MICHAEL</v>
      </c>
      <c r="H187" s="20" t="str">
        <f t="shared" si="5"/>
        <v>4054</v>
      </c>
    </row>
    <row r="188" spans="1:8" x14ac:dyDescent="0.25">
      <c r="A188" s="8">
        <v>43018.75304398148</v>
      </c>
      <c r="B188" s="20" t="s">
        <v>432</v>
      </c>
      <c r="C188" s="20" t="s">
        <v>799</v>
      </c>
      <c r="D188" s="138">
        <v>1180000</v>
      </c>
      <c r="E188" s="20" t="s">
        <v>419</v>
      </c>
      <c r="F188" s="20" t="s">
        <v>420</v>
      </c>
      <c r="G188" s="8" t="str">
        <f t="shared" si="4"/>
        <v>LEVERE CRAIG</v>
      </c>
      <c r="H188" s="20" t="str">
        <f t="shared" si="5"/>
        <v>4049</v>
      </c>
    </row>
    <row r="189" spans="1:8" x14ac:dyDescent="0.25">
      <c r="A189" s="8">
        <v>43018.753946759258</v>
      </c>
      <c r="B189" s="20" t="s">
        <v>495</v>
      </c>
      <c r="C189" s="20" t="s">
        <v>800</v>
      </c>
      <c r="D189" s="138">
        <v>2970000</v>
      </c>
      <c r="E189" s="20" t="s">
        <v>539</v>
      </c>
      <c r="F189" s="20" t="s">
        <v>540</v>
      </c>
      <c r="G189" s="8" t="str">
        <f t="shared" si="4"/>
        <v>GUZMAN DANNY</v>
      </c>
      <c r="H189" s="20" t="str">
        <f t="shared" si="5"/>
        <v>4036</v>
      </c>
    </row>
    <row r="190" spans="1:8" x14ac:dyDescent="0.25">
      <c r="A190" s="8">
        <v>43018.757754629631</v>
      </c>
      <c r="B190" s="20" t="s">
        <v>614</v>
      </c>
      <c r="C190" s="20" t="s">
        <v>801</v>
      </c>
      <c r="D190" s="138">
        <v>3280000</v>
      </c>
      <c r="E190" s="20" t="s">
        <v>433</v>
      </c>
      <c r="F190" s="20" t="s">
        <v>434</v>
      </c>
      <c r="G190" s="8" t="str">
        <f t="shared" si="4"/>
        <v>BIRKHOLZ NADINE</v>
      </c>
      <c r="H190" s="20" t="str">
        <f t="shared" si="5"/>
        <v>4020</v>
      </c>
    </row>
    <row r="191" spans="1:8" x14ac:dyDescent="0.25">
      <c r="A191" s="8">
        <v>43018.760405092595</v>
      </c>
      <c r="B191" s="20" t="s">
        <v>496</v>
      </c>
      <c r="C191" s="20" t="s">
        <v>802</v>
      </c>
      <c r="D191" s="138">
        <v>1300000</v>
      </c>
      <c r="E191" s="20" t="s">
        <v>421</v>
      </c>
      <c r="F191" s="20" t="s">
        <v>422</v>
      </c>
      <c r="G191" s="8" t="str">
        <f t="shared" si="4"/>
        <v>LEVIN SCOTT</v>
      </c>
      <c r="H191" s="20" t="str">
        <f t="shared" si="5"/>
        <v>4041</v>
      </c>
    </row>
    <row r="192" spans="1:8" x14ac:dyDescent="0.25">
      <c r="A192" s="8">
        <v>43018.761319444442</v>
      </c>
      <c r="B192" s="20" t="s">
        <v>400</v>
      </c>
      <c r="C192" s="20" t="s">
        <v>803</v>
      </c>
      <c r="D192" s="138">
        <v>2630000</v>
      </c>
      <c r="E192" s="20" t="s">
        <v>503</v>
      </c>
      <c r="F192" s="20" t="s">
        <v>504</v>
      </c>
      <c r="G192" s="8" t="str">
        <f t="shared" si="4"/>
        <v>SAFIEF AEIMEN</v>
      </c>
      <c r="H192" s="20" t="str">
        <f t="shared" si="5"/>
        <v>4055</v>
      </c>
    </row>
    <row r="193" spans="1:8" x14ac:dyDescent="0.25">
      <c r="A193" s="8">
        <v>43018.768587962964</v>
      </c>
      <c r="B193" s="20" t="s">
        <v>610</v>
      </c>
      <c r="C193" s="20" t="s">
        <v>804</v>
      </c>
      <c r="D193" s="138">
        <v>2970000</v>
      </c>
      <c r="E193" s="20" t="s">
        <v>539</v>
      </c>
      <c r="F193" s="20" t="s">
        <v>540</v>
      </c>
      <c r="G193" s="8" t="str">
        <f t="shared" si="4"/>
        <v>GUZMAN DANNY</v>
      </c>
      <c r="H193" s="20" t="str">
        <f t="shared" si="5"/>
        <v>4035</v>
      </c>
    </row>
    <row r="194" spans="1:8" x14ac:dyDescent="0.25">
      <c r="A194" s="8">
        <v>43018.770486111112</v>
      </c>
      <c r="B194" s="20" t="s">
        <v>447</v>
      </c>
      <c r="C194" s="20" t="s">
        <v>805</v>
      </c>
      <c r="D194" s="138">
        <v>890000</v>
      </c>
      <c r="E194" s="20" t="s">
        <v>359</v>
      </c>
      <c r="F194" s="20" t="s">
        <v>360</v>
      </c>
      <c r="G194" s="8" t="str">
        <f t="shared" si="4"/>
        <v>LOZA FIDEL</v>
      </c>
      <c r="H194" s="20" t="str">
        <f t="shared" si="5"/>
        <v>4065</v>
      </c>
    </row>
    <row r="195" spans="1:8" x14ac:dyDescent="0.25">
      <c r="A195" s="8">
        <v>43018.771064814813</v>
      </c>
      <c r="B195" s="20" t="s">
        <v>528</v>
      </c>
      <c r="C195" s="20" t="s">
        <v>806</v>
      </c>
      <c r="D195" s="138">
        <v>3310000</v>
      </c>
      <c r="E195" s="20" t="s">
        <v>390</v>
      </c>
      <c r="F195" s="20" t="s">
        <v>391</v>
      </c>
      <c r="G195" s="8" t="str">
        <f t="shared" ref="G195:G258" si="6">E195&amp;" "&amp;F195</f>
        <v>ANDERS STEVEN</v>
      </c>
      <c r="H195" s="20" t="str">
        <f t="shared" ref="H195:H258" si="7">MID(B195,13,4)</f>
        <v>4052</v>
      </c>
    </row>
    <row r="196" spans="1:8" x14ac:dyDescent="0.25">
      <c r="A196" s="8">
        <v>43018.775416666664</v>
      </c>
      <c r="B196" s="20" t="s">
        <v>637</v>
      </c>
      <c r="C196" s="20" t="s">
        <v>807</v>
      </c>
      <c r="D196" s="138">
        <v>2000000</v>
      </c>
      <c r="E196" s="20" t="s">
        <v>373</v>
      </c>
      <c r="F196" s="20" t="s">
        <v>362</v>
      </c>
      <c r="G196" s="8" t="str">
        <f t="shared" si="6"/>
        <v>STAMBAUGH JAMES</v>
      </c>
      <c r="H196" s="20" t="str">
        <f t="shared" si="7"/>
        <v>4060</v>
      </c>
    </row>
    <row r="197" spans="1:8" x14ac:dyDescent="0.25">
      <c r="A197" s="8">
        <v>43018.779409722221</v>
      </c>
      <c r="B197" s="20" t="s">
        <v>621</v>
      </c>
      <c r="C197" s="20" t="s">
        <v>808</v>
      </c>
      <c r="D197" s="138">
        <v>1300000</v>
      </c>
      <c r="E197" s="20" t="s">
        <v>421</v>
      </c>
      <c r="F197" s="20" t="s">
        <v>422</v>
      </c>
      <c r="G197" s="8" t="str">
        <f t="shared" si="6"/>
        <v>LEVIN SCOTT</v>
      </c>
      <c r="H197" s="20" t="str">
        <f t="shared" si="7"/>
        <v>4042</v>
      </c>
    </row>
    <row r="198" spans="1:8" x14ac:dyDescent="0.25">
      <c r="A198" s="8">
        <v>43018.783067129632</v>
      </c>
      <c r="B198" s="20" t="s">
        <v>595</v>
      </c>
      <c r="C198" s="20" t="s">
        <v>797</v>
      </c>
      <c r="D198" s="138">
        <v>2230000</v>
      </c>
      <c r="E198" s="20" t="s">
        <v>505</v>
      </c>
      <c r="F198" s="20" t="s">
        <v>406</v>
      </c>
      <c r="G198" s="8" t="str">
        <f t="shared" si="6"/>
        <v>SMITH MICHAEL</v>
      </c>
      <c r="H198" s="20" t="str">
        <f t="shared" si="7"/>
        <v>4053</v>
      </c>
    </row>
    <row r="199" spans="1:8" x14ac:dyDescent="0.25">
      <c r="A199" s="8">
        <v>43018.788252314815</v>
      </c>
      <c r="B199" s="20" t="s">
        <v>393</v>
      </c>
      <c r="C199" s="20" t="s">
        <v>809</v>
      </c>
      <c r="D199" s="138">
        <v>3510000</v>
      </c>
      <c r="E199" s="20" t="s">
        <v>794</v>
      </c>
      <c r="F199" s="20" t="s">
        <v>795</v>
      </c>
      <c r="G199" s="8" t="str">
        <f t="shared" si="6"/>
        <v>BARRON PERLA</v>
      </c>
      <c r="H199" s="20" t="str">
        <f t="shared" si="7"/>
        <v>4050</v>
      </c>
    </row>
    <row r="200" spans="1:8" x14ac:dyDescent="0.25">
      <c r="A200" s="8">
        <v>43018.789189814815</v>
      </c>
      <c r="B200" s="20" t="s">
        <v>607</v>
      </c>
      <c r="C200" s="20" t="s">
        <v>810</v>
      </c>
      <c r="D200" s="138">
        <v>2000000</v>
      </c>
      <c r="E200" s="20" t="s">
        <v>373</v>
      </c>
      <c r="F200" s="20" t="s">
        <v>362</v>
      </c>
      <c r="G200" s="8" t="str">
        <f t="shared" si="6"/>
        <v>STAMBAUGH JAMES</v>
      </c>
      <c r="H200" s="20" t="str">
        <f t="shared" si="7"/>
        <v>4059</v>
      </c>
    </row>
    <row r="201" spans="1:8" x14ac:dyDescent="0.25">
      <c r="A201" s="8">
        <v>43018.794374999998</v>
      </c>
      <c r="B201" s="20" t="s">
        <v>495</v>
      </c>
      <c r="C201" s="20" t="s">
        <v>609</v>
      </c>
      <c r="D201" s="138">
        <v>3130000</v>
      </c>
      <c r="E201" s="20" t="s">
        <v>811</v>
      </c>
      <c r="F201" s="20" t="s">
        <v>812</v>
      </c>
      <c r="G201" s="8" t="str">
        <f t="shared" si="6"/>
        <v>ZEWDU DEREJE</v>
      </c>
      <c r="H201" s="20" t="str">
        <f t="shared" si="7"/>
        <v>4036</v>
      </c>
    </row>
    <row r="202" spans="1:8" x14ac:dyDescent="0.25">
      <c r="A202" s="26">
        <v>43018.796180555553</v>
      </c>
      <c r="B202" s="20" t="s">
        <v>604</v>
      </c>
      <c r="C202" s="20" t="s">
        <v>813</v>
      </c>
      <c r="D202" s="138">
        <v>3280000</v>
      </c>
      <c r="E202" s="20" t="s">
        <v>433</v>
      </c>
      <c r="F202" s="20" t="s">
        <v>434</v>
      </c>
      <c r="G202" s="8" t="str">
        <f t="shared" si="6"/>
        <v>BIRKHOLZ NADINE</v>
      </c>
      <c r="H202" s="20" t="str">
        <f t="shared" si="7"/>
        <v>4019</v>
      </c>
    </row>
    <row r="203" spans="1:8" x14ac:dyDescent="0.25">
      <c r="A203" s="8">
        <v>43018.798113425924</v>
      </c>
      <c r="B203" s="20" t="s">
        <v>401</v>
      </c>
      <c r="C203" s="20" t="s">
        <v>814</v>
      </c>
      <c r="D203" s="138">
        <v>2630000</v>
      </c>
      <c r="E203" s="20" t="s">
        <v>503</v>
      </c>
      <c r="F203" s="20" t="s">
        <v>504</v>
      </c>
      <c r="G203" s="8" t="str">
        <f t="shared" si="6"/>
        <v>SAFIEF AEIMEN</v>
      </c>
      <c r="H203" s="20" t="str">
        <f t="shared" si="7"/>
        <v>4056</v>
      </c>
    </row>
    <row r="204" spans="1:8" x14ac:dyDescent="0.25">
      <c r="A204" s="8">
        <v>43018.808680555558</v>
      </c>
      <c r="B204" s="20" t="s">
        <v>529</v>
      </c>
      <c r="C204" s="20" t="s">
        <v>815</v>
      </c>
      <c r="D204" s="138">
        <v>3310000</v>
      </c>
      <c r="E204" s="20" t="s">
        <v>390</v>
      </c>
      <c r="F204" s="20" t="s">
        <v>391</v>
      </c>
      <c r="G204" s="8" t="str">
        <f t="shared" si="6"/>
        <v>ANDERS STEVEN</v>
      </c>
      <c r="H204" s="20" t="str">
        <f t="shared" si="7"/>
        <v>4051</v>
      </c>
    </row>
    <row r="205" spans="1:8" x14ac:dyDescent="0.25">
      <c r="A205" s="8">
        <v>43018.81009259259</v>
      </c>
      <c r="B205" s="20" t="s">
        <v>610</v>
      </c>
      <c r="C205" s="20" t="s">
        <v>611</v>
      </c>
      <c r="D205" s="138">
        <v>3130000</v>
      </c>
      <c r="E205" s="20" t="s">
        <v>811</v>
      </c>
      <c r="F205" s="20" t="s">
        <v>812</v>
      </c>
      <c r="G205" s="8" t="str">
        <f t="shared" si="6"/>
        <v>ZEWDU DEREJE</v>
      </c>
      <c r="H205" s="20" t="str">
        <f t="shared" si="7"/>
        <v>4035</v>
      </c>
    </row>
    <row r="206" spans="1:8" x14ac:dyDescent="0.25">
      <c r="A206" s="8">
        <v>43018.810960648145</v>
      </c>
      <c r="B206" s="20" t="s">
        <v>442</v>
      </c>
      <c r="C206" s="20" t="s">
        <v>816</v>
      </c>
      <c r="D206" s="138">
        <v>890000</v>
      </c>
      <c r="E206" s="20" t="s">
        <v>359</v>
      </c>
      <c r="F206" s="20" t="s">
        <v>360</v>
      </c>
      <c r="G206" s="8" t="str">
        <f t="shared" si="6"/>
        <v>LOZA FIDEL</v>
      </c>
      <c r="H206" s="20" t="str">
        <f t="shared" si="7"/>
        <v>4066</v>
      </c>
    </row>
    <row r="207" spans="1:8" x14ac:dyDescent="0.25">
      <c r="A207" s="8">
        <v>43018.818819444445</v>
      </c>
      <c r="B207" s="20" t="s">
        <v>649</v>
      </c>
      <c r="C207" s="20" t="s">
        <v>817</v>
      </c>
      <c r="D207" s="138">
        <v>2230000</v>
      </c>
      <c r="E207" s="20" t="s">
        <v>505</v>
      </c>
      <c r="F207" s="20" t="s">
        <v>406</v>
      </c>
      <c r="G207" s="8" t="str">
        <f t="shared" si="6"/>
        <v>SMITH MICHAEL</v>
      </c>
      <c r="H207" s="20" t="str">
        <f t="shared" si="7"/>
        <v>4054</v>
      </c>
    </row>
    <row r="208" spans="1:8" x14ac:dyDescent="0.25">
      <c r="A208" s="8">
        <v>43018.82540509259</v>
      </c>
      <c r="B208" s="20" t="s">
        <v>432</v>
      </c>
      <c r="C208" s="20" t="s">
        <v>818</v>
      </c>
      <c r="D208" s="138">
        <v>3510000</v>
      </c>
      <c r="E208" s="20" t="s">
        <v>794</v>
      </c>
      <c r="F208" s="20" t="s">
        <v>795</v>
      </c>
      <c r="G208" s="8" t="str">
        <f t="shared" si="6"/>
        <v>BARRON PERLA</v>
      </c>
      <c r="H208" s="20" t="str">
        <f t="shared" si="7"/>
        <v>4049</v>
      </c>
    </row>
    <row r="209" spans="1:8" x14ac:dyDescent="0.25">
      <c r="A209" s="8">
        <v>43018.82953703704</v>
      </c>
      <c r="B209" s="20" t="s">
        <v>614</v>
      </c>
      <c r="C209" s="20" t="s">
        <v>819</v>
      </c>
      <c r="D209" s="138">
        <v>3280000</v>
      </c>
      <c r="E209" s="20" t="s">
        <v>433</v>
      </c>
      <c r="F209" s="20" t="s">
        <v>434</v>
      </c>
      <c r="G209" s="8" t="str">
        <f t="shared" si="6"/>
        <v>BIRKHOLZ NADINE</v>
      </c>
      <c r="H209" s="20" t="str">
        <f t="shared" si="7"/>
        <v>4020</v>
      </c>
    </row>
    <row r="210" spans="1:8" x14ac:dyDescent="0.25">
      <c r="A210" s="8">
        <v>43018.832766203705</v>
      </c>
      <c r="B210" s="20" t="s">
        <v>495</v>
      </c>
      <c r="C210" s="20" t="s">
        <v>612</v>
      </c>
      <c r="D210" s="138">
        <v>3130000</v>
      </c>
      <c r="E210" s="20" t="s">
        <v>811</v>
      </c>
      <c r="F210" s="20" t="s">
        <v>812</v>
      </c>
      <c r="G210" s="8" t="str">
        <f t="shared" si="6"/>
        <v>ZEWDU DEREJE</v>
      </c>
      <c r="H210" s="20" t="str">
        <f t="shared" si="7"/>
        <v>4036</v>
      </c>
    </row>
    <row r="211" spans="1:8" x14ac:dyDescent="0.25">
      <c r="A211" s="8">
        <v>43018.850868055553</v>
      </c>
      <c r="B211" s="20" t="s">
        <v>528</v>
      </c>
      <c r="C211" s="20" t="s">
        <v>820</v>
      </c>
      <c r="D211" s="138">
        <v>3310000</v>
      </c>
      <c r="E211" s="20" t="s">
        <v>390</v>
      </c>
      <c r="F211" s="20" t="s">
        <v>391</v>
      </c>
      <c r="G211" s="8" t="str">
        <f t="shared" si="6"/>
        <v>ANDERS STEVEN</v>
      </c>
      <c r="H211" s="20" t="str">
        <f t="shared" si="7"/>
        <v>4052</v>
      </c>
    </row>
    <row r="212" spans="1:8" x14ac:dyDescent="0.25">
      <c r="A212" s="8">
        <v>43018.851134259261</v>
      </c>
      <c r="B212" s="20" t="s">
        <v>447</v>
      </c>
      <c r="C212" s="20" t="s">
        <v>821</v>
      </c>
      <c r="D212" s="138">
        <v>890000</v>
      </c>
      <c r="E212" s="20" t="s">
        <v>359</v>
      </c>
      <c r="F212" s="20" t="s">
        <v>360</v>
      </c>
      <c r="G212" s="8" t="str">
        <f t="shared" si="6"/>
        <v>LOZA FIDEL</v>
      </c>
      <c r="H212" s="20" t="str">
        <f t="shared" si="7"/>
        <v>4065</v>
      </c>
    </row>
    <row r="213" spans="1:8" x14ac:dyDescent="0.25">
      <c r="A213" s="8">
        <v>43018.851817129631</v>
      </c>
      <c r="B213" s="20" t="s">
        <v>610</v>
      </c>
      <c r="C213" s="20" t="s">
        <v>822</v>
      </c>
      <c r="D213" s="138">
        <v>3130000</v>
      </c>
      <c r="E213" s="20" t="s">
        <v>811</v>
      </c>
      <c r="F213" s="20" t="s">
        <v>812</v>
      </c>
      <c r="G213" s="8" t="str">
        <f t="shared" si="6"/>
        <v>ZEWDU DEREJE</v>
      </c>
      <c r="H213" s="20" t="str">
        <f t="shared" si="7"/>
        <v>4035</v>
      </c>
    </row>
    <row r="214" spans="1:8" x14ac:dyDescent="0.25">
      <c r="A214" s="8">
        <v>43018.862210648149</v>
      </c>
      <c r="B214" s="20" t="s">
        <v>393</v>
      </c>
      <c r="C214" s="20" t="s">
        <v>613</v>
      </c>
      <c r="D214" s="138">
        <v>2680000</v>
      </c>
      <c r="E214" s="20" t="s">
        <v>365</v>
      </c>
      <c r="F214" s="20" t="s">
        <v>366</v>
      </c>
      <c r="G214" s="8" t="str">
        <f t="shared" si="6"/>
        <v>DUNCAN SHEILA</v>
      </c>
      <c r="H214" s="20" t="str">
        <f t="shared" si="7"/>
        <v>4050</v>
      </c>
    </row>
    <row r="215" spans="1:8" x14ac:dyDescent="0.25">
      <c r="A215" s="8">
        <v>43018.869756944441</v>
      </c>
      <c r="B215" s="20" t="s">
        <v>604</v>
      </c>
      <c r="C215" s="20" t="s">
        <v>823</v>
      </c>
      <c r="D215" s="138">
        <v>3280000</v>
      </c>
      <c r="E215" s="20" t="s">
        <v>433</v>
      </c>
      <c r="F215" s="20" t="s">
        <v>434</v>
      </c>
      <c r="G215" s="8" t="str">
        <f t="shared" si="6"/>
        <v>BIRKHOLZ NADINE</v>
      </c>
      <c r="H215" s="20" t="str">
        <f t="shared" si="7"/>
        <v>4019</v>
      </c>
    </row>
    <row r="216" spans="1:8" x14ac:dyDescent="0.25">
      <c r="A216" s="8">
        <v>43018.876157407409</v>
      </c>
      <c r="B216" s="20" t="s">
        <v>495</v>
      </c>
      <c r="C216" s="20" t="s">
        <v>824</v>
      </c>
      <c r="D216" s="138">
        <v>2000000</v>
      </c>
      <c r="E216" s="20" t="s">
        <v>373</v>
      </c>
      <c r="F216" s="20" t="s">
        <v>362</v>
      </c>
      <c r="G216" s="8" t="str">
        <f t="shared" si="6"/>
        <v>STAMBAUGH JAMES</v>
      </c>
      <c r="H216" s="20" t="str">
        <f t="shared" si="7"/>
        <v>4036</v>
      </c>
    </row>
    <row r="217" spans="1:8" x14ac:dyDescent="0.25">
      <c r="A217" s="8">
        <v>43018.882418981484</v>
      </c>
      <c r="B217" s="20" t="s">
        <v>442</v>
      </c>
      <c r="C217" s="20" t="s">
        <v>825</v>
      </c>
      <c r="D217" s="138">
        <v>890000</v>
      </c>
      <c r="E217" s="20" t="s">
        <v>359</v>
      </c>
      <c r="F217" s="20" t="s">
        <v>360</v>
      </c>
      <c r="G217" s="8" t="str">
        <f t="shared" si="6"/>
        <v>LOZA FIDEL</v>
      </c>
      <c r="H217" s="20" t="str">
        <f t="shared" si="7"/>
        <v>4066</v>
      </c>
    </row>
    <row r="218" spans="1:8" x14ac:dyDescent="0.25">
      <c r="A218" s="8">
        <v>43018.888831018521</v>
      </c>
      <c r="B218" s="20" t="s">
        <v>529</v>
      </c>
      <c r="C218" s="20" t="s">
        <v>616</v>
      </c>
      <c r="D218" s="138">
        <v>3310000</v>
      </c>
      <c r="E218" s="20" t="s">
        <v>390</v>
      </c>
      <c r="F218" s="20" t="s">
        <v>391</v>
      </c>
      <c r="G218" s="8" t="str">
        <f t="shared" si="6"/>
        <v>ANDERS STEVEN</v>
      </c>
      <c r="H218" s="20" t="str">
        <f t="shared" si="7"/>
        <v>4051</v>
      </c>
    </row>
    <row r="219" spans="1:8" x14ac:dyDescent="0.25">
      <c r="A219" s="8">
        <v>43018.892199074071</v>
      </c>
      <c r="B219" s="20" t="s">
        <v>610</v>
      </c>
      <c r="C219" s="20" t="s">
        <v>826</v>
      </c>
      <c r="D219" s="138">
        <v>2000000</v>
      </c>
      <c r="E219" s="20" t="s">
        <v>373</v>
      </c>
      <c r="F219" s="20" t="s">
        <v>362</v>
      </c>
      <c r="G219" s="8" t="str">
        <f t="shared" si="6"/>
        <v>STAMBAUGH JAMES</v>
      </c>
      <c r="H219" s="20" t="str">
        <f t="shared" si="7"/>
        <v>4035</v>
      </c>
    </row>
    <row r="220" spans="1:8" x14ac:dyDescent="0.25">
      <c r="A220" s="8">
        <v>43018.904849537037</v>
      </c>
      <c r="B220" s="20" t="s">
        <v>614</v>
      </c>
      <c r="C220" s="20" t="s">
        <v>615</v>
      </c>
      <c r="D220" s="138">
        <v>2140000</v>
      </c>
      <c r="E220" s="20" t="s">
        <v>827</v>
      </c>
      <c r="F220" s="20" t="s">
        <v>828</v>
      </c>
      <c r="G220" s="8" t="str">
        <f t="shared" si="6"/>
        <v>ROBINSON KADDIBA</v>
      </c>
      <c r="H220" s="20" t="str">
        <f t="shared" si="7"/>
        <v>4020</v>
      </c>
    </row>
    <row r="221" spans="1:8" x14ac:dyDescent="0.25">
      <c r="A221" s="8">
        <v>43018.910092592596</v>
      </c>
      <c r="B221" s="20" t="s">
        <v>432</v>
      </c>
      <c r="C221" s="20" t="s">
        <v>829</v>
      </c>
      <c r="D221" s="138">
        <v>3510000</v>
      </c>
      <c r="E221" s="20" t="s">
        <v>794</v>
      </c>
      <c r="F221" s="20" t="s">
        <v>795</v>
      </c>
      <c r="G221" s="8" t="str">
        <f t="shared" si="6"/>
        <v>BARRON PERLA</v>
      </c>
      <c r="H221" s="20" t="str">
        <f t="shared" si="7"/>
        <v>4049</v>
      </c>
    </row>
    <row r="222" spans="1:8" x14ac:dyDescent="0.25">
      <c r="A222" s="8">
        <v>43018.918171296296</v>
      </c>
      <c r="B222" s="20" t="s">
        <v>495</v>
      </c>
      <c r="C222" s="20" t="s">
        <v>830</v>
      </c>
      <c r="D222" s="138">
        <v>3500000</v>
      </c>
      <c r="E222" s="20" t="s">
        <v>506</v>
      </c>
      <c r="F222" s="20" t="s">
        <v>507</v>
      </c>
      <c r="G222" s="8" t="str">
        <f t="shared" si="6"/>
        <v>GUNTHIER ERIC</v>
      </c>
      <c r="H222" s="20" t="str">
        <f t="shared" si="7"/>
        <v>4036</v>
      </c>
    </row>
    <row r="223" spans="1:8" x14ac:dyDescent="0.25">
      <c r="A223" s="8">
        <v>43018.930439814816</v>
      </c>
      <c r="B223" s="20" t="s">
        <v>528</v>
      </c>
      <c r="C223" s="20" t="s">
        <v>831</v>
      </c>
      <c r="D223" s="138">
        <v>3310000</v>
      </c>
      <c r="E223" s="20" t="s">
        <v>390</v>
      </c>
      <c r="F223" s="20" t="s">
        <v>391</v>
      </c>
      <c r="G223" s="8" t="str">
        <f t="shared" si="6"/>
        <v>ANDERS STEVEN</v>
      </c>
      <c r="H223" s="20" t="str">
        <f t="shared" si="7"/>
        <v>4052</v>
      </c>
    </row>
    <row r="224" spans="1:8" x14ac:dyDescent="0.25">
      <c r="A224" s="8">
        <v>43018.933645833335</v>
      </c>
      <c r="B224" t="s">
        <v>447</v>
      </c>
      <c r="C224" t="s">
        <v>832</v>
      </c>
      <c r="D224" s="138">
        <v>890000</v>
      </c>
      <c r="E224" t="s">
        <v>359</v>
      </c>
      <c r="F224" s="20" t="s">
        <v>360</v>
      </c>
      <c r="G224" s="8" t="str">
        <f t="shared" si="6"/>
        <v>LOZA FIDEL</v>
      </c>
      <c r="H224" s="20" t="str">
        <f t="shared" si="7"/>
        <v>4065</v>
      </c>
    </row>
    <row r="225" spans="1:8" x14ac:dyDescent="0.25">
      <c r="A225" s="8">
        <v>43018.935393518521</v>
      </c>
      <c r="B225" t="s">
        <v>610</v>
      </c>
      <c r="C225" t="s">
        <v>833</v>
      </c>
      <c r="D225" s="138">
        <v>3500000</v>
      </c>
      <c r="E225" t="s">
        <v>506</v>
      </c>
      <c r="F225" s="20" t="s">
        <v>507</v>
      </c>
      <c r="G225" s="8" t="str">
        <f t="shared" si="6"/>
        <v>GUNTHIER ERIC</v>
      </c>
      <c r="H225" s="20" t="str">
        <f t="shared" si="7"/>
        <v>4035</v>
      </c>
    </row>
    <row r="226" spans="1:8" x14ac:dyDescent="0.25">
      <c r="A226" s="8">
        <v>43018.943495370368</v>
      </c>
      <c r="B226" t="s">
        <v>393</v>
      </c>
      <c r="C226" t="s">
        <v>617</v>
      </c>
      <c r="D226" s="138">
        <v>2680000</v>
      </c>
      <c r="E226" t="s">
        <v>365</v>
      </c>
      <c r="F226" s="20" t="s">
        <v>366</v>
      </c>
      <c r="G226" s="8" t="str">
        <f t="shared" si="6"/>
        <v>DUNCAN SHEILA</v>
      </c>
      <c r="H226" s="20" t="str">
        <f t="shared" si="7"/>
        <v>4050</v>
      </c>
    </row>
    <row r="227" spans="1:8" x14ac:dyDescent="0.25">
      <c r="A227" s="8">
        <v>43018.95484953704</v>
      </c>
      <c r="B227" t="s">
        <v>604</v>
      </c>
      <c r="C227" t="s">
        <v>834</v>
      </c>
      <c r="D227" s="138">
        <v>3280000</v>
      </c>
      <c r="E227" t="s">
        <v>433</v>
      </c>
      <c r="F227" s="20" t="s">
        <v>434</v>
      </c>
      <c r="G227" s="8" t="str">
        <f t="shared" si="6"/>
        <v>BIRKHOLZ NADINE</v>
      </c>
      <c r="H227" s="20" t="str">
        <f t="shared" si="7"/>
        <v>4019</v>
      </c>
    </row>
    <row r="228" spans="1:8" x14ac:dyDescent="0.25">
      <c r="A228" s="8">
        <v>43018.963229166664</v>
      </c>
      <c r="B228" t="s">
        <v>495</v>
      </c>
      <c r="C228" t="s">
        <v>835</v>
      </c>
      <c r="D228" s="138">
        <v>2000000</v>
      </c>
      <c r="E228" t="s">
        <v>373</v>
      </c>
      <c r="F228" s="20" t="s">
        <v>362</v>
      </c>
      <c r="G228" s="8" t="str">
        <f t="shared" si="6"/>
        <v>STAMBAUGH JAMES</v>
      </c>
      <c r="H228" s="20" t="str">
        <f t="shared" si="7"/>
        <v>4036</v>
      </c>
    </row>
    <row r="229" spans="1:8" x14ac:dyDescent="0.25">
      <c r="A229" s="8">
        <v>43018.967106481483</v>
      </c>
      <c r="B229" t="s">
        <v>529</v>
      </c>
      <c r="C229" t="s">
        <v>836</v>
      </c>
      <c r="D229" s="138">
        <v>3310000</v>
      </c>
      <c r="E229" t="s">
        <v>390</v>
      </c>
      <c r="F229" s="20" t="s">
        <v>391</v>
      </c>
      <c r="G229" s="8" t="str">
        <f t="shared" si="6"/>
        <v>ANDERS STEVEN</v>
      </c>
      <c r="H229" s="20" t="str">
        <f t="shared" si="7"/>
        <v>4051</v>
      </c>
    </row>
    <row r="230" spans="1:8" x14ac:dyDescent="0.25">
      <c r="A230" s="8">
        <v>43018.968981481485</v>
      </c>
      <c r="B230" t="s">
        <v>442</v>
      </c>
      <c r="C230" t="s">
        <v>837</v>
      </c>
      <c r="D230" s="138">
        <v>890000</v>
      </c>
      <c r="E230" t="s">
        <v>359</v>
      </c>
      <c r="F230" s="20" t="s">
        <v>360</v>
      </c>
      <c r="G230" s="8" t="str">
        <f t="shared" si="6"/>
        <v>LOZA FIDEL</v>
      </c>
      <c r="H230" s="20" t="str">
        <f t="shared" si="7"/>
        <v>4066</v>
      </c>
    </row>
    <row r="231" spans="1:8" x14ac:dyDescent="0.25">
      <c r="A231" s="8">
        <v>43018.975138888891</v>
      </c>
      <c r="B231" t="s">
        <v>610</v>
      </c>
      <c r="C231" t="s">
        <v>838</v>
      </c>
      <c r="D231" s="138">
        <v>2000000</v>
      </c>
      <c r="E231" t="s">
        <v>373</v>
      </c>
      <c r="F231" s="20" t="s">
        <v>362</v>
      </c>
      <c r="G231" s="8" t="str">
        <f t="shared" si="6"/>
        <v>STAMBAUGH JAMES</v>
      </c>
      <c r="H231" s="20" t="str">
        <f t="shared" si="7"/>
        <v>4035</v>
      </c>
    </row>
    <row r="232" spans="1:8" x14ac:dyDescent="0.25">
      <c r="A232" s="8">
        <v>43018.985879629632</v>
      </c>
      <c r="B232" t="s">
        <v>432</v>
      </c>
      <c r="C232" t="s">
        <v>839</v>
      </c>
      <c r="D232" s="138">
        <v>2680000</v>
      </c>
      <c r="E232" t="s">
        <v>365</v>
      </c>
      <c r="F232" s="20" t="s">
        <v>366</v>
      </c>
      <c r="G232" s="8" t="str">
        <f t="shared" si="6"/>
        <v>DUNCAN SHEILA</v>
      </c>
      <c r="H232" s="20" t="str">
        <f t="shared" si="7"/>
        <v>4049</v>
      </c>
    </row>
    <row r="233" spans="1:8" x14ac:dyDescent="0.25">
      <c r="A233" s="8">
        <v>43018.99454861111</v>
      </c>
      <c r="B233" t="s">
        <v>614</v>
      </c>
      <c r="C233" t="s">
        <v>840</v>
      </c>
      <c r="D233" s="138">
        <v>3280000</v>
      </c>
      <c r="E233" t="s">
        <v>433</v>
      </c>
      <c r="F233" s="20" t="s">
        <v>434</v>
      </c>
      <c r="G233" s="8" t="str">
        <f t="shared" si="6"/>
        <v>BIRKHOLZ NADINE</v>
      </c>
      <c r="H233" s="20" t="str">
        <f t="shared" si="7"/>
        <v>4020</v>
      </c>
    </row>
    <row r="234" spans="1:8" x14ac:dyDescent="0.25">
      <c r="A234" s="8">
        <v>43018.999421296299</v>
      </c>
      <c r="B234" t="s">
        <v>407</v>
      </c>
      <c r="C234" t="s">
        <v>841</v>
      </c>
      <c r="D234" s="138">
        <v>3510000</v>
      </c>
      <c r="E234" t="s">
        <v>794</v>
      </c>
      <c r="F234" s="20" t="s">
        <v>795</v>
      </c>
      <c r="G234" s="8" t="str">
        <f t="shared" si="6"/>
        <v>BARRON PERLA</v>
      </c>
      <c r="H234" s="20" t="str">
        <f t="shared" si="7"/>
        <v>4008</v>
      </c>
    </row>
    <row r="235" spans="1:8" x14ac:dyDescent="0.25">
      <c r="A235" s="8">
        <v>43019.008402777778</v>
      </c>
      <c r="B235" t="s">
        <v>431</v>
      </c>
      <c r="C235" t="s">
        <v>842</v>
      </c>
      <c r="D235" s="138">
        <v>3510000</v>
      </c>
      <c r="E235" t="s">
        <v>794</v>
      </c>
      <c r="F235" s="20" t="s">
        <v>795</v>
      </c>
      <c r="G235" s="8" t="str">
        <f t="shared" si="6"/>
        <v>BARRON PERLA</v>
      </c>
      <c r="H235" s="20" t="str">
        <f t="shared" si="7"/>
        <v>4007</v>
      </c>
    </row>
    <row r="236" spans="1:8" x14ac:dyDescent="0.25">
      <c r="A236" s="8">
        <v>43019.015752314815</v>
      </c>
      <c r="B236" t="s">
        <v>528</v>
      </c>
      <c r="C236" t="s">
        <v>843</v>
      </c>
      <c r="D236" s="138">
        <v>3310000</v>
      </c>
      <c r="E236" t="s">
        <v>390</v>
      </c>
      <c r="F236" s="20" t="s">
        <v>391</v>
      </c>
      <c r="G236" s="8" t="str">
        <f t="shared" si="6"/>
        <v>ANDERS STEVEN</v>
      </c>
      <c r="H236" s="20" t="str">
        <f t="shared" si="7"/>
        <v>4052</v>
      </c>
    </row>
    <row r="237" spans="1:8" x14ac:dyDescent="0.25">
      <c r="A237" s="8">
        <v>43019.017326388886</v>
      </c>
      <c r="B237" t="s">
        <v>447</v>
      </c>
      <c r="C237" t="s">
        <v>844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4065</v>
      </c>
    </row>
    <row r="238" spans="1:8" x14ac:dyDescent="0.25">
      <c r="A238" s="8">
        <v>43019.026030092595</v>
      </c>
      <c r="B238" t="s">
        <v>393</v>
      </c>
      <c r="C238" t="s">
        <v>845</v>
      </c>
      <c r="D238" s="138">
        <v>2680000</v>
      </c>
      <c r="E238" t="s">
        <v>365</v>
      </c>
      <c r="F238" s="20" t="s">
        <v>366</v>
      </c>
      <c r="G238" s="8" t="str">
        <f t="shared" si="6"/>
        <v>DUNCAN SHEILA</v>
      </c>
      <c r="H238" s="20" t="str">
        <f t="shared" si="7"/>
        <v>4050</v>
      </c>
    </row>
    <row r="239" spans="1:8" x14ac:dyDescent="0.25">
      <c r="A239" s="8">
        <v>43019.033148148148</v>
      </c>
      <c r="B239" t="s">
        <v>604</v>
      </c>
      <c r="C239" t="s">
        <v>846</v>
      </c>
      <c r="D239" s="138">
        <v>3280000</v>
      </c>
      <c r="E239" t="s">
        <v>433</v>
      </c>
      <c r="F239" s="20" t="s">
        <v>434</v>
      </c>
      <c r="G239" s="8" t="str">
        <f t="shared" si="6"/>
        <v>BIRKHOLZ NADINE</v>
      </c>
      <c r="H239" s="20" t="str">
        <f t="shared" si="7"/>
        <v>4019</v>
      </c>
    </row>
    <row r="240" spans="1:8" x14ac:dyDescent="0.25">
      <c r="A240" s="8">
        <v>43019.0471875</v>
      </c>
      <c r="B240" t="s">
        <v>442</v>
      </c>
      <c r="C240" t="s">
        <v>847</v>
      </c>
      <c r="D240" s="138">
        <v>890000</v>
      </c>
      <c r="E240" t="s">
        <v>359</v>
      </c>
      <c r="F240" s="20" t="s">
        <v>360</v>
      </c>
      <c r="G240" s="8" t="str">
        <f t="shared" si="6"/>
        <v>LOZA FIDEL</v>
      </c>
      <c r="H240" s="20" t="str">
        <f t="shared" si="7"/>
        <v>4066</v>
      </c>
    </row>
    <row r="241" spans="1:8" x14ac:dyDescent="0.25">
      <c r="A241" s="8">
        <v>43019.053344907406</v>
      </c>
      <c r="B241" t="s">
        <v>529</v>
      </c>
      <c r="C241" t="s">
        <v>848</v>
      </c>
      <c r="D241" s="138">
        <v>3310000</v>
      </c>
      <c r="E241" t="s">
        <v>390</v>
      </c>
      <c r="F241" s="20" t="s">
        <v>391</v>
      </c>
      <c r="G241" s="8" t="str">
        <f t="shared" si="6"/>
        <v>ANDERS STEVEN</v>
      </c>
      <c r="H241" s="20" t="str">
        <f t="shared" si="7"/>
        <v>4051</v>
      </c>
    </row>
    <row r="242" spans="1:8" x14ac:dyDescent="0.25">
      <c r="A242" s="8">
        <v>43019.068472222221</v>
      </c>
      <c r="B242" t="s">
        <v>614</v>
      </c>
      <c r="C242" t="s">
        <v>620</v>
      </c>
      <c r="D242" s="138">
        <v>3280000</v>
      </c>
      <c r="E242" t="s">
        <v>433</v>
      </c>
      <c r="F242" s="20" t="s">
        <v>434</v>
      </c>
      <c r="G242" s="8" t="str">
        <f t="shared" si="6"/>
        <v>BIRKHOLZ NADINE</v>
      </c>
      <c r="H242" s="20" t="str">
        <f t="shared" si="7"/>
        <v>4020</v>
      </c>
    </row>
    <row r="243" spans="1:8" x14ac:dyDescent="0.25">
      <c r="A243" s="8">
        <v>43019.069178240738</v>
      </c>
      <c r="B243" t="s">
        <v>614</v>
      </c>
      <c r="C243" t="s">
        <v>620</v>
      </c>
      <c r="D243" s="138">
        <v>3280000</v>
      </c>
      <c r="E243" t="s">
        <v>433</v>
      </c>
      <c r="F243" s="20" t="s">
        <v>434</v>
      </c>
      <c r="G243" s="8" t="str">
        <f t="shared" si="6"/>
        <v>BIRKHOLZ NADINE</v>
      </c>
      <c r="H243" s="20" t="str">
        <f t="shared" si="7"/>
        <v>4020</v>
      </c>
    </row>
    <row r="244" spans="1:8" x14ac:dyDescent="0.25">
      <c r="A244" s="8">
        <v>43019.070300925923</v>
      </c>
      <c r="B244" t="s">
        <v>614</v>
      </c>
      <c r="C244" t="s">
        <v>620</v>
      </c>
      <c r="D244" s="138">
        <v>3280000</v>
      </c>
      <c r="E244" t="s">
        <v>433</v>
      </c>
      <c r="F244" s="20" t="s">
        <v>434</v>
      </c>
      <c r="G244" s="8" t="str">
        <f t="shared" si="6"/>
        <v>BIRKHOLZ NADINE</v>
      </c>
      <c r="H244" s="20" t="str">
        <f t="shared" si="7"/>
        <v>4020</v>
      </c>
    </row>
    <row r="245" spans="1:8" x14ac:dyDescent="0.25">
      <c r="A245" s="8">
        <v>43019.071238425924</v>
      </c>
      <c r="B245" t="s">
        <v>614</v>
      </c>
      <c r="C245" t="s">
        <v>620</v>
      </c>
      <c r="D245" s="138">
        <v>3280000</v>
      </c>
      <c r="E245" t="s">
        <v>433</v>
      </c>
      <c r="F245" s="20" t="s">
        <v>434</v>
      </c>
      <c r="G245" s="8" t="str">
        <f t="shared" si="6"/>
        <v>BIRKHOLZ NADINE</v>
      </c>
      <c r="H245" s="20" t="str">
        <f t="shared" si="7"/>
        <v>4020</v>
      </c>
    </row>
    <row r="246" spans="1:8" x14ac:dyDescent="0.25">
      <c r="A246" s="8">
        <v>43019.089120370372</v>
      </c>
      <c r="B246" t="s">
        <v>528</v>
      </c>
      <c r="C246" t="s">
        <v>849</v>
      </c>
      <c r="D246" s="138">
        <v>3310000</v>
      </c>
      <c r="E246" t="s">
        <v>390</v>
      </c>
      <c r="F246" s="20" t="s">
        <v>391</v>
      </c>
      <c r="G246" s="8" t="str">
        <f t="shared" si="6"/>
        <v>ANDERS STEVEN</v>
      </c>
      <c r="H246" s="20" t="str">
        <f t="shared" si="7"/>
        <v>4052</v>
      </c>
    </row>
    <row r="247" spans="1:8" x14ac:dyDescent="0.25">
      <c r="A247" s="8">
        <v>43012.888391203705</v>
      </c>
      <c r="B247" t="s">
        <v>386</v>
      </c>
      <c r="C247" t="s">
        <v>454</v>
      </c>
      <c r="D247" s="138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4063</v>
      </c>
    </row>
    <row r="248" spans="1:8" x14ac:dyDescent="0.25">
      <c r="A248" s="8">
        <v>43012.893483796295</v>
      </c>
      <c r="B248" t="s">
        <v>443</v>
      </c>
      <c r="C248" t="s">
        <v>455</v>
      </c>
      <c r="D248" s="138">
        <v>3280000</v>
      </c>
      <c r="E248" t="s">
        <v>433</v>
      </c>
      <c r="F248" s="20" t="s">
        <v>434</v>
      </c>
      <c r="G248" s="8" t="str">
        <f t="shared" si="6"/>
        <v>BIRKHOLZ NADINE</v>
      </c>
      <c r="H248" s="20" t="str">
        <f t="shared" si="7"/>
        <v>4027</v>
      </c>
    </row>
    <row r="249" spans="1:8" x14ac:dyDescent="0.25">
      <c r="A249" s="8">
        <v>43012.902268518519</v>
      </c>
      <c r="B249" t="s">
        <v>442</v>
      </c>
      <c r="C249" t="s">
        <v>456</v>
      </c>
      <c r="D249" s="138">
        <v>890000</v>
      </c>
      <c r="E249" t="s">
        <v>359</v>
      </c>
      <c r="F249" s="20" t="s">
        <v>360</v>
      </c>
      <c r="G249" s="8" t="str">
        <f t="shared" si="6"/>
        <v>LOZA FIDEL</v>
      </c>
      <c r="H249" s="20" t="str">
        <f t="shared" si="7"/>
        <v>4066</v>
      </c>
    </row>
    <row r="250" spans="1:8" x14ac:dyDescent="0.25">
      <c r="A250" s="8">
        <v>43012.909907407404</v>
      </c>
      <c r="B250" t="s">
        <v>432</v>
      </c>
      <c r="C250" t="s">
        <v>448</v>
      </c>
      <c r="D250" s="138">
        <v>3320000</v>
      </c>
      <c r="E250" t="s">
        <v>368</v>
      </c>
      <c r="F250" s="20" t="s">
        <v>369</v>
      </c>
      <c r="G250" s="8" t="str">
        <f t="shared" si="6"/>
        <v>NICHOLSON WESLEY</v>
      </c>
      <c r="H250" s="20" t="str">
        <f t="shared" si="7"/>
        <v>4049</v>
      </c>
    </row>
    <row r="251" spans="1:8" x14ac:dyDescent="0.25">
      <c r="A251" s="8">
        <v>43012.920601851853</v>
      </c>
      <c r="B251" t="s">
        <v>444</v>
      </c>
      <c r="C251" t="s">
        <v>457</v>
      </c>
      <c r="D251" s="138">
        <v>3280000</v>
      </c>
      <c r="E251" t="s">
        <v>433</v>
      </c>
      <c r="F251" s="20" t="s">
        <v>434</v>
      </c>
      <c r="G251" s="8" t="str">
        <f t="shared" si="6"/>
        <v>BIRKHOLZ NADINE</v>
      </c>
      <c r="H251" s="20" t="str">
        <f t="shared" si="7"/>
        <v>4028</v>
      </c>
    </row>
    <row r="252" spans="1:8" x14ac:dyDescent="0.25">
      <c r="A252" s="8">
        <v>43012.922905092593</v>
      </c>
      <c r="B252" t="s">
        <v>384</v>
      </c>
      <c r="C252" t="s">
        <v>458</v>
      </c>
      <c r="D252" s="138">
        <v>2680000</v>
      </c>
      <c r="E252" t="s">
        <v>365</v>
      </c>
      <c r="F252" s="20" t="s">
        <v>366</v>
      </c>
      <c r="G252" s="8" t="str">
        <f t="shared" si="6"/>
        <v>DUNCAN SHEILA</v>
      </c>
      <c r="H252" s="20" t="str">
        <f t="shared" si="7"/>
        <v>4039</v>
      </c>
    </row>
    <row r="253" spans="1:8" x14ac:dyDescent="0.25">
      <c r="A253" s="8">
        <v>43012.925381944442</v>
      </c>
      <c r="B253" t="s">
        <v>387</v>
      </c>
      <c r="C253" t="s">
        <v>459</v>
      </c>
      <c r="D253" s="138">
        <v>2540000</v>
      </c>
      <c r="E253" t="s">
        <v>452</v>
      </c>
      <c r="F253" s="20" t="s">
        <v>453</v>
      </c>
      <c r="G253" s="8" t="str">
        <f t="shared" si="6"/>
        <v>MCREYNOLDS KYLE</v>
      </c>
      <c r="H253" s="20" t="str">
        <f t="shared" si="7"/>
        <v>4064</v>
      </c>
    </row>
    <row r="254" spans="1:8" x14ac:dyDescent="0.25">
      <c r="A254" s="8">
        <v>43012.935300925928</v>
      </c>
      <c r="B254" t="s">
        <v>443</v>
      </c>
      <c r="C254" t="s">
        <v>460</v>
      </c>
      <c r="D254" s="138">
        <v>3280000</v>
      </c>
      <c r="E254" t="s">
        <v>433</v>
      </c>
      <c r="F254" s="20" t="s">
        <v>434</v>
      </c>
      <c r="G254" s="8" t="str">
        <f t="shared" si="6"/>
        <v>BIRKHOLZ NADINE</v>
      </c>
      <c r="H254" s="20" t="str">
        <f t="shared" si="7"/>
        <v>4027</v>
      </c>
    </row>
    <row r="255" spans="1:8" x14ac:dyDescent="0.25">
      <c r="A255" s="8">
        <v>43012.954224537039</v>
      </c>
      <c r="B255" t="s">
        <v>447</v>
      </c>
      <c r="C255" t="s">
        <v>461</v>
      </c>
      <c r="D255" s="138">
        <v>890000</v>
      </c>
      <c r="E255" t="s">
        <v>359</v>
      </c>
      <c r="F255" s="20" t="s">
        <v>360</v>
      </c>
      <c r="G255" s="8" t="str">
        <f t="shared" si="6"/>
        <v>LOZA FIDEL</v>
      </c>
      <c r="H255" s="20" t="str">
        <f t="shared" si="7"/>
        <v>4065</v>
      </c>
    </row>
    <row r="256" spans="1:8" x14ac:dyDescent="0.25">
      <c r="A256" s="8">
        <v>43012.955509259256</v>
      </c>
      <c r="B256" t="s">
        <v>393</v>
      </c>
      <c r="C256" t="s">
        <v>462</v>
      </c>
      <c r="D256" s="138">
        <v>3310000</v>
      </c>
      <c r="E256" t="s">
        <v>390</v>
      </c>
      <c r="F256" s="20" t="s">
        <v>391</v>
      </c>
      <c r="G256" s="8" t="str">
        <f t="shared" si="6"/>
        <v>ANDERS STEVEN</v>
      </c>
      <c r="H256" s="20" t="str">
        <f t="shared" si="7"/>
        <v>4050</v>
      </c>
    </row>
    <row r="257" spans="1:8" x14ac:dyDescent="0.25">
      <c r="A257" s="8">
        <v>43012.963553240741</v>
      </c>
      <c r="B257" t="s">
        <v>385</v>
      </c>
      <c r="C257" t="s">
        <v>449</v>
      </c>
      <c r="D257" s="138">
        <v>2680000</v>
      </c>
      <c r="E257" t="s">
        <v>365</v>
      </c>
      <c r="F257" s="20" t="s">
        <v>366</v>
      </c>
      <c r="G257" s="8" t="str">
        <f t="shared" si="6"/>
        <v>DUNCAN SHEILA</v>
      </c>
      <c r="H257" s="20" t="str">
        <f t="shared" si="7"/>
        <v>4040</v>
      </c>
    </row>
    <row r="258" spans="1:8" x14ac:dyDescent="0.25">
      <c r="A258" s="8">
        <v>43012.963807870372</v>
      </c>
      <c r="B258" t="s">
        <v>444</v>
      </c>
      <c r="C258" t="s">
        <v>463</v>
      </c>
      <c r="D258" s="138">
        <v>2000000</v>
      </c>
      <c r="E258" t="s">
        <v>373</v>
      </c>
      <c r="F258" s="20" t="s">
        <v>362</v>
      </c>
      <c r="G258" s="8" t="str">
        <f t="shared" si="6"/>
        <v>STAMBAUGH JAMES</v>
      </c>
      <c r="H258" s="20" t="str">
        <f t="shared" si="7"/>
        <v>4028</v>
      </c>
    </row>
    <row r="259" spans="1:8" x14ac:dyDescent="0.25">
      <c r="A259" s="8">
        <v>43012.973449074074</v>
      </c>
      <c r="B259" t="s">
        <v>386</v>
      </c>
      <c r="C259" t="s">
        <v>464</v>
      </c>
      <c r="D259" s="138">
        <v>2480000</v>
      </c>
      <c r="E259" t="s">
        <v>465</v>
      </c>
      <c r="F259" s="20" t="s">
        <v>466</v>
      </c>
      <c r="G259" s="8" t="str">
        <f t="shared" ref="G259:G273" si="8">E259&amp;" "&amp;F259</f>
        <v>WHITED DUSTIN</v>
      </c>
      <c r="H259" s="20" t="str">
        <f t="shared" ref="H259:H273" si="9">MID(B259,13,4)</f>
        <v>4063</v>
      </c>
    </row>
    <row r="260" spans="1:8" x14ac:dyDescent="0.25">
      <c r="A260" s="8">
        <v>43012.975381944445</v>
      </c>
      <c r="B260" t="s">
        <v>443</v>
      </c>
      <c r="C260" t="s">
        <v>467</v>
      </c>
      <c r="D260" s="138">
        <v>2000000</v>
      </c>
      <c r="E260" t="s">
        <v>373</v>
      </c>
      <c r="F260" s="20" t="s">
        <v>362</v>
      </c>
      <c r="G260" s="8" t="str">
        <f t="shared" si="8"/>
        <v>STAMBAUGH JAMES</v>
      </c>
      <c r="H260" s="20" t="str">
        <f t="shared" si="9"/>
        <v>4027</v>
      </c>
    </row>
    <row r="261" spans="1:8" x14ac:dyDescent="0.25">
      <c r="A261" s="8">
        <v>43012.989398148151</v>
      </c>
      <c r="B261" t="s">
        <v>442</v>
      </c>
      <c r="C261" t="s">
        <v>468</v>
      </c>
      <c r="D261" s="138">
        <v>890000</v>
      </c>
      <c r="E261" t="s">
        <v>359</v>
      </c>
      <c r="F261" s="20" t="s">
        <v>360</v>
      </c>
      <c r="G261" s="8" t="str">
        <f t="shared" si="8"/>
        <v>LOZA FIDEL</v>
      </c>
      <c r="H261" s="20" t="str">
        <f t="shared" si="9"/>
        <v>4066</v>
      </c>
    </row>
    <row r="262" spans="1:8" x14ac:dyDescent="0.25">
      <c r="A262" s="8">
        <v>43012.995092592595</v>
      </c>
      <c r="B262" t="s">
        <v>432</v>
      </c>
      <c r="C262" t="s">
        <v>469</v>
      </c>
      <c r="D262" s="138">
        <v>3310000</v>
      </c>
      <c r="E262" t="s">
        <v>390</v>
      </c>
      <c r="F262" s="20" t="s">
        <v>391</v>
      </c>
      <c r="G262" s="8" t="str">
        <f t="shared" si="8"/>
        <v>ANDERS STEVEN</v>
      </c>
      <c r="H262" s="20" t="str">
        <f t="shared" si="9"/>
        <v>4049</v>
      </c>
    </row>
    <row r="263" spans="1:8" x14ac:dyDescent="0.25">
      <c r="A263" s="8">
        <v>43013.006921296299</v>
      </c>
      <c r="B263" t="s">
        <v>384</v>
      </c>
      <c r="C263" t="s">
        <v>450</v>
      </c>
      <c r="D263" s="138">
        <v>2680000</v>
      </c>
      <c r="E263" t="s">
        <v>365</v>
      </c>
      <c r="F263" s="20" t="s">
        <v>366</v>
      </c>
      <c r="G263" s="8" t="str">
        <f t="shared" si="8"/>
        <v>DUNCAN SHEILA</v>
      </c>
      <c r="H263" s="20" t="str">
        <f t="shared" si="9"/>
        <v>4039</v>
      </c>
    </row>
    <row r="264" spans="1:8" x14ac:dyDescent="0.25">
      <c r="A264" s="8">
        <v>43013.015439814815</v>
      </c>
      <c r="B264" t="s">
        <v>387</v>
      </c>
      <c r="C264" t="s">
        <v>470</v>
      </c>
      <c r="D264" s="138">
        <v>2480000</v>
      </c>
      <c r="E264" t="s">
        <v>465</v>
      </c>
      <c r="F264" s="20" t="s">
        <v>466</v>
      </c>
      <c r="G264" s="8" t="str">
        <f t="shared" si="8"/>
        <v>WHITED DUSTIN</v>
      </c>
      <c r="H264" s="20" t="str">
        <f t="shared" si="9"/>
        <v>4064</v>
      </c>
    </row>
    <row r="265" spans="1:8" x14ac:dyDescent="0.25">
      <c r="A265" s="8">
        <v>43013.015775462962</v>
      </c>
      <c r="B265" t="s">
        <v>401</v>
      </c>
      <c r="C265" t="s">
        <v>471</v>
      </c>
      <c r="D265" s="138">
        <v>3320000</v>
      </c>
      <c r="E265" t="s">
        <v>368</v>
      </c>
      <c r="F265" s="20" t="s">
        <v>369</v>
      </c>
      <c r="G265" s="8" t="str">
        <f t="shared" si="8"/>
        <v>NICHOLSON WESLEY</v>
      </c>
      <c r="H265" s="20" t="str">
        <f t="shared" si="9"/>
        <v>4056</v>
      </c>
    </row>
    <row r="266" spans="1:8" x14ac:dyDescent="0.25">
      <c r="A266" s="8">
        <v>43013.027395833335</v>
      </c>
      <c r="B266" t="s">
        <v>393</v>
      </c>
      <c r="C266" t="s">
        <v>472</v>
      </c>
      <c r="D266" s="138">
        <v>3310000</v>
      </c>
      <c r="E266" t="s">
        <v>390</v>
      </c>
      <c r="F266" s="20" t="s">
        <v>391</v>
      </c>
      <c r="G266" s="8" t="str">
        <f t="shared" si="8"/>
        <v>ANDERS STEVEN</v>
      </c>
      <c r="H266" s="20" t="str">
        <f t="shared" si="9"/>
        <v>4050</v>
      </c>
    </row>
    <row r="267" spans="1:8" x14ac:dyDescent="0.25">
      <c r="A267" s="8">
        <v>43013.038958333331</v>
      </c>
      <c r="B267" t="s">
        <v>447</v>
      </c>
      <c r="C267" t="s">
        <v>473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385</v>
      </c>
      <c r="C268" t="s">
        <v>474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386</v>
      </c>
      <c r="C269" t="s">
        <v>475</v>
      </c>
      <c r="D269" s="138">
        <v>2540000</v>
      </c>
      <c r="E269" t="s">
        <v>452</v>
      </c>
      <c r="F269" s="20" t="s">
        <v>453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442</v>
      </c>
      <c r="C270" t="s">
        <v>451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387</v>
      </c>
      <c r="C271" t="s">
        <v>476</v>
      </c>
      <c r="D271" s="138">
        <v>2540000</v>
      </c>
      <c r="E271" t="s">
        <v>452</v>
      </c>
      <c r="F271" s="20" t="s">
        <v>453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400</v>
      </c>
      <c r="C272" t="s">
        <v>477</v>
      </c>
      <c r="D272" s="138">
        <v>900000</v>
      </c>
      <c r="E272" t="s">
        <v>388</v>
      </c>
      <c r="F272" s="20" t="s">
        <v>389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400</v>
      </c>
      <c r="C273" t="s">
        <v>477</v>
      </c>
      <c r="D273" s="138">
        <v>900000</v>
      </c>
      <c r="E273" t="s">
        <v>388</v>
      </c>
      <c r="F273" s="20" t="s">
        <v>389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399</v>
      </c>
      <c r="C274" t="s">
        <v>478</v>
      </c>
      <c r="D274" s="138">
        <v>1830000</v>
      </c>
      <c r="E274" t="s">
        <v>378</v>
      </c>
      <c r="F274" s="20" t="s">
        <v>379</v>
      </c>
    </row>
    <row r="275" spans="1:8" x14ac:dyDescent="0.25">
      <c r="A275" s="8">
        <v>43013.112997685188</v>
      </c>
      <c r="B275" t="s">
        <v>399</v>
      </c>
      <c r="C275" t="s">
        <v>478</v>
      </c>
      <c r="D275" s="138">
        <v>1830000</v>
      </c>
      <c r="E275" t="s">
        <v>378</v>
      </c>
      <c r="F275" s="20" t="s">
        <v>379</v>
      </c>
    </row>
    <row r="276" spans="1:8" x14ac:dyDescent="0.25">
      <c r="A276" s="8">
        <v>43013.113483796296</v>
      </c>
      <c r="B276" t="s">
        <v>399</v>
      </c>
      <c r="C276" t="s">
        <v>478</v>
      </c>
      <c r="D276" s="138">
        <v>1830000</v>
      </c>
      <c r="E276" t="s">
        <v>378</v>
      </c>
      <c r="F276" s="20" t="s">
        <v>379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25">
      <c r="A2" s="196">
        <v>30.12</v>
      </c>
      <c r="B2" s="196">
        <v>0</v>
      </c>
      <c r="C2" s="196">
        <v>27.35</v>
      </c>
      <c r="D2" s="8">
        <v>43018</v>
      </c>
      <c r="E2" s="196">
        <v>0.89</v>
      </c>
      <c r="F2" s="196" t="s">
        <v>435</v>
      </c>
      <c r="G2" s="196">
        <v>293.91000000000003</v>
      </c>
      <c r="H2" s="196">
        <v>0</v>
      </c>
      <c r="I2" s="196">
        <v>0</v>
      </c>
      <c r="J2" s="196">
        <v>1029.57</v>
      </c>
      <c r="K2" s="196" t="s">
        <v>436</v>
      </c>
      <c r="L2" s="196">
        <v>30.12</v>
      </c>
      <c r="M2" s="196">
        <v>1507615200</v>
      </c>
      <c r="N2" s="196">
        <v>0</v>
      </c>
      <c r="O2" s="196">
        <v>3.83</v>
      </c>
      <c r="P2" s="196">
        <v>193</v>
      </c>
      <c r="Q2" s="196">
        <v>2.98</v>
      </c>
      <c r="R2" s="196">
        <v>1.37</v>
      </c>
      <c r="S2"/>
      <c r="T2"/>
    </row>
    <row r="3" spans="1:20" x14ac:dyDescent="0.25">
      <c r="A3" s="196">
        <v>29.16</v>
      </c>
      <c r="B3" s="196">
        <v>0</v>
      </c>
      <c r="C3" s="196">
        <v>26.51</v>
      </c>
      <c r="D3" s="8">
        <v>43018.041666666664</v>
      </c>
      <c r="E3" s="196">
        <v>0.9</v>
      </c>
      <c r="F3" s="196" t="s">
        <v>435</v>
      </c>
      <c r="G3" s="196">
        <v>295.7</v>
      </c>
      <c r="H3" s="196">
        <v>0</v>
      </c>
      <c r="I3" s="196">
        <v>0</v>
      </c>
      <c r="J3" s="196">
        <v>1029.78</v>
      </c>
      <c r="K3" s="196" t="s">
        <v>436</v>
      </c>
      <c r="L3" s="196">
        <v>29.16</v>
      </c>
      <c r="M3" s="196">
        <v>1507618800</v>
      </c>
      <c r="N3" s="196">
        <v>0</v>
      </c>
      <c r="O3" s="196">
        <v>3.67</v>
      </c>
      <c r="P3" s="196">
        <v>188</v>
      </c>
      <c r="Q3" s="196">
        <v>2.37</v>
      </c>
      <c r="R3" s="196">
        <v>0.92</v>
      </c>
      <c r="S3"/>
      <c r="T3"/>
    </row>
    <row r="4" spans="1:20" x14ac:dyDescent="0.25">
      <c r="A4" s="196">
        <v>28.57</v>
      </c>
      <c r="B4" s="196">
        <v>0</v>
      </c>
      <c r="C4" s="196">
        <v>25.94</v>
      </c>
      <c r="D4" s="8">
        <v>43018.083333333336</v>
      </c>
      <c r="E4" s="196">
        <v>0.9</v>
      </c>
      <c r="F4" s="196" t="s">
        <v>435</v>
      </c>
      <c r="G4" s="196">
        <v>298.92</v>
      </c>
      <c r="H4" s="196">
        <v>0</v>
      </c>
      <c r="I4" s="196">
        <v>0</v>
      </c>
      <c r="J4" s="196">
        <v>1029.6099999999999</v>
      </c>
      <c r="K4" s="196" t="s">
        <v>436</v>
      </c>
      <c r="L4" s="196">
        <v>28.57</v>
      </c>
      <c r="M4" s="196">
        <v>1507622400</v>
      </c>
      <c r="N4" s="196">
        <v>0</v>
      </c>
      <c r="O4" s="196">
        <v>3.65</v>
      </c>
      <c r="P4" s="196">
        <v>187</v>
      </c>
      <c r="Q4" s="196">
        <v>2.6</v>
      </c>
      <c r="R4" s="196">
        <v>1.22</v>
      </c>
      <c r="S4"/>
      <c r="T4"/>
    </row>
    <row r="5" spans="1:20" x14ac:dyDescent="0.25">
      <c r="A5" s="196">
        <v>28.22</v>
      </c>
      <c r="B5" s="196">
        <v>0</v>
      </c>
      <c r="C5" s="196">
        <v>25.37</v>
      </c>
      <c r="D5" s="8">
        <v>43018.125</v>
      </c>
      <c r="E5" s="196">
        <v>0.89</v>
      </c>
      <c r="F5" s="196" t="s">
        <v>435</v>
      </c>
      <c r="G5" s="196">
        <v>301.11</v>
      </c>
      <c r="H5" s="196">
        <v>0</v>
      </c>
      <c r="I5" s="196">
        <v>0</v>
      </c>
      <c r="J5" s="196">
        <v>1029.77</v>
      </c>
      <c r="K5" s="196" t="s">
        <v>436</v>
      </c>
      <c r="L5" s="196">
        <v>28.22</v>
      </c>
      <c r="M5" s="196">
        <v>1507626000</v>
      </c>
      <c r="N5" s="196">
        <v>0</v>
      </c>
      <c r="O5" s="196">
        <v>3.47</v>
      </c>
      <c r="P5" s="196">
        <v>189</v>
      </c>
      <c r="Q5" s="196">
        <v>2.2400000000000002</v>
      </c>
      <c r="R5" s="196">
        <v>1.07</v>
      </c>
      <c r="S5"/>
      <c r="T5"/>
    </row>
    <row r="6" spans="1:20" x14ac:dyDescent="0.25">
      <c r="A6" s="196">
        <v>27.78</v>
      </c>
      <c r="B6" s="196">
        <v>0</v>
      </c>
      <c r="C6" s="196">
        <v>24.92</v>
      </c>
      <c r="D6" s="8">
        <v>43018.166666666664</v>
      </c>
      <c r="E6" s="196">
        <v>0.89</v>
      </c>
      <c r="F6" s="196" t="s">
        <v>435</v>
      </c>
      <c r="G6" s="196">
        <v>301</v>
      </c>
      <c r="H6" s="196">
        <v>0</v>
      </c>
      <c r="I6" s="196">
        <v>0</v>
      </c>
      <c r="J6" s="196">
        <v>1029.1600000000001</v>
      </c>
      <c r="K6" s="196" t="s">
        <v>436</v>
      </c>
      <c r="L6" s="196">
        <v>27.78</v>
      </c>
      <c r="M6" s="196">
        <v>1507629600</v>
      </c>
      <c r="N6" s="196">
        <v>0</v>
      </c>
      <c r="O6" s="196">
        <v>3.65</v>
      </c>
      <c r="P6" s="196">
        <v>187</v>
      </c>
      <c r="Q6" s="196">
        <v>2.1800000000000002</v>
      </c>
      <c r="R6" s="196">
        <v>1.02</v>
      </c>
      <c r="S6"/>
      <c r="T6"/>
    </row>
    <row r="7" spans="1:20" x14ac:dyDescent="0.25">
      <c r="A7" s="196">
        <v>27.45</v>
      </c>
      <c r="B7" s="196">
        <v>0</v>
      </c>
      <c r="C7" s="196">
        <v>24.63</v>
      </c>
      <c r="D7" s="8">
        <v>43018.208333333336</v>
      </c>
      <c r="E7" s="196">
        <v>0.89</v>
      </c>
      <c r="F7" s="196" t="s">
        <v>435</v>
      </c>
      <c r="G7" s="196">
        <v>299.68</v>
      </c>
      <c r="H7" s="196">
        <v>0</v>
      </c>
      <c r="I7" s="196">
        <v>0</v>
      </c>
      <c r="J7" s="196">
        <v>1029.19</v>
      </c>
      <c r="K7" s="196" t="s">
        <v>436</v>
      </c>
      <c r="L7" s="196">
        <v>27.45</v>
      </c>
      <c r="M7" s="196">
        <v>1507633200</v>
      </c>
      <c r="N7" s="196">
        <v>0</v>
      </c>
      <c r="O7" s="196">
        <v>3.47</v>
      </c>
      <c r="P7" s="196">
        <v>192</v>
      </c>
      <c r="Q7" s="196">
        <v>2.29</v>
      </c>
      <c r="R7" s="196">
        <v>1.05</v>
      </c>
      <c r="S7"/>
      <c r="T7"/>
    </row>
    <row r="8" spans="1:20" x14ac:dyDescent="0.25">
      <c r="A8" s="196">
        <v>27.1</v>
      </c>
      <c r="B8" s="196">
        <v>0</v>
      </c>
      <c r="C8" s="196">
        <v>24.23</v>
      </c>
      <c r="D8" s="8">
        <v>43018.25</v>
      </c>
      <c r="E8" s="196">
        <v>0.89</v>
      </c>
      <c r="F8" s="196" t="s">
        <v>435</v>
      </c>
      <c r="G8" s="196">
        <v>296.69</v>
      </c>
      <c r="H8" s="196">
        <v>0</v>
      </c>
      <c r="I8" s="196">
        <v>0</v>
      </c>
      <c r="J8" s="196">
        <v>1029.01</v>
      </c>
      <c r="K8" s="196" t="s">
        <v>436</v>
      </c>
      <c r="L8" s="196">
        <v>27.1</v>
      </c>
      <c r="M8" s="196">
        <v>1507636800</v>
      </c>
      <c r="N8" s="196">
        <v>0</v>
      </c>
      <c r="O8" s="196">
        <v>3.06</v>
      </c>
      <c r="P8" s="196">
        <v>203</v>
      </c>
      <c r="Q8" s="196">
        <v>2.31</v>
      </c>
      <c r="R8" s="196">
        <v>1.08</v>
      </c>
      <c r="S8"/>
      <c r="T8"/>
    </row>
    <row r="9" spans="1:20" x14ac:dyDescent="0.25">
      <c r="A9" s="196">
        <v>27.45</v>
      </c>
      <c r="B9" s="196">
        <v>0</v>
      </c>
      <c r="C9" s="196">
        <v>24.04</v>
      </c>
      <c r="D9" s="8">
        <v>43018.291666666664</v>
      </c>
      <c r="E9" s="196">
        <v>0.87</v>
      </c>
      <c r="F9" s="196" t="s">
        <v>435</v>
      </c>
      <c r="G9" s="196">
        <v>295.24</v>
      </c>
      <c r="H9" s="196">
        <v>0</v>
      </c>
      <c r="I9" s="196">
        <v>0</v>
      </c>
      <c r="J9" s="196">
        <v>1028.71</v>
      </c>
      <c r="K9" s="196" t="s">
        <v>436</v>
      </c>
      <c r="L9" s="196">
        <v>27.45</v>
      </c>
      <c r="M9" s="196">
        <v>1507640400</v>
      </c>
      <c r="N9" s="196">
        <v>0</v>
      </c>
      <c r="O9" s="196">
        <v>3.41</v>
      </c>
      <c r="P9" s="196">
        <v>192</v>
      </c>
      <c r="Q9" s="196">
        <v>2.96</v>
      </c>
      <c r="R9" s="196">
        <v>1.35</v>
      </c>
      <c r="S9"/>
      <c r="T9"/>
    </row>
    <row r="10" spans="1:20" x14ac:dyDescent="0.25">
      <c r="A10" s="196">
        <v>28.99</v>
      </c>
      <c r="B10" s="196">
        <v>0</v>
      </c>
      <c r="C10" s="196">
        <v>25.36</v>
      </c>
      <c r="D10" s="8">
        <v>43018.333333333336</v>
      </c>
      <c r="E10" s="196">
        <v>0.86</v>
      </c>
      <c r="F10" s="196" t="s">
        <v>850</v>
      </c>
      <c r="G10" s="196">
        <v>293.56</v>
      </c>
      <c r="H10" s="196">
        <v>0</v>
      </c>
      <c r="I10" s="196">
        <v>0</v>
      </c>
      <c r="J10" s="196">
        <v>1028.28</v>
      </c>
      <c r="K10" s="196" t="s">
        <v>436</v>
      </c>
      <c r="L10" s="196">
        <v>28.99</v>
      </c>
      <c r="M10" s="196">
        <v>1507644000</v>
      </c>
      <c r="N10" s="196">
        <v>1</v>
      </c>
      <c r="O10" s="196">
        <v>4.9000000000000004</v>
      </c>
      <c r="P10" s="196">
        <v>191</v>
      </c>
      <c r="Q10" s="196">
        <v>3.45</v>
      </c>
      <c r="R10" s="196">
        <v>1.82</v>
      </c>
      <c r="S10"/>
      <c r="T10"/>
    </row>
    <row r="11" spans="1:20" x14ac:dyDescent="0.25">
      <c r="A11" s="196">
        <v>34.119999999999997</v>
      </c>
      <c r="B11" s="196">
        <v>0.02</v>
      </c>
      <c r="C11" s="196">
        <v>28.8</v>
      </c>
      <c r="D11" s="8">
        <v>43018.375</v>
      </c>
      <c r="E11" s="196">
        <v>0.81</v>
      </c>
      <c r="F11" s="196" t="s">
        <v>850</v>
      </c>
      <c r="G11" s="196">
        <v>292.32</v>
      </c>
      <c r="H11" s="196">
        <v>0</v>
      </c>
      <c r="I11" s="196">
        <v>0</v>
      </c>
      <c r="J11" s="196">
        <v>1028.74</v>
      </c>
      <c r="K11" s="196" t="s">
        <v>436</v>
      </c>
      <c r="L11" s="196">
        <v>34.119999999999997</v>
      </c>
      <c r="M11" s="196">
        <v>1507647600</v>
      </c>
      <c r="N11" s="196">
        <v>1</v>
      </c>
      <c r="O11" s="196">
        <v>4.9000000000000004</v>
      </c>
      <c r="P11" s="196">
        <v>196</v>
      </c>
      <c r="Q11" s="196">
        <v>4.24</v>
      </c>
      <c r="R11" s="196">
        <v>1.95</v>
      </c>
      <c r="S11"/>
      <c r="T11"/>
    </row>
    <row r="12" spans="1:20" x14ac:dyDescent="0.25">
      <c r="A12" s="196">
        <v>39.630000000000003</v>
      </c>
      <c r="B12" s="196">
        <v>0.04</v>
      </c>
      <c r="C12" s="196">
        <v>30.66</v>
      </c>
      <c r="D12" s="8">
        <v>43018.416666666664</v>
      </c>
      <c r="E12" s="196">
        <v>0.7</v>
      </c>
      <c r="F12" s="196" t="s">
        <v>850</v>
      </c>
      <c r="G12" s="196">
        <v>291.42</v>
      </c>
      <c r="H12" s="196">
        <v>0</v>
      </c>
      <c r="I12" s="196">
        <v>0</v>
      </c>
      <c r="J12" s="196">
        <v>1027.5899999999999</v>
      </c>
      <c r="K12" s="196" t="s">
        <v>436</v>
      </c>
      <c r="L12" s="196">
        <v>39.630000000000003</v>
      </c>
      <c r="M12" s="196">
        <v>1507651200</v>
      </c>
      <c r="N12" s="196">
        <v>2</v>
      </c>
      <c r="O12" s="196">
        <v>4.66</v>
      </c>
      <c r="P12" s="196">
        <v>192</v>
      </c>
      <c r="Q12" s="196">
        <v>5.05</v>
      </c>
      <c r="R12" s="196">
        <v>2.25</v>
      </c>
      <c r="S12"/>
      <c r="T12"/>
    </row>
    <row r="13" spans="1:20" x14ac:dyDescent="0.25">
      <c r="A13" s="196">
        <v>44.21</v>
      </c>
      <c r="B13" s="196">
        <v>0.08</v>
      </c>
      <c r="C13" s="196">
        <v>31.34</v>
      </c>
      <c r="D13" s="8">
        <v>43018.458333333336</v>
      </c>
      <c r="E13" s="196">
        <v>0.6</v>
      </c>
      <c r="F13" s="196" t="s">
        <v>850</v>
      </c>
      <c r="G13" s="196">
        <v>290.74</v>
      </c>
      <c r="H13" s="196">
        <v>0</v>
      </c>
      <c r="I13" s="196">
        <v>0</v>
      </c>
      <c r="J13" s="196">
        <v>1026.03</v>
      </c>
      <c r="K13" s="196" t="s">
        <v>436</v>
      </c>
      <c r="L13" s="196">
        <v>44.21</v>
      </c>
      <c r="M13" s="196">
        <v>1507654800</v>
      </c>
      <c r="N13" s="196">
        <v>3</v>
      </c>
      <c r="O13" s="196">
        <v>4.9000000000000004</v>
      </c>
      <c r="P13" s="196">
        <v>175</v>
      </c>
      <c r="Q13" s="196">
        <v>5.49</v>
      </c>
      <c r="R13" s="196">
        <v>2.0699999999999998</v>
      </c>
      <c r="S13"/>
      <c r="T13"/>
    </row>
    <row r="14" spans="1:20" x14ac:dyDescent="0.25">
      <c r="A14" s="196">
        <v>48.26</v>
      </c>
      <c r="B14" s="196">
        <v>0.06</v>
      </c>
      <c r="C14" s="196">
        <v>31.37</v>
      </c>
      <c r="D14" s="8">
        <v>43018.5</v>
      </c>
      <c r="E14" s="196">
        <v>0.52</v>
      </c>
      <c r="F14" s="196" t="s">
        <v>850</v>
      </c>
      <c r="G14" s="196">
        <v>286.86</v>
      </c>
      <c r="H14" s="196">
        <v>0</v>
      </c>
      <c r="I14" s="196">
        <v>0</v>
      </c>
      <c r="J14" s="196">
        <v>1025.29</v>
      </c>
      <c r="K14" s="196" t="s">
        <v>436</v>
      </c>
      <c r="L14" s="196">
        <v>48.26</v>
      </c>
      <c r="M14" s="196">
        <v>1507658400</v>
      </c>
      <c r="N14" s="196">
        <v>5</v>
      </c>
      <c r="O14" s="196">
        <v>4.49</v>
      </c>
      <c r="P14" s="196">
        <v>166</v>
      </c>
      <c r="Q14" s="196">
        <v>6.17</v>
      </c>
      <c r="R14" s="196">
        <v>2.33</v>
      </c>
      <c r="S14"/>
      <c r="T14"/>
    </row>
    <row r="15" spans="1:20" x14ac:dyDescent="0.25">
      <c r="A15" s="196">
        <v>51.91</v>
      </c>
      <c r="B15" s="196">
        <v>0.09</v>
      </c>
      <c r="C15" s="196">
        <v>30.74</v>
      </c>
      <c r="D15" s="8">
        <v>43018.541666666664</v>
      </c>
      <c r="E15" s="196">
        <v>0.44</v>
      </c>
      <c r="F15" s="196" t="s">
        <v>850</v>
      </c>
      <c r="G15" s="196">
        <v>286.86</v>
      </c>
      <c r="H15" s="196">
        <v>0</v>
      </c>
      <c r="I15" s="196">
        <v>0</v>
      </c>
      <c r="J15" s="196">
        <v>1024.17</v>
      </c>
      <c r="K15" s="196" t="s">
        <v>436</v>
      </c>
      <c r="L15" s="196">
        <v>51.91</v>
      </c>
      <c r="M15" s="196">
        <v>1507662000</v>
      </c>
      <c r="N15" s="196">
        <v>5</v>
      </c>
      <c r="O15" s="196">
        <v>4.9000000000000004</v>
      </c>
      <c r="P15" s="196">
        <v>146</v>
      </c>
      <c r="Q15" s="196">
        <v>7.08</v>
      </c>
      <c r="R15" s="196">
        <v>2.76</v>
      </c>
      <c r="S15"/>
      <c r="T15"/>
    </row>
    <row r="16" spans="1:20" x14ac:dyDescent="0.25">
      <c r="A16" s="196">
        <v>54.28</v>
      </c>
      <c r="B16" s="196">
        <v>0.06</v>
      </c>
      <c r="C16" s="196">
        <v>30.03</v>
      </c>
      <c r="D16" s="8">
        <v>43018.583333333336</v>
      </c>
      <c r="E16" s="196">
        <v>0.39</v>
      </c>
      <c r="F16" s="196" t="s">
        <v>850</v>
      </c>
      <c r="G16" s="196">
        <v>287.55</v>
      </c>
      <c r="H16" s="196">
        <v>0</v>
      </c>
      <c r="I16" s="196">
        <v>0</v>
      </c>
      <c r="J16" s="196">
        <v>1022.2</v>
      </c>
      <c r="K16" s="196" t="s">
        <v>436</v>
      </c>
      <c r="L16" s="196">
        <v>54.28</v>
      </c>
      <c r="M16" s="196">
        <v>1507665600</v>
      </c>
      <c r="N16" s="196">
        <v>4</v>
      </c>
      <c r="O16" s="196">
        <v>4.9000000000000004</v>
      </c>
      <c r="P16" s="196">
        <v>142</v>
      </c>
      <c r="Q16" s="196">
        <v>6.46</v>
      </c>
      <c r="R16" s="196">
        <v>2.5099999999999998</v>
      </c>
      <c r="S16"/>
      <c r="T16"/>
    </row>
    <row r="17" spans="1:20" x14ac:dyDescent="0.25">
      <c r="A17" s="196">
        <v>56.48</v>
      </c>
      <c r="B17" s="196">
        <v>0.02</v>
      </c>
      <c r="C17" s="196">
        <v>29.79</v>
      </c>
      <c r="D17" s="8">
        <v>43018.625</v>
      </c>
      <c r="E17" s="196">
        <v>0.36</v>
      </c>
      <c r="F17" s="196" t="s">
        <v>850</v>
      </c>
      <c r="G17" s="196">
        <v>288.23</v>
      </c>
      <c r="H17" s="196">
        <v>0</v>
      </c>
      <c r="I17" s="196">
        <v>0</v>
      </c>
      <c r="J17" s="196">
        <v>1021</v>
      </c>
      <c r="K17" s="196" t="s">
        <v>436</v>
      </c>
      <c r="L17" s="196">
        <v>56.48</v>
      </c>
      <c r="M17" s="196">
        <v>1507669200</v>
      </c>
      <c r="N17" s="196">
        <v>3</v>
      </c>
      <c r="O17" s="196">
        <v>5.0599999999999996</v>
      </c>
      <c r="P17" s="196">
        <v>132</v>
      </c>
      <c r="Q17" s="196">
        <v>6.05</v>
      </c>
      <c r="R17" s="196">
        <v>2.0699999999999998</v>
      </c>
      <c r="S17"/>
      <c r="T17"/>
    </row>
    <row r="18" spans="1:20" x14ac:dyDescent="0.25">
      <c r="A18" s="196">
        <v>58.24</v>
      </c>
      <c r="B18" s="196">
        <v>0.02</v>
      </c>
      <c r="C18" s="196">
        <v>30</v>
      </c>
      <c r="D18" s="8">
        <v>43018.666666666664</v>
      </c>
      <c r="E18" s="196">
        <v>0.34</v>
      </c>
      <c r="F18" s="196" t="s">
        <v>850</v>
      </c>
      <c r="G18" s="196">
        <v>288.45999999999998</v>
      </c>
      <c r="H18" s="196">
        <v>0</v>
      </c>
      <c r="I18" s="196">
        <v>0</v>
      </c>
      <c r="J18" s="196">
        <v>1020.07</v>
      </c>
      <c r="K18" s="196" t="s">
        <v>436</v>
      </c>
      <c r="L18" s="196">
        <v>58.24</v>
      </c>
      <c r="M18" s="196">
        <v>1507672800</v>
      </c>
      <c r="N18" s="196">
        <v>2</v>
      </c>
      <c r="O18" s="196">
        <v>4.9000000000000004</v>
      </c>
      <c r="P18" s="196">
        <v>108</v>
      </c>
      <c r="Q18" s="196">
        <v>5.61</v>
      </c>
      <c r="R18" s="196">
        <v>1.64</v>
      </c>
      <c r="S18"/>
      <c r="T18"/>
    </row>
    <row r="19" spans="1:20" x14ac:dyDescent="0.25">
      <c r="A19" s="196">
        <v>58.57</v>
      </c>
      <c r="B19" s="196">
        <v>0.02</v>
      </c>
      <c r="C19" s="196">
        <v>30.42</v>
      </c>
      <c r="D19" s="8">
        <v>43018.708333333336</v>
      </c>
      <c r="E19" s="196">
        <v>0.34</v>
      </c>
      <c r="F19" s="196" t="s">
        <v>850</v>
      </c>
      <c r="G19" s="196">
        <v>288.8</v>
      </c>
      <c r="H19" s="196">
        <v>0</v>
      </c>
      <c r="I19" s="196">
        <v>0</v>
      </c>
      <c r="J19" s="196">
        <v>1019.23</v>
      </c>
      <c r="K19" s="196" t="s">
        <v>436</v>
      </c>
      <c r="L19" s="196">
        <v>58.57</v>
      </c>
      <c r="M19" s="196">
        <v>1507676400</v>
      </c>
      <c r="N19" s="196">
        <v>1</v>
      </c>
      <c r="O19" s="196">
        <v>4.9000000000000004</v>
      </c>
      <c r="P19" s="196">
        <v>91</v>
      </c>
      <c r="Q19" s="196">
        <v>4.4000000000000004</v>
      </c>
      <c r="R19" s="196">
        <v>0.72</v>
      </c>
      <c r="S19"/>
      <c r="T19"/>
    </row>
    <row r="20" spans="1:20" x14ac:dyDescent="0.25">
      <c r="A20" s="196">
        <v>56.52</v>
      </c>
      <c r="B20" s="196">
        <v>0.02</v>
      </c>
      <c r="C20" s="196">
        <v>31.58</v>
      </c>
      <c r="D20" s="8">
        <v>43018.75</v>
      </c>
      <c r="E20" s="196">
        <v>0.39</v>
      </c>
      <c r="F20" s="196" t="s">
        <v>850</v>
      </c>
      <c r="G20" s="196">
        <v>286.85000000000002</v>
      </c>
      <c r="H20" s="196">
        <v>0</v>
      </c>
      <c r="I20" s="196">
        <v>0</v>
      </c>
      <c r="J20" s="196">
        <v>1019.22</v>
      </c>
      <c r="K20" s="196" t="s">
        <v>436</v>
      </c>
      <c r="L20" s="196">
        <v>56.52</v>
      </c>
      <c r="M20" s="196">
        <v>1507680000</v>
      </c>
      <c r="N20" s="196">
        <v>0</v>
      </c>
      <c r="O20" s="196">
        <v>4.92</v>
      </c>
      <c r="P20" s="196">
        <v>35</v>
      </c>
      <c r="Q20" s="196">
        <v>3.78</v>
      </c>
      <c r="R20" s="196">
        <v>0.67</v>
      </c>
      <c r="S20"/>
      <c r="T20"/>
    </row>
    <row r="21" spans="1:20" x14ac:dyDescent="0.25">
      <c r="A21" s="196">
        <v>50.42</v>
      </c>
      <c r="B21" s="196">
        <v>0.02</v>
      </c>
      <c r="C21" s="196">
        <v>33.380000000000003</v>
      </c>
      <c r="D21" s="8">
        <v>43018.791666666664</v>
      </c>
      <c r="E21" s="196">
        <v>0.52</v>
      </c>
      <c r="F21" s="196" t="s">
        <v>435</v>
      </c>
      <c r="G21" s="196">
        <v>287.08</v>
      </c>
      <c r="H21" s="196">
        <v>0</v>
      </c>
      <c r="I21" s="196">
        <v>0</v>
      </c>
      <c r="J21" s="196">
        <v>1019.41</v>
      </c>
      <c r="K21" s="196" t="s">
        <v>436</v>
      </c>
      <c r="L21" s="196">
        <v>50.42</v>
      </c>
      <c r="M21" s="196">
        <v>1507683600</v>
      </c>
      <c r="N21" s="196">
        <v>0</v>
      </c>
      <c r="O21" s="196">
        <v>4.7</v>
      </c>
      <c r="P21" s="196">
        <v>34</v>
      </c>
      <c r="Q21" s="196">
        <v>2.89</v>
      </c>
      <c r="R21" s="196">
        <v>0.31</v>
      </c>
      <c r="S21"/>
      <c r="T21"/>
    </row>
    <row r="22" spans="1:20" x14ac:dyDescent="0.25">
      <c r="A22" s="196">
        <v>45.74</v>
      </c>
      <c r="B22" s="196">
        <v>0.02</v>
      </c>
      <c r="C22" s="196">
        <v>33.799999999999997</v>
      </c>
      <c r="D22" s="8">
        <v>43018.833333333336</v>
      </c>
      <c r="E22" s="196">
        <v>0.63</v>
      </c>
      <c r="F22" s="196" t="s">
        <v>435</v>
      </c>
      <c r="G22" s="196">
        <v>287.64999999999998</v>
      </c>
      <c r="H22" s="196">
        <v>0</v>
      </c>
      <c r="I22" s="196">
        <v>0</v>
      </c>
      <c r="J22" s="196">
        <v>1020.08</v>
      </c>
      <c r="K22" s="196" t="s">
        <v>436</v>
      </c>
      <c r="L22" s="196">
        <v>45.74</v>
      </c>
      <c r="M22" s="196">
        <v>1507687200</v>
      </c>
      <c r="N22" s="196">
        <v>0</v>
      </c>
      <c r="O22" s="196">
        <v>5.77</v>
      </c>
      <c r="P22" s="196">
        <v>230</v>
      </c>
      <c r="Q22" s="196">
        <v>2.33</v>
      </c>
      <c r="R22" s="196">
        <v>0.57999999999999996</v>
      </c>
      <c r="S22"/>
      <c r="T22"/>
    </row>
    <row r="23" spans="1:20" x14ac:dyDescent="0.25">
      <c r="A23" s="196">
        <v>43.25</v>
      </c>
      <c r="B23" s="196">
        <v>0.02</v>
      </c>
      <c r="C23" s="196">
        <v>34.090000000000003</v>
      </c>
      <c r="D23" s="8">
        <v>43018.875</v>
      </c>
      <c r="E23" s="196">
        <v>0.7</v>
      </c>
      <c r="F23" s="196" t="s">
        <v>435</v>
      </c>
      <c r="G23" s="196">
        <v>288.23</v>
      </c>
      <c r="H23" s="196">
        <v>0</v>
      </c>
      <c r="I23" s="196">
        <v>0</v>
      </c>
      <c r="J23" s="196">
        <v>1020.11</v>
      </c>
      <c r="K23" s="196" t="s">
        <v>436</v>
      </c>
      <c r="L23" s="196">
        <v>43.25</v>
      </c>
      <c r="M23" s="196">
        <v>1507690800</v>
      </c>
      <c r="N23" s="196">
        <v>0</v>
      </c>
      <c r="O23" s="196">
        <v>3.68</v>
      </c>
      <c r="P23" s="196">
        <v>243</v>
      </c>
      <c r="Q23" s="196">
        <v>2.66</v>
      </c>
      <c r="R23" s="196">
        <v>0.92</v>
      </c>
      <c r="S23"/>
      <c r="T23"/>
    </row>
    <row r="24" spans="1:20" x14ac:dyDescent="0.25">
      <c r="A24" s="196">
        <v>41.59</v>
      </c>
      <c r="B24" s="196">
        <v>0</v>
      </c>
      <c r="C24" s="196">
        <v>34.380000000000003</v>
      </c>
      <c r="D24" s="8">
        <v>43018.916666666664</v>
      </c>
      <c r="E24" s="196">
        <v>0.75</v>
      </c>
      <c r="F24" s="196" t="s">
        <v>435</v>
      </c>
      <c r="G24" s="196">
        <v>288.81</v>
      </c>
      <c r="H24" s="196">
        <v>0</v>
      </c>
      <c r="I24" s="196">
        <v>0</v>
      </c>
      <c r="J24" s="196">
        <v>1019.79</v>
      </c>
      <c r="K24" s="196" t="s">
        <v>436</v>
      </c>
      <c r="L24" s="196">
        <v>41.59</v>
      </c>
      <c r="M24" s="196">
        <v>1507694400</v>
      </c>
      <c r="N24" s="196">
        <v>0</v>
      </c>
      <c r="O24" s="196">
        <v>2.94</v>
      </c>
      <c r="P24" s="196">
        <v>202</v>
      </c>
      <c r="Q24" s="196">
        <v>2.59</v>
      </c>
      <c r="R24" s="196">
        <v>0.93</v>
      </c>
      <c r="S24"/>
      <c r="T24"/>
    </row>
    <row r="25" spans="1:20" x14ac:dyDescent="0.25">
      <c r="A25" s="196">
        <v>40.26</v>
      </c>
      <c r="B25" s="196">
        <v>0</v>
      </c>
      <c r="C25" s="196">
        <v>33.79</v>
      </c>
      <c r="D25" s="8">
        <v>43018.958333333336</v>
      </c>
      <c r="E25" s="196">
        <v>0.77</v>
      </c>
      <c r="F25" s="196" t="s">
        <v>435</v>
      </c>
      <c r="G25" s="196">
        <v>289.5</v>
      </c>
      <c r="H25" s="196">
        <v>0</v>
      </c>
      <c r="I25" s="196">
        <v>0</v>
      </c>
      <c r="J25" s="196">
        <v>1018.85</v>
      </c>
      <c r="K25" s="196" t="s">
        <v>436</v>
      </c>
      <c r="L25" s="196">
        <v>40.26</v>
      </c>
      <c r="M25" s="196">
        <v>1507698000</v>
      </c>
      <c r="N25" s="196">
        <v>0</v>
      </c>
      <c r="O25" s="196">
        <v>3.47</v>
      </c>
      <c r="P25" s="196">
        <v>220</v>
      </c>
      <c r="Q25" s="196">
        <v>2.2599999999999998</v>
      </c>
      <c r="R25" s="196">
        <v>0.91</v>
      </c>
      <c r="S25"/>
      <c r="T25"/>
    </row>
    <row r="26" spans="1:20" x14ac:dyDescent="0.25">
      <c r="A26" s="196">
        <v>38.74</v>
      </c>
      <c r="B26" s="196">
        <v>0</v>
      </c>
      <c r="C26" s="196">
        <v>32.99</v>
      </c>
      <c r="D26" s="8">
        <v>43019</v>
      </c>
      <c r="E26" s="196">
        <v>0.8</v>
      </c>
      <c r="F26" s="196" t="s">
        <v>435</v>
      </c>
      <c r="G26" s="196">
        <v>289.95999999999998</v>
      </c>
      <c r="H26" s="196">
        <v>0</v>
      </c>
      <c r="I26" s="196">
        <v>0</v>
      </c>
      <c r="J26" s="196">
        <v>1018.09</v>
      </c>
      <c r="K26" s="196" t="s">
        <v>436</v>
      </c>
      <c r="L26" s="196">
        <v>38.74</v>
      </c>
      <c r="M26" s="196">
        <v>1507701600</v>
      </c>
      <c r="N26" s="196">
        <v>0</v>
      </c>
      <c r="O26" s="196">
        <v>3.15</v>
      </c>
      <c r="P26" s="196">
        <v>203</v>
      </c>
      <c r="Q26" s="196">
        <v>2.1</v>
      </c>
      <c r="R26" s="196">
        <v>1.1499999999999999</v>
      </c>
      <c r="S26"/>
      <c r="T26"/>
    </row>
    <row r="27" spans="1:20" x14ac:dyDescent="0.25">
      <c r="A27" s="196">
        <v>37.549999999999997</v>
      </c>
      <c r="B27" s="196">
        <v>0</v>
      </c>
      <c r="C27" s="196">
        <v>32.409999999999997</v>
      </c>
      <c r="D27" s="8">
        <v>43019.041666666664</v>
      </c>
      <c r="E27" s="196">
        <v>0.82</v>
      </c>
      <c r="F27" s="196" t="s">
        <v>435</v>
      </c>
      <c r="G27" s="196">
        <v>290.07</v>
      </c>
      <c r="H27" s="196">
        <v>0</v>
      </c>
      <c r="I27" s="196">
        <v>0</v>
      </c>
      <c r="J27" s="196">
        <v>1017.11</v>
      </c>
      <c r="K27" s="196" t="s">
        <v>436</v>
      </c>
      <c r="L27" s="196">
        <v>37.549999999999997</v>
      </c>
      <c r="M27" s="196">
        <v>1507705200</v>
      </c>
      <c r="N27" s="196">
        <v>0</v>
      </c>
      <c r="O27" s="196">
        <v>3.36</v>
      </c>
      <c r="P27" s="196">
        <v>182</v>
      </c>
      <c r="Q27" s="196">
        <v>2.14</v>
      </c>
      <c r="R27" s="196">
        <v>1.04</v>
      </c>
      <c r="S27"/>
      <c r="T27"/>
    </row>
    <row r="28" spans="1:20" x14ac:dyDescent="0.25">
      <c r="A28" s="196">
        <v>36.56</v>
      </c>
      <c r="B28" s="196">
        <v>0</v>
      </c>
      <c r="C28" s="196">
        <v>31.66</v>
      </c>
      <c r="D28" s="8">
        <v>43019.083333333336</v>
      </c>
      <c r="E28" s="196">
        <v>0.82</v>
      </c>
      <c r="F28" s="196" t="s">
        <v>435</v>
      </c>
      <c r="G28" s="196">
        <v>289.95999999999998</v>
      </c>
      <c r="H28" s="196">
        <v>0</v>
      </c>
      <c r="I28" s="196">
        <v>0</v>
      </c>
      <c r="J28" s="196">
        <v>1016.51</v>
      </c>
      <c r="K28" s="196" t="s">
        <v>436</v>
      </c>
      <c r="L28" s="196">
        <v>36.56</v>
      </c>
      <c r="M28" s="196">
        <v>1507708800</v>
      </c>
      <c r="N28" s="196">
        <v>0</v>
      </c>
      <c r="O28" s="196">
        <v>3.68</v>
      </c>
      <c r="P28" s="196">
        <v>183</v>
      </c>
      <c r="Q28" s="196">
        <v>2.4500000000000002</v>
      </c>
      <c r="R28" s="196">
        <v>0.93</v>
      </c>
      <c r="S28"/>
      <c r="T28"/>
    </row>
    <row r="29" spans="1:20" x14ac:dyDescent="0.25">
      <c r="A29" s="196">
        <v>35.29</v>
      </c>
      <c r="B29" s="196">
        <v>0</v>
      </c>
      <c r="C29" s="196">
        <v>30.88</v>
      </c>
      <c r="D29" s="8">
        <v>43019.125</v>
      </c>
      <c r="E29" s="196">
        <v>0.84</v>
      </c>
      <c r="F29" s="196" t="s">
        <v>435</v>
      </c>
      <c r="G29" s="196">
        <v>289.5</v>
      </c>
      <c r="H29" s="196">
        <v>0</v>
      </c>
      <c r="I29" s="196">
        <v>0</v>
      </c>
      <c r="J29" s="196">
        <v>1015.94</v>
      </c>
      <c r="K29" s="196" t="s">
        <v>436</v>
      </c>
      <c r="L29" s="196">
        <v>35.29</v>
      </c>
      <c r="M29" s="196">
        <v>1507712400</v>
      </c>
      <c r="N29" s="196">
        <v>0</v>
      </c>
      <c r="O29" s="196">
        <v>3.74</v>
      </c>
      <c r="P29" s="196">
        <v>206</v>
      </c>
      <c r="Q29" s="196">
        <v>1.84</v>
      </c>
      <c r="R29" s="196">
        <v>0.82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C18" sqref="C18:C3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1001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1002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1003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1006</v>
      </c>
      <c r="J25" s="140" t="s">
        <v>144</v>
      </c>
      <c r="M25" s="154" t="b">
        <v>1</v>
      </c>
    </row>
    <row r="26" spans="3:24" x14ac:dyDescent="0.25">
      <c r="C26" t="s">
        <v>1007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%USERPROFILE%\Documents\GitHub\eaglep3-reporting\EC\2017-10-10-refined-times.txt</v>
      </c>
    </row>
    <row r="27" spans="3:24" x14ac:dyDescent="0.25">
      <c r="C27" t="s">
        <v>1008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%USERPROFILE%\Documents\GitHub\eaglep3-reporting\EC\2017-10-10-Enforcements.txt</v>
      </c>
    </row>
    <row r="28" spans="3:24" x14ac:dyDescent="0.25">
      <c r="C28" t="s">
        <v>1009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%USERPROFILE%\Documents\GitHub\eaglep3-reporting\EC\2017-10-10-Runs-refined.txt</v>
      </c>
    </row>
    <row r="29" spans="3:24" x14ac:dyDescent="0.25">
      <c r="C29" t="s">
        <v>1010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%USERPROFILE%\Documents\GitHub\eaglep3-reporting\EC\2017-10-10-Trips.txt</v>
      </c>
    </row>
    <row r="30" spans="3:24" x14ac:dyDescent="0.25">
      <c r="C30" t="s">
        <v>589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%USERPROFILE%\Documents\GitHub\eaglep3-reporting\EC\2017-10-10-Weather.txt</v>
      </c>
    </row>
    <row r="31" spans="3:24" x14ac:dyDescent="0.25">
      <c r="C31" t="s">
        <v>1011</v>
      </c>
      <c r="J31" s="140" t="s">
        <v>190</v>
      </c>
      <c r="M31" s="154" t="s">
        <v>191</v>
      </c>
    </row>
    <row r="32" spans="3:24" x14ac:dyDescent="0.25">
      <c r="C32" t="s">
        <v>1012</v>
      </c>
    </row>
    <row r="33" spans="3:3" x14ac:dyDescent="0.25">
      <c r="C33" t="s">
        <v>1013</v>
      </c>
    </row>
    <row r="34" spans="3:3" x14ac:dyDescent="0.25">
      <c r="C34" t="s">
        <v>1014</v>
      </c>
    </row>
    <row r="35" spans="3:3" x14ac:dyDescent="0.25">
      <c r="C35" t="s">
        <v>1015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494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2017-10-11T15:33:21Z</dcterms:modified>
</cp:coreProperties>
</file>