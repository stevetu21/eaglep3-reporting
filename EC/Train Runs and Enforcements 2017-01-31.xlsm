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Enforcements!$A$6:$AC$36</definedName>
    <definedName name="_xlnm._FilterDatabase" localSheetId="2" hidden="1">'Missing Trips'!$A$2:$J$120</definedName>
    <definedName name="_xlnm._FilterDatabase" localSheetId="0" hidden="1">'Train Runs'!$A$12:$AG$249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4" i="1" l="1"/>
  <c r="Y24" i="1"/>
  <c r="X25" i="1"/>
  <c r="X26" i="1"/>
  <c r="Y26" i="1"/>
  <c r="X27" i="1"/>
  <c r="X28" i="1"/>
  <c r="Y28" i="1"/>
  <c r="AA29" i="1"/>
  <c r="Y30" i="1"/>
  <c r="X31" i="1"/>
  <c r="Y31" i="1"/>
  <c r="X32" i="1"/>
  <c r="Y32" i="1"/>
  <c r="M25" i="1"/>
  <c r="L25" i="1"/>
  <c r="K25" i="1"/>
  <c r="V25" i="1"/>
  <c r="AB25" i="1"/>
  <c r="AC25" i="1"/>
  <c r="AD25" i="1"/>
  <c r="T25" i="1" s="1"/>
  <c r="AE25" i="1"/>
  <c r="AF25" i="1"/>
  <c r="AH25" i="1"/>
  <c r="AM25" i="1"/>
  <c r="AN25" i="1"/>
  <c r="X23" i="1"/>
  <c r="X33" i="1"/>
  <c r="M29" i="1"/>
  <c r="L29" i="1"/>
  <c r="K29" i="1"/>
  <c r="V29" i="1"/>
  <c r="AB29" i="1"/>
  <c r="AC29" i="1"/>
  <c r="AD29" i="1"/>
  <c r="T29" i="1" s="1"/>
  <c r="AE29" i="1"/>
  <c r="AF29" i="1"/>
  <c r="AH29" i="1"/>
  <c r="AM29" i="1"/>
  <c r="AN29" i="1"/>
  <c r="M27" i="1"/>
  <c r="L27" i="1"/>
  <c r="K27" i="1"/>
  <c r="V27" i="1"/>
  <c r="AA27" i="1"/>
  <c r="AB27" i="1"/>
  <c r="AC27" i="1"/>
  <c r="AD27" i="1"/>
  <c r="T27" i="1" s="1"/>
  <c r="AE27" i="1"/>
  <c r="AF27" i="1"/>
  <c r="AH27" i="1"/>
  <c r="AM27" i="1"/>
  <c r="AN27" i="1"/>
  <c r="K14" i="1"/>
  <c r="L14" i="1"/>
  <c r="M14" i="1"/>
  <c r="V14" i="1"/>
  <c r="AA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T15" i="1"/>
  <c r="V15" i="1"/>
  <c r="AA15" i="1"/>
  <c r="AB15" i="1"/>
  <c r="AC15" i="1"/>
  <c r="AD15" i="1"/>
  <c r="AE15" i="1"/>
  <c r="AF15" i="1"/>
  <c r="AH15" i="1"/>
  <c r="AM15" i="1"/>
  <c r="AN15" i="1"/>
  <c r="K16" i="1"/>
  <c r="L16" i="1"/>
  <c r="M16" i="1"/>
  <c r="V16" i="1"/>
  <c r="AA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V17" i="1"/>
  <c r="X17" i="1"/>
  <c r="AA17" i="1"/>
  <c r="AB17" i="1"/>
  <c r="AC17" i="1"/>
  <c r="AD17" i="1"/>
  <c r="T17" i="1" s="1"/>
  <c r="AE17" i="1"/>
  <c r="AF17" i="1"/>
  <c r="AG17" i="1"/>
  <c r="AH17" i="1"/>
  <c r="AM17" i="1"/>
  <c r="AN17" i="1"/>
  <c r="K18" i="1"/>
  <c r="L18" i="1"/>
  <c r="M18" i="1"/>
  <c r="V18" i="1"/>
  <c r="AA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AA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V20" i="1"/>
  <c r="AA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V21" i="1"/>
  <c r="AA21" i="1"/>
  <c r="AB21" i="1"/>
  <c r="AC21" i="1"/>
  <c r="AD21" i="1"/>
  <c r="X21" i="1" s="1"/>
  <c r="AE21" i="1"/>
  <c r="AF21" i="1"/>
  <c r="AG21" i="1"/>
  <c r="AH21" i="1"/>
  <c r="AM21" i="1"/>
  <c r="AN21" i="1"/>
  <c r="K22" i="1"/>
  <c r="L22" i="1"/>
  <c r="M22" i="1"/>
  <c r="N22" i="1"/>
  <c r="V22" i="1"/>
  <c r="Y22" i="1"/>
  <c r="AA22" i="1"/>
  <c r="AB22" i="1"/>
  <c r="AC22" i="1"/>
  <c r="AD22" i="1"/>
  <c r="X22" i="1" s="1"/>
  <c r="AE22" i="1"/>
  <c r="AF22" i="1"/>
  <c r="AH22" i="1"/>
  <c r="AM22" i="1"/>
  <c r="AN22" i="1"/>
  <c r="K23" i="1"/>
  <c r="L23" i="1"/>
  <c r="M23" i="1"/>
  <c r="V23" i="1"/>
  <c r="AA23" i="1"/>
  <c r="AB23" i="1"/>
  <c r="AC23" i="1"/>
  <c r="AD23" i="1"/>
  <c r="T23" i="1" s="1"/>
  <c r="AE23" i="1"/>
  <c r="AF23" i="1"/>
  <c r="AH23" i="1"/>
  <c r="AM23" i="1"/>
  <c r="AN23" i="1"/>
  <c r="X200" i="1"/>
  <c r="X201" i="1"/>
  <c r="X202" i="1"/>
  <c r="X203" i="1"/>
  <c r="P109" i="1"/>
  <c r="K24" i="1"/>
  <c r="L24" i="1"/>
  <c r="M24" i="1"/>
  <c r="N24" i="1" s="1"/>
  <c r="V24" i="1"/>
  <c r="Z24" i="1"/>
  <c r="AB24" i="1"/>
  <c r="AC24" i="1"/>
  <c r="AD24" i="1"/>
  <c r="AE24" i="1"/>
  <c r="AF24" i="1"/>
  <c r="AH24" i="1"/>
  <c r="AM24" i="1"/>
  <c r="AN24" i="1"/>
  <c r="K26" i="1"/>
  <c r="L26" i="1"/>
  <c r="M26" i="1"/>
  <c r="N26" i="1" s="1"/>
  <c r="V26" i="1"/>
  <c r="Z26" i="1"/>
  <c r="AA26" i="1" s="1"/>
  <c r="AB26" i="1"/>
  <c r="AC26" i="1"/>
  <c r="AD26" i="1"/>
  <c r="T26" i="1" s="1"/>
  <c r="AE26" i="1"/>
  <c r="AF26" i="1"/>
  <c r="AH26" i="1"/>
  <c r="AM26" i="1"/>
  <c r="AN26" i="1"/>
  <c r="K28" i="1"/>
  <c r="L28" i="1"/>
  <c r="M28" i="1"/>
  <c r="N28" i="1" s="1"/>
  <c r="V28" i="1"/>
  <c r="Z28" i="1"/>
  <c r="AB28" i="1"/>
  <c r="AC28" i="1"/>
  <c r="AD28" i="1"/>
  <c r="T28" i="1" s="1"/>
  <c r="AE28" i="1"/>
  <c r="AF28" i="1"/>
  <c r="AH28" i="1"/>
  <c r="AM28" i="1"/>
  <c r="AN28" i="1"/>
  <c r="K30" i="1"/>
  <c r="L30" i="1"/>
  <c r="M30" i="1"/>
  <c r="N30" i="1"/>
  <c r="V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W35" i="1" s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T42" i="1"/>
  <c r="V42" i="1"/>
  <c r="Y42" i="1"/>
  <c r="Z42" i="1"/>
  <c r="AA42" i="1" s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T50" i="1"/>
  <c r="V50" i="1"/>
  <c r="X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T51" i="1"/>
  <c r="V51" i="1"/>
  <c r="Y51" i="1"/>
  <c r="Z51" i="1"/>
  <c r="AB51" i="1"/>
  <c r="AC51" i="1"/>
  <c r="AD51" i="1"/>
  <c r="AG51" i="1" s="1"/>
  <c r="AI51" i="1" s="1"/>
  <c r="AE51" i="1"/>
  <c r="AF51" i="1"/>
  <c r="AH51" i="1"/>
  <c r="AM51" i="1"/>
  <c r="AN51" i="1"/>
  <c r="K52" i="1"/>
  <c r="L52" i="1"/>
  <c r="M52" i="1"/>
  <c r="N52" i="1" s="1"/>
  <c r="V52" i="1"/>
  <c r="X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T55" i="1"/>
  <c r="V55" i="1"/>
  <c r="Y55" i="1"/>
  <c r="Z55" i="1"/>
  <c r="AB55" i="1"/>
  <c r="AC55" i="1"/>
  <c r="AD55" i="1"/>
  <c r="AE55" i="1"/>
  <c r="AF55" i="1"/>
  <c r="AG55" i="1"/>
  <c r="AI55" i="1" s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R21" i="3" s="1"/>
  <c r="AF57" i="1"/>
  <c r="AG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R8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R16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I67" i="1" s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S12" i="3" s="1"/>
  <c r="Y75" i="1"/>
  <c r="Z75" i="1"/>
  <c r="AA75" i="1" s="1"/>
  <c r="W75" i="1" s="1"/>
  <c r="AB75" i="1"/>
  <c r="AC75" i="1"/>
  <c r="AD75" i="1"/>
  <c r="AG75" i="1" s="1"/>
  <c r="AE75" i="1"/>
  <c r="R12" i="3" s="1"/>
  <c r="AF75" i="1"/>
  <c r="AH75" i="1"/>
  <c r="AI75" i="1"/>
  <c r="AM75" i="1"/>
  <c r="AN75" i="1"/>
  <c r="K76" i="1"/>
  <c r="L76" i="1"/>
  <c r="M76" i="1"/>
  <c r="N76" i="1" s="1"/>
  <c r="T76" i="1"/>
  <c r="V76" i="1"/>
  <c r="Y76" i="1"/>
  <c r="Z76" i="1"/>
  <c r="AB76" i="1"/>
  <c r="AC76" i="1"/>
  <c r="AD76" i="1"/>
  <c r="AE76" i="1"/>
  <c r="AF76" i="1"/>
  <c r="AG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I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/>
  <c r="V94" i="1"/>
  <c r="Y94" i="1"/>
  <c r="Z94" i="1"/>
  <c r="AB94" i="1"/>
  <c r="AC94" i="1"/>
  <c r="AD94" i="1"/>
  <c r="T94" i="1" s="1"/>
  <c r="AE94" i="1"/>
  <c r="R17" i="3" s="1"/>
  <c r="AF94" i="1"/>
  <c r="AH94" i="1"/>
  <c r="AM94" i="1"/>
  <c r="AN94" i="1"/>
  <c r="K95" i="1"/>
  <c r="L95" i="1"/>
  <c r="M95" i="1"/>
  <c r="N95" i="1" s="1"/>
  <c r="V95" i="1"/>
  <c r="Y95" i="1"/>
  <c r="AA95" i="1" s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R9" i="3" s="1"/>
  <c r="AF96" i="1"/>
  <c r="AH96" i="1"/>
  <c r="AM96" i="1"/>
  <c r="AN96" i="1"/>
  <c r="K97" i="1"/>
  <c r="L97" i="1"/>
  <c r="M97" i="1"/>
  <c r="N97" i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I103" i="1" s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T104" i="1"/>
  <c r="V104" i="1"/>
  <c r="Y104" i="1"/>
  <c r="Z104" i="1"/>
  <c r="AB104" i="1"/>
  <c r="AC104" i="1"/>
  <c r="AD104" i="1"/>
  <c r="X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V109" i="1"/>
  <c r="Y109" i="1"/>
  <c r="Z109" i="1"/>
  <c r="AB109" i="1"/>
  <c r="AC109" i="1"/>
  <c r="AD109" i="1"/>
  <c r="AE109" i="1"/>
  <c r="R10" i="3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R19" i="3" s="1"/>
  <c r="AF110" i="1"/>
  <c r="AH110" i="1"/>
  <c r="AM110" i="1"/>
  <c r="AN110" i="1"/>
  <c r="K111" i="1"/>
  <c r="L111" i="1"/>
  <c r="M111" i="1"/>
  <c r="N111" i="1" s="1"/>
  <c r="V111" i="1"/>
  <c r="Y111" i="1"/>
  <c r="Z111" i="1"/>
  <c r="AI111" i="1" s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I115" i="1"/>
  <c r="AM115" i="1"/>
  <c r="AN115" i="1"/>
  <c r="K116" i="1"/>
  <c r="L116" i="1"/>
  <c r="M116" i="1"/>
  <c r="N116" i="1" s="1"/>
  <c r="V116" i="1"/>
  <c r="Y116" i="1"/>
  <c r="AA116" i="1" s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G117" i="1"/>
  <c r="AH117" i="1"/>
  <c r="AM117" i="1"/>
  <c r="AN117" i="1"/>
  <c r="K118" i="1"/>
  <c r="L118" i="1"/>
  <c r="M118" i="1"/>
  <c r="N118" i="1" s="1"/>
  <c r="V118" i="1"/>
  <c r="Y118" i="1"/>
  <c r="AA118" i="1" s="1"/>
  <c r="Z118" i="1"/>
  <c r="AB118" i="1"/>
  <c r="AC118" i="1"/>
  <c r="AD118" i="1"/>
  <c r="AG118" i="1" s="1"/>
  <c r="AI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I119" i="1" s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AM121" i="1"/>
  <c r="AN121" i="1"/>
  <c r="K122" i="1"/>
  <c r="L122" i="1"/>
  <c r="M122" i="1"/>
  <c r="N122" i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W132" i="1" s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/>
  <c r="V135" i="1"/>
  <c r="Y135" i="1"/>
  <c r="Z135" i="1"/>
  <c r="AI135" i="1" s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I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G149" i="1"/>
  <c r="AH149" i="1"/>
  <c r="AM149" i="1"/>
  <c r="AN149" i="1"/>
  <c r="K150" i="1"/>
  <c r="L150" i="1"/>
  <c r="M150" i="1"/>
  <c r="N150" i="1" s="1"/>
  <c r="V150" i="1"/>
  <c r="X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W154" i="1" s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AA155" i="1" s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AM156" i="1"/>
  <c r="AN15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57" i="1"/>
  <c r="AM157" i="1"/>
  <c r="AN157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R36" i="3" s="1"/>
  <c r="AF204" i="1"/>
  <c r="AH158" i="1"/>
  <c r="AM158" i="1"/>
  <c r="AN15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9" i="1"/>
  <c r="AM159" i="1"/>
  <c r="AN159" i="1"/>
  <c r="K206" i="1"/>
  <c r="L206" i="1"/>
  <c r="M206" i="1"/>
  <c r="N206" i="1" s="1"/>
  <c r="V206" i="1"/>
  <c r="X206" i="1"/>
  <c r="Y206" i="1"/>
  <c r="Z206" i="1"/>
  <c r="AB206" i="1"/>
  <c r="AC206" i="1"/>
  <c r="AD206" i="1"/>
  <c r="T206" i="1" s="1"/>
  <c r="AE206" i="1"/>
  <c r="AF206" i="1"/>
  <c r="AG206" i="1"/>
  <c r="U206" i="1" s="1"/>
  <c r="AH160" i="1"/>
  <c r="AM160" i="1"/>
  <c r="AN160" i="1"/>
  <c r="K207" i="1"/>
  <c r="L207" i="1"/>
  <c r="M207" i="1"/>
  <c r="N207" i="1" s="1"/>
  <c r="V207" i="1"/>
  <c r="Y207" i="1"/>
  <c r="AA207" i="1" s="1"/>
  <c r="Z207" i="1"/>
  <c r="AB207" i="1"/>
  <c r="AC207" i="1"/>
  <c r="AD207" i="1"/>
  <c r="AG207" i="1" s="1"/>
  <c r="AE207" i="1"/>
  <c r="AF207" i="1"/>
  <c r="AH161" i="1"/>
  <c r="AM161" i="1"/>
  <c r="AN161" i="1"/>
  <c r="K208" i="1"/>
  <c r="L208" i="1"/>
  <c r="M208" i="1"/>
  <c r="N208" i="1" s="1"/>
  <c r="V208" i="1"/>
  <c r="Y208" i="1"/>
  <c r="Z208" i="1"/>
  <c r="AA208" i="1" s="1"/>
  <c r="W208" i="1" s="1"/>
  <c r="AB208" i="1"/>
  <c r="AC208" i="1"/>
  <c r="AD208" i="1"/>
  <c r="AG208" i="1" s="1"/>
  <c r="AE208" i="1"/>
  <c r="AF208" i="1"/>
  <c r="AH162" i="1"/>
  <c r="AM162" i="1"/>
  <c r="AN162" i="1"/>
  <c r="K209" i="1"/>
  <c r="L209" i="1"/>
  <c r="M209" i="1"/>
  <c r="N209" i="1" s="1"/>
  <c r="T209" i="1"/>
  <c r="V209" i="1"/>
  <c r="X209" i="1"/>
  <c r="Y209" i="1"/>
  <c r="Z209" i="1"/>
  <c r="AB209" i="1"/>
  <c r="AC209" i="1"/>
  <c r="AD209" i="1"/>
  <c r="AE209" i="1"/>
  <c r="AF209" i="1"/>
  <c r="AG209" i="1"/>
  <c r="AI209" i="1" s="1"/>
  <c r="AH163" i="1"/>
  <c r="AM163" i="1"/>
  <c r="AN16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4" i="1"/>
  <c r="AM164" i="1"/>
  <c r="AN164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5" i="1"/>
  <c r="AM165" i="1"/>
  <c r="AN165" i="1"/>
  <c r="K217" i="1"/>
  <c r="L217" i="1"/>
  <c r="M217" i="1"/>
  <c r="N217" i="1" s="1"/>
  <c r="V217" i="1"/>
  <c r="Y217" i="1"/>
  <c r="Z217" i="1"/>
  <c r="AB217" i="1"/>
  <c r="AC217" i="1"/>
  <c r="AD217" i="1"/>
  <c r="AG217" i="1" s="1"/>
  <c r="AI217" i="1" s="1"/>
  <c r="AE217" i="1"/>
  <c r="AF217" i="1"/>
  <c r="AH166" i="1"/>
  <c r="AM166" i="1"/>
  <c r="AN16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7" i="1"/>
  <c r="AM167" i="1"/>
  <c r="AN16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8" i="1"/>
  <c r="AM168" i="1"/>
  <c r="AN168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69" i="1"/>
  <c r="AM169" i="1"/>
  <c r="AN169" i="1"/>
  <c r="K158" i="1"/>
  <c r="L158" i="1"/>
  <c r="M158" i="1"/>
  <c r="N158" i="1" s="1"/>
  <c r="V158" i="1"/>
  <c r="Y158" i="1"/>
  <c r="Z158" i="1"/>
  <c r="AA158" i="1" s="1"/>
  <c r="W158" i="1" s="1"/>
  <c r="AB158" i="1"/>
  <c r="AC158" i="1"/>
  <c r="AD158" i="1"/>
  <c r="AG158" i="1" s="1"/>
  <c r="AE158" i="1"/>
  <c r="AF158" i="1"/>
  <c r="AH170" i="1"/>
  <c r="AM170" i="1"/>
  <c r="AN170" i="1"/>
  <c r="K159" i="1"/>
  <c r="L159" i="1"/>
  <c r="M159" i="1"/>
  <c r="N159" i="1" s="1"/>
  <c r="V159" i="1"/>
  <c r="X159" i="1"/>
  <c r="Y159" i="1"/>
  <c r="Z159" i="1"/>
  <c r="AB159" i="1"/>
  <c r="AC159" i="1"/>
  <c r="AD159" i="1"/>
  <c r="T159" i="1" s="1"/>
  <c r="AE159" i="1"/>
  <c r="AF159" i="1"/>
  <c r="AG159" i="1"/>
  <c r="AH171" i="1"/>
  <c r="AM171" i="1"/>
  <c r="AN171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72" i="1"/>
  <c r="AM172" i="1"/>
  <c r="AN172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3" i="1"/>
  <c r="AM173" i="1"/>
  <c r="AN173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74" i="1"/>
  <c r="AM174" i="1"/>
  <c r="AN17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5" i="1"/>
  <c r="AM175" i="1"/>
  <c r="AN17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6" i="1"/>
  <c r="AM176" i="1"/>
  <c r="AN176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77" i="1"/>
  <c r="AM177" i="1"/>
  <c r="AN177" i="1"/>
  <c r="K166" i="1"/>
  <c r="L166" i="1"/>
  <c r="M166" i="1"/>
  <c r="N166" i="1" s="1"/>
  <c r="V166" i="1"/>
  <c r="Y166" i="1"/>
  <c r="Z166" i="1"/>
  <c r="AB166" i="1"/>
  <c r="AC166" i="1"/>
  <c r="AD166" i="1"/>
  <c r="AG166" i="1" s="1"/>
  <c r="AI166" i="1" s="1"/>
  <c r="AE166" i="1"/>
  <c r="AF166" i="1"/>
  <c r="AH178" i="1"/>
  <c r="AM178" i="1"/>
  <c r="AN17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79" i="1"/>
  <c r="AM179" i="1"/>
  <c r="AN17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0" i="1"/>
  <c r="AM180" i="1"/>
  <c r="AN18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1" i="1"/>
  <c r="AM181" i="1"/>
  <c r="AN18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2" i="1"/>
  <c r="AM182" i="1"/>
  <c r="AN182" i="1"/>
  <c r="K171" i="1"/>
  <c r="L171" i="1"/>
  <c r="M171" i="1"/>
  <c r="N171" i="1" s="1"/>
  <c r="V171" i="1"/>
  <c r="Y171" i="1"/>
  <c r="Z171" i="1"/>
  <c r="AA171" i="1" s="1"/>
  <c r="W171" i="1" s="1"/>
  <c r="AB171" i="1"/>
  <c r="AC171" i="1"/>
  <c r="AD171" i="1"/>
  <c r="T171" i="1" s="1"/>
  <c r="AE171" i="1"/>
  <c r="AF171" i="1"/>
  <c r="AG171" i="1"/>
  <c r="AH183" i="1"/>
  <c r="AM183" i="1"/>
  <c r="AN18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4" i="1"/>
  <c r="AM184" i="1"/>
  <c r="AN184" i="1"/>
  <c r="K173" i="1"/>
  <c r="L173" i="1"/>
  <c r="M173" i="1"/>
  <c r="N173" i="1" s="1"/>
  <c r="V173" i="1"/>
  <c r="S28" i="3" s="1"/>
  <c r="Y173" i="1"/>
  <c r="Z173" i="1"/>
  <c r="AB173" i="1"/>
  <c r="AC173" i="1"/>
  <c r="AD173" i="1"/>
  <c r="AG173" i="1" s="1"/>
  <c r="AE173" i="1"/>
  <c r="R28" i="3" s="1"/>
  <c r="AF173" i="1"/>
  <c r="AH185" i="1"/>
  <c r="AM185" i="1"/>
  <c r="AN185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86" i="1"/>
  <c r="AM186" i="1"/>
  <c r="AN186" i="1"/>
  <c r="K175" i="1"/>
  <c r="L175" i="1"/>
  <c r="M175" i="1"/>
  <c r="N175" i="1" s="1"/>
  <c r="V175" i="1"/>
  <c r="S29" i="3" s="1"/>
  <c r="Y175" i="1"/>
  <c r="Z175" i="1"/>
  <c r="AB175" i="1"/>
  <c r="AC175" i="1"/>
  <c r="AD175" i="1"/>
  <c r="AE175" i="1"/>
  <c r="R29" i="3" s="1"/>
  <c r="AF175" i="1"/>
  <c r="AH187" i="1"/>
  <c r="AM187" i="1"/>
  <c r="AN187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88" i="1"/>
  <c r="AM188" i="1"/>
  <c r="AN188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89" i="1"/>
  <c r="AM189" i="1"/>
  <c r="AN189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0" i="1"/>
  <c r="AM190" i="1"/>
  <c r="AN19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1" i="1"/>
  <c r="AM191" i="1"/>
  <c r="AN19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2" i="1"/>
  <c r="AM192" i="1"/>
  <c r="AN192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3" i="1"/>
  <c r="AM193" i="1"/>
  <c r="AN193" i="1"/>
  <c r="K182" i="1"/>
  <c r="L182" i="1"/>
  <c r="M182" i="1"/>
  <c r="N182" i="1" s="1"/>
  <c r="V182" i="1"/>
  <c r="S25" i="3" s="1"/>
  <c r="Y182" i="1"/>
  <c r="Z182" i="1"/>
  <c r="AB182" i="1"/>
  <c r="AC182" i="1"/>
  <c r="AD182" i="1"/>
  <c r="AG182" i="1" s="1"/>
  <c r="AE182" i="1"/>
  <c r="R25" i="3" s="1"/>
  <c r="AF182" i="1"/>
  <c r="AH194" i="1"/>
  <c r="AM194" i="1"/>
  <c r="AN194" i="1"/>
  <c r="K183" i="1"/>
  <c r="L183" i="1"/>
  <c r="M183" i="1"/>
  <c r="N183" i="1" s="1"/>
  <c r="V183" i="1"/>
  <c r="S24" i="3" s="1"/>
  <c r="Y183" i="1"/>
  <c r="Z183" i="1"/>
  <c r="AB183" i="1"/>
  <c r="AC183" i="1"/>
  <c r="AD183" i="1"/>
  <c r="AE183" i="1"/>
  <c r="R24" i="3" s="1"/>
  <c r="AF183" i="1"/>
  <c r="AH195" i="1"/>
  <c r="AM195" i="1"/>
  <c r="AN195" i="1"/>
  <c r="K184" i="1"/>
  <c r="L184" i="1"/>
  <c r="M184" i="1"/>
  <c r="N184" i="1" s="1"/>
  <c r="V184" i="1"/>
  <c r="S23" i="3" s="1"/>
  <c r="Y184" i="1"/>
  <c r="Z184" i="1"/>
  <c r="AB184" i="1"/>
  <c r="AC184" i="1"/>
  <c r="AD184" i="1"/>
  <c r="T184" i="1" s="1"/>
  <c r="AE184" i="1"/>
  <c r="R26" i="3" s="1"/>
  <c r="AF184" i="1"/>
  <c r="AH196" i="1"/>
  <c r="AM196" i="1"/>
  <c r="AN196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97" i="1"/>
  <c r="AM197" i="1"/>
  <c r="AN197" i="1"/>
  <c r="K186" i="1"/>
  <c r="L186" i="1"/>
  <c r="M186" i="1"/>
  <c r="N186" i="1" s="1"/>
  <c r="V186" i="1"/>
  <c r="Y186" i="1"/>
  <c r="Z186" i="1"/>
  <c r="AB186" i="1"/>
  <c r="AC186" i="1"/>
  <c r="AD186" i="1"/>
  <c r="AG186" i="1" s="1"/>
  <c r="AI186" i="1" s="1"/>
  <c r="AE186" i="1"/>
  <c r="AF186" i="1"/>
  <c r="AH198" i="1"/>
  <c r="AM198" i="1"/>
  <c r="AN198" i="1"/>
  <c r="K187" i="1"/>
  <c r="L187" i="1"/>
  <c r="M187" i="1"/>
  <c r="N187" i="1" s="1"/>
  <c r="T187" i="1"/>
  <c r="V187" i="1"/>
  <c r="S31" i="3" s="1"/>
  <c r="Y187" i="1"/>
  <c r="Z187" i="1"/>
  <c r="AB187" i="1"/>
  <c r="AC187" i="1"/>
  <c r="AD187" i="1"/>
  <c r="AG187" i="1" s="1"/>
  <c r="AE187" i="1"/>
  <c r="R31" i="3" s="1"/>
  <c r="AF187" i="1"/>
  <c r="AH199" i="1"/>
  <c r="AM199" i="1"/>
  <c r="AN199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0" i="1"/>
  <c r="AM200" i="1"/>
  <c r="AN200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1" i="1"/>
  <c r="AM201" i="1"/>
  <c r="AN201" i="1"/>
  <c r="K191" i="1"/>
  <c r="L191" i="1"/>
  <c r="M191" i="1"/>
  <c r="N191" i="1" s="1"/>
  <c r="V191" i="1"/>
  <c r="Y191" i="1"/>
  <c r="Z191" i="1"/>
  <c r="AA191" i="1" s="1"/>
  <c r="AB191" i="1"/>
  <c r="AC191" i="1"/>
  <c r="AD191" i="1"/>
  <c r="AG191" i="1" s="1"/>
  <c r="AE191" i="1"/>
  <c r="R32" i="3" s="1"/>
  <c r="AF191" i="1"/>
  <c r="AH202" i="1"/>
  <c r="AM202" i="1"/>
  <c r="AN20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03" i="1"/>
  <c r="AM203" i="1"/>
  <c r="AN203" i="1"/>
  <c r="K193" i="1"/>
  <c r="L193" i="1"/>
  <c r="M193" i="1"/>
  <c r="N193" i="1" s="1"/>
  <c r="V193" i="1"/>
  <c r="S33" i="3" s="1"/>
  <c r="Y193" i="1"/>
  <c r="Z193" i="1"/>
  <c r="AA193" i="1" s="1"/>
  <c r="AB193" i="1"/>
  <c r="AC193" i="1"/>
  <c r="AD193" i="1"/>
  <c r="AE193" i="1"/>
  <c r="R33" i="3" s="1"/>
  <c r="AF193" i="1"/>
  <c r="AH204" i="1"/>
  <c r="AM204" i="1"/>
  <c r="AN20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05" i="1"/>
  <c r="AM205" i="1"/>
  <c r="AN20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R34" i="3" s="1"/>
  <c r="AF195" i="1"/>
  <c r="AH206" i="1"/>
  <c r="AM206" i="1"/>
  <c r="AN20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07" i="1"/>
  <c r="AM207" i="1"/>
  <c r="AN207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AH208" i="1"/>
  <c r="AM208" i="1"/>
  <c r="AN208" i="1"/>
  <c r="K198" i="1"/>
  <c r="L198" i="1"/>
  <c r="M198" i="1"/>
  <c r="N198" i="1"/>
  <c r="V198" i="1"/>
  <c r="Y198" i="1"/>
  <c r="AA198" i="1" s="1"/>
  <c r="W198" i="1" s="1"/>
  <c r="Z198" i="1"/>
  <c r="AB198" i="1"/>
  <c r="AC198" i="1"/>
  <c r="AD198" i="1"/>
  <c r="AG198" i="1" s="1"/>
  <c r="AI198" i="1" s="1"/>
  <c r="AE198" i="1"/>
  <c r="AF198" i="1"/>
  <c r="AH209" i="1"/>
  <c r="AM209" i="1"/>
  <c r="AN20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0" i="1"/>
  <c r="AM210" i="1"/>
  <c r="AN210" i="1"/>
  <c r="K200" i="1"/>
  <c r="L200" i="1"/>
  <c r="M200" i="1"/>
  <c r="N200" i="1" s="1"/>
  <c r="V200" i="1"/>
  <c r="S27" i="3" s="1"/>
  <c r="Y200" i="1"/>
  <c r="Z200" i="1"/>
  <c r="AB200" i="1"/>
  <c r="AC200" i="1"/>
  <c r="AD200" i="1"/>
  <c r="T200" i="1" s="1"/>
  <c r="AE200" i="1"/>
  <c r="R27" i="3" s="1"/>
  <c r="AF200" i="1"/>
  <c r="AH211" i="1"/>
  <c r="AM211" i="1"/>
  <c r="AN211" i="1"/>
  <c r="AH212" i="1"/>
  <c r="AM212" i="1"/>
  <c r="AN212" i="1"/>
  <c r="K201" i="1"/>
  <c r="L201" i="1"/>
  <c r="M201" i="1"/>
  <c r="N201" i="1"/>
  <c r="V201" i="1"/>
  <c r="S35" i="3" s="1"/>
  <c r="Y201" i="1"/>
  <c r="Z201" i="1"/>
  <c r="AA201" i="1" s="1"/>
  <c r="W201" i="1" s="1"/>
  <c r="AB201" i="1"/>
  <c r="AC201" i="1"/>
  <c r="AD201" i="1"/>
  <c r="AG201" i="1" s="1"/>
  <c r="AE201" i="1"/>
  <c r="R35" i="3" s="1"/>
  <c r="AF201" i="1"/>
  <c r="AH213" i="1"/>
  <c r="AM213" i="1"/>
  <c r="AN21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4" i="1"/>
  <c r="AM214" i="1"/>
  <c r="AN214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5" i="1"/>
  <c r="AM215" i="1"/>
  <c r="AN215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6" i="1"/>
  <c r="AM216" i="1"/>
  <c r="AN216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7" i="1"/>
  <c r="AM217" i="1"/>
  <c r="AN217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218" i="1"/>
  <c r="AM218" i="1"/>
  <c r="AN218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9" i="1"/>
  <c r="AM219" i="1"/>
  <c r="AN219" i="1"/>
  <c r="M14" i="3"/>
  <c r="R14" i="3"/>
  <c r="S14" i="3"/>
  <c r="U14" i="3"/>
  <c r="T14" i="3" s="1"/>
  <c r="V14" i="3"/>
  <c r="W14" i="3"/>
  <c r="X14" i="3"/>
  <c r="AC14" i="3"/>
  <c r="M15" i="3"/>
  <c r="R15" i="3"/>
  <c r="S15" i="3"/>
  <c r="U15" i="3"/>
  <c r="AD15" i="3" s="1"/>
  <c r="V15" i="3"/>
  <c r="W15" i="3"/>
  <c r="X15" i="3"/>
  <c r="M21" i="3"/>
  <c r="S21" i="3"/>
  <c r="U21" i="3"/>
  <c r="AC21" i="3" s="1"/>
  <c r="V21" i="3"/>
  <c r="W21" i="3"/>
  <c r="X21" i="3"/>
  <c r="M8" i="3"/>
  <c r="S8" i="3"/>
  <c r="U8" i="3"/>
  <c r="T8" i="3" s="1"/>
  <c r="V8" i="3"/>
  <c r="W8" i="3"/>
  <c r="X8" i="3"/>
  <c r="M16" i="3"/>
  <c r="S16" i="3"/>
  <c r="U16" i="3"/>
  <c r="T16" i="3" s="1"/>
  <c r="V16" i="3"/>
  <c r="W16" i="3"/>
  <c r="X16" i="3"/>
  <c r="AC16" i="3"/>
  <c r="M28" i="3"/>
  <c r="U28" i="3"/>
  <c r="AD28" i="3" s="1"/>
  <c r="V28" i="3"/>
  <c r="W28" i="3"/>
  <c r="X28" i="3"/>
  <c r="AC28" i="3"/>
  <c r="M12" i="3"/>
  <c r="U12" i="3"/>
  <c r="AC12" i="3" s="1"/>
  <c r="V12" i="3"/>
  <c r="W12" i="3"/>
  <c r="X12" i="3"/>
  <c r="M29" i="3"/>
  <c r="U29" i="3"/>
  <c r="T29" i="3" s="1"/>
  <c r="V29" i="3"/>
  <c r="W29" i="3"/>
  <c r="X29" i="3"/>
  <c r="AC29" i="3"/>
  <c r="M17" i="3"/>
  <c r="S17" i="3"/>
  <c r="U17" i="3"/>
  <c r="T17" i="3" s="1"/>
  <c r="V17" i="3"/>
  <c r="W17" i="3"/>
  <c r="X17" i="3"/>
  <c r="AC17" i="3"/>
  <c r="M9" i="3"/>
  <c r="S9" i="3"/>
  <c r="U9" i="3"/>
  <c r="AD17" i="3" s="1"/>
  <c r="V9" i="3"/>
  <c r="W9" i="3"/>
  <c r="X9" i="3"/>
  <c r="M24" i="3"/>
  <c r="U24" i="3"/>
  <c r="AC24" i="3" s="1"/>
  <c r="V24" i="3"/>
  <c r="W24" i="3"/>
  <c r="X24" i="3"/>
  <c r="M25" i="3"/>
  <c r="U25" i="3"/>
  <c r="V25" i="3"/>
  <c r="W25" i="3"/>
  <c r="X25" i="3"/>
  <c r="AC25" i="3"/>
  <c r="M30" i="3"/>
  <c r="U30" i="3"/>
  <c r="T30" i="3" s="1"/>
  <c r="V30" i="3"/>
  <c r="W30" i="3"/>
  <c r="X30" i="3"/>
  <c r="AC30" i="3"/>
  <c r="M23" i="3"/>
  <c r="R23" i="3"/>
  <c r="U23" i="3"/>
  <c r="V23" i="3"/>
  <c r="W23" i="3"/>
  <c r="X23" i="3"/>
  <c r="AC23" i="3"/>
  <c r="M10" i="3"/>
  <c r="S10" i="3"/>
  <c r="U10" i="3"/>
  <c r="AC10" i="3" s="1"/>
  <c r="V10" i="3"/>
  <c r="W10" i="3"/>
  <c r="X10" i="3"/>
  <c r="M26" i="3"/>
  <c r="U26" i="3"/>
  <c r="AE23" i="3" s="1"/>
  <c r="V26" i="3"/>
  <c r="W26" i="3"/>
  <c r="X26" i="3"/>
  <c r="AC26" i="3"/>
  <c r="M31" i="3"/>
  <c r="U31" i="3"/>
  <c r="V31" i="3"/>
  <c r="W31" i="3"/>
  <c r="X31" i="3"/>
  <c r="AC31" i="3"/>
  <c r="M13" i="3"/>
  <c r="R13" i="3"/>
  <c r="S13" i="3"/>
  <c r="U13" i="3"/>
  <c r="AD25" i="3" s="1"/>
  <c r="V13" i="3"/>
  <c r="W13" i="3"/>
  <c r="X13" i="3"/>
  <c r="M19" i="3"/>
  <c r="S19" i="3"/>
  <c r="U19" i="3"/>
  <c r="AC19" i="3" s="1"/>
  <c r="V19" i="3"/>
  <c r="W19" i="3"/>
  <c r="X19" i="3"/>
  <c r="Y19" i="3"/>
  <c r="M20" i="3"/>
  <c r="S20" i="3"/>
  <c r="U20" i="3"/>
  <c r="T20" i="3" s="1"/>
  <c r="V20" i="3"/>
  <c r="W20" i="3"/>
  <c r="X20" i="3"/>
  <c r="M32" i="3"/>
  <c r="S32" i="3"/>
  <c r="U32" i="3"/>
  <c r="T32" i="3" s="1"/>
  <c r="V32" i="3"/>
  <c r="W32" i="3"/>
  <c r="X32" i="3"/>
  <c r="AC32" i="3"/>
  <c r="M33" i="3"/>
  <c r="U33" i="3"/>
  <c r="V33" i="3"/>
  <c r="W33" i="3"/>
  <c r="X33" i="3"/>
  <c r="AC33" i="3"/>
  <c r="M34" i="3"/>
  <c r="S34" i="3"/>
  <c r="U34" i="3"/>
  <c r="AC34" i="3" s="1"/>
  <c r="V34" i="3"/>
  <c r="W34" i="3"/>
  <c r="X34" i="3"/>
  <c r="M36" i="3"/>
  <c r="S36" i="3"/>
  <c r="U36" i="3"/>
  <c r="T36" i="3" s="1"/>
  <c r="V36" i="3"/>
  <c r="W36" i="3"/>
  <c r="X36" i="3"/>
  <c r="M7" i="3"/>
  <c r="R7" i="3"/>
  <c r="S7" i="3"/>
  <c r="U7" i="3"/>
  <c r="T7" i="3" s="1"/>
  <c r="V7" i="3"/>
  <c r="W7" i="3"/>
  <c r="X7" i="3"/>
  <c r="AC7" i="3"/>
  <c r="M35" i="3"/>
  <c r="U35" i="3"/>
  <c r="V35" i="3"/>
  <c r="W35" i="3"/>
  <c r="X35" i="3"/>
  <c r="M27" i="3"/>
  <c r="U27" i="3"/>
  <c r="AC27" i="3" s="1"/>
  <c r="V27" i="3"/>
  <c r="W27" i="3"/>
  <c r="X27" i="3"/>
  <c r="M18" i="3"/>
  <c r="R18" i="3"/>
  <c r="S18" i="3"/>
  <c r="U18" i="3"/>
  <c r="V18" i="3"/>
  <c r="W18" i="3"/>
  <c r="X18" i="3"/>
  <c r="AC18" i="3"/>
  <c r="M11" i="3"/>
  <c r="R11" i="3"/>
  <c r="S11" i="3"/>
  <c r="U11" i="3"/>
  <c r="T11" i="3" s="1"/>
  <c r="V11" i="3"/>
  <c r="W11" i="3"/>
  <c r="Y11" i="3" s="1"/>
  <c r="X11" i="3"/>
  <c r="AC11" i="3"/>
  <c r="X29" i="1" l="1"/>
  <c r="X30" i="1"/>
  <c r="AA25" i="1"/>
  <c r="AG25" i="1"/>
  <c r="AG29" i="1"/>
  <c r="AG27" i="1"/>
  <c r="AG22" i="1"/>
  <c r="AG19" i="1"/>
  <c r="U19" i="1" s="1"/>
  <c r="X19" i="1"/>
  <c r="X15" i="1"/>
  <c r="T22" i="1"/>
  <c r="Y9" i="3"/>
  <c r="Y17" i="3"/>
  <c r="Y21" i="3"/>
  <c r="S30" i="3"/>
  <c r="T21" i="1"/>
  <c r="U21" i="1" s="1"/>
  <c r="AG15" i="1"/>
  <c r="U15" i="1" s="1"/>
  <c r="U17" i="1"/>
  <c r="W19" i="1"/>
  <c r="W17" i="1"/>
  <c r="AI21" i="1"/>
  <c r="AG20" i="1"/>
  <c r="X20" i="1"/>
  <c r="AI19" i="1"/>
  <c r="AG18" i="1"/>
  <c r="X18" i="1"/>
  <c r="AI17" i="1"/>
  <c r="AG16" i="1"/>
  <c r="X16" i="1"/>
  <c r="AG14" i="1"/>
  <c r="W21" i="1"/>
  <c r="AG23" i="1"/>
  <c r="Y34" i="3"/>
  <c r="AC36" i="3"/>
  <c r="Y27" i="3"/>
  <c r="AE35" i="3"/>
  <c r="Y15" i="3"/>
  <c r="Y14" i="3"/>
  <c r="T31" i="3"/>
  <c r="AD31" i="3"/>
  <c r="R30" i="3"/>
  <c r="X183" i="1"/>
  <c r="AG183" i="1"/>
  <c r="AG170" i="1"/>
  <c r="AI170" i="1" s="1"/>
  <c r="X170" i="1"/>
  <c r="Y12" i="3"/>
  <c r="T175" i="1"/>
  <c r="X175" i="1"/>
  <c r="AG175" i="1"/>
  <c r="AD21" i="3"/>
  <c r="AD23" i="3"/>
  <c r="AD12" i="3"/>
  <c r="T116" i="1"/>
  <c r="AG116" i="1"/>
  <c r="AI116" i="1" s="1"/>
  <c r="AG87" i="1"/>
  <c r="X87" i="1"/>
  <c r="AC8" i="3"/>
  <c r="AA215" i="1"/>
  <c r="AG199" i="1"/>
  <c r="AG195" i="1"/>
  <c r="AI195" i="1" s="1"/>
  <c r="X191" i="1"/>
  <c r="AA187" i="1"/>
  <c r="W187" i="1" s="1"/>
  <c r="X186" i="1"/>
  <c r="T183" i="1"/>
  <c r="AA182" i="1"/>
  <c r="W182" i="1" s="1"/>
  <c r="T167" i="1"/>
  <c r="X167" i="1"/>
  <c r="AG167" i="1"/>
  <c r="AI167" i="1" s="1"/>
  <c r="AG146" i="1"/>
  <c r="AI146" i="1" s="1"/>
  <c r="T146" i="1"/>
  <c r="X117" i="1"/>
  <c r="T112" i="1"/>
  <c r="U112" i="1" s="1"/>
  <c r="S112" i="1" s="1"/>
  <c r="X112" i="1"/>
  <c r="AG112" i="1"/>
  <c r="AI112" i="1" s="1"/>
  <c r="T72" i="1"/>
  <c r="AG72" i="1"/>
  <c r="AI72" i="1" s="1"/>
  <c r="AI178" i="1"/>
  <c r="X176" i="1"/>
  <c r="AA119" i="1"/>
  <c r="AA91" i="1"/>
  <c r="W91" i="1" s="1"/>
  <c r="AI39" i="1"/>
  <c r="AD35" i="3"/>
  <c r="Y35" i="3"/>
  <c r="AE31" i="3"/>
  <c r="AD29" i="3"/>
  <c r="R20" i="3"/>
  <c r="Y23" i="3"/>
  <c r="AE15" i="3"/>
  <c r="AA214" i="1"/>
  <c r="AI213" i="1"/>
  <c r="X211" i="1"/>
  <c r="AI201" i="1"/>
  <c r="AI199" i="1"/>
  <c r="X192" i="1"/>
  <c r="AA190" i="1"/>
  <c r="W190" i="1" s="1"/>
  <c r="AA174" i="1"/>
  <c r="W174" i="1" s="1"/>
  <c r="AA163" i="1"/>
  <c r="AA159" i="1"/>
  <c r="W159" i="1" s="1"/>
  <c r="AG218" i="1"/>
  <c r="AI218" i="1" s="1"/>
  <c r="AA203" i="1"/>
  <c r="AA149" i="1"/>
  <c r="W149" i="1" s="1"/>
  <c r="AG147" i="1"/>
  <c r="U147" i="1" s="1"/>
  <c r="S147" i="1" s="1"/>
  <c r="AA145" i="1"/>
  <c r="AI132" i="1"/>
  <c r="AA124" i="1"/>
  <c r="W124" i="1" s="1"/>
  <c r="AG120" i="1"/>
  <c r="AI120" i="1" s="1"/>
  <c r="AA117" i="1"/>
  <c r="X105" i="1"/>
  <c r="AG104" i="1"/>
  <c r="AI104" i="1" s="1"/>
  <c r="AA99" i="1"/>
  <c r="W99" i="1" s="1"/>
  <c r="AA94" i="1"/>
  <c r="AG80" i="1"/>
  <c r="X69" i="1"/>
  <c r="AA63" i="1"/>
  <c r="W63" i="1" s="1"/>
  <c r="AG59" i="1"/>
  <c r="AI59" i="1" s="1"/>
  <c r="AG53" i="1"/>
  <c r="AA52" i="1"/>
  <c r="W52" i="1" s="1"/>
  <c r="T52" i="1"/>
  <c r="U52" i="1" s="1"/>
  <c r="S52" i="1" s="1"/>
  <c r="AA43" i="1"/>
  <c r="AA33" i="1"/>
  <c r="AI31" i="1"/>
  <c r="AA24" i="1"/>
  <c r="AA186" i="1"/>
  <c r="W186" i="1" s="1"/>
  <c r="AA175" i="1"/>
  <c r="W175" i="1" s="1"/>
  <c r="AA157" i="1"/>
  <c r="T154" i="1"/>
  <c r="U154" i="1" s="1"/>
  <c r="S154" i="1" s="1"/>
  <c r="AI127" i="1"/>
  <c r="AA89" i="1"/>
  <c r="AA87" i="1"/>
  <c r="W87" i="1" s="1"/>
  <c r="AA82" i="1"/>
  <c r="AA79" i="1"/>
  <c r="W79" i="1" s="1"/>
  <c r="AA70" i="1"/>
  <c r="AA68" i="1"/>
  <c r="AA66" i="1"/>
  <c r="AA62" i="1"/>
  <c r="AI57" i="1"/>
  <c r="AG155" i="1"/>
  <c r="U155" i="1" s="1"/>
  <c r="S155" i="1" s="1"/>
  <c r="AA153" i="1"/>
  <c r="AA146" i="1"/>
  <c r="X142" i="1"/>
  <c r="X136" i="1"/>
  <c r="T132" i="1"/>
  <c r="U132" i="1" s="1"/>
  <c r="S132" i="1" s="1"/>
  <c r="AA130" i="1"/>
  <c r="AA127" i="1"/>
  <c r="W127" i="1" s="1"/>
  <c r="AA125" i="1"/>
  <c r="AA111" i="1"/>
  <c r="W111" i="1" s="1"/>
  <c r="AA103" i="1"/>
  <c r="W103" i="1" s="1"/>
  <c r="AA100" i="1"/>
  <c r="W100" i="1" s="1"/>
  <c r="AA98" i="1"/>
  <c r="AG92" i="1"/>
  <c r="AI92" i="1" s="1"/>
  <c r="X92" i="1"/>
  <c r="AA84" i="1"/>
  <c r="W84" i="1" s="1"/>
  <c r="X79" i="1"/>
  <c r="AA69" i="1"/>
  <c r="X65" i="1"/>
  <c r="AA61" i="1"/>
  <c r="AA58" i="1"/>
  <c r="T58" i="1"/>
  <c r="AA55" i="1"/>
  <c r="W55" i="1" s="1"/>
  <c r="X215" i="1"/>
  <c r="X213" i="1"/>
  <c r="AA196" i="1"/>
  <c r="AI194" i="1"/>
  <c r="AI182" i="1"/>
  <c r="AA179" i="1"/>
  <c r="AA165" i="1"/>
  <c r="AG164" i="1"/>
  <c r="X164" i="1"/>
  <c r="AI162" i="1"/>
  <c r="AA205" i="1"/>
  <c r="AI149" i="1"/>
  <c r="AA143" i="1"/>
  <c r="W143" i="1" s="1"/>
  <c r="X137" i="1"/>
  <c r="W119" i="1"/>
  <c r="W118" i="1"/>
  <c r="AA45" i="1"/>
  <c r="AA39" i="1"/>
  <c r="AA32" i="1"/>
  <c r="AA28" i="1"/>
  <c r="AI183" i="1"/>
  <c r="AI174" i="1"/>
  <c r="AI171" i="1"/>
  <c r="AA166" i="1"/>
  <c r="W166" i="1" s="1"/>
  <c r="AI157" i="1"/>
  <c r="AA218" i="1"/>
  <c r="X217" i="1"/>
  <c r="AA151" i="1"/>
  <c r="AA147" i="1"/>
  <c r="W147" i="1" s="1"/>
  <c r="AA142" i="1"/>
  <c r="W142" i="1" s="1"/>
  <c r="T142" i="1"/>
  <c r="AA141" i="1"/>
  <c r="AA140" i="1"/>
  <c r="AA138" i="1"/>
  <c r="AA136" i="1"/>
  <c r="W136" i="1" s="1"/>
  <c r="AI134" i="1"/>
  <c r="AG133" i="1"/>
  <c r="U133" i="1" s="1"/>
  <c r="S133" i="1" s="1"/>
  <c r="X133" i="1"/>
  <c r="X131" i="1"/>
  <c r="AA126" i="1"/>
  <c r="AG125" i="1"/>
  <c r="W125" i="1" s="1"/>
  <c r="X125" i="1"/>
  <c r="AA123" i="1"/>
  <c r="X120" i="1"/>
  <c r="AG108" i="1"/>
  <c r="AI108" i="1" s="1"/>
  <c r="AA102" i="1"/>
  <c r="X96" i="1"/>
  <c r="AA96" i="1"/>
  <c r="W96" i="1" s="1"/>
  <c r="X95" i="1"/>
  <c r="AG88" i="1"/>
  <c r="U88" i="1" s="1"/>
  <c r="S88" i="1" s="1"/>
  <c r="X88" i="1"/>
  <c r="AA86" i="1"/>
  <c r="AA80" i="1"/>
  <c r="W80" i="1" s="1"/>
  <c r="AA74" i="1"/>
  <c r="AG68" i="1"/>
  <c r="AI68" i="1" s="1"/>
  <c r="AA67" i="1"/>
  <c r="W67" i="1" s="1"/>
  <c r="AA59" i="1"/>
  <c r="W59" i="1" s="1"/>
  <c r="AA54" i="1"/>
  <c r="T44" i="1"/>
  <c r="AA213" i="1"/>
  <c r="W213" i="1" s="1"/>
  <c r="AA212" i="1"/>
  <c r="AA202" i="1"/>
  <c r="AG196" i="1"/>
  <c r="U196" i="1" s="1"/>
  <c r="X196" i="1"/>
  <c r="AA195" i="1"/>
  <c r="W195" i="1" s="1"/>
  <c r="AA192" i="1"/>
  <c r="AI190" i="1"/>
  <c r="AA181" i="1"/>
  <c r="W181" i="1" s="1"/>
  <c r="AG180" i="1"/>
  <c r="X180" i="1"/>
  <c r="AA173" i="1"/>
  <c r="W173" i="1" s="1"/>
  <c r="X99" i="1"/>
  <c r="X68" i="1"/>
  <c r="T63" i="1"/>
  <c r="U63" i="1" s="1"/>
  <c r="S63" i="1" s="1"/>
  <c r="T47" i="1"/>
  <c r="U47" i="1" s="1"/>
  <c r="S47" i="1" s="1"/>
  <c r="AA46" i="1"/>
  <c r="AA44" i="1"/>
  <c r="W44" i="1" s="1"/>
  <c r="X44" i="1"/>
  <c r="AG41" i="1"/>
  <c r="AA37" i="1"/>
  <c r="AI35" i="1"/>
  <c r="AA31" i="1"/>
  <c r="W31" i="1" s="1"/>
  <c r="U187" i="1"/>
  <c r="S187" i="1" s="1"/>
  <c r="AI187" i="1"/>
  <c r="W157" i="1"/>
  <c r="T214" i="1"/>
  <c r="T174" i="1"/>
  <c r="W165" i="1"/>
  <c r="T158" i="1"/>
  <c r="U158" i="1" s="1"/>
  <c r="S158" i="1" s="1"/>
  <c r="W207" i="1"/>
  <c r="AA131" i="1"/>
  <c r="W131" i="1" s="1"/>
  <c r="AI131" i="1"/>
  <c r="W191" i="1"/>
  <c r="AG214" i="1"/>
  <c r="AG202" i="1"/>
  <c r="AA199" i="1"/>
  <c r="W199" i="1" s="1"/>
  <c r="AA194" i="1"/>
  <c r="W194" i="1" s="1"/>
  <c r="T191" i="1"/>
  <c r="U191" i="1" s="1"/>
  <c r="S191" i="1" s="1"/>
  <c r="X190" i="1"/>
  <c r="AA185" i="1"/>
  <c r="AA183" i="1"/>
  <c r="W183" i="1" s="1"/>
  <c r="T182" i="1"/>
  <c r="AG179" i="1"/>
  <c r="AG172" i="1"/>
  <c r="U172" i="1" s="1"/>
  <c r="S172" i="1" s="1"/>
  <c r="X172" i="1"/>
  <c r="AA167" i="1"/>
  <c r="T166" i="1"/>
  <c r="AG163" i="1"/>
  <c r="AG219" i="1"/>
  <c r="U219" i="1" s="1"/>
  <c r="S219" i="1" s="1"/>
  <c r="X219" i="1"/>
  <c r="AA209" i="1"/>
  <c r="W209" i="1" s="1"/>
  <c r="T208" i="1"/>
  <c r="U208" i="1" s="1"/>
  <c r="S208" i="1" s="1"/>
  <c r="AG205" i="1"/>
  <c r="U205" i="1" s="1"/>
  <c r="S205" i="1" s="1"/>
  <c r="AG203" i="1"/>
  <c r="U203" i="1" s="1"/>
  <c r="AA156" i="1"/>
  <c r="AG153" i="1"/>
  <c r="AI153" i="1" s="1"/>
  <c r="AG151" i="1"/>
  <c r="AI151" i="1" s="1"/>
  <c r="AA148" i="1"/>
  <c r="AG145" i="1"/>
  <c r="AI145" i="1" s="1"/>
  <c r="AG143" i="1"/>
  <c r="AG140" i="1"/>
  <c r="U140" i="1" s="1"/>
  <c r="S140" i="1" s="1"/>
  <c r="X135" i="1"/>
  <c r="AA134" i="1"/>
  <c r="W134" i="1" s="1"/>
  <c r="T124" i="1"/>
  <c r="W39" i="1"/>
  <c r="T213" i="1"/>
  <c r="U213" i="1" s="1"/>
  <c r="S213" i="1" s="1"/>
  <c r="AA211" i="1"/>
  <c r="AA197" i="1"/>
  <c r="W197" i="1" s="1"/>
  <c r="AA180" i="1"/>
  <c r="W180" i="1" s="1"/>
  <c r="AA177" i="1"/>
  <c r="X174" i="1"/>
  <c r="AA170" i="1"/>
  <c r="AA169" i="1"/>
  <c r="AA164" i="1"/>
  <c r="AA161" i="1"/>
  <c r="X158" i="1"/>
  <c r="AA217" i="1"/>
  <c r="W217" i="1" s="1"/>
  <c r="AA216" i="1"/>
  <c r="AA206" i="1"/>
  <c r="W206" i="1" s="1"/>
  <c r="AA204" i="1"/>
  <c r="W204" i="1" s="1"/>
  <c r="X154" i="1"/>
  <c r="AA150" i="1"/>
  <c r="W150" i="1" s="1"/>
  <c r="T150" i="1"/>
  <c r="X146" i="1"/>
  <c r="T136" i="1"/>
  <c r="U136" i="1" s="1"/>
  <c r="S136" i="1" s="1"/>
  <c r="T109" i="1"/>
  <c r="X109" i="1"/>
  <c r="AG109" i="1"/>
  <c r="AI109" i="1" s="1"/>
  <c r="U108" i="1"/>
  <c r="S108" i="1" s="1"/>
  <c r="T190" i="1"/>
  <c r="AA188" i="1"/>
  <c r="AA178" i="1"/>
  <c r="W178" i="1" s="1"/>
  <c r="AA172" i="1"/>
  <c r="U171" i="1"/>
  <c r="S171" i="1" s="1"/>
  <c r="AA162" i="1"/>
  <c r="W162" i="1" s="1"/>
  <c r="U159" i="1"/>
  <c r="S159" i="1" s="1"/>
  <c r="AA219" i="1"/>
  <c r="AA152" i="1"/>
  <c r="AA144" i="1"/>
  <c r="AG141" i="1"/>
  <c r="AI141" i="1" s="1"/>
  <c r="AA139" i="1"/>
  <c r="AA135" i="1"/>
  <c r="W135" i="1" s="1"/>
  <c r="T135" i="1"/>
  <c r="U135" i="1" s="1"/>
  <c r="S135" i="1" s="1"/>
  <c r="X128" i="1"/>
  <c r="AG128" i="1"/>
  <c r="AA128" i="1"/>
  <c r="T119" i="1"/>
  <c r="U117" i="1"/>
  <c r="S117" i="1" s="1"/>
  <c r="X115" i="1"/>
  <c r="AA109" i="1"/>
  <c r="AA106" i="1"/>
  <c r="AA104" i="1"/>
  <c r="AG100" i="1"/>
  <c r="U100" i="1" s="1"/>
  <c r="S100" i="1" s="1"/>
  <c r="X100" i="1"/>
  <c r="AA97" i="1"/>
  <c r="AA92" i="1"/>
  <c r="W92" i="1" s="1"/>
  <c r="T91" i="1"/>
  <c r="AA85" i="1"/>
  <c r="T84" i="1"/>
  <c r="AG73" i="1"/>
  <c r="AI73" i="1" s="1"/>
  <c r="X73" i="1"/>
  <c r="AA72" i="1"/>
  <c r="W72" i="1" s="1"/>
  <c r="T67" i="1"/>
  <c r="U67" i="1" s="1"/>
  <c r="S67" i="1" s="1"/>
  <c r="AA65" i="1"/>
  <c r="AG61" i="1"/>
  <c r="AA60" i="1"/>
  <c r="W60" i="1" s="1"/>
  <c r="T60" i="1"/>
  <c r="U60" i="1" s="1"/>
  <c r="S60" i="1" s="1"/>
  <c r="AA57" i="1"/>
  <c r="W57" i="1" s="1"/>
  <c r="AA53" i="1"/>
  <c r="W53" i="1" s="1"/>
  <c r="AA51" i="1"/>
  <c r="W51" i="1" s="1"/>
  <c r="AG49" i="1"/>
  <c r="AI49" i="1" s="1"/>
  <c r="AG45" i="1"/>
  <c r="AI45" i="1" s="1"/>
  <c r="T39" i="1"/>
  <c r="U39" i="1" s="1"/>
  <c r="S39" i="1" s="1"/>
  <c r="AA38" i="1"/>
  <c r="W38" i="1" s="1"/>
  <c r="T35" i="1"/>
  <c r="U35" i="1" s="1"/>
  <c r="S35" i="1" s="1"/>
  <c r="AA34" i="1"/>
  <c r="T31" i="1"/>
  <c r="AA30" i="1"/>
  <c r="W30" i="1" s="1"/>
  <c r="T103" i="1"/>
  <c r="U103" i="1" s="1"/>
  <c r="S103" i="1" s="1"/>
  <c r="T96" i="1"/>
  <c r="T83" i="1"/>
  <c r="U83" i="1" s="1"/>
  <c r="S83" i="1" s="1"/>
  <c r="U80" i="1"/>
  <c r="S80" i="1" s="1"/>
  <c r="AA133" i="1"/>
  <c r="T127" i="1"/>
  <c r="U127" i="1" s="1"/>
  <c r="S127" i="1" s="1"/>
  <c r="AA122" i="1"/>
  <c r="X119" i="1"/>
  <c r="AA115" i="1"/>
  <c r="W115" i="1" s="1"/>
  <c r="AA114" i="1"/>
  <c r="AA112" i="1"/>
  <c r="AA110" i="1"/>
  <c r="W110" i="1" s="1"/>
  <c r="AA108" i="1"/>
  <c r="AA101" i="1"/>
  <c r="AG96" i="1"/>
  <c r="T95" i="1"/>
  <c r="U95" i="1" s="1"/>
  <c r="S95" i="1" s="1"/>
  <c r="X91" i="1"/>
  <c r="AA88" i="1"/>
  <c r="AG84" i="1"/>
  <c r="AI84" i="1" s="1"/>
  <c r="AA81" i="1"/>
  <c r="AA78" i="1"/>
  <c r="AA76" i="1"/>
  <c r="W76" i="1" s="1"/>
  <c r="AA73" i="1"/>
  <c r="AA71" i="1"/>
  <c r="X67" i="1"/>
  <c r="AA64" i="1"/>
  <c r="X60" i="1"/>
  <c r="U57" i="1"/>
  <c r="S57" i="1" s="1"/>
  <c r="AA56" i="1"/>
  <c r="U51" i="1"/>
  <c r="S51" i="1" s="1"/>
  <c r="AA48" i="1"/>
  <c r="AG43" i="1"/>
  <c r="T43" i="1"/>
  <c r="U41" i="1"/>
  <c r="S41" i="1" s="1"/>
  <c r="AA41" i="1"/>
  <c r="W41" i="1" s="1"/>
  <c r="AG37" i="1"/>
  <c r="U37" i="1" s="1"/>
  <c r="S37" i="1" s="1"/>
  <c r="AG33" i="1"/>
  <c r="AG28" i="1"/>
  <c r="W117" i="1"/>
  <c r="U116" i="1"/>
  <c r="S116" i="1" s="1"/>
  <c r="T111" i="1"/>
  <c r="U111" i="1" s="1"/>
  <c r="S111" i="1" s="1"/>
  <c r="X103" i="1"/>
  <c r="T99" i="1"/>
  <c r="T87" i="1"/>
  <c r="X83" i="1"/>
  <c r="AI80" i="1"/>
  <c r="W61" i="1"/>
  <c r="W47" i="1"/>
  <c r="AI41" i="1"/>
  <c r="AA40" i="1"/>
  <c r="AA36" i="1"/>
  <c r="T185" i="1"/>
  <c r="X185" i="1"/>
  <c r="T169" i="1"/>
  <c r="X169" i="1"/>
  <c r="T216" i="1"/>
  <c r="X216" i="1"/>
  <c r="T212" i="1"/>
  <c r="X212" i="1"/>
  <c r="X195" i="1"/>
  <c r="T189" i="1"/>
  <c r="X189" i="1"/>
  <c r="T188" i="1"/>
  <c r="AG185" i="1"/>
  <c r="AG184" i="1"/>
  <c r="AI184" i="1" s="1"/>
  <c r="X184" i="1"/>
  <c r="U183" i="1"/>
  <c r="S183" i="1" s="1"/>
  <c r="U182" i="1"/>
  <c r="X179" i="1"/>
  <c r="T178" i="1"/>
  <c r="U178" i="1" s="1"/>
  <c r="S178" i="1" s="1"/>
  <c r="AA176" i="1"/>
  <c r="T173" i="1"/>
  <c r="U173" i="1" s="1"/>
  <c r="S173" i="1" s="1"/>
  <c r="X173" i="1"/>
  <c r="AG169" i="1"/>
  <c r="AG168" i="1"/>
  <c r="AI168" i="1" s="1"/>
  <c r="X168" i="1"/>
  <c r="U166" i="1"/>
  <c r="S166" i="1" s="1"/>
  <c r="X163" i="1"/>
  <c r="T162" i="1"/>
  <c r="U162" i="1" s="1"/>
  <c r="S162" i="1" s="1"/>
  <c r="AA160" i="1"/>
  <c r="T157" i="1"/>
  <c r="U157" i="1" s="1"/>
  <c r="S157" i="1" s="1"/>
  <c r="X157" i="1"/>
  <c r="AG216" i="1"/>
  <c r="AG210" i="1"/>
  <c r="X210" i="1"/>
  <c r="U209" i="1"/>
  <c r="S209" i="1" s="1"/>
  <c r="X205" i="1"/>
  <c r="T204" i="1"/>
  <c r="U204" i="1" s="1"/>
  <c r="S204" i="1" s="1"/>
  <c r="AI154" i="1"/>
  <c r="U153" i="1"/>
  <c r="S153" i="1" s="1"/>
  <c r="T152" i="1"/>
  <c r="X152" i="1"/>
  <c r="AG152" i="1"/>
  <c r="U150" i="1"/>
  <c r="S150" i="1" s="1"/>
  <c r="AI150" i="1"/>
  <c r="U149" i="1"/>
  <c r="S149" i="1" s="1"/>
  <c r="T148" i="1"/>
  <c r="X148" i="1"/>
  <c r="AG148" i="1"/>
  <c r="W148" i="1" s="1"/>
  <c r="T144" i="1"/>
  <c r="X144" i="1"/>
  <c r="AG144" i="1"/>
  <c r="U142" i="1"/>
  <c r="S142" i="1" s="1"/>
  <c r="AI142" i="1"/>
  <c r="AI124" i="1"/>
  <c r="AG123" i="1"/>
  <c r="W123" i="1" s="1"/>
  <c r="X123" i="1"/>
  <c r="T123" i="1"/>
  <c r="X124" i="1"/>
  <c r="T114" i="1"/>
  <c r="X114" i="1"/>
  <c r="AG114" i="1"/>
  <c r="X113" i="1"/>
  <c r="AG113" i="1"/>
  <c r="U99" i="1"/>
  <c r="S99" i="1" s="1"/>
  <c r="AI99" i="1"/>
  <c r="X77" i="1"/>
  <c r="AG77" i="1"/>
  <c r="T77" i="1"/>
  <c r="T156" i="1"/>
  <c r="AG156" i="1"/>
  <c r="AI126" i="1"/>
  <c r="AI125" i="1"/>
  <c r="T211" i="1"/>
  <c r="AG200" i="1"/>
  <c r="T215" i="1"/>
  <c r="T198" i="1"/>
  <c r="U198" i="1" s="1"/>
  <c r="S198" i="1" s="1"/>
  <c r="AI208" i="1"/>
  <c r="AI206" i="1"/>
  <c r="X194" i="1"/>
  <c r="AG189" i="1"/>
  <c r="U180" i="1"/>
  <c r="S180" i="1" s="1"/>
  <c r="AI191" i="1"/>
  <c r="X178" i="1"/>
  <c r="U164" i="1"/>
  <c r="S164" i="1" s="1"/>
  <c r="AI175" i="1"/>
  <c r="X162" i="1"/>
  <c r="T161" i="1"/>
  <c r="X161" i="1"/>
  <c r="T160" i="1"/>
  <c r="AI159" i="1"/>
  <c r="X204" i="1"/>
  <c r="AI155" i="1"/>
  <c r="AI147" i="1"/>
  <c r="AI143" i="1"/>
  <c r="U124" i="1"/>
  <c r="S124" i="1" s="1"/>
  <c r="AI110" i="1"/>
  <c r="U91" i="1"/>
  <c r="S91" i="1" s="1"/>
  <c r="AI91" i="1"/>
  <c r="T78" i="1"/>
  <c r="X78" i="1"/>
  <c r="AG78" i="1"/>
  <c r="S196" i="1"/>
  <c r="AI207" i="1"/>
  <c r="S206" i="1"/>
  <c r="AI158" i="1"/>
  <c r="U199" i="1"/>
  <c r="S199" i="1" s="1"/>
  <c r="T194" i="1"/>
  <c r="U194" i="1" s="1"/>
  <c r="S194" i="1" s="1"/>
  <c r="AG212" i="1"/>
  <c r="AG211" i="1"/>
  <c r="W211" i="1" s="1"/>
  <c r="X199" i="1"/>
  <c r="T193" i="1"/>
  <c r="X193" i="1"/>
  <c r="T192" i="1"/>
  <c r="AG188" i="1"/>
  <c r="T177" i="1"/>
  <c r="X177" i="1"/>
  <c r="T176" i="1"/>
  <c r="S26" i="3"/>
  <c r="AG215" i="1"/>
  <c r="T201" i="1"/>
  <c r="U201" i="1" s="1"/>
  <c r="S201" i="1" s="1"/>
  <c r="AA200" i="1"/>
  <c r="AI210" i="1"/>
  <c r="X198" i="1"/>
  <c r="T197" i="1"/>
  <c r="U197" i="1" s="1"/>
  <c r="S197" i="1" s="1"/>
  <c r="X197" i="1"/>
  <c r="AG193" i="1"/>
  <c r="AI193" i="1" s="1"/>
  <c r="AG192" i="1"/>
  <c r="U190" i="1"/>
  <c r="S190" i="1" s="1"/>
  <c r="X187" i="1"/>
  <c r="T186" i="1"/>
  <c r="U186" i="1" s="1"/>
  <c r="S186" i="1" s="1"/>
  <c r="AA184" i="1"/>
  <c r="W184" i="1" s="1"/>
  <c r="X182" i="1"/>
  <c r="S182" i="1"/>
  <c r="T181" i="1"/>
  <c r="U181" i="1" s="1"/>
  <c r="S181" i="1" s="1"/>
  <c r="X181" i="1"/>
  <c r="AG177" i="1"/>
  <c r="AI177" i="1" s="1"/>
  <c r="AG176" i="1"/>
  <c r="AI176" i="1" s="1"/>
  <c r="U174" i="1"/>
  <c r="S174" i="1" s="1"/>
  <c r="X171" i="1"/>
  <c r="T170" i="1"/>
  <c r="AA168" i="1"/>
  <c r="X166" i="1"/>
  <c r="T165" i="1"/>
  <c r="U165" i="1" s="1"/>
  <c r="S165" i="1" s="1"/>
  <c r="X165" i="1"/>
  <c r="AG161" i="1"/>
  <c r="W161" i="1" s="1"/>
  <c r="AG160" i="1"/>
  <c r="AI160" i="1" s="1"/>
  <c r="X218" i="1"/>
  <c r="T217" i="1"/>
  <c r="U217" i="1" s="1"/>
  <c r="S217" i="1" s="1"/>
  <c r="AA210" i="1"/>
  <c r="W210" i="1" s="1"/>
  <c r="X208" i="1"/>
  <c r="T207" i="1"/>
  <c r="U207" i="1" s="1"/>
  <c r="S207" i="1" s="1"/>
  <c r="X207" i="1"/>
  <c r="U143" i="1"/>
  <c r="S143" i="1" s="1"/>
  <c r="AG139" i="1"/>
  <c r="X139" i="1"/>
  <c r="T139" i="1"/>
  <c r="X140" i="1"/>
  <c r="T130" i="1"/>
  <c r="X130" i="1"/>
  <c r="AG130" i="1"/>
  <c r="X129" i="1"/>
  <c r="AG129" i="1"/>
  <c r="W126" i="1"/>
  <c r="AG107" i="1"/>
  <c r="X107" i="1"/>
  <c r="T107" i="1"/>
  <c r="X108" i="1"/>
  <c r="U92" i="1"/>
  <c r="S92" i="1" s="1"/>
  <c r="AI83" i="1"/>
  <c r="AI74" i="1"/>
  <c r="X155" i="1"/>
  <c r="X151" i="1"/>
  <c r="X147" i="1"/>
  <c r="X143" i="1"/>
  <c r="AA137" i="1"/>
  <c r="T134" i="1"/>
  <c r="U134" i="1" s="1"/>
  <c r="S134" i="1" s="1"/>
  <c r="X134" i="1"/>
  <c r="U128" i="1"/>
  <c r="S128" i="1" s="1"/>
  <c r="AA121" i="1"/>
  <c r="T118" i="1"/>
  <c r="U118" i="1" s="1"/>
  <c r="S118" i="1" s="1"/>
  <c r="X118" i="1"/>
  <c r="AA105" i="1"/>
  <c r="T102" i="1"/>
  <c r="X102" i="1"/>
  <c r="AG102" i="1"/>
  <c r="W102" i="1" s="1"/>
  <c r="T97" i="1"/>
  <c r="X97" i="1"/>
  <c r="AG97" i="1"/>
  <c r="W95" i="1"/>
  <c r="T89" i="1"/>
  <c r="X89" i="1"/>
  <c r="AG89" i="1"/>
  <c r="W88" i="1"/>
  <c r="X81" i="1"/>
  <c r="T81" i="1"/>
  <c r="AG81" i="1"/>
  <c r="U73" i="1"/>
  <c r="S73" i="1" s="1"/>
  <c r="U141" i="1"/>
  <c r="S141" i="1" s="1"/>
  <c r="T138" i="1"/>
  <c r="X138" i="1"/>
  <c r="T137" i="1"/>
  <c r="T122" i="1"/>
  <c r="X122" i="1"/>
  <c r="T121" i="1"/>
  <c r="AI117" i="1"/>
  <c r="W109" i="1"/>
  <c r="T106" i="1"/>
  <c r="X106" i="1"/>
  <c r="T105" i="1"/>
  <c r="AI96" i="1"/>
  <c r="AI95" i="1"/>
  <c r="AI88" i="1"/>
  <c r="AI87" i="1"/>
  <c r="AG71" i="1"/>
  <c r="X71" i="1"/>
  <c r="T71" i="1"/>
  <c r="X72" i="1"/>
  <c r="U61" i="1"/>
  <c r="S61" i="1" s="1"/>
  <c r="X153" i="1"/>
  <c r="X149" i="1"/>
  <c r="X145" i="1"/>
  <c r="X141" i="1"/>
  <c r="AG138" i="1"/>
  <c r="AG137" i="1"/>
  <c r="X132" i="1"/>
  <c r="T131" i="1"/>
  <c r="U131" i="1" s="1"/>
  <c r="S131" i="1" s="1"/>
  <c r="AA129" i="1"/>
  <c r="AI128" i="1"/>
  <c r="X127" i="1"/>
  <c r="T126" i="1"/>
  <c r="U126" i="1" s="1"/>
  <c r="S126" i="1" s="1"/>
  <c r="X126" i="1"/>
  <c r="AG122" i="1"/>
  <c r="AG121" i="1"/>
  <c r="U119" i="1"/>
  <c r="S119" i="1" s="1"/>
  <c r="X116" i="1"/>
  <c r="T115" i="1"/>
  <c r="U115" i="1" s="1"/>
  <c r="S115" i="1" s="1"/>
  <c r="AA113" i="1"/>
  <c r="W113" i="1" s="1"/>
  <c r="X111" i="1"/>
  <c r="T110" i="1"/>
  <c r="U110" i="1" s="1"/>
  <c r="S110" i="1" s="1"/>
  <c r="X110" i="1"/>
  <c r="AG106" i="1"/>
  <c r="AG105" i="1"/>
  <c r="T101" i="1"/>
  <c r="X101" i="1"/>
  <c r="AG101" i="1"/>
  <c r="T93" i="1"/>
  <c r="X93" i="1"/>
  <c r="AG93" i="1"/>
  <c r="W93" i="1" s="1"/>
  <c r="T85" i="1"/>
  <c r="X85" i="1"/>
  <c r="AG85" i="1"/>
  <c r="W83" i="1"/>
  <c r="W74" i="1"/>
  <c r="U72" i="1"/>
  <c r="S72" i="1" s="1"/>
  <c r="U76" i="1"/>
  <c r="S76" i="1" s="1"/>
  <c r="T66" i="1"/>
  <c r="X66" i="1"/>
  <c r="T65" i="1"/>
  <c r="AG56" i="1"/>
  <c r="X56" i="1"/>
  <c r="T56" i="1"/>
  <c r="X39" i="1"/>
  <c r="AG38" i="1"/>
  <c r="T38" i="1"/>
  <c r="X38" i="1"/>
  <c r="X35" i="1"/>
  <c r="AG34" i="1"/>
  <c r="T34" i="1"/>
  <c r="X34" i="1"/>
  <c r="AG30" i="1"/>
  <c r="T30" i="1"/>
  <c r="AG98" i="1"/>
  <c r="AG94" i="1"/>
  <c r="AG90" i="1"/>
  <c r="W90" i="1" s="1"/>
  <c r="AG86" i="1"/>
  <c r="AG82" i="1"/>
  <c r="X76" i="1"/>
  <c r="T75" i="1"/>
  <c r="U75" i="1" s="1"/>
  <c r="S75" i="1" s="1"/>
  <c r="W73" i="1"/>
  <c r="T70" i="1"/>
  <c r="X70" i="1"/>
  <c r="T69" i="1"/>
  <c r="AG66" i="1"/>
  <c r="AG65" i="1"/>
  <c r="AG64" i="1"/>
  <c r="T64" i="1"/>
  <c r="X63" i="1"/>
  <c r="AG62" i="1"/>
  <c r="W62" i="1" s="1"/>
  <c r="X62" i="1"/>
  <c r="X55" i="1"/>
  <c r="AG54" i="1"/>
  <c r="W54" i="1" s="1"/>
  <c r="T54" i="1"/>
  <c r="X54" i="1"/>
  <c r="AG48" i="1"/>
  <c r="T48" i="1"/>
  <c r="X48" i="1"/>
  <c r="U33" i="1"/>
  <c r="S33" i="1" s="1"/>
  <c r="U28" i="1"/>
  <c r="S28" i="1" s="1"/>
  <c r="AG24" i="1"/>
  <c r="T24" i="1"/>
  <c r="X98" i="1"/>
  <c r="X94" i="1"/>
  <c r="X90" i="1"/>
  <c r="X86" i="1"/>
  <c r="X82" i="1"/>
  <c r="X80" i="1"/>
  <c r="T79" i="1"/>
  <c r="U79" i="1" s="1"/>
  <c r="S79" i="1" s="1"/>
  <c r="AA77" i="1"/>
  <c r="W77" i="1" s="1"/>
  <c r="AI76" i="1"/>
  <c r="X75" i="1"/>
  <c r="T74" i="1"/>
  <c r="U74" i="1" s="1"/>
  <c r="S74" i="1" s="1"/>
  <c r="X74" i="1"/>
  <c r="AG70" i="1"/>
  <c r="AG69" i="1"/>
  <c r="X64" i="1"/>
  <c r="AI63" i="1"/>
  <c r="AI61" i="1"/>
  <c r="U53" i="1"/>
  <c r="S53" i="1" s="1"/>
  <c r="AI53" i="1"/>
  <c r="AI47" i="1"/>
  <c r="X59" i="1"/>
  <c r="AG58" i="1"/>
  <c r="U55" i="1"/>
  <c r="S55" i="1" s="1"/>
  <c r="AI52" i="1"/>
  <c r="U45" i="1"/>
  <c r="S45" i="1" s="1"/>
  <c r="X43" i="1"/>
  <c r="AG42" i="1"/>
  <c r="W40" i="1"/>
  <c r="T40" i="1"/>
  <c r="U40" i="1" s="1"/>
  <c r="S40" i="1" s="1"/>
  <c r="U31" i="1"/>
  <c r="S31" i="1" s="1"/>
  <c r="X47" i="1"/>
  <c r="AG46" i="1"/>
  <c r="AI40" i="1"/>
  <c r="AG36" i="1"/>
  <c r="X37" i="1"/>
  <c r="AG32" i="1"/>
  <c r="AG26" i="1"/>
  <c r="W26" i="1" s="1"/>
  <c r="W64" i="1"/>
  <c r="AI60" i="1"/>
  <c r="X51" i="1"/>
  <c r="AG50" i="1"/>
  <c r="W50" i="1" s="1"/>
  <c r="X46" i="1"/>
  <c r="U44" i="1"/>
  <c r="S44" i="1" s="1"/>
  <c r="AI44" i="1"/>
  <c r="X40" i="1"/>
  <c r="X36" i="1"/>
  <c r="W34" i="1"/>
  <c r="X61" i="1"/>
  <c r="X57" i="1"/>
  <c r="X53" i="1"/>
  <c r="X49" i="1"/>
  <c r="X45" i="1"/>
  <c r="X41" i="1"/>
  <c r="AD36" i="3"/>
  <c r="AD33" i="3"/>
  <c r="Y33" i="3"/>
  <c r="Y20" i="3"/>
  <c r="AD19" i="3"/>
  <c r="Y18" i="3"/>
  <c r="Y36" i="3"/>
  <c r="AE27" i="3"/>
  <c r="Y13" i="3"/>
  <c r="Y10" i="3"/>
  <c r="Y30" i="3"/>
  <c r="Y28" i="3"/>
  <c r="Y8" i="3"/>
  <c r="AD9" i="3"/>
  <c r="AC20" i="3"/>
  <c r="AD20" i="3"/>
  <c r="Y24" i="3"/>
  <c r="Y29" i="3"/>
  <c r="AE11" i="3"/>
  <c r="AD8" i="3"/>
  <c r="T26" i="3"/>
  <c r="AD13" i="3"/>
  <c r="Y7" i="3"/>
  <c r="T18" i="3"/>
  <c r="AD32" i="3"/>
  <c r="Y32" i="3"/>
  <c r="AD27" i="3"/>
  <c r="AC13" i="3"/>
  <c r="Y26" i="3"/>
  <c r="T25" i="3"/>
  <c r="AD16" i="3"/>
  <c r="Y16" i="3"/>
  <c r="AD11" i="3"/>
  <c r="AC15" i="3"/>
  <c r="Y31" i="3"/>
  <c r="AE19" i="3"/>
  <c r="Y25" i="3"/>
  <c r="AC35" i="3"/>
  <c r="AD24" i="3"/>
  <c r="AC9" i="3"/>
  <c r="AE30" i="3"/>
  <c r="AE26" i="3"/>
  <c r="T19" i="3"/>
  <c r="T10" i="3"/>
  <c r="AE18" i="3"/>
  <c r="T24" i="3"/>
  <c r="AE14" i="3"/>
  <c r="T12" i="3"/>
  <c r="AE10" i="3"/>
  <c r="T21" i="3"/>
  <c r="AE34" i="3"/>
  <c r="T27" i="3"/>
  <c r="AE33" i="3"/>
  <c r="T35" i="3"/>
  <c r="AD30" i="3"/>
  <c r="T13" i="3"/>
  <c r="AE21" i="3"/>
  <c r="T23" i="3"/>
  <c r="AD18" i="3"/>
  <c r="AE17" i="3"/>
  <c r="T9" i="3"/>
  <c r="AD14" i="3"/>
  <c r="AE13" i="3"/>
  <c r="T28" i="3"/>
  <c r="AD10" i="3"/>
  <c r="AE9" i="3"/>
  <c r="T15" i="3"/>
  <c r="T34" i="3"/>
  <c r="AD34" i="3"/>
  <c r="AE29" i="3"/>
  <c r="T33" i="3"/>
  <c r="AD26" i="3"/>
  <c r="AE25" i="3"/>
  <c r="AE36" i="3"/>
  <c r="AE32" i="3"/>
  <c r="AE28" i="3"/>
  <c r="AE24" i="3"/>
  <c r="AE20" i="3"/>
  <c r="AE16" i="3"/>
  <c r="AE12" i="3"/>
  <c r="AE8" i="3"/>
  <c r="S22" i="3"/>
  <c r="M22" i="3"/>
  <c r="R22" i="3"/>
  <c r="U22" i="3"/>
  <c r="T22" i="3" s="1"/>
  <c r="V22" i="3"/>
  <c r="W22" i="3"/>
  <c r="X22" i="3"/>
  <c r="W32" i="1" l="1"/>
  <c r="W24" i="1"/>
  <c r="AI25" i="1"/>
  <c r="U25" i="1"/>
  <c r="S25" i="1" s="1"/>
  <c r="AI15" i="1"/>
  <c r="W25" i="1"/>
  <c r="AI29" i="1"/>
  <c r="U29" i="1"/>
  <c r="S29" i="1" s="1"/>
  <c r="W29" i="1"/>
  <c r="AI27" i="1"/>
  <c r="U27" i="1"/>
  <c r="S27" i="1" s="1"/>
  <c r="W27" i="1"/>
  <c r="U22" i="1"/>
  <c r="S22" i="1" s="1"/>
  <c r="AI22" i="1"/>
  <c r="W22" i="1"/>
  <c r="W15" i="1"/>
  <c r="W14" i="1"/>
  <c r="U14" i="1"/>
  <c r="AI14" i="1"/>
  <c r="W20" i="1"/>
  <c r="AI20" i="1"/>
  <c r="U20" i="1"/>
  <c r="W18" i="1"/>
  <c r="U18" i="1"/>
  <c r="AI18" i="1"/>
  <c r="AC22" i="3"/>
  <c r="W16" i="1"/>
  <c r="AI16" i="1"/>
  <c r="U16" i="1"/>
  <c r="AI23" i="1"/>
  <c r="U23" i="1"/>
  <c r="S23" i="1" s="1"/>
  <c r="W23" i="1"/>
  <c r="W200" i="1"/>
  <c r="U195" i="1"/>
  <c r="S195" i="1" s="1"/>
  <c r="U109" i="1"/>
  <c r="S109" i="1" s="1"/>
  <c r="U84" i="1"/>
  <c r="S84" i="1" s="1"/>
  <c r="W155" i="1"/>
  <c r="U104" i="1"/>
  <c r="S104" i="1" s="1"/>
  <c r="W28" i="1"/>
  <c r="W156" i="1"/>
  <c r="W179" i="1"/>
  <c r="W146" i="1"/>
  <c r="W163" i="1"/>
  <c r="AI37" i="1"/>
  <c r="W71" i="1"/>
  <c r="U151" i="1"/>
  <c r="S151" i="1" s="1"/>
  <c r="W46" i="1"/>
  <c r="AI28" i="1"/>
  <c r="U68" i="1"/>
  <c r="S68" i="1" s="1"/>
  <c r="W129" i="1"/>
  <c r="AI140" i="1"/>
  <c r="AI163" i="1"/>
  <c r="W188" i="1"/>
  <c r="W144" i="1"/>
  <c r="U87" i="1"/>
  <c r="S87" i="1" s="1"/>
  <c r="W33" i="1"/>
  <c r="W56" i="1"/>
  <c r="W78" i="1"/>
  <c r="W108" i="1"/>
  <c r="W133" i="1"/>
  <c r="U59" i="1"/>
  <c r="S59" i="1" s="1"/>
  <c r="W104" i="1"/>
  <c r="U218" i="1"/>
  <c r="S218" i="1" s="1"/>
  <c r="W164" i="1"/>
  <c r="W167" i="1"/>
  <c r="W214" i="1"/>
  <c r="W218" i="1"/>
  <c r="W196" i="1"/>
  <c r="U146" i="1"/>
  <c r="S146" i="1" s="1"/>
  <c r="U167" i="1"/>
  <c r="S167" i="1" s="1"/>
  <c r="W116" i="1"/>
  <c r="U175" i="1"/>
  <c r="S175" i="1" s="1"/>
  <c r="AI133" i="1"/>
  <c r="W168" i="1"/>
  <c r="AI100" i="1"/>
  <c r="W112" i="1"/>
  <c r="W172" i="1"/>
  <c r="W120" i="1"/>
  <c r="AI33" i="1"/>
  <c r="W65" i="1"/>
  <c r="U170" i="1"/>
  <c r="S170" i="1" s="1"/>
  <c r="U125" i="1"/>
  <c r="S125" i="1" s="1"/>
  <c r="U120" i="1"/>
  <c r="S120" i="1" s="1"/>
  <c r="U145" i="1"/>
  <c r="S145" i="1" s="1"/>
  <c r="W114" i="1"/>
  <c r="W36" i="1"/>
  <c r="AI179" i="1"/>
  <c r="W192" i="1"/>
  <c r="U163" i="1"/>
  <c r="S163" i="1" s="1"/>
  <c r="W152" i="1"/>
  <c r="U179" i="1"/>
  <c r="S179" i="1" s="1"/>
  <c r="W170" i="1"/>
  <c r="W37" i="1"/>
  <c r="W151" i="1"/>
  <c r="AI205" i="1"/>
  <c r="W205" i="1"/>
  <c r="W219" i="1"/>
  <c r="W145" i="1"/>
  <c r="W68" i="1"/>
  <c r="W121" i="1"/>
  <c r="U202" i="1"/>
  <c r="S202" i="1" s="1"/>
  <c r="AI202" i="1"/>
  <c r="W169" i="1"/>
  <c r="AI169" i="1"/>
  <c r="U43" i="1"/>
  <c r="S43" i="1" s="1"/>
  <c r="AI43" i="1"/>
  <c r="W128" i="1"/>
  <c r="W43" i="1"/>
  <c r="U214" i="1"/>
  <c r="S214" i="1" s="1"/>
  <c r="AI214" i="1"/>
  <c r="W140" i="1"/>
  <c r="W141" i="1"/>
  <c r="AI161" i="1"/>
  <c r="AI192" i="1"/>
  <c r="S203" i="1"/>
  <c r="U96" i="1"/>
  <c r="S96" i="1" s="1"/>
  <c r="W203" i="1"/>
  <c r="W202" i="1"/>
  <c r="W185" i="1"/>
  <c r="AI185" i="1"/>
  <c r="U49" i="1"/>
  <c r="S49" i="1" s="1"/>
  <c r="W49" i="1"/>
  <c r="W45" i="1"/>
  <c r="W153" i="1"/>
  <c r="AI50" i="1"/>
  <c r="U50" i="1"/>
  <c r="S50" i="1" s="1"/>
  <c r="U36" i="1"/>
  <c r="S36" i="1" s="1"/>
  <c r="AI36" i="1"/>
  <c r="AI42" i="1"/>
  <c r="U42" i="1"/>
  <c r="S42" i="1" s="1"/>
  <c r="AI69" i="1"/>
  <c r="U69" i="1"/>
  <c r="S69" i="1" s="1"/>
  <c r="U70" i="1"/>
  <c r="S70" i="1" s="1"/>
  <c r="AI70" i="1"/>
  <c r="W70" i="1"/>
  <c r="AI24" i="1"/>
  <c r="U24" i="1"/>
  <c r="S24" i="1" s="1"/>
  <c r="AI54" i="1"/>
  <c r="U54" i="1"/>
  <c r="S54" i="1" s="1"/>
  <c r="AI62" i="1"/>
  <c r="U62" i="1"/>
  <c r="S62" i="1" s="1"/>
  <c r="AI65" i="1"/>
  <c r="U65" i="1"/>
  <c r="S65" i="1" s="1"/>
  <c r="U94" i="1"/>
  <c r="S94" i="1" s="1"/>
  <c r="AI94" i="1"/>
  <c r="AI30" i="1"/>
  <c r="U30" i="1"/>
  <c r="S30" i="1" s="1"/>
  <c r="AI34" i="1"/>
  <c r="U34" i="1"/>
  <c r="S34" i="1" s="1"/>
  <c r="AI38" i="1"/>
  <c r="U38" i="1"/>
  <c r="S38" i="1" s="1"/>
  <c r="U56" i="1"/>
  <c r="S56" i="1" s="1"/>
  <c r="AI56" i="1"/>
  <c r="AI93" i="1"/>
  <c r="U93" i="1"/>
  <c r="S93" i="1" s="1"/>
  <c r="AI121" i="1"/>
  <c r="U121" i="1"/>
  <c r="S121" i="1" s="1"/>
  <c r="U138" i="1"/>
  <c r="S138" i="1" s="1"/>
  <c r="AI138" i="1"/>
  <c r="AI81" i="1"/>
  <c r="U81" i="1"/>
  <c r="S81" i="1" s="1"/>
  <c r="W105" i="1"/>
  <c r="W137" i="1"/>
  <c r="U139" i="1"/>
  <c r="S139" i="1" s="1"/>
  <c r="AI139" i="1"/>
  <c r="AI188" i="1"/>
  <c r="U176" i="1"/>
  <c r="S176" i="1" s="1"/>
  <c r="U193" i="1"/>
  <c r="S193" i="1" s="1"/>
  <c r="AI204" i="1"/>
  <c r="W193" i="1"/>
  <c r="AI216" i="1"/>
  <c r="U212" i="1"/>
  <c r="S212" i="1" s="1"/>
  <c r="W139" i="1"/>
  <c r="W94" i="1"/>
  <c r="AI165" i="1"/>
  <c r="U216" i="1"/>
  <c r="S216" i="1" s="1"/>
  <c r="W160" i="1"/>
  <c r="AI58" i="1"/>
  <c r="U58" i="1"/>
  <c r="S58" i="1" s="1"/>
  <c r="U48" i="1"/>
  <c r="S48" i="1" s="1"/>
  <c r="AI48" i="1"/>
  <c r="U66" i="1"/>
  <c r="S66" i="1" s="1"/>
  <c r="AI66" i="1"/>
  <c r="U82" i="1"/>
  <c r="S82" i="1" s="1"/>
  <c r="AI82" i="1"/>
  <c r="W82" i="1"/>
  <c r="AI105" i="1"/>
  <c r="U105" i="1"/>
  <c r="S105" i="1" s="1"/>
  <c r="U122" i="1"/>
  <c r="S122" i="1" s="1"/>
  <c r="AI122" i="1"/>
  <c r="W122" i="1"/>
  <c r="U177" i="1"/>
  <c r="S177" i="1" s="1"/>
  <c r="AI189" i="1"/>
  <c r="U189" i="1"/>
  <c r="S189" i="1" s="1"/>
  <c r="W81" i="1"/>
  <c r="AI113" i="1"/>
  <c r="U113" i="1"/>
  <c r="S113" i="1" s="1"/>
  <c r="AI196" i="1"/>
  <c r="U184" i="1"/>
  <c r="S184" i="1" s="1"/>
  <c r="W138" i="1"/>
  <c r="U98" i="1"/>
  <c r="S98" i="1" s="1"/>
  <c r="AI98" i="1"/>
  <c r="AI101" i="1"/>
  <c r="U101" i="1"/>
  <c r="S101" i="1" s="1"/>
  <c r="AI89" i="1"/>
  <c r="U89" i="1"/>
  <c r="S89" i="1" s="1"/>
  <c r="U107" i="1"/>
  <c r="S107" i="1" s="1"/>
  <c r="AI107" i="1"/>
  <c r="AI130" i="1"/>
  <c r="U130" i="1"/>
  <c r="S130" i="1" s="1"/>
  <c r="AI172" i="1"/>
  <c r="U160" i="1"/>
  <c r="S160" i="1" s="1"/>
  <c r="W42" i="1"/>
  <c r="W58" i="1"/>
  <c r="U86" i="1"/>
  <c r="S86" i="1" s="1"/>
  <c r="AI86" i="1"/>
  <c r="W69" i="1"/>
  <c r="U106" i="1"/>
  <c r="S106" i="1" s="1"/>
  <c r="AI106" i="1"/>
  <c r="W106" i="1"/>
  <c r="AI97" i="1"/>
  <c r="U97" i="1"/>
  <c r="S97" i="1" s="1"/>
  <c r="U161" i="1"/>
  <c r="S161" i="1" s="1"/>
  <c r="AI173" i="1"/>
  <c r="AI219" i="1"/>
  <c r="U215" i="1"/>
  <c r="S215" i="1" s="1"/>
  <c r="AI200" i="1"/>
  <c r="U188" i="1"/>
  <c r="S188" i="1" s="1"/>
  <c r="W86" i="1"/>
  <c r="W97" i="1"/>
  <c r="AI211" i="1"/>
  <c r="U200" i="1"/>
  <c r="S200" i="1" s="1"/>
  <c r="AI77" i="1"/>
  <c r="U77" i="1"/>
  <c r="S77" i="1" s="1"/>
  <c r="U123" i="1"/>
  <c r="S123" i="1" s="1"/>
  <c r="AI123" i="1"/>
  <c r="AI144" i="1"/>
  <c r="U144" i="1"/>
  <c r="S144" i="1" s="1"/>
  <c r="AI148" i="1"/>
  <c r="U148" i="1"/>
  <c r="S148" i="1" s="1"/>
  <c r="AI152" i="1"/>
  <c r="U152" i="1"/>
  <c r="S152" i="1" s="1"/>
  <c r="AI180" i="1"/>
  <c r="U168" i="1"/>
  <c r="S168" i="1" s="1"/>
  <c r="AI197" i="1"/>
  <c r="U185" i="1"/>
  <c r="S185" i="1" s="1"/>
  <c r="W215" i="1"/>
  <c r="W189" i="1"/>
  <c r="U32" i="1"/>
  <c r="S32" i="1" s="1"/>
  <c r="AI32" i="1"/>
  <c r="U102" i="1"/>
  <c r="S102" i="1" s="1"/>
  <c r="AI102" i="1"/>
  <c r="W48" i="1"/>
  <c r="U26" i="1"/>
  <c r="S26" i="1" s="1"/>
  <c r="AI26" i="1"/>
  <c r="AI46" i="1"/>
  <c r="U46" i="1"/>
  <c r="S46" i="1" s="1"/>
  <c r="U64" i="1"/>
  <c r="S64" i="1" s="1"/>
  <c r="AI64" i="1"/>
  <c r="U90" i="1"/>
  <c r="S90" i="1" s="1"/>
  <c r="AI90" i="1"/>
  <c r="AI85" i="1"/>
  <c r="U85" i="1"/>
  <c r="S85" i="1" s="1"/>
  <c r="AI137" i="1"/>
  <c r="U137" i="1"/>
  <c r="S137" i="1" s="1"/>
  <c r="W66" i="1"/>
  <c r="U71" i="1"/>
  <c r="S71" i="1" s="1"/>
  <c r="AI71" i="1"/>
  <c r="W85" i="1"/>
  <c r="W101" i="1"/>
  <c r="W89" i="1"/>
  <c r="AI129" i="1"/>
  <c r="U129" i="1"/>
  <c r="S129" i="1" s="1"/>
  <c r="AI203" i="1"/>
  <c r="U192" i="1"/>
  <c r="S192" i="1" s="1"/>
  <c r="AI215" i="1"/>
  <c r="U211" i="1"/>
  <c r="S211" i="1" s="1"/>
  <c r="AI78" i="1"/>
  <c r="U78" i="1"/>
  <c r="S78" i="1" s="1"/>
  <c r="W98" i="1"/>
  <c r="W107" i="1"/>
  <c r="W130" i="1"/>
  <c r="AI212" i="1"/>
  <c r="AI156" i="1"/>
  <c r="U156" i="1"/>
  <c r="S156" i="1" s="1"/>
  <c r="AI114" i="1"/>
  <c r="U114" i="1"/>
  <c r="S114" i="1" s="1"/>
  <c r="AI164" i="1"/>
  <c r="U210" i="1"/>
  <c r="S210" i="1" s="1"/>
  <c r="AI181" i="1"/>
  <c r="U169" i="1"/>
  <c r="S169" i="1" s="1"/>
  <c r="W176" i="1"/>
  <c r="W216" i="1"/>
  <c r="W177" i="1"/>
  <c r="W212" i="1"/>
  <c r="AE22" i="3"/>
  <c r="AD22" i="3"/>
  <c r="Y22" i="3"/>
  <c r="AD7" i="3" l="1"/>
  <c r="AE7" i="3"/>
  <c r="M28" i="5" l="1"/>
  <c r="B33" i="9" l="1"/>
  <c r="B34" i="9"/>
  <c r="B35" i="9"/>
  <c r="B36" i="9"/>
  <c r="B37" i="9"/>
  <c r="B38" i="9"/>
  <c r="C38" i="9" s="1"/>
  <c r="B39" i="9"/>
  <c r="B40" i="9"/>
  <c r="B41" i="9"/>
  <c r="B42" i="9"/>
  <c r="B43" i="9"/>
  <c r="B44" i="9"/>
  <c r="B45" i="9"/>
  <c r="B46" i="9"/>
  <c r="C46" i="9" s="1"/>
  <c r="B47" i="9"/>
  <c r="B48" i="9"/>
  <c r="B49" i="9"/>
  <c r="C45" i="9" l="1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K13" i="1" l="1"/>
  <c r="M13" i="1"/>
  <c r="V13" i="1"/>
  <c r="AB13" i="1"/>
  <c r="AC13" i="1"/>
  <c r="AD13" i="1"/>
  <c r="AE13" i="1"/>
  <c r="AF13" i="1"/>
  <c r="AM13" i="1"/>
  <c r="AN13" i="1"/>
  <c r="X14" i="1" l="1"/>
  <c r="X13" i="1"/>
  <c r="AA13" i="1"/>
  <c r="AG13" i="1"/>
  <c r="AI13" i="1" s="1"/>
  <c r="T13" i="1"/>
  <c r="U13" i="1" l="1"/>
  <c r="W13" i="1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14" i="3" s="1"/>
  <c r="G49" i="4"/>
  <c r="G50" i="4"/>
  <c r="N15" i="3" s="1"/>
  <c r="G51" i="4"/>
  <c r="G52" i="4"/>
  <c r="G53" i="4"/>
  <c r="N21" i="3" s="1"/>
  <c r="G54" i="4"/>
  <c r="G55" i="4"/>
  <c r="G56" i="4"/>
  <c r="G57" i="4"/>
  <c r="G58" i="4"/>
  <c r="G59" i="4"/>
  <c r="G60" i="4"/>
  <c r="G61" i="4"/>
  <c r="G62" i="4"/>
  <c r="G63" i="4"/>
  <c r="G64" i="4"/>
  <c r="G65" i="4"/>
  <c r="N8" i="3" s="1"/>
  <c r="G66" i="4"/>
  <c r="G67" i="4"/>
  <c r="G68" i="4"/>
  <c r="G69" i="4"/>
  <c r="G70" i="4"/>
  <c r="G71" i="4"/>
  <c r="G72" i="4"/>
  <c r="N16" i="3" s="1"/>
  <c r="G73" i="4"/>
  <c r="G74" i="4"/>
  <c r="G75" i="4"/>
  <c r="G76" i="4"/>
  <c r="G77" i="4"/>
  <c r="N28" i="3" s="1"/>
  <c r="G78" i="4"/>
  <c r="N12" i="3" s="1"/>
  <c r="G79" i="4"/>
  <c r="G80" i="4"/>
  <c r="G81" i="4"/>
  <c r="G82" i="4"/>
  <c r="G83" i="4"/>
  <c r="G84" i="4"/>
  <c r="G85" i="4"/>
  <c r="G86" i="4"/>
  <c r="G87" i="4"/>
  <c r="N29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17" i="3" s="1"/>
  <c r="G113" i="4"/>
  <c r="G114" i="4"/>
  <c r="N9" i="3" s="1"/>
  <c r="G115" i="4"/>
  <c r="G116" i="4"/>
  <c r="G117" i="4"/>
  <c r="G118" i="4"/>
  <c r="G119" i="4"/>
  <c r="G120" i="4"/>
  <c r="G121" i="4"/>
  <c r="G122" i="4"/>
  <c r="G123" i="4"/>
  <c r="G124" i="4"/>
  <c r="N25" i="3" s="1"/>
  <c r="G125" i="4"/>
  <c r="N10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N31" i="3" s="1"/>
  <c r="G138" i="4"/>
  <c r="G139" i="4"/>
  <c r="N13" i="3" s="1"/>
  <c r="G140" i="4"/>
  <c r="G141" i="4"/>
  <c r="G142" i="4"/>
  <c r="G143" i="4"/>
  <c r="G144" i="4"/>
  <c r="G145" i="4"/>
  <c r="G146" i="4"/>
  <c r="G147" i="4"/>
  <c r="G148" i="4"/>
  <c r="N32" i="3" s="1"/>
  <c r="G149" i="4"/>
  <c r="G150" i="4"/>
  <c r="G151" i="4"/>
  <c r="G152" i="4"/>
  <c r="G153" i="4"/>
  <c r="G154" i="4"/>
  <c r="G155" i="4"/>
  <c r="G156" i="4"/>
  <c r="G157" i="4"/>
  <c r="N33" i="3" s="1"/>
  <c r="G158" i="4"/>
  <c r="G159" i="4"/>
  <c r="G160" i="4"/>
  <c r="N34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N36" i="3" s="1"/>
  <c r="G173" i="4"/>
  <c r="G174" i="4"/>
  <c r="G175" i="4"/>
  <c r="G176" i="4"/>
  <c r="G177" i="4"/>
  <c r="G178" i="4"/>
  <c r="G179" i="4"/>
  <c r="G180" i="4"/>
  <c r="G181" i="4"/>
  <c r="G182" i="4"/>
  <c r="G183" i="4"/>
  <c r="N7" i="3" s="1"/>
  <c r="G184" i="4"/>
  <c r="G185" i="4"/>
  <c r="N35" i="3" s="1"/>
  <c r="G186" i="4"/>
  <c r="G187" i="4"/>
  <c r="G188" i="4"/>
  <c r="N27" i="3" s="1"/>
  <c r="G189" i="4"/>
  <c r="G190" i="4"/>
  <c r="G191" i="4"/>
  <c r="G192" i="4"/>
  <c r="G193" i="4"/>
  <c r="G194" i="4"/>
  <c r="G195" i="4"/>
  <c r="G196" i="4"/>
  <c r="G197" i="4"/>
  <c r="N18" i="3" s="1"/>
  <c r="G198" i="4"/>
  <c r="G199" i="4"/>
  <c r="N11" i="3" s="1"/>
  <c r="G200" i="4"/>
  <c r="G201" i="4"/>
  <c r="G202" i="4"/>
  <c r="G203" i="4"/>
  <c r="G204" i="4"/>
  <c r="G205" i="4"/>
  <c r="G206" i="4"/>
  <c r="G207" i="4"/>
  <c r="G208" i="4"/>
  <c r="G209" i="4"/>
  <c r="N22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9" i="3" l="1"/>
  <c r="N20" i="3"/>
  <c r="N23" i="3"/>
  <c r="N26" i="3"/>
  <c r="N24" i="3"/>
  <c r="N30" i="3"/>
  <c r="L13" i="1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<sst xmlns="http://schemas.openxmlformats.org/spreadsheetml/2006/main" count="2501" uniqueCount="905">
  <si>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</si>
  <si>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</si>
  <si>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</si>
  <si>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</si>
  <si>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</si>
  <si>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</si>
  <si>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</si>
  <si>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</si>
  <si>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</si>
  <si>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</si>
  <si>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</si>
  <si>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</si>
  <si>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</si>
  <si>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</si>
  <si>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</si>
  <si>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</si>
  <si>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</si>
  <si>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</si>
  <si>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</si>
  <si>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</si>
  <si>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</si>
  <si>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</si>
  <si>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</si>
  <si>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</si>
  <si>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</si>
  <si>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</si>
  <si>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</si>
  <si>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</si>
  <si>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</si>
  <si>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</si>
  <si>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</si>
  <si>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</si>
  <si>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</si>
  <si>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</si>
  <si>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</si>
  <si>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</si>
  <si>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</si>
  <si>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</si>
  <si>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</si>
  <si>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</si>
  <si>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</si>
  <si>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</si>
  <si>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</si>
  <si>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</si>
  <si>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</si>
  <si>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</si>
  <si>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</si>
  <si>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</si>
  <si>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</si>
  <si>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</si>
  <si>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</si>
  <si>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</si>
  <si>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</si>
  <si>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</si>
  <si>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</si>
  <si>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</si>
  <si>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</si>
  <si>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</si>
  <si>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</si>
  <si>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</si>
  <si>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</si>
  <si>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</si>
  <si>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</si>
  <si>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</si>
  <si>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</si>
  <si>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</si>
  <si>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</si>
  <si>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</si>
  <si>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</si>
  <si>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</si>
  <si>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</si>
  <si>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</si>
  <si>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</si>
  <si>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</si>
  <si>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</si>
  <si>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</si>
  <si>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</si>
  <si>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</si>
  <si>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</si>
  <si>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</si>
  <si>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</si>
  <si>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</si>
  <si>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</si>
  <si>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</si>
  <si>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</si>
  <si>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</si>
  <si>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</si>
  <si>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</si>
  <si>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</si>
  <si>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</si>
  <si>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</si>
  <si>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</si>
  <si>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</si>
  <si>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</si>
  <si>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</si>
  <si>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</si>
  <si>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</si>
  <si>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</si>
  <si>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</si>
  <si>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</si>
  <si>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</si>
  <si>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</si>
  <si>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</si>
  <si>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</si>
  <si>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</si>
  <si>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</si>
  <si>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</si>
  <si>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</si>
  <si>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</si>
  <si>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</si>
  <si>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</si>
  <si>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</si>
  <si>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</si>
  <si>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</si>
  <si>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</si>
  <si>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</si>
  <si>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</si>
  <si>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</si>
  <si>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</si>
  <si>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</si>
  <si>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</si>
  <si>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</si>
  <si>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</si>
  <si>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</si>
  <si>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</si>
  <si>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</si>
  <si>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</si>
  <si>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</si>
  <si>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</si>
  <si>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</si>
  <si>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</si>
  <si>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</si>
  <si>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</si>
  <si>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</si>
  <si>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</si>
  <si>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</si>
  <si>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</si>
  <si>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</si>
  <si>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</si>
  <si>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</si>
  <si>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</si>
  <si>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</si>
  <si>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</si>
  <si>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</si>
  <si>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</si>
  <si>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</si>
  <si>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</si>
  <si>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</si>
  <si>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</si>
  <si>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</si>
  <si>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</si>
  <si>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</si>
  <si>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</si>
  <si>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</si>
  <si>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</si>
  <si>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</si>
  <si>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</si>
  <si>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</si>
  <si>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</si>
  <si>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</si>
  <si>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</si>
  <si>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</si>
  <si>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</si>
  <si>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</si>
  <si>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</si>
  <si>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</si>
  <si>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</si>
  <si>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</si>
  <si>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</si>
  <si>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</si>
  <si>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</si>
  <si>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</si>
  <si>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</si>
  <si>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</si>
  <si>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</si>
  <si>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</si>
  <si>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</si>
  <si>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</si>
  <si>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</si>
  <si>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</si>
  <si>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</si>
  <si>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</si>
  <si>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</si>
  <si>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</si>
  <si>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</si>
  <si>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</si>
  <si>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</si>
  <si>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</si>
  <si>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</si>
  <si>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</si>
  <si>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</si>
  <si>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</si>
  <si>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</si>
  <si>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</si>
  <si>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</si>
  <si>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</si>
  <si>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</si>
  <si>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</si>
  <si>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</si>
  <si>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</si>
  <si>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</si>
  <si>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</si>
  <si>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</si>
  <si>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</si>
  <si>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</si>
  <si>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</si>
  <si>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</si>
  <si>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</si>
  <si>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</si>
  <si>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</si>
  <si>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</si>
  <si>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</si>
  <si>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</si>
  <si>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</si>
  <si>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</si>
  <si>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</si>
  <si>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</si>
  <si>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</si>
  <si>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</si>
  <si>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</si>
  <si>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</si>
  <si>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</si>
  <si>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</si>
  <si>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</si>
  <si>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</si>
  <si>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</si>
  <si>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</si>
  <si>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204:163</t>
  </si>
  <si>
    <t>204:154</t>
  </si>
  <si>
    <t>204:233297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</si>
  <si>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</si>
  <si>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</si>
  <si>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</si>
  <si>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</si>
  <si>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</si>
  <si>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</si>
  <si>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</si>
  <si>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</si>
  <si>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</si>
  <si>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</si>
  <si>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</si>
  <si>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</si>
  <si>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204:466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</si>
  <si>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</si>
  <si>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</si>
  <si>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</si>
  <si>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</si>
  <si>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</si>
  <si>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</si>
  <si>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</si>
  <si>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rtdc.l.rtdc.4039:itc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</si>
  <si>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</si>
  <si>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</si>
  <si>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</si>
  <si>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</si>
  <si>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</si>
  <si>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</si>
  <si>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</si>
  <si>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</si>
  <si>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</si>
  <si>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</si>
  <si>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</si>
  <si>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</si>
  <si>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</si>
  <si>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</si>
  <si>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</si>
  <si>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</si>
  <si>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</si>
  <si>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</si>
  <si>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</si>
  <si>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</si>
  <si>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204:464</t>
  </si>
  <si>
    <t>rtdc.l.rtdc.4043:itc</t>
  </si>
  <si>
    <t>rtdc.l.rtdc.4044:itc</t>
  </si>
  <si>
    <t>SMITH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</si>
  <si>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</si>
  <si>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</si>
  <si>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</si>
  <si>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</si>
  <si>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</si>
  <si>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</si>
  <si>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</si>
  <si>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</si>
  <si>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</si>
  <si>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</si>
  <si>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</si>
  <si>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</si>
  <si>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</si>
  <si>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</si>
  <si>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</si>
  <si>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</si>
  <si>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204:233312</t>
  </si>
  <si>
    <t>rtdc.l.rtdc.4041:itc</t>
  </si>
  <si>
    <t>rtdc.l.rtdc.4042:itc</t>
  </si>
  <si>
    <t>204:136</t>
  </si>
  <si>
    <t>204:232982</t>
  </si>
  <si>
    <t>204:233301</t>
  </si>
  <si>
    <t>204:232994</t>
  </si>
  <si>
    <t>204:467</t>
  </si>
  <si>
    <t>rtdc.l.rtdc.4017:itc</t>
  </si>
  <si>
    <t>rtdc.l.rtdc.4018:itc</t>
  </si>
  <si>
    <t>rtdc.l.rtdc.4001:itc</t>
  </si>
  <si>
    <t>rtdc.l.rtdc.4002:itc</t>
  </si>
  <si>
    <t>204:233307</t>
  </si>
  <si>
    <t>204:156</t>
  </si>
  <si>
    <t>204:232989</t>
  </si>
  <si>
    <t>204:446</t>
  </si>
  <si>
    <t>204:455</t>
  </si>
  <si>
    <t>300:58939</t>
  </si>
  <si>
    <t>rtdc.l.rtdc.4051:itc</t>
  </si>
  <si>
    <t>rtdc.l.rtdc.4052:itc</t>
  </si>
  <si>
    <t>908-26</t>
  </si>
  <si>
    <t>237-26</t>
  </si>
  <si>
    <t>241-26</t>
  </si>
  <si>
    <t>242-26</t>
  </si>
  <si>
    <t>DAVID</t>
  </si>
  <si>
    <t>236-26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</si>
  <si>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</si>
  <si>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</si>
  <si>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</si>
  <si>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</si>
  <si>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</si>
  <si>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</si>
  <si>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</si>
  <si>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</si>
  <si>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</si>
  <si>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204:233311</t>
  </si>
  <si>
    <t>204:233308</t>
  </si>
  <si>
    <t>204:232969</t>
  </si>
  <si>
    <t>204:169</t>
  </si>
  <si>
    <t>rtdc.l.rtdc.4020:itc</t>
  </si>
  <si>
    <t>MAELZER</t>
  </si>
  <si>
    <t>KURT</t>
  </si>
  <si>
    <t>OUN</t>
  </si>
  <si>
    <t>ZACK</t>
  </si>
  <si>
    <t>ROMERO</t>
  </si>
  <si>
    <t>CHAD</t>
  </si>
  <si>
    <t>DAVIS</t>
  </si>
  <si>
    <t>204:232984</t>
  </si>
  <si>
    <t>204:139</t>
  </si>
  <si>
    <t>204:233017</t>
  </si>
  <si>
    <t>204:232998</t>
  </si>
  <si>
    <t>204:232979</t>
  </si>
  <si>
    <t>204:170</t>
  </si>
  <si>
    <t>rtdc.l.rtdc.4019:itc</t>
  </si>
  <si>
    <t>WENDY</t>
  </si>
  <si>
    <t>CRAYTON</t>
  </si>
  <si>
    <t>QUNTRELL</t>
  </si>
  <si>
    <t>204:726</t>
  </si>
  <si>
    <t>204:232990</t>
  </si>
  <si>
    <t>204:233323</t>
  </si>
  <si>
    <t>204:232992</t>
  </si>
  <si>
    <t>204:233007</t>
  </si>
  <si>
    <t>204:233049</t>
  </si>
  <si>
    <t>204:437</t>
  </si>
  <si>
    <t>204:232987</t>
  </si>
  <si>
    <t>300:58608</t>
  </si>
  <si>
    <t>204:233278</t>
  </si>
  <si>
    <t>204:233304</t>
  </si>
  <si>
    <t>204:233280</t>
  </si>
  <si>
    <t>204:232976</t>
  </si>
  <si>
    <t>204:233397</t>
  </si>
  <si>
    <t>204:478</t>
  </si>
  <si>
    <t>204:233283</t>
  </si>
  <si>
    <t>204:232960</t>
  </si>
  <si>
    <t>Early arrival</t>
  </si>
  <si>
    <t>Wi-MAX data drop</t>
  </si>
  <si>
    <t>SYS :2017/01/29 11:52:55.843:ENFORCEMENT:Predictive Enforcement Action:  Target Number: 00001002  Target Speed:   0.0  Current Speed:   6.9</t>
  </si>
  <si>
    <t>SYS :2017/01/29 11:52:56.113:ENFORCEMENT:Predictive Enforcement Action:  Target Number: 00001002  Target Speed:   0.0  Current Speed:   6.9</t>
  </si>
  <si>
    <t>SYS :2017/01/29 12:42:13.436:ENFORCEMENT:Reactive Enforcement Action:  Target Number: 00017019  Target Speed:  11.0  Current Speed:  16.2</t>
  </si>
  <si>
    <t>SYS :2017/01/29 12:42:13.472:ENFORCEMENT:Reactive Enforcement Action:  Target Number: 00017019  Target Speed:  11.0  Current Speed:  16.2</t>
  </si>
  <si>
    <t>SYS :2017/01/29 14:58:32.149:ENFORCEMENT:Reactive Enforcement Action:  Target Number: 00010067  Target Speed:  35.0  Current Speed:  40.0</t>
  </si>
  <si>
    <t>SYS :2017/01/29 14:58:32.233:ENFORCEMENT:Reactive Enforcement Action:  Target Number: 00010067  Target Speed:  35.0  Current Speed:  40.0</t>
  </si>
  <si>
    <t>SYS :2017/01/29 14:58:32.369:ENFORCEMENT:Reactive Enforcement Action:  Target Number: 00010067  Target Speed:  35.0  Current Speed:  40.0</t>
  </si>
  <si>
    <t>SYS :2017/01/29 16:02:55.866:ENFORCEMENT:Predictive Enforcement Action:  Target Number: 00017023  Target Speed:  10.0  Current Speed:  46.9</t>
  </si>
  <si>
    <t>SYS :2017/01/29 16:02:56.266:ENFORCEMENT:Predictive Enforcement Action:  Target Number: 00017023  Target Speed:  10.0  Current Speed:  46.9</t>
  </si>
  <si>
    <t>SYS :2017/01/29 16:02:56.298:ENFORCEMENT:Predictive Enforcement Action:  Target Number: 00017023  Target Speed:  10.0  Current Speed:  46.9</t>
  </si>
  <si>
    <t>SYS :2017/01/29 16:43:14.325:ENFORCEMENT:Reactive Enforcement Action:  Target Number: 00010067  Target Speed:  15.0  Current Speed:  20.1</t>
  </si>
  <si>
    <t>SYS :2017/01/29 16:43:14.387:ENFORCEMENT:Reactive Enforcement Action:  Target Number: 00010067  Target Speed:  15.0  Current Speed:  20.1</t>
  </si>
  <si>
    <t>SYS :2017/01/29 16:43:14.760:ENFORCEMENT:Reactive Enforcement Action:  Target Number: 00010067  Target Speed:  15.0  Current Speed:  20.1</t>
  </si>
  <si>
    <t>SYS :2017/01/29 18:54:46.753:ENFORCEMENT:Predictive Enforcement Action:  Target Number: 0000611F  Target Speed:   0.0  Current Speed:  53.0</t>
  </si>
  <si>
    <t>SYS :2017/01/29 18:54:47.734:ENFORCEMENT:Predictive Enforcement Action:  Target Number: 0000611F  Target Speed:   0.0  Current Speed:  53.0</t>
  </si>
  <si>
    <t>SYS :2017/01/29 18:54:48.270:ENFORCEMENT:Predictive Enforcement Action:  Target Number: 0000611E  Target Speed:   0.0  Current Speed:  52.3</t>
  </si>
  <si>
    <t>SYS :2017/01/29 19:21:47.723:ENFORCEMENT:Predictive Enforcement Action:  Target Number: 00006193  Target Speed:   0.0  Current Speed:  41.1</t>
  </si>
  <si>
    <t>SYS :2017/01/29 19:21:47.922:ENFORCEMENT:Predictive Enforcement Action:  Target Number: 00006199  Target Speed:   0.0  Current Speed:  41.1</t>
  </si>
  <si>
    <t>SYS :2017/01/29 19:21:48.269:ENFORCEMENT:Predictive Enforcement Action:  Target Number: 0000617D  Target Speed:   0.0  Current Speed:  39.6</t>
  </si>
  <si>
    <t>SYS :2017/01/29 19:34:20.151:ENFORCEMENT:Predictive Enforcement Action:  Target Number: 00001018  Target Speed:   0.0  Current Speed:   4.8</t>
  </si>
  <si>
    <t>SYS :2017/01/29 19:34:20.190:ENFORCEMENT:Predictive Enforcement Action:  Target Number: 00001018  Target Speed:   0.0  Current Speed:   4.8</t>
  </si>
  <si>
    <t>SYS :2017/01/29 19:34:20.228:ENFORCEMENT:Predictive Enforcement Action:  Target Number: 00001018  Target Speed:   0.0  Current Speed:   4.6</t>
  </si>
  <si>
    <t>SYS :2017/01/29 21:05:06.278:ENFORCEMENT:Predictive Enforcement Action:  Target Number: 0000100D  Target Speed:   0.0  Current Speed:   4.9</t>
  </si>
  <si>
    <t>SYS :2017/01/29 21:05:06.594:ENFORCEMENT:Predictive Enforcement Action:  Target Number: 0000100D  Target Speed:   0.0  Current Speed:   4.9</t>
  </si>
  <si>
    <t>SYS :2017/01/29 21:05:06.739:ENFORCEMENT:Predictive Enforcement Action:  Target Number: 0000100D  Target Speed:   0.0  Current Speed:   4.9</t>
  </si>
  <si>
    <t>SYS :2017/01/29 21:18:51.743:ENFORCEMENT:Predictive Enforcement Action:  Target Number: 00001012  Target Speed:   0.0  Current Speed:  14.9</t>
  </si>
  <si>
    <t>SYS :2017/01/29 21:18:51.983:ENFORCEMENT:Predictive Enforcement Action:  Target Number: 00001012  Target Speed:   0.0  Current Speed:  15.0</t>
  </si>
  <si>
    <t>SYS :2017/01/29 21:19:37.539:ENFORCEMENT:Predictive Enforcement Action:  Target Number: 00001012  Target Speed:   0.0  Current Speed:   7.4</t>
  </si>
  <si>
    <t>SYS :2017/01/29 21:19:37.747:ENFORCEMENT:Predictive Enforcement Action:  Target Number: 00001012  Target Speed:   0.0  Current Speed:   7.3</t>
  </si>
  <si>
    <t>SYS :2017/01/29 21:19:37.982:ENFORCEMENT:Predictive Enforcement Action:  Target Number: 00001012  Target Speed:   0.0  Current Speed:   7.4</t>
  </si>
  <si>
    <t>SYS :2017/01/29 23:36:00.229:ENFORCEMENT:Predictive Enforcement Action:  Target Number: 00001024  Target Speed:   0.0  Current Speed:   4.5</t>
  </si>
  <si>
    <t>SYS :2017/01/29 23:36:01.156:ENFORCEMENT:Predictive Enforcement Action:  Target Number: 00001024  Target Speed:   0.0  Current Speed:   4.3</t>
  </si>
  <si>
    <t>SYS :2017/01/30 00:11:47.292:ENFORCEMENT:Predictive Enforcement Action:  Target Number: 000040BB  Target Speed:   0.0  Current Speed:  44.2</t>
  </si>
  <si>
    <t>SYS :2017/01/30 00:11:47.608:ENFORCEMENT:Predictive Enforcement Action:  Target Number: 000040BC  Target Speed:   0.0  Current Speed:  44.1</t>
  </si>
  <si>
    <t>SYS :2017/01/30 00:11:47.734:ENFORCEMENT:Predictive Enforcement Action:  Target Number: 000040BC  Target Speed:   0.0  Current Speed:  44.1</t>
  </si>
  <si>
    <t>SYS :2017/01/30 02:35:27.420:ENFORCEMENT:Predictive Enforcement Action:  Target Number: 00001007  Target Speed:   0.0  Current Speed:   2.6</t>
  </si>
  <si>
    <t>SYS :2017/01/30 02:35:27.463:ENFORCEMENT:Predictive Enforcement Action:  Target Number: 00001007  Target Speed:   0.0  Current Speed:   2.6</t>
  </si>
  <si>
    <t>SYS :2017/01/30 02:35:27.688:ENFORCEMENT:Predictive Enforcement Action:  Target Number: 00001007  Target Speed:   0.0  Current Speed:   2.6</t>
  </si>
  <si>
    <t>SYS :2017/01/30 06:34:10.889:ENFORCEMENT:Predictive Enforcement Action:  Target Number: 000040F2  Target Speed:   0.0  Current Speed:  24.8</t>
  </si>
  <si>
    <t>SYS :2017/01/30 06:34:10.895:ENFORCEMENT:Predictive Enforcement Action:  Target Number: 000040F1  Target Speed:   0.0  Current Speed:  24.8</t>
  </si>
  <si>
    <t>SYS :2017/01/30 06:34:11.200:ENFORCEMENT:Predictive Enforcement Action:  Target Number: 000040E7  Target Speed:   0.0  Current Speed:  24.9</t>
  </si>
  <si>
    <t>SYS :2017/01/30 06:34:11.205:ENFORCEMENT:Predictive Enforcement Action:  Target Number: 000040E6  Target Speed:   0.0  Current Speed:  24.9</t>
  </si>
  <si>
    <t>SYS :2017/01/30 06:34:11.721:ENFORCEMENT:Predictive Enforcement Action:  Target Number: 000040ED  Target Speed:   0.0  Current Speed:  24.9</t>
  </si>
  <si>
    <t>SYS :2017/01/30 06:34:11.726:ENFORCEMENT:Predictive Enforcement Action:  Target Number: 000040EC  Target Speed:   0.0  Current Speed:  24.9</t>
  </si>
  <si>
    <t>SYS :2017/01/30 07:03:19.939:ENFORCEMENT:Predictive Enforcement Action:  Target Number: 00001003  Target Speed:   0.0  Current Speed:   5.1</t>
  </si>
  <si>
    <t>SYS :2017/01/30 07:03:20.106:ENFORCEMENT:Predictive Enforcement Action:  Target Number: 0000101F  Target Speed:   0.0  Current Speed:   5.1</t>
  </si>
  <si>
    <t>SYS :2017/01/30 07:37:18.262:ENFORCEMENT:Predictive Enforcement Action:  Target Number: 0000101B  Target Speed:   0.0  Current Speed:   1.6</t>
  </si>
  <si>
    <t>SYS :2017/01/30 07:37:18.483:ENFORCEMENT:Predictive Enforcement Action:  Target Number: 0000101B  Target Speed:   0.0  Current Speed:   1.6</t>
  </si>
  <si>
    <t>SYS :2017/01/30 07:37:18.794:ENFORCEMENT:Predictive Enforcement Action:  Target Number: 0000100F  Target Speed:   0.0  Current Speed:   1.6</t>
  </si>
  <si>
    <t>rtdc.l.rtdc.4016:itc</t>
  </si>
  <si>
    <t>842-30</t>
  </si>
  <si>
    <t>844-30</t>
  </si>
  <si>
    <t>241-30</t>
  </si>
  <si>
    <t>236-30</t>
  </si>
  <si>
    <t>STARKS</t>
  </si>
  <si>
    <t>ANGELINA</t>
  </si>
  <si>
    <t>BONDS</t>
  </si>
  <si>
    <t>REYNALDO</t>
  </si>
  <si>
    <t>ROCHA</t>
  </si>
  <si>
    <t>YAOTL</t>
  </si>
  <si>
    <t>SPECTOR</t>
  </si>
  <si>
    <t>CLARK</t>
  </si>
  <si>
    <t>KATHLEEN</t>
  </si>
  <si>
    <t>LEVERE</t>
  </si>
  <si>
    <t>CRAIG</t>
  </si>
  <si>
    <t>MACDONALD</t>
  </si>
  <si>
    <t>THOMAS</t>
  </si>
  <si>
    <t>LALONDE</t>
  </si>
  <si>
    <t>GREGORY</t>
  </si>
  <si>
    <t>MAGEE</t>
  </si>
  <si>
    <t>KENYA</t>
  </si>
  <si>
    <t>843-30</t>
  </si>
  <si>
    <t>227-30</t>
  </si>
  <si>
    <t>226-30</t>
  </si>
  <si>
    <t>229-30</t>
  </si>
  <si>
    <t>231-30</t>
  </si>
  <si>
    <t>845-30</t>
  </si>
  <si>
    <t>228-30</t>
  </si>
  <si>
    <t>233-30</t>
  </si>
  <si>
    <t>230-30</t>
  </si>
  <si>
    <t>847-30</t>
  </si>
  <si>
    <t>232-30</t>
  </si>
  <si>
    <t>235-30</t>
  </si>
  <si>
    <t>908-30</t>
  </si>
  <si>
    <t>234-30</t>
  </si>
  <si>
    <t>237-30</t>
  </si>
  <si>
    <t>239-30</t>
  </si>
  <si>
    <t>238-30</t>
  </si>
  <si>
    <t>240-30</t>
  </si>
  <si>
    <t>243-30</t>
  </si>
  <si>
    <t>309-30</t>
  </si>
  <si>
    <t>242-30</t>
  </si>
  <si>
    <t>311-30</t>
  </si>
  <si>
    <t>244-30</t>
  </si>
  <si>
    <t>313-30</t>
  </si>
  <si>
    <t>Mostly Cloudy</t>
  </si>
  <si>
    <t>204:447</t>
  </si>
  <si>
    <t>204:233034</t>
  </si>
  <si>
    <t>204:233010</t>
  </si>
  <si>
    <t>204:233340</t>
  </si>
  <si>
    <t>204:435</t>
  </si>
  <si>
    <t>204:232993</t>
  </si>
  <si>
    <t>204:233317</t>
  </si>
  <si>
    <t>204:233291</t>
  </si>
  <si>
    <t>204:233329</t>
  </si>
  <si>
    <t>204:473</t>
  </si>
  <si>
    <t>204:233408</t>
  </si>
  <si>
    <t>204:482</t>
  </si>
  <si>
    <t>204:233298</t>
  </si>
  <si>
    <t>204:233395</t>
  </si>
  <si>
    <t>204:172</t>
  </si>
  <si>
    <t>204:232973</t>
  </si>
  <si>
    <t>204:233003</t>
  </si>
  <si>
    <t>300:59012</t>
  </si>
  <si>
    <t>300:58692</t>
  </si>
  <si>
    <t>300:58596</t>
  </si>
  <si>
    <t>204:631</t>
  </si>
  <si>
    <t>300:58628</t>
  </si>
  <si>
    <t>300:58926</t>
  </si>
  <si>
    <t>300:58651</t>
  </si>
  <si>
    <t>300:58960</t>
  </si>
  <si>
    <t>204:962</t>
  </si>
  <si>
    <t>300:58965</t>
  </si>
  <si>
    <t>start /low /b %USERPROFILE%\Documents\GitHub\eaglep3\Utilities\DownloadLogsFromS3.py --loco 4041 --day 2017-01-31</t>
  </si>
  <si>
    <t>803-31</t>
  </si>
  <si>
    <t>134-31</t>
  </si>
  <si>
    <t>136-31</t>
  </si>
  <si>
    <t>145-31</t>
  </si>
  <si>
    <t>148-31</t>
  </si>
  <si>
    <t>152-31</t>
  </si>
  <si>
    <t>817-31</t>
  </si>
  <si>
    <t>163-31</t>
  </si>
  <si>
    <t>819-31</t>
  </si>
  <si>
    <t>182-31</t>
  </si>
  <si>
    <t>184-31</t>
  </si>
  <si>
    <t>827-31</t>
  </si>
  <si>
    <t>TEMPORARY SPEED RESTRICTION</t>
  </si>
  <si>
    <t>rtdc.l.rtdc.4010:itc</t>
  </si>
  <si>
    <t>826-31</t>
  </si>
  <si>
    <t>rtdc.l.rtdc.4008:itc</t>
  </si>
  <si>
    <t>828-31</t>
  </si>
  <si>
    <t>197-31</t>
  </si>
  <si>
    <t>831-31</t>
  </si>
  <si>
    <t>205-31</t>
  </si>
  <si>
    <t>198-31</t>
  </si>
  <si>
    <t>835-31</t>
  </si>
  <si>
    <t>rtdc.l.rtdc.4009:itc</t>
  </si>
  <si>
    <t>837-31</t>
  </si>
  <si>
    <t>839-31</t>
  </si>
  <si>
    <t>305-31</t>
  </si>
  <si>
    <t>226-31</t>
  </si>
  <si>
    <t>845-31</t>
  </si>
  <si>
    <t>844-31</t>
  </si>
  <si>
    <t>234-31</t>
  </si>
  <si>
    <t>239-31</t>
  </si>
  <si>
    <t>801-31</t>
  </si>
  <si>
    <t>STRICKLAND</t>
  </si>
  <si>
    <t>EVAN</t>
  </si>
  <si>
    <t>110-31</t>
  </si>
  <si>
    <t>112-31</t>
  </si>
  <si>
    <t>LOZA</t>
  </si>
  <si>
    <t>FIDEL</t>
  </si>
  <si>
    <t>117-31</t>
  </si>
  <si>
    <t>902-31</t>
  </si>
  <si>
    <t>119-31</t>
  </si>
  <si>
    <t>114-31</t>
  </si>
  <si>
    <t>121-31</t>
  </si>
  <si>
    <t>802-31</t>
  </si>
  <si>
    <t>116-31</t>
  </si>
  <si>
    <t>123-31</t>
  </si>
  <si>
    <t>805-31</t>
  </si>
  <si>
    <t>118-31</t>
  </si>
  <si>
    <t>804-31</t>
  </si>
  <si>
    <t>125-31</t>
  </si>
  <si>
    <t>120-31</t>
  </si>
  <si>
    <t>127-31</t>
  </si>
  <si>
    <t>122-31</t>
  </si>
  <si>
    <t>129-31</t>
  </si>
  <si>
    <t>806-31</t>
  </si>
  <si>
    <t>807-31</t>
  </si>
  <si>
    <t>124-31</t>
  </si>
  <si>
    <t>131-31</t>
  </si>
  <si>
    <t>809-31</t>
  </si>
  <si>
    <t>126-31</t>
  </si>
  <si>
    <t>808-31</t>
  </si>
  <si>
    <t>133-31</t>
  </si>
  <si>
    <t>128-31</t>
  </si>
  <si>
    <t>135-31</t>
  </si>
  <si>
    <t>810-31</t>
  </si>
  <si>
    <t>130-31</t>
  </si>
  <si>
    <t>811-31</t>
  </si>
  <si>
    <t>137-31</t>
  </si>
  <si>
    <t>132-31</t>
  </si>
  <si>
    <t>139-31</t>
  </si>
  <si>
    <t>SNYDER</t>
  </si>
  <si>
    <t>PETER</t>
  </si>
  <si>
    <t>903-31</t>
  </si>
  <si>
    <t>812-31</t>
  </si>
  <si>
    <t>141-31</t>
  </si>
  <si>
    <t>143-31</t>
  </si>
  <si>
    <t>138-31</t>
  </si>
  <si>
    <t>813-31</t>
  </si>
  <si>
    <t>140-31</t>
  </si>
  <si>
    <t>147-31</t>
  </si>
  <si>
    <t>142-31</t>
  </si>
  <si>
    <t>814-31</t>
  </si>
  <si>
    <t>149-31</t>
  </si>
  <si>
    <t>144-31</t>
  </si>
  <si>
    <t>151-31</t>
  </si>
  <si>
    <t>153-31</t>
  </si>
  <si>
    <t>146-31</t>
  </si>
  <si>
    <t>815-31</t>
  </si>
  <si>
    <t>155-31</t>
  </si>
  <si>
    <t>150-31</t>
  </si>
  <si>
    <t>157-31</t>
  </si>
  <si>
    <t>816-31</t>
  </si>
  <si>
    <t>50-31</t>
  </si>
  <si>
    <t>159-31</t>
  </si>
  <si>
    <t>SWANSON</t>
  </si>
  <si>
    <t>BRYCE</t>
  </si>
  <si>
    <t>154-31</t>
  </si>
  <si>
    <t>161-31</t>
  </si>
  <si>
    <t>STEWART</t>
  </si>
  <si>
    <t>156-31</t>
  </si>
  <si>
    <t>53-31</t>
  </si>
  <si>
    <t>160-31</t>
  </si>
  <si>
    <t>165-31</t>
  </si>
  <si>
    <t>158-31</t>
  </si>
  <si>
    <t>818-31</t>
  </si>
  <si>
    <t>167-31</t>
  </si>
  <si>
    <t>162-31</t>
  </si>
  <si>
    <t>169-31</t>
  </si>
  <si>
    <t>164-31</t>
  </si>
  <si>
    <t>171-31</t>
  </si>
  <si>
    <t>BRANNON</t>
  </si>
  <si>
    <t>JEFFREY</t>
  </si>
  <si>
    <t>166-31</t>
  </si>
  <si>
    <t>173-31</t>
  </si>
  <si>
    <t>820-31</t>
  </si>
  <si>
    <t>168-31</t>
  </si>
  <si>
    <t>175-31</t>
  </si>
  <si>
    <t>170-31</t>
  </si>
  <si>
    <t>821-31</t>
  </si>
  <si>
    <t>LEVIN</t>
  </si>
  <si>
    <t>SCOTT</t>
  </si>
  <si>
    <t>177-31</t>
  </si>
  <si>
    <t>172-31</t>
  </si>
  <si>
    <t>179-31</t>
  </si>
  <si>
    <t>174-31</t>
  </si>
  <si>
    <t>822-31</t>
  </si>
  <si>
    <t>181-31</t>
  </si>
  <si>
    <t>176-31</t>
  </si>
  <si>
    <t>183-31</t>
  </si>
  <si>
    <t>178-31</t>
  </si>
  <si>
    <t>185-31</t>
  </si>
  <si>
    <t>823-31</t>
  </si>
  <si>
    <t>180-31</t>
  </si>
  <si>
    <t>187-31</t>
  </si>
  <si>
    <t>824-31</t>
  </si>
  <si>
    <t>189-31</t>
  </si>
  <si>
    <t>191-31</t>
  </si>
  <si>
    <t>186-31</t>
  </si>
  <si>
    <t>188-31</t>
  </si>
  <si>
    <t>193-31</t>
  </si>
  <si>
    <t>825-31</t>
  </si>
  <si>
    <t>904-31</t>
  </si>
  <si>
    <t>195-31</t>
  </si>
  <si>
    <t>190-31</t>
  </si>
  <si>
    <t>192-31</t>
  </si>
  <si>
    <t>199-31</t>
  </si>
  <si>
    <t>MOSES</t>
  </si>
  <si>
    <t>BRADLEY</t>
  </si>
  <si>
    <t>194-31</t>
  </si>
  <si>
    <t>201-31</t>
  </si>
  <si>
    <t>196-31</t>
  </si>
  <si>
    <t>829-31</t>
  </si>
  <si>
    <t>203-31</t>
  </si>
  <si>
    <t>830-31</t>
  </si>
  <si>
    <t>200-31</t>
  </si>
  <si>
    <t>202-31</t>
  </si>
  <si>
    <t>207-31</t>
  </si>
  <si>
    <t>52-31</t>
  </si>
  <si>
    <t>832-31</t>
  </si>
  <si>
    <t>209-31</t>
  </si>
  <si>
    <t>833-31</t>
  </si>
  <si>
    <t>204-31</t>
  </si>
  <si>
    <t>211-31</t>
  </si>
  <si>
    <t>206-31</t>
  </si>
  <si>
    <t>834-31</t>
  </si>
  <si>
    <t>213-31</t>
  </si>
  <si>
    <t>208-31</t>
  </si>
  <si>
    <t>215-31</t>
  </si>
  <si>
    <t>210-31</t>
  </si>
  <si>
    <t>836-31</t>
  </si>
  <si>
    <t>217-31</t>
  </si>
  <si>
    <t>DAVIDSON</t>
  </si>
  <si>
    <t>212-31</t>
  </si>
  <si>
    <t>219-31</t>
  </si>
  <si>
    <t>214-31</t>
  </si>
  <si>
    <t>838-31</t>
  </si>
  <si>
    <t>303-31</t>
  </si>
  <si>
    <t>216-31</t>
  </si>
  <si>
    <t>54-31</t>
  </si>
  <si>
    <t>SAFIEF</t>
  </si>
  <si>
    <t>AEIMEN</t>
  </si>
  <si>
    <t>221-31</t>
  </si>
  <si>
    <t>218-31</t>
  </si>
  <si>
    <t>906-31</t>
  </si>
  <si>
    <t>220-31</t>
  </si>
  <si>
    <t>841-31</t>
  </si>
  <si>
    <t>223-31</t>
  </si>
  <si>
    <t>840-31</t>
  </si>
  <si>
    <t>307-31</t>
  </si>
  <si>
    <t>222-31</t>
  </si>
  <si>
    <t>225-31</t>
  </si>
  <si>
    <t>227-31</t>
  </si>
  <si>
    <t>224-31</t>
  </si>
  <si>
    <t>843-31</t>
  </si>
  <si>
    <t>842-31</t>
  </si>
  <si>
    <t>229-31</t>
  </si>
  <si>
    <t>228-31</t>
  </si>
  <si>
    <t>231-31</t>
  </si>
  <si>
    <t>233-31</t>
  </si>
  <si>
    <t>230-31</t>
  </si>
  <si>
    <t>847-31</t>
  </si>
  <si>
    <t>235-31</t>
  </si>
  <si>
    <t>232-31</t>
  </si>
  <si>
    <t>908-31</t>
  </si>
  <si>
    <t>237-31</t>
  </si>
  <si>
    <t>236-31</t>
  </si>
  <si>
    <t>241-31</t>
  </si>
  <si>
    <t>238-31</t>
  </si>
  <si>
    <t>243-31</t>
  </si>
  <si>
    <t>240-31</t>
  </si>
  <si>
    <t>309-31</t>
  </si>
  <si>
    <t>242-31</t>
  </si>
  <si>
    <t>311-31</t>
  </si>
  <si>
    <t>244-31</t>
  </si>
  <si>
    <t>313-31</t>
  </si>
  <si>
    <t>315-31</t>
  </si>
  <si>
    <t>204:134</t>
  </si>
  <si>
    <t>204:232977</t>
  </si>
  <si>
    <t>204:233000</t>
  </si>
  <si>
    <t>204:138</t>
  </si>
  <si>
    <t>204:763</t>
  </si>
  <si>
    <t>204:233286</t>
  </si>
  <si>
    <t>204:232986</t>
  </si>
  <si>
    <t>204:233332</t>
  </si>
  <si>
    <t>204:233009</t>
  </si>
  <si>
    <t>204:431</t>
  </si>
  <si>
    <t>204:233002</t>
  </si>
  <si>
    <t>204:233324</t>
  </si>
  <si>
    <t>204:233295</t>
  </si>
  <si>
    <t>204:232981</t>
  </si>
  <si>
    <t>204:427</t>
  </si>
  <si>
    <t>204:167</t>
  </si>
  <si>
    <t>204:233338</t>
  </si>
  <si>
    <t>204:1158</t>
  </si>
  <si>
    <t>204:233309</t>
  </si>
  <si>
    <t>204:429</t>
  </si>
  <si>
    <t>204:233326</t>
  </si>
  <si>
    <t>204:1473</t>
  </si>
  <si>
    <t>204:233019</t>
  </si>
  <si>
    <t>204:233351</t>
  </si>
  <si>
    <t>204:233319</t>
  </si>
  <si>
    <t>204:230142</t>
  </si>
  <si>
    <t>204:233303</t>
  </si>
  <si>
    <t>204:183</t>
  </si>
  <si>
    <t>204:232971</t>
  </si>
  <si>
    <t>204:480</t>
  </si>
  <si>
    <t>204:233251</t>
  </si>
  <si>
    <t>204:232936</t>
  </si>
  <si>
    <t>204:233006</t>
  </si>
  <si>
    <t>204:178</t>
  </si>
  <si>
    <t>204:233096</t>
  </si>
  <si>
    <t>204:233272</t>
  </si>
  <si>
    <t>204:232950</t>
  </si>
  <si>
    <t>204:233310</t>
  </si>
  <si>
    <t>204:233281</t>
  </si>
  <si>
    <t>204:276</t>
  </si>
  <si>
    <t>204:1156</t>
  </si>
  <si>
    <t>204:233276</t>
  </si>
  <si>
    <t>204:232944</t>
  </si>
  <si>
    <t>204:229499</t>
  </si>
  <si>
    <t>204:1001</t>
  </si>
  <si>
    <t>204:486</t>
  </si>
  <si>
    <t>204:233306</t>
  </si>
  <si>
    <t>204:232985</t>
  </si>
  <si>
    <t>204:559</t>
  </si>
  <si>
    <t>204:233263</t>
  </si>
  <si>
    <t>204:232953</t>
  </si>
  <si>
    <t>204:937</t>
  </si>
  <si>
    <t>204:232972</t>
  </si>
  <si>
    <t>204:233274</t>
  </si>
  <si>
    <t>204:1165</t>
  </si>
  <si>
    <t>204:493</t>
  </si>
  <si>
    <t>204:233403</t>
  </si>
  <si>
    <t>204:233086</t>
  </si>
  <si>
    <t>204:174</t>
  </si>
  <si>
    <t>204:233361</t>
  </si>
  <si>
    <t>204:233053</t>
  </si>
  <si>
    <t>204:233247</t>
  </si>
  <si>
    <t>204:232966</t>
  </si>
  <si>
    <t>204:233098</t>
  </si>
  <si>
    <t>204:254</t>
  </si>
  <si>
    <t>204:233410</t>
  </si>
  <si>
    <t>204:232964</t>
  </si>
  <si>
    <t>204:233331</t>
  </si>
  <si>
    <t>204:575</t>
  </si>
  <si>
    <t>204:233085</t>
  </si>
  <si>
    <t>204:232</t>
  </si>
  <si>
    <t>204:1236</t>
  </si>
  <si>
    <t>300:23346</t>
  </si>
  <si>
    <t>204:1490</t>
  </si>
  <si>
    <t>204:1875</t>
  </si>
  <si>
    <t>204:3037</t>
  </si>
  <si>
    <t>204:4879</t>
  </si>
  <si>
    <t>300:23295</t>
  </si>
  <si>
    <t>300:23310</t>
  </si>
  <si>
    <t>204:537</t>
  </si>
  <si>
    <t>204:1539</t>
  </si>
  <si>
    <t>300:21967</t>
  </si>
  <si>
    <t>204:885</t>
  </si>
  <si>
    <t>300:23565</t>
  </si>
  <si>
    <t>204:1192</t>
  </si>
  <si>
    <t>300:24267</t>
  </si>
  <si>
    <t>300:21771</t>
  </si>
  <si>
    <t>204:146</t>
  </si>
  <si>
    <t>204:1044</t>
  </si>
  <si>
    <t>300:58649</t>
  </si>
  <si>
    <t>204:768</t>
  </si>
  <si>
    <t>204:1021</t>
  </si>
  <si>
    <t>300:58941</t>
  </si>
  <si>
    <t>204:722</t>
  </si>
  <si>
    <t>204:1035</t>
  </si>
  <si>
    <t>300:58971</t>
  </si>
  <si>
    <t>300:58647</t>
  </si>
  <si>
    <t>204:741</t>
  </si>
  <si>
    <t>204:1013</t>
  </si>
  <si>
    <t>300:58950</t>
  </si>
  <si>
    <t>300:58636</t>
  </si>
  <si>
    <t>204:1042</t>
  </si>
  <si>
    <t>300:58956</t>
  </si>
  <si>
    <t>300:58632</t>
  </si>
  <si>
    <t>204:757</t>
  </si>
  <si>
    <t>204:1007</t>
  </si>
  <si>
    <t>300:58980</t>
  </si>
  <si>
    <t>300:58662</t>
  </si>
  <si>
    <t>300:58973</t>
  </si>
  <si>
    <t>300:58656</t>
  </si>
  <si>
    <t>204:1004</t>
  </si>
  <si>
    <t>300:58946</t>
  </si>
  <si>
    <t>204:747</t>
  </si>
  <si>
    <t>300:58944</t>
  </si>
  <si>
    <t>300:58624</t>
  </si>
  <si>
    <t>204:734</t>
  </si>
  <si>
    <t>204:1009</t>
  </si>
  <si>
    <t>300:58922</t>
  </si>
  <si>
    <t>204:157</t>
  </si>
  <si>
    <t>204:995</t>
  </si>
  <si>
    <t>300:58634</t>
  </si>
  <si>
    <t>204:677</t>
  </si>
  <si>
    <t>300:58958</t>
  </si>
  <si>
    <t>300:58643</t>
  </si>
  <si>
    <t>204:640</t>
  </si>
  <si>
    <t>204:934</t>
  </si>
  <si>
    <t>300:58967</t>
  </si>
  <si>
    <t>204:649</t>
  </si>
  <si>
    <t>204:939</t>
  </si>
  <si>
    <t>204:712</t>
  </si>
  <si>
    <t>204:930</t>
  </si>
  <si>
    <t>300:58975</t>
  </si>
  <si>
    <t>204:663</t>
  </si>
  <si>
    <t>204:1006</t>
  </si>
  <si>
    <t>300:58995</t>
  </si>
  <si>
    <t>300:58677</t>
  </si>
  <si>
    <t>204:671</t>
  </si>
  <si>
    <t>204:953</t>
  </si>
  <si>
    <t>300:58626</t>
  </si>
  <si>
    <t>204:647</t>
  </si>
  <si>
    <t>300:58997</t>
  </si>
  <si>
    <t>300:58666</t>
  </si>
  <si>
    <t>204:948</t>
  </si>
  <si>
    <t>204:661</t>
  </si>
  <si>
    <t>204:902</t>
  </si>
  <si>
    <t>300:59003</t>
  </si>
  <si>
    <t>204:951</t>
  </si>
  <si>
    <t>204:656</t>
  </si>
  <si>
    <t>300:57352</t>
  </si>
  <si>
    <t>204:720</t>
  </si>
  <si>
    <t>300:59007</t>
  </si>
  <si>
    <t>300:23317</t>
  </si>
  <si>
    <t>204:733</t>
  </si>
  <si>
    <t>204:1039</t>
  </si>
  <si>
    <t>300:24258</t>
  </si>
  <si>
    <t>300:23112</t>
  </si>
  <si>
    <t>300:58688</t>
  </si>
  <si>
    <t>300:28791</t>
  </si>
  <si>
    <t>300:58691</t>
  </si>
  <si>
    <t>300:21742</t>
  </si>
  <si>
    <t>start /low /b %USERPROFILE%\Documents\GitHub\eaglep3\Utilities\DownloadLogsFromS3.py --loco 4012 --day 2017-01-31</t>
  </si>
  <si>
    <t>start /low /b %USERPROFILE%\Documents\GitHub\eaglep3\Utilities\DownloadLogsFromS3.py --loco 4037 --day 2017-01-31</t>
  </si>
  <si>
    <t>start /low /b %USERPROFILE%\Documents\GitHub\eaglep3\Utilities\DownloadLogsFromS3.py --loco 4011 --day 2017-01-31</t>
  </si>
  <si>
    <t>start /low /b %USERPROFILE%\Documents\GitHub\eaglep3\Utilities\DownloadLogsFromS3.py --loco 4039 --day 2017-02-01</t>
  </si>
  <si>
    <t>start /low /b %USERPROFILE%\Documents\GitHub\eaglep3\Utilities\DownloadLogsFromS3.py --loco 4039 --day 2017-01-31</t>
  </si>
  <si>
    <t>start /low /b %USERPROFILE%\Documents\GitHub\eaglep3\Utilities\DownloadLogsFromS3.py --loco 4002 --day 2017-02-01</t>
  </si>
  <si>
    <t>start /low /b %USERPROFILE%\Documents\GitHub\eaglep3\Utilities\DownloadLogsFromS3.py --loco 4027 --day 2017-01-31</t>
  </si>
  <si>
    <t>start /low /b %USERPROFILE%\Documents\GitHub\eaglep3\Utilities\DownloadLogsFromS3.py --loco 4027 --day 2017-02-01</t>
  </si>
  <si>
    <t>start /low /b %USERPROFILE%\Documents\GitHub\eaglep3\Utilities\DownloadLogsFromS3.py --loco 4028 --day 2017-01-31</t>
  </si>
  <si>
    <t>start /low /b %USERPROFILE%\Documents\GitHub\eaglep3\Utilities\DownloadLogsFromS3.py --loco 4001 --day 2017-01-31</t>
  </si>
  <si>
    <t>start /low /b %USERPROFILE%\Documents\GitHub\eaglep3\Utilities\DownloadLogsFromS3.py --loco 4012 --day 2017-02-01</t>
  </si>
  <si>
    <t>start /low /b %USERPROFILE%\Documents\GitHub\eaglep3\Utilities\DownloadLogsFromS3.py --loco 4025 --day 2017-01-31</t>
  </si>
  <si>
    <t>start /low /b %USERPROFILE%\Documents\GitHub\eaglep3\Utilities\DownloadLogsFromS3.py --loco 4051 --day 2017-01-31</t>
  </si>
  <si>
    <t>start /low /b %USERPROFILE%\Documents\GitHub\eaglep3\Utilities\DownloadLogsFromS3.py --loco 4008 --day 2017-01-31</t>
  </si>
  <si>
    <t>start /low /b %USERPROFILE%\Documents\GitHub\eaglep3\Utilities\DownloadLogsFromS3.py --loco 4007 --day 2017-01-31</t>
  </si>
  <si>
    <t>start /low /b %USERPROFILE%\Documents\GitHub\eaglep3\Utilities\DownloadLogsFromS3.py --loco 4010 --day 2017-01-31</t>
  </si>
  <si>
    <t>start /low /b %USERPROFILE%\Documents\GitHub\eaglep3\Utilities\DownloadLogsFromS3.py --loco 4010 --day 2017-02-01</t>
  </si>
  <si>
    <t>start /low /b %USERPROFILE%\Documents\GitHub\eaglep3\Utilities\DownloadLogsFromS3.py --loco 4007 --day 2017-02-01</t>
  </si>
  <si>
    <t>start /low /b %USERPROFILE%\Documents\GitHub\eaglep3\Utilities\DownloadLogsFromS3.py --loco 4009 --day 2017-02-01</t>
  </si>
  <si>
    <t>Banner without braking (55 mph speed restriction approaching DIA)</t>
  </si>
  <si>
    <t>Delayed by map selection issues - reverser handle being centered</t>
  </si>
  <si>
    <t>http://stevetu21.github.io/eaglep3/load_kml.html?kml=http://rtdc.gmaps-snips.s3.amazonaws.com/4db19c1d-e3f6-4b04-aa4b-6fa41c60b5c3.kml</t>
  </si>
  <si>
    <t>http://stevetu21.github.io/eaglep3/load_kml.html?kml=http://rtdc.gmaps-snips.s3.amazonaws.com/14cf9e87-03a5-49d4-8f37-23ea50de14d8.kml</t>
  </si>
  <si>
    <t>http://stevetu21.github.io/eaglep3/load_kml.html?kml=http://rtdc.gmaps-snips.s3.amazonaws.com/927e39fe-7033-41a2-bc42-a4383a461b08.kml</t>
  </si>
  <si>
    <t>111-31</t>
  </si>
  <si>
    <t>101-31</t>
  </si>
  <si>
    <t>102-31</t>
  </si>
  <si>
    <t>103-31</t>
  </si>
  <si>
    <t>104-31</t>
  </si>
  <si>
    <t>105-31</t>
  </si>
  <si>
    <t>106-31</t>
  </si>
  <si>
    <t>107-31</t>
  </si>
  <si>
    <t>108-31</t>
  </si>
  <si>
    <t>109-31</t>
  </si>
  <si>
    <t>BOS crashed</t>
  </si>
  <si>
    <t>115-31</t>
  </si>
  <si>
    <t>113-31</t>
  </si>
  <si>
    <t>Banner w/o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</si>
</sst>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5" xfId="0" applyNumberFormat="1" applyFill="1" applyBorder="1"/>
    <xf numFmtId="169" fontId="0" fillId="0" borderId="0" xfId="0" applyNumberFormat="1" applyAlignment="1"/>
    <xf numFmtId="169" fontId="0" fillId="0" borderId="0" xfId="0" applyNumberFormat="1" applyBorder="1"/>
    <xf numFmtId="169" fontId="1" fillId="0" borderId="0" xfId="0" applyNumberFormat="1" applyFo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3"/>
  <sheetViews>
    <sheetView tabSelected="1" topLeftCell="A91" zoomScaleNormal="100" workbookViewId="0">
      <selection activeCell="V105" sqref="V105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5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61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3"/>
      <c r="V1" s="174"/>
      <c r="W1" s="173"/>
      <c r="X1" s="175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61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42766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42766</v>
      </c>
      <c r="S2" s="66"/>
      <c r="T2" s="67"/>
      <c r="U2" s="176"/>
      <c r="V2" s="177" t="s">
        <v>8</v>
      </c>
      <c r="W2" s="178"/>
      <c r="X2" s="179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61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80"/>
      <c r="V3" s="181" t="s">
        <v>11</v>
      </c>
      <c r="W3" s="182" t="s">
        <v>12</v>
      </c>
      <c r="X3" s="183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61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46</v>
      </c>
      <c r="T4" s="40"/>
      <c r="U4" s="184"/>
      <c r="V4" s="181" t="s">
        <v>15</v>
      </c>
      <c r="W4" s="182" t="s">
        <v>15</v>
      </c>
      <c r="X4" s="183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61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COUNTIFS($N$13:$N$9376,"&gt;0",$AG$13:$AG$9376,I1)</f>
        <v>130</v>
      </c>
      <c r="K5" s="40"/>
      <c r="L5" s="40"/>
      <c r="M5" s="41">
        <f>AVERAGEIFS($N$13:$N$9376,$AG$13:$AG$9376,I1)</f>
        <v>37.99974358975529</v>
      </c>
      <c r="N5" s="39">
        <f t="array" ref="N5">MIN(IF($AG$13:$AG$9376=I1,IF(ISNUMBER($N$13:$N$9376),IF($N$13:$N$9376&gt;0,$N$13:$N$9376))))</f>
        <v>30.01666666357778</v>
      </c>
      <c r="O5" s="3">
        <f t="array" ref="O5">MAX(IF($AG$13:$AG$9376=I1,IF(ISNUMBER($N$13:$N$9376),IF($N$13:$N$9376&gt;0,$N$13:$N$9376))))</f>
        <v>54.649999992689118</v>
      </c>
      <c r="P5" s="2"/>
      <c r="R5" s="74" t="s">
        <v>17</v>
      </c>
      <c r="S5" s="50">
        <f>COUNTIFS($N$13:$N$9376,"&gt;0",$AG$13:$AG$9376,R1)</f>
        <v>46</v>
      </c>
      <c r="T5" s="40"/>
      <c r="U5" s="184"/>
      <c r="V5" s="181">
        <f>AVERAGEIFS($N$13:$N$9376,$AG$13:$AG$9376,R1)</f>
        <v>15.623913043477248</v>
      </c>
      <c r="W5" s="182">
        <f t="array" ref="W5">MIN(IF($AG$13:$AG$9376=R1,IF(ISNUMBER($N$13:$N$9376),IF($N$13:$N$9376&gt;0,$N$13:$N$9376))))</f>
        <v>13.316666667815298</v>
      </c>
      <c r="X5" s="183">
        <f t="array" ref="X5">MAX(IF($AG$13:$AG$9376=R1,IF(ISNUMBER($N$13:$N$9376),IF($N$13:$N$9376&gt;0,$N$13:$N$9376))))</f>
        <v>22.083333340706304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61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COUNT($O$13:$O$134)</f>
        <v>0</v>
      </c>
      <c r="K6" s="40"/>
      <c r="L6" s="40"/>
      <c r="M6" s="41">
        <f>IFERROR(AVERAGE($O$13:$O$134),0)</f>
        <v>0</v>
      </c>
      <c r="N6" s="39">
        <f>MIN($O$13:$O$134)</f>
        <v>0</v>
      </c>
      <c r="O6" s="3">
        <f>MAX($O$13:$O$134)</f>
        <v>0</v>
      </c>
      <c r="P6" s="2"/>
      <c r="R6" s="75" t="s">
        <v>43</v>
      </c>
      <c r="S6" s="50">
        <f>COUNT($O$13:$O$134)</f>
        <v>0</v>
      </c>
      <c r="T6" s="40"/>
      <c r="U6" s="184"/>
      <c r="V6" s="181">
        <f>IFERROR(AVERAGE($O$13:$O$134),0)</f>
        <v>0</v>
      </c>
      <c r="W6" s="182">
        <f>MIN($O$13:$O$134)</f>
        <v>0</v>
      </c>
      <c r="X6" s="183">
        <f>MAX($O$13:$O$134)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61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COUNTIFS($P$13:$P$9376,"&gt;0",$AG$13:$AG$9376,I1)</f>
        <v>14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COUNTIFS($P$13:$P$9376,"&gt;0",$AG$13:$AG$9376,R1)</f>
        <v>0</v>
      </c>
      <c r="T7" s="40"/>
      <c r="U7" s="184"/>
      <c r="V7" s="181" t="s">
        <v>15</v>
      </c>
      <c r="W7" s="182" t="s">
        <v>15</v>
      </c>
      <c r="X7" s="183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61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130</v>
      </c>
      <c r="K8" s="40"/>
      <c r="L8" s="40"/>
      <c r="M8" s="41">
        <f>M5</f>
        <v>37.99974358975529</v>
      </c>
      <c r="N8" s="39">
        <f>N5</f>
        <v>30.01666666357778</v>
      </c>
      <c r="O8" s="3">
        <f>O5</f>
        <v>54.649999992689118</v>
      </c>
      <c r="P8" s="2"/>
      <c r="R8" s="74" t="s">
        <v>16</v>
      </c>
      <c r="S8" s="50">
        <f>S5</f>
        <v>46</v>
      </c>
      <c r="T8" s="40"/>
      <c r="U8" s="184"/>
      <c r="V8" s="181">
        <f>V5</f>
        <v>15.623913043477248</v>
      </c>
      <c r="W8" s="182">
        <f>W5</f>
        <v>13.316666667815298</v>
      </c>
      <c r="X8" s="183">
        <f>X5</f>
        <v>22.083333340706304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61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0.90277777777777779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3"/>
      <c r="V9" s="185"/>
      <c r="W9" s="173"/>
      <c r="X9" s="186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61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5"/>
      <c r="V10" s="187"/>
      <c r="W10" s="188"/>
      <c r="X10" s="188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61"/>
    </row>
    <row r="11" spans="1:91" ht="16.5" thickBot="1" x14ac:dyDescent="0.3">
      <c r="A11" s="196" t="str">
        <f>"Eagle P3 System Performance - "&amp;TEXT(Variables!A2,"yyyy-mm-dd")</f>
        <v>Eagle P3 System Performance - 2017-01-31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64">
        <f>AVERAGE(S13:S100)</f>
        <v>0.85227272727272729</v>
      </c>
      <c r="V11" s="187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62" t="s">
        <v>217</v>
      </c>
      <c r="AN12" s="47" t="s">
        <v>236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892</v>
      </c>
      <c r="B13" s="7"/>
      <c r="C13" s="21" t="s">
        <v>193</v>
      </c>
      <c r="D13" s="21" t="s">
        <v>342</v>
      </c>
      <c r="E13" s="13">
        <v>42766.2343287037</v>
      </c>
      <c r="F13" s="13"/>
      <c r="G13" s="7"/>
      <c r="H13" s="21"/>
      <c r="I13" s="13"/>
      <c r="J13" s="7">
        <v>0</v>
      </c>
      <c r="K13" s="98" t="str">
        <f>IF(ISEVEN(B13),(B13-1)&amp;"/"&amp;B13,B13&amp;"/"&amp;(B13+1))</f>
        <v>-1/</v>
      </c>
      <c r="L13" s="21" t="e">
        <f>VLOOKUP(A13,'Trips&amp;Operators'!$C$1:$G$99999,5,FALSE)</f>
        <v>#N/A</v>
      </c>
      <c r="M13" s="6">
        <f>I13-F13</f>
        <v>0</v>
      </c>
      <c r="N13" s="7"/>
      <c r="O13" s="7"/>
      <c r="P13" s="7">
        <v>1</v>
      </c>
      <c r="Q13" s="22"/>
      <c r="R13" s="22" t="s">
        <v>901</v>
      </c>
      <c r="S13" s="31">
        <v>0</v>
      </c>
      <c r="T13" s="46" t="str">
        <f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93" t="str">
        <f t="shared" ref="V13:V76" si="0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3" s="194" t="str">
        <f>IF(AA13&lt;IF(AG13="EC",23,5.65),"Y","N")</f>
        <v>Y</v>
      </c>
      <c r="X13" s="194" t="e">
        <f>VALUE(LEFT(AD13,4))-VALUE(LEFT(AD12,4))</f>
        <v>#VALUE!</v>
      </c>
      <c r="Y13" s="62">
        <v>0</v>
      </c>
      <c r="Z13" s="62">
        <v>0</v>
      </c>
      <c r="AA13" s="62">
        <f>ABS(Z13-Y13)</f>
        <v>0</v>
      </c>
      <c r="AB13" s="59" t="e">
        <f>VLOOKUP(A13,Enforcements!$C$7:$K$16,8,0)</f>
        <v>#N/A</v>
      </c>
      <c r="AC13" s="55" t="e">
        <f>VLOOKUP(A13,Enforcements!$C$7:$E$16,3,0)</f>
        <v>#N/A</v>
      </c>
      <c r="AD13" s="56" t="str">
        <f>IF(LEN(A13)=6,"0"&amp;A13,A13)</f>
        <v>0101-31</v>
      </c>
      <c r="AE13" s="85" t="str">
        <f t="shared" ref="AE13:AE76" si="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" s="82" t="str">
        <f t="shared" ref="AF13:AF76" si="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13" s="108" t="str">
        <f t="shared" ref="AI13" si="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ID","value":"101-31"},{"id":16,"name":"Locomotive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61" t="str">
        <f t="shared" ref="AM13" si="5">"start /low /b "&amp;dls3logs&amp;" --loco "&amp;B13&amp;" --day "&amp;TEXT(F13,"YYYY-MM-DD")</f>
        <v>start /low /b %USERPROFILE%\Documents\GitHub\eaglep3\Utilities\DownloadLogsFromS3.py --loco  --day 1900-01-00</v>
      </c>
      <c r="AN13" s="170" t="e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#DIV/0!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893</v>
      </c>
      <c r="B14" s="7"/>
      <c r="C14" s="21" t="s">
        <v>193</v>
      </c>
      <c r="D14" s="21" t="s">
        <v>342</v>
      </c>
      <c r="E14" s="13">
        <v>42766.2343287037</v>
      </c>
      <c r="F14" s="13"/>
      <c r="G14" s="7"/>
      <c r="H14" s="21"/>
      <c r="I14" s="13"/>
      <c r="J14" s="7">
        <v>0</v>
      </c>
      <c r="K14" s="98" t="str">
        <f t="shared" ref="K14:K22" si="6">IF(ISEVEN(B14),(B14-1)&amp;"/"&amp;B14,B14&amp;"/"&amp;(B14+1))</f>
        <v>-1/</v>
      </c>
      <c r="L14" s="21" t="e">
        <f>VLOOKUP(A14,'Trips&amp;Operators'!$C$1:$G$99999,5,FALSE)</f>
        <v>#N/A</v>
      </c>
      <c r="M14" s="6">
        <f t="shared" ref="M14:M22" si="7">I14-F14</f>
        <v>0</v>
      </c>
      <c r="N14" s="7"/>
      <c r="O14" s="7"/>
      <c r="P14" s="7">
        <v>1</v>
      </c>
      <c r="Q14" s="22"/>
      <c r="R14" s="22" t="s">
        <v>901</v>
      </c>
      <c r="S14" s="31">
        <v>0</v>
      </c>
      <c r="T14" s="46" t="str">
        <f t="shared" ref="T14:T22" si="8">IF(ISEVEN(LEFT(AD14,4)),"Southbound","NorthBound")</f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" s="194" t="str">
        <f t="shared" ref="W14:W22" si="9">IF(AA14&lt;IF(AG14="EC",23,5.65),"Y","N")</f>
        <v>Y</v>
      </c>
      <c r="X14" s="194">
        <f t="shared" ref="X14:X33" si="10">VALUE(LEFT(AD14,4))-VALUE(LEFT(AD13,4))</f>
        <v>1</v>
      </c>
      <c r="Y14" s="62">
        <v>0</v>
      </c>
      <c r="Z14" s="62">
        <v>0</v>
      </c>
      <c r="AA14" s="62">
        <f t="shared" ref="AA14:AA22" si="11">ABS(Z14-Y14)</f>
        <v>0</v>
      </c>
      <c r="AB14" s="59" t="e">
        <f>VLOOKUP(A14,Enforcements!$C$7:$K$16,8,0)</f>
        <v>#N/A</v>
      </c>
      <c r="AC14" s="55" t="e">
        <f>VLOOKUP(A14,Enforcements!$C$7:$E$16,3,0)</f>
        <v>#N/A</v>
      </c>
      <c r="AD14" s="56" t="str">
        <f t="shared" ref="AD14:AD22" si="12">IF(LEN(A14)=6,"0"&amp;A14,A14)</f>
        <v>0102-31</v>
      </c>
      <c r="AE14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" s="1" t="str">
        <f t="shared" ref="AG14:AG22" si="13">IFERROR(IF(VALUE(LEFT(AD14,2))&lt;=2,"EC",IF(OR(VALUE(LEFT(AD14,2))=8,VALUE(LEFT(AD14,2))=18),"NW","Other")),"Other")</f>
        <v>EC</v>
      </c>
      <c r="AH14" s="86" t="str">
        <f t="shared" ref="AH14:AH22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14" s="108" t="str">
        <f t="shared" ref="AI14:AI22" si="1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ID","value":"102-31"},{"id":16,"name":"Locomotive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61" t="str">
        <f t="shared" ref="AM14:AM22" si="16">"start /low /b "&amp;dls3logs&amp;" --loco "&amp;B14&amp;" --day "&amp;TEXT(F14,"YYYY-MM-DD")</f>
        <v>start /low /b %USERPROFILE%\Documents\GitHub\eaglep3\Utilities\DownloadLogsFromS3.py --loco  --day 1900-01-00</v>
      </c>
      <c r="AN14" s="170" t="e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#DIV/0!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3" t="s">
        <v>894</v>
      </c>
      <c r="B15" s="7"/>
      <c r="C15" s="21" t="s">
        <v>193</v>
      </c>
      <c r="D15" s="21" t="s">
        <v>342</v>
      </c>
      <c r="E15" s="13">
        <v>42766.2343287037</v>
      </c>
      <c r="F15" s="13"/>
      <c r="G15" s="7"/>
      <c r="H15" s="21"/>
      <c r="I15" s="13"/>
      <c r="J15" s="7">
        <v>0</v>
      </c>
      <c r="K15" s="98" t="str">
        <f t="shared" si="6"/>
        <v>-1/</v>
      </c>
      <c r="L15" s="21" t="e">
        <f>VLOOKUP(A15,'Trips&amp;Operators'!$C$1:$G$99999,5,FALSE)</f>
        <v>#N/A</v>
      </c>
      <c r="M15" s="6">
        <f t="shared" si="7"/>
        <v>0</v>
      </c>
      <c r="N15" s="7"/>
      <c r="O15" s="7"/>
      <c r="P15" s="7">
        <v>1</v>
      </c>
      <c r="Q15" s="22"/>
      <c r="R15" s="22" t="s">
        <v>901</v>
      </c>
      <c r="S15" s="31">
        <v>0</v>
      </c>
      <c r="T15" s="46" t="str">
        <f t="shared" si="8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" s="194" t="str">
        <f t="shared" si="9"/>
        <v>Y</v>
      </c>
      <c r="X15" s="194">
        <f t="shared" si="10"/>
        <v>1</v>
      </c>
      <c r="Y15" s="62">
        <v>0</v>
      </c>
      <c r="Z15" s="62">
        <v>0</v>
      </c>
      <c r="AA15" s="62">
        <f t="shared" si="11"/>
        <v>0</v>
      </c>
      <c r="AB15" s="59" t="e">
        <f>VLOOKUP(A15,Enforcements!$C$7:$K$16,8,0)</f>
        <v>#N/A</v>
      </c>
      <c r="AC15" s="55" t="e">
        <f>VLOOKUP(A15,Enforcements!$C$7:$E$16,3,0)</f>
        <v>#N/A</v>
      </c>
      <c r="AD15" s="56" t="str">
        <f t="shared" si="12"/>
        <v>0103-31</v>
      </c>
      <c r="AE15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6" t="str">
        <f t="shared" si="14"/>
        <v>"%USERPROFILE%\Documents\GitHub\eaglep3\Utilities\RefineRTDCRunTimes.py" --tripid 103-31 --locoid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15" s="108" t="str">
        <f t="shared" si="15"/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ID","value":"103-31"},{"id":16,"name":"Locomotive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61" t="str">
        <f t="shared" si="16"/>
        <v>start /low /b %USERPROFILE%\Documents\GitHub\eaglep3\Utilities\DownloadLogsFromS3.py --loco  --day 1900-01-00</v>
      </c>
      <c r="AN15" s="170" t="e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#DIV/0!</v>
      </c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</row>
    <row r="16" spans="1:91" s="1" customFormat="1" x14ac:dyDescent="0.25">
      <c r="A16" s="33" t="s">
        <v>895</v>
      </c>
      <c r="B16" s="7"/>
      <c r="C16" s="21" t="s">
        <v>193</v>
      </c>
      <c r="D16" s="21" t="s">
        <v>342</v>
      </c>
      <c r="E16" s="13">
        <v>42766.2343287037</v>
      </c>
      <c r="F16" s="13"/>
      <c r="G16" s="7"/>
      <c r="H16" s="21"/>
      <c r="I16" s="13"/>
      <c r="J16" s="7">
        <v>0</v>
      </c>
      <c r="K16" s="98" t="str">
        <f t="shared" si="6"/>
        <v>-1/</v>
      </c>
      <c r="L16" s="21" t="e">
        <f>VLOOKUP(A16,'Trips&amp;Operators'!$C$1:$G$99999,5,FALSE)</f>
        <v>#N/A</v>
      </c>
      <c r="M16" s="6">
        <f t="shared" si="7"/>
        <v>0</v>
      </c>
      <c r="N16" s="7"/>
      <c r="O16" s="7"/>
      <c r="P16" s="7">
        <v>1</v>
      </c>
      <c r="Q16" s="22"/>
      <c r="R16" s="22" t="s">
        <v>901</v>
      </c>
      <c r="S16" s="31">
        <v>0</v>
      </c>
      <c r="T16" s="46" t="str">
        <f t="shared" si="8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6" s="194" t="str">
        <f t="shared" si="9"/>
        <v>Y</v>
      </c>
      <c r="X16" s="194">
        <f t="shared" si="10"/>
        <v>1</v>
      </c>
      <c r="Y16" s="62">
        <v>0</v>
      </c>
      <c r="Z16" s="62">
        <v>0</v>
      </c>
      <c r="AA16" s="62">
        <f t="shared" si="11"/>
        <v>0</v>
      </c>
      <c r="AB16" s="59" t="e">
        <f>VLOOKUP(A16,Enforcements!$C$7:$K$16,8,0)</f>
        <v>#N/A</v>
      </c>
      <c r="AC16" s="55" t="e">
        <f>VLOOKUP(A16,Enforcements!$C$7:$E$16,3,0)</f>
        <v>#N/A</v>
      </c>
      <c r="AD16" s="56" t="str">
        <f t="shared" si="12"/>
        <v>0104-31</v>
      </c>
      <c r="AE16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6" t="str">
        <f t="shared" si="14"/>
        <v>"%USERPROFILE%\Documents\GitHub\eaglep3\Utilities\RefineRTDCRunTimes.py" --tripid 104-31 --locoid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16" s="108" t="str">
        <f t="shared" si="15"/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ID","value":"104-31"},{"id":16,"name":"Locomotive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61" t="str">
        <f t="shared" si="16"/>
        <v>start /low /b %USERPROFILE%\Documents\GitHub\eaglep3\Utilities\DownloadLogsFromS3.py --loco  --day 1900-01-00</v>
      </c>
      <c r="AN16" s="170" t="e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#DIV/0!</v>
      </c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</row>
    <row r="17" spans="1:91" s="1" customFormat="1" x14ac:dyDescent="0.25">
      <c r="A17" s="33" t="s">
        <v>896</v>
      </c>
      <c r="B17" s="7"/>
      <c r="C17" s="21" t="s">
        <v>193</v>
      </c>
      <c r="D17" s="21" t="s">
        <v>342</v>
      </c>
      <c r="E17" s="13">
        <v>42766.2343287037</v>
      </c>
      <c r="F17" s="13"/>
      <c r="G17" s="7"/>
      <c r="H17" s="21"/>
      <c r="I17" s="13"/>
      <c r="J17" s="7">
        <v>0</v>
      </c>
      <c r="K17" s="98" t="str">
        <f t="shared" si="6"/>
        <v>-1/</v>
      </c>
      <c r="L17" s="21" t="e">
        <f>VLOOKUP(A17,'Trips&amp;Operators'!$C$1:$G$99999,5,FALSE)</f>
        <v>#N/A</v>
      </c>
      <c r="M17" s="6">
        <f t="shared" si="7"/>
        <v>0</v>
      </c>
      <c r="N17" s="7"/>
      <c r="O17" s="7"/>
      <c r="P17" s="7">
        <v>1</v>
      </c>
      <c r="Q17" s="22"/>
      <c r="R17" s="22" t="s">
        <v>901</v>
      </c>
      <c r="S17" s="31">
        <v>0</v>
      </c>
      <c r="T17" s="46" t="str">
        <f t="shared" si="8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7" s="194" t="str">
        <f t="shared" si="9"/>
        <v>Y</v>
      </c>
      <c r="X17" s="194">
        <f t="shared" si="10"/>
        <v>1</v>
      </c>
      <c r="Y17" s="62">
        <v>0</v>
      </c>
      <c r="Z17" s="62">
        <v>0</v>
      </c>
      <c r="AA17" s="62">
        <f t="shared" si="11"/>
        <v>0</v>
      </c>
      <c r="AB17" s="59" t="e">
        <f>VLOOKUP(A17,Enforcements!$C$7:$K$16,8,0)</f>
        <v>#N/A</v>
      </c>
      <c r="AC17" s="55" t="e">
        <f>VLOOKUP(A17,Enforcements!$C$7:$E$16,3,0)</f>
        <v>#N/A</v>
      </c>
      <c r="AD17" s="56" t="str">
        <f t="shared" si="12"/>
        <v>0105-31</v>
      </c>
      <c r="AE17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7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6" t="str">
        <f t="shared" si="14"/>
        <v>"%USERPROFILE%\Documents\GitHub\eaglep3\Utilities\RefineRTDCRunTimes.py" --tripid 105-31 --locoid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17" s="108" t="str">
        <f t="shared" si="15"/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ID","value":"105-31"},{"id":16,"name":"Locomotive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61" t="str">
        <f t="shared" si="16"/>
        <v>start /low /b %USERPROFILE%\Documents\GitHub\eaglep3\Utilities\DownloadLogsFromS3.py --loco  --day 1900-01-00</v>
      </c>
      <c r="AN17" s="170" t="e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#DIV/0!</v>
      </c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</row>
    <row r="18" spans="1:91" s="1" customFormat="1" x14ac:dyDescent="0.25">
      <c r="A18" s="33" t="s">
        <v>897</v>
      </c>
      <c r="B18" s="7"/>
      <c r="C18" s="21" t="s">
        <v>193</v>
      </c>
      <c r="D18" s="21" t="s">
        <v>342</v>
      </c>
      <c r="E18" s="13">
        <v>42766.2343287037</v>
      </c>
      <c r="F18" s="13"/>
      <c r="G18" s="7"/>
      <c r="H18" s="21"/>
      <c r="I18" s="13"/>
      <c r="J18" s="7">
        <v>0</v>
      </c>
      <c r="K18" s="98" t="str">
        <f t="shared" si="6"/>
        <v>-1/</v>
      </c>
      <c r="L18" s="21" t="e">
        <f>VLOOKUP(A18,'Trips&amp;Operators'!$C$1:$G$99999,5,FALSE)</f>
        <v>#N/A</v>
      </c>
      <c r="M18" s="6">
        <f t="shared" si="7"/>
        <v>0</v>
      </c>
      <c r="N18" s="7"/>
      <c r="O18" s="7"/>
      <c r="P18" s="7">
        <v>1</v>
      </c>
      <c r="Q18" s="22"/>
      <c r="R18" s="22" t="s">
        <v>901</v>
      </c>
      <c r="S18" s="31">
        <v>0</v>
      </c>
      <c r="T18" s="46" t="str">
        <f t="shared" si="8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8" s="194" t="str">
        <f t="shared" si="9"/>
        <v>Y</v>
      </c>
      <c r="X18" s="194">
        <f t="shared" si="10"/>
        <v>1</v>
      </c>
      <c r="Y18" s="62">
        <v>0</v>
      </c>
      <c r="Z18" s="62">
        <v>0</v>
      </c>
      <c r="AA18" s="62">
        <f t="shared" si="11"/>
        <v>0</v>
      </c>
      <c r="AB18" s="59" t="e">
        <f>VLOOKUP(A18,Enforcements!$C$7:$K$16,8,0)</f>
        <v>#N/A</v>
      </c>
      <c r="AC18" s="55" t="e">
        <f>VLOOKUP(A18,Enforcements!$C$7:$E$16,3,0)</f>
        <v>#N/A</v>
      </c>
      <c r="AD18" s="56" t="str">
        <f t="shared" si="12"/>
        <v>0106-31</v>
      </c>
      <c r="AE18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8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6" t="str">
        <f t="shared" si="14"/>
        <v>"%USERPROFILE%\Documents\GitHub\eaglep3\Utilities\RefineRTDCRunTimes.py" --tripid 106-31 --locoid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18" s="108" t="str">
        <f t="shared" si="15"/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ID","value":"106-31"},{"id":16,"name":"Locomotive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61" t="str">
        <f t="shared" si="16"/>
        <v>start /low /b %USERPROFILE%\Documents\GitHub\eaglep3\Utilities\DownloadLogsFromS3.py --loco  --day 1900-01-00</v>
      </c>
      <c r="AN18" s="170" t="e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#DIV/0!</v>
      </c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</row>
    <row r="19" spans="1:91" s="1" customFormat="1" x14ac:dyDescent="0.25">
      <c r="A19" s="33" t="s">
        <v>898</v>
      </c>
      <c r="B19" s="7"/>
      <c r="C19" s="21" t="s">
        <v>193</v>
      </c>
      <c r="D19" s="21" t="s">
        <v>342</v>
      </c>
      <c r="E19" s="13">
        <v>42766.2343287037</v>
      </c>
      <c r="F19" s="13"/>
      <c r="G19" s="7"/>
      <c r="H19" s="21"/>
      <c r="I19" s="13"/>
      <c r="J19" s="7">
        <v>0</v>
      </c>
      <c r="K19" s="98" t="str">
        <f t="shared" si="6"/>
        <v>-1/</v>
      </c>
      <c r="L19" s="21" t="e">
        <f>VLOOKUP(A19,'Trips&amp;Operators'!$C$1:$G$99999,5,FALSE)</f>
        <v>#N/A</v>
      </c>
      <c r="M19" s="6">
        <f t="shared" si="7"/>
        <v>0</v>
      </c>
      <c r="N19" s="7"/>
      <c r="O19" s="7"/>
      <c r="P19" s="7">
        <v>1</v>
      </c>
      <c r="Q19" s="22"/>
      <c r="R19" s="22" t="s">
        <v>901</v>
      </c>
      <c r="S19" s="31">
        <v>0</v>
      </c>
      <c r="T19" s="46" t="str">
        <f t="shared" si="8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9" s="194" t="str">
        <f t="shared" si="9"/>
        <v>Y</v>
      </c>
      <c r="X19" s="194">
        <f t="shared" si="10"/>
        <v>1</v>
      </c>
      <c r="Y19" s="62">
        <v>0</v>
      </c>
      <c r="Z19" s="62">
        <v>0</v>
      </c>
      <c r="AA19" s="62">
        <f t="shared" si="11"/>
        <v>0</v>
      </c>
      <c r="AB19" s="59" t="e">
        <f>VLOOKUP(A19,Enforcements!$C$7:$K$16,8,0)</f>
        <v>#N/A</v>
      </c>
      <c r="AC19" s="55" t="e">
        <f>VLOOKUP(A19,Enforcements!$C$7:$E$16,3,0)</f>
        <v>#N/A</v>
      </c>
      <c r="AD19" s="56" t="str">
        <f t="shared" si="12"/>
        <v>0107-31</v>
      </c>
      <c r="AE19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9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6" t="str">
        <f t="shared" si="14"/>
        <v>"%USERPROFILE%\Documents\GitHub\eaglep3\Utilities\RefineRTDCRunTimes.py" --tripid 107-31 --locoid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19" s="108" t="str">
        <f t="shared" si="15"/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ID","value":"107-31"},{"id":16,"name":"Locomotive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61" t="str">
        <f t="shared" si="16"/>
        <v>start /low /b %USERPROFILE%\Documents\GitHub\eaglep3\Utilities\DownloadLogsFromS3.py --loco  --day 1900-01-00</v>
      </c>
      <c r="AN19" s="170" t="e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#DIV/0!</v>
      </c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</row>
    <row r="20" spans="1:91" s="1" customFormat="1" x14ac:dyDescent="0.25">
      <c r="A20" s="33" t="s">
        <v>899</v>
      </c>
      <c r="B20" s="7"/>
      <c r="C20" s="21" t="s">
        <v>193</v>
      </c>
      <c r="D20" s="21" t="s">
        <v>342</v>
      </c>
      <c r="E20" s="13">
        <v>42766.2343287037</v>
      </c>
      <c r="F20" s="13"/>
      <c r="G20" s="7"/>
      <c r="H20" s="21"/>
      <c r="I20" s="13"/>
      <c r="J20" s="7">
        <v>0</v>
      </c>
      <c r="K20" s="98" t="str">
        <f t="shared" si="6"/>
        <v>-1/</v>
      </c>
      <c r="L20" s="21" t="e">
        <f>VLOOKUP(A20,'Trips&amp;Operators'!$C$1:$G$99999,5,FALSE)</f>
        <v>#N/A</v>
      </c>
      <c r="M20" s="6">
        <f t="shared" si="7"/>
        <v>0</v>
      </c>
      <c r="N20" s="7"/>
      <c r="O20" s="7"/>
      <c r="P20" s="7">
        <v>1</v>
      </c>
      <c r="Q20" s="22"/>
      <c r="R20" s="22" t="s">
        <v>901</v>
      </c>
      <c r="S20" s="31">
        <v>0</v>
      </c>
      <c r="T20" s="46" t="str">
        <f t="shared" si="8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0" s="194" t="str">
        <f t="shared" si="9"/>
        <v>Y</v>
      </c>
      <c r="X20" s="194">
        <f t="shared" si="10"/>
        <v>1</v>
      </c>
      <c r="Y20" s="62">
        <v>0</v>
      </c>
      <c r="Z20" s="62">
        <v>0</v>
      </c>
      <c r="AA20" s="62">
        <f t="shared" si="11"/>
        <v>0</v>
      </c>
      <c r="AB20" s="59" t="e">
        <f>VLOOKUP(A20,Enforcements!$C$7:$K$16,8,0)</f>
        <v>#N/A</v>
      </c>
      <c r="AC20" s="55" t="e">
        <f>VLOOKUP(A20,Enforcements!$C$7:$E$16,3,0)</f>
        <v>#N/A</v>
      </c>
      <c r="AD20" s="56" t="str">
        <f t="shared" si="12"/>
        <v>0108-31</v>
      </c>
      <c r="AE20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0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6" t="str">
        <f t="shared" si="14"/>
        <v>"%USERPROFILE%\Documents\GitHub\eaglep3\Utilities\RefineRTDCRunTimes.py" --tripid 108-31 --locoid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20" s="108" t="str">
        <f t="shared" si="15"/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ID","value":"108-31"},{"id":16,"name":"Locomotive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61" t="str">
        <f t="shared" si="16"/>
        <v>start /low /b %USERPROFILE%\Documents\GitHub\eaglep3\Utilities\DownloadLogsFromS3.py --loco  --day 1900-01-00</v>
      </c>
      <c r="AN20" s="170" t="e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#DIV/0!</v>
      </c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</row>
    <row r="21" spans="1:91" s="1" customFormat="1" x14ac:dyDescent="0.25">
      <c r="A21" s="33" t="s">
        <v>900</v>
      </c>
      <c r="B21" s="7"/>
      <c r="C21" s="21" t="s">
        <v>193</v>
      </c>
      <c r="D21" s="21" t="s">
        <v>342</v>
      </c>
      <c r="E21" s="13">
        <v>42766.2343287037</v>
      </c>
      <c r="F21" s="13"/>
      <c r="G21" s="7"/>
      <c r="H21" s="21"/>
      <c r="I21" s="13"/>
      <c r="J21" s="7">
        <v>0</v>
      </c>
      <c r="K21" s="98" t="str">
        <f t="shared" si="6"/>
        <v>-1/</v>
      </c>
      <c r="L21" s="21" t="e">
        <f>VLOOKUP(A21,'Trips&amp;Operators'!$C$1:$G$99999,5,FALSE)</f>
        <v>#N/A</v>
      </c>
      <c r="M21" s="6">
        <f t="shared" si="7"/>
        <v>0</v>
      </c>
      <c r="N21" s="7"/>
      <c r="O21" s="7"/>
      <c r="P21" s="7">
        <v>1</v>
      </c>
      <c r="Q21" s="22"/>
      <c r="R21" s="22" t="s">
        <v>901</v>
      </c>
      <c r="S21" s="31">
        <v>0</v>
      </c>
      <c r="T21" s="46" t="str">
        <f t="shared" si="8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1" s="194" t="str">
        <f t="shared" si="9"/>
        <v>Y</v>
      </c>
      <c r="X21" s="194">
        <f t="shared" si="10"/>
        <v>1</v>
      </c>
      <c r="Y21" s="62">
        <v>0</v>
      </c>
      <c r="Z21" s="62">
        <v>0</v>
      </c>
      <c r="AA21" s="62">
        <f t="shared" si="11"/>
        <v>0</v>
      </c>
      <c r="AB21" s="59" t="e">
        <f>VLOOKUP(A21,Enforcements!$C$7:$K$16,8,0)</f>
        <v>#N/A</v>
      </c>
      <c r="AC21" s="55" t="e">
        <f>VLOOKUP(A21,Enforcements!$C$7:$E$16,3,0)</f>
        <v>#N/A</v>
      </c>
      <c r="AD21" s="56" t="str">
        <f t="shared" si="12"/>
        <v>0109-31</v>
      </c>
      <c r="AE21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1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6" t="str">
        <f t="shared" si="14"/>
        <v>"%USERPROFILE%\Documents\GitHub\eaglep3\Utilities\RefineRTDCRunTimes.py" --tripid 109-31 --locoid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21" s="108" t="str">
        <f t="shared" si="15"/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ID","value":"109-31"},{"id":16,"name":"Locomotive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61" t="str">
        <f t="shared" si="16"/>
        <v>start /low /b %USERPROFILE%\Documents\GitHub\eaglep3\Utilities\DownloadLogsFromS3.py --loco  --day 1900-01-00</v>
      </c>
      <c r="AN21" s="170" t="e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#DIV/0!</v>
      </c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</row>
    <row r="22" spans="1:91" s="1" customFormat="1" x14ac:dyDescent="0.25">
      <c r="A22" s="33" t="s">
        <v>525</v>
      </c>
      <c r="B22" s="7">
        <v>4041</v>
      </c>
      <c r="C22" s="21" t="s">
        <v>193</v>
      </c>
      <c r="D22" s="21" t="s">
        <v>342</v>
      </c>
      <c r="E22" s="13">
        <v>42766.2343287037</v>
      </c>
      <c r="F22" s="13">
        <v>42766.236956018518</v>
      </c>
      <c r="G22" s="7">
        <v>1</v>
      </c>
      <c r="H22" s="21" t="s">
        <v>184</v>
      </c>
      <c r="I22" s="13">
        <v>42766.264525462961</v>
      </c>
      <c r="J22" s="7">
        <v>0</v>
      </c>
      <c r="K22" s="98" t="str">
        <f t="shared" si="6"/>
        <v>4041/4042</v>
      </c>
      <c r="L22" s="21" t="str">
        <f>VLOOKUP(A22,'Trips&amp;Operators'!$C$1:$G$99999,5,FALSE)</f>
        <v>DAVIS WENDY</v>
      </c>
      <c r="M22" s="6">
        <f t="shared" si="7"/>
        <v>2.7569444442633539E-2</v>
      </c>
      <c r="N22" s="7">
        <f t="shared" ref="N22" si="17">24*60*SUM($M22:$M22)</f>
        <v>39.699999997392297</v>
      </c>
      <c r="O22" s="7"/>
      <c r="P22" s="7"/>
      <c r="Q22" s="22"/>
      <c r="R22" s="22"/>
      <c r="S22" s="31">
        <f t="shared" ref="S22" si="18">SUM(U22:U22)/IF(AG22="EC",12,1)</f>
        <v>1</v>
      </c>
      <c r="T22" s="46" t="str">
        <f t="shared" si="8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2017-01-31T07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94" t="str">
        <f t="shared" si="9"/>
        <v>N</v>
      </c>
      <c r="X22" s="194">
        <f t="shared" si="10"/>
        <v>1</v>
      </c>
      <c r="Y22" s="62">
        <f t="shared" ref="Y22" si="19">RIGHT(D22,LEN(D22)-4)/10000</f>
        <v>23.297899999999998</v>
      </c>
      <c r="Z22" s="62">
        <v>0.01</v>
      </c>
      <c r="AA22" s="62">
        <f t="shared" si="11"/>
        <v>23.287899999999997</v>
      </c>
      <c r="AB22" s="59" t="e">
        <f>VLOOKUP(A22,Enforcements!$C$7:$K$16,8,0)</f>
        <v>#N/A</v>
      </c>
      <c r="AC22" s="55" t="e">
        <f>VLOOKUP(A22,Enforcements!$C$7:$E$16,3,0)</f>
        <v>#N/A</v>
      </c>
      <c r="AD22" s="56" t="str">
        <f t="shared" si="12"/>
        <v>0110-31</v>
      </c>
      <c r="AE22" s="85" t="str">
        <f t="shared" si="1"/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AF22" s="82" t="str">
        <f t="shared" si="2"/>
        <v>"C:\Program Files (x86)\AstroGrep\AstroGrep.exe" /spath="%USERPROFILE%\AppData\Local\Temp\OnboardLogs" /stypes="app*4041*20170131*"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6" t="str">
        <f t="shared" si="14"/>
        <v>"%USERPROFILE%\Documents\GitHub\eaglep3\Utilities\RefineRTDCRunTimes.py" --tripid 110-31 --locoid 4041 --swversion DE.1.0.8.0 --startMP 204:232979 --initTime 2017-01-31T05:37:26 --startdatetime 2017-01-31T05:41:13 --delay 1 --endMP 204:149 --enddatetime 2017-01-31T06:20:55 --enforcementcount 0 &gt;&gt;C:\Users\stu\Documents\GitHub\eaglep3-reporting\EC\2017-01-31-refined-times.txt</v>
      </c>
      <c r="AI22" s="108" t="str">
        <f t="shared" si="15"/>
        <v>echo {"issue":{"subject":"","project_id":79,"tracker_id":40,"status_id":1,"priority_id":2,"assigned_to_id":23,"start_date":"2017-01-31","description":"","custom_fields":[{"id":1,"name":"Subdivision","value":"EC"},{"id":4,"name":"Milepost","value":"0.01"},{"id":17,"name":"Train ID","value":"110-31"},{"id":16,"name":"Locomotive ID","value":"4041"},{"id":130,"name":"Impact","value":""},{"id":150,"name":"Time of Event (Mountain Time)","value":"06:20:55"},{"id":151,"name":"Denver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61" t="str">
        <f t="shared" si="16"/>
        <v>start /low /b %USERPROFILE%\Documents\GitHub\eaglep3\Utilities\DownloadLogsFromS3.py --loco 4041 --day 2017-01-31</v>
      </c>
      <c r="AN22" s="170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2017-01-31-UncaughtWiMAX.txt</v>
      </c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</row>
    <row r="23" spans="1:91" s="1" customFormat="1" x14ac:dyDescent="0.25">
      <c r="A23" s="33" t="s">
        <v>891</v>
      </c>
      <c r="B23" s="7"/>
      <c r="C23" s="21" t="s">
        <v>193</v>
      </c>
      <c r="D23" s="21" t="s">
        <v>342</v>
      </c>
      <c r="E23" s="13">
        <v>42766.2343287037</v>
      </c>
      <c r="F23" s="13"/>
      <c r="G23" s="7">
        <v>1</v>
      </c>
      <c r="H23" s="21" t="s">
        <v>184</v>
      </c>
      <c r="I23" s="13"/>
      <c r="J23" s="7">
        <v>0</v>
      </c>
      <c r="K23" s="98" t="str">
        <f>IF(ISEVEN(B23),(B23-1)&amp;"/"&amp;B23,B23&amp;"/"&amp;(B23+1))</f>
        <v>-1/</v>
      </c>
      <c r="L23" s="21" t="e">
        <f>VLOOKUP(A23,'Trips&amp;Operators'!$C$1:$G$99999,5,FALSE)</f>
        <v>#N/A</v>
      </c>
      <c r="M23" s="6">
        <f>I23-F23</f>
        <v>0</v>
      </c>
      <c r="N23" s="7"/>
      <c r="O23" s="7"/>
      <c r="P23" s="7">
        <v>1</v>
      </c>
      <c r="Q23" s="22"/>
      <c r="R23" s="22" t="s">
        <v>901</v>
      </c>
      <c r="S23" s="31">
        <f>SUM(U23:U23)/IF(AG23="EC",12,1)</f>
        <v>0</v>
      </c>
      <c r="T23" s="46" t="str">
        <f t="shared" ref="T23:T54" si="20">IF(ISEVEN(LEFT(AD23,4)),"Southbound","NorthBound")</f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3" s="194" t="str">
        <f t="shared" ref="W23:W54" si="21">IF(AA23&lt;IF(AG23="EC",23,5.65),"Y","N")</f>
        <v>Y</v>
      </c>
      <c r="X23" s="194">
        <f t="shared" si="10"/>
        <v>1</v>
      </c>
      <c r="Y23" s="62">
        <v>0</v>
      </c>
      <c r="Z23" s="62">
        <v>0</v>
      </c>
      <c r="AA23" s="62">
        <f t="shared" ref="AA23:AA54" si="22">ABS(Z23-Y23)</f>
        <v>0</v>
      </c>
      <c r="AB23" s="59" t="e">
        <f>VLOOKUP(A23,Enforcements!$C$7:$K$16,8,0)</f>
        <v>#N/A</v>
      </c>
      <c r="AC23" s="55" t="e">
        <f>VLOOKUP(A23,Enforcements!$C$7:$E$16,3,0)</f>
        <v>#N/A</v>
      </c>
      <c r="AD23" s="56" t="str">
        <f t="shared" ref="AD23:AD54" si="23">IF(LEN(A23)=6,"0"&amp;A23,A23)</f>
        <v>0111-31</v>
      </c>
      <c r="AE23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3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3" s="1" t="str">
        <f t="shared" ref="AG23:AG54" si="24">IFERROR(IF(VALUE(LEFT(AD23,2))&lt;=2,"EC",IF(OR(VALUE(LEFT(AD23,2))=8,VALUE(LEFT(AD23,2))=18),"NW","Other")),"Other")</f>
        <v>EC</v>
      </c>
      <c r="AH23" s="86" t="str">
        <f t="shared" ref="AH23" si="25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111-31 --locoid  --swversion DE.1.0.8.0 --startMP 204:232979 --initTime 2017-01-31T05:37:26 --startdatetime 1900-01-00T00:00:00 --delay 1 --endMP 204:149 --enddatetime 1900-01-00T00:00:00 --enforcementcount 0 &gt;&gt;C:\Users\stu\Documents\GitHub\eaglep3-reporting\EC\2017-01-31-refined-times.txt</v>
      </c>
      <c r="AI23" s="108" t="str">
        <f t="shared" ref="AI23" si="26"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ID","value":"111-31"},{"id":16,"name":"Locomotive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61" t="str">
        <f t="shared" ref="AM23" si="27">"start /low /b "&amp;dls3logs&amp;" --loco "&amp;B23&amp;" --day "&amp;TEXT(F23,"YYYY-MM-DD")</f>
        <v>start /low /b %USERPROFILE%\Documents\GitHub\eaglep3\Utilities\DownloadLogsFromS3.py --loco  --day 1900-01-00</v>
      </c>
      <c r="AN23" s="170" t="e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#DIV/0!</v>
      </c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</row>
    <row r="24" spans="1:91" s="1" customFormat="1" x14ac:dyDescent="0.25">
      <c r="A24" s="33" t="s">
        <v>526</v>
      </c>
      <c r="B24" s="7">
        <v>4012</v>
      </c>
      <c r="C24" s="21" t="s">
        <v>193</v>
      </c>
      <c r="D24" s="21" t="s">
        <v>478</v>
      </c>
      <c r="E24" s="13">
        <v>42766.245706018519</v>
      </c>
      <c r="F24" s="13">
        <v>42766.248402777775</v>
      </c>
      <c r="G24" s="7">
        <v>2</v>
      </c>
      <c r="H24" s="21" t="s">
        <v>210</v>
      </c>
      <c r="I24" s="13">
        <v>42766.274942129632</v>
      </c>
      <c r="J24" s="7">
        <v>0</v>
      </c>
      <c r="K24" s="98" t="str">
        <f>IF(ISEVEN(B24),(B24-1)&amp;"/"&amp;B24,B24&amp;"/"&amp;(B24+1))</f>
        <v>4011/4012</v>
      </c>
      <c r="L24" s="21" t="str">
        <f>VLOOKUP(A24,'Trips&amp;Operators'!$C$1:$G$99999,5,FALSE)</f>
        <v>LOZA FIDEL</v>
      </c>
      <c r="M24" s="6">
        <f>I24-F24</f>
        <v>2.6539351856627036E-2</v>
      </c>
      <c r="N24" s="7">
        <f>24*60*SUM($M24:$M24)</f>
        <v>38.216666673542932</v>
      </c>
      <c r="O24" s="7"/>
      <c r="P24" s="7"/>
      <c r="Q24" s="22"/>
      <c r="R24" s="22"/>
      <c r="S24" s="31">
        <f>SUM(U24:U24)/IF(AG24="EC",12,1)</f>
        <v>1</v>
      </c>
      <c r="T24" s="46" t="str">
        <f t="shared" si="20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0"/>
        <v>https://d0f6bd738d7f1b3e5a7ca70fe4ff75f0.us-east-1.aws.found.io/app/kibana#/discover/Steve-Slow-Train-Analysis-(2080s-and-2083s)?_g=(refreshInterval:(display:Off,pause:!f,section:0,value:0),time:(from:'2017-01-31T04:53:49-0700',mode:absolute,to:'2017-01-31T07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" s="194" t="str">
        <f t="shared" si="21"/>
        <v>N</v>
      </c>
      <c r="X24" s="194">
        <f t="shared" ref="X24:X32" si="28">VALUE(LEFT(AD24,4))-VALUE(LEFT(AD23,4))</f>
        <v>1</v>
      </c>
      <c r="Y24" s="62">
        <f t="shared" ref="Y24:Y32" si="29">RIGHT(D24,LEN(D24)-4)/10000</f>
        <v>23.2973</v>
      </c>
      <c r="Z24" s="62">
        <f>RIGHT(H24,LEN(H24)-4)/10000</f>
        <v>1.6E-2</v>
      </c>
      <c r="AA24" s="62">
        <f t="shared" si="22"/>
        <v>23.281300000000002</v>
      </c>
      <c r="AB24" s="59" t="e">
        <f>VLOOKUP(A24,Enforcements!$C$7:$K$16,8,0)</f>
        <v>#N/A</v>
      </c>
      <c r="AC24" s="55" t="e">
        <f>VLOOKUP(A24,Enforcements!$C$7:$E$16,3,0)</f>
        <v>#N/A</v>
      </c>
      <c r="AD24" s="56" t="str">
        <f t="shared" si="23"/>
        <v>0112-31</v>
      </c>
      <c r="AE24" s="85" t="str">
        <f t="shared" si="1"/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AF24" s="82" t="str">
        <f t="shared" si="2"/>
        <v>"C:\Program Files (x86)\AstroGrep\AstroGrep.exe" /spath="%USERPROFILE%\AppData\Local\Temp\OnboardLogs" /stypes="app*4012*20170131*" /stext=" 13:.+((SYSTEM_STATE.+slice.+state.+changed )|(ment ac)|(multiple cpu faults)|(system.+state.+changed )|(\[timeout)|(PRM\|1\|D)|(kpr)|(kdp)|(\|lc)|(penalty))" /e /r /s</v>
      </c>
      <c r="AG24" s="1" t="str">
        <f t="shared" si="24"/>
        <v>EC</v>
      </c>
      <c r="AH24" s="86" t="str">
        <f t="shared" ref="AH24:AH89" si="30"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"&amp;J24&amp;IF(outputrefinedruntimes," &gt;&gt;"&amp;RefinedRTDCRunTimesOutputFile,"")</f>
        <v>"%USERPROFILE%\Documents\GitHub\eaglep3\Utilities\RefineRTDCRunTimes.py" --tripid 112-31 --locoid 4012 --swversion DE.1.0.8.0 --startMP 204:232973 --initTime 2017-01-31T05:53:49 --startdatetime 2017-01-31T05:57:42 --delay 2 --endMP 204:160 --enddatetime 2017-01-31T06:35:55 --enforcementcount 0 &gt;&gt;C:\Users\stu\Documents\GitHub\eaglep3-reporting\EC\2017-01-31-refined-times.txt</v>
      </c>
      <c r="AI24" s="108" t="str">
        <f t="shared" ref="AI24:AI89" si="31"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Z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{"issue":{"subject":"","project_id":79,"tracker_id":40,"status_id":1,"priority_id":2,"assigned_to_id":23,"start_date":"2017-01-31","description":"","custom_fields":[{"id":1,"name":"Subdivision","value":"EC"},{"id":4,"name":"Milepost","value":"0.016"},{"id":17,"name":"Train ID","value":"112-31"},{"id":16,"name":"Locomotive ID","value":"4012"},{"id":130,"name":"Impact","value":""},{"id":150,"name":"Time of Event (Mountain Time)","value":"06:35:55"},{"id":151,"name":"Denver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61" t="str">
        <f t="shared" ref="AM24:AM89" si="32">"start /low /b "&amp;dls3logs&amp;" --loco "&amp;B24&amp;" --day "&amp;TEXT(F24,"YYYY-MM-DD")</f>
        <v>start /low /b %USERPROFILE%\Documents\GitHub\eaglep3\Utilities\DownloadLogsFromS3.py --loco 4012 --day 2017-01-31</v>
      </c>
      <c r="AN24" s="170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"%USERPROFILE%\AppData\Local\Temp\OnboardLogs"\RTDC4012\*4012*20170131* | grep -SE "(Enforcement Action)|(\[TIMEOUT)|(CHR.+\|PRM\|1\|D.+(SWITCH|SIGNAL).+UNKNOWN)" - &gt;&gt; 2017-01-31-UncaughtWiMAX.txt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903</v>
      </c>
      <c r="B25" s="7"/>
      <c r="C25" s="21" t="s">
        <v>193</v>
      </c>
      <c r="D25" s="21" t="s">
        <v>342</v>
      </c>
      <c r="E25" s="13">
        <v>42766.2343287037</v>
      </c>
      <c r="F25" s="13"/>
      <c r="G25" s="7">
        <v>1</v>
      </c>
      <c r="H25" s="21" t="s">
        <v>184</v>
      </c>
      <c r="I25" s="13"/>
      <c r="J25" s="7">
        <v>0</v>
      </c>
      <c r="K25" s="98" t="str">
        <f>IF(ISEVEN(B25),(B25-1)&amp;"/"&amp;B25,B25&amp;"/"&amp;(B25+1))</f>
        <v>-1/</v>
      </c>
      <c r="L25" s="21" t="e">
        <f>VLOOKUP(A25,'Trips&amp;Operators'!$C$1:$G$99999,5,FALSE)</f>
        <v>#N/A</v>
      </c>
      <c r="M25" s="6">
        <f>I25-F25</f>
        <v>0</v>
      </c>
      <c r="N25" s="7"/>
      <c r="O25" s="7"/>
      <c r="P25" s="7">
        <v>1</v>
      </c>
      <c r="Q25" s="22"/>
      <c r="R25" s="22" t="s">
        <v>901</v>
      </c>
      <c r="S25" s="31">
        <f>SUM(U25:U25)/IF(AG25="EC",12,1)</f>
        <v>0</v>
      </c>
      <c r="T25" s="46" t="str">
        <f t="shared" si="20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5" s="194" t="str">
        <f t="shared" si="21"/>
        <v>Y</v>
      </c>
      <c r="X25" s="194">
        <f t="shared" si="28"/>
        <v>1</v>
      </c>
      <c r="Y25" s="62">
        <v>0</v>
      </c>
      <c r="Z25" s="62">
        <v>0</v>
      </c>
      <c r="AA25" s="62">
        <f t="shared" si="22"/>
        <v>0</v>
      </c>
      <c r="AB25" s="59" t="e">
        <f>VLOOKUP(A25,Enforcements!$C$7:$K$16,8,0)</f>
        <v>#N/A</v>
      </c>
      <c r="AC25" s="55" t="e">
        <f>VLOOKUP(A25,Enforcements!$C$7:$E$16,3,0)</f>
        <v>#N/A</v>
      </c>
      <c r="AD25" s="56" t="str">
        <f t="shared" si="23"/>
        <v>0113-31</v>
      </c>
      <c r="AE25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5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5" s="1" t="str">
        <f t="shared" si="24"/>
        <v>EC</v>
      </c>
      <c r="AH25" s="86" t="str">
        <f t="shared" ref="AH25" si="33"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"&amp;J25&amp;IF(outputrefinedruntimes," &gt;&gt;"&amp;RefinedRTDCRunTimesOutputFile,"")</f>
        <v>"%USERPROFILE%\Documents\GitHub\eaglep3\Utilities\RefineRTDCRunTimes.py" --tripid 113-31 --locoid  --swversion DE.1.0.8.0 --startMP 204:232979 --initTime 2017-01-31T05:37:26 --startdatetime 1900-01-00T00:00:00 --delay 1 --endMP 204:149 --enddatetime 1900-01-00T00:00:00 --enforcementcount 0 &gt;&gt;C:\Users\stu\Documents\GitHub\eaglep3-reporting\EC\2017-01-31-refined-times.txt</v>
      </c>
      <c r="AI25" s="108" t="str">
        <f t="shared" ref="AI25" si="34"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Z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-X POST -H ""Content-Type: application/json"" -H ""X-Redmine-API-Key: "&amp;redm_api_key&amp;""" "&amp;redm_url&amp;" --data @-"</f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ID","value":"113-31"},{"id":16,"name":"Locomotive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61" t="str">
        <f t="shared" ref="AM25" si="35">"start /low /b "&amp;dls3logs&amp;" --loco "&amp;B25&amp;" --day "&amp;TEXT(F25,"YYYY-MM-DD")</f>
        <v>start /low /b %USERPROFILE%\Documents\GitHub\eaglep3\Utilities\DownloadLogsFromS3.py --loco  --day 1900-01-00</v>
      </c>
      <c r="AN25" s="170" t="e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#DIV/0!</v>
      </c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</row>
    <row r="26" spans="1:91" s="1" customFormat="1" x14ac:dyDescent="0.25">
      <c r="A26" s="33" t="s">
        <v>532</v>
      </c>
      <c r="B26" s="7">
        <v>4010</v>
      </c>
      <c r="C26" s="21" t="s">
        <v>193</v>
      </c>
      <c r="D26" s="21" t="s">
        <v>341</v>
      </c>
      <c r="E26" s="13">
        <v>42766.24790509259</v>
      </c>
      <c r="F26" s="13">
        <v>42766.257824074077</v>
      </c>
      <c r="G26" s="7">
        <v>2</v>
      </c>
      <c r="H26" s="21" t="s">
        <v>707</v>
      </c>
      <c r="I26" s="13">
        <v>42766.285775462966</v>
      </c>
      <c r="J26" s="7">
        <v>0</v>
      </c>
      <c r="K26" s="98" t="str">
        <f>IF(ISEVEN(B26),(B26-1)&amp;"/"&amp;B26,B26&amp;"/"&amp;(B26+1))</f>
        <v>4009/4010</v>
      </c>
      <c r="L26" s="21" t="str">
        <f>VLOOKUP(A26,'Trips&amp;Operators'!$C$1:$G$99999,5,FALSE)</f>
        <v>OUN ZACK</v>
      </c>
      <c r="M26" s="6">
        <f>I26-F26</f>
        <v>2.7951388889050577E-2</v>
      </c>
      <c r="N26" s="7">
        <f>24*60*SUM($M26:$M26)</f>
        <v>40.250000000232831</v>
      </c>
      <c r="O26" s="7"/>
      <c r="P26" s="7"/>
      <c r="Q26" s="22"/>
      <c r="R26" s="22"/>
      <c r="S26" s="31">
        <f>SUM(U26:U26)/IF(AG26="EC",12,1)</f>
        <v>1</v>
      </c>
      <c r="T26" s="46" t="str">
        <f t="shared" si="20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0"/>
        <v>https://d0f6bd738d7f1b3e5a7ca70fe4ff75f0.us-east-1.aws.found.io/app/kibana#/discover/Steve-Slow-Train-Analysis-(2080s-and-2083s)?_g=(refreshInterval:(display:Off,pause:!f,section:0,value:0),time:(from:'2017-01-31T04:56:59-0700',mode:absolute,to:'2017-01-31T07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6" s="194" t="str">
        <f t="shared" si="21"/>
        <v>N</v>
      </c>
      <c r="X26" s="194">
        <f t="shared" si="28"/>
        <v>1</v>
      </c>
      <c r="Y26" s="62">
        <f t="shared" si="29"/>
        <v>23.299800000000001</v>
      </c>
      <c r="Z26" s="62">
        <f>RIGHT(H26,LEN(H26)-4)/10000</f>
        <v>1.34E-2</v>
      </c>
      <c r="AA26" s="62">
        <f t="shared" si="22"/>
        <v>23.2864</v>
      </c>
      <c r="AB26" s="59" t="e">
        <f>VLOOKUP(A26,Enforcements!$C$7:$K$16,8,0)</f>
        <v>#N/A</v>
      </c>
      <c r="AC26" s="55" t="e">
        <f>VLOOKUP(A26,Enforcements!$C$7:$E$16,3,0)</f>
        <v>#N/A</v>
      </c>
      <c r="AD26" s="56" t="str">
        <f t="shared" si="23"/>
        <v>0114-31</v>
      </c>
      <c r="AE26" s="85" t="str">
        <f t="shared" si="1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26" s="82" t="str">
        <f t="shared" si="2"/>
        <v>"C:\Program Files (x86)\AstroGrep\AstroGrep.exe" /spath="%USERPROFILE%\AppData\Local\Temp\OnboardLogs" /stypes="app*4010*20170131*" /stext=" 13:.+((SYSTEM_STATE.+slice.+state.+changed )|(ment ac)|(multiple cpu faults)|(system.+state.+changed )|(\[timeout)|(PRM\|1\|D)|(kpr)|(kdp)|(\|lc)|(penalty))" /e /r /s</v>
      </c>
      <c r="AG26" s="1" t="str">
        <f t="shared" si="24"/>
        <v>EC</v>
      </c>
      <c r="AH26" s="86" t="str">
        <f t="shared" si="30"/>
        <v>"%USERPROFILE%\Documents\GitHub\eaglep3\Utilities\RefineRTDCRunTimes.py" --tripid 114-31 --locoid 4010 --swversion DE.1.0.8.0 --startMP 204:232998 --initTime 2017-01-31T05:56:59 --startdatetime 2017-01-31T06:11:16 --delay 2 --endMP 204:134 --enddatetime 2017-01-31T06:51:31 --enforcementcount 0 &gt;&gt;C:\Users\stu\Documents\GitHub\eaglep3-reporting\EC\2017-01-31-refined-times.txt</v>
      </c>
      <c r="AI26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{"issue":{"subject":"","project_id":79,"tracker_id":40,"status_id":1,"priority_id":2,"assigned_to_id":23,"start_date":"2017-01-31","description":"","custom_fields":[{"id":1,"name":"Subdivision","value":"EC"},{"id":4,"name":"Milepost","value":"0.0134"},{"id":17,"name":"Train ID","value":"114-31"},{"id":16,"name":"Locomotive ID","value":"4010"},{"id":130,"name":"Impact","value":""},{"id":150,"name":"Time of Event (Mountain Time)","value":"06:51:31"},{"id":151,"name":"Denver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61" t="str">
        <f t="shared" si="32"/>
        <v>start /low /b %USERPROFILE%\Documents\GitHub\eaglep3\Utilities\DownloadLogsFromS3.py --loco 4010 --day 2017-01-31</v>
      </c>
      <c r="AN26" s="170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"%USERPROFILE%\AppData\Local\Temp\OnboardLogs"\RTDC4010\*4010*20170131* | grep -SE "(Enforcement Action)|(\[TIMEOUT)|(CHR.+\|PRM\|1\|D.+(SWITCH|SIGNAL).+UNKNOWN)" - &gt;&gt; 2017-01-31-UncaughtWiMAX.txt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902</v>
      </c>
      <c r="B27" s="7"/>
      <c r="C27" s="21" t="s">
        <v>193</v>
      </c>
      <c r="D27" s="21" t="s">
        <v>342</v>
      </c>
      <c r="E27" s="13">
        <v>42766.2343287037</v>
      </c>
      <c r="F27" s="13"/>
      <c r="G27" s="7"/>
      <c r="H27" s="21"/>
      <c r="I27" s="13"/>
      <c r="J27" s="7">
        <v>0</v>
      </c>
      <c r="K27" s="98" t="str">
        <f t="shared" ref="K27" si="36">IF(ISEVEN(B27),(B27-1)&amp;"/"&amp;B27,B27&amp;"/"&amp;(B27+1))</f>
        <v>-1/</v>
      </c>
      <c r="L27" s="21" t="e">
        <f>VLOOKUP(A27,'Trips&amp;Operators'!$C$1:$G$99999,5,FALSE)</f>
        <v>#N/A</v>
      </c>
      <c r="M27" s="6">
        <f t="shared" ref="M27" si="37">I27-F27</f>
        <v>0</v>
      </c>
      <c r="N27" s="7"/>
      <c r="O27" s="7"/>
      <c r="P27" s="7">
        <v>1</v>
      </c>
      <c r="Q27" s="22"/>
      <c r="R27" s="22" t="s">
        <v>901</v>
      </c>
      <c r="S27" s="31">
        <f t="shared" ref="S27" si="38">SUM(U27:U27)/IF(AG27="EC",12,1)</f>
        <v>0</v>
      </c>
      <c r="T27" s="46" t="str">
        <f t="shared" si="20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7" s="194" t="str">
        <f t="shared" si="21"/>
        <v>Y</v>
      </c>
      <c r="X27" s="194">
        <f t="shared" si="28"/>
        <v>1</v>
      </c>
      <c r="Y27" s="62">
        <v>0</v>
      </c>
      <c r="Z27" s="62">
        <v>0</v>
      </c>
      <c r="AA27" s="62">
        <f t="shared" si="22"/>
        <v>0</v>
      </c>
      <c r="AB27" s="59" t="e">
        <f>VLOOKUP(A27,Enforcements!$C$7:$K$16,8,0)</f>
        <v>#N/A</v>
      </c>
      <c r="AC27" s="55" t="e">
        <f>VLOOKUP(A27,Enforcements!$C$7:$E$16,3,0)</f>
        <v>#N/A</v>
      </c>
      <c r="AD27" s="56" t="str">
        <f t="shared" si="23"/>
        <v>0115-31</v>
      </c>
      <c r="AE27" s="85" t="str">
        <f t="shared" si="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7" s="82" t="str">
        <f t="shared" si="2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7" s="1" t="str">
        <f t="shared" si="24"/>
        <v>EC</v>
      </c>
      <c r="AH27" s="86" t="str">
        <f t="shared" ref="AH27" si="39"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115-31 --locoid  --swversion DE.1.0.8.0 --startMP 204:232979 --initTime 2017-01-31T05:37:26 --startdatetime 1900-01-00T00:00:00 --delay  --endMP  --enddatetime 1900-01-00T00:00:00 --enforcementcount 0 &gt;&gt;C:\Users\stu\Documents\GitHub\eaglep3-reporting\EC\2017-01-31-refined-times.txt</v>
      </c>
      <c r="AI27" s="108" t="str">
        <f t="shared" ref="AI27" si="40"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echo {"issue":{"subject":"BOS crashed","project_id":79,"tracker_id":40,"status_id":1,"priority_id":2,"assigned_to_id":23,"start_date":"1900-01-00","description":"","custom_fields":[{"id":1,"name":"Subdivision","value":"EC"},{"id":4,"name":"Milepost","value":"0"},{"id":17,"name":"Train ID","value":"115-31"},{"id":16,"name":"Locomotive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61" t="str">
        <f t="shared" ref="AM27" si="41">"start /low /b "&amp;dls3logs&amp;" --loco "&amp;B27&amp;" --day "&amp;TEXT(F27,"YYYY-MM-DD")</f>
        <v>start /low /b %USERPROFILE%\Documents\GitHub\eaglep3\Utilities\DownloadLogsFromS3.py --loco  --day 1900-01-00</v>
      </c>
      <c r="AN27" s="170" t="e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#DIV/0!</v>
      </c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</row>
    <row r="28" spans="1:91" s="1" customFormat="1" x14ac:dyDescent="0.25">
      <c r="A28" s="33" t="s">
        <v>535</v>
      </c>
      <c r="B28" s="7">
        <v>4037</v>
      </c>
      <c r="C28" s="21" t="s">
        <v>193</v>
      </c>
      <c r="D28" s="21" t="s">
        <v>708</v>
      </c>
      <c r="E28" s="13">
        <v>42766.256898148145</v>
      </c>
      <c r="F28" s="13">
        <v>42766.268680555557</v>
      </c>
      <c r="G28" s="7">
        <v>1</v>
      </c>
      <c r="H28" s="21" t="s">
        <v>304</v>
      </c>
      <c r="I28" s="13">
        <v>42766.294583333336</v>
      </c>
      <c r="J28" s="7">
        <v>0</v>
      </c>
      <c r="K28" s="98" t="str">
        <f>IF(ISEVEN(B28),(B28-1)&amp;"/"&amp;B28,B28&amp;"/"&amp;(B28+1))</f>
        <v>4037/4038</v>
      </c>
      <c r="L28" s="21" t="str">
        <f>VLOOKUP(A28,'Trips&amp;Operators'!$C$1:$G$99999,5,FALSE)</f>
        <v>ROCHA YAOTL</v>
      </c>
      <c r="M28" s="6">
        <f>I28-F28</f>
        <v>2.5902777779265307E-2</v>
      </c>
      <c r="N28" s="7">
        <f>24*60*SUM($M28:$M28)</f>
        <v>37.300000002142042</v>
      </c>
      <c r="O28" s="7"/>
      <c r="P28" s="7"/>
      <c r="Q28" s="22"/>
      <c r="R28" s="22"/>
      <c r="S28" s="31">
        <f>SUM(U28:U28)/IF(AG28="EC",12,1)</f>
        <v>1</v>
      </c>
      <c r="T28" s="46" t="str">
        <f t="shared" si="20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0"/>
        <v>https://d0f6bd738d7f1b3e5a7ca70fe4ff75f0.us-east-1.aws.found.io/app/kibana#/discover/Steve-Slow-Train-Analysis-(2080s-and-2083s)?_g=(refreshInterval:(display:Off,pause:!f,section:0,value:0),time:(from:'2017-01-31T05:09:56-0700',mode:absolute,to:'2017-01-31T08:04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8" s="194" t="str">
        <f t="shared" si="21"/>
        <v>N</v>
      </c>
      <c r="X28" s="194">
        <f t="shared" si="28"/>
        <v>1</v>
      </c>
      <c r="Y28" s="62">
        <f t="shared" si="29"/>
        <v>23.297699999999999</v>
      </c>
      <c r="Z28" s="62">
        <f>RIGHT(H28,LEN(H28)-4)/10000</f>
        <v>1.5599999999999999E-2</v>
      </c>
      <c r="AA28" s="62">
        <f t="shared" si="22"/>
        <v>23.2821</v>
      </c>
      <c r="AB28" s="59" t="e">
        <f>VLOOKUP(A28,Enforcements!$C$7:$K$16,8,0)</f>
        <v>#N/A</v>
      </c>
      <c r="AC28" s="55" t="e">
        <f>VLOOKUP(A28,Enforcements!$C$7:$E$16,3,0)</f>
        <v>#N/A</v>
      </c>
      <c r="AD28" s="56" t="str">
        <f t="shared" si="23"/>
        <v>0116-31</v>
      </c>
      <c r="AE28" s="85" t="str">
        <f t="shared" si="1"/>
        <v>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 &amp; 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</v>
      </c>
      <c r="AF28" s="82" t="str">
        <f t="shared" si="2"/>
        <v>"C:\Program Files (x86)\AstroGrep\AstroGrep.exe" /spath="%USERPROFILE%\AppData\Local\Temp\OnboardLogs" /stypes="app*4037*20170131*" /stext=" 14:.+((SYSTEM_STATE.+slice.+state.+changed )|(ment ac)|(multiple cpu faults)|(system.+state.+changed )|(\[timeout)|(PRM\|1\|D)|(kpr)|(kdp)|(\|lc)|(penalty))" /e /r /s</v>
      </c>
      <c r="AG28" s="1" t="str">
        <f t="shared" si="24"/>
        <v>EC</v>
      </c>
      <c r="AH28" s="86" t="str">
        <f t="shared" si="30"/>
        <v>"%USERPROFILE%\Documents\GitHub\eaglep3\Utilities\RefineRTDCRunTimes.py" --tripid 116-31 --locoid 4037 --swversion DE.1.0.8.0 --startMP 204:232977 --initTime 2017-01-31T06:09:56 --startdatetime 2017-01-31T06:26:54 --delay 1 --endMP 204:156 --enddatetime 2017-01-31T07:04:12 --enforcementcount 0 &gt;&gt;C:\Users\stu\Documents\GitHub\eaglep3-reporting\EC\2017-01-31-refined-times.txt</v>
      </c>
      <c r="AI28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{"issue":{"subject":"","project_id":79,"tracker_id":40,"status_id":1,"priority_id":2,"assigned_to_id":23,"start_date":"2017-01-31","description":"","custom_fields":[{"id":1,"name":"Subdivision","value":"EC"},{"id":4,"name":"Milepost","value":"0.0156"},{"id":17,"name":"Train ID","value":"116-31"},{"id":16,"name":"Locomotive ID","value":"4037"},{"id":130,"name":"Impact","value":""},{"id":150,"name":"Time of Event (Mountain Time)","value":"07:04:12"},{"id":151,"name":"Denver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61" t="str">
        <f t="shared" si="32"/>
        <v>start /low /b %USERPROFILE%\Documents\GitHub\eaglep3\Utilities\DownloadLogsFromS3.py --loco 4037 --day 2017-01-31</v>
      </c>
      <c r="AN28" s="170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"%USERPROFILE%\AppData\Local\Temp\OnboardLogs"\RTDC4037\*4037*20170131* | grep -SE "(Enforcement Action)|(\[TIMEOUT)|(CHR.+\|PRM\|1\|D.+(SWITCH|SIGNAL).+UNKNOWN)" - &gt;&gt; 2017-01-31-UncaughtWiMAX.txt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529</v>
      </c>
      <c r="B29" s="7">
        <v>4025</v>
      </c>
      <c r="C29" s="21" t="s">
        <v>193</v>
      </c>
      <c r="D29" s="21" t="s">
        <v>342</v>
      </c>
      <c r="E29" s="13">
        <v>42766.2343287037</v>
      </c>
      <c r="F29" s="13">
        <v>42766.238993055558</v>
      </c>
      <c r="G29" s="7"/>
      <c r="H29" s="21"/>
      <c r="I29" s="13">
        <v>42766.244803240741</v>
      </c>
      <c r="J29" s="7">
        <v>0</v>
      </c>
      <c r="K29" s="98" t="str">
        <f t="shared" ref="K29" si="42">IF(ISEVEN(B29),(B29-1)&amp;"/"&amp;B29,B29&amp;"/"&amp;(B29+1))</f>
        <v>4025/4026</v>
      </c>
      <c r="L29" s="21" t="str">
        <f>VLOOKUP(A29,'Trips&amp;Operators'!$C$1:$G$99999,5,FALSE)</f>
        <v>MAELZER KURT</v>
      </c>
      <c r="M29" s="6">
        <f t="shared" ref="M29" si="43">I29-F29</f>
        <v>5.8101851827814244E-3</v>
      </c>
      <c r="N29" s="7"/>
      <c r="O29" s="7"/>
      <c r="P29" s="7">
        <v>1</v>
      </c>
      <c r="Q29" s="22"/>
      <c r="R29" s="22" t="s">
        <v>901</v>
      </c>
      <c r="S29" s="31">
        <f t="shared" ref="S29" si="44">SUM(U29:U29)/IF(AG29="EC",12,1)</f>
        <v>0</v>
      </c>
      <c r="T29" s="46" t="str">
        <f t="shared" si="20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93" t="str">
        <f t="shared" si="0"/>
        <v>https://d0f6bd738d7f1b3e5a7ca70fe4ff75f0.us-east-1.aws.found.io/app/kibana#/discover/Steve-Slow-Train-Analysis-(2080s-and-2083s)?_g=(refreshInterval:(display:Off,pause:!f,section:0,value:0),time:(from:'2017-01-31T04:37:26-0700',mode:absolute,to:'2017-01-31T06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194" t="str">
        <f t="shared" si="21"/>
        <v>Y</v>
      </c>
      <c r="X29" s="194">
        <f t="shared" si="28"/>
        <v>1</v>
      </c>
      <c r="Y29" s="62">
        <v>0</v>
      </c>
      <c r="Z29" s="62">
        <v>0</v>
      </c>
      <c r="AA29" s="62">
        <f t="shared" si="22"/>
        <v>0</v>
      </c>
      <c r="AB29" s="59" t="e">
        <f>VLOOKUP(A29,Enforcements!$C$7:$K$16,8,0)</f>
        <v>#N/A</v>
      </c>
      <c r="AC29" s="55" t="e">
        <f>VLOOKUP(A29,Enforcements!$C$7:$E$16,3,0)</f>
        <v>#N/A</v>
      </c>
      <c r="AD29" s="56" t="str">
        <f t="shared" si="23"/>
        <v>0117-31</v>
      </c>
      <c r="AE29" s="85" t="str">
        <f t="shared" si="1"/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AF29" s="82" t="str">
        <f t="shared" si="2"/>
        <v>"C:\Program Files (x86)\AstroGrep\AstroGrep.exe" /spath="%USERPROFILE%\AppData\Local\Temp\OnboardLogs" /stypes="app*4025*20170131*" /stext=" 12:.+((SYSTEM_STATE.+slice.+state.+changed )|(ment ac)|(multiple cpu faults)|(system.+state.+changed )|(\[timeout)|(PRM\|1\|D)|(kpr)|(kdp)|(\|lc)|(penalty))" /e /r /s</v>
      </c>
      <c r="AG29" s="1" t="str">
        <f t="shared" si="24"/>
        <v>EC</v>
      </c>
      <c r="AH29" s="86" t="str">
        <f t="shared" ref="AH29" si="45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117-31 --locoid 4025 --swversion DE.1.0.8.0 --startMP 204:232979 --initTime 2017-01-31T05:37:26 --startdatetime 2017-01-31T05:44:09 --delay  --endMP  --enddatetime 2017-01-31T05:52:31 --enforcementcount 0 &gt;&gt;C:\Users\stu\Documents\GitHub\eaglep3-reporting\EC\2017-01-31-refined-times.txt</v>
      </c>
      <c r="AI29" s="108" t="str">
        <f t="shared" ref="AI29" si="46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{"issue":{"subject":"BOS crashed","project_id":79,"tracker_id":40,"status_id":1,"priority_id":2,"assigned_to_id":23,"start_date":"2017-01-31","description":"","custom_fields":[{"id":1,"name":"Subdivision","value":"EC"},{"id":4,"name":"Milepost","value":"0"},{"id":17,"name":"Train ID","value":"117-31"},{"id":16,"name":"Locomotive ID","value":"4025"},{"id":130,"name":"Impact","value":""},{"id":150,"name":"Time of Event (Mountain Time)","value":"05:52:31"},{"id":151,"name":"Denver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61" t="str">
        <f t="shared" ref="AM29" si="47">"start /low /b "&amp;dls3logs&amp;" --loco "&amp;B29&amp;" --day "&amp;TEXT(F29,"YYYY-MM-DD")</f>
        <v>start /low /b %USERPROFILE%\Documents\GitHub\eaglep3\Utilities\DownloadLogsFromS3.py --loco 4025 --day 2017-01-31</v>
      </c>
      <c r="AN29" s="170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"%USERPROFILE%\AppData\Local\Temp\OnboardLogs"\RTDC4025\*4025*20170131* | grep -SE "(Enforcement Action)|(\[TIMEOUT)|(CHR.+\|PRM\|1\|D.+(SWITCH|SIGNAL).+UNKNOWN)" - &gt;&gt; 2017-01-31-UncaughtWiMAX.txt</v>
      </c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</row>
    <row r="30" spans="1:91" s="1" customFormat="1" x14ac:dyDescent="0.25">
      <c r="A30" s="33" t="s">
        <v>538</v>
      </c>
      <c r="B30" s="7">
        <v>4026</v>
      </c>
      <c r="C30" s="21" t="s">
        <v>193</v>
      </c>
      <c r="D30" s="21" t="s">
        <v>709</v>
      </c>
      <c r="E30" s="13">
        <v>42766.272499999999</v>
      </c>
      <c r="F30" s="13">
        <v>42766.278749999998</v>
      </c>
      <c r="G30" s="7">
        <v>1</v>
      </c>
      <c r="H30" s="21" t="s">
        <v>710</v>
      </c>
      <c r="I30" s="13">
        <v>42766.305983796294</v>
      </c>
      <c r="J30" s="7">
        <v>0</v>
      </c>
      <c r="K30" s="98" t="str">
        <f t="shared" ref="K30:K61" si="48">IF(ISEVEN(B30),(B30-1)&amp;"/"&amp;B30,B30&amp;"/"&amp;(B30+1))</f>
        <v>4025/4026</v>
      </c>
      <c r="L30" s="21" t="str">
        <f>VLOOKUP(A30,'Trips&amp;Operators'!$C$1:$G$99999,5,FALSE)</f>
        <v>MAELZER KURT</v>
      </c>
      <c r="M30" s="6">
        <f t="shared" ref="M30:M61" si="49">I30-F30</f>
        <v>2.7233796296059154E-2</v>
      </c>
      <c r="N30" s="7">
        <f t="shared" ref="N30:N61" si="50">24*60*SUM($M30:$M30)</f>
        <v>39.216666666325182</v>
      </c>
      <c r="O30" s="7"/>
      <c r="P30" s="7"/>
      <c r="Q30" s="22"/>
      <c r="R30" s="22"/>
      <c r="S30" s="31">
        <f t="shared" ref="S30:S61" si="51">SUM(U30:U30)/IF(AG30="EC",12,1)</f>
        <v>1</v>
      </c>
      <c r="T30" s="46" t="str">
        <f t="shared" si="20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0"/>
        <v>https://d0f6bd738d7f1b3e5a7ca70fe4ff75f0.us-east-1.aws.found.io/app/kibana#/discover/Steve-Slow-Train-Analysis-(2080s-and-2083s)?_g=(refreshInterval:(display:Off,pause:!f,section:0,value:0),time:(from:'2017-01-31T05:32:24-0700',mode:absolute,to:'2017-01-31T08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94" t="str">
        <f t="shared" si="21"/>
        <v>N</v>
      </c>
      <c r="X30" s="194">
        <f t="shared" si="28"/>
        <v>1</v>
      </c>
      <c r="Y30" s="62">
        <f t="shared" si="29"/>
        <v>23.3</v>
      </c>
      <c r="Z30" s="62">
        <f t="shared" ref="Z30:Z61" si="52">RIGHT(H30,LEN(H30)-4)/10000</f>
        <v>1.38E-2</v>
      </c>
      <c r="AA30" s="62">
        <f t="shared" si="22"/>
        <v>23.286200000000001</v>
      </c>
      <c r="AB30" s="59" t="e">
        <f>VLOOKUP(A30,Enforcements!$C$7:$K$16,8,0)</f>
        <v>#N/A</v>
      </c>
      <c r="AC30" s="55" t="e">
        <f>VLOOKUP(A30,Enforcements!$C$7:$E$16,3,0)</f>
        <v>#N/A</v>
      </c>
      <c r="AD30" s="56" t="str">
        <f t="shared" si="23"/>
        <v>0118-31</v>
      </c>
      <c r="AE30" s="85" t="str">
        <f t="shared" si="1"/>
        <v>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 &amp; 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</v>
      </c>
      <c r="AF30" s="82" t="str">
        <f t="shared" si="2"/>
        <v>"C:\Program Files (x86)\AstroGrep\AstroGrep.exe" /spath="%USERPROFILE%\AppData\Local\Temp\OnboardLogs" /stypes="app*4026*20170131*" /stext=" 14:.+((SYSTEM_STATE.+slice.+state.+changed )|(ment ac)|(multiple cpu faults)|(system.+state.+changed )|(\[timeout)|(PRM\|1\|D)|(kpr)|(kdp)|(\|lc)|(penalty))" /e /r /s</v>
      </c>
      <c r="AG30" s="1" t="str">
        <f t="shared" si="24"/>
        <v>EC</v>
      </c>
      <c r="AH30" s="86" t="str">
        <f t="shared" si="30"/>
        <v>"%USERPROFILE%\Documents\GitHub\eaglep3\Utilities\RefineRTDCRunTimes.py" --tripid 118-31 --locoid 4026 --swversion DE.1.0.8.0 --startMP 204:233000 --initTime 2017-01-31T06:32:24 --startdatetime 2017-01-31T06:41:24 --delay 1 --endMP 204:138 --enddatetime 2017-01-31T07:20:37 --enforcementcount 0 &gt;&gt;C:\Users\stu\Documents\GitHub\eaglep3-reporting\EC\2017-01-31-refined-times.txt</v>
      </c>
      <c r="AI30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{"issue":{"subject":"","project_id":79,"tracker_id":40,"status_id":1,"priority_id":2,"assigned_to_id":23,"start_date":"2017-01-31","description":"","custom_fields":[{"id":1,"name":"Subdivision","value":"EC"},{"id":4,"name":"Milepost","value":"0.0138"},{"id":17,"name":"Train ID","value":"118-31"},{"id":16,"name":"Locomotive ID","value":"4026"},{"id":130,"name":"Impact","value":""},{"id":150,"name":"Time of Event (Mountain Time)","value":"07:20:37"},{"id":151,"name":"Denver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61" t="str">
        <f t="shared" si="32"/>
        <v>start /low /b %USERPROFILE%\Documents\GitHub\eaglep3\Utilities\DownloadLogsFromS3.py --loco 4026 --day 2017-01-31</v>
      </c>
      <c r="AN30" s="170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"%USERPROFILE%\AppData\Local\Temp\OnboardLogs"\RTDC4026\*4026*20170131* | grep -SE "(Enforcement Action)|(\[TIMEOUT)|(CHR.+\|PRM\|1\|D.+(SWITCH|SIGNAL).+UNKNOWN)" - &gt;&gt; 2017-01-31-UncaughtWiMAX.txt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531</v>
      </c>
      <c r="B31" s="7">
        <v>4040</v>
      </c>
      <c r="C31" s="21" t="s">
        <v>193</v>
      </c>
      <c r="D31" s="21" t="s">
        <v>711</v>
      </c>
      <c r="E31" s="13">
        <v>42766.247662037036</v>
      </c>
      <c r="F31" s="13">
        <v>42766.250277777777</v>
      </c>
      <c r="G31" s="7">
        <v>1</v>
      </c>
      <c r="H31" s="21" t="s">
        <v>712</v>
      </c>
      <c r="I31" s="13">
        <v>42766.275312500002</v>
      </c>
      <c r="J31" s="7">
        <v>0</v>
      </c>
      <c r="K31" s="98" t="str">
        <f t="shared" si="48"/>
        <v>4039/4040</v>
      </c>
      <c r="L31" s="21" t="str">
        <f>VLOOKUP(A31,'Trips&amp;Operators'!$C$1:$G$99999,5,FALSE)</f>
        <v>STARKS ANGELINA</v>
      </c>
      <c r="M31" s="6">
        <f t="shared" si="49"/>
        <v>2.5034722224518191E-2</v>
      </c>
      <c r="N31" s="7">
        <f t="shared" si="50"/>
        <v>36.050000003306195</v>
      </c>
      <c r="O31" s="7"/>
      <c r="P31" s="7"/>
      <c r="Q31" s="22"/>
      <c r="R31" s="22"/>
      <c r="S31" s="31">
        <f t="shared" si="51"/>
        <v>1</v>
      </c>
      <c r="T31" s="46" t="str">
        <f t="shared" si="20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0"/>
        <v>https://d0f6bd738d7f1b3e5a7ca70fe4ff75f0.us-east-1.aws.found.io/app/kibana#/discover/Steve-Slow-Train-Analysis-(2080s-and-2083s)?_g=(refreshInterval:(display:Off,pause:!f,section:0,value:0),time:(from:'2017-01-31T04:56:38-0700',mode:absolute,to:'2017-01-31T07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4" t="str">
        <f t="shared" si="21"/>
        <v>N</v>
      </c>
      <c r="X31" s="194">
        <f t="shared" si="28"/>
        <v>1</v>
      </c>
      <c r="Y31" s="62">
        <f t="shared" si="29"/>
        <v>7.6300000000000007E-2</v>
      </c>
      <c r="Z31" s="62">
        <f t="shared" si="52"/>
        <v>23.328600000000002</v>
      </c>
      <c r="AA31" s="62">
        <f t="shared" si="22"/>
        <v>23.252300000000002</v>
      </c>
      <c r="AB31" s="59" t="e">
        <f>VLOOKUP(A31,Enforcements!$C$7:$K$16,8,0)</f>
        <v>#N/A</v>
      </c>
      <c r="AC31" s="55" t="e">
        <f>VLOOKUP(A31,Enforcements!$C$7:$E$16,3,0)</f>
        <v>#N/A</v>
      </c>
      <c r="AD31" s="56" t="str">
        <f t="shared" si="23"/>
        <v>0119-31</v>
      </c>
      <c r="AE31" s="85" t="str">
        <f t="shared" si="1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31" s="82" t="str">
        <f t="shared" si="2"/>
        <v>"C:\Program Files (x86)\AstroGrep\AstroGrep.exe" /spath="%USERPROFILE%\AppData\Local\Temp\OnboardLogs" /stypes="app*4040*20170131*" /stext=" 13:.+((SYSTEM_STATE.+slice.+state.+changed )|(ment ac)|(multiple cpu faults)|(system.+state.+changed )|(\[timeout)|(PRM\|1\|D)|(kpr)|(kdp)|(\|lc)|(penalty))" /e /r /s</v>
      </c>
      <c r="AG31" s="1" t="str">
        <f t="shared" si="24"/>
        <v>EC</v>
      </c>
      <c r="AH31" s="86" t="str">
        <f t="shared" si="30"/>
        <v>"%USERPROFILE%\Documents\GitHub\eaglep3\Utilities\RefineRTDCRunTimes.py" --tripid 119-31 --locoid 4040 --swversion DE.1.0.8.0 --startMP 204:763 --initTime 2017-01-31T05:56:38 --startdatetime 2017-01-31T06:00:24 --delay 1 --endMP 204:233286 --enddatetime 2017-01-31T06:36:27 --enforcementcount 0 &gt;&gt;C:\Users\stu\Documents\GitHub\eaglep3-reporting\EC\2017-01-31-refined-times.txt</v>
      </c>
      <c r="AI31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{"issue":{"subject":"","project_id":79,"tracker_id":40,"status_id":1,"priority_id":2,"assigned_to_id":23,"start_date":"2017-01-31","description":"","custom_fields":[{"id":1,"name":"Subdivision","value":"EC"},{"id":4,"name":"Milepost","value":"23.3286"},{"id":17,"name":"Train ID","value":"119-31"},{"id":16,"name":"Locomotive ID","value":"4040"},{"id":130,"name":"Impact","value":""},{"id":150,"name":"Time of Event (Mountain Time)","value":"06:36:27"},{"id":151,"name":"Denver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61" t="str">
        <f t="shared" si="32"/>
        <v>start /low /b %USERPROFILE%\Documents\GitHub\eaglep3\Utilities\DownloadLogsFromS3.py --loco 4040 --day 2017-01-31</v>
      </c>
      <c r="AN31" s="170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"%USERPROFILE%\AppData\Local\Temp\OnboardLogs"\RTDC4040\*4040*20170131* | grep -SE "(Enforcement Action)|(\[TIMEOUT)|(CHR.+\|PRM\|1\|D.+(SWITCH|SIGNAL).+UNKNOWN)" - &gt;&gt; 2017-01-31-UncaughtWiMAX.txt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541</v>
      </c>
      <c r="B32" s="7">
        <v>4039</v>
      </c>
      <c r="C32" s="21" t="s">
        <v>193</v>
      </c>
      <c r="D32" s="21" t="s">
        <v>478</v>
      </c>
      <c r="E32" s="13">
        <v>42766.287615740737</v>
      </c>
      <c r="F32" s="13">
        <v>42766.290370370371</v>
      </c>
      <c r="G32" s="7">
        <v>1</v>
      </c>
      <c r="H32" s="21" t="s">
        <v>197</v>
      </c>
      <c r="I32" s="13">
        <v>42766.316979166666</v>
      </c>
      <c r="J32" s="7">
        <v>0</v>
      </c>
      <c r="K32" s="98" t="str">
        <f t="shared" si="48"/>
        <v>4039/4040</v>
      </c>
      <c r="L32" s="21" t="str">
        <f>VLOOKUP(A32,'Trips&amp;Operators'!$C$1:$G$99999,5,FALSE)</f>
        <v>STARKS ANGELINA</v>
      </c>
      <c r="M32" s="6">
        <f t="shared" si="49"/>
        <v>2.6608796295477077E-2</v>
      </c>
      <c r="N32" s="7">
        <f t="shared" si="50"/>
        <v>38.316666665486991</v>
      </c>
      <c r="O32" s="7"/>
      <c r="P32" s="7"/>
      <c r="Q32" s="22"/>
      <c r="R32" s="22"/>
      <c r="S32" s="31">
        <f t="shared" si="51"/>
        <v>1</v>
      </c>
      <c r="T32" s="46" t="str">
        <f t="shared" si="20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0"/>
        <v>https://d0f6bd738d7f1b3e5a7ca70fe4ff75f0.us-east-1.aws.found.io/app/kibana#/discover/Steve-Slow-Train-Analysis-(2080s-and-2083s)?_g=(refreshInterval:(display:Off,pause:!f,section:0,value:0),time:(from:'2017-01-31T05:54:10-0700',mode:absolute,to:'2017-01-31T08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4" t="str">
        <f t="shared" si="21"/>
        <v>N</v>
      </c>
      <c r="X32" s="194">
        <f t="shared" si="28"/>
        <v>1</v>
      </c>
      <c r="Y32" s="62">
        <f t="shared" si="29"/>
        <v>23.2973</v>
      </c>
      <c r="Z32" s="62">
        <f t="shared" si="52"/>
        <v>1.4999999999999999E-2</v>
      </c>
      <c r="AA32" s="62">
        <f t="shared" si="22"/>
        <v>23.282299999999999</v>
      </c>
      <c r="AB32" s="59" t="e">
        <f>VLOOKUP(A32,Enforcements!$C$7:$K$16,8,0)</f>
        <v>#N/A</v>
      </c>
      <c r="AC32" s="55" t="e">
        <f>VLOOKUP(A32,Enforcements!$C$7:$E$16,3,0)</f>
        <v>#N/A</v>
      </c>
      <c r="AD32" s="56" t="str">
        <f t="shared" si="23"/>
        <v>0120-31</v>
      </c>
      <c r="AE32" s="85" t="str">
        <f t="shared" si="1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32" s="82" t="str">
        <f t="shared" si="2"/>
        <v>"C:\Program Files (x86)\AstroGrep\AstroGrep.exe" /spath="%USERPROFILE%\AppData\Local\Temp\OnboardLogs" /stypes="app*4039*20170131*" /stext=" 14:.+((SYSTEM_STATE.+slice.+state.+changed )|(ment ac)|(multiple cpu faults)|(system.+state.+changed )|(\[timeout)|(PRM\|1\|D)|(kpr)|(kdp)|(\|lc)|(penalty))" /e /r /s</v>
      </c>
      <c r="AG32" s="1" t="str">
        <f t="shared" si="24"/>
        <v>EC</v>
      </c>
      <c r="AH32" s="86" t="str">
        <f t="shared" si="30"/>
        <v>"%USERPROFILE%\Documents\GitHub\eaglep3\Utilities\RefineRTDCRunTimes.py" --tripid 120-31 --locoid 4039 --swversion DE.1.0.8.0 --startMP 204:232973 --initTime 2017-01-31T06:54:10 --startdatetime 2017-01-31T06:58:08 --delay 1 --endMP 204:150 --enddatetime 2017-01-31T07:36:27 --enforcementcount 0 &gt;&gt;C:\Users\stu\Documents\GitHub\eaglep3-reporting\EC\2017-01-31-refined-times.txt</v>
      </c>
      <c r="AI32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{"issue":{"subject":"","project_id":79,"tracker_id":40,"status_id":1,"priority_id":2,"assigned_to_id":23,"start_date":"2017-01-31","description":"","custom_fields":[{"id":1,"name":"Subdivision","value":"EC"},{"id":4,"name":"Milepost","value":"0.015"},{"id":17,"name":"Train ID","value":"120-31"},{"id":16,"name":"Locomotive ID","value":"4039"},{"id":130,"name":"Impact","value":""},{"id":150,"name":"Time of Event (Mountain Time)","value":"07:36:27"},{"id":151,"name":"Denver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61" t="str">
        <f t="shared" si="32"/>
        <v>start /low /b %USERPROFILE%\Documents\GitHub\eaglep3\Utilities\DownloadLogsFromS3.py --loco 4039 --day 2017-01-31</v>
      </c>
      <c r="AN32" s="170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"%USERPROFILE%\AppData\Local\Temp\OnboardLogs"\RTDC4039\*4039*20170131* | grep -SE "(Enforcement Action)|(\[TIMEOUT)|(CHR.+\|PRM\|1\|D.+(SWITCH|SIGNAL).+UNKNOWN)" - &gt;&gt; 2017-01-31-UncaughtWiMAX.txt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533</v>
      </c>
      <c r="B33" s="7">
        <v>4027</v>
      </c>
      <c r="C33" s="21" t="s">
        <v>193</v>
      </c>
      <c r="D33" s="21" t="s">
        <v>306</v>
      </c>
      <c r="E33" s="13">
        <v>42766.255486111113</v>
      </c>
      <c r="F33" s="13">
        <v>42766.265821759262</v>
      </c>
      <c r="G33" s="7">
        <v>1</v>
      </c>
      <c r="H33" s="21" t="s">
        <v>327</v>
      </c>
      <c r="I33" s="13">
        <v>42766.286666666667</v>
      </c>
      <c r="J33" s="7">
        <v>0</v>
      </c>
      <c r="K33" s="98" t="str">
        <f t="shared" si="48"/>
        <v>4027/4028</v>
      </c>
      <c r="L33" s="21" t="str">
        <f>VLOOKUP(A33,'Trips&amp;Operators'!$C$1:$G$99999,5,FALSE)</f>
        <v>BONDS REYNALDO</v>
      </c>
      <c r="M33" s="6">
        <f t="shared" si="49"/>
        <v>2.0844907405262347E-2</v>
      </c>
      <c r="N33" s="7">
        <f t="shared" si="50"/>
        <v>30.01666666357778</v>
      </c>
      <c r="O33" s="7"/>
      <c r="P33" s="7"/>
      <c r="Q33" s="22"/>
      <c r="R33" s="22"/>
      <c r="S33" s="31">
        <f t="shared" si="51"/>
        <v>1</v>
      </c>
      <c r="T33" s="46" t="str">
        <f t="shared" si="20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0"/>
        <v>https://d0f6bd738d7f1b3e5a7ca70fe4ff75f0.us-east-1.aws.found.io/app/kibana#/discover/Steve-Slow-Train-Analysis-(2080s-and-2083s)?_g=(refreshInterval:(display:Off,pause:!f,section:0,value:0),time:(from:'2017-01-31T05:07:54-0700',mode:absolute,to:'2017-01-31T07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3" s="194" t="str">
        <f t="shared" si="21"/>
        <v>N</v>
      </c>
      <c r="X33" s="194">
        <f t="shared" si="10"/>
        <v>1</v>
      </c>
      <c r="Y33" s="62">
        <f t="shared" ref="Y33:Y69" si="53">RIGHT(D33,LEN(D33)-4)/10000</f>
        <v>4.4600000000000001E-2</v>
      </c>
      <c r="Z33" s="62">
        <f t="shared" si="52"/>
        <v>23.3308</v>
      </c>
      <c r="AA33" s="62">
        <f t="shared" si="22"/>
        <v>23.286200000000001</v>
      </c>
      <c r="AB33" s="59" t="e">
        <f>VLOOKUP(A33,Enforcements!$C$7:$K$16,8,0)</f>
        <v>#N/A</v>
      </c>
      <c r="AC33" s="55" t="e">
        <f>VLOOKUP(A33,Enforcements!$C$7:$E$16,3,0)</f>
        <v>#N/A</v>
      </c>
      <c r="AD33" s="56" t="str">
        <f t="shared" si="23"/>
        <v>0121-31</v>
      </c>
      <c r="AE33" s="85" t="str">
        <f t="shared" si="1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33" s="82" t="str">
        <f t="shared" si="2"/>
        <v>"C:\Program Files (x86)\AstroGrep\AstroGrep.exe" /spath="%USERPROFILE%\AppData\Local\Temp\OnboardLogs" /stypes="app*4027*20170131*" /stext=" 13:.+((SYSTEM_STATE.+slice.+state.+changed )|(ment ac)|(multiple cpu faults)|(system.+state.+changed )|(\[timeout)|(PRM\|1\|D)|(kpr)|(kdp)|(\|lc)|(penalty))" /e /r /s</v>
      </c>
      <c r="AG33" s="1" t="str">
        <f t="shared" si="24"/>
        <v>EC</v>
      </c>
      <c r="AH33" s="86" t="str">
        <f t="shared" si="30"/>
        <v>"%USERPROFILE%\Documents\GitHub\eaglep3\Utilities\RefineRTDCRunTimes.py" --tripid 121-31 --locoid 4027 --swversion DE.1.0.8.0 --startMP 204:446 --initTime 2017-01-31T06:07:54 --startdatetime 2017-01-31T06:22:47 --delay 1 --endMP 204:233308 --enddatetime 2017-01-31T06:52:48 --enforcementcount 0 &gt;&gt;C:\Users\stu\Documents\GitHub\eaglep3-reporting\EC\2017-01-31-refined-times.txt</v>
      </c>
      <c r="AI33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{"issue":{"subject":"","project_id":79,"tracker_id":40,"status_id":1,"priority_id":2,"assigned_to_id":23,"start_date":"2017-01-31","description":"","custom_fields":[{"id":1,"name":"Subdivision","value":"EC"},{"id":4,"name":"Milepost","value":"23.3308"},{"id":17,"name":"Train ID","value":"121-31"},{"id":16,"name":"Locomotive ID","value":"4027"},{"id":130,"name":"Impact","value":""},{"id":150,"name":"Time of Event (Mountain Time)","value":"06:52:48"},{"id":151,"name":"Denver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61" t="str">
        <f t="shared" si="32"/>
        <v>start /low /b %USERPROFILE%\Documents\GitHub\eaglep3\Utilities\DownloadLogsFromS3.py --loco 4027 --day 2017-01-31</v>
      </c>
      <c r="AN33" s="170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"%USERPROFILE%\AppData\Local\Temp\OnboardLogs"\RTDC4027\*4027*20170131* | grep -SE "(Enforcement Action)|(\[TIMEOUT)|(CHR.+\|PRM\|1\|D.+(SWITCH|SIGNAL).+UNKNOWN)" - &gt;&gt; 2017-01-31-UncaughtWiMAX.txt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543</v>
      </c>
      <c r="B34" s="7">
        <v>4028</v>
      </c>
      <c r="C34" s="21" t="s">
        <v>193</v>
      </c>
      <c r="D34" s="21" t="s">
        <v>468</v>
      </c>
      <c r="E34" s="13">
        <v>42766.295532407406</v>
      </c>
      <c r="F34" s="13">
        <v>42766.299583333333</v>
      </c>
      <c r="G34" s="7">
        <v>2</v>
      </c>
      <c r="H34" s="21" t="s">
        <v>339</v>
      </c>
      <c r="I34" s="13">
        <v>42766.326724537037</v>
      </c>
      <c r="J34" s="7">
        <v>0</v>
      </c>
      <c r="K34" s="98" t="str">
        <f t="shared" si="48"/>
        <v>4027/4028</v>
      </c>
      <c r="L34" s="21" t="str">
        <f>VLOOKUP(A34,'Trips&amp;Operators'!$C$1:$G$99999,5,FALSE)</f>
        <v>BONDS REYNALDO</v>
      </c>
      <c r="M34" s="6">
        <f t="shared" si="49"/>
        <v>2.7141203703649808E-2</v>
      </c>
      <c r="N34" s="7">
        <f t="shared" si="50"/>
        <v>39.083333333255723</v>
      </c>
      <c r="O34" s="7"/>
      <c r="P34" s="7"/>
      <c r="Q34" s="22"/>
      <c r="R34" s="22"/>
      <c r="S34" s="31">
        <f t="shared" si="51"/>
        <v>1</v>
      </c>
      <c r="T34" s="46" t="str">
        <f t="shared" si="20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0"/>
        <v>https://d0f6bd738d7f1b3e5a7ca70fe4ff75f0.us-east-1.aws.found.io/app/kibana#/discover/Steve-Slow-Train-Analysis-(2080s-and-2083s)?_g=(refreshInterval:(display:Off,pause:!f,section:0,value:0),time:(from:'2017-01-31T06:05:34-0700',mode:absolute,to:'2017-01-31T08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194" t="str">
        <f t="shared" si="21"/>
        <v>N</v>
      </c>
      <c r="X34" s="194">
        <f t="shared" ref="X34:X65" si="54">VALUE(LEFT(AD34,4))-VALUE(LEFT(AD33,4))</f>
        <v>1</v>
      </c>
      <c r="Y34" s="62">
        <f t="shared" si="53"/>
        <v>23.299299999999999</v>
      </c>
      <c r="Z34" s="62">
        <f t="shared" si="52"/>
        <v>1.3899999999999999E-2</v>
      </c>
      <c r="AA34" s="62">
        <f t="shared" si="22"/>
        <v>23.285399999999999</v>
      </c>
      <c r="AB34" s="59" t="e">
        <f>VLOOKUP(A34,Enforcements!$C$7:$K$16,8,0)</f>
        <v>#N/A</v>
      </c>
      <c r="AC34" s="55" t="e">
        <f>VLOOKUP(A34,Enforcements!$C$7:$E$16,3,0)</f>
        <v>#N/A</v>
      </c>
      <c r="AD34" s="56" t="str">
        <f t="shared" si="23"/>
        <v>0122-31</v>
      </c>
      <c r="AE34" s="85" t="str">
        <f t="shared" si="1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34" s="82" t="str">
        <f t="shared" si="2"/>
        <v>"C:\Program Files (x86)\AstroGrep\AstroGrep.exe" /spath="%USERPROFILE%\AppData\Local\Temp\OnboardLogs" /stypes="app*4028*20170131*" /stext=" 14:.+((SYSTEM_STATE.+slice.+state.+changed )|(ment ac)|(multiple cpu faults)|(system.+state.+changed )|(\[timeout)|(PRM\|1\|D)|(kpr)|(kdp)|(\|lc)|(penalty))" /e /r /s</v>
      </c>
      <c r="AG34" s="1" t="str">
        <f t="shared" si="24"/>
        <v>EC</v>
      </c>
      <c r="AH34" s="86" t="str">
        <f t="shared" si="30"/>
        <v>"%USERPROFILE%\Documents\GitHub\eaglep3\Utilities\RefineRTDCRunTimes.py" --tripid 122-31 --locoid 4028 --swversion DE.1.0.8.0 --startMP 204:232993 --initTime 2017-01-31T07:05:34 --startdatetime 2017-01-31T07:11:24 --delay 2 --endMP 204:139 --enddatetime 2017-01-31T07:50:29 --enforcementcount 0 &gt;&gt;C:\Users\stu\Documents\GitHub\eaglep3-reporting\EC\2017-01-31-refined-times.txt</v>
      </c>
      <c r="AI34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{"issue":{"subject":"","project_id":79,"tracker_id":40,"status_id":1,"priority_id":2,"assigned_to_id":23,"start_date":"2017-01-31","description":"","custom_fields":[{"id":1,"name":"Subdivision","value":"EC"},{"id":4,"name":"Milepost","value":"0.0139"},{"id":17,"name":"Train ID","value":"122-31"},{"id":16,"name":"Locomotive ID","value":"4028"},{"id":130,"name":"Impact","value":""},{"id":150,"name":"Time of Event (Mountain Time)","value":"07:50:29"},{"id":151,"name":"Denver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61" t="str">
        <f t="shared" si="32"/>
        <v>start /low /b %USERPROFILE%\Documents\GitHub\eaglep3\Utilities\DownloadLogsFromS3.py --loco 4028 --day 2017-01-31</v>
      </c>
      <c r="AN34" s="170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"%USERPROFILE%\AppData\Local\Temp\OnboardLogs"\RTDC4028\*4028*20170131* | grep -SE "(Enforcement Action)|(\[TIMEOUT)|(CHR.+\|PRM\|1\|D.+(SWITCH|SIGNAL).+UNKNOWN)" - &gt;&gt; 2017-01-31-UncaughtWiMAX.txt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536</v>
      </c>
      <c r="B35" s="7">
        <v>4042</v>
      </c>
      <c r="C35" s="21" t="s">
        <v>193</v>
      </c>
      <c r="D35" s="21" t="s">
        <v>242</v>
      </c>
      <c r="E35" s="13">
        <v>42766.266608796293</v>
      </c>
      <c r="F35" s="13">
        <v>42766.270995370367</v>
      </c>
      <c r="G35" s="7">
        <v>1</v>
      </c>
      <c r="H35" s="21" t="s">
        <v>303</v>
      </c>
      <c r="I35" s="13">
        <v>42766.296099537038</v>
      </c>
      <c r="J35" s="7">
        <v>0</v>
      </c>
      <c r="K35" s="98" t="str">
        <f t="shared" si="48"/>
        <v>4041/4042</v>
      </c>
      <c r="L35" s="21" t="str">
        <f>VLOOKUP(A35,'Trips&amp;Operators'!$C$1:$G$99999,5,FALSE)</f>
        <v>DAVIS WENDY</v>
      </c>
      <c r="M35" s="6">
        <f t="shared" si="49"/>
        <v>2.510416667064419E-2</v>
      </c>
      <c r="N35" s="7">
        <f t="shared" si="50"/>
        <v>36.150000005727634</v>
      </c>
      <c r="O35" s="7"/>
      <c r="P35" s="7"/>
      <c r="Q35" s="22"/>
      <c r="R35" s="22"/>
      <c r="S35" s="31">
        <f t="shared" si="51"/>
        <v>1</v>
      </c>
      <c r="T35" s="46" t="str">
        <f t="shared" si="20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0"/>
        <v>https://d0f6bd738d7f1b3e5a7ca70fe4ff75f0.us-east-1.aws.found.io/app/kibana#/discover/Steve-Slow-Train-Analysis-(2080s-and-2083s)?_g=(refreshInterval:(display:Off,pause:!f,section:0,value:0),time:(from:'2017-01-31T05:23:55-0700',mode:absolute,to:'2017-01-31T08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94" t="str">
        <f t="shared" si="21"/>
        <v>N</v>
      </c>
      <c r="X35" s="194">
        <f t="shared" si="54"/>
        <v>1</v>
      </c>
      <c r="Y35" s="62">
        <f t="shared" si="53"/>
        <v>4.6600000000000003E-2</v>
      </c>
      <c r="Z35" s="62">
        <f t="shared" si="52"/>
        <v>23.3307</v>
      </c>
      <c r="AA35" s="62">
        <f t="shared" si="22"/>
        <v>23.284099999999999</v>
      </c>
      <c r="AB35" s="59" t="e">
        <f>VLOOKUP(A35,Enforcements!$C$7:$K$16,8,0)</f>
        <v>#N/A</v>
      </c>
      <c r="AC35" s="55" t="e">
        <f>VLOOKUP(A35,Enforcements!$C$7:$E$16,3,0)</f>
        <v>#N/A</v>
      </c>
      <c r="AD35" s="56" t="str">
        <f t="shared" si="23"/>
        <v>0123-31</v>
      </c>
      <c r="AE35" s="85" t="str">
        <f t="shared" si="1"/>
        <v>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 &amp; 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</v>
      </c>
      <c r="AF35" s="82" t="str">
        <f t="shared" si="2"/>
        <v>"C:\Program Files (x86)\AstroGrep\AstroGrep.exe" /spath="%USERPROFILE%\AppData\Local\Temp\OnboardLogs" /stypes="app*4042*20170131*" /stext=" 14:.+((SYSTEM_STATE.+slice.+state.+changed )|(ment ac)|(multiple cpu faults)|(system.+state.+changed )|(\[timeout)|(PRM\|1\|D)|(kpr)|(kdp)|(\|lc)|(penalty))" /e /r /s</v>
      </c>
      <c r="AG35" s="1" t="str">
        <f t="shared" si="24"/>
        <v>EC</v>
      </c>
      <c r="AH35" s="86" t="str">
        <f t="shared" si="30"/>
        <v>"%USERPROFILE%\Documents\GitHub\eaglep3\Utilities\RefineRTDCRunTimes.py" --tripid 123-31 --locoid 4042 --swversion DE.1.0.8.0 --startMP 204:466 --initTime 2017-01-31T06:23:55 --startdatetime 2017-01-31T06:30:14 --delay 1 --endMP 204:233307 --enddatetime 2017-01-31T07:06:23 --enforcementcount 0 &gt;&gt;C:\Users\stu\Documents\GitHub\eaglep3-reporting\EC\2017-01-31-refined-times.txt</v>
      </c>
      <c r="AI35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{"issue":{"subject":"","project_id":79,"tracker_id":40,"status_id":1,"priority_id":2,"assigned_to_id":23,"start_date":"2017-01-31","description":"","custom_fields":[{"id":1,"name":"Subdivision","value":"EC"},{"id":4,"name":"Milepost","value":"23.3307"},{"id":17,"name":"Train ID","value":"123-31"},{"id":16,"name":"Locomotive ID","value":"4042"},{"id":130,"name":"Impact","value":""},{"id":150,"name":"Time of Event (Mountain Time)","value":"07:06:23"},{"id":151,"name":"Denver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61" t="str">
        <f t="shared" si="32"/>
        <v>start /low /b %USERPROFILE%\Documents\GitHub\eaglep3\Utilities\DownloadLogsFromS3.py --loco 4042 --day 2017-01-31</v>
      </c>
      <c r="AN35" s="170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"%USERPROFILE%\AppData\Local\Temp\OnboardLogs"\RTDC4042\*4042*20170131* | grep -SE "(Enforcement Action)|(\[TIMEOUT)|(CHR.+\|PRM\|1\|D.+(SWITCH|SIGNAL).+UNKNOWN)" - &gt;&gt; 2017-01-31-UncaughtWiMAX.txt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547</v>
      </c>
      <c r="B36" s="7">
        <v>4041</v>
      </c>
      <c r="C36" s="21" t="s">
        <v>193</v>
      </c>
      <c r="D36" s="21" t="s">
        <v>713</v>
      </c>
      <c r="E36" s="13">
        <v>42766.306400462963</v>
      </c>
      <c r="F36" s="13">
        <v>42766.309872685182</v>
      </c>
      <c r="G36" s="7">
        <v>1</v>
      </c>
      <c r="H36" s="21" t="s">
        <v>227</v>
      </c>
      <c r="I36" s="13">
        <v>42766.337731481479</v>
      </c>
      <c r="J36" s="7">
        <v>0</v>
      </c>
      <c r="K36" s="98" t="str">
        <f t="shared" si="48"/>
        <v>4041/4042</v>
      </c>
      <c r="L36" s="21" t="str">
        <f>VLOOKUP(A36,'Trips&amp;Operators'!$C$1:$G$99999,5,FALSE)</f>
        <v>DAVIS WENDY</v>
      </c>
      <c r="M36" s="6">
        <f t="shared" si="49"/>
        <v>2.7858796296641231E-2</v>
      </c>
      <c r="N36" s="7">
        <f t="shared" si="50"/>
        <v>40.116666667163372</v>
      </c>
      <c r="O36" s="7"/>
      <c r="P36" s="7"/>
      <c r="Q36" s="22"/>
      <c r="R36" s="22"/>
      <c r="S36" s="31">
        <f t="shared" si="51"/>
        <v>1</v>
      </c>
      <c r="T36" s="46" t="str">
        <f t="shared" si="20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0"/>
        <v>https://d0f6bd738d7f1b3e5a7ca70fe4ff75f0.us-east-1.aws.found.io/app/kibana#/discover/Steve-Slow-Train-Analysis-(2080s-and-2083s)?_g=(refreshInterval:(display:Off,pause:!f,section:0,value:0),time:(from:'2017-01-31T06:21:13-0700',mode:absolute,to:'2017-01-31T09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94" t="str">
        <f t="shared" si="21"/>
        <v>N</v>
      </c>
      <c r="X36" s="194">
        <f t="shared" si="54"/>
        <v>1</v>
      </c>
      <c r="Y36" s="62">
        <f t="shared" si="53"/>
        <v>23.2986</v>
      </c>
      <c r="Z36" s="62">
        <f t="shared" si="52"/>
        <v>1.6299999999999999E-2</v>
      </c>
      <c r="AA36" s="62">
        <f t="shared" si="22"/>
        <v>23.282299999999999</v>
      </c>
      <c r="AB36" s="59" t="e">
        <f>VLOOKUP(A36,Enforcements!$C$7:$K$16,8,0)</f>
        <v>#N/A</v>
      </c>
      <c r="AC36" s="55" t="e">
        <f>VLOOKUP(A36,Enforcements!$C$7:$E$16,3,0)</f>
        <v>#N/A</v>
      </c>
      <c r="AD36" s="56" t="str">
        <f t="shared" si="23"/>
        <v>0124-31</v>
      </c>
      <c r="AE36" s="85" t="str">
        <f t="shared" si="1"/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AF36" s="82" t="str">
        <f t="shared" si="2"/>
        <v>"C:\Program Files (x86)\AstroGrep\AstroGrep.exe" /spath="%USERPROFILE%\AppData\Local\Temp\OnboardLogs" /stypes="app*4041*20170131*" /stext=" 15:.+((SYSTEM_STATE.+slice.+state.+changed )|(ment ac)|(multiple cpu faults)|(system.+state.+changed )|(\[timeout)|(PRM\|1\|D)|(kpr)|(kdp)|(\|lc)|(penalty))" /e /r /s</v>
      </c>
      <c r="AG36" s="1" t="str">
        <f t="shared" si="24"/>
        <v>EC</v>
      </c>
      <c r="AH36" s="86" t="str">
        <f t="shared" si="30"/>
        <v>"%USERPROFILE%\Documents\GitHub\eaglep3\Utilities\RefineRTDCRunTimes.py" --tripid 124-31 --locoid 4041 --swversion DE.1.0.8.0 --startMP 204:232986 --initTime 2017-01-31T07:21:13 --startdatetime 2017-01-31T07:26:13 --delay 1 --endMP 204:163 --enddatetime 2017-01-31T08:06:20 --enforcementcount 0 &gt;&gt;C:\Users\stu\Documents\GitHub\eaglep3-reporting\EC\2017-01-31-refined-times.txt</v>
      </c>
      <c r="AI36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{"issue":{"subject":"","project_id":79,"tracker_id":40,"status_id":1,"priority_id":2,"assigned_to_id":23,"start_date":"2017-01-31","description":"","custom_fields":[{"id":1,"name":"Subdivision","value":"EC"},{"id":4,"name":"Milepost","value":"0.0163"},{"id":17,"name":"Train ID","value":"124-31"},{"id":16,"name":"Locomotive ID","value":"4041"},{"id":130,"name":"Impact","value":""},{"id":150,"name":"Time of Event (Mountain Time)","value":"08:06:20"},{"id":151,"name":"Denver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61" t="str">
        <f t="shared" si="32"/>
        <v>start /low /b %USERPROFILE%\Documents\GitHub\eaglep3\Utilities\DownloadLogsFromS3.py --loco 4041 --day 2017-01-31</v>
      </c>
      <c r="AN36" s="170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540</v>
      </c>
      <c r="B37" s="7">
        <v>4011</v>
      </c>
      <c r="C37" s="21" t="s">
        <v>193</v>
      </c>
      <c r="D37" s="21" t="s">
        <v>211</v>
      </c>
      <c r="E37" s="13">
        <v>42766.277499999997</v>
      </c>
      <c r="F37" s="13">
        <v>42766.2815625</v>
      </c>
      <c r="G37" s="7">
        <v>3</v>
      </c>
      <c r="H37" s="21" t="s">
        <v>327</v>
      </c>
      <c r="I37" s="13">
        <v>42766.306226851855</v>
      </c>
      <c r="J37" s="7">
        <v>0</v>
      </c>
      <c r="K37" s="98" t="str">
        <f t="shared" si="48"/>
        <v>4011/4012</v>
      </c>
      <c r="L37" s="21" t="str">
        <f>VLOOKUP(A37,'Trips&amp;Operators'!$C$1:$G$99999,5,FALSE)</f>
        <v>LOZA FIDEL</v>
      </c>
      <c r="M37" s="6">
        <f t="shared" si="49"/>
        <v>2.4664351854880806E-2</v>
      </c>
      <c r="N37" s="7">
        <f t="shared" si="50"/>
        <v>35.516666671028361</v>
      </c>
      <c r="O37" s="7"/>
      <c r="P37" s="7"/>
      <c r="Q37" s="22"/>
      <c r="R37" s="22"/>
      <c r="S37" s="31">
        <f t="shared" si="51"/>
        <v>1</v>
      </c>
      <c r="T37" s="46" t="str">
        <f t="shared" si="20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0"/>
        <v>https://d0f6bd738d7f1b3e5a7ca70fe4ff75f0.us-east-1.aws.found.io/app/kibana#/discover/Steve-Slow-Train-Analysis-(2080s-and-2083s)?_g=(refreshInterval:(display:Off,pause:!f,section:0,value:0),time:(from:'2017-01-31T05:39:36-0700',mode:absolute,to:'2017-01-31T08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7" s="194" t="str">
        <f t="shared" si="21"/>
        <v>N</v>
      </c>
      <c r="X37" s="194">
        <f t="shared" si="54"/>
        <v>1</v>
      </c>
      <c r="Y37" s="62">
        <f t="shared" si="53"/>
        <v>4.6199999999999998E-2</v>
      </c>
      <c r="Z37" s="62">
        <f t="shared" si="52"/>
        <v>23.3308</v>
      </c>
      <c r="AA37" s="62">
        <f t="shared" si="22"/>
        <v>23.284600000000001</v>
      </c>
      <c r="AB37" s="59" t="e">
        <f>VLOOKUP(A37,Enforcements!$C$7:$K$16,8,0)</f>
        <v>#N/A</v>
      </c>
      <c r="AC37" s="55" t="e">
        <f>VLOOKUP(A37,Enforcements!$C$7:$E$16,3,0)</f>
        <v>#N/A</v>
      </c>
      <c r="AD37" s="56" t="str">
        <f t="shared" si="23"/>
        <v>0125-31</v>
      </c>
      <c r="AE37" s="85" t="str">
        <f t="shared" si="1"/>
        <v>aws s3 cp s3://rtdc.mdm.uploadarchive.raw/RTDC4011/ "%USERPROFILE%\AppData\Local\Temp\OnboardLogs"\RTDC4011\2017-01-31 --exclude "*" --recursive --include "*20170131*" &amp; "%USERPROFILE%\Documents\GitHub\mrs-test-scripts\Headless Mode &amp; Sideloading\WalkAndUnGZ.bat" "%USERPROFILE%\AppData\Local\Temp\OnboardLogs"\RTDC4011\2017-01-31 &amp; 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</v>
      </c>
      <c r="AF37" s="82" t="str">
        <f t="shared" si="2"/>
        <v>"C:\Program Files (x86)\AstroGrep\AstroGrep.exe" /spath="%USERPROFILE%\AppData\Local\Temp\OnboardLogs" /stypes="app*4011*20170131*" /stext=" 14:.+((SYSTEM_STATE.+slice.+state.+changed )|(ment ac)|(multiple cpu faults)|(system.+state.+changed )|(\[timeout)|(PRM\|1\|D)|(kpr)|(kdp)|(\|lc)|(penalty))" /e /r /s</v>
      </c>
      <c r="AG37" s="1" t="str">
        <f t="shared" si="24"/>
        <v>EC</v>
      </c>
      <c r="AH37" s="86" t="str">
        <f t="shared" si="30"/>
        <v>"%USERPROFILE%\Documents\GitHub\eaglep3\Utilities\RefineRTDCRunTimes.py" --tripid 125-31 --locoid 4011 --swversion DE.1.0.8.0 --startMP 204:462 --initTime 2017-01-31T06:39:36 --startdatetime 2017-01-31T06:45:27 --delay 3 --endMP 204:233308 --enddatetime 2017-01-31T07:20:58 --enforcementcount 0 &gt;&gt;C:\Users\stu\Documents\GitHub\eaglep3-reporting\EC\2017-01-31-refined-times.txt</v>
      </c>
      <c r="AI37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{"issue":{"subject":"","project_id":79,"tracker_id":40,"status_id":1,"priority_id":2,"assigned_to_id":23,"start_date":"2017-01-31","description":"","custom_fields":[{"id":1,"name":"Subdivision","value":"EC"},{"id":4,"name":"Milepost","value":"23.3308"},{"id":17,"name":"Train ID","value":"125-31"},{"id":16,"name":"Locomotive ID","value":"4011"},{"id":130,"name":"Impact","value":""},{"id":150,"name":"Time of Event (Mountain Time)","value":"07:20:58"},{"id":151,"name":"Denver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61" t="str">
        <f t="shared" si="32"/>
        <v>start /low /b %USERPROFILE%\Documents\GitHub\eaglep3\Utilities\DownloadLogsFromS3.py --loco 4011 --day 2017-01-31</v>
      </c>
      <c r="AN37" s="170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"%USERPROFILE%\AppData\Local\Temp\OnboardLogs"\RTDC4011\*4011*20170131* | grep -SE "(Enforcement Action)|(\[TIMEOUT)|(CHR.+\|PRM\|1\|D.+(SWITCH|SIGNAL).+UNKNOWN)" - &gt;&gt; 2017-01-31-UncaughtWiMAX.txt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550</v>
      </c>
      <c r="B38" s="7">
        <v>4012</v>
      </c>
      <c r="C38" s="21" t="s">
        <v>193</v>
      </c>
      <c r="D38" s="21" t="s">
        <v>341</v>
      </c>
      <c r="E38" s="13">
        <v>42766.318171296298</v>
      </c>
      <c r="F38" s="13">
        <v>42766.320393518516</v>
      </c>
      <c r="G38" s="7">
        <v>1</v>
      </c>
      <c r="H38" s="21" t="s">
        <v>339</v>
      </c>
      <c r="I38" s="13">
        <v>42766.34710648148</v>
      </c>
      <c r="J38" s="7">
        <v>0</v>
      </c>
      <c r="K38" s="98" t="str">
        <f t="shared" si="48"/>
        <v>4011/4012</v>
      </c>
      <c r="L38" s="21" t="str">
        <f>VLOOKUP(A38,'Trips&amp;Operators'!$C$1:$G$99999,5,FALSE)</f>
        <v>LOZA FIDEL</v>
      </c>
      <c r="M38" s="6">
        <f t="shared" si="49"/>
        <v>2.6712962964666076E-2</v>
      </c>
      <c r="N38" s="7">
        <f t="shared" si="50"/>
        <v>38.466666669119149</v>
      </c>
      <c r="O38" s="7"/>
      <c r="P38" s="7"/>
      <c r="Q38" s="22"/>
      <c r="R38" s="22"/>
      <c r="S38" s="31">
        <f t="shared" si="51"/>
        <v>1</v>
      </c>
      <c r="T38" s="46" t="str">
        <f t="shared" si="20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0"/>
        <v>https://d0f6bd738d7f1b3e5a7ca70fe4ff75f0.us-east-1.aws.found.io/app/kibana#/discover/Steve-Slow-Train-Analysis-(2080s-and-2083s)?_g=(refreshInterval:(display:Off,pause:!f,section:0,value:0),time:(from:'2017-01-31T06:38:10-0700',mode:absolute,to:'2017-01-31T09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8" s="194" t="str">
        <f t="shared" si="21"/>
        <v>N</v>
      </c>
      <c r="X38" s="194">
        <f t="shared" si="54"/>
        <v>1</v>
      </c>
      <c r="Y38" s="62">
        <f t="shared" si="53"/>
        <v>23.299800000000001</v>
      </c>
      <c r="Z38" s="62">
        <f t="shared" si="52"/>
        <v>1.3899999999999999E-2</v>
      </c>
      <c r="AA38" s="62">
        <f t="shared" si="22"/>
        <v>23.285900000000002</v>
      </c>
      <c r="AB38" s="59" t="e">
        <f>VLOOKUP(A38,Enforcements!$C$7:$K$16,8,0)</f>
        <v>#N/A</v>
      </c>
      <c r="AC38" s="55" t="e">
        <f>VLOOKUP(A38,Enforcements!$C$7:$E$16,3,0)</f>
        <v>#N/A</v>
      </c>
      <c r="AD38" s="56" t="str">
        <f t="shared" si="23"/>
        <v>0126-31</v>
      </c>
      <c r="AE38" s="85" t="str">
        <f t="shared" si="1"/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AF38" s="82" t="str">
        <f t="shared" si="2"/>
        <v>"C:\Program Files (x86)\AstroGrep\AstroGrep.exe" /spath="%USERPROFILE%\AppData\Local\Temp\OnboardLogs" /stypes="app*4012*20170131*" /stext=" 15:.+((SYSTEM_STATE.+slice.+state.+changed )|(ment ac)|(multiple cpu faults)|(system.+state.+changed )|(\[timeout)|(PRM\|1\|D)|(kpr)|(kdp)|(\|lc)|(penalty))" /e /r /s</v>
      </c>
      <c r="AG38" s="1" t="str">
        <f t="shared" si="24"/>
        <v>EC</v>
      </c>
      <c r="AH38" s="86" t="str">
        <f t="shared" si="30"/>
        <v>"%USERPROFILE%\Documents\GitHub\eaglep3\Utilities\RefineRTDCRunTimes.py" --tripid 126-31 --locoid 4012 --swversion DE.1.0.8.0 --startMP 204:232998 --initTime 2017-01-31T07:38:10 --startdatetime 2017-01-31T07:41:22 --delay 1 --endMP 204:139 --enddatetime 2017-01-31T08:19:50 --enforcementcount 0 &gt;&gt;C:\Users\stu\Documents\GitHub\eaglep3-reporting\EC\2017-01-31-refined-times.txt</v>
      </c>
      <c r="AI38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{"issue":{"subject":"","project_id":79,"tracker_id":40,"status_id":1,"priority_id":2,"assigned_to_id":23,"start_date":"2017-01-31","description":"","custom_fields":[{"id":1,"name":"Subdivision","value":"EC"},{"id":4,"name":"Milepost","value":"0.0139"},{"id":17,"name":"Train ID","value":"126-31"},{"id":16,"name":"Locomotive ID","value":"4012"},{"id":130,"name":"Impact","value":""},{"id":150,"name":"Time of Event (Mountain Time)","value":"08:19:50"},{"id":151,"name":"Denver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61" t="str">
        <f t="shared" si="32"/>
        <v>start /low /b %USERPROFILE%\Documents\GitHub\eaglep3\Utilities\DownloadLogsFromS3.py --loco 4012 --day 2017-01-31</v>
      </c>
      <c r="AN38" s="170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"%USERPROFILE%\AppData\Local\Temp\OnboardLogs"\RTDC4012\*4012*20170131* | grep -SE "(Enforcement Action)|(\[TIMEOUT)|(CHR.+\|PRM\|1\|D.+(SWITCH|SIGNAL).+UNKNOWN)" - &gt;&gt; 2017-01-31-UncaughtWiMAX.txt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542</v>
      </c>
      <c r="B39" s="7">
        <v>4009</v>
      </c>
      <c r="C39" s="21" t="s">
        <v>193</v>
      </c>
      <c r="D39" s="21" t="s">
        <v>286</v>
      </c>
      <c r="E39" s="13">
        <v>42766.287164351852</v>
      </c>
      <c r="F39" s="13">
        <v>42766.291851851849</v>
      </c>
      <c r="G39" s="7">
        <v>1</v>
      </c>
      <c r="H39" s="21" t="s">
        <v>714</v>
      </c>
      <c r="I39" s="13">
        <v>42766.316759259258</v>
      </c>
      <c r="J39" s="7">
        <v>0</v>
      </c>
      <c r="K39" s="98" t="str">
        <f t="shared" si="48"/>
        <v>4009/4010</v>
      </c>
      <c r="L39" s="21" t="str">
        <f>VLOOKUP(A39,'Trips&amp;Operators'!$C$1:$G$99999,5,FALSE)</f>
        <v>OUN ZACK</v>
      </c>
      <c r="M39" s="6">
        <f t="shared" si="49"/>
        <v>2.4907407409045845E-2</v>
      </c>
      <c r="N39" s="7">
        <f t="shared" si="50"/>
        <v>35.866666669026017</v>
      </c>
      <c r="O39" s="7"/>
      <c r="P39" s="7"/>
      <c r="Q39" s="22"/>
      <c r="R39" s="22"/>
      <c r="S39" s="31">
        <f t="shared" si="51"/>
        <v>1</v>
      </c>
      <c r="T39" s="46" t="str">
        <f t="shared" si="20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0"/>
        <v>https://d0f6bd738d7f1b3e5a7ca70fe4ff75f0.us-east-1.aws.found.io/app/kibana#/discover/Steve-Slow-Train-Analysis-(2080s-and-2083s)?_g=(refreshInterval:(display:Off,pause:!f,section:0,value:0),time:(from:'2017-01-31T05:53:31-0700',mode:absolute,to:'2017-01-31T08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194" t="str">
        <f t="shared" si="21"/>
        <v>N</v>
      </c>
      <c r="X39" s="194">
        <f t="shared" si="54"/>
        <v>1</v>
      </c>
      <c r="Y39" s="62">
        <f t="shared" si="53"/>
        <v>4.7100000000000003E-2</v>
      </c>
      <c r="Z39" s="62">
        <f t="shared" si="52"/>
        <v>23.333200000000001</v>
      </c>
      <c r="AA39" s="62">
        <f t="shared" si="22"/>
        <v>23.286100000000001</v>
      </c>
      <c r="AB39" s="59" t="e">
        <f>VLOOKUP(A39,Enforcements!$C$7:$K$16,8,0)</f>
        <v>#N/A</v>
      </c>
      <c r="AC39" s="55" t="e">
        <f>VLOOKUP(A39,Enforcements!$C$7:$E$16,3,0)</f>
        <v>#N/A</v>
      </c>
      <c r="AD39" s="56" t="str">
        <f t="shared" si="23"/>
        <v>0127-31</v>
      </c>
      <c r="AE39" s="85" t="str">
        <f t="shared" si="1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39" s="82" t="str">
        <f t="shared" si="2"/>
        <v>"C:\Program Files (x86)\AstroGrep\AstroGrep.exe" /spath="%USERPROFILE%\AppData\Local\Temp\OnboardLogs" /stypes="app*4009*20170131*" /stext=" 14:.+((SYSTEM_STATE.+slice.+state.+changed )|(ment ac)|(multiple cpu faults)|(system.+state.+changed )|(\[timeout)|(PRM\|1\|D)|(kpr)|(kdp)|(\|lc)|(penalty))" /e /r /s</v>
      </c>
      <c r="AG39" s="1" t="str">
        <f t="shared" si="24"/>
        <v>EC</v>
      </c>
      <c r="AH39" s="86" t="str">
        <f t="shared" si="30"/>
        <v>"%USERPROFILE%\Documents\GitHub\eaglep3\Utilities\RefineRTDCRunTimes.py" --tripid 127-31 --locoid 4009 --swversion DE.1.0.8.0 --startMP 204:471 --initTime 2017-01-31T06:53:31 --startdatetime 2017-01-31T07:00:16 --delay 1 --endMP 204:233332 --enddatetime 2017-01-31T07:36:08 --enforcementcount 0 &gt;&gt;C:\Users\stu\Documents\GitHub\eaglep3-reporting\EC\2017-01-31-refined-times.txt</v>
      </c>
      <c r="AI39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{"issue":{"subject":"","project_id":79,"tracker_id":40,"status_id":1,"priority_id":2,"assigned_to_id":23,"start_date":"2017-01-31","description":"","custom_fields":[{"id":1,"name":"Subdivision","value":"EC"},{"id":4,"name":"Milepost","value":"23.3332"},{"id":17,"name":"Train ID","value":"127-31"},{"id":16,"name":"Locomotive ID","value":"4009"},{"id":130,"name":"Impact","value":""},{"id":150,"name":"Time of Event (Mountain Time)","value":"07:36:08"},{"id":151,"name":"Denver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61" t="str">
        <f t="shared" si="32"/>
        <v>start /low /b %USERPROFILE%\Documents\GitHub\eaglep3\Utilities\DownloadLogsFromS3.py --loco 4009 --day 2017-01-31</v>
      </c>
      <c r="AN39" s="170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"%USERPROFILE%\AppData\Local\Temp\OnboardLogs"\RTDC4009\*4009*20170131* | grep -SE "(Enforcement Action)|(\[TIMEOUT)|(CHR.+\|PRM\|1\|D.+(SWITCH|SIGNAL).+UNKNOWN)" - &gt;&gt; 2017-01-31-UncaughtWiMAX.txt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553</v>
      </c>
      <c r="B40" s="7">
        <v>4010</v>
      </c>
      <c r="C40" s="21" t="s">
        <v>193</v>
      </c>
      <c r="D40" s="21" t="s">
        <v>715</v>
      </c>
      <c r="E40" s="13">
        <v>42766.325439814813</v>
      </c>
      <c r="F40" s="13">
        <v>42766.330775462964</v>
      </c>
      <c r="G40" s="7">
        <v>1</v>
      </c>
      <c r="H40" s="21" t="s">
        <v>710</v>
      </c>
      <c r="I40" s="13">
        <v>42766.357581018521</v>
      </c>
      <c r="J40" s="7">
        <v>0</v>
      </c>
      <c r="K40" s="98" t="str">
        <f t="shared" si="48"/>
        <v>4009/4010</v>
      </c>
      <c r="L40" s="21" t="str">
        <f>VLOOKUP(A40,'Trips&amp;Operators'!$C$1:$G$99999,5,FALSE)</f>
        <v>OUN ZACK</v>
      </c>
      <c r="M40" s="6">
        <f t="shared" si="49"/>
        <v>2.6805555557075422E-2</v>
      </c>
      <c r="N40" s="7">
        <f t="shared" si="50"/>
        <v>38.600000002188608</v>
      </c>
      <c r="O40" s="7"/>
      <c r="P40" s="7"/>
      <c r="Q40" s="22"/>
      <c r="R40" s="22"/>
      <c r="S40" s="31">
        <f t="shared" si="51"/>
        <v>1</v>
      </c>
      <c r="T40" s="46" t="str">
        <f t="shared" si="20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0"/>
        <v>https://d0f6bd738d7f1b3e5a7ca70fe4ff75f0.us-east-1.aws.found.io/app/kibana#/discover/Steve-Slow-Train-Analysis-(2080s-and-2083s)?_g=(refreshInterval:(display:Off,pause:!f,section:0,value:0),time:(from:'2017-01-31T06:48:38-0700',mode:absolute,to:'2017-01-31T09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0" s="194" t="str">
        <f t="shared" si="21"/>
        <v>N</v>
      </c>
      <c r="X40" s="194">
        <f t="shared" si="54"/>
        <v>1</v>
      </c>
      <c r="Y40" s="62">
        <f t="shared" si="53"/>
        <v>23.300899999999999</v>
      </c>
      <c r="Z40" s="62">
        <f t="shared" si="52"/>
        <v>1.38E-2</v>
      </c>
      <c r="AA40" s="62">
        <f t="shared" si="22"/>
        <v>23.287099999999999</v>
      </c>
      <c r="AB40" s="59" t="e">
        <f>VLOOKUP(A40,Enforcements!$C$7:$K$16,8,0)</f>
        <v>#N/A</v>
      </c>
      <c r="AC40" s="55" t="e">
        <f>VLOOKUP(A40,Enforcements!$C$7:$E$16,3,0)</f>
        <v>#N/A</v>
      </c>
      <c r="AD40" s="56" t="str">
        <f t="shared" si="23"/>
        <v>0128-31</v>
      </c>
      <c r="AE40" s="85" t="str">
        <f t="shared" si="1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40" s="82" t="str">
        <f t="shared" si="2"/>
        <v>"C:\Program Files (x86)\AstroGrep\AstroGrep.exe" /spath="%USERPROFILE%\AppData\Local\Temp\OnboardLogs" /stypes="app*4010*20170131*" /stext=" 15:.+((SYSTEM_STATE.+slice.+state.+changed )|(ment ac)|(multiple cpu faults)|(system.+state.+changed )|(\[timeout)|(PRM\|1\|D)|(kpr)|(kdp)|(\|lc)|(penalty))" /e /r /s</v>
      </c>
      <c r="AG40" s="1" t="str">
        <f t="shared" si="24"/>
        <v>EC</v>
      </c>
      <c r="AH40" s="86" t="str">
        <f t="shared" si="30"/>
        <v>"%USERPROFILE%\Documents\GitHub\eaglep3\Utilities\RefineRTDCRunTimes.py" --tripid 128-31 --locoid 4010 --swversion DE.1.0.8.0 --startMP 204:233009 --initTime 2017-01-31T07:48:38 --startdatetime 2017-01-31T07:56:19 --delay 1 --endMP 204:138 --enddatetime 2017-01-31T08:34:55 --enforcementcount 0 &gt;&gt;C:\Users\stu\Documents\GitHub\eaglep3-reporting\EC\2017-01-31-refined-times.txt</v>
      </c>
      <c r="AI40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{"issue":{"subject":"","project_id":79,"tracker_id":40,"status_id":1,"priority_id":2,"assigned_to_id":23,"start_date":"2017-01-31","description":"","custom_fields":[{"id":1,"name":"Subdivision","value":"EC"},{"id":4,"name":"Milepost","value":"0.0138"},{"id":17,"name":"Train ID","value":"128-31"},{"id":16,"name":"Locomotive ID","value":"4010"},{"id":130,"name":"Impact","value":""},{"id":150,"name":"Time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61" t="str">
        <f t="shared" si="32"/>
        <v>start /low /b %USERPROFILE%\Documents\GitHub\eaglep3\Utilities\DownloadLogsFromS3.py --loco 4010 --day 2017-01-31</v>
      </c>
      <c r="AN40" s="170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"%USERPROFILE%\AppData\Local\Temp\OnboardLogs"\RTDC4010\*4010*20170131* | grep -SE "(Enforcement Action)|(\[TIMEOUT)|(CHR.+\|PRM\|1\|D.+(SWITCH|SIGNAL).+UNKNOWN)" - &gt;&gt; 2017-01-31-UncaughtWiMAX.txt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544</v>
      </c>
      <c r="B41" s="7">
        <v>4038</v>
      </c>
      <c r="C41" s="21" t="s">
        <v>193</v>
      </c>
      <c r="D41" s="21" t="s">
        <v>213</v>
      </c>
      <c r="E41" s="13">
        <v>42766.297534722224</v>
      </c>
      <c r="F41" s="13">
        <v>42766.302303240744</v>
      </c>
      <c r="G41" s="7">
        <v>1</v>
      </c>
      <c r="H41" s="21" t="s">
        <v>291</v>
      </c>
      <c r="I41" s="13">
        <v>42766.326967592591</v>
      </c>
      <c r="J41" s="7">
        <v>0</v>
      </c>
      <c r="K41" s="98" t="str">
        <f t="shared" si="48"/>
        <v>4037/4038</v>
      </c>
      <c r="L41" s="21" t="str">
        <f>VLOOKUP(A41,'Trips&amp;Operators'!$C$1:$G$99999,5,FALSE)</f>
        <v>ROCHA YAOTL</v>
      </c>
      <c r="M41" s="6">
        <f t="shared" si="49"/>
        <v>2.4664351847604848E-2</v>
      </c>
      <c r="N41" s="7">
        <f t="shared" si="50"/>
        <v>35.516666660550982</v>
      </c>
      <c r="O41" s="7"/>
      <c r="P41" s="7"/>
      <c r="Q41" s="22"/>
      <c r="R41" s="22"/>
      <c r="S41" s="31">
        <f t="shared" si="51"/>
        <v>1</v>
      </c>
      <c r="T41" s="46" t="str">
        <f t="shared" si="20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0"/>
        <v>https://d0f6bd738d7f1b3e5a7ca70fe4ff75f0.us-east-1.aws.found.io/app/kibana#/discover/Steve-Slow-Train-Analysis-(2080s-and-2083s)?_g=(refreshInterval:(display:Off,pause:!f,section:0,value:0),time:(from:'2017-01-31T06:08:27-0700',mode:absolute,to:'2017-01-31T08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1" s="194" t="str">
        <f t="shared" si="21"/>
        <v>N</v>
      </c>
      <c r="X41" s="194">
        <f t="shared" si="54"/>
        <v>1</v>
      </c>
      <c r="Y41" s="62">
        <f t="shared" si="53"/>
        <v>4.4900000000000002E-2</v>
      </c>
      <c r="Z41" s="62">
        <f t="shared" si="52"/>
        <v>23.331199999999999</v>
      </c>
      <c r="AA41" s="62">
        <f t="shared" si="22"/>
        <v>23.286300000000001</v>
      </c>
      <c r="AB41" s="59" t="e">
        <f>VLOOKUP(A41,Enforcements!$C$7:$K$16,8,0)</f>
        <v>#N/A</v>
      </c>
      <c r="AC41" s="55" t="e">
        <f>VLOOKUP(A41,Enforcements!$C$7:$E$16,3,0)</f>
        <v>#N/A</v>
      </c>
      <c r="AD41" s="56" t="str">
        <f t="shared" si="23"/>
        <v>0129-31</v>
      </c>
      <c r="AE41" s="85" t="str">
        <f t="shared" si="1"/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41" s="82" t="str">
        <f t="shared" si="2"/>
        <v>"C:\Program Files (x86)\AstroGrep\AstroGrep.exe" /spath="%USERPROFILE%\AppData\Local\Temp\OnboardLogs" /stypes="app*4038*20170131*" /stext=" 14:.+((SYSTEM_STATE.+slice.+state.+changed )|(ment ac)|(multiple cpu faults)|(system.+state.+changed )|(\[timeout)|(PRM\|1\|D)|(kpr)|(kdp)|(\|lc)|(penalty))" /e /r /s</v>
      </c>
      <c r="AG41" s="1" t="str">
        <f t="shared" si="24"/>
        <v>EC</v>
      </c>
      <c r="AH41" s="86" t="str">
        <f t="shared" si="30"/>
        <v>"%USERPROFILE%\Documents\GitHub\eaglep3\Utilities\RefineRTDCRunTimes.py" --tripid 129-31 --locoid 4038 --swversion DE.1.0.8.0 --startMP 204:449 --initTime 2017-01-31T07:08:27 --startdatetime 2017-01-31T07:15:19 --delay 1 --endMP 204:233312 --enddatetime 2017-01-31T07:50:50 --enforcementcount 0 &gt;&gt;C:\Users\stu\Documents\GitHub\eaglep3-reporting\EC\2017-01-31-refined-times.txt</v>
      </c>
      <c r="AI41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{"issue":{"subject":"","project_id":79,"tracker_id":40,"status_id":1,"priority_id":2,"assigned_to_id":23,"start_date":"2017-01-31","description":"","custom_fields":[{"id":1,"name":"Subdivision","value":"EC"},{"id":4,"name":"Milepost","value":"23.3312"},{"id":17,"name":"Train ID","value":"129-31"},{"id":16,"name":"Locomotive ID","value":"4038"},{"id":130,"name":"Impact","value":""},{"id":150,"name":"Time of Event (Mountain Time)","value":"07:50:50"},{"id":151,"name":"Denver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61" t="str">
        <f t="shared" si="32"/>
        <v>start /low /b %USERPROFILE%\Documents\GitHub\eaglep3\Utilities\DownloadLogsFromS3.py --loco 4038 --day 2017-01-31</v>
      </c>
      <c r="AN41" s="170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"%USERPROFILE%\AppData\Local\Temp\OnboardLogs"\RTDC4038\*4038*20170131* | grep -SE "(Enforcement Action)|(\[TIMEOUT)|(CHR.+\|PRM\|1\|D.+(SWITCH|SIGNAL).+UNKNOWN)" - &gt;&gt; 2017-01-31-UncaughtWiMAX.txt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556</v>
      </c>
      <c r="B42" s="7">
        <v>4037</v>
      </c>
      <c r="C42" s="21" t="s">
        <v>193</v>
      </c>
      <c r="D42" s="21" t="s">
        <v>305</v>
      </c>
      <c r="E42" s="13">
        <v>42766.339988425927</v>
      </c>
      <c r="F42" s="13">
        <v>42766.341273148151</v>
      </c>
      <c r="G42" s="7">
        <v>1</v>
      </c>
      <c r="H42" s="21" t="s">
        <v>202</v>
      </c>
      <c r="I42" s="13">
        <v>42766.366759259261</v>
      </c>
      <c r="J42" s="7">
        <v>0</v>
      </c>
      <c r="K42" s="98" t="str">
        <f t="shared" si="48"/>
        <v>4037/4038</v>
      </c>
      <c r="L42" s="21" t="str">
        <f>VLOOKUP(A42,'Trips&amp;Operators'!$C$1:$G$99999,5,FALSE)</f>
        <v>ROCHA YAOTL</v>
      </c>
      <c r="M42" s="6">
        <f t="shared" si="49"/>
        <v>2.548611110978527E-2</v>
      </c>
      <c r="N42" s="7">
        <f t="shared" si="50"/>
        <v>36.699999998090789</v>
      </c>
      <c r="O42" s="7"/>
      <c r="P42" s="7"/>
      <c r="Q42" s="22"/>
      <c r="R42" s="22"/>
      <c r="S42" s="31">
        <f t="shared" si="51"/>
        <v>1</v>
      </c>
      <c r="T42" s="46" t="str">
        <f t="shared" si="20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0"/>
        <v>https://d0f6bd738d7f1b3e5a7ca70fe4ff75f0.us-east-1.aws.found.io/app/kibana#/discover/Steve-Slow-Train-Analysis-(2080s-and-2083s)?_g=(refreshInterval:(display:Off,pause:!f,section:0,value:0),time:(from:'2017-01-31T07:09:35-0700',mode:absolute,to:'2017-01-31T09:48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2" s="194" t="str">
        <f t="shared" si="21"/>
        <v>N</v>
      </c>
      <c r="X42" s="194">
        <f t="shared" si="54"/>
        <v>1</v>
      </c>
      <c r="Y42" s="62">
        <f t="shared" si="53"/>
        <v>23.2989</v>
      </c>
      <c r="Z42" s="62">
        <f t="shared" si="52"/>
        <v>1.4500000000000001E-2</v>
      </c>
      <c r="AA42" s="62">
        <f t="shared" si="22"/>
        <v>23.284399999999998</v>
      </c>
      <c r="AB42" s="59" t="e">
        <f>VLOOKUP(A42,Enforcements!$C$7:$K$16,8,0)</f>
        <v>#N/A</v>
      </c>
      <c r="AC42" s="55" t="e">
        <f>VLOOKUP(A42,Enforcements!$C$7:$E$16,3,0)</f>
        <v>#N/A</v>
      </c>
      <c r="AD42" s="56" t="str">
        <f t="shared" si="23"/>
        <v>0130-31</v>
      </c>
      <c r="AE42" s="85" t="str">
        <f t="shared" si="1"/>
        <v>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 &amp; 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</v>
      </c>
      <c r="AF42" s="82" t="str">
        <f t="shared" si="2"/>
        <v>"C:\Program Files (x86)\AstroGrep\AstroGrep.exe" /spath="%USERPROFILE%\AppData\Local\Temp\OnboardLogs" /stypes="app*4037*20170131*" /stext=" 15:.+((SYSTEM_STATE.+slice.+state.+changed )|(ment ac)|(multiple cpu faults)|(system.+state.+changed )|(\[timeout)|(PRM\|1\|D)|(kpr)|(kdp)|(\|lc)|(penalty))" /e /r /s</v>
      </c>
      <c r="AG42" s="1" t="str">
        <f t="shared" si="24"/>
        <v>EC</v>
      </c>
      <c r="AH42" s="86" t="str">
        <f t="shared" si="30"/>
        <v>"%USERPROFILE%\Documents\GitHub\eaglep3\Utilities\RefineRTDCRunTimes.py" --tripid 130-31 --locoid 4037 --swversion DE.1.0.8.0 --startMP 204:232989 --initTime 2017-01-31T08:09:35 --startdatetime 2017-01-31T08:11:26 --delay 1 --endMP 204:145 --enddatetime 2017-01-31T08:48:08 --enforcementcount 0 &gt;&gt;C:\Users\stu\Documents\GitHub\eaglep3-reporting\EC\2017-01-31-refined-times.txt</v>
      </c>
      <c r="AI42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{"issue":{"subject":"","project_id":79,"tracker_id":40,"status_id":1,"priority_id":2,"assigned_to_id":23,"start_date":"2017-01-31","description":"","custom_fields":[{"id":1,"name":"Subdivision","value":"EC"},{"id":4,"name":"Milepost","value":"0.0145"},{"id":17,"name":"Train ID","value":"130-31"},{"id":16,"name":"Locomotive ID","value":"4037"},{"id":130,"name":"Impact","value":""},{"id":150,"name":"Time of Event (Mountain Time)","value":"08:48:08"},{"id":151,"name":"Denver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61" t="str">
        <f t="shared" si="32"/>
        <v>start /low /b %USERPROFILE%\Documents\GitHub\eaglep3\Utilities\DownloadLogsFromS3.py --loco 4037 --day 2017-01-31</v>
      </c>
      <c r="AN42" s="170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"%USERPROFILE%\AppData\Local\Temp\OnboardLogs"\RTDC4037\*4037*20170131* | grep -SE "(Enforcement Action)|(\[TIMEOUT)|(CHR.+\|PRM\|1\|D.+(SWITCH|SIGNAL).+UNKNOWN)" - &gt;&gt; 2017-01-31-UncaughtWiMAX.txt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548</v>
      </c>
      <c r="B43" s="7">
        <v>4025</v>
      </c>
      <c r="C43" s="21" t="s">
        <v>193</v>
      </c>
      <c r="D43" s="21" t="s">
        <v>716</v>
      </c>
      <c r="E43" s="13">
        <v>42766.307893518519</v>
      </c>
      <c r="F43" s="13">
        <v>42766.313043981485</v>
      </c>
      <c r="G43" s="7">
        <v>0</v>
      </c>
      <c r="H43" s="21" t="s">
        <v>225</v>
      </c>
      <c r="I43" s="13">
        <v>42766.337638888886</v>
      </c>
      <c r="J43" s="7">
        <v>0</v>
      </c>
      <c r="K43" s="98" t="str">
        <f t="shared" si="48"/>
        <v>4025/4026</v>
      </c>
      <c r="L43" s="21" t="str">
        <f>VLOOKUP(A43,'Trips&amp;Operators'!$C$1:$G$99999,5,FALSE)</f>
        <v>MAELZER KURT</v>
      </c>
      <c r="M43" s="6">
        <f t="shared" si="49"/>
        <v>2.4594907401478849E-2</v>
      </c>
      <c r="N43" s="7">
        <f t="shared" si="50"/>
        <v>35.416666658129543</v>
      </c>
      <c r="O43" s="7"/>
      <c r="P43" s="7"/>
      <c r="Q43" s="22"/>
      <c r="R43" s="22"/>
      <c r="S43" s="31">
        <f t="shared" si="51"/>
        <v>1</v>
      </c>
      <c r="T43" s="46" t="str">
        <f t="shared" si="20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0"/>
        <v>https://d0f6bd738d7f1b3e5a7ca70fe4ff75f0.us-east-1.aws.found.io/app/kibana#/discover/Steve-Slow-Train-Analysis-(2080s-and-2083s)?_g=(refreshInterval:(display:Off,pause:!f,section:0,value:0),time:(from:'2017-01-31T06:23:22-0700',mode:absolute,to:'2017-01-31T09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194" t="str">
        <f t="shared" si="21"/>
        <v>N</v>
      </c>
      <c r="X43" s="194">
        <f t="shared" si="54"/>
        <v>1</v>
      </c>
      <c r="Y43" s="62">
        <f t="shared" si="53"/>
        <v>4.3099999999999999E-2</v>
      </c>
      <c r="Z43" s="62">
        <f t="shared" si="52"/>
        <v>23.329899999999999</v>
      </c>
      <c r="AA43" s="62">
        <f t="shared" si="22"/>
        <v>23.286799999999999</v>
      </c>
      <c r="AB43" s="59" t="e">
        <f>VLOOKUP(A43,Enforcements!$C$7:$K$16,8,0)</f>
        <v>#N/A</v>
      </c>
      <c r="AC43" s="55" t="e">
        <f>VLOOKUP(A43,Enforcements!$C$7:$E$16,3,0)</f>
        <v>#N/A</v>
      </c>
      <c r="AD43" s="56" t="str">
        <f t="shared" si="23"/>
        <v>0131-31</v>
      </c>
      <c r="AE43" s="85" t="str">
        <f t="shared" si="1"/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AF43" s="82" t="str">
        <f t="shared" si="2"/>
        <v>"C:\Program Files (x86)\AstroGrep\AstroGrep.exe" /spath="%USERPROFILE%\AppData\Local\Temp\OnboardLogs" /stypes="app*4025*20170131*" /stext=" 15:.+((SYSTEM_STATE.+slice.+state.+changed )|(ment ac)|(multiple cpu faults)|(system.+state.+changed )|(\[timeout)|(PRM\|1\|D)|(kpr)|(kdp)|(\|lc)|(penalty))" /e /r /s</v>
      </c>
      <c r="AG43" s="1" t="str">
        <f t="shared" si="24"/>
        <v>EC</v>
      </c>
      <c r="AH43" s="86" t="str">
        <f t="shared" si="30"/>
        <v>"%USERPROFILE%\Documents\GitHub\eaglep3\Utilities\RefineRTDCRunTimes.py" --tripid 131-31 --locoid 4025 --swversion DE.1.0.8.0 --startMP 204:431 --initTime 2017-01-31T07:23:22 --startdatetime 2017-01-31T07:30:47 --delay 0 --endMP 204:233299 --enddatetime 2017-01-31T08:06:12 --enforcementcount 0 &gt;&gt;C:\Users\stu\Documents\GitHub\eaglep3-reporting\EC\2017-01-31-refined-times.txt</v>
      </c>
      <c r="AI43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{"issue":{"subject":"","project_id":79,"tracker_id":40,"status_id":1,"priority_id":2,"assigned_to_id":23,"start_date":"2017-01-31","description":"","custom_fields":[{"id":1,"name":"Subdivision","value":"EC"},{"id":4,"name":"Milepost","value":"23.3299"},{"id":17,"name":"Train ID","value":"131-31"},{"id":16,"name":"Locomotive ID","value":"4025"},{"id":130,"name":"Impact","value":""},{"id":150,"name":"Time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61" t="str">
        <f t="shared" si="32"/>
        <v>start /low /b %USERPROFILE%\Documents\GitHub\eaglep3\Utilities\DownloadLogsFromS3.py --loco 4025 --day 2017-01-31</v>
      </c>
      <c r="AN43" s="170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"%USERPROFILE%\AppData\Local\Temp\OnboardLogs"\RTDC4025\*4025*20170131* | grep -SE "(Enforcement Action)|(\[TIMEOUT)|(CHR.+\|PRM\|1\|D.+(SWITCH|SIGNAL).+UNKNOWN)" - &gt;&gt; 2017-01-31-UncaughtWiMAX.txt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559</v>
      </c>
      <c r="B44" s="7">
        <v>4026</v>
      </c>
      <c r="C44" s="21" t="s">
        <v>193</v>
      </c>
      <c r="D44" s="21" t="s">
        <v>351</v>
      </c>
      <c r="E44" s="13">
        <v>42766.348599537036</v>
      </c>
      <c r="F44" s="13">
        <v>42766.351678240739</v>
      </c>
      <c r="G44" s="7">
        <v>0</v>
      </c>
      <c r="H44" s="21" t="s">
        <v>294</v>
      </c>
      <c r="I44" s="13">
        <v>42766.378657407404</v>
      </c>
      <c r="J44" s="7">
        <v>0</v>
      </c>
      <c r="K44" s="98" t="str">
        <f t="shared" si="48"/>
        <v>4025/4026</v>
      </c>
      <c r="L44" s="21" t="str">
        <f>VLOOKUP(A44,'Trips&amp;Operators'!$C$1:$G$99999,5,FALSE)</f>
        <v>MAELZER KURT</v>
      </c>
      <c r="M44" s="6">
        <f t="shared" si="49"/>
        <v>2.6979166665114462E-2</v>
      </c>
      <c r="N44" s="7">
        <f t="shared" si="50"/>
        <v>38.849999997764826</v>
      </c>
      <c r="O44" s="7"/>
      <c r="P44" s="7"/>
      <c r="Q44" s="22"/>
      <c r="R44" s="22"/>
      <c r="S44" s="31">
        <f t="shared" si="51"/>
        <v>1</v>
      </c>
      <c r="T44" s="46" t="str">
        <f t="shared" si="20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0"/>
        <v>https://d0f6bd738d7f1b3e5a7ca70fe4ff75f0.us-east-1.aws.found.io/app/kibana#/discover/Steve-Slow-Train-Analysis-(2080s-and-2083s)?_g=(refreshInterval:(display:Off,pause:!f,section:0,value:0),time:(from:'2017-01-31T07:21:59-0700',mode:absolute,to:'2017-01-31T10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194" t="str">
        <f t="shared" si="21"/>
        <v>N</v>
      </c>
      <c r="X44" s="194">
        <f t="shared" si="54"/>
        <v>1</v>
      </c>
      <c r="Y44" s="62">
        <f t="shared" si="53"/>
        <v>23.299199999999999</v>
      </c>
      <c r="Z44" s="62">
        <f t="shared" si="52"/>
        <v>1.3599999999999999E-2</v>
      </c>
      <c r="AA44" s="62">
        <f t="shared" si="22"/>
        <v>23.285599999999999</v>
      </c>
      <c r="AB44" s="59" t="e">
        <f>VLOOKUP(A44,Enforcements!$C$7:$K$16,8,0)</f>
        <v>#N/A</v>
      </c>
      <c r="AC44" s="55" t="e">
        <f>VLOOKUP(A44,Enforcements!$C$7:$E$16,3,0)</f>
        <v>#N/A</v>
      </c>
      <c r="AD44" s="56" t="str">
        <f t="shared" si="23"/>
        <v>0132-31</v>
      </c>
      <c r="AE44" s="85" t="str">
        <f t="shared" si="1"/>
        <v>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 &amp; 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</v>
      </c>
      <c r="AF44" s="82" t="str">
        <f t="shared" si="2"/>
        <v>"C:\Program Files (x86)\AstroGrep\AstroGrep.exe" /spath="%USERPROFILE%\AppData\Local\Temp\OnboardLogs" /stypes="app*4026*20170131*" /stext=" 16:.+((SYSTEM_STATE.+slice.+state.+changed )|(ment ac)|(multiple cpu faults)|(system.+state.+changed )|(\[timeout)|(PRM\|1\|D)|(kpr)|(kdp)|(\|lc)|(penalty))" /e /r /s</v>
      </c>
      <c r="AG44" s="1" t="str">
        <f t="shared" si="24"/>
        <v>EC</v>
      </c>
      <c r="AH44" s="86" t="str">
        <f t="shared" si="30"/>
        <v>"%USERPROFILE%\Documents\GitHub\eaglep3\Utilities\RefineRTDCRunTimes.py" --tripid 132-31 --locoid 4026 --swversion DE.1.0.8.0 --startMP 204:232992 --initTime 2017-01-31T08:21:59 --startdatetime 2017-01-31T08:26:25 --delay 0 --endMP 204:136 --enddatetime 2017-01-31T09:05:16 --enforcementcount 0 &gt;&gt;C:\Users\stu\Documents\GitHub\eaglep3-reporting\EC\2017-01-31-refined-times.txt</v>
      </c>
      <c r="AI44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{"issue":{"subject":"","project_id":79,"tracker_id":40,"status_id":1,"priority_id":2,"assigned_to_id":23,"start_date":"2017-01-31","description":"","custom_fields":[{"id":1,"name":"Subdivision","value":"EC"},{"id":4,"name":"Milepost","value":"0.0136"},{"id":17,"name":"Train ID","value":"132-31"},{"id":16,"name":"Locomotive ID","value":"4026"},{"id":130,"name":"Impact","value":""},{"id":150,"name":"Time of Event (Mountain Time)","value":"09:05:16"},{"id":151,"name":"Denver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61" t="str">
        <f t="shared" si="32"/>
        <v>start /low /b %USERPROFILE%\Documents\GitHub\eaglep3\Utilities\DownloadLogsFromS3.py --loco 4026 --day 2017-01-31</v>
      </c>
      <c r="AN44" s="170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"%USERPROFILE%\AppData\Local\Temp\OnboardLogs"\RTDC4026\*4026*20170131* | grep -SE "(Enforcement Action)|(\[TIMEOUT)|(CHR.+\|PRM\|1\|D.+(SWITCH|SIGNAL).+UNKNOWN)" - &gt;&gt; 2017-01-31-UncaughtWiMAX.txt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552</v>
      </c>
      <c r="B45" s="7">
        <v>4040</v>
      </c>
      <c r="C45" s="21" t="s">
        <v>193</v>
      </c>
      <c r="D45" s="21" t="s">
        <v>246</v>
      </c>
      <c r="E45" s="13">
        <v>42766.320983796293</v>
      </c>
      <c r="F45" s="13">
        <v>42766.323078703703</v>
      </c>
      <c r="G45" s="7">
        <v>1</v>
      </c>
      <c r="H45" s="21" t="s">
        <v>471</v>
      </c>
      <c r="I45" s="13">
        <v>42766.348067129627</v>
      </c>
      <c r="J45" s="7">
        <v>0</v>
      </c>
      <c r="K45" s="98" t="str">
        <f t="shared" si="48"/>
        <v>4039/4040</v>
      </c>
      <c r="L45" s="21" t="str">
        <f>VLOOKUP(A45,'Trips&amp;Operators'!$C$1:$G$99999,5,FALSE)</f>
        <v>STARKS ANGELINA</v>
      </c>
      <c r="M45" s="6">
        <f t="shared" si="49"/>
        <v>2.4988425924675539E-2</v>
      </c>
      <c r="N45" s="7">
        <f t="shared" si="50"/>
        <v>35.983333331532776</v>
      </c>
      <c r="O45" s="7"/>
      <c r="P45" s="7"/>
      <c r="Q45" s="22"/>
      <c r="R45" s="22"/>
      <c r="S45" s="31">
        <f t="shared" si="51"/>
        <v>1</v>
      </c>
      <c r="T45" s="46" t="str">
        <f t="shared" si="20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0"/>
        <v>https://d0f6bd738d7f1b3e5a7ca70fe4ff75f0.us-east-1.aws.found.io/app/kibana#/discover/Steve-Slow-Train-Analysis-(2080s-and-2083s)?_g=(refreshInterval:(display:Off,pause:!f,section:0,value:0),time:(from:'2017-01-31T06:42:13-0700',mode:absolute,to:'2017-01-31T09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194" t="str">
        <f t="shared" si="21"/>
        <v>N</v>
      </c>
      <c r="X45" s="194">
        <f t="shared" si="54"/>
        <v>1</v>
      </c>
      <c r="Y45" s="62">
        <f t="shared" si="53"/>
        <v>4.5699999999999998E-2</v>
      </c>
      <c r="Z45" s="62">
        <f t="shared" si="52"/>
        <v>23.332899999999999</v>
      </c>
      <c r="AA45" s="62">
        <f t="shared" si="22"/>
        <v>23.287199999999999</v>
      </c>
      <c r="AB45" s="59" t="e">
        <f>VLOOKUP(A45,Enforcements!$C$7:$K$16,8,0)</f>
        <v>#N/A</v>
      </c>
      <c r="AC45" s="55" t="e">
        <f>VLOOKUP(A45,Enforcements!$C$7:$E$16,3,0)</f>
        <v>#N/A</v>
      </c>
      <c r="AD45" s="56" t="str">
        <f t="shared" si="23"/>
        <v>0133-31</v>
      </c>
      <c r="AE45" s="85" t="str">
        <f t="shared" si="1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45" s="82" t="str">
        <f t="shared" si="2"/>
        <v>"C:\Program Files (x86)\AstroGrep\AstroGrep.exe" /spath="%USERPROFILE%\AppData\Local\Temp\OnboardLogs" /stypes="app*4040*20170131*" /stext=" 15:.+((SYSTEM_STATE.+slice.+state.+changed )|(ment ac)|(multiple cpu faults)|(system.+state.+changed )|(\[timeout)|(PRM\|1\|D)|(kpr)|(kdp)|(\|lc)|(penalty))" /e /r /s</v>
      </c>
      <c r="AG45" s="1" t="str">
        <f t="shared" si="24"/>
        <v>EC</v>
      </c>
      <c r="AH45" s="86" t="str">
        <f t="shared" si="30"/>
        <v>"%USERPROFILE%\Documents\GitHub\eaglep3\Utilities\RefineRTDCRunTimes.py" --tripid 133-31 --locoid 4040 --swversion DE.1.0.8.0 --startMP 204:457 --initTime 2017-01-31T07:42:13 --startdatetime 2017-01-31T07:45:14 --delay 1 --endMP 204:233329 --enddatetime 2017-01-31T08:21:13 --enforcementcount 0 &gt;&gt;C:\Users\stu\Documents\GitHub\eaglep3-reporting\EC\2017-01-31-refined-times.txt</v>
      </c>
      <c r="AI45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{"issue":{"subject":"","project_id":79,"tracker_id":40,"status_id":1,"priority_id":2,"assigned_to_id":23,"start_date":"2017-01-31","description":"","custom_fields":[{"id":1,"name":"Subdivision","value":"EC"},{"id":4,"name":"Milepost","value":"23.3329"},{"id":17,"name":"Train ID","value":"133-31"},{"id":16,"name":"Locomotive ID","value":"4040"},{"id":130,"name":"Impact","value":""},{"id":150,"name":"Time of Event (Mountain Time)","value":"08:21:13"},{"id":151,"name":"Denver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61" t="str">
        <f t="shared" si="32"/>
        <v>start /low /b %USERPROFILE%\Documents\GitHub\eaglep3\Utilities\DownloadLogsFromS3.py --loco 4040 --day 2017-01-31</v>
      </c>
      <c r="AN45" s="170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"%USERPROFILE%\AppData\Local\Temp\OnboardLogs"\RTDC4040\*4040*20170131* | grep -SE "(Enforcement Action)|(\[TIMEOUT)|(CHR.+\|PRM\|1\|D.+(SWITCH|SIGNAL).+UNKNOWN)" - &gt;&gt; 2017-01-31-UncaughtWiMAX.txt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492</v>
      </c>
      <c r="B46" s="7">
        <v>4039</v>
      </c>
      <c r="C46" s="21" t="s">
        <v>193</v>
      </c>
      <c r="D46" s="21" t="s">
        <v>717</v>
      </c>
      <c r="E46" s="13">
        <v>42766.359131944446</v>
      </c>
      <c r="F46" s="13">
        <v>42766.361967592595</v>
      </c>
      <c r="G46" s="7">
        <v>1</v>
      </c>
      <c r="H46" s="21" t="s">
        <v>339</v>
      </c>
      <c r="I46" s="13">
        <v>42766.388032407405</v>
      </c>
      <c r="J46" s="7">
        <v>0</v>
      </c>
      <c r="K46" s="98" t="str">
        <f t="shared" si="48"/>
        <v>4039/4040</v>
      </c>
      <c r="L46" s="21" t="str">
        <f>VLOOKUP(A46,'Trips&amp;Operators'!$C$1:$G$99999,5,FALSE)</f>
        <v>STARKS ANGELINA</v>
      </c>
      <c r="M46" s="6">
        <f t="shared" si="49"/>
        <v>2.6064814810524695E-2</v>
      </c>
      <c r="N46" s="7">
        <f t="shared" si="50"/>
        <v>37.53333332715556</v>
      </c>
      <c r="O46" s="7"/>
      <c r="P46" s="7"/>
      <c r="Q46" s="22"/>
      <c r="R46" s="22"/>
      <c r="S46" s="31">
        <f t="shared" si="51"/>
        <v>1</v>
      </c>
      <c r="T46" s="46" t="str">
        <f t="shared" si="20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0"/>
        <v>https://d0f6bd738d7f1b3e5a7ca70fe4ff75f0.us-east-1.aws.found.io/app/kibana#/discover/Steve-Slow-Train-Analysis-(2080s-and-2083s)?_g=(refreshInterval:(display:Off,pause:!f,section:0,value:0),time:(from:'2017-01-31T07:37:09-0700',mode:absolute,to:'2017-01-31T10:18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194" t="str">
        <f t="shared" si="21"/>
        <v>N</v>
      </c>
      <c r="X46" s="194">
        <f t="shared" si="54"/>
        <v>1</v>
      </c>
      <c r="Y46" s="62">
        <f t="shared" si="53"/>
        <v>23.3002</v>
      </c>
      <c r="Z46" s="62">
        <f t="shared" si="52"/>
        <v>1.3899999999999999E-2</v>
      </c>
      <c r="AA46" s="62">
        <f t="shared" si="22"/>
        <v>23.286300000000001</v>
      </c>
      <c r="AB46" s="59" t="str">
        <f>VLOOKUP(A46,Enforcements!$C$7:$K$16,8,0)</f>
        <v>Form based authority (4)</v>
      </c>
      <c r="AC46" s="55" t="str">
        <f>VLOOKUP(A46,Enforcements!$C$7:$E$16,3,0)</f>
        <v>TRACK WARRANT AUTHORITY</v>
      </c>
      <c r="AD46" s="56" t="str">
        <f t="shared" si="23"/>
        <v>0134-31</v>
      </c>
      <c r="AE46" s="85" t="str">
        <f t="shared" si="1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46" s="82" t="str">
        <f t="shared" si="2"/>
        <v>"C:\Program Files (x86)\AstroGrep\AstroGrep.exe" /spath="%USERPROFILE%\AppData\Local\Temp\OnboardLogs" /stypes="app*4039*20170131*" /stext=" 16:.+((SYSTEM_STATE.+slice.+state.+changed )|(ment ac)|(multiple cpu faults)|(system.+state.+changed )|(\[timeout)|(PRM\|1\|D)|(kpr)|(kdp)|(\|lc)|(penalty))" /e /r /s</v>
      </c>
      <c r="AG46" s="1" t="str">
        <f t="shared" si="24"/>
        <v>EC</v>
      </c>
      <c r="AH46" s="86" t="str">
        <f t="shared" si="30"/>
        <v>"%USERPROFILE%\Documents\GitHub\eaglep3\Utilities\RefineRTDCRunTimes.py" --tripid 134-31 --locoid 4039 --swversion DE.1.0.8.0 --startMP 204:233002 --initTime 2017-01-31T08:37:09 --startdatetime 2017-01-31T08:41:14 --delay 1 --endMP 204:139 --enddatetime 2017-01-31T09:18:46 --enforcementcount 0 &gt;&gt;C:\Users\stu\Documents\GitHub\eaglep3-reporting\EC\2017-01-31-refined-times.txt</v>
      </c>
      <c r="AI46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{"issue":{"subject":"","project_id":79,"tracker_id":40,"status_id":1,"priority_id":2,"assigned_to_id":23,"start_date":"2017-01-31","description":"","custom_fields":[{"id":1,"name":"Subdivision","value":"EC"},{"id":4,"name":"Milepost","value":"0.0139"},{"id":17,"name":"Train ID","value":"134-31"},{"id":16,"name":"Locomotive ID","value":"4039"},{"id":130,"name":"Impact","value":""},{"id":150,"name":"Time of Event (Mountain Time)","value":"09:18:46"},{"id":151,"name":"Denver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61" t="str">
        <f t="shared" si="32"/>
        <v>start /low /b %USERPROFILE%\Documents\GitHub\eaglep3\Utilities\DownloadLogsFromS3.py --loco 4039 --day 2017-01-31</v>
      </c>
      <c r="AN46" s="170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"%USERPROFILE%\AppData\Local\Temp\OnboardLogs"\RTDC4039\*4039*20170131* | grep -SE "(Enforcement Action)|(\[TIMEOUT)|(CHR.+\|PRM\|1\|D.+(SWITCH|SIGNAL).+UNKNOWN)" - &gt;&gt; 2017-01-31-UncaughtWiMAX.txt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554</v>
      </c>
      <c r="B47" s="7">
        <v>4027</v>
      </c>
      <c r="C47" s="21" t="s">
        <v>193</v>
      </c>
      <c r="D47" s="21" t="s">
        <v>285</v>
      </c>
      <c r="E47" s="13">
        <v>42766.328217592592</v>
      </c>
      <c r="F47" s="13">
        <v>42766.333495370367</v>
      </c>
      <c r="G47" s="7">
        <v>0</v>
      </c>
      <c r="H47" s="21" t="s">
        <v>718</v>
      </c>
      <c r="I47" s="13">
        <v>42766.359224537038</v>
      </c>
      <c r="J47" s="7">
        <v>0</v>
      </c>
      <c r="K47" s="98" t="str">
        <f t="shared" si="48"/>
        <v>4027/4028</v>
      </c>
      <c r="L47" s="21" t="str">
        <f>VLOOKUP(A47,'Trips&amp;Operators'!$C$1:$G$99999,5,FALSE)</f>
        <v>BONDS REYNALDO</v>
      </c>
      <c r="M47" s="6">
        <f t="shared" si="49"/>
        <v>2.5729166671226267E-2</v>
      </c>
      <c r="N47" s="7">
        <f t="shared" si="50"/>
        <v>37.050000006565824</v>
      </c>
      <c r="O47" s="7"/>
      <c r="P47" s="7"/>
      <c r="Q47" s="22"/>
      <c r="R47" s="22"/>
      <c r="S47" s="31">
        <f t="shared" si="51"/>
        <v>1</v>
      </c>
      <c r="T47" s="46" t="str">
        <f t="shared" si="20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0"/>
        <v>https://d0f6bd738d7f1b3e5a7ca70fe4ff75f0.us-east-1.aws.found.io/app/kibana#/discover/Steve-Slow-Train-Analysis-(2080s-and-2083s)?_g=(refreshInterval:(display:Off,pause:!f,section:0,value:0),time:(from:'2017-01-31T06:52:38-0700',mode:absolute,to:'2017-01-31T09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94" t="str">
        <f t="shared" si="21"/>
        <v>N</v>
      </c>
      <c r="X47" s="194">
        <f t="shared" si="54"/>
        <v>1</v>
      </c>
      <c r="Y47" s="62">
        <f t="shared" si="53"/>
        <v>4.53E-2</v>
      </c>
      <c r="Z47" s="62">
        <f t="shared" si="52"/>
        <v>23.3324</v>
      </c>
      <c r="AA47" s="62">
        <f t="shared" si="22"/>
        <v>23.287099999999999</v>
      </c>
      <c r="AB47" s="59" t="e">
        <f>VLOOKUP(A47,Enforcements!$C$7:$K$16,8,0)</f>
        <v>#N/A</v>
      </c>
      <c r="AC47" s="55" t="e">
        <f>VLOOKUP(A47,Enforcements!$C$7:$E$16,3,0)</f>
        <v>#N/A</v>
      </c>
      <c r="AD47" s="56" t="str">
        <f t="shared" si="23"/>
        <v>0135-31</v>
      </c>
      <c r="AE47" s="85" t="str">
        <f t="shared" si="1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47" s="82" t="str">
        <f t="shared" si="2"/>
        <v>"C:\Program Files (x86)\AstroGrep\AstroGrep.exe" /spath="%USERPROFILE%\AppData\Local\Temp\OnboardLogs" /stypes="app*4027*20170131*" /stext=" 15:.+((SYSTEM_STATE.+slice.+state.+changed )|(ment ac)|(multiple cpu faults)|(system.+state.+changed )|(\[timeout)|(PRM\|1\|D)|(kpr)|(kdp)|(\|lc)|(penalty))" /e /r /s</v>
      </c>
      <c r="AG47" s="1" t="str">
        <f t="shared" si="24"/>
        <v>EC</v>
      </c>
      <c r="AH47" s="86" t="str">
        <f t="shared" si="30"/>
        <v>"%USERPROFILE%\Documents\GitHub\eaglep3\Utilities\RefineRTDCRunTimes.py" --tripid 135-31 --locoid 4027 --swversion DE.1.0.8.0 --startMP 204:453 --initTime 2017-01-31T07:52:38 --startdatetime 2017-01-31T08:00:14 --delay 0 --endMP 204:233324 --enddatetime 2017-01-31T08:37:17 --enforcementcount 0 &gt;&gt;C:\Users\stu\Documents\GitHub\eaglep3-reporting\EC\2017-01-31-refined-times.txt</v>
      </c>
      <c r="AI47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{"issue":{"subject":"","project_id":79,"tracker_id":40,"status_id":1,"priority_id":2,"assigned_to_id":23,"start_date":"2017-01-31","description":"","custom_fields":[{"id":1,"name":"Subdivision","value":"EC"},{"id":4,"name":"Milepost","value":"23.3324"},{"id":17,"name":"Train ID","value":"135-31"},{"id":16,"name":"Locomotive ID","value":"4027"},{"id":130,"name":"Impact","value":""},{"id":150,"name":"Time of Event (Mountain Time)","value":"08:37:17"},{"id":151,"name":"Denver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61" t="str">
        <f t="shared" si="32"/>
        <v>start /low /b %USERPROFILE%\Documents\GitHub\eaglep3\Utilities\DownloadLogsFromS3.py --loco 4027 --day 2017-01-31</v>
      </c>
      <c r="AN47" s="170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"%USERPROFILE%\AppData\Local\Temp\OnboardLogs"\RTDC4027\*4027*20170131* | grep -SE "(Enforcement Action)|(\[TIMEOUT)|(CHR.+\|PRM\|1\|D.+(SWITCH|SIGNAL).+UNKNOWN)" - &gt;&gt; 2017-01-31-UncaughtWiMAX.txt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493</v>
      </c>
      <c r="B48" s="7">
        <v>4028</v>
      </c>
      <c r="C48" s="21" t="s">
        <v>193</v>
      </c>
      <c r="D48" s="21" t="s">
        <v>349</v>
      </c>
      <c r="E48" s="13">
        <v>42766.364189814813</v>
      </c>
      <c r="F48" s="13">
        <v>42766.37259259259</v>
      </c>
      <c r="G48" s="7">
        <v>1</v>
      </c>
      <c r="H48" s="21" t="s">
        <v>197</v>
      </c>
      <c r="I48" s="13">
        <v>42766.400289351855</v>
      </c>
      <c r="J48" s="7">
        <v>0</v>
      </c>
      <c r="K48" s="98" t="str">
        <f t="shared" si="48"/>
        <v>4027/4028</v>
      </c>
      <c r="L48" s="21" t="str">
        <f>VLOOKUP(A48,'Trips&amp;Operators'!$C$1:$G$99999,5,FALSE)</f>
        <v>BONDS REYNALDO</v>
      </c>
      <c r="M48" s="6">
        <f t="shared" si="49"/>
        <v>2.7696759265381843E-2</v>
      </c>
      <c r="N48" s="7">
        <f t="shared" si="50"/>
        <v>39.883333342149854</v>
      </c>
      <c r="O48" s="7"/>
      <c r="P48" s="7"/>
      <c r="Q48" s="22"/>
      <c r="R48" s="22"/>
      <c r="S48" s="31">
        <f t="shared" si="51"/>
        <v>1</v>
      </c>
      <c r="T48" s="46" t="str">
        <f t="shared" si="20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0"/>
        <v>https://d0f6bd738d7f1b3e5a7ca70fe4ff75f0.us-east-1.aws.found.io/app/kibana#/discover/Steve-Slow-Train-Analysis-(2080s-and-2083s)?_g=(refreshInterval:(display:Off,pause:!f,section:0,value:0),time:(from:'2017-01-31T07:44:26-0700',mode:absolute,to:'2017-01-31T10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94" t="str">
        <f t="shared" si="21"/>
        <v>N</v>
      </c>
      <c r="X48" s="194">
        <f t="shared" si="54"/>
        <v>1</v>
      </c>
      <c r="Y48" s="62">
        <f t="shared" si="53"/>
        <v>23.298999999999999</v>
      </c>
      <c r="Z48" s="62">
        <f t="shared" si="52"/>
        <v>1.4999999999999999E-2</v>
      </c>
      <c r="AA48" s="62">
        <f t="shared" si="22"/>
        <v>23.283999999999999</v>
      </c>
      <c r="AB48" s="59" t="str">
        <f>VLOOKUP(A48,Enforcements!$C$7:$K$16,8,0)</f>
        <v>Form based authority (4)</v>
      </c>
      <c r="AC48" s="55" t="str">
        <f>VLOOKUP(A48,Enforcements!$C$7:$E$16,3,0)</f>
        <v>TRACK WARRANT AUTHORITY</v>
      </c>
      <c r="AD48" s="56" t="str">
        <f t="shared" si="23"/>
        <v>0136-31</v>
      </c>
      <c r="AE48" s="85" t="str">
        <f t="shared" si="1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48" s="82" t="str">
        <f t="shared" si="2"/>
        <v>"C:\Program Files (x86)\AstroGrep\AstroGrep.exe" /spath="%USERPROFILE%\AppData\Local\Temp\OnboardLogs" /stypes="app*4028*20170131*" /stext=" 16:.+((SYSTEM_STATE.+slice.+state.+changed )|(ment ac)|(multiple cpu faults)|(system.+state.+changed )|(\[timeout)|(PRM\|1\|D)|(kpr)|(kdp)|(\|lc)|(penalty))" /e /r /s</v>
      </c>
      <c r="AG48" s="1" t="str">
        <f t="shared" si="24"/>
        <v>EC</v>
      </c>
      <c r="AH48" s="86" t="str">
        <f t="shared" si="30"/>
        <v>"%USERPROFILE%\Documents\GitHub\eaglep3\Utilities\RefineRTDCRunTimes.py" --tripid 136-31 --locoid 4028 --swversion DE.1.0.8.0 --startMP 204:232990 --initTime 2017-01-31T08:44:26 --startdatetime 2017-01-31T08:56:32 --delay 1 --endMP 204:150 --enddatetime 2017-01-31T09:36:25 --enforcementcount 0 &gt;&gt;C:\Users\stu\Documents\GitHub\eaglep3-reporting\EC\2017-01-31-refined-times.txt</v>
      </c>
      <c r="AI48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{"issue":{"subject":"","project_id":79,"tracker_id":40,"status_id":1,"priority_id":2,"assigned_to_id":23,"start_date":"2017-01-31","description":"","custom_fields":[{"id":1,"name":"Subdivision","value":"EC"},{"id":4,"name":"Milepost","value":"0.015"},{"id":17,"name":"Train ID","value":"136-31"},{"id":16,"name":"Locomotive ID","value":"4028"},{"id":130,"name":"Impact","value":""},{"id":150,"name":"Time of Event (Mountain Time)","value":"09:36:25"},{"id":151,"name":"Denver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61" t="str">
        <f t="shared" si="32"/>
        <v>start /low /b %USERPROFILE%\Documents\GitHub\eaglep3\Utilities\DownloadLogsFromS3.py --loco 4028 --day 2017-01-31</v>
      </c>
      <c r="AN48" s="170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"%USERPROFILE%\AppData\Local\Temp\OnboardLogs"\RTDC4028\*4028*20170131* | grep -SE "(Enforcement Action)|(\[TIMEOUT)|(CHR.+\|PRM\|1\|D.+(SWITCH|SIGNAL).+UNKNOWN)" - &gt;&gt; 2017-01-31-UncaughtWiMAX.txt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558</v>
      </c>
      <c r="B49" s="7">
        <v>4042</v>
      </c>
      <c r="C49" s="21" t="s">
        <v>193</v>
      </c>
      <c r="D49" s="21" t="s">
        <v>213</v>
      </c>
      <c r="E49" s="13">
        <v>42766.341064814813</v>
      </c>
      <c r="F49" s="13">
        <v>42766.343900462962</v>
      </c>
      <c r="G49" s="7">
        <v>1</v>
      </c>
      <c r="H49" s="21" t="s">
        <v>719</v>
      </c>
      <c r="I49" s="13">
        <v>42766.368981481479</v>
      </c>
      <c r="J49" s="7">
        <v>0</v>
      </c>
      <c r="K49" s="98" t="str">
        <f t="shared" si="48"/>
        <v>4041/4042</v>
      </c>
      <c r="L49" s="21" t="str">
        <f>VLOOKUP(A49,'Trips&amp;Operators'!$C$1:$G$99999,5,FALSE)</f>
        <v>DAVIS WENDY</v>
      </c>
      <c r="M49" s="6">
        <f t="shared" si="49"/>
        <v>2.5081018517084885E-2</v>
      </c>
      <c r="N49" s="7">
        <f t="shared" si="50"/>
        <v>36.116666664602235</v>
      </c>
      <c r="O49" s="7"/>
      <c r="P49" s="7"/>
      <c r="Q49" s="22"/>
      <c r="R49" s="22"/>
      <c r="S49" s="31">
        <f t="shared" si="51"/>
        <v>1</v>
      </c>
      <c r="T49" s="46" t="str">
        <f t="shared" si="20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0"/>
        <v>https://d0f6bd738d7f1b3e5a7ca70fe4ff75f0.us-east-1.aws.found.io/app/kibana#/discover/Steve-Slow-Train-Analysis-(2080s-and-2083s)?_g=(refreshInterval:(display:Off,pause:!f,section:0,value:0),time:(from:'2017-01-31T07:11:08-0700',mode:absolute,to:'2017-01-31T09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94" t="str">
        <f t="shared" si="21"/>
        <v>N</v>
      </c>
      <c r="X49" s="194">
        <f t="shared" si="54"/>
        <v>1</v>
      </c>
      <c r="Y49" s="62">
        <f t="shared" si="53"/>
        <v>4.4900000000000002E-2</v>
      </c>
      <c r="Z49" s="62">
        <f t="shared" si="52"/>
        <v>23.329499999999999</v>
      </c>
      <c r="AA49" s="62">
        <f t="shared" si="22"/>
        <v>23.284600000000001</v>
      </c>
      <c r="AB49" s="59" t="e">
        <f>VLOOKUP(A49,Enforcements!$C$7:$K$16,8,0)</f>
        <v>#N/A</v>
      </c>
      <c r="AC49" s="55" t="e">
        <f>VLOOKUP(A49,Enforcements!$C$7:$E$16,3,0)</f>
        <v>#N/A</v>
      </c>
      <c r="AD49" s="56" t="str">
        <f t="shared" si="23"/>
        <v>0137-31</v>
      </c>
      <c r="AE49" s="85" t="str">
        <f t="shared" si="1"/>
        <v>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 &amp; 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</v>
      </c>
      <c r="AF49" s="82" t="str">
        <f t="shared" si="2"/>
        <v>"C:\Program Files (x86)\AstroGrep\AstroGrep.exe" /spath="%USERPROFILE%\AppData\Local\Temp\OnboardLogs" /stypes="app*4042*20170131*" /stext=" 15:.+((SYSTEM_STATE.+slice.+state.+changed )|(ment ac)|(multiple cpu faults)|(system.+state.+changed )|(\[timeout)|(PRM\|1\|D)|(kpr)|(kdp)|(\|lc)|(penalty))" /e /r /s</v>
      </c>
      <c r="AG49" s="1" t="str">
        <f t="shared" si="24"/>
        <v>EC</v>
      </c>
      <c r="AH49" s="86" t="str">
        <f t="shared" si="30"/>
        <v>"%USERPROFILE%\Documents\GitHub\eaglep3\Utilities\RefineRTDCRunTimes.py" --tripid 137-31 --locoid 4042 --swversion DE.1.0.8.0 --startMP 204:449 --initTime 2017-01-31T08:11:08 --startdatetime 2017-01-31T08:15:13 --delay 1 --endMP 204:233295 --enddatetime 2017-01-31T08:51:20 --enforcementcount 0 &gt;&gt;C:\Users\stu\Documents\GitHub\eaglep3-reporting\EC\2017-01-31-refined-times.txt</v>
      </c>
      <c r="AI49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{"issue":{"subject":"","project_id":79,"tracker_id":40,"status_id":1,"priority_id":2,"assigned_to_id":23,"start_date":"2017-01-31","description":"","custom_fields":[{"id":1,"name":"Subdivision","value":"EC"},{"id":4,"name":"Milepost","value":"23.3295"},{"id":17,"name":"Train ID","value":"137-31"},{"id":16,"name":"Locomotive ID","value":"4042"},{"id":130,"name":"Impact","value":""},{"id":150,"name":"Time of Event (Mountain Time)","value":"08:51:20"},{"id":151,"name":"Denver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61" t="str">
        <f t="shared" si="32"/>
        <v>start /low /b %USERPROFILE%\Documents\GitHub\eaglep3\Utilities\DownloadLogsFromS3.py --loco 4042 --day 2017-01-31</v>
      </c>
      <c r="AN49" s="170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"%USERPROFILE%\AppData\Local\Temp\OnboardLogs"\RTDC4042\*4042*20170131* | grep -SE "(Enforcement Action)|(\[TIMEOUT)|(CHR.+\|PRM\|1\|D.+(SWITCH|SIGNAL).+UNKNOWN)" - &gt;&gt; 2017-01-31-UncaughtWiMAX.txt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567</v>
      </c>
      <c r="B50" s="7">
        <v>4041</v>
      </c>
      <c r="C50" s="21" t="s">
        <v>193</v>
      </c>
      <c r="D50" s="21" t="s">
        <v>720</v>
      </c>
      <c r="E50" s="13">
        <v>42766.380277777775</v>
      </c>
      <c r="F50" s="13">
        <v>42766.3827662037</v>
      </c>
      <c r="G50" s="7">
        <v>0</v>
      </c>
      <c r="H50" s="21" t="s">
        <v>214</v>
      </c>
      <c r="I50" s="13">
        <v>42766.410532407404</v>
      </c>
      <c r="J50" s="7">
        <v>0</v>
      </c>
      <c r="K50" s="98" t="str">
        <f t="shared" si="48"/>
        <v>4041/4042</v>
      </c>
      <c r="L50" s="21" t="str">
        <f>VLOOKUP(A50,'Trips&amp;Operators'!$C$1:$G$99999,5,FALSE)</f>
        <v>DAVIS WENDY</v>
      </c>
      <c r="M50" s="6">
        <f t="shared" si="49"/>
        <v>2.7766203704231884E-2</v>
      </c>
      <c r="N50" s="7">
        <f t="shared" si="50"/>
        <v>39.983333334093913</v>
      </c>
      <c r="O50" s="7"/>
      <c r="P50" s="7"/>
      <c r="Q50" s="22"/>
      <c r="R50" s="22"/>
      <c r="S50" s="31">
        <f t="shared" si="51"/>
        <v>1</v>
      </c>
      <c r="T50" s="46" t="str">
        <f t="shared" si="20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0"/>
        <v>https://d0f6bd738d7f1b3e5a7ca70fe4ff75f0.us-east-1.aws.found.io/app/kibana#/discover/Steve-Slow-Train-Analysis-(2080s-and-2083s)?_g=(refreshInterval:(display:Off,pause:!f,section:0,value:0),time:(from:'2017-01-31T08:07:36-0700',mode:absolute,to:'2017-01-31T10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94" t="str">
        <f t="shared" si="21"/>
        <v>N</v>
      </c>
      <c r="X50" s="194">
        <f t="shared" si="54"/>
        <v>1</v>
      </c>
      <c r="Y50" s="62">
        <f t="shared" si="53"/>
        <v>23.298100000000002</v>
      </c>
      <c r="Z50" s="62">
        <f t="shared" si="52"/>
        <v>1.52E-2</v>
      </c>
      <c r="AA50" s="62">
        <f t="shared" si="22"/>
        <v>23.282900000000001</v>
      </c>
      <c r="AB50" s="59" t="e">
        <f>VLOOKUP(A50,Enforcements!$C$7:$K$16,8,0)</f>
        <v>#N/A</v>
      </c>
      <c r="AC50" s="55" t="e">
        <f>VLOOKUP(A50,Enforcements!$C$7:$E$16,3,0)</f>
        <v>#N/A</v>
      </c>
      <c r="AD50" s="56" t="str">
        <f t="shared" si="23"/>
        <v>0138-31</v>
      </c>
      <c r="AE50" s="85" t="str">
        <f t="shared" si="1"/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AF50" s="82" t="str">
        <f t="shared" si="2"/>
        <v>"C:\Program Files (x86)\AstroGrep\AstroGrep.exe" /spath="%USERPROFILE%\AppData\Local\Temp\OnboardLogs" /stypes="app*4041*20170131*" /stext=" 16:.+((SYSTEM_STATE.+slice.+state.+changed )|(ment ac)|(multiple cpu faults)|(system.+state.+changed )|(\[timeout)|(PRM\|1\|D)|(kpr)|(kdp)|(\|lc)|(penalty))" /e /r /s</v>
      </c>
      <c r="AG50" s="1" t="str">
        <f t="shared" si="24"/>
        <v>EC</v>
      </c>
      <c r="AH50" s="86" t="str">
        <f t="shared" si="30"/>
        <v>"%USERPROFILE%\Documents\GitHub\eaglep3\Utilities\RefineRTDCRunTimes.py" --tripid 138-31 --locoid 4041 --swversion DE.1.0.8.0 --startMP 204:232981 --initTime 2017-01-31T09:07:36 --startdatetime 2017-01-31T09:11:11 --delay 0 --endMP 204:152 --enddatetime 2017-01-31T09:51:10 --enforcementcount 0 &gt;&gt;C:\Users\stu\Documents\GitHub\eaglep3-reporting\EC\2017-01-31-refined-times.txt</v>
      </c>
      <c r="AI50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{"issue":{"subject":"","project_id":79,"tracker_id":40,"status_id":1,"priority_id":2,"assigned_to_id":23,"start_date":"2017-01-31","description":"","custom_fields":[{"id":1,"name":"Subdivision","value":"EC"},{"id":4,"name":"Milepost","value":"0.0152"},{"id":17,"name":"Train ID","value":"138-31"},{"id":16,"name":"Locomotive ID","value":"4041"},{"id":130,"name":"Impact","value":""},{"id":150,"name":"Time of Event (Mountain Time)","value":"09:51:10"},{"id":151,"name":"Denver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61" t="str">
        <f t="shared" si="32"/>
        <v>start /low /b %USERPROFILE%\Documents\GitHub\eaglep3\Utilities\DownloadLogsFromS3.py --loco 4041 --day 2017-01-31</v>
      </c>
      <c r="AN50" s="170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560</v>
      </c>
      <c r="B51" s="7">
        <v>4011</v>
      </c>
      <c r="C51" s="21" t="s">
        <v>193</v>
      </c>
      <c r="D51" s="21" t="s">
        <v>721</v>
      </c>
      <c r="E51" s="13">
        <v>42766.350104166668</v>
      </c>
      <c r="F51" s="13">
        <v>42766.354479166665</v>
      </c>
      <c r="G51" s="7">
        <v>1</v>
      </c>
      <c r="H51" s="21" t="s">
        <v>712</v>
      </c>
      <c r="I51" s="13">
        <v>42766.380891203706</v>
      </c>
      <c r="J51" s="7">
        <v>0</v>
      </c>
      <c r="K51" s="98" t="str">
        <f t="shared" si="48"/>
        <v>4011/4012</v>
      </c>
      <c r="L51" s="21" t="str">
        <f>VLOOKUP(A51,'Trips&amp;Operators'!$C$1:$G$99999,5,FALSE)</f>
        <v>SNYDER PETER</v>
      </c>
      <c r="M51" s="6">
        <f t="shared" si="49"/>
        <v>2.641203704115469E-2</v>
      </c>
      <c r="N51" s="7">
        <f t="shared" si="50"/>
        <v>38.033333339262754</v>
      </c>
      <c r="O51" s="7"/>
      <c r="P51" s="7"/>
      <c r="Q51" s="22"/>
      <c r="R51" s="22"/>
      <c r="S51" s="31">
        <f t="shared" si="51"/>
        <v>1</v>
      </c>
      <c r="T51" s="46" t="str">
        <f t="shared" si="20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0"/>
        <v>https://d0f6bd738d7f1b3e5a7ca70fe4ff75f0.us-east-1.aws.found.io/app/kibana#/discover/Steve-Slow-Train-Analysis-(2080s-and-2083s)?_g=(refreshInterval:(display:Off,pause:!f,section:0,value:0),time:(from:'2017-01-31T07:24:09-0700',mode:absolute,to:'2017-01-31T10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194" t="str">
        <f t="shared" si="21"/>
        <v>N</v>
      </c>
      <c r="X51" s="194">
        <f t="shared" si="54"/>
        <v>1</v>
      </c>
      <c r="Y51" s="62">
        <f t="shared" si="53"/>
        <v>4.2700000000000002E-2</v>
      </c>
      <c r="Z51" s="62">
        <f t="shared" si="52"/>
        <v>23.328600000000002</v>
      </c>
      <c r="AA51" s="62">
        <f t="shared" si="22"/>
        <v>23.285900000000002</v>
      </c>
      <c r="AB51" s="59" t="e">
        <f>VLOOKUP(A51,Enforcements!$C$7:$K$16,8,0)</f>
        <v>#N/A</v>
      </c>
      <c r="AC51" s="55" t="e">
        <f>VLOOKUP(A51,Enforcements!$C$7:$E$16,3,0)</f>
        <v>#N/A</v>
      </c>
      <c r="AD51" s="56" t="str">
        <f t="shared" si="23"/>
        <v>0139-31</v>
      </c>
      <c r="AE51" s="85" t="str">
        <f t="shared" si="1"/>
        <v>aws s3 cp s3://rtdc.mdm.uploadarchive.raw/RTDC4011/ "%USERPROFILE%\AppData\Local\Temp\OnboardLogs"\RTDC4011\2017-01-31 --exclude "*" --recursive --include "*20170131*" &amp; "%USERPROFILE%\Documents\GitHub\mrs-test-scripts\Headless Mode &amp; Sideloading\WalkAndUnGZ.bat" "%USERPROFILE%\AppData\Local\Temp\OnboardLogs"\RTDC4011\2017-01-31 &amp; 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</v>
      </c>
      <c r="AF51" s="82" t="str">
        <f t="shared" si="2"/>
        <v>"C:\Program Files (x86)\AstroGrep\AstroGrep.exe" /spath="%USERPROFILE%\AppData\Local\Temp\OnboardLogs" /stypes="app*4011*20170131*" /stext=" 16:.+((SYSTEM_STATE.+slice.+state.+changed )|(ment ac)|(multiple cpu faults)|(system.+state.+changed )|(\[timeout)|(PRM\|1\|D)|(kpr)|(kdp)|(\|lc)|(penalty))" /e /r /s</v>
      </c>
      <c r="AG51" s="1" t="str">
        <f t="shared" si="24"/>
        <v>EC</v>
      </c>
      <c r="AH51" s="86" t="str">
        <f t="shared" si="30"/>
        <v>"%USERPROFILE%\Documents\GitHub\eaglep3\Utilities\RefineRTDCRunTimes.py" --tripid 139-31 --locoid 4011 --swversion DE.1.0.8.0 --startMP 204:427 --initTime 2017-01-31T08:24:09 --startdatetime 2017-01-31T08:30:27 --delay 1 --endMP 204:233286 --enddatetime 2017-01-31T09:08:29 --enforcementcount 0 &gt;&gt;C:\Users\stu\Documents\GitHub\eaglep3-reporting\EC\2017-01-31-refined-times.txt</v>
      </c>
      <c r="AI51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{"issue":{"subject":"","project_id":79,"tracker_id":40,"status_id":1,"priority_id":2,"assigned_to_id":23,"start_date":"2017-01-31","description":"","custom_fields":[{"id":1,"name":"Subdivision","value":"EC"},{"id":4,"name":"Milepost","value":"23.3286"},{"id":17,"name":"Train ID","value":"139-31"},{"id":16,"name":"Locomotive ID","value":"4011"},{"id":130,"name":"Impact","value":""},{"id":150,"name":"Time of Event (Mountain Time)","value":"09:08:29"},{"id":151,"name":"Denver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61" t="str">
        <f t="shared" si="32"/>
        <v>start /low /b %USERPROFILE%\Documents\GitHub\eaglep3\Utilities\DownloadLogsFromS3.py --loco 4011 --day 2017-01-31</v>
      </c>
      <c r="AN51" s="170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"%USERPROFILE%\AppData\Local\Temp\OnboardLogs"\RTDC4011\*4011*20170131* | grep -SE "(Enforcement Action)|(\[TIMEOUT)|(CHR.+\|PRM\|1\|D.+(SWITCH|SIGNAL).+UNKNOWN)" - &gt;&gt; 2017-01-31-UncaughtWiMAX.txt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569</v>
      </c>
      <c r="B52" s="7">
        <v>4012</v>
      </c>
      <c r="C52" s="21" t="s">
        <v>193</v>
      </c>
      <c r="D52" s="21" t="s">
        <v>478</v>
      </c>
      <c r="E52" s="13">
        <v>42766.387638888889</v>
      </c>
      <c r="F52" s="13">
        <v>42766.393530092595</v>
      </c>
      <c r="G52" s="7">
        <v>1</v>
      </c>
      <c r="H52" s="21" t="s">
        <v>722</v>
      </c>
      <c r="I52" s="13">
        <v>42766.431481481479</v>
      </c>
      <c r="J52" s="7">
        <v>0</v>
      </c>
      <c r="K52" s="98" t="str">
        <f t="shared" si="48"/>
        <v>4011/4012</v>
      </c>
      <c r="L52" s="21" t="str">
        <f>VLOOKUP(A52,'Trips&amp;Operators'!$C$1:$G$99999,5,FALSE)</f>
        <v>SNYDER PETER</v>
      </c>
      <c r="M52" s="6">
        <f t="shared" si="49"/>
        <v>3.7951388883811887E-2</v>
      </c>
      <c r="N52" s="7">
        <f t="shared" si="50"/>
        <v>54.649999992689118</v>
      </c>
      <c r="O52" s="7"/>
      <c r="P52" s="7"/>
      <c r="Q52" s="22"/>
      <c r="R52" s="22"/>
      <c r="S52" s="31">
        <f t="shared" si="51"/>
        <v>1</v>
      </c>
      <c r="T52" s="46" t="str">
        <f t="shared" si="20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0"/>
        <v>https://d0f6bd738d7f1b3e5a7ca70fe4ff75f0.us-east-1.aws.found.io/app/kibana#/discover/Steve-Slow-Train-Analysis-(2080s-and-2083s)?_g=(refreshInterval:(display:Off,pause:!f,section:0,value:0),time:(from:'2017-01-31T08:18:12-0700',mode:absolute,to:'2017-01-31T11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2" s="194" t="str">
        <f t="shared" si="21"/>
        <v>N</v>
      </c>
      <c r="X52" s="194">
        <f t="shared" si="54"/>
        <v>1</v>
      </c>
      <c r="Y52" s="62">
        <f t="shared" si="53"/>
        <v>23.2973</v>
      </c>
      <c r="Z52" s="62">
        <f t="shared" si="52"/>
        <v>1.67E-2</v>
      </c>
      <c r="AA52" s="62">
        <f t="shared" si="22"/>
        <v>23.2806</v>
      </c>
      <c r="AB52" s="59" t="e">
        <f>VLOOKUP(A52,Enforcements!$C$7:$K$16,8,0)</f>
        <v>#N/A</v>
      </c>
      <c r="AC52" s="55" t="e">
        <f>VLOOKUP(A52,Enforcements!$C$7:$E$16,3,0)</f>
        <v>#N/A</v>
      </c>
      <c r="AD52" s="56" t="str">
        <f t="shared" si="23"/>
        <v>0140-31</v>
      </c>
      <c r="AE52" s="85" t="str">
        <f t="shared" si="1"/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AF52" s="82" t="str">
        <f t="shared" si="2"/>
        <v>"C:\Program Files (x86)\AstroGrep\AstroGrep.exe" /spath="%USERPROFILE%\AppData\Local\Temp\OnboardLogs" /stypes="app*4012*20170131*" /stext=" 17:.+((SYSTEM_STATE.+slice.+state.+changed )|(ment ac)|(multiple cpu faults)|(system.+state.+changed )|(\[timeout)|(PRM\|1\|D)|(kpr)|(kdp)|(\|lc)|(penalty))" /e /r /s</v>
      </c>
      <c r="AG52" s="1" t="str">
        <f t="shared" si="24"/>
        <v>EC</v>
      </c>
      <c r="AH52" s="86" t="str">
        <f t="shared" si="30"/>
        <v>"%USERPROFILE%\Documents\GitHub\eaglep3\Utilities\RefineRTDCRunTimes.py" --tripid 140-31 --locoid 4012 --swversion DE.1.0.8.0 --startMP 204:232973 --initTime 2017-01-31T09:18:12 --startdatetime 2017-01-31T09:26:41 --delay 1 --endMP 204:167 --enddatetime 2017-01-31T10:21:20 --enforcementcount 0 &gt;&gt;C:\Users\stu\Documents\GitHub\eaglep3-reporting\EC\2017-01-31-refined-times.txt</v>
      </c>
      <c r="AI52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{"issue":{"subject":"","project_id":79,"tracker_id":40,"status_id":1,"priority_id":2,"assigned_to_id":23,"start_date":"2017-01-31","description":"","custom_fields":[{"id":1,"name":"Subdivision","value":"EC"},{"id":4,"name":"Milepost","value":"0.0167"},{"id":17,"name":"Train ID","value":"140-31"},{"id":16,"name":"Locomotive ID","value":"4012"},{"id":130,"name":"Impact","value":""},{"id":150,"name":"Time of Event (Mountain Time)","value":"10:21:20"},{"id":151,"name":"Denver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61" t="str">
        <f t="shared" si="32"/>
        <v>start /low /b %USERPROFILE%\Documents\GitHub\eaglep3\Utilities\DownloadLogsFromS3.py --loco 4012 --day 2017-01-31</v>
      </c>
      <c r="AN52" s="170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"%USERPROFILE%\AppData\Local\Temp\OnboardLogs"\RTDC4012\*4012*20170131* | grep -SE "(Enforcement Action)|(\[TIMEOUT)|(CHR.+\|PRM\|1\|D.+(SWITCH|SIGNAL).+UNKNOWN)" - &gt;&gt; 2017-01-31-UncaughtWiMAX.txt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565</v>
      </c>
      <c r="B53" s="7">
        <v>4009</v>
      </c>
      <c r="C53" s="21" t="s">
        <v>193</v>
      </c>
      <c r="D53" s="21" t="s">
        <v>354</v>
      </c>
      <c r="E53" s="13">
        <v>42766.3594212963</v>
      </c>
      <c r="F53" s="13">
        <v>42766.364803240744</v>
      </c>
      <c r="G53" s="7">
        <v>1</v>
      </c>
      <c r="H53" s="21" t="s">
        <v>723</v>
      </c>
      <c r="I53" s="13">
        <v>42766.389837962961</v>
      </c>
      <c r="J53" s="7">
        <v>0</v>
      </c>
      <c r="K53" s="98" t="str">
        <f t="shared" si="48"/>
        <v>4009/4010</v>
      </c>
      <c r="L53" s="21" t="str">
        <f>VLOOKUP(A53,'Trips&amp;Operators'!$C$1:$G$99999,5,FALSE)</f>
        <v>OUN ZACK</v>
      </c>
      <c r="M53" s="6">
        <f t="shared" si="49"/>
        <v>2.5034722217242233E-2</v>
      </c>
      <c r="N53" s="7">
        <f t="shared" si="50"/>
        <v>36.049999992828816</v>
      </c>
      <c r="O53" s="7"/>
      <c r="P53" s="7"/>
      <c r="Q53" s="22"/>
      <c r="R53" s="22"/>
      <c r="S53" s="31">
        <f t="shared" si="51"/>
        <v>1</v>
      </c>
      <c r="T53" s="46" t="str">
        <f t="shared" si="20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0"/>
        <v>https://d0f6bd738d7f1b3e5a7ca70fe4ff75f0.us-east-1.aws.found.io/app/kibana#/discover/Steve-Slow-Train-Analysis-(2080s-and-2083s)?_g=(refreshInterval:(display:Off,pause:!f,section:0,value:0),time:(from:'2017-01-31T07:37:34-0700',mode:absolute,to:'2017-01-31T10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194" t="str">
        <f t="shared" si="21"/>
        <v>N</v>
      </c>
      <c r="X53" s="194">
        <f t="shared" si="54"/>
        <v>1</v>
      </c>
      <c r="Y53" s="62">
        <f t="shared" si="53"/>
        <v>4.3700000000000003E-2</v>
      </c>
      <c r="Z53" s="62">
        <f t="shared" si="52"/>
        <v>23.3338</v>
      </c>
      <c r="AA53" s="62">
        <f t="shared" si="22"/>
        <v>23.290099999999999</v>
      </c>
      <c r="AB53" s="59" t="e">
        <f>VLOOKUP(A53,Enforcements!$C$7:$K$16,8,0)</f>
        <v>#N/A</v>
      </c>
      <c r="AC53" s="55" t="e">
        <f>VLOOKUP(A53,Enforcements!$C$7:$E$16,3,0)</f>
        <v>#N/A</v>
      </c>
      <c r="AD53" s="56" t="str">
        <f t="shared" si="23"/>
        <v>0141-31</v>
      </c>
      <c r="AE53" s="85" t="str">
        <f t="shared" si="1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53" s="82" t="str">
        <f t="shared" si="2"/>
        <v>"C:\Program Files (x86)\AstroGrep\AstroGrep.exe" /spath="%USERPROFILE%\AppData\Local\Temp\OnboardLogs" /stypes="app*4009*20170131*" /stext=" 16:.+((SYSTEM_STATE.+slice.+state.+changed )|(ment ac)|(multiple cpu faults)|(system.+state.+changed )|(\[timeout)|(PRM\|1\|D)|(kpr)|(kdp)|(\|lc)|(penalty))" /e /r /s</v>
      </c>
      <c r="AG53" s="1" t="str">
        <f t="shared" si="24"/>
        <v>EC</v>
      </c>
      <c r="AH53" s="86" t="str">
        <f t="shared" si="30"/>
        <v>"%USERPROFILE%\Documents\GitHub\eaglep3\Utilities\RefineRTDCRunTimes.py" --tripid 141-31 --locoid 4009 --swversion DE.1.0.8.0 --startMP 204:437 --initTime 2017-01-31T08:37:34 --startdatetime 2017-01-31T08:45:19 --delay 1 --endMP 204:233338 --enddatetime 2017-01-31T09:21:22 --enforcementcount 0 &gt;&gt;C:\Users\stu\Documents\GitHub\eaglep3-reporting\EC\2017-01-31-refined-times.txt</v>
      </c>
      <c r="AI53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{"issue":{"subject":"","project_id":79,"tracker_id":40,"status_id":1,"priority_id":2,"assigned_to_id":23,"start_date":"2017-01-31","description":"","custom_fields":[{"id":1,"name":"Subdivision","value":"EC"},{"id":4,"name":"Milepost","value":"23.3338"},{"id":17,"name":"Train ID","value":"141-31"},{"id":16,"name":"Locomotive ID","value":"4009"},{"id":130,"name":"Impact","value":""},{"id":150,"name":"Time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61" t="str">
        <f t="shared" si="32"/>
        <v>start /low /b %USERPROFILE%\Documents\GitHub\eaglep3\Utilities\DownloadLogsFromS3.py --loco 4009 --day 2017-01-31</v>
      </c>
      <c r="AN53" s="170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"%USERPROFILE%\AppData\Local\Temp\OnboardLogs"\RTDC4009\*4009*20170131* | grep -SE "(Enforcement Action)|(\[TIMEOUT)|(CHR.+\|PRM\|1\|D.+(SWITCH|SIGNAL).+UNKNOWN)" - &gt;&gt; 2017-01-31-UncaughtWiMAX.txt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571</v>
      </c>
      <c r="B54" s="7">
        <v>4010</v>
      </c>
      <c r="C54" s="21" t="s">
        <v>193</v>
      </c>
      <c r="D54" s="21" t="s">
        <v>465</v>
      </c>
      <c r="E54" s="13">
        <v>42766.399155092593</v>
      </c>
      <c r="F54" s="13">
        <v>42766.403657407405</v>
      </c>
      <c r="G54" s="7">
        <v>1</v>
      </c>
      <c r="H54" s="21" t="s">
        <v>724</v>
      </c>
      <c r="I54" s="13">
        <v>42766.434398148151</v>
      </c>
      <c r="J54" s="7">
        <v>0</v>
      </c>
      <c r="K54" s="98" t="str">
        <f t="shared" si="48"/>
        <v>4009/4010</v>
      </c>
      <c r="L54" s="21" t="str">
        <f>VLOOKUP(A54,'Trips&amp;Operators'!$C$1:$G$99999,5,FALSE)</f>
        <v>OUN ZACK</v>
      </c>
      <c r="M54" s="6">
        <f t="shared" si="49"/>
        <v>3.0740740745386574E-2</v>
      </c>
      <c r="N54" s="7">
        <f t="shared" si="50"/>
        <v>44.266666673356667</v>
      </c>
      <c r="O54" s="7"/>
      <c r="P54" s="7"/>
      <c r="Q54" s="22"/>
      <c r="R54" s="22"/>
      <c r="S54" s="31">
        <f t="shared" si="51"/>
        <v>1</v>
      </c>
      <c r="T54" s="46" t="str">
        <f t="shared" si="20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0"/>
        <v>https://d0f6bd738d7f1b3e5a7ca70fe4ff75f0.us-east-1.aws.found.io/app/kibana#/discover/Steve-Slow-Train-Analysis-(2080s-and-2083s)?_g=(refreshInterval:(display:Off,pause:!f,section:0,value:0),time:(from:'2017-01-31T08:34:47-0700',mode:absolute,to:'2017-01-31T11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194" t="str">
        <f t="shared" si="21"/>
        <v>N</v>
      </c>
      <c r="X54" s="194">
        <f t="shared" si="54"/>
        <v>1</v>
      </c>
      <c r="Y54" s="62">
        <f t="shared" si="53"/>
        <v>23.300999999999998</v>
      </c>
      <c r="Z54" s="62">
        <f t="shared" si="52"/>
        <v>0.1158</v>
      </c>
      <c r="AA54" s="62">
        <f t="shared" si="22"/>
        <v>23.185199999999998</v>
      </c>
      <c r="AB54" s="59" t="e">
        <f>VLOOKUP(A54,Enforcements!$C$7:$K$16,8,0)</f>
        <v>#N/A</v>
      </c>
      <c r="AC54" s="55" t="e">
        <f>VLOOKUP(A54,Enforcements!$C$7:$E$16,3,0)</f>
        <v>#N/A</v>
      </c>
      <c r="AD54" s="56" t="str">
        <f t="shared" si="23"/>
        <v>0142-31</v>
      </c>
      <c r="AE54" s="85" t="str">
        <f t="shared" si="1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54" s="82" t="str">
        <f t="shared" si="2"/>
        <v>"C:\Program Files (x86)\AstroGrep\AstroGrep.exe" /spath="%USERPROFILE%\AppData\Local\Temp\OnboardLogs" /stypes="app*4010*20170131*" /stext=" 17:.+((SYSTEM_STATE.+slice.+state.+changed )|(ment ac)|(multiple cpu faults)|(system.+state.+changed )|(\[timeout)|(PRM\|1\|D)|(kpr)|(kdp)|(\|lc)|(penalty))" /e /r /s</v>
      </c>
      <c r="AG54" s="1" t="str">
        <f t="shared" si="24"/>
        <v>EC</v>
      </c>
      <c r="AH54" s="86" t="str">
        <f t="shared" si="30"/>
        <v>"%USERPROFILE%\Documents\GitHub\eaglep3\Utilities\RefineRTDCRunTimes.py" --tripid 142-31 --locoid 4010 --swversion DE.1.0.8.0 --startMP 204:233010 --initTime 2017-01-31T09:34:47 --startdatetime 2017-01-31T09:41:16 --delay 1 --endMP 204:1158 --enddatetime 2017-01-31T10:25:32 --enforcementcount 0 &gt;&gt;C:\Users\stu\Documents\GitHub\eaglep3-reporting\EC\2017-01-31-refined-times.txt</v>
      </c>
      <c r="AI54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{"issue":{"subject":"","project_id":79,"tracker_id":40,"status_id":1,"priority_id":2,"assigned_to_id":23,"start_date":"2017-01-31","description":"","custom_fields":[{"id":1,"name":"Subdivision","value":"EC"},{"id":4,"name":"Milepost","value":"0.1158"},{"id":17,"name":"Train ID","value":"142-31"},{"id":16,"name":"Locomotive ID","value":"4010"},{"id":130,"name":"Impact","value":""},{"id":150,"name":"Time of Event (Mountain Time)","value":"10:25:32"},{"id":151,"name":"Denver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61" t="str">
        <f t="shared" si="32"/>
        <v>start /low /b %USERPROFILE%\Documents\GitHub\eaglep3\Utilities\DownloadLogsFromS3.py --loco 4010 --day 2017-01-31</v>
      </c>
      <c r="AN54" s="170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"%USERPROFILE%\AppData\Local\Temp\OnboardLogs"\RTDC4010\*4010*20170131* | grep -SE "(Enforcement Action)|(\[TIMEOUT)|(CHR.+\|PRM\|1\|D.+(SWITCH|SIGNAL).+UNKNOWN)" - &gt;&gt; 2017-01-31-UncaughtWiMAX.txt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566</v>
      </c>
      <c r="B55" s="7">
        <v>4038</v>
      </c>
      <c r="C55" s="21" t="s">
        <v>193</v>
      </c>
      <c r="D55" s="21" t="s">
        <v>249</v>
      </c>
      <c r="E55" s="13">
        <v>42766.373622685183</v>
      </c>
      <c r="F55" s="13">
        <v>42766.375196759262</v>
      </c>
      <c r="G55" s="7">
        <v>1</v>
      </c>
      <c r="H55" s="21" t="s">
        <v>725</v>
      </c>
      <c r="I55" s="13">
        <v>42766.399722222224</v>
      </c>
      <c r="J55" s="7">
        <v>0</v>
      </c>
      <c r="K55" s="98" t="str">
        <f t="shared" si="48"/>
        <v>4037/4038</v>
      </c>
      <c r="L55" s="21" t="str">
        <f>VLOOKUP(A55,'Trips&amp;Operators'!$C$1:$G$99999,5,FALSE)</f>
        <v>ROCHA YAOTL</v>
      </c>
      <c r="M55" s="6">
        <f t="shared" si="49"/>
        <v>2.4525462962628808E-2</v>
      </c>
      <c r="N55" s="7">
        <f t="shared" si="50"/>
        <v>35.316666666185483</v>
      </c>
      <c r="O55" s="7"/>
      <c r="P55" s="7"/>
      <c r="Q55" s="22"/>
      <c r="R55" s="22"/>
      <c r="S55" s="31">
        <f t="shared" si="51"/>
        <v>1</v>
      </c>
      <c r="T55" s="46" t="str">
        <f t="shared" ref="T55:T86" si="55">IF(ISEVEN(LEFT(AD55,4)),"Southbound","NorthBound")</f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0"/>
        <v>https://d0f6bd738d7f1b3e5a7ca70fe4ff75f0.us-east-1.aws.found.io/app/kibana#/discover/Steve-Slow-Train-Analysis-(2080s-and-2083s)?_g=(refreshInterval:(display:Off,pause:!f,section:0,value:0),time:(from:'2017-01-31T07:58:01-0700',mode:absolute,to:'2017-01-31T10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5" s="194" t="str">
        <f t="shared" ref="W55:W86" si="56">IF(AA55&lt;IF(AG55="EC",23,5.65),"Y","N")</f>
        <v>N</v>
      </c>
      <c r="X55" s="194">
        <f t="shared" si="54"/>
        <v>1</v>
      </c>
      <c r="Y55" s="62">
        <f t="shared" si="53"/>
        <v>4.5999999999999999E-2</v>
      </c>
      <c r="Z55" s="62">
        <f t="shared" si="52"/>
        <v>23.3309</v>
      </c>
      <c r="AA55" s="62">
        <f t="shared" ref="AA55:AA86" si="57">ABS(Z55-Y55)</f>
        <v>23.2849</v>
      </c>
      <c r="AB55" s="59" t="e">
        <f>VLOOKUP(A55,Enforcements!$C$7:$K$16,8,0)</f>
        <v>#N/A</v>
      </c>
      <c r="AC55" s="55" t="e">
        <f>VLOOKUP(A55,Enforcements!$C$7:$E$16,3,0)</f>
        <v>#N/A</v>
      </c>
      <c r="AD55" s="56" t="str">
        <f t="shared" ref="AD55:AD86" si="58">IF(LEN(A55)=6,"0"&amp;A55,A55)</f>
        <v>0143-31</v>
      </c>
      <c r="AE55" s="85" t="str">
        <f t="shared" si="1"/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55" s="82" t="str">
        <f t="shared" si="2"/>
        <v>"C:\Program Files (x86)\AstroGrep\AstroGrep.exe" /spath="%USERPROFILE%\AppData\Local\Temp\OnboardLogs" /stypes="app*4038*20170131*" /stext=" 16:.+((SYSTEM_STATE.+slice.+state.+changed )|(ment ac)|(multiple cpu faults)|(system.+state.+changed )|(\[timeout)|(PRM\|1\|D)|(kpr)|(kdp)|(\|lc)|(penalty))" /e /r /s</v>
      </c>
      <c r="AG55" s="1" t="str">
        <f t="shared" ref="AG55:AG86" si="59">IFERROR(IF(VALUE(LEFT(AD55,2))&lt;=2,"EC",IF(OR(VALUE(LEFT(AD55,2))=8,VALUE(LEFT(AD55,2))=18),"NW","Other")),"Other")</f>
        <v>EC</v>
      </c>
      <c r="AH55" s="86" t="str">
        <f t="shared" si="30"/>
        <v>"%USERPROFILE%\Documents\GitHub\eaglep3\Utilities\RefineRTDCRunTimes.py" --tripid 143-31 --locoid 4038 --swversion DE.1.0.8.0 --startMP 204:460 --initTime 2017-01-31T08:58:01 --startdatetime 2017-01-31T09:00:17 --delay 1 --endMP 204:233309 --enddatetime 2017-01-31T09:35:36 --enforcementcount 0 &gt;&gt;C:\Users\stu\Documents\GitHub\eaglep3-reporting\EC\2017-01-31-refined-times.txt</v>
      </c>
      <c r="AI55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{"issue":{"subject":"","project_id":79,"tracker_id":40,"status_id":1,"priority_id":2,"assigned_to_id":23,"start_date":"2017-01-31","description":"","custom_fields":[{"id":1,"name":"Subdivision","value":"EC"},{"id":4,"name":"Milepost","value":"23.3309"},{"id":17,"name":"Train ID","value":"143-31"},{"id":16,"name":"Locomotive ID","value":"4038"},{"id":130,"name":"Impact","value":""},{"id":150,"name":"Time of Event (Mountain Time)","value":"09:35:36"},{"id":151,"name":"Denver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61" t="str">
        <f t="shared" si="32"/>
        <v>start /low /b %USERPROFILE%\Documents\GitHub\eaglep3\Utilities\DownloadLogsFromS3.py --loco 4038 --day 2017-01-31</v>
      </c>
      <c r="AN55" s="170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"%USERPROFILE%\AppData\Local\Temp\OnboardLogs"\RTDC4038\*4038*20170131* | grep -SE "(Enforcement Action)|(\[TIMEOUT)|(CHR.+\|PRM\|1\|D.+(SWITCH|SIGNAL).+UNKNOWN)" - &gt;&gt; 2017-01-31-UncaughtWiMAX.txt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574</v>
      </c>
      <c r="B56" s="7">
        <v>4037</v>
      </c>
      <c r="C56" s="21" t="s">
        <v>193</v>
      </c>
      <c r="D56" s="21" t="s">
        <v>713</v>
      </c>
      <c r="E56" s="13">
        <v>42766.411840277775</v>
      </c>
      <c r="F56" s="13">
        <v>42766.414409722223</v>
      </c>
      <c r="G56" s="7">
        <v>1</v>
      </c>
      <c r="H56" s="21" t="s">
        <v>722</v>
      </c>
      <c r="I56" s="13">
        <v>42766.439525462964</v>
      </c>
      <c r="J56" s="7">
        <v>0</v>
      </c>
      <c r="K56" s="98" t="str">
        <f t="shared" si="48"/>
        <v>4037/4038</v>
      </c>
      <c r="L56" s="21" t="str">
        <f>VLOOKUP(A56,'Trips&amp;Operators'!$C$1:$G$99999,5,FALSE)</f>
        <v>ROCHA YAOTL</v>
      </c>
      <c r="M56" s="6">
        <f t="shared" si="49"/>
        <v>2.5115740740147885E-2</v>
      </c>
      <c r="N56" s="7">
        <f t="shared" si="50"/>
        <v>36.166666665812954</v>
      </c>
      <c r="O56" s="7"/>
      <c r="P56" s="7"/>
      <c r="Q56" s="22"/>
      <c r="R56" s="22"/>
      <c r="S56" s="31">
        <f t="shared" si="51"/>
        <v>1</v>
      </c>
      <c r="T56" s="46" t="str">
        <f t="shared" si="55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0"/>
        <v>https://d0f6bd738d7f1b3e5a7ca70fe4ff75f0.us-east-1.aws.found.io/app/kibana#/discover/Steve-Slow-Train-Analysis-(2080s-and-2083s)?_g=(refreshInterval:(display:Off,pause:!f,section:0,value:0),time:(from:'2017-01-31T08:53:03-0700',mode:absolute,to:'2017-01-31T11:32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6" s="194" t="str">
        <f t="shared" si="56"/>
        <v>N</v>
      </c>
      <c r="X56" s="194">
        <f t="shared" si="54"/>
        <v>1</v>
      </c>
      <c r="Y56" s="62">
        <f t="shared" si="53"/>
        <v>23.2986</v>
      </c>
      <c r="Z56" s="62">
        <f t="shared" si="52"/>
        <v>1.67E-2</v>
      </c>
      <c r="AA56" s="62">
        <f t="shared" si="57"/>
        <v>23.2819</v>
      </c>
      <c r="AB56" s="59" t="e">
        <f>VLOOKUP(A56,Enforcements!$C$7:$K$16,8,0)</f>
        <v>#N/A</v>
      </c>
      <c r="AC56" s="55" t="e">
        <f>VLOOKUP(A56,Enforcements!$C$7:$E$16,3,0)</f>
        <v>#N/A</v>
      </c>
      <c r="AD56" s="56" t="str">
        <f t="shared" si="58"/>
        <v>0144-31</v>
      </c>
      <c r="AE56" s="85" t="str">
        <f t="shared" si="1"/>
        <v>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 &amp; 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</v>
      </c>
      <c r="AF56" s="82" t="str">
        <f t="shared" si="2"/>
        <v>"C:\Program Files (x86)\AstroGrep\AstroGrep.exe" /spath="%USERPROFILE%\AppData\Local\Temp\OnboardLogs" /stypes="app*4037*20170131*" /stext=" 17:.+((SYSTEM_STATE.+slice.+state.+changed )|(ment ac)|(multiple cpu faults)|(system.+state.+changed )|(\[timeout)|(PRM\|1\|D)|(kpr)|(kdp)|(\|lc)|(penalty))" /e /r /s</v>
      </c>
      <c r="AG56" s="1" t="str">
        <f t="shared" si="59"/>
        <v>EC</v>
      </c>
      <c r="AH56" s="86" t="str">
        <f t="shared" si="30"/>
        <v>"%USERPROFILE%\Documents\GitHub\eaglep3\Utilities\RefineRTDCRunTimes.py" --tripid 144-31 --locoid 4037 --swversion DE.1.0.8.0 --startMP 204:232986 --initTime 2017-01-31T09:53:03 --startdatetime 2017-01-31T09:56:45 --delay 1 --endMP 204:167 --enddatetime 2017-01-31T10:32:55 --enforcementcount 0 &gt;&gt;C:\Users\stu\Documents\GitHub\eaglep3-reporting\EC\2017-01-31-refined-times.txt</v>
      </c>
      <c r="AI56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{"issue":{"subject":"","project_id":79,"tracker_id":40,"status_id":1,"priority_id":2,"assigned_to_id":23,"start_date":"2017-01-31","description":"","custom_fields":[{"id":1,"name":"Subdivision","value":"EC"},{"id":4,"name":"Milepost","value":"0.0167"},{"id":17,"name":"Train ID","value":"144-31"},{"id":16,"name":"Locomotive ID","value":"4037"},{"id":130,"name":"Impact","value":""},{"id":150,"name":"Time of Event (Mountain Time)","value":"10:32:55"},{"id":151,"name":"Denver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61" t="str">
        <f t="shared" si="32"/>
        <v>start /low /b %USERPROFILE%\Documents\GitHub\eaglep3\Utilities\DownloadLogsFromS3.py --loco 4037 --day 2017-01-31</v>
      </c>
      <c r="AN56" s="170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"%USERPROFILE%\AppData\Local\Temp\OnboardLogs"\RTDC4037\*4037*20170131* | grep -SE "(Enforcement Action)|(\[TIMEOUT)|(CHR.+\|PRM\|1\|D.+(SWITCH|SIGNAL).+UNKNOWN)" - &gt;&gt; 2017-01-31-UncaughtWiMAX.txt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494</v>
      </c>
      <c r="B57" s="7">
        <v>4025</v>
      </c>
      <c r="C57" s="21" t="s">
        <v>193</v>
      </c>
      <c r="D57" s="21" t="s">
        <v>307</v>
      </c>
      <c r="E57" s="13">
        <v>42766.380960648145</v>
      </c>
      <c r="F57" s="13">
        <v>42766.385682870372</v>
      </c>
      <c r="G57" s="7">
        <v>1</v>
      </c>
      <c r="H57" s="21" t="s">
        <v>350</v>
      </c>
      <c r="I57" s="13">
        <v>42766.410763888889</v>
      </c>
      <c r="J57" s="7">
        <v>0</v>
      </c>
      <c r="K57" s="98" t="str">
        <f t="shared" si="48"/>
        <v>4025/4026</v>
      </c>
      <c r="L57" s="21" t="str">
        <f>VLOOKUP(A57,'Trips&amp;Operators'!$C$1:$G$99999,5,FALSE)</f>
        <v>MAELZER KURT</v>
      </c>
      <c r="M57" s="6">
        <f t="shared" si="49"/>
        <v>2.5081018517084885E-2</v>
      </c>
      <c r="N57" s="7">
        <f t="shared" si="50"/>
        <v>36.116666664602235</v>
      </c>
      <c r="O57" s="7"/>
      <c r="P57" s="7"/>
      <c r="Q57" s="22"/>
      <c r="R57" s="22"/>
      <c r="S57" s="31">
        <f t="shared" si="51"/>
        <v>1</v>
      </c>
      <c r="T57" s="46" t="str">
        <f t="shared" si="55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0"/>
        <v>https://d0f6bd738d7f1b3e5a7ca70fe4ff75f0.us-east-1.aws.found.io/app/kibana#/discover/Steve-Slow-Train-Analysis-(2080s-and-2083s)?_g=(refreshInterval:(display:Off,pause:!f,section:0,value:0),time:(from:'2017-01-31T08:08:35-0700',mode:absolute,to:'2017-01-31T10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194" t="str">
        <f t="shared" si="56"/>
        <v>N</v>
      </c>
      <c r="X57" s="194">
        <f t="shared" si="54"/>
        <v>1</v>
      </c>
      <c r="Y57" s="62">
        <f t="shared" si="53"/>
        <v>4.5499999999999999E-2</v>
      </c>
      <c r="Z57" s="62">
        <f t="shared" si="52"/>
        <v>23.3323</v>
      </c>
      <c r="AA57" s="62">
        <f t="shared" si="57"/>
        <v>23.286799999999999</v>
      </c>
      <c r="AB57" s="59" t="e">
        <f>VLOOKUP(A57,Enforcements!$C$7:$K$16,8,0)</f>
        <v>#N/A</v>
      </c>
      <c r="AC57" s="55" t="e">
        <f>VLOOKUP(A57,Enforcements!$C$7:$E$16,3,0)</f>
        <v>#N/A</v>
      </c>
      <c r="AD57" s="56" t="str">
        <f t="shared" si="58"/>
        <v>0145-31</v>
      </c>
      <c r="AE57" s="85" t="str">
        <f t="shared" si="1"/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AF57" s="82" t="str">
        <f t="shared" si="2"/>
        <v>"C:\Program Files (x86)\AstroGrep\AstroGrep.exe" /spath="%USERPROFILE%\AppData\Local\Temp\OnboardLogs" /stypes="app*4025*20170131*" /stext=" 16:.+((SYSTEM_STATE.+slice.+state.+changed )|(ment ac)|(multiple cpu faults)|(system.+state.+changed )|(\[timeout)|(PRM\|1\|D)|(kpr)|(kdp)|(\|lc)|(penalty))" /e /r /s</v>
      </c>
      <c r="AG57" s="1" t="str">
        <f t="shared" si="59"/>
        <v>EC</v>
      </c>
      <c r="AH57" s="86" t="str">
        <f t="shared" si="30"/>
        <v>"%USERPROFILE%\Documents\GitHub\eaglep3\Utilities\RefineRTDCRunTimes.py" --tripid 145-31 --locoid 4025 --swversion DE.1.0.8.0 --startMP 204:455 --initTime 2017-01-31T09:08:35 --startdatetime 2017-01-31T09:15:23 --delay 1 --endMP 204:233323 --enddatetime 2017-01-31T09:51:30 --enforcementcount 0 &gt;&gt;C:\Users\stu\Documents\GitHub\eaglep3-reporting\EC\2017-01-31-refined-times.txt</v>
      </c>
      <c r="AI57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{"issue":{"subject":"","project_id":79,"tracker_id":40,"status_id":1,"priority_id":2,"assigned_to_id":23,"start_date":"2017-01-31","description":"","custom_fields":[{"id":1,"name":"Subdivision","value":"EC"},{"id":4,"name":"Milepost","value":"23.3323"},{"id":17,"name":"Train ID","value":"145-31"},{"id":16,"name":"Locomotive ID","value":"4025"},{"id":130,"name":"Impact","value":""},{"id":150,"name":"Time of Event (Mountain Time)","value":"09:51:30"},{"id":151,"name":"Denver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61" t="str">
        <f t="shared" si="32"/>
        <v>start /low /b %USERPROFILE%\Documents\GitHub\eaglep3\Utilities\DownloadLogsFromS3.py --loco 4025 --day 2017-01-31</v>
      </c>
      <c r="AN57" s="170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"%USERPROFILE%\AppData\Local\Temp\OnboardLogs"\RTDC4025\*4025*20170131* | grep -SE "(Enforcement Action)|(\[TIMEOUT)|(CHR.+\|PRM\|1\|D.+(SWITCH|SIGNAL).+UNKNOWN)" - &gt;&gt; 2017-01-31-UncaughtWiMAX.txt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577</v>
      </c>
      <c r="B58" s="7">
        <v>4026</v>
      </c>
      <c r="C58" s="21" t="s">
        <v>193</v>
      </c>
      <c r="D58" s="21" t="s">
        <v>340</v>
      </c>
      <c r="E58" s="13">
        <v>42766.421400462961</v>
      </c>
      <c r="F58" s="13">
        <v>42766.424560185187</v>
      </c>
      <c r="G58" s="7">
        <v>0</v>
      </c>
      <c r="H58" s="21" t="s">
        <v>304</v>
      </c>
      <c r="I58" s="13">
        <v>42766.450960648152</v>
      </c>
      <c r="J58" s="7">
        <v>0</v>
      </c>
      <c r="K58" s="98" t="str">
        <f t="shared" si="48"/>
        <v>4025/4026</v>
      </c>
      <c r="L58" s="21" t="str">
        <f>VLOOKUP(A58,'Trips&amp;Operators'!$C$1:$G$99999,5,FALSE)</f>
        <v>MAELZER KURT</v>
      </c>
      <c r="M58" s="6">
        <f t="shared" si="49"/>
        <v>2.6400462964375038E-2</v>
      </c>
      <c r="N58" s="7">
        <f t="shared" si="50"/>
        <v>38.016666668700054</v>
      </c>
      <c r="O58" s="7"/>
      <c r="P58" s="7"/>
      <c r="Q58" s="22"/>
      <c r="R58" s="22"/>
      <c r="S58" s="31">
        <f t="shared" si="51"/>
        <v>1</v>
      </c>
      <c r="T58" s="46" t="str">
        <f t="shared" si="55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0"/>
        <v>https://d0f6bd738d7f1b3e5a7ca70fe4ff75f0.us-east-1.aws.found.io/app/kibana#/discover/Steve-Slow-Train-Analysis-(2080s-and-2083s)?_g=(refreshInterval:(display:Off,pause:!f,section:0,value:0),time:(from:'2017-01-31T09:06:49-0700',mode:absolute,to:'2017-01-31T11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194" t="str">
        <f t="shared" si="56"/>
        <v>N</v>
      </c>
      <c r="X58" s="194">
        <f t="shared" si="54"/>
        <v>1</v>
      </c>
      <c r="Y58" s="62">
        <f t="shared" si="53"/>
        <v>23.3017</v>
      </c>
      <c r="Z58" s="62">
        <f t="shared" si="52"/>
        <v>1.5599999999999999E-2</v>
      </c>
      <c r="AA58" s="62">
        <f t="shared" si="57"/>
        <v>23.286100000000001</v>
      </c>
      <c r="AB58" s="59" t="e">
        <f>VLOOKUP(A58,Enforcements!$C$7:$K$16,8,0)</f>
        <v>#N/A</v>
      </c>
      <c r="AC58" s="55" t="e">
        <f>VLOOKUP(A58,Enforcements!$C$7:$E$16,3,0)</f>
        <v>#N/A</v>
      </c>
      <c r="AD58" s="56" t="str">
        <f t="shared" si="58"/>
        <v>0146-31</v>
      </c>
      <c r="AE58" s="85" t="str">
        <f t="shared" si="1"/>
        <v>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 &amp; 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</v>
      </c>
      <c r="AF58" s="82" t="str">
        <f t="shared" si="2"/>
        <v>"C:\Program Files (x86)\AstroGrep\AstroGrep.exe" /spath="%USERPROFILE%\AppData\Local\Temp\OnboardLogs" /stypes="app*4026*20170131*" /stext=" 17:.+((SYSTEM_STATE.+slice.+state.+changed )|(ment ac)|(multiple cpu faults)|(system.+state.+changed )|(\[timeout)|(PRM\|1\|D)|(kpr)|(kdp)|(\|lc)|(penalty))" /e /r /s</v>
      </c>
      <c r="AG58" s="1" t="str">
        <f t="shared" si="59"/>
        <v>EC</v>
      </c>
      <c r="AH58" s="86" t="str">
        <f t="shared" si="30"/>
        <v>"%USERPROFILE%\Documents\GitHub\eaglep3\Utilities\RefineRTDCRunTimes.py" --tripid 146-31 --locoid 4026 --swversion DE.1.0.8.0 --startMP 204:233017 --initTime 2017-01-31T10:06:49 --startdatetime 2017-01-31T10:11:22 --delay 0 --endMP 204:156 --enddatetime 2017-01-31T10:49:23 --enforcementcount 0 &gt;&gt;C:\Users\stu\Documents\GitHub\eaglep3-reporting\EC\2017-01-31-refined-times.txt</v>
      </c>
      <c r="AI58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{"issue":{"subject":"","project_id":79,"tracker_id":40,"status_id":1,"priority_id":2,"assigned_to_id":23,"start_date":"2017-01-31","description":"","custom_fields":[{"id":1,"name":"Subdivision","value":"EC"},{"id":4,"name":"Milepost","value":"0.0156"},{"id":17,"name":"Train ID","value":"146-31"},{"id":16,"name":"Locomotive ID","value":"4026"},{"id":130,"name":"Impact","value":""},{"id":150,"name":"Time of Event (Mountain Time)","value":"10:49:23"},{"id":151,"name":"Denver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61" t="str">
        <f t="shared" si="32"/>
        <v>start /low /b %USERPROFILE%\Documents\GitHub\eaglep3\Utilities\DownloadLogsFromS3.py --loco 4026 --day 2017-01-31</v>
      </c>
      <c r="AN58" s="170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"%USERPROFILE%\AppData\Local\Temp\OnboardLogs"\RTDC4026\*4026*20170131* | grep -SE "(Enforcement Action)|(\[TIMEOUT)|(CHR.+\|PRM\|1\|D.+(SWITCH|SIGNAL).+UNKNOWN)" - &gt;&gt; 2017-01-31-UncaughtWiMAX.txt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570</v>
      </c>
      <c r="B59" s="7">
        <v>4040</v>
      </c>
      <c r="C59" s="21" t="s">
        <v>193</v>
      </c>
      <c r="D59" s="21" t="s">
        <v>285</v>
      </c>
      <c r="E59" s="13">
        <v>42766.390428240738</v>
      </c>
      <c r="F59" s="13">
        <v>42766.396018518521</v>
      </c>
      <c r="G59" s="7">
        <v>1</v>
      </c>
      <c r="H59" s="21" t="s">
        <v>357</v>
      </c>
      <c r="I59" s="13">
        <v>42766.420717592591</v>
      </c>
      <c r="J59" s="7">
        <v>0</v>
      </c>
      <c r="K59" s="98" t="str">
        <f t="shared" si="48"/>
        <v>4039/4040</v>
      </c>
      <c r="L59" s="21" t="str">
        <f>VLOOKUP(A59,'Trips&amp;Operators'!$C$1:$G$99999,5,FALSE)</f>
        <v>STARKS ANGELINA</v>
      </c>
      <c r="M59" s="6">
        <f t="shared" si="49"/>
        <v>2.4699074070667848E-2</v>
      </c>
      <c r="N59" s="7">
        <f t="shared" si="50"/>
        <v>35.566666661761701</v>
      </c>
      <c r="O59" s="7"/>
      <c r="P59" s="7"/>
      <c r="Q59" s="22"/>
      <c r="R59" s="22"/>
      <c r="S59" s="31">
        <f t="shared" si="51"/>
        <v>1</v>
      </c>
      <c r="T59" s="46" t="str">
        <f t="shared" si="55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0"/>
        <v>https://d0f6bd738d7f1b3e5a7ca70fe4ff75f0.us-east-1.aws.found.io/app/kibana#/discover/Steve-Slow-Train-Analysis-(2080s-and-2083s)?_g=(refreshInterval:(display:Off,pause:!f,section:0,value:0),time:(from:'2017-01-31T08:22:13-0700',mode:absolute,to:'2017-01-31T11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194" t="str">
        <f t="shared" si="56"/>
        <v>N</v>
      </c>
      <c r="X59" s="194">
        <f t="shared" si="54"/>
        <v>1</v>
      </c>
      <c r="Y59" s="62">
        <f t="shared" si="53"/>
        <v>4.53E-2</v>
      </c>
      <c r="Z59" s="62">
        <f t="shared" si="52"/>
        <v>23.3278</v>
      </c>
      <c r="AA59" s="62">
        <f t="shared" si="57"/>
        <v>23.282499999999999</v>
      </c>
      <c r="AB59" s="59" t="e">
        <f>VLOOKUP(A59,Enforcements!$C$7:$K$16,8,0)</f>
        <v>#N/A</v>
      </c>
      <c r="AC59" s="55" t="e">
        <f>VLOOKUP(A59,Enforcements!$C$7:$E$16,3,0)</f>
        <v>#N/A</v>
      </c>
      <c r="AD59" s="56" t="str">
        <f t="shared" si="58"/>
        <v>0147-31</v>
      </c>
      <c r="AE59" s="85" t="str">
        <f t="shared" si="1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59" s="82" t="str">
        <f t="shared" si="2"/>
        <v>"C:\Program Files (x86)\AstroGrep\AstroGrep.exe" /spath="%USERPROFILE%\AppData\Local\Temp\OnboardLogs" /stypes="app*4040*20170131*" /stext=" 17:.+((SYSTEM_STATE.+slice.+state.+changed )|(ment ac)|(multiple cpu faults)|(system.+state.+changed )|(\[timeout)|(PRM\|1\|D)|(kpr)|(kdp)|(\|lc)|(penalty))" /e /r /s</v>
      </c>
      <c r="AG59" s="1" t="str">
        <f t="shared" si="59"/>
        <v>EC</v>
      </c>
      <c r="AH59" s="86" t="str">
        <f t="shared" si="30"/>
        <v>"%USERPROFILE%\Documents\GitHub\eaglep3\Utilities\RefineRTDCRunTimes.py" --tripid 147-31 --locoid 4040 --swversion DE.1.0.8.0 --startMP 204:453 --initTime 2017-01-31T09:22:13 --startdatetime 2017-01-31T09:30:16 --delay 1 --endMP 204:233278 --enddatetime 2017-01-31T10:05:50 --enforcementcount 0 &gt;&gt;C:\Users\stu\Documents\GitHub\eaglep3-reporting\EC\2017-01-31-refined-times.txt</v>
      </c>
      <c r="AI59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{"issue":{"subject":"","project_id":79,"tracker_id":40,"status_id":1,"priority_id":2,"assigned_to_id":23,"start_date":"2017-01-31","description":"","custom_fields":[{"id":1,"name":"Subdivision","value":"EC"},{"id":4,"name":"Milepost","value":"23.3278"},{"id":17,"name":"Train ID","value":"147-31"},{"id":16,"name":"Locomotive ID","value":"4040"},{"id":130,"name":"Impact","value":""},{"id":150,"name":"Time of Event (Mountain Time)","value":"10:05:50"},{"id":151,"name":"Denver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61" t="str">
        <f t="shared" si="32"/>
        <v>start /low /b %USERPROFILE%\Documents\GitHub\eaglep3\Utilities\DownloadLogsFromS3.py --loco 4040 --day 2017-01-31</v>
      </c>
      <c r="AN59" s="170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"%USERPROFILE%\AppData\Local\Temp\OnboardLogs"\RTDC4040\*4040*20170131* | grep -SE "(Enforcement Action)|(\[TIMEOUT)|(CHR.+\|PRM\|1\|D.+(SWITCH|SIGNAL).+UNKNOWN)" - &gt;&gt; 2017-01-31-UncaughtWiMAX.txt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495</v>
      </c>
      <c r="B60" s="7">
        <v>4039</v>
      </c>
      <c r="C60" s="21" t="s">
        <v>193</v>
      </c>
      <c r="D60" s="21" t="s">
        <v>328</v>
      </c>
      <c r="E60" s="13">
        <v>42766.431620370371</v>
      </c>
      <c r="F60" s="13">
        <v>42766.434999999998</v>
      </c>
      <c r="G60" s="7">
        <v>1</v>
      </c>
      <c r="H60" s="21" t="s">
        <v>214</v>
      </c>
      <c r="I60" s="13">
        <v>42766.462037037039</v>
      </c>
      <c r="J60" s="7">
        <v>0</v>
      </c>
      <c r="K60" s="98" t="str">
        <f t="shared" si="48"/>
        <v>4039/4040</v>
      </c>
      <c r="L60" s="21" t="str">
        <f>VLOOKUP(A60,'Trips&amp;Operators'!$C$1:$G$99999,5,FALSE)</f>
        <v>STARKS ANGELINA</v>
      </c>
      <c r="M60" s="6">
        <f t="shared" si="49"/>
        <v>2.7037037041736767E-2</v>
      </c>
      <c r="N60" s="7">
        <f t="shared" si="50"/>
        <v>38.933333340100944</v>
      </c>
      <c r="O60" s="7"/>
      <c r="P60" s="7"/>
      <c r="Q60" s="22"/>
      <c r="R60" s="22"/>
      <c r="S60" s="31">
        <f t="shared" si="51"/>
        <v>1</v>
      </c>
      <c r="T60" s="46" t="str">
        <f t="shared" si="55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0"/>
        <v>https://d0f6bd738d7f1b3e5a7ca70fe4ff75f0.us-east-1.aws.found.io/app/kibana#/discover/Steve-Slow-Train-Analysis-(2080s-and-2083s)?_g=(refreshInterval:(display:Off,pause:!f,section:0,value:0),time:(from:'2017-01-31T09:21:32-0700',mode:absolute,to:'2017-01-31T12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194" t="str">
        <f t="shared" si="56"/>
        <v>N</v>
      </c>
      <c r="X60" s="194">
        <f t="shared" si="54"/>
        <v>1</v>
      </c>
      <c r="Y60" s="62">
        <f t="shared" si="53"/>
        <v>23.296900000000001</v>
      </c>
      <c r="Z60" s="62">
        <f t="shared" si="52"/>
        <v>1.52E-2</v>
      </c>
      <c r="AA60" s="62">
        <f t="shared" si="57"/>
        <v>23.281700000000001</v>
      </c>
      <c r="AB60" s="59" t="str">
        <f>VLOOKUP(A60,Enforcements!$C$7:$K$16,8,0)</f>
        <v>Bulletin (2)</v>
      </c>
      <c r="AC60" s="55" t="str">
        <f>VLOOKUP(A60,Enforcements!$C$7:$E$16,3,0)</f>
        <v>GRADE CROSSING</v>
      </c>
      <c r="AD60" s="56" t="str">
        <f t="shared" si="58"/>
        <v>0148-31</v>
      </c>
      <c r="AE60" s="85" t="str">
        <f t="shared" si="1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60" s="82" t="str">
        <f t="shared" si="2"/>
        <v>"C:\Program Files (x86)\AstroGrep\AstroGrep.exe" /spath="%USERPROFILE%\AppData\Local\Temp\OnboardLogs" /stypes="app*4039*20170131*" /stext=" 18:.+((SYSTEM_STATE.+slice.+state.+changed )|(ment ac)|(multiple cpu faults)|(system.+state.+changed )|(\[timeout)|(PRM\|1\|D)|(kpr)|(kdp)|(\|lc)|(penalty))" /e /r /s</v>
      </c>
      <c r="AG60" s="1" t="str">
        <f t="shared" si="59"/>
        <v>EC</v>
      </c>
      <c r="AH60" s="86" t="str">
        <f t="shared" si="30"/>
        <v>"%USERPROFILE%\Documents\GitHub\eaglep3\Utilities\RefineRTDCRunTimes.py" --tripid 148-31 --locoid 4039 --swversion DE.1.0.8.0 --startMP 204:232969 --initTime 2017-01-31T10:21:32 --startdatetime 2017-01-31T10:26:24 --delay 1 --endMP 204:152 --enddatetime 2017-01-31T11:05:20 --enforcementcount 0 &gt;&gt;C:\Users\stu\Documents\GitHub\eaglep3-reporting\EC\2017-01-31-refined-times.txt</v>
      </c>
      <c r="AI60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{"issue":{"subject":"","project_id":79,"tracker_id":40,"status_id":1,"priority_id":2,"assigned_to_id":23,"start_date":"2017-01-31","description":"","custom_fields":[{"id":1,"name":"Subdivision","value":"EC"},{"id":4,"name":"Milepost","value":"0.0152"},{"id":17,"name":"Train ID","value":"148-31"},{"id":16,"name":"Locomotive ID","value":"4039"},{"id":130,"name":"Impact","value":""},{"id":150,"name":"Time of Event (Mountain Time)","value":"11:05:20"},{"id":151,"name":"Denver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61" t="str">
        <f t="shared" si="32"/>
        <v>start /low /b %USERPROFILE%\Documents\GitHub\eaglep3\Utilities\DownloadLogsFromS3.py --loco 4039 --day 2017-01-31</v>
      </c>
      <c r="AN60" s="170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"%USERPROFILE%\AppData\Local\Temp\OnboardLogs"\RTDC4039\*4039*20170131* | grep -SE "(Enforcement Action)|(\[TIMEOUT)|(CHR.+\|PRM\|1\|D.+(SWITCH|SIGNAL).+UNKNOWN)" - &gt;&gt; 2017-01-31-UncaughtWiMAX.txt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573</v>
      </c>
      <c r="B61" s="7">
        <v>4027</v>
      </c>
      <c r="C61" s="21" t="s">
        <v>193</v>
      </c>
      <c r="D61" s="21" t="s">
        <v>726</v>
      </c>
      <c r="E61" s="13">
        <v>42766.402766203704</v>
      </c>
      <c r="F61" s="13">
        <v>42766.406446759262</v>
      </c>
      <c r="G61" s="7">
        <v>0</v>
      </c>
      <c r="H61" s="21" t="s">
        <v>358</v>
      </c>
      <c r="I61" s="13">
        <v>42766.432152777779</v>
      </c>
      <c r="J61" s="7">
        <v>0</v>
      </c>
      <c r="K61" s="98" t="str">
        <f t="shared" si="48"/>
        <v>4027/4028</v>
      </c>
      <c r="L61" s="21" t="str">
        <f>VLOOKUP(A61,'Trips&amp;Operators'!$C$1:$G$99999,5,FALSE)</f>
        <v>BONDS REYNALDO</v>
      </c>
      <c r="M61" s="6">
        <f t="shared" si="49"/>
        <v>2.5706018517666962E-2</v>
      </c>
      <c r="N61" s="7">
        <f t="shared" si="50"/>
        <v>37.016666665440425</v>
      </c>
      <c r="O61" s="7"/>
      <c r="P61" s="7"/>
      <c r="Q61" s="22"/>
      <c r="R61" s="22"/>
      <c r="S61" s="31">
        <f t="shared" si="51"/>
        <v>1</v>
      </c>
      <c r="T61" s="46" t="str">
        <f t="shared" si="55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0"/>
        <v>https://d0f6bd738d7f1b3e5a7ca70fe4ff75f0.us-east-1.aws.found.io/app/kibana#/discover/Steve-Slow-Train-Analysis-(2080s-and-2083s)?_g=(refreshInterval:(display:Off,pause:!f,section:0,value:0),time:(from:'2017-01-31T08:39:59-0700',mode:absolute,to:'2017-01-31T11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94" t="str">
        <f t="shared" si="56"/>
        <v>N</v>
      </c>
      <c r="X61" s="194">
        <f t="shared" si="54"/>
        <v>1</v>
      </c>
      <c r="Y61" s="62">
        <f t="shared" si="53"/>
        <v>4.2900000000000001E-2</v>
      </c>
      <c r="Z61" s="62">
        <f t="shared" si="52"/>
        <v>23.330400000000001</v>
      </c>
      <c r="AA61" s="62">
        <f t="shared" si="57"/>
        <v>23.287500000000001</v>
      </c>
      <c r="AB61" s="59" t="e">
        <f>VLOOKUP(A61,Enforcements!$C$7:$K$16,8,0)</f>
        <v>#N/A</v>
      </c>
      <c r="AC61" s="55" t="e">
        <f>VLOOKUP(A61,Enforcements!$C$7:$E$16,3,0)</f>
        <v>#N/A</v>
      </c>
      <c r="AD61" s="56" t="str">
        <f t="shared" si="58"/>
        <v>0149-31</v>
      </c>
      <c r="AE61" s="85" t="str">
        <f t="shared" si="1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61" s="82" t="str">
        <f t="shared" si="2"/>
        <v>"C:\Program Files (x86)\AstroGrep\AstroGrep.exe" /spath="%USERPROFILE%\AppData\Local\Temp\OnboardLogs" /stypes="app*4027*20170131*" /stext=" 17:.+((SYSTEM_STATE.+slice.+state.+changed )|(ment ac)|(multiple cpu faults)|(system.+state.+changed )|(\[timeout)|(PRM\|1\|D)|(kpr)|(kdp)|(\|lc)|(penalty))" /e /r /s</v>
      </c>
      <c r="AG61" s="1" t="str">
        <f t="shared" si="59"/>
        <v>EC</v>
      </c>
      <c r="AH61" s="86" t="str">
        <f t="shared" si="30"/>
        <v>"%USERPROFILE%\Documents\GitHub\eaglep3\Utilities\RefineRTDCRunTimes.py" --tripid 149-31 --locoid 4027 --swversion DE.1.0.8.0 --startMP 204:429 --initTime 2017-01-31T09:39:59 --startdatetime 2017-01-31T09:45:17 --delay 0 --endMP 204:233304 --enddatetime 2017-01-31T10:22:18 --enforcementcount 0 &gt;&gt;C:\Users\stu\Documents\GitHub\eaglep3-reporting\EC\2017-01-31-refined-times.txt</v>
      </c>
      <c r="AI61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{"issue":{"subject":"","project_id":79,"tracker_id":40,"status_id":1,"priority_id":2,"assigned_to_id":23,"start_date":"2017-01-31","description":"","custom_fields":[{"id":1,"name":"Subdivision","value":"EC"},{"id":4,"name":"Milepost","value":"23.3304"},{"id":17,"name":"Train ID","value":"149-31"},{"id":16,"name":"Locomotive ID","value":"4027"},{"id":130,"name":"Impact","value":""},{"id":150,"name":"Time of Event (Mountain Time)","value":"10:22:18"},{"id":151,"name":"Denver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61" t="str">
        <f t="shared" si="32"/>
        <v>start /low /b %USERPROFILE%\Documents\GitHub\eaglep3\Utilities\DownloadLogsFromS3.py --loco 4027 --day 2017-01-31</v>
      </c>
      <c r="AN61" s="170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"%USERPROFILE%\AppData\Local\Temp\OnboardLogs"\RTDC4027\*4027*20170131* | grep -SE "(Enforcement Action)|(\[TIMEOUT)|(CHR.+\|PRM\|1\|D.+(SWITCH|SIGNAL).+UNKNOWN)" - &gt;&gt; 2017-01-31-UncaughtWiMAX.txt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580</v>
      </c>
      <c r="B62" s="7">
        <v>4028</v>
      </c>
      <c r="C62" s="21" t="s">
        <v>193</v>
      </c>
      <c r="D62" s="21" t="s">
        <v>468</v>
      </c>
      <c r="E62" s="13">
        <v>42766.441342592596</v>
      </c>
      <c r="F62" s="13">
        <v>42766.445428240739</v>
      </c>
      <c r="G62" s="7">
        <v>1</v>
      </c>
      <c r="H62" s="21" t="s">
        <v>215</v>
      </c>
      <c r="I62" s="13">
        <v>42766.472604166665</v>
      </c>
      <c r="J62" s="7">
        <v>0</v>
      </c>
      <c r="K62" s="98" t="str">
        <f t="shared" ref="K62:K93" si="60">IF(ISEVEN(B62),(B62-1)&amp;"/"&amp;B62,B62&amp;"/"&amp;(B62+1))</f>
        <v>4027/4028</v>
      </c>
      <c r="L62" s="21" t="str">
        <f>VLOOKUP(A62,'Trips&amp;Operators'!$C$1:$G$99999,5,FALSE)</f>
        <v>BONDS REYNALDO</v>
      </c>
      <c r="M62" s="6">
        <f t="shared" ref="M62:M93" si="61">I62-F62</f>
        <v>2.7175925926712807E-2</v>
      </c>
      <c r="N62" s="7">
        <f t="shared" ref="N62:N93" si="62">24*60*SUM($M62:$M62)</f>
        <v>39.133333334466442</v>
      </c>
      <c r="O62" s="7"/>
      <c r="P62" s="7"/>
      <c r="Q62" s="22"/>
      <c r="R62" s="22"/>
      <c r="S62" s="31">
        <f t="shared" ref="S62:S93" si="63">SUM(U62:U62)/IF(AG62="EC",12,1)</f>
        <v>1</v>
      </c>
      <c r="T62" s="46" t="str">
        <f t="shared" si="55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0"/>
        <v>https://d0f6bd738d7f1b3e5a7ca70fe4ff75f0.us-east-1.aws.found.io/app/kibana#/discover/Steve-Slow-Train-Analysis-(2080s-and-2083s)?_g=(refreshInterval:(display:Off,pause:!f,section:0,value:0),time:(from:'2017-01-31T09:35:32-0700',mode:absolute,to:'2017-01-31T12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94" t="str">
        <f t="shared" si="56"/>
        <v>N</v>
      </c>
      <c r="X62" s="194">
        <f t="shared" si="54"/>
        <v>1</v>
      </c>
      <c r="Y62" s="62">
        <f t="shared" si="53"/>
        <v>23.299299999999999</v>
      </c>
      <c r="Z62" s="62">
        <f t="shared" ref="Z62:Z93" si="64">RIGHT(H62,LEN(H62)-4)/10000</f>
        <v>1.5800000000000002E-2</v>
      </c>
      <c r="AA62" s="62">
        <f t="shared" si="57"/>
        <v>23.2835</v>
      </c>
      <c r="AB62" s="59" t="e">
        <f>VLOOKUP(A62,Enforcements!$C$7:$K$16,8,0)</f>
        <v>#N/A</v>
      </c>
      <c r="AC62" s="55" t="e">
        <f>VLOOKUP(A62,Enforcements!$C$7:$E$16,3,0)</f>
        <v>#N/A</v>
      </c>
      <c r="AD62" s="56" t="str">
        <f t="shared" si="58"/>
        <v>0150-31</v>
      </c>
      <c r="AE62" s="85" t="str">
        <f t="shared" si="1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62" s="82" t="str">
        <f t="shared" si="2"/>
        <v>"C:\Program Files (x86)\AstroGrep\AstroGrep.exe" /spath="%USERPROFILE%\AppData\Local\Temp\OnboardLogs" /stypes="app*4028*20170131*" /stext=" 18:.+((SYSTEM_STATE.+slice.+state.+changed )|(ment ac)|(multiple cpu faults)|(system.+state.+changed )|(\[timeout)|(PRM\|1\|D)|(kpr)|(kdp)|(\|lc)|(penalty))" /e /r /s</v>
      </c>
      <c r="AG62" s="1" t="str">
        <f t="shared" si="59"/>
        <v>EC</v>
      </c>
      <c r="AH62" s="86" t="str">
        <f t="shared" si="30"/>
        <v>"%USERPROFILE%\Documents\GitHub\eaglep3\Utilities\RefineRTDCRunTimes.py" --tripid 150-31 --locoid 4028 --swversion DE.1.0.8.0 --startMP 204:232993 --initTime 2017-01-31T10:35:32 --startdatetime 2017-01-31T10:41:25 --delay 1 --endMP 204:158 --enddatetime 2017-01-31T11:20:33 --enforcementcount 0 &gt;&gt;C:\Users\stu\Documents\GitHub\eaglep3-reporting\EC\2017-01-31-refined-times.txt</v>
      </c>
      <c r="AI62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{"issue":{"subject":"","project_id":79,"tracker_id":40,"status_id":1,"priority_id":2,"assigned_to_id":23,"start_date":"2017-01-31","description":"","custom_fields":[{"id":1,"name":"Subdivision","value":"EC"},{"id":4,"name":"Milepost","value":"0.0158"},{"id":17,"name":"Train ID","value":"150-31"},{"id":16,"name":"Locomotive ID","value":"4028"},{"id":130,"name":"Impact","value":""},{"id":150,"name":"Time of Event (Mountain Time)","value":"11:20:33"},{"id":151,"name":"Denver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61" t="str">
        <f t="shared" si="32"/>
        <v>start /low /b %USERPROFILE%\Documents\GitHub\eaglep3\Utilities\DownloadLogsFromS3.py --loco 4028 --day 2017-01-31</v>
      </c>
      <c r="AN62" s="170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"%USERPROFILE%\AppData\Local\Temp\OnboardLogs"\RTDC4028\*4028*20170131* | grep -SE "(Enforcement Action)|(\[TIMEOUT)|(CHR.+\|PRM\|1\|D.+(SWITCH|SIGNAL).+UNKNOWN)" - &gt;&gt; 2017-01-31-UncaughtWiMAX.txt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575</v>
      </c>
      <c r="B63" s="7">
        <v>4042</v>
      </c>
      <c r="C63" s="21" t="s">
        <v>193</v>
      </c>
      <c r="D63" s="21" t="s">
        <v>472</v>
      </c>
      <c r="E63" s="13">
        <v>42766.412604166668</v>
      </c>
      <c r="F63" s="13">
        <v>42766.416817129626</v>
      </c>
      <c r="G63" s="7">
        <v>1</v>
      </c>
      <c r="H63" s="21" t="s">
        <v>727</v>
      </c>
      <c r="I63" s="13">
        <v>42766.441759259258</v>
      </c>
      <c r="J63" s="7">
        <v>0</v>
      </c>
      <c r="K63" s="98" t="str">
        <f t="shared" si="60"/>
        <v>4041/4042</v>
      </c>
      <c r="L63" s="21" t="str">
        <f>VLOOKUP(A63,'Trips&amp;Operators'!$C$1:$G$99999,5,FALSE)</f>
        <v>DAVIS WENDY</v>
      </c>
      <c r="M63" s="6">
        <f t="shared" si="61"/>
        <v>2.4942129632108845E-2</v>
      </c>
      <c r="N63" s="7">
        <f t="shared" si="62"/>
        <v>35.916666670236737</v>
      </c>
      <c r="O63" s="7"/>
      <c r="P63" s="7"/>
      <c r="Q63" s="22"/>
      <c r="R63" s="22"/>
      <c r="S63" s="31">
        <f t="shared" si="63"/>
        <v>1</v>
      </c>
      <c r="T63" s="46" t="str">
        <f t="shared" si="55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0"/>
        <v>https://d0f6bd738d7f1b3e5a7ca70fe4ff75f0.us-east-1.aws.found.io/app/kibana#/discover/Steve-Slow-Train-Analysis-(2080s-and-2083s)?_g=(refreshInterval:(display:Off,pause:!f,section:0,value:0),time:(from:'2017-01-31T08:54:09-0700',mode:absolute,to:'2017-01-31T11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194" t="str">
        <f t="shared" si="56"/>
        <v>N</v>
      </c>
      <c r="X63" s="194">
        <f t="shared" si="54"/>
        <v>1</v>
      </c>
      <c r="Y63" s="62">
        <f t="shared" si="53"/>
        <v>4.7300000000000002E-2</v>
      </c>
      <c r="Z63" s="62">
        <f t="shared" si="64"/>
        <v>23.332599999999999</v>
      </c>
      <c r="AA63" s="62">
        <f t="shared" si="57"/>
        <v>23.285299999999999</v>
      </c>
      <c r="AB63" s="59" t="e">
        <f>VLOOKUP(A63,Enforcements!$C$7:$K$16,8,0)</f>
        <v>#N/A</v>
      </c>
      <c r="AC63" s="55" t="e">
        <f>VLOOKUP(A63,Enforcements!$C$7:$E$16,3,0)</f>
        <v>#N/A</v>
      </c>
      <c r="AD63" s="56" t="str">
        <f t="shared" si="58"/>
        <v>0151-31</v>
      </c>
      <c r="AE63" s="85" t="str">
        <f t="shared" si="1"/>
        <v>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 &amp; 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</v>
      </c>
      <c r="AF63" s="82" t="str">
        <f t="shared" si="2"/>
        <v>"C:\Program Files (x86)\AstroGrep\AstroGrep.exe" /spath="%USERPROFILE%\AppData\Local\Temp\OnboardLogs" /stypes="app*4042*20170131*" /stext=" 17:.+((SYSTEM_STATE.+slice.+state.+changed )|(ment ac)|(multiple cpu faults)|(system.+state.+changed )|(\[timeout)|(PRM\|1\|D)|(kpr)|(kdp)|(\|lc)|(penalty))" /e /r /s</v>
      </c>
      <c r="AG63" s="1" t="str">
        <f t="shared" si="59"/>
        <v>EC</v>
      </c>
      <c r="AH63" s="86" t="str">
        <f t="shared" si="30"/>
        <v>"%USERPROFILE%\Documents\GitHub\eaglep3\Utilities\RefineRTDCRunTimes.py" --tripid 151-31 --locoid 4042 --swversion DE.1.0.8.0 --startMP 204:473 --initTime 2017-01-31T09:54:09 --startdatetime 2017-01-31T10:00:13 --delay 1 --endMP 204:233326 --enddatetime 2017-01-31T10:36:08 --enforcementcount 0 &gt;&gt;C:\Users\stu\Documents\GitHub\eaglep3-reporting\EC\2017-01-31-refined-times.txt</v>
      </c>
      <c r="AI63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{"issue":{"subject":"","project_id":79,"tracker_id":40,"status_id":1,"priority_id":2,"assigned_to_id":23,"start_date":"2017-01-31","description":"","custom_fields":[{"id":1,"name":"Subdivision","value":"EC"},{"id":4,"name":"Milepost","value":"23.3326"},{"id":17,"name":"Train ID","value":"151-31"},{"id":16,"name":"Locomotive ID","value":"4042"},{"id":130,"name":"Impact","value":""},{"id":150,"name":"Time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61" t="str">
        <f t="shared" si="32"/>
        <v>start /low /b %USERPROFILE%\Documents\GitHub\eaglep3\Utilities\DownloadLogsFromS3.py --loco 4042 --day 2017-01-31</v>
      </c>
      <c r="AN63" s="170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"%USERPROFILE%\AppData\Local\Temp\OnboardLogs"\RTDC4042\*4042*20170131* | grep -SE "(Enforcement Action)|(\[TIMEOUT)|(CHR.+\|PRM\|1\|D.+(SWITCH|SIGNAL).+UNKNOWN)" - &gt;&gt; 2017-01-31-UncaughtWiMAX.txt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496</v>
      </c>
      <c r="B64" s="7">
        <v>4041</v>
      </c>
      <c r="C64" s="21" t="s">
        <v>193</v>
      </c>
      <c r="D64" s="21" t="s">
        <v>479</v>
      </c>
      <c r="E64" s="13">
        <v>42766.453298611108</v>
      </c>
      <c r="F64" s="13">
        <v>42766.455706018518</v>
      </c>
      <c r="G64" s="7">
        <v>1</v>
      </c>
      <c r="H64" s="21" t="s">
        <v>722</v>
      </c>
      <c r="I64" s="13">
        <v>42766.483275462961</v>
      </c>
      <c r="J64" s="7">
        <v>0</v>
      </c>
      <c r="K64" s="98" t="str">
        <f t="shared" si="60"/>
        <v>4041/4042</v>
      </c>
      <c r="L64" s="21" t="str">
        <f>VLOOKUP(A64,'Trips&amp;Operators'!$C$1:$G$99999,5,FALSE)</f>
        <v>DAVIS WENDY</v>
      </c>
      <c r="M64" s="6">
        <f t="shared" si="61"/>
        <v>2.7569444442633539E-2</v>
      </c>
      <c r="N64" s="7">
        <f t="shared" si="62"/>
        <v>39.699999997392297</v>
      </c>
      <c r="O64" s="7"/>
      <c r="P64" s="7"/>
      <c r="Q64" s="22"/>
      <c r="R64" s="22"/>
      <c r="S64" s="31">
        <f t="shared" si="63"/>
        <v>1</v>
      </c>
      <c r="T64" s="46" t="str">
        <f t="shared" si="55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0"/>
        <v>https://d0f6bd738d7f1b3e5a7ca70fe4ff75f0.us-east-1.aws.found.io/app/kibana#/discover/Steve-Slow-Train-Analysis-(2080s-and-2083s)?_g=(refreshInterval:(display:Off,pause:!f,section:0,value:0),time:(from:'2017-01-31T09:52:45-0700',mode:absolute,to:'2017-01-31T12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194" t="str">
        <f t="shared" si="56"/>
        <v>N</v>
      </c>
      <c r="X64" s="194">
        <f t="shared" si="54"/>
        <v>1</v>
      </c>
      <c r="Y64" s="62">
        <f t="shared" si="53"/>
        <v>23.3003</v>
      </c>
      <c r="Z64" s="62">
        <f t="shared" si="64"/>
        <v>1.67E-2</v>
      </c>
      <c r="AA64" s="62">
        <f t="shared" si="57"/>
        <v>23.2836</v>
      </c>
      <c r="AB64" s="59" t="str">
        <f>VLOOKUP(A64,Enforcements!$C$7:$K$16,8,0)</f>
        <v>Form based authority (4)</v>
      </c>
      <c r="AC64" s="55" t="str">
        <f>VLOOKUP(A64,Enforcements!$C$7:$E$16,3,0)</f>
        <v>TRACK WARRANT AUTHORITY</v>
      </c>
      <c r="AD64" s="56" t="str">
        <f t="shared" si="58"/>
        <v>0152-31</v>
      </c>
      <c r="AE64" s="85" t="str">
        <f t="shared" si="1"/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AF64" s="82" t="str">
        <f t="shared" si="2"/>
        <v>"C:\Program Files (x86)\AstroGrep\AstroGrep.exe" /spath="%USERPROFILE%\AppData\Local\Temp\OnboardLogs" /stypes="app*4041*20170131*" /stext=" 18:.+((SYSTEM_STATE.+slice.+state.+changed )|(ment ac)|(multiple cpu faults)|(system.+state.+changed )|(\[timeout)|(PRM\|1\|D)|(kpr)|(kdp)|(\|lc)|(penalty))" /e /r /s</v>
      </c>
      <c r="AG64" s="1" t="str">
        <f t="shared" si="59"/>
        <v>EC</v>
      </c>
      <c r="AH64" s="86" t="str">
        <f t="shared" si="30"/>
        <v>"%USERPROFILE%\Documents\GitHub\eaglep3\Utilities\RefineRTDCRunTimes.py" --tripid 152-31 --locoid 4041 --swversion DE.1.0.8.0 --startMP 204:233003 --initTime 2017-01-31T10:52:45 --startdatetime 2017-01-31T10:56:13 --delay 1 --endMP 204:167 --enddatetime 2017-01-31T11:35:55 --enforcementcount 0 &gt;&gt;C:\Users\stu\Documents\GitHub\eaglep3-reporting\EC\2017-01-31-refined-times.txt</v>
      </c>
      <c r="AI64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{"issue":{"subject":"","project_id":79,"tracker_id":40,"status_id":1,"priority_id":2,"assigned_to_id":23,"start_date":"2017-01-31","description":"","custom_fields":[{"id":1,"name":"Subdivision","value":"EC"},{"id":4,"name":"Milepost","value":"0.0167"},{"id":17,"name":"Train ID","value":"152-31"},{"id":16,"name":"Locomotive ID","value":"4041"},{"id":130,"name":"Impact","value":""},{"id":150,"name":"Time of Event (Mountain Time)","value":"11:35:55"},{"id":151,"name":"Denver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61" t="str">
        <f t="shared" si="32"/>
        <v>start /low /b %USERPROFILE%\Documents\GitHub\eaglep3\Utilities\DownloadLogsFromS3.py --loco 4041 --day 2017-01-31</v>
      </c>
      <c r="AN64" s="170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576</v>
      </c>
      <c r="B65" s="7">
        <v>4002</v>
      </c>
      <c r="C65" s="21" t="s">
        <v>193</v>
      </c>
      <c r="D65" s="21" t="s">
        <v>728</v>
      </c>
      <c r="E65" s="13">
        <v>42766.420173611114</v>
      </c>
      <c r="F65" s="13">
        <v>42766.427361111113</v>
      </c>
      <c r="G65" s="7">
        <v>2</v>
      </c>
      <c r="H65" s="21" t="s">
        <v>471</v>
      </c>
      <c r="I65" s="13">
        <v>42766.453194444446</v>
      </c>
      <c r="J65" s="7">
        <v>0</v>
      </c>
      <c r="K65" s="98" t="str">
        <f t="shared" si="60"/>
        <v>4001/4002</v>
      </c>
      <c r="L65" s="21" t="str">
        <f>VLOOKUP(A65,'Trips&amp;Operators'!$C$1:$G$99999,5,FALSE)</f>
        <v>SPECTOR MICHAEL</v>
      </c>
      <c r="M65" s="6">
        <f t="shared" si="61"/>
        <v>2.5833333333139308E-2</v>
      </c>
      <c r="N65" s="7">
        <f t="shared" si="62"/>
        <v>37.199999999720603</v>
      </c>
      <c r="O65" s="7"/>
      <c r="P65" s="7"/>
      <c r="Q65" s="22"/>
      <c r="R65" s="22"/>
      <c r="S65" s="31">
        <f t="shared" si="63"/>
        <v>1</v>
      </c>
      <c r="T65" s="46" t="str">
        <f t="shared" si="55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0"/>
        <v>https://d0f6bd738d7f1b3e5a7ca70fe4ff75f0.us-east-1.aws.found.io/app/kibana#/discover/Steve-Slow-Train-Analysis-(2080s-and-2083s)?_g=(refreshInterval:(display:Off,pause:!f,section:0,value:0),time:(from:'2017-01-31T09:05:03-0700',mode:absolute,to:'2017-01-31T11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94" t="str">
        <f t="shared" si="56"/>
        <v>N</v>
      </c>
      <c r="X65" s="194">
        <f t="shared" si="54"/>
        <v>1</v>
      </c>
      <c r="Y65" s="62">
        <f t="shared" si="53"/>
        <v>0.14729999999999999</v>
      </c>
      <c r="Z65" s="62">
        <f t="shared" si="64"/>
        <v>23.332899999999999</v>
      </c>
      <c r="AA65" s="62">
        <f t="shared" si="57"/>
        <v>23.185599999999997</v>
      </c>
      <c r="AB65" s="59" t="e">
        <f>VLOOKUP(A65,Enforcements!$C$7:$K$16,8,0)</f>
        <v>#N/A</v>
      </c>
      <c r="AC65" s="55" t="e">
        <f>VLOOKUP(A65,Enforcements!$C$7:$E$16,3,0)</f>
        <v>#N/A</v>
      </c>
      <c r="AD65" s="56" t="str">
        <f t="shared" si="58"/>
        <v>0153-31</v>
      </c>
      <c r="AE65" s="85" t="str">
        <f t="shared" si="1"/>
        <v>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 &amp; aws s3 cp s3://rtdc.mdm.uploadarchive.raw/RTDC4002/ "%USERPROFILE%\AppData\Local\Temp\OnboardLogs"\RTDC4002\2017-02-01 --exclude "*" --recursive --include "*20170201*" &amp; "%USERPROFILE%\Documents\GitHub\mrs-test-scripts\Headless Mode &amp; Sideloading\WalkAndUnGZ.bat" "%USERPROFILE%\AppData\Local\Temp\OnboardLogs"\RTDC4002\2017-02-01</v>
      </c>
      <c r="AF65" s="82" t="str">
        <f t="shared" si="2"/>
        <v>"C:\Program Files (x86)\AstroGrep\AstroGrep.exe" /spath="%USERPROFILE%\AppData\Local\Temp\OnboardLogs" /stypes="app*4002*20170131*" /stext=" 17:.+((SYSTEM_STATE.+slice.+state.+changed )|(ment ac)|(multiple cpu faults)|(system.+state.+changed )|(\[timeout)|(PRM\|1\|D)|(kpr)|(kdp)|(\|lc)|(penalty))" /e /r /s</v>
      </c>
      <c r="AG65" s="1" t="str">
        <f t="shared" si="59"/>
        <v>EC</v>
      </c>
      <c r="AH65" s="86" t="str">
        <f t="shared" si="30"/>
        <v>"%USERPROFILE%\Documents\GitHub\eaglep3\Utilities\RefineRTDCRunTimes.py" --tripid 153-31 --locoid 4002 --swversion DE.1.0.8.0 --startMP 204:1473 --initTime 2017-01-31T10:05:03 --startdatetime 2017-01-31T10:15:24 --delay 2 --endMP 204:233329 --enddatetime 2017-01-31T10:52:36 --enforcementcount 0 &gt;&gt;C:\Users\stu\Documents\GitHub\eaglep3-reporting\EC\2017-01-31-refined-times.txt</v>
      </c>
      <c r="AI65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{"issue":{"subject":"","project_id":79,"tracker_id":40,"status_id":1,"priority_id":2,"assigned_to_id":23,"start_date":"2017-01-31","description":"","custom_fields":[{"id":1,"name":"Subdivision","value":"EC"},{"id":4,"name":"Milepost","value":"23.3329"},{"id":17,"name":"Train ID","value":"153-31"},{"id":16,"name":"Locomotive ID","value":"4002"},{"id":130,"name":"Impact","value":""},{"id":150,"name":"Time of Event (Mountain Time)","value":"10:52:36"},{"id":151,"name":"Denver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61" t="str">
        <f t="shared" si="32"/>
        <v>start /low /b %USERPROFILE%\Documents\GitHub\eaglep3\Utilities\DownloadLogsFromS3.py --loco 4002 --day 2017-01-31</v>
      </c>
      <c r="AN65" s="170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"%USERPROFILE%\AppData\Local\Temp\OnboardLogs"\RTDC4002\*4002*20170131* | grep -SE "(Enforcement Action)|(\[TIMEOUT)|(CHR.+\|PRM\|1\|D.+(SWITCH|SIGNAL).+UNKNOWN)" - &gt;&gt; 2017-01-31-UncaughtWiMAX.txt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587</v>
      </c>
      <c r="B66" s="7">
        <v>4001</v>
      </c>
      <c r="C66" s="21" t="s">
        <v>193</v>
      </c>
      <c r="D66" s="21" t="s">
        <v>729</v>
      </c>
      <c r="E66" s="13">
        <v>42766.456585648149</v>
      </c>
      <c r="F66" s="13">
        <v>42766.466157407405</v>
      </c>
      <c r="G66" s="7">
        <v>1</v>
      </c>
      <c r="H66" s="21" t="s">
        <v>184</v>
      </c>
      <c r="I66" s="13">
        <v>42766.492986111109</v>
      </c>
      <c r="J66" s="7">
        <v>0</v>
      </c>
      <c r="K66" s="98" t="str">
        <f t="shared" si="60"/>
        <v>4001/4002</v>
      </c>
      <c r="L66" s="21" t="str">
        <f>VLOOKUP(A66,'Trips&amp;Operators'!$C$1:$G$99999,5,FALSE)</f>
        <v>SPECTOR MICHAEL</v>
      </c>
      <c r="M66" s="6">
        <f t="shared" si="61"/>
        <v>2.6828703703358769E-2</v>
      </c>
      <c r="N66" s="7">
        <f t="shared" si="62"/>
        <v>38.633333332836628</v>
      </c>
      <c r="O66" s="7"/>
      <c r="P66" s="7"/>
      <c r="Q66" s="22"/>
      <c r="R66" s="22"/>
      <c r="S66" s="31">
        <f t="shared" si="63"/>
        <v>1</v>
      </c>
      <c r="T66" s="46" t="str">
        <f t="shared" si="55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0"/>
        <v>https://d0f6bd738d7f1b3e5a7ca70fe4ff75f0.us-east-1.aws.found.io/app/kibana#/discover/Steve-Slow-Train-Analysis-(2080s-and-2083s)?_g=(refreshInterval:(display:Off,pause:!f,section:0,value:0),time:(from:'2017-01-31T09:57:29-0700',mode:absolute,to:'2017-01-31T12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94" t="str">
        <f t="shared" si="56"/>
        <v>N</v>
      </c>
      <c r="X66" s="194">
        <f t="shared" ref="X66:X97" si="65">VALUE(LEFT(AD66,4))-VALUE(LEFT(AD65,4))</f>
        <v>1</v>
      </c>
      <c r="Y66" s="62">
        <f t="shared" si="53"/>
        <v>23.3019</v>
      </c>
      <c r="Z66" s="62">
        <f t="shared" si="64"/>
        <v>1.49E-2</v>
      </c>
      <c r="AA66" s="62">
        <f t="shared" si="57"/>
        <v>23.286999999999999</v>
      </c>
      <c r="AB66" s="59" t="e">
        <f>VLOOKUP(A66,Enforcements!$C$7:$K$16,8,0)</f>
        <v>#N/A</v>
      </c>
      <c r="AC66" s="55" t="e">
        <f>VLOOKUP(A66,Enforcements!$C$7:$E$16,3,0)</f>
        <v>#N/A</v>
      </c>
      <c r="AD66" s="56" t="str">
        <f t="shared" si="58"/>
        <v>0154-31</v>
      </c>
      <c r="AE66" s="85" t="str">
        <f t="shared" si="1"/>
        <v>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 &amp; aws s3 cp s3://rtdc.mdm.uploadarchive.raw/RTDC4001/ "%USERPROFILE%\AppData\Local\Temp\OnboardLogs"\RTDC4001\2017-02-01 --exclude "*" --recursive --include "*20170201*" &amp; "%USERPROFILE%\Documents\GitHub\mrs-test-scripts\Headless Mode &amp; Sideloading\WalkAndUnGZ.bat" "%USERPROFILE%\AppData\Local\Temp\OnboardLogs"\RTDC4001\2017-02-01</v>
      </c>
      <c r="AF66" s="82" t="str">
        <f t="shared" si="2"/>
        <v>"C:\Program Files (x86)\AstroGrep\AstroGrep.exe" /spath="%USERPROFILE%\AppData\Local\Temp\OnboardLogs" /stypes="app*4001*20170131*" /stext=" 18:.+((SYSTEM_STATE.+slice.+state.+changed )|(ment ac)|(multiple cpu faults)|(system.+state.+changed )|(\[timeout)|(PRM\|1\|D)|(kpr)|(kdp)|(\|lc)|(penalty))" /e /r /s</v>
      </c>
      <c r="AG66" s="1" t="str">
        <f t="shared" si="59"/>
        <v>EC</v>
      </c>
      <c r="AH66" s="86" t="str">
        <f t="shared" si="30"/>
        <v>"%USERPROFILE%\Documents\GitHub\eaglep3\Utilities\RefineRTDCRunTimes.py" --tripid 154-31 --locoid 4001 --swversion DE.1.0.8.0 --startMP 204:233019 --initTime 2017-01-31T10:57:29 --startdatetime 2017-01-31T11:11:16 --delay 1 --endMP 204:149 --enddatetime 2017-01-31T11:49:54 --enforcementcount 0 &gt;&gt;C:\Users\stu\Documents\GitHub\eaglep3-reporting\EC\2017-01-31-refined-times.txt</v>
      </c>
      <c r="AI66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{"issue":{"subject":"","project_id":79,"tracker_id":40,"status_id":1,"priority_id":2,"assigned_to_id":23,"start_date":"2017-01-31","description":"","custom_fields":[{"id":1,"name":"Subdivision","value":"EC"},{"id":4,"name":"Milepost","value":"0.0149"},{"id":17,"name":"Train ID","value":"154-31"},{"id":16,"name":"Locomotive ID","value":"4001"},{"id":130,"name":"Impact","value":""},{"id":150,"name":"Time of Event (Mountain Time)","value":"11:49:54"},{"id":151,"name":"Denver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61" t="str">
        <f t="shared" si="32"/>
        <v>start /low /b %USERPROFILE%\Documents\GitHub\eaglep3\Utilities\DownloadLogsFromS3.py --loco 4001 --day 2017-01-31</v>
      </c>
      <c r="AN66" s="170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"%USERPROFILE%\AppData\Local\Temp\OnboardLogs"\RTDC4001\*4001*20170131* | grep -SE "(Enforcement Action)|(\[TIMEOUT)|(CHR.+\|PRM\|1\|D.+(SWITCH|SIGNAL).+UNKNOWN)" - &gt;&gt; 2017-01-31-UncaughtWiMAX.txt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579</v>
      </c>
      <c r="B67" s="7">
        <v>4011</v>
      </c>
      <c r="C67" s="21" t="s">
        <v>193</v>
      </c>
      <c r="D67" s="21" t="s">
        <v>362</v>
      </c>
      <c r="E67" s="13">
        <v>42766.43513888889</v>
      </c>
      <c r="F67" s="13">
        <v>42766.437685185185</v>
      </c>
      <c r="G67" s="7">
        <v>1</v>
      </c>
      <c r="H67" s="21" t="s">
        <v>730</v>
      </c>
      <c r="I67" s="13">
        <v>42766.463587962964</v>
      </c>
      <c r="J67" s="7">
        <v>0</v>
      </c>
      <c r="K67" s="98" t="str">
        <f t="shared" si="60"/>
        <v>4011/4012</v>
      </c>
      <c r="L67" s="21" t="str">
        <f>VLOOKUP(A67,'Trips&amp;Operators'!$C$1:$G$99999,5,FALSE)</f>
        <v>STRICKLAND EVAN</v>
      </c>
      <c r="M67" s="6">
        <f t="shared" si="61"/>
        <v>2.5902777779265307E-2</v>
      </c>
      <c r="N67" s="7">
        <f t="shared" si="62"/>
        <v>37.300000002142042</v>
      </c>
      <c r="O67" s="7"/>
      <c r="P67" s="7"/>
      <c r="Q67" s="22"/>
      <c r="R67" s="22"/>
      <c r="S67" s="31">
        <f t="shared" si="63"/>
        <v>1</v>
      </c>
      <c r="T67" s="46" t="str">
        <f t="shared" si="55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0"/>
        <v>https://d0f6bd738d7f1b3e5a7ca70fe4ff75f0.us-east-1.aws.found.io/app/kibana#/discover/Steve-Slow-Train-Analysis-(2080s-and-2083s)?_g=(refreshInterval:(display:Off,pause:!f,section:0,value:0),time:(from:'2017-01-31T09:26:36-0700',mode:absolute,to:'2017-01-31T12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7" s="194" t="str">
        <f t="shared" si="56"/>
        <v>N</v>
      </c>
      <c r="X67" s="194">
        <f t="shared" si="65"/>
        <v>1</v>
      </c>
      <c r="Y67" s="62">
        <f t="shared" si="53"/>
        <v>4.7800000000000002E-2</v>
      </c>
      <c r="Z67" s="62">
        <f t="shared" si="64"/>
        <v>23.335100000000001</v>
      </c>
      <c r="AA67" s="62">
        <f t="shared" si="57"/>
        <v>23.287300000000002</v>
      </c>
      <c r="AB67" s="59" t="e">
        <f>VLOOKUP(A67,Enforcements!$C$7:$K$16,8,0)</f>
        <v>#N/A</v>
      </c>
      <c r="AC67" s="55" t="e">
        <f>VLOOKUP(A67,Enforcements!$C$7:$E$16,3,0)</f>
        <v>#N/A</v>
      </c>
      <c r="AD67" s="56" t="str">
        <f t="shared" si="58"/>
        <v>0155-31</v>
      </c>
      <c r="AE67" s="85" t="str">
        <f t="shared" si="1"/>
        <v>aws s3 cp s3://rtdc.mdm.uploadarchive.raw/RTDC4011/ "%USERPROFILE%\AppData\Local\Temp\OnboardLogs"\RTDC4011\2017-01-31 --exclude "*" --recursive --include "*20170131*" &amp; "%USERPROFILE%\Documents\GitHub\mrs-test-scripts\Headless Mode &amp; Sideloading\WalkAndUnGZ.bat" "%USERPROFILE%\AppData\Local\Temp\OnboardLogs"\RTDC4011\2017-01-31 &amp; 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</v>
      </c>
      <c r="AF67" s="82" t="str">
        <f t="shared" si="2"/>
        <v>"C:\Program Files (x86)\AstroGrep\AstroGrep.exe" /spath="%USERPROFILE%\AppData\Local\Temp\OnboardLogs" /stypes="app*4011*20170131*" /stext=" 18:.+((SYSTEM_STATE.+slice.+state.+changed )|(ment ac)|(multiple cpu faults)|(system.+state.+changed )|(\[timeout)|(PRM\|1\|D)|(kpr)|(kdp)|(\|lc)|(penalty))" /e /r /s</v>
      </c>
      <c r="AG67" s="1" t="str">
        <f t="shared" si="59"/>
        <v>EC</v>
      </c>
      <c r="AH67" s="86" t="str">
        <f t="shared" si="30"/>
        <v>"%USERPROFILE%\Documents\GitHub\eaglep3\Utilities\RefineRTDCRunTimes.py" --tripid 155-31 --locoid 4011 --swversion DE.1.0.8.0 --startMP 204:478 --initTime 2017-01-31T10:26:36 --startdatetime 2017-01-31T10:30:16 --delay 1 --endMP 204:233351 --enddatetime 2017-01-31T11:07:34 --enforcementcount 0 &gt;&gt;C:\Users\stu\Documents\GitHub\eaglep3-reporting\EC\2017-01-31-refined-times.txt</v>
      </c>
      <c r="AI67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{"issue":{"subject":"","project_id":79,"tracker_id":40,"status_id":1,"priority_id":2,"assigned_to_id":23,"start_date":"2017-01-31","description":"","custom_fields":[{"id":1,"name":"Subdivision","value":"EC"},{"id":4,"name":"Milepost","value":"23.3351"},{"id":17,"name":"Train ID","value":"155-31"},{"id":16,"name":"Locomotive ID","value":"4011"},{"id":130,"name":"Impact","value":""},{"id":150,"name":"Time of Event (Mountain Time)","value":"11:07:34"},{"id":151,"name":"Denver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61" t="str">
        <f t="shared" si="32"/>
        <v>start /low /b %USERPROFILE%\Documents\GitHub\eaglep3\Utilities\DownloadLogsFromS3.py --loco 4011 --day 2017-01-31</v>
      </c>
      <c r="AN67" s="170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"%USERPROFILE%\AppData\Local\Temp\OnboardLogs"\RTDC4011\*4011*20170131* | grep -SE "(Enforcement Action)|(\[TIMEOUT)|(CHR.+\|PRM\|1\|D.+(SWITCH|SIGNAL).+UNKNOWN)" - &gt;&gt; 2017-01-31-UncaughtWiMAX.txt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590</v>
      </c>
      <c r="B68" s="7">
        <v>4012</v>
      </c>
      <c r="C68" s="21" t="s">
        <v>193</v>
      </c>
      <c r="D68" s="21" t="s">
        <v>352</v>
      </c>
      <c r="E68" s="13">
        <v>42766.464965277781</v>
      </c>
      <c r="F68" s="13">
        <v>42766.476539351854</v>
      </c>
      <c r="G68" s="7">
        <v>1</v>
      </c>
      <c r="H68" s="21" t="s">
        <v>184</v>
      </c>
      <c r="I68" s="13">
        <v>42766.504131944443</v>
      </c>
      <c r="J68" s="7">
        <v>0</v>
      </c>
      <c r="K68" s="98" t="str">
        <f t="shared" si="60"/>
        <v>4011/4012</v>
      </c>
      <c r="L68" s="21" t="str">
        <f>VLOOKUP(A68,'Trips&amp;Operators'!$C$1:$G$99999,5,FALSE)</f>
        <v>STRICKLAND EVAN</v>
      </c>
      <c r="M68" s="6">
        <f t="shared" si="61"/>
        <v>2.7592592588916887E-2</v>
      </c>
      <c r="N68" s="7">
        <f t="shared" si="62"/>
        <v>39.733333328040317</v>
      </c>
      <c r="O68" s="7"/>
      <c r="P68" s="7"/>
      <c r="Q68" s="22"/>
      <c r="R68" s="22"/>
      <c r="S68" s="31">
        <f t="shared" si="63"/>
        <v>1</v>
      </c>
      <c r="T68" s="46" t="str">
        <f t="shared" si="55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0"/>
        <v>https://d0f6bd738d7f1b3e5a7ca70fe4ff75f0.us-east-1.aws.found.io/app/kibana#/discover/Steve-Slow-Train-Analysis-(2080s-and-2083s)?_g=(refreshInterval:(display:Off,pause:!f,section:0,value:0),time:(from:'2017-01-31T10:09:33-0700',mode:absolute,to:'2017-01-31T13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194" t="str">
        <f t="shared" si="56"/>
        <v>N</v>
      </c>
      <c r="X68" s="194">
        <f t="shared" si="65"/>
        <v>1</v>
      </c>
      <c r="Y68" s="62">
        <f t="shared" si="53"/>
        <v>23.300699999999999</v>
      </c>
      <c r="Z68" s="62">
        <f t="shared" si="64"/>
        <v>1.49E-2</v>
      </c>
      <c r="AA68" s="62">
        <f t="shared" si="57"/>
        <v>23.285799999999998</v>
      </c>
      <c r="AB68" s="59" t="e">
        <f>VLOOKUP(A68,Enforcements!$C$7:$K$16,8,0)</f>
        <v>#N/A</v>
      </c>
      <c r="AC68" s="55" t="e">
        <f>VLOOKUP(A68,Enforcements!$C$7:$E$16,3,0)</f>
        <v>#N/A</v>
      </c>
      <c r="AD68" s="56" t="str">
        <f t="shared" si="58"/>
        <v>0156-31</v>
      </c>
      <c r="AE68" s="85" t="str">
        <f t="shared" si="1"/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AF68" s="82" t="str">
        <f t="shared" si="2"/>
        <v>"C:\Program Files (x86)\AstroGrep\AstroGrep.exe" /spath="%USERPROFILE%\AppData\Local\Temp\OnboardLogs" /stypes="app*4012*20170131*" /stext=" 19:.+((SYSTEM_STATE.+slice.+state.+changed )|(ment ac)|(multiple cpu faults)|(system.+state.+changed )|(\[timeout)|(PRM\|1\|D)|(kpr)|(kdp)|(\|lc)|(penalty))" /e /r /s</v>
      </c>
      <c r="AG68" s="1" t="str">
        <f t="shared" si="59"/>
        <v>EC</v>
      </c>
      <c r="AH68" s="86" t="str">
        <f t="shared" si="30"/>
        <v>"%USERPROFILE%\Documents\GitHub\eaglep3\Utilities\RefineRTDCRunTimes.py" --tripid 156-31 --locoid 4012 --swversion DE.1.0.8.0 --startMP 204:233007 --initTime 2017-01-31T11:09:33 --startdatetime 2017-01-31T11:26:13 --delay 1 --endMP 204:149 --enddatetime 2017-01-31T12:05:57 --enforcementcount 0 &gt;&gt;C:\Users\stu\Documents\GitHub\eaglep3-reporting\EC\2017-01-31-refined-times.txt</v>
      </c>
      <c r="AI68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{"issue":{"subject":"","project_id":79,"tracker_id":40,"status_id":1,"priority_id":2,"assigned_to_id":23,"start_date":"2017-01-31","description":"","custom_fields":[{"id":1,"name":"Subdivision","value":"EC"},{"id":4,"name":"Milepost","value":"0.0149"},{"id":17,"name":"Train ID","value":"156-31"},{"id":16,"name":"Locomotive ID","value":"4012"},{"id":130,"name":"Impact","value":""},{"id":150,"name":"Time of Event (Mountain Time)","value":"12:05:57"},{"id":151,"name":"Denver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61" t="str">
        <f t="shared" si="32"/>
        <v>start /low /b %USERPROFILE%\Documents\GitHub\eaglep3\Utilities\DownloadLogsFromS3.py --loco 4012 --day 2017-01-31</v>
      </c>
      <c r="AN68" s="170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"%USERPROFILE%\AppData\Local\Temp\OnboardLogs"\RTDC4012\*4012*20170131* | grep -SE "(Enforcement Action)|(\[TIMEOUT)|(CHR.+\|PRM\|1\|D.+(SWITCH|SIGNAL).+UNKNOWN)" - &gt;&gt; 2017-01-31-UncaughtWiMAX.txt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581</v>
      </c>
      <c r="B69" s="7">
        <v>4038</v>
      </c>
      <c r="C69" s="21" t="s">
        <v>193</v>
      </c>
      <c r="D69" s="21" t="s">
        <v>242</v>
      </c>
      <c r="E69" s="13">
        <v>42766.441562499997</v>
      </c>
      <c r="F69" s="13">
        <v>42766.448148148149</v>
      </c>
      <c r="G69" s="7">
        <v>1</v>
      </c>
      <c r="H69" s="21" t="s">
        <v>731</v>
      </c>
      <c r="I69" s="13">
        <v>42766.472986111112</v>
      </c>
      <c r="J69" s="7">
        <v>0</v>
      </c>
      <c r="K69" s="98" t="str">
        <f t="shared" si="60"/>
        <v>4037/4038</v>
      </c>
      <c r="L69" s="21" t="str">
        <f>VLOOKUP(A69,'Trips&amp;Operators'!$C$1:$G$99999,5,FALSE)</f>
        <v>ROCHA YAOTL</v>
      </c>
      <c r="M69" s="6">
        <f t="shared" si="61"/>
        <v>2.4837962962919846E-2</v>
      </c>
      <c r="N69" s="7">
        <f t="shared" si="62"/>
        <v>35.766666666604578</v>
      </c>
      <c r="O69" s="7"/>
      <c r="P69" s="7"/>
      <c r="Q69" s="22"/>
      <c r="R69" s="22"/>
      <c r="S69" s="31">
        <f t="shared" si="63"/>
        <v>1</v>
      </c>
      <c r="T69" s="46" t="str">
        <f t="shared" si="55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0"/>
        <v>https://d0f6bd738d7f1b3e5a7ca70fe4ff75f0.us-east-1.aws.found.io/app/kibana#/discover/Steve-Slow-Train-Analysis-(2080s-and-2083s)?_g=(refreshInterval:(display:Off,pause:!f,section:0,value:0),time:(from:'2017-01-31T09:35:51-0700',mode:absolute,to:'2017-01-31T12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9" s="194" t="str">
        <f t="shared" si="56"/>
        <v>N</v>
      </c>
      <c r="X69" s="194">
        <f t="shared" si="65"/>
        <v>1</v>
      </c>
      <c r="Y69" s="62">
        <f t="shared" si="53"/>
        <v>4.6600000000000003E-2</v>
      </c>
      <c r="Z69" s="62">
        <f t="shared" si="64"/>
        <v>23.331900000000001</v>
      </c>
      <c r="AA69" s="62">
        <f t="shared" si="57"/>
        <v>23.285299999999999</v>
      </c>
      <c r="AB69" s="59" t="e">
        <f>VLOOKUP(A69,Enforcements!$C$7:$K$16,8,0)</f>
        <v>#N/A</v>
      </c>
      <c r="AC69" s="55" t="e">
        <f>VLOOKUP(A69,Enforcements!$C$7:$E$16,3,0)</f>
        <v>#N/A</v>
      </c>
      <c r="AD69" s="56" t="str">
        <f t="shared" si="58"/>
        <v>0157-31</v>
      </c>
      <c r="AE69" s="85" t="str">
        <f t="shared" si="1"/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69" s="82" t="str">
        <f t="shared" si="2"/>
        <v>"C:\Program Files (x86)\AstroGrep\AstroGrep.exe" /spath="%USERPROFILE%\AppData\Local\Temp\OnboardLogs" /stypes="app*4038*20170131*" /stext=" 18:.+((SYSTEM_STATE.+slice.+state.+changed )|(ment ac)|(multiple cpu faults)|(system.+state.+changed )|(\[timeout)|(PRM\|1\|D)|(kpr)|(kdp)|(\|lc)|(penalty))" /e /r /s</v>
      </c>
      <c r="AG69" s="1" t="str">
        <f t="shared" si="59"/>
        <v>EC</v>
      </c>
      <c r="AH69" s="86" t="str">
        <f t="shared" si="30"/>
        <v>"%USERPROFILE%\Documents\GitHub\eaglep3\Utilities\RefineRTDCRunTimes.py" --tripid 157-31 --locoid 4038 --swversion DE.1.0.8.0 --startMP 204:466 --initTime 2017-01-31T10:35:51 --startdatetime 2017-01-31T10:45:20 --delay 1 --endMP 204:233319 --enddatetime 2017-01-31T11:21:06 --enforcementcount 0 &gt;&gt;C:\Users\stu\Documents\GitHub\eaglep3-reporting\EC\2017-01-31-refined-times.txt</v>
      </c>
      <c r="AI69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{"issue":{"subject":"","project_id":79,"tracker_id":40,"status_id":1,"priority_id":2,"assigned_to_id":23,"start_date":"2017-01-31","description":"","custom_fields":[{"id":1,"name":"Subdivision","value":"EC"},{"id":4,"name":"Milepost","value":"23.3319"},{"id":17,"name":"Train ID","value":"157-31"},{"id":16,"name":"Locomotive ID","value":"4038"},{"id":130,"name":"Impact","value":""},{"id":150,"name":"Time of Event (Mountain Time)","value":"11:21:06"},{"id":151,"name":"Denver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61" t="str">
        <f t="shared" si="32"/>
        <v>start /low /b %USERPROFILE%\Documents\GitHub\eaglep3\Utilities\DownloadLogsFromS3.py --loco 4038 --day 2017-01-31</v>
      </c>
      <c r="AN69" s="170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"%USERPROFILE%\AppData\Local\Temp\OnboardLogs"\RTDC4038\*4038*20170131* | grep -SE "(Enforcement Action)|(\[TIMEOUT)|(CHR.+\|PRM\|1\|D.+(SWITCH|SIGNAL).+UNKNOWN)" - &gt;&gt; 2017-01-31-UncaughtWiMAX.txt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594</v>
      </c>
      <c r="B70" s="7">
        <v>4037</v>
      </c>
      <c r="C70" s="21" t="s">
        <v>193</v>
      </c>
      <c r="D70" s="21" t="s">
        <v>732</v>
      </c>
      <c r="E70" s="13">
        <v>42766.487025462964</v>
      </c>
      <c r="F70" s="13">
        <v>42766.488171296296</v>
      </c>
      <c r="G70" s="7">
        <v>2</v>
      </c>
      <c r="H70" s="21" t="s">
        <v>228</v>
      </c>
      <c r="I70" s="13">
        <v>42766.513888888891</v>
      </c>
      <c r="J70" s="7">
        <v>0</v>
      </c>
      <c r="K70" s="98" t="str">
        <f t="shared" si="60"/>
        <v>4037/4038</v>
      </c>
      <c r="L70" s="21" t="str">
        <f>VLOOKUP(A70,'Trips&amp;Operators'!$C$1:$G$99999,5,FALSE)</f>
        <v>ROCHA YAOTL</v>
      </c>
      <c r="M70" s="6">
        <f t="shared" si="61"/>
        <v>2.5717592594446614E-2</v>
      </c>
      <c r="N70" s="7">
        <f t="shared" si="62"/>
        <v>37.033333336003125</v>
      </c>
      <c r="O70" s="7"/>
      <c r="P70" s="7"/>
      <c r="Q70" s="22"/>
      <c r="R70" s="22"/>
      <c r="S70" s="31">
        <f t="shared" si="63"/>
        <v>1</v>
      </c>
      <c r="T70" s="46" t="str">
        <f t="shared" si="55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0"/>
        <v>https://d0f6bd738d7f1b3e5a7ca70fe4ff75f0.us-east-1.aws.found.io/app/kibana#/discover/Steve-Slow-Train-Analysis-(2080s-and-2083s)?_g=(refreshInterval:(display:Off,pause:!f,section:0,value:0),time:(from:'2017-01-31T10:41:19-0700',mode:absolute,to:'2017-01-31T13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0" s="194" t="str">
        <f t="shared" si="56"/>
        <v>N</v>
      </c>
      <c r="X70" s="194">
        <f t="shared" si="65"/>
        <v>1</v>
      </c>
      <c r="Y70" s="62">
        <v>23.2</v>
      </c>
      <c r="Z70" s="62">
        <f t="shared" si="64"/>
        <v>1.54E-2</v>
      </c>
      <c r="AA70" s="62">
        <f t="shared" si="57"/>
        <v>23.1846</v>
      </c>
      <c r="AB70" s="59" t="e">
        <f>VLOOKUP(A70,Enforcements!$C$7:$K$16,8,0)</f>
        <v>#N/A</v>
      </c>
      <c r="AC70" s="55" t="e">
        <f>VLOOKUP(A70,Enforcements!$C$7:$E$16,3,0)</f>
        <v>#N/A</v>
      </c>
      <c r="AD70" s="56" t="str">
        <f t="shared" si="58"/>
        <v>0158-31</v>
      </c>
      <c r="AE70" s="85" t="str">
        <f t="shared" si="1"/>
        <v>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 &amp; 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</v>
      </c>
      <c r="AF70" s="82" t="str">
        <f t="shared" si="2"/>
        <v>"C:\Program Files (x86)\AstroGrep\AstroGrep.exe" /spath="%USERPROFILE%\AppData\Local\Temp\OnboardLogs" /stypes="app*4037*20170131*" /stext=" 19:.+((SYSTEM_STATE.+slice.+state.+changed )|(ment ac)|(multiple cpu faults)|(system.+state.+changed )|(\[timeout)|(PRM\|1\|D)|(kpr)|(kdp)|(\|lc)|(penalty))" /e /r /s</v>
      </c>
      <c r="AG70" s="1" t="str">
        <f t="shared" si="59"/>
        <v>EC</v>
      </c>
      <c r="AH70" s="86" t="str">
        <f t="shared" si="30"/>
        <v>"%USERPROFILE%\Documents\GitHub\eaglep3\Utilities\RefineRTDCRunTimes.py" --tripid 158-31 --locoid 4037 --swversion DE.1.0.8.0 --startMP 204:230142 --initTime 2017-01-31T11:41:19 --startdatetime 2017-01-31T11:42:58 --delay 2 --endMP 204:154 --enddatetime 2017-01-31T12:20:00 --enforcementcount 0 &gt;&gt;C:\Users\stu\Documents\GitHub\eaglep3-reporting\EC\2017-01-31-refined-times.txt</v>
      </c>
      <c r="AI70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{"issue":{"subject":"","project_id":79,"tracker_id":40,"status_id":1,"priority_id":2,"assigned_to_id":23,"start_date":"2017-01-31","description":"","custom_fields":[{"id":1,"name":"Subdivision","value":"EC"},{"id":4,"name":"Milepost","value":"0.0154"},{"id":17,"name":"Train ID","value":"158-31"},{"id":16,"name":"Locomotive ID","value":"4037"},{"id":130,"name":"Impact","value":""},{"id":150,"name":"Time of Event (Mountain Time)","value":"12:20:00"},{"id":151,"name":"Denver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61" t="str">
        <f t="shared" si="32"/>
        <v>start /low /b %USERPROFILE%\Documents\GitHub\eaglep3\Utilities\DownloadLogsFromS3.py --loco 4037 --day 2017-01-31</v>
      </c>
      <c r="AN70" s="170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"%USERPROFILE%\AppData\Local\Temp\OnboardLogs"\RTDC4037\*4037*20170131* | grep -SE "(Enforcement Action)|(\[TIMEOUT)|(CHR.+\|PRM\|1\|D.+(SWITCH|SIGNAL).+UNKNOWN)" - &gt;&gt; 2017-01-31-UncaughtWiMAX.txt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584</v>
      </c>
      <c r="B71" s="7">
        <v>4025</v>
      </c>
      <c r="C71" s="21" t="s">
        <v>193</v>
      </c>
      <c r="D71" s="21" t="s">
        <v>307</v>
      </c>
      <c r="E71" s="13">
        <v>42766.453379629631</v>
      </c>
      <c r="F71" s="13">
        <v>42766.458564814813</v>
      </c>
      <c r="G71" s="7">
        <v>1</v>
      </c>
      <c r="H71" s="21" t="s">
        <v>470</v>
      </c>
      <c r="I71" s="13">
        <v>42766.48332175926</v>
      </c>
      <c r="J71" s="7">
        <v>0</v>
      </c>
      <c r="K71" s="98" t="str">
        <f t="shared" si="60"/>
        <v>4025/4026</v>
      </c>
      <c r="L71" s="21" t="str">
        <f>VLOOKUP(A71,'Trips&amp;Operators'!$C$1:$G$99999,5,FALSE)</f>
        <v>SWANSON BRYCE</v>
      </c>
      <c r="M71" s="6">
        <f t="shared" si="61"/>
        <v>2.4756944447290152E-2</v>
      </c>
      <c r="N71" s="7">
        <f t="shared" si="62"/>
        <v>35.650000004097819</v>
      </c>
      <c r="O71" s="7"/>
      <c r="P71" s="7"/>
      <c r="Q71" s="22"/>
      <c r="R71" s="22"/>
      <c r="S71" s="31">
        <f t="shared" si="63"/>
        <v>1</v>
      </c>
      <c r="T71" s="46" t="str">
        <f t="shared" si="55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0"/>
        <v>https://d0f6bd738d7f1b3e5a7ca70fe4ff75f0.us-east-1.aws.found.io/app/kibana#/discover/Steve-Slow-Train-Analysis-(2080s-and-2083s)?_g=(refreshInterval:(display:Off,pause:!f,section:0,value:0),time:(from:'2017-01-31T09:52:52-0700',mode:absolute,to:'2017-01-31T12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194" t="str">
        <f t="shared" si="56"/>
        <v>N</v>
      </c>
      <c r="X71" s="194">
        <f t="shared" si="65"/>
        <v>1</v>
      </c>
      <c r="Y71" s="62">
        <f t="shared" ref="Y71:Y102" si="66">RIGHT(D71,LEN(D71)-4)/10000</f>
        <v>4.5499999999999999E-2</v>
      </c>
      <c r="Z71" s="62">
        <f t="shared" si="64"/>
        <v>23.3291</v>
      </c>
      <c r="AA71" s="62">
        <f t="shared" si="57"/>
        <v>23.2836</v>
      </c>
      <c r="AB71" s="59" t="e">
        <f>VLOOKUP(A71,Enforcements!$C$7:$K$16,8,0)</f>
        <v>#N/A</v>
      </c>
      <c r="AC71" s="55" t="e">
        <f>VLOOKUP(A71,Enforcements!$C$7:$E$16,3,0)</f>
        <v>#N/A</v>
      </c>
      <c r="AD71" s="56" t="str">
        <f t="shared" si="58"/>
        <v>0159-31</v>
      </c>
      <c r="AE71" s="85" t="str">
        <f t="shared" si="1"/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AF71" s="82" t="str">
        <f t="shared" si="2"/>
        <v>"C:\Program Files (x86)\AstroGrep\AstroGrep.exe" /spath="%USERPROFILE%\AppData\Local\Temp\OnboardLogs" /stypes="app*4025*20170131*" /stext=" 18:.+((SYSTEM_STATE.+slice.+state.+changed )|(ment ac)|(multiple cpu faults)|(system.+state.+changed )|(\[timeout)|(PRM\|1\|D)|(kpr)|(kdp)|(\|lc)|(penalty))" /e /r /s</v>
      </c>
      <c r="AG71" s="1" t="str">
        <f t="shared" si="59"/>
        <v>EC</v>
      </c>
      <c r="AH71" s="86" t="str">
        <f t="shared" si="30"/>
        <v>"%USERPROFILE%\Documents\GitHub\eaglep3\Utilities\RefineRTDCRunTimes.py" --tripid 159-31 --locoid 4025 --swversion DE.1.0.8.0 --startMP 204:455 --initTime 2017-01-31T10:52:52 --startdatetime 2017-01-31T11:00:20 --delay 1 --endMP 204:233291 --enddatetime 2017-01-31T11:35:59 --enforcementcount 0 &gt;&gt;C:\Users\stu\Documents\GitHub\eaglep3-reporting\EC\2017-01-31-refined-times.txt</v>
      </c>
      <c r="AI71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{"issue":{"subject":"","project_id":79,"tracker_id":40,"status_id":1,"priority_id":2,"assigned_to_id":23,"start_date":"2017-01-31","description":"","custom_fields":[{"id":1,"name":"Subdivision","value":"EC"},{"id":4,"name":"Milepost","value":"23.3291"},{"id":17,"name":"Train ID","value":"159-31"},{"id":16,"name":"Locomotive ID","value":"4025"},{"id":130,"name":"Impact","value":""},{"id":150,"name":"Time of Event (Mountain Time)","value":"11:35:59"},{"id":151,"name":"Denver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61" t="str">
        <f t="shared" si="32"/>
        <v>start /low /b %USERPROFILE%\Documents\GitHub\eaglep3\Utilities\DownloadLogsFromS3.py --loco 4025 --day 2017-01-31</v>
      </c>
      <c r="AN71" s="170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"%USERPROFILE%\AppData\Local\Temp\OnboardLogs"\RTDC4025\*4025*20170131* | grep -SE "(Enforcement Action)|(\[TIMEOUT)|(CHR.+\|PRM\|1\|D.+(SWITCH|SIGNAL).+UNKNOWN)" - &gt;&gt; 2017-01-31-UncaughtWiMAX.txt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592</v>
      </c>
      <c r="B72" s="7">
        <v>4026</v>
      </c>
      <c r="C72" s="21" t="s">
        <v>193</v>
      </c>
      <c r="D72" s="21" t="s">
        <v>478</v>
      </c>
      <c r="E72" s="13">
        <v>42766.485185185185</v>
      </c>
      <c r="F72" s="13">
        <v>42766.497453703705</v>
      </c>
      <c r="G72" s="7">
        <v>1</v>
      </c>
      <c r="H72" s="21" t="s">
        <v>707</v>
      </c>
      <c r="I72" s="13">
        <v>42766.525520833333</v>
      </c>
      <c r="J72" s="7">
        <v>0</v>
      </c>
      <c r="K72" s="98" t="str">
        <f t="shared" si="60"/>
        <v>4025/4026</v>
      </c>
      <c r="L72" s="21" t="str">
        <f>VLOOKUP(A72,'Trips&amp;Operators'!$C$1:$G$99999,5,FALSE)</f>
        <v>SWANSON BRYCE</v>
      </c>
      <c r="M72" s="6">
        <f t="shared" si="61"/>
        <v>2.806712962774327E-2</v>
      </c>
      <c r="N72" s="7">
        <f t="shared" si="62"/>
        <v>40.416666663950309</v>
      </c>
      <c r="O72" s="7"/>
      <c r="P72" s="7"/>
      <c r="Q72" s="22"/>
      <c r="R72" s="22"/>
      <c r="S72" s="31">
        <f t="shared" si="63"/>
        <v>1</v>
      </c>
      <c r="T72" s="46" t="str">
        <f t="shared" si="55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0"/>
        <v>https://d0f6bd738d7f1b3e5a7ca70fe4ff75f0.us-east-1.aws.found.io/app/kibana#/discover/Steve-Slow-Train-Analysis-(2080s-and-2083s)?_g=(refreshInterval:(display:Off,pause:!f,section:0,value:0),time:(from:'2017-01-31T10:38:40-0700',mode:absolute,to:'2017-01-31T13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194" t="str">
        <f t="shared" si="56"/>
        <v>N</v>
      </c>
      <c r="X72" s="194">
        <f t="shared" si="65"/>
        <v>1</v>
      </c>
      <c r="Y72" s="62">
        <f t="shared" si="66"/>
        <v>23.2973</v>
      </c>
      <c r="Z72" s="62">
        <f t="shared" si="64"/>
        <v>1.34E-2</v>
      </c>
      <c r="AA72" s="62">
        <f t="shared" si="57"/>
        <v>23.283899999999999</v>
      </c>
      <c r="AB72" s="59" t="e">
        <f>VLOOKUP(A72,Enforcements!$C$7:$K$16,8,0)</f>
        <v>#N/A</v>
      </c>
      <c r="AC72" s="55" t="e">
        <f>VLOOKUP(A72,Enforcements!$C$7:$E$16,3,0)</f>
        <v>#N/A</v>
      </c>
      <c r="AD72" s="56" t="str">
        <f t="shared" si="58"/>
        <v>0160-31</v>
      </c>
      <c r="AE72" s="85" t="str">
        <f t="shared" si="1"/>
        <v>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 &amp; 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</v>
      </c>
      <c r="AF72" s="82" t="str">
        <f t="shared" si="2"/>
        <v>"C:\Program Files (x86)\AstroGrep\AstroGrep.exe" /spath="%USERPROFILE%\AppData\Local\Temp\OnboardLogs" /stypes="app*4026*20170131*" /stext=" 19:.+((SYSTEM_STATE.+slice.+state.+changed )|(ment ac)|(multiple cpu faults)|(system.+state.+changed )|(\[timeout)|(PRM\|1\|D)|(kpr)|(kdp)|(\|lc)|(penalty))" /e /r /s</v>
      </c>
      <c r="AG72" s="1" t="str">
        <f t="shared" si="59"/>
        <v>EC</v>
      </c>
      <c r="AH72" s="86" t="str">
        <f t="shared" si="30"/>
        <v>"%USERPROFILE%\Documents\GitHub\eaglep3\Utilities\RefineRTDCRunTimes.py" --tripid 160-31 --locoid 4026 --swversion DE.1.0.8.0 --startMP 204:232973 --initTime 2017-01-31T11:38:40 --startdatetime 2017-01-31T11:56:20 --delay 1 --endMP 204:134 --enddatetime 2017-01-31T12:36:45 --enforcementcount 0 &gt;&gt;C:\Users\stu\Documents\GitHub\eaglep3-reporting\EC\2017-01-31-refined-times.txt</v>
      </c>
      <c r="AI72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{"issue":{"subject":"","project_id":79,"tracker_id":40,"status_id":1,"priority_id":2,"assigned_to_id":23,"start_date":"2017-01-31","description":"","custom_fields":[{"id":1,"name":"Subdivision","value":"EC"},{"id":4,"name":"Milepost","value":"0.0134"},{"id":17,"name":"Train ID","value":"160-31"},{"id":16,"name":"Locomotive ID","value":"4026"},{"id":130,"name":"Impact","value":""},{"id":150,"name":"Time of Event (Mountain Time)","value":"12:36:45"},{"id":151,"name":"Denver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61" t="str">
        <f t="shared" si="32"/>
        <v>start /low /b %USERPROFILE%\Documents\GitHub\eaglep3\Utilities\DownloadLogsFromS3.py --loco 4026 --day 2017-01-31</v>
      </c>
      <c r="AN72" s="170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"%USERPROFILE%\AppData\Local\Temp\OnboardLogs"\RTDC4026\*4026*20170131* | grep -SE "(Enforcement Action)|(\[TIMEOUT)|(CHR.+\|PRM\|1\|D.+(SWITCH|SIGNAL).+UNKNOWN)" - &gt;&gt; 2017-01-31-UncaughtWiMAX.txt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588</v>
      </c>
      <c r="B73" s="7">
        <v>4040</v>
      </c>
      <c r="C73" s="21" t="s">
        <v>193</v>
      </c>
      <c r="D73" s="21" t="s">
        <v>472</v>
      </c>
      <c r="E73" s="13">
        <v>42766.463576388887</v>
      </c>
      <c r="F73" s="13">
        <v>42766.4690625</v>
      </c>
      <c r="G73" s="7">
        <v>2</v>
      </c>
      <c r="H73" s="21" t="s">
        <v>327</v>
      </c>
      <c r="I73" s="13">
        <v>42766.494039351855</v>
      </c>
      <c r="J73" s="7">
        <v>0</v>
      </c>
      <c r="K73" s="98" t="str">
        <f t="shared" si="60"/>
        <v>4039/4040</v>
      </c>
      <c r="L73" s="21" t="str">
        <f>VLOOKUP(A73,'Trips&amp;Operators'!$C$1:$G$99999,5,FALSE)</f>
        <v>STEWART MICHAEL</v>
      </c>
      <c r="M73" s="6">
        <f t="shared" si="61"/>
        <v>2.4976851855171844E-2</v>
      </c>
      <c r="N73" s="7">
        <f t="shared" si="62"/>
        <v>35.966666671447456</v>
      </c>
      <c r="O73" s="7"/>
      <c r="P73" s="7"/>
      <c r="Q73" s="22"/>
      <c r="R73" s="22"/>
      <c r="S73" s="31">
        <f t="shared" si="63"/>
        <v>1</v>
      </c>
      <c r="T73" s="46" t="str">
        <f t="shared" si="55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0"/>
        <v>https://d0f6bd738d7f1b3e5a7ca70fe4ff75f0.us-east-1.aws.found.io/app/kibana#/discover/Steve-Slow-Train-Analysis-(2080s-and-2083s)?_g=(refreshInterval:(display:Off,pause:!f,section:0,value:0),time:(from:'2017-01-31T10:07:33-0700',mode:absolute,to:'2017-01-31T12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194" t="str">
        <f t="shared" si="56"/>
        <v>N</v>
      </c>
      <c r="X73" s="194">
        <f t="shared" si="65"/>
        <v>1</v>
      </c>
      <c r="Y73" s="62">
        <f t="shared" si="66"/>
        <v>4.7300000000000002E-2</v>
      </c>
      <c r="Z73" s="62">
        <f t="shared" si="64"/>
        <v>23.3308</v>
      </c>
      <c r="AA73" s="62">
        <f t="shared" si="57"/>
        <v>23.2835</v>
      </c>
      <c r="AB73" s="59" t="e">
        <f>VLOOKUP(A73,Enforcements!$C$7:$K$16,8,0)</f>
        <v>#N/A</v>
      </c>
      <c r="AC73" s="55" t="e">
        <f>VLOOKUP(A73,Enforcements!$C$7:$E$16,3,0)</f>
        <v>#N/A</v>
      </c>
      <c r="AD73" s="56" t="str">
        <f t="shared" si="58"/>
        <v>0161-31</v>
      </c>
      <c r="AE73" s="85" t="str">
        <f t="shared" si="1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73" s="82" t="str">
        <f t="shared" si="2"/>
        <v>"C:\Program Files (x86)\AstroGrep\AstroGrep.exe" /spath="%USERPROFILE%\AppData\Local\Temp\OnboardLogs" /stypes="app*4040*20170131*" /stext=" 18:.+((SYSTEM_STATE.+slice.+state.+changed )|(ment ac)|(multiple cpu faults)|(system.+state.+changed )|(\[timeout)|(PRM\|1\|D)|(kpr)|(kdp)|(\|lc)|(penalty))" /e /r /s</v>
      </c>
      <c r="AG73" s="1" t="str">
        <f t="shared" si="59"/>
        <v>EC</v>
      </c>
      <c r="AH73" s="86" t="str">
        <f t="shared" si="30"/>
        <v>"%USERPROFILE%\Documents\GitHub\eaglep3\Utilities\RefineRTDCRunTimes.py" --tripid 161-31 --locoid 4040 --swversion DE.1.0.8.0 --startMP 204:473 --initTime 2017-01-31T11:07:33 --startdatetime 2017-01-31T11:15:27 --delay 2 --endMP 204:233308 --enddatetime 2017-01-31T11:51:25 --enforcementcount 0 &gt;&gt;C:\Users\stu\Documents\GitHub\eaglep3-reporting\EC\2017-01-31-refined-times.txt</v>
      </c>
      <c r="AI73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{"issue":{"subject":"","project_id":79,"tracker_id":40,"status_id":1,"priority_id":2,"assigned_to_id":23,"start_date":"2017-01-31","description":"","custom_fields":[{"id":1,"name":"Subdivision","value":"EC"},{"id":4,"name":"Milepost","value":"23.3308"},{"id":17,"name":"Train ID","value":"161-31"},{"id":16,"name":"Locomotive ID","value":"4040"},{"id":130,"name":"Impact","value":""},{"id":150,"name":"Time of Event (Mountain Time)","value":"11:51:25"},{"id":151,"name":"Denver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61" t="str">
        <f t="shared" si="32"/>
        <v>start /low /b %USERPROFILE%\Documents\GitHub\eaglep3\Utilities\DownloadLogsFromS3.py --loco 4040 --day 2017-01-31</v>
      </c>
      <c r="AN73" s="170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"%USERPROFILE%\AppData\Local\Temp\OnboardLogs"\RTDC4040\*4040*20170131* | grep -SE "(Enforcement Action)|(\[TIMEOUT)|(CHR.+\|PRM\|1\|D.+(SWITCH|SIGNAL).+UNKNOWN)" - &gt;&gt; 2017-01-31-UncaughtWiMAX.txt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597</v>
      </c>
      <c r="B74" s="7">
        <v>4039</v>
      </c>
      <c r="C74" s="21" t="s">
        <v>193</v>
      </c>
      <c r="D74" s="21" t="s">
        <v>305</v>
      </c>
      <c r="E74" s="13">
        <v>42766.502314814818</v>
      </c>
      <c r="F74" s="13">
        <v>42766.507847222223</v>
      </c>
      <c r="G74" s="7">
        <v>1</v>
      </c>
      <c r="H74" s="21" t="s">
        <v>210</v>
      </c>
      <c r="I74" s="13">
        <v>42766.53564814815</v>
      </c>
      <c r="J74" s="7">
        <v>0</v>
      </c>
      <c r="K74" s="98" t="str">
        <f t="shared" si="60"/>
        <v>4039/4040</v>
      </c>
      <c r="L74" s="21" t="str">
        <f>VLOOKUP(A74,'Trips&amp;Operators'!$C$1:$G$99999,5,FALSE)</f>
        <v>STEWART MICHAEL</v>
      </c>
      <c r="M74" s="6">
        <f t="shared" si="61"/>
        <v>2.7800925927294884E-2</v>
      </c>
      <c r="N74" s="7">
        <f t="shared" si="62"/>
        <v>40.033333335304633</v>
      </c>
      <c r="O74" s="7"/>
      <c r="P74" s="7"/>
      <c r="Q74" s="22"/>
      <c r="R74" s="22"/>
      <c r="S74" s="31">
        <f t="shared" si="63"/>
        <v>1</v>
      </c>
      <c r="T74" s="46" t="str">
        <f t="shared" si="55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0"/>
        <v>https://d0f6bd738d7f1b3e5a7ca70fe4ff75f0.us-east-1.aws.found.io/app/kibana#/discover/Steve-Slow-Train-Analysis-(2080s-and-2083s)?_g=(refreshInterval:(display:Off,pause:!f,section:0,value:0),time:(from:'2017-01-31T11:03:20-0700',mode:absolute,to:'2017-01-31T13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194" t="str">
        <f t="shared" si="56"/>
        <v>N</v>
      </c>
      <c r="X74" s="194">
        <f t="shared" si="65"/>
        <v>1</v>
      </c>
      <c r="Y74" s="62">
        <f t="shared" si="66"/>
        <v>23.2989</v>
      </c>
      <c r="Z74" s="62">
        <f t="shared" si="64"/>
        <v>1.6E-2</v>
      </c>
      <c r="AA74" s="62">
        <f t="shared" si="57"/>
        <v>23.282900000000001</v>
      </c>
      <c r="AB74" s="59" t="e">
        <f>VLOOKUP(A74,Enforcements!$C$7:$K$16,8,0)</f>
        <v>#N/A</v>
      </c>
      <c r="AC74" s="55" t="e">
        <f>VLOOKUP(A74,Enforcements!$C$7:$E$16,3,0)</f>
        <v>#N/A</v>
      </c>
      <c r="AD74" s="56" t="str">
        <f t="shared" si="58"/>
        <v>0162-31</v>
      </c>
      <c r="AE74" s="85" t="str">
        <f t="shared" si="1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74" s="82" t="str">
        <f t="shared" si="2"/>
        <v>"C:\Program Files (x86)\AstroGrep\AstroGrep.exe" /spath="%USERPROFILE%\AppData\Local\Temp\OnboardLogs" /stypes="app*4039*20170131*" /stext=" 19:.+((SYSTEM_STATE.+slice.+state.+changed )|(ment ac)|(multiple cpu faults)|(system.+state.+changed )|(\[timeout)|(PRM\|1\|D)|(kpr)|(kdp)|(\|lc)|(penalty))" /e /r /s</v>
      </c>
      <c r="AG74" s="1" t="str">
        <f t="shared" si="59"/>
        <v>EC</v>
      </c>
      <c r="AH74" s="86" t="str">
        <f t="shared" si="30"/>
        <v>"%USERPROFILE%\Documents\GitHub\eaglep3\Utilities\RefineRTDCRunTimes.py" --tripid 162-31 --locoid 4039 --swversion DE.1.0.8.0 --startMP 204:232989 --initTime 2017-01-31T12:03:20 --startdatetime 2017-01-31T12:11:18 --delay 1 --endMP 204:160 --enddatetime 2017-01-31T12:51:20 --enforcementcount 0 &gt;&gt;C:\Users\stu\Documents\GitHub\eaglep3-reporting\EC\2017-01-31-refined-times.txt</v>
      </c>
      <c r="AI74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{"issue":{"subject":"","project_id":79,"tracker_id":40,"status_id":1,"priority_id":2,"assigned_to_id":23,"start_date":"2017-01-31","description":"","custom_fields":[{"id":1,"name":"Subdivision","value":"EC"},{"id":4,"name":"Milepost","value":"0.016"},{"id":17,"name":"Train ID","value":"162-31"},{"id":16,"name":"Locomotive ID","value":"4039"},{"id":130,"name":"Impact","value":""},{"id":150,"name":"Time of Event (Mountain Time)","value":"12:51:20"},{"id":151,"name":"Denver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61" t="str">
        <f t="shared" si="32"/>
        <v>start /low /b %USERPROFILE%\Documents\GitHub\eaglep3\Utilities\DownloadLogsFromS3.py --loco 4039 --day 2017-01-31</v>
      </c>
      <c r="AN74" s="170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"%USERPROFILE%\AppData\Local\Temp\OnboardLogs"\RTDC4039\*4039*20170131* | grep -SE "(Enforcement Action)|(\[TIMEOUT)|(CHR.+\|PRM\|1\|D.+(SWITCH|SIGNAL).+UNKNOWN)" - &gt;&gt; 2017-01-31-UncaughtWiMAX.txt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498</v>
      </c>
      <c r="B75" s="7">
        <v>4027</v>
      </c>
      <c r="C75" s="21" t="s">
        <v>193</v>
      </c>
      <c r="D75" s="21" t="s">
        <v>298</v>
      </c>
      <c r="E75" s="13">
        <v>42766.475439814814</v>
      </c>
      <c r="F75" s="13">
        <v>42766.479456018518</v>
      </c>
      <c r="G75" s="7">
        <v>1</v>
      </c>
      <c r="H75" s="21" t="s">
        <v>733</v>
      </c>
      <c r="I75" s="13">
        <v>42766.505219907405</v>
      </c>
      <c r="J75" s="7">
        <v>0</v>
      </c>
      <c r="K75" s="98" t="str">
        <f t="shared" si="60"/>
        <v>4027/4028</v>
      </c>
      <c r="L75" s="21" t="str">
        <f>VLOOKUP(A75,'Trips&amp;Operators'!$C$1:$G$99999,5,FALSE)</f>
        <v>LEVERE CRAIG</v>
      </c>
      <c r="M75" s="6">
        <f t="shared" si="61"/>
        <v>2.5763888887013309E-2</v>
      </c>
      <c r="N75" s="7">
        <f t="shared" si="62"/>
        <v>37.099999997299165</v>
      </c>
      <c r="O75" s="7"/>
      <c r="P75" s="7"/>
      <c r="Q75" s="22"/>
      <c r="R75" s="22"/>
      <c r="S75" s="31">
        <f t="shared" si="63"/>
        <v>1</v>
      </c>
      <c r="T75" s="46" t="str">
        <f t="shared" si="55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0"/>
        <v>https://d0f6bd738d7f1b3e5a7ca70fe4ff75f0.us-east-1.aws.found.io/app/kibana#/discover/Steve-Slow-Train-Analysis-(2080s-and-2083s)?_g=(refreshInterval:(display:Off,pause:!f,section:0,value:0),time:(from:'2017-01-31T10:24:38-0700',mode:absolute,to:'2017-01-31T13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194" t="str">
        <f t="shared" si="56"/>
        <v>N</v>
      </c>
      <c r="X75" s="194">
        <f t="shared" si="65"/>
        <v>1</v>
      </c>
      <c r="Y75" s="62">
        <f t="shared" si="66"/>
        <v>4.6699999999999998E-2</v>
      </c>
      <c r="Z75" s="62">
        <f t="shared" si="64"/>
        <v>23.330300000000001</v>
      </c>
      <c r="AA75" s="62">
        <f t="shared" si="57"/>
        <v>23.2836</v>
      </c>
      <c r="AB75" s="59" t="str">
        <f>VLOOKUP(A75,Enforcements!$C$7:$K$16,8,0)</f>
        <v>Signal based authority (5)</v>
      </c>
      <c r="AC75" s="55" t="str">
        <f>VLOOKUP(A75,Enforcements!$C$7:$E$16,3,0)</f>
        <v>SIGNAL</v>
      </c>
      <c r="AD75" s="56" t="str">
        <f t="shared" si="58"/>
        <v>0163-31</v>
      </c>
      <c r="AE75" s="85" t="str">
        <f t="shared" si="1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75" s="82" t="str">
        <f t="shared" si="2"/>
        <v>"C:\Program Files (x86)\AstroGrep\AstroGrep.exe" /spath="%USERPROFILE%\AppData\Local\Temp\OnboardLogs" /stypes="app*4027*20170131*" /stext=" 19:.+((SYSTEM_STATE.+slice.+state.+changed )|(ment ac)|(multiple cpu faults)|(system.+state.+changed )|(\[timeout)|(PRM\|1\|D)|(kpr)|(kdp)|(\|lc)|(penalty))" /e /r /s</v>
      </c>
      <c r="AG75" s="1" t="str">
        <f t="shared" si="59"/>
        <v>EC</v>
      </c>
      <c r="AH75" s="86" t="str">
        <f t="shared" si="30"/>
        <v>"%USERPROFILE%\Documents\GitHub\eaglep3\Utilities\RefineRTDCRunTimes.py" --tripid 163-31 --locoid 4027 --swversion DE.1.0.8.0 --startMP 204:467 --initTime 2017-01-31T11:24:38 --startdatetime 2017-01-31T11:30:25 --delay 1 --endMP 204:233303 --enddatetime 2017-01-31T12:07:31 --enforcementcount 0 &gt;&gt;C:\Users\stu\Documents\GitHub\eaglep3-reporting\EC\2017-01-31-refined-times.txt</v>
      </c>
      <c r="AI75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{"issue":{"subject":"","project_id":79,"tracker_id":40,"status_id":1,"priority_id":2,"assigned_to_id":23,"start_date":"2017-01-31","description":"","custom_fields":[{"id":1,"name":"Subdivision","value":"EC"},{"id":4,"name":"Milepost","value":"23.3303"},{"id":17,"name":"Train ID","value":"163-31"},{"id":16,"name":"Locomotive ID","value":"4027"},{"id":130,"name":"Impact","value":""},{"id":150,"name":"Time of Event (Mountain Time)","value":"12:07:31"},{"id":151,"name":"Denver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61" t="str">
        <f t="shared" si="32"/>
        <v>start /low /b %USERPROFILE%\Documents\GitHub\eaglep3\Utilities\DownloadLogsFromS3.py --loco 4027 --day 2017-01-31</v>
      </c>
      <c r="AN75" s="170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"%USERPROFILE%\AppData\Local\Temp\OnboardLogs"\RTDC4027\*4027*20170131* | grep -SE "(Enforcement Action)|(\[TIMEOUT)|(CHR.+\|PRM\|1\|D.+(SWITCH|SIGNAL).+UNKNOWN)" - &gt;&gt; 2017-01-31-UncaughtWiMAX.txt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599</v>
      </c>
      <c r="B76" s="7">
        <v>4028</v>
      </c>
      <c r="C76" s="21" t="s">
        <v>193</v>
      </c>
      <c r="D76" s="21" t="s">
        <v>478</v>
      </c>
      <c r="E76" s="13">
        <v>42766.510763888888</v>
      </c>
      <c r="F76" s="13">
        <v>42766.518229166664</v>
      </c>
      <c r="G76" s="7">
        <v>1</v>
      </c>
      <c r="H76" s="21" t="s">
        <v>304</v>
      </c>
      <c r="I76" s="13">
        <v>42766.545960648145</v>
      </c>
      <c r="J76" s="7">
        <v>0</v>
      </c>
      <c r="K76" s="98" t="str">
        <f t="shared" si="60"/>
        <v>4027/4028</v>
      </c>
      <c r="L76" s="21" t="str">
        <f>VLOOKUP(A76,'Trips&amp;Operators'!$C$1:$G$99999,5,FALSE)</f>
        <v>LEVERE CRAIG</v>
      </c>
      <c r="M76" s="6">
        <f t="shared" si="61"/>
        <v>2.7731481481168885E-2</v>
      </c>
      <c r="N76" s="7">
        <f t="shared" si="62"/>
        <v>39.933333332883194</v>
      </c>
      <c r="O76" s="7"/>
      <c r="P76" s="7"/>
      <c r="Q76" s="22"/>
      <c r="R76" s="22"/>
      <c r="S76" s="31">
        <f t="shared" si="63"/>
        <v>1</v>
      </c>
      <c r="T76" s="46" t="str">
        <f t="shared" si="55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0"/>
        <v>https://d0f6bd738d7f1b3e5a7ca70fe4ff75f0.us-east-1.aws.found.io/app/kibana#/discover/Steve-Slow-Train-Analysis-(2080s-and-2083s)?_g=(refreshInterval:(display:Off,pause:!f,section:0,value:0),time:(from:'2017-01-31T11:15:30-0700',mode:absolute,to:'2017-01-31T14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94" t="str">
        <f t="shared" si="56"/>
        <v>N</v>
      </c>
      <c r="X76" s="194">
        <f t="shared" si="65"/>
        <v>1</v>
      </c>
      <c r="Y76" s="62">
        <f t="shared" si="66"/>
        <v>23.2973</v>
      </c>
      <c r="Z76" s="62">
        <f t="shared" si="64"/>
        <v>1.5599999999999999E-2</v>
      </c>
      <c r="AA76" s="62">
        <f t="shared" si="57"/>
        <v>23.281700000000001</v>
      </c>
      <c r="AB76" s="59" t="e">
        <f>VLOOKUP(A76,Enforcements!$C$7:$K$16,8,0)</f>
        <v>#N/A</v>
      </c>
      <c r="AC76" s="55" t="e">
        <f>VLOOKUP(A76,Enforcements!$C$7:$E$16,3,0)</f>
        <v>#N/A</v>
      </c>
      <c r="AD76" s="56" t="str">
        <f t="shared" si="58"/>
        <v>0164-31</v>
      </c>
      <c r="AE76" s="85" t="str">
        <f t="shared" si="1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76" s="82" t="str">
        <f t="shared" si="2"/>
        <v>"C:\Program Files (x86)\AstroGrep\AstroGrep.exe" /spath="%USERPROFILE%\AppData\Local\Temp\OnboardLogs" /stypes="app*4028*20170131*" /stext=" 20:.+((SYSTEM_STATE.+slice.+state.+changed )|(ment ac)|(multiple cpu faults)|(system.+state.+changed )|(\[timeout)|(PRM\|1\|D)|(kpr)|(kdp)|(\|lc)|(penalty))" /e /r /s</v>
      </c>
      <c r="AG76" s="1" t="str">
        <f t="shared" si="59"/>
        <v>EC</v>
      </c>
      <c r="AH76" s="86" t="str">
        <f t="shared" si="30"/>
        <v>"%USERPROFILE%\Documents\GitHub\eaglep3\Utilities\RefineRTDCRunTimes.py" --tripid 164-31 --locoid 4028 --swversion DE.1.0.8.0 --startMP 204:232973 --initTime 2017-01-31T12:15:30 --startdatetime 2017-01-31T12:26:15 --delay 1 --endMP 204:156 --enddatetime 2017-01-31T13:06:11 --enforcementcount 0 &gt;&gt;C:\Users\stu\Documents\GitHub\eaglep3-reporting\EC\2017-01-31-refined-times.txt</v>
      </c>
      <c r="AI76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{"issue":{"subject":"","project_id":79,"tracker_id":40,"status_id":1,"priority_id":2,"assigned_to_id":23,"start_date":"2017-01-31","description":"","custom_fields":[{"id":1,"name":"Subdivision","value":"EC"},{"id":4,"name":"Milepost","value":"0.0156"},{"id":17,"name":"Train ID","value":"164-31"},{"id":16,"name":"Locomotive ID","value":"4028"},{"id":130,"name":"Impact","value":""},{"id":150,"name":"Time of Event (Mountain Time)","value":"13:06:11"},{"id":151,"name":"Denver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61" t="str">
        <f t="shared" si="32"/>
        <v>start /low /b %USERPROFILE%\Documents\GitHub\eaglep3\Utilities\DownloadLogsFromS3.py --loco 4028 --day 2017-01-31</v>
      </c>
      <c r="AN76" s="170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"%USERPROFILE%\AppData\Local\Temp\OnboardLogs"\RTDC4028\*4028*20170131* | grep -SE "(Enforcement Action)|(\[TIMEOUT)|(CHR.+\|PRM\|1\|D.+(SWITCH|SIGNAL).+UNKNOWN)" - &gt;&gt; 2017-01-31-UncaughtWiMAX.txt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593</v>
      </c>
      <c r="B77" s="7">
        <v>4042</v>
      </c>
      <c r="C77" s="21" t="s">
        <v>193</v>
      </c>
      <c r="D77" s="21" t="s">
        <v>224</v>
      </c>
      <c r="E77" s="13">
        <v>42766.485601851855</v>
      </c>
      <c r="F77" s="13">
        <v>42766.489756944444</v>
      </c>
      <c r="G77" s="7">
        <v>1</v>
      </c>
      <c r="H77" s="21" t="s">
        <v>358</v>
      </c>
      <c r="I77" s="13">
        <v>42766.516550925924</v>
      </c>
      <c r="J77" s="7">
        <v>0</v>
      </c>
      <c r="K77" s="98" t="str">
        <f t="shared" si="60"/>
        <v>4041/4042</v>
      </c>
      <c r="L77" s="21" t="str">
        <f>VLOOKUP(A77,'Trips&amp;Operators'!$C$1:$G$99999,5,FALSE)</f>
        <v>CLARK KATHLEEN</v>
      </c>
      <c r="M77" s="6">
        <f t="shared" si="61"/>
        <v>2.679398148029577E-2</v>
      </c>
      <c r="N77" s="7">
        <f t="shared" si="62"/>
        <v>38.583333331625909</v>
      </c>
      <c r="O77" s="7"/>
      <c r="P77" s="7"/>
      <c r="Q77" s="22"/>
      <c r="R77" s="22"/>
      <c r="S77" s="31">
        <f t="shared" si="63"/>
        <v>1</v>
      </c>
      <c r="T77" s="46" t="str">
        <f t="shared" si="55"/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6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-31T10:39:16-0700',mode:absolute,to:'2017-01-31T13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194" t="str">
        <f t="shared" si="56"/>
        <v>N</v>
      </c>
      <c r="X77" s="194">
        <f t="shared" si="65"/>
        <v>1</v>
      </c>
      <c r="Y77" s="62">
        <f t="shared" si="66"/>
        <v>4.6899999999999997E-2</v>
      </c>
      <c r="Z77" s="62">
        <f t="shared" si="64"/>
        <v>23.330400000000001</v>
      </c>
      <c r="AA77" s="62">
        <f t="shared" si="57"/>
        <v>23.2835</v>
      </c>
      <c r="AB77" s="59" t="e">
        <f>VLOOKUP(A77,Enforcements!$C$7:$K$16,8,0)</f>
        <v>#N/A</v>
      </c>
      <c r="AC77" s="55" t="e">
        <f>VLOOKUP(A77,Enforcements!$C$7:$E$16,3,0)</f>
        <v>#N/A</v>
      </c>
      <c r="AD77" s="56" t="str">
        <f t="shared" si="58"/>
        <v>0165-31</v>
      </c>
      <c r="AE77" s="85" t="str">
        <f t="shared" ref="AE77:AE140" si="6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 &amp; 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</v>
      </c>
      <c r="AF77" s="82" t="str">
        <f t="shared" ref="AF77:AF140" si="6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/stypes="app*4042*20170131*" /stext=" 19:.+((SYSTEM_STATE.+slice.+state.+changed )|(ment ac)|(multiple cpu faults)|(system.+state.+changed )|(\[timeout)|(PRM\|1\|D)|(kpr)|(kdp)|(\|lc)|(penalty))" /e /r /s</v>
      </c>
      <c r="AG77" s="1" t="str">
        <f t="shared" si="59"/>
        <v>EC</v>
      </c>
      <c r="AH77" s="86" t="str">
        <f t="shared" si="30"/>
        <v>"%USERPROFILE%\Documents\GitHub\eaglep3\Utilities\RefineRTDCRunTimes.py" --tripid 165-31 --locoid 4042 --swversion DE.1.0.8.0 --startMP 204:469 --initTime 2017-01-31T11:39:16 --startdatetime 2017-01-31T11:45:15 --delay 1 --endMP 204:233304 --enddatetime 2017-01-31T12:23:50 --enforcementcount 0 &gt;&gt;C:\Users\stu\Documents\GitHub\eaglep3-reporting\EC\2017-01-31-refined-times.txt</v>
      </c>
      <c r="AI77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{"issue":{"subject":"","project_id":79,"tracker_id":40,"status_id":1,"priority_id":2,"assigned_to_id":23,"start_date":"2017-01-31","description":"","custom_fields":[{"id":1,"name":"Subdivision","value":"EC"},{"id":4,"name":"Milepost","value":"23.3304"},{"id":17,"name":"Train ID","value":"165-31"},{"id":16,"name":"Locomotive ID","value":"4042"},{"id":130,"name":"Impact","value":""},{"id":150,"name":"Time of Event (Mountain Time)","value":"12:23:50"},{"id":151,"name":"Denver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61" t="str">
        <f t="shared" si="32"/>
        <v>start /low /b %USERPROFILE%\Documents\GitHub\eaglep3\Utilities\DownloadLogsFromS3.py --loco 4042 --day 2017-01-31</v>
      </c>
      <c r="AN77" s="170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"%USERPROFILE%\AppData\Local\Temp\OnboardLogs"\RTDC4042\*4042*20170131* | grep -SE "(Enforcement Action)|(\[TIMEOUT)|(CHR.+\|PRM\|1\|D.+(SWITCH|SIGNAL).+UNKNOWN)" - &gt;&gt; 2017-01-31-UncaughtWiMAX.txt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603</v>
      </c>
      <c r="B78" s="7">
        <v>4041</v>
      </c>
      <c r="C78" s="21" t="s">
        <v>193</v>
      </c>
      <c r="D78" s="21" t="s">
        <v>708</v>
      </c>
      <c r="E78" s="13">
        <v>42766.5231712963</v>
      </c>
      <c r="F78" s="13">
        <v>42766.528634259259</v>
      </c>
      <c r="G78" s="7">
        <v>1</v>
      </c>
      <c r="H78" s="21" t="s">
        <v>734</v>
      </c>
      <c r="I78" s="13">
        <v>42766.557141203702</v>
      </c>
      <c r="J78" s="7">
        <v>0</v>
      </c>
      <c r="K78" s="98" t="str">
        <f t="shared" si="60"/>
        <v>4041/4042</v>
      </c>
      <c r="L78" s="21" t="str">
        <f>VLOOKUP(A78,'Trips&amp;Operators'!$C$1:$G$99999,5,FALSE)</f>
        <v>CLARK KATHLEEN</v>
      </c>
      <c r="M78" s="6">
        <f t="shared" si="61"/>
        <v>2.8506944443506654E-2</v>
      </c>
      <c r="N78" s="7">
        <f t="shared" si="62"/>
        <v>41.049999998649582</v>
      </c>
      <c r="O78" s="7"/>
      <c r="P78" s="7"/>
      <c r="Q78" s="22"/>
      <c r="R78" s="22"/>
      <c r="S78" s="31">
        <f t="shared" si="63"/>
        <v>1</v>
      </c>
      <c r="T78" s="46" t="str">
        <f t="shared" si="55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67"/>
        <v>https://d0f6bd738d7f1b3e5a7ca70fe4ff75f0.us-east-1.aws.found.io/app/kibana#/discover/Steve-Slow-Train-Analysis-(2080s-and-2083s)?_g=(refreshInterval:(display:Off,pause:!f,section:0,value:0),time:(from:'2017-01-31T11:33:22-0700',mode:absolute,to:'2017-01-31T14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194" t="str">
        <f t="shared" si="56"/>
        <v>N</v>
      </c>
      <c r="X78" s="194">
        <f t="shared" si="65"/>
        <v>1</v>
      </c>
      <c r="Y78" s="62">
        <f t="shared" si="66"/>
        <v>23.297699999999999</v>
      </c>
      <c r="Z78" s="62">
        <f t="shared" si="64"/>
        <v>1.83E-2</v>
      </c>
      <c r="AA78" s="62">
        <f t="shared" si="57"/>
        <v>23.279399999999999</v>
      </c>
      <c r="AB78" s="59" t="e">
        <f>VLOOKUP(A78,Enforcements!$C$7:$K$16,8,0)</f>
        <v>#N/A</v>
      </c>
      <c r="AC78" s="55" t="e">
        <f>VLOOKUP(A78,Enforcements!$C$7:$E$16,3,0)</f>
        <v>#N/A</v>
      </c>
      <c r="AD78" s="56" t="str">
        <f t="shared" si="58"/>
        <v>0166-31</v>
      </c>
      <c r="AE78" s="85" t="str">
        <f t="shared" si="68"/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AF78" s="82" t="str">
        <f t="shared" si="69"/>
        <v>"C:\Program Files (x86)\AstroGrep\AstroGrep.exe" /spath="%USERPROFILE%\AppData\Local\Temp\OnboardLogs" /stypes="app*4041*20170131*" /stext=" 20:.+((SYSTEM_STATE.+slice.+state.+changed )|(ment ac)|(multiple cpu faults)|(system.+state.+changed )|(\[timeout)|(PRM\|1\|D)|(kpr)|(kdp)|(\|lc)|(penalty))" /e /r /s</v>
      </c>
      <c r="AG78" s="1" t="str">
        <f t="shared" si="59"/>
        <v>EC</v>
      </c>
      <c r="AH78" s="86" t="str">
        <f t="shared" si="30"/>
        <v>"%USERPROFILE%\Documents\GitHub\eaglep3\Utilities\RefineRTDCRunTimes.py" --tripid 166-31 --locoid 4041 --swversion DE.1.0.8.0 --startMP 204:232977 --initTime 2017-01-31T12:33:22 --startdatetime 2017-01-31T12:41:14 --delay 1 --endMP 204:183 --enddatetime 2017-01-31T13:22:17 --enforcementcount 0 &gt;&gt;C:\Users\stu\Documents\GitHub\eaglep3-reporting\EC\2017-01-31-refined-times.txt</v>
      </c>
      <c r="AI78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{"issue":{"subject":"","project_id":79,"tracker_id":40,"status_id":1,"priority_id":2,"assigned_to_id":23,"start_date":"2017-01-31","description":"","custom_fields":[{"id":1,"name":"Subdivision","value":"EC"},{"id":4,"name":"Milepost","value":"0.0183"},{"id":17,"name":"Train ID","value":"166-31"},{"id":16,"name":"Locomotive ID","value":"4041"},{"id":130,"name":"Impact","value":""},{"id":150,"name":"Time of Event (Mountain Time)","value":"13:22:17"},{"id":151,"name":"Denver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61" t="str">
        <f t="shared" si="32"/>
        <v>start /low /b %USERPROFILE%\Documents\GitHub\eaglep3\Utilities\DownloadLogsFromS3.py --loco 4041 --day 2017-01-31</v>
      </c>
      <c r="AN78" s="170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2017-01-31-UncaughtWiMAX.txt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596</v>
      </c>
      <c r="B79" s="7">
        <v>4002</v>
      </c>
      <c r="C79" s="21" t="s">
        <v>193</v>
      </c>
      <c r="D79" s="21" t="s">
        <v>467</v>
      </c>
      <c r="E79" s="13">
        <v>42766.494618055556</v>
      </c>
      <c r="F79" s="13">
        <v>42766.500173611108</v>
      </c>
      <c r="G79" s="7">
        <v>1</v>
      </c>
      <c r="H79" s="21" t="s">
        <v>296</v>
      </c>
      <c r="I79" s="13">
        <v>42766.524756944447</v>
      </c>
      <c r="J79" s="7">
        <v>0</v>
      </c>
      <c r="K79" s="98" t="str">
        <f t="shared" si="60"/>
        <v>4001/4002</v>
      </c>
      <c r="L79" s="21" t="str">
        <f>VLOOKUP(A79,'Trips&amp;Operators'!$C$1:$G$99999,5,FALSE)</f>
        <v>CRAYTON QUNTRELL</v>
      </c>
      <c r="M79" s="6">
        <f t="shared" si="61"/>
        <v>2.4583333339251112E-2</v>
      </c>
      <c r="N79" s="7">
        <f t="shared" si="62"/>
        <v>35.400000008521602</v>
      </c>
      <c r="O79" s="7"/>
      <c r="P79" s="7"/>
      <c r="Q79" s="22"/>
      <c r="R79" s="22"/>
      <c r="S79" s="31">
        <f t="shared" si="63"/>
        <v>1</v>
      </c>
      <c r="T79" s="46" t="str">
        <f t="shared" si="55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67"/>
        <v>https://d0f6bd738d7f1b3e5a7ca70fe4ff75f0.us-east-1.aws.found.io/app/kibana#/discover/Steve-Slow-Train-Analysis-(2080s-and-2083s)?_g=(refreshInterval:(display:Off,pause:!f,section:0,value:0),time:(from:'2017-01-31T10:52:15-0700',mode:absolute,to:'2017-01-31T13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4" t="str">
        <f t="shared" si="56"/>
        <v>N</v>
      </c>
      <c r="X79" s="194">
        <f t="shared" si="65"/>
        <v>1</v>
      </c>
      <c r="Y79" s="62">
        <f t="shared" si="66"/>
        <v>4.3499999999999997E-2</v>
      </c>
      <c r="Z79" s="62">
        <f t="shared" si="64"/>
        <v>23.330100000000002</v>
      </c>
      <c r="AA79" s="62">
        <f t="shared" si="57"/>
        <v>23.2866</v>
      </c>
      <c r="AB79" s="59" t="e">
        <f>VLOOKUP(A79,Enforcements!$C$7:$K$16,8,0)</f>
        <v>#N/A</v>
      </c>
      <c r="AC79" s="55" t="e">
        <f>VLOOKUP(A79,Enforcements!$C$7:$E$16,3,0)</f>
        <v>#N/A</v>
      </c>
      <c r="AD79" s="56" t="str">
        <f t="shared" si="58"/>
        <v>0167-31</v>
      </c>
      <c r="AE79" s="85" t="str">
        <f t="shared" si="68"/>
        <v>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 &amp; aws s3 cp s3://rtdc.mdm.uploadarchive.raw/RTDC4002/ "%USERPROFILE%\AppData\Local\Temp\OnboardLogs"\RTDC4002\2017-02-01 --exclude "*" --recursive --include "*20170201*" &amp; "%USERPROFILE%\Documents\GitHub\mrs-test-scripts\Headless Mode &amp; Sideloading\WalkAndUnGZ.bat" "%USERPROFILE%\AppData\Local\Temp\OnboardLogs"\RTDC4002\2017-02-01</v>
      </c>
      <c r="AF79" s="82" t="str">
        <f t="shared" si="69"/>
        <v>"C:\Program Files (x86)\AstroGrep\AstroGrep.exe" /spath="%USERPROFILE%\AppData\Local\Temp\OnboardLogs" /stypes="app*4002*20170131*" /stext=" 19:.+((SYSTEM_STATE.+slice.+state.+changed )|(ment ac)|(multiple cpu faults)|(system.+state.+changed )|(\[timeout)|(PRM\|1\|D)|(kpr)|(kdp)|(\|lc)|(penalty))" /e /r /s</v>
      </c>
      <c r="AG79" s="1" t="str">
        <f t="shared" si="59"/>
        <v>EC</v>
      </c>
      <c r="AH79" s="86" t="str">
        <f t="shared" si="30"/>
        <v>"%USERPROFILE%\Documents\GitHub\eaglep3\Utilities\RefineRTDCRunTimes.py" --tripid 167-31 --locoid 4002 --swversion DE.1.0.8.0 --startMP 204:435 --initTime 2017-01-31T11:52:15 --startdatetime 2017-01-31T12:00:15 --delay 1 --endMP 204:233301 --enddatetime 2017-01-31T12:35:39 --enforcementcount 0 &gt;&gt;C:\Users\stu\Documents\GitHub\eaglep3-reporting\EC\2017-01-31-refined-times.txt</v>
      </c>
      <c r="AI79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{"issue":{"subject":"","project_id":79,"tracker_id":40,"status_id":1,"priority_id":2,"assigned_to_id":23,"start_date":"2017-01-31","description":"","custom_fields":[{"id":1,"name":"Subdivision","value":"EC"},{"id":4,"name":"Milepost","value":"23.3301"},{"id":17,"name":"Train ID","value":"167-31"},{"id":16,"name":"Locomotive ID","value":"4002"},{"id":130,"name":"Impact","value":""},{"id":150,"name":"Time of Event (Mountain Time)","value":"12:35:39"},{"id":151,"name":"Denver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61" t="str">
        <f t="shared" si="32"/>
        <v>start /low /b %USERPROFILE%\Documents\GitHub\eaglep3\Utilities\DownloadLogsFromS3.py --loco 4002 --day 2017-01-31</v>
      </c>
      <c r="AN79" s="170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"%USERPROFILE%\AppData\Local\Temp\OnboardLogs"\RTDC4002\*4002*20170131* | grep -SE "(Enforcement Action)|(\[TIMEOUT)|(CHR.+\|PRM\|1\|D.+(SWITCH|SIGNAL).+UNKNOWN)" - &gt;&gt; 2017-01-31-UncaughtWiMAX.txt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606</v>
      </c>
      <c r="B80" s="7">
        <v>4001</v>
      </c>
      <c r="C80" s="21" t="s">
        <v>193</v>
      </c>
      <c r="D80" s="21" t="s">
        <v>735</v>
      </c>
      <c r="E80" s="13">
        <v>42766.532048611109</v>
      </c>
      <c r="F80" s="13">
        <v>42766.539270833331</v>
      </c>
      <c r="G80" s="7">
        <v>1</v>
      </c>
      <c r="H80" s="21" t="s">
        <v>329</v>
      </c>
      <c r="I80" s="13">
        <v>42766.568414351852</v>
      </c>
      <c r="J80" s="7">
        <v>0</v>
      </c>
      <c r="K80" s="98" t="str">
        <f t="shared" si="60"/>
        <v>4001/4002</v>
      </c>
      <c r="L80" s="21" t="str">
        <f>VLOOKUP(A80,'Trips&amp;Operators'!$C$1:$G$99999,5,FALSE)</f>
        <v>CRAYTON QUNTRELL</v>
      </c>
      <c r="M80" s="6">
        <f t="shared" si="61"/>
        <v>2.9143518520868383E-2</v>
      </c>
      <c r="N80" s="7">
        <f t="shared" si="62"/>
        <v>41.966666670050472</v>
      </c>
      <c r="O80" s="7"/>
      <c r="P80" s="7"/>
      <c r="Q80" s="22"/>
      <c r="R80" s="22"/>
      <c r="S80" s="31">
        <f t="shared" si="63"/>
        <v>1</v>
      </c>
      <c r="T80" s="46" t="str">
        <f t="shared" si="55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67"/>
        <v>https://d0f6bd738d7f1b3e5a7ca70fe4ff75f0.us-east-1.aws.found.io/app/kibana#/discover/Steve-Slow-Train-Analysis-(2080s-and-2083s)?_g=(refreshInterval:(display:Off,pause:!f,section:0,value:0),time:(from:'2017-01-31T11:46:09-0700',mode:absolute,to:'2017-01-31T14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4" t="str">
        <f t="shared" si="56"/>
        <v>N</v>
      </c>
      <c r="X80" s="194">
        <f t="shared" si="65"/>
        <v>1</v>
      </c>
      <c r="Y80" s="62">
        <f t="shared" si="66"/>
        <v>23.2971</v>
      </c>
      <c r="Z80" s="62">
        <f t="shared" si="64"/>
        <v>1.6899999999999998E-2</v>
      </c>
      <c r="AA80" s="62">
        <f t="shared" si="57"/>
        <v>23.280200000000001</v>
      </c>
      <c r="AB80" s="59" t="e">
        <f>VLOOKUP(A80,Enforcements!$C$7:$K$16,8,0)</f>
        <v>#N/A</v>
      </c>
      <c r="AC80" s="55" t="e">
        <f>VLOOKUP(A80,Enforcements!$C$7:$E$16,3,0)</f>
        <v>#N/A</v>
      </c>
      <c r="AD80" s="56" t="str">
        <f t="shared" si="58"/>
        <v>0168-31</v>
      </c>
      <c r="AE80" s="85" t="str">
        <f t="shared" si="68"/>
        <v>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 &amp; aws s3 cp s3://rtdc.mdm.uploadarchive.raw/RTDC4001/ "%USERPROFILE%\AppData\Local\Temp\OnboardLogs"\RTDC4001\2017-02-01 --exclude "*" --recursive --include "*20170201*" &amp; "%USERPROFILE%\Documents\GitHub\mrs-test-scripts\Headless Mode &amp; Sideloading\WalkAndUnGZ.bat" "%USERPROFILE%\AppData\Local\Temp\OnboardLogs"\RTDC4001\2017-02-01</v>
      </c>
      <c r="AF80" s="82" t="str">
        <f t="shared" si="69"/>
        <v>"C:\Program Files (x86)\AstroGrep\AstroGrep.exe" /spath="%USERPROFILE%\AppData\Local\Temp\OnboardLogs" /stypes="app*4001*20170131*" /stext=" 20:.+((SYSTEM_STATE.+slice.+state.+changed )|(ment ac)|(multiple cpu faults)|(system.+state.+changed )|(\[timeout)|(PRM\|1\|D)|(kpr)|(kdp)|(\|lc)|(penalty))" /e /r /s</v>
      </c>
      <c r="AG80" s="1" t="str">
        <f t="shared" si="59"/>
        <v>EC</v>
      </c>
      <c r="AH80" s="86" t="str">
        <f t="shared" si="30"/>
        <v>"%USERPROFILE%\Documents\GitHub\eaglep3\Utilities\RefineRTDCRunTimes.py" --tripid 168-31 --locoid 4001 --swversion DE.1.0.8.0 --startMP 204:232971 --initTime 2017-01-31T12:46:09 --startdatetime 2017-01-31T12:56:33 --delay 1 --endMP 204:169 --enddatetime 2017-01-31T13:38:31 --enforcementcount 0 &gt;&gt;C:\Users\stu\Documents\GitHub\eaglep3-reporting\EC\2017-01-31-refined-times.txt</v>
      </c>
      <c r="AI80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{"issue":{"subject":"","project_id":79,"tracker_id":40,"status_id":1,"priority_id":2,"assigned_to_id":23,"start_date":"2017-01-31","description":"","custom_fields":[{"id":1,"name":"Subdivision","value":"EC"},{"id":4,"name":"Milepost","value":"0.0169"},{"id":17,"name":"Train ID","value":"168-31"},{"id":16,"name":"Locomotive ID","value":"4001"},{"id":130,"name":"Impact","value":""},{"id":150,"name":"Time of Event (Mountain Time)","value":"13:38:31"},{"id":151,"name":"Denver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61" t="str">
        <f t="shared" si="32"/>
        <v>start /low /b %USERPROFILE%\Documents\GitHub\eaglep3\Utilities\DownloadLogsFromS3.py --loco 4001 --day 2017-01-31</v>
      </c>
      <c r="AN80" s="170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"%USERPROFILE%\AppData\Local\Temp\OnboardLogs"\RTDC4001\*4001*20170131* | grep -SE "(Enforcement Action)|(\[TIMEOUT)|(CHR.+\|PRM\|1\|D.+(SWITCH|SIGNAL).+UNKNOWN)" - &gt;&gt; 2017-01-31-UncaughtWiMAX.txt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598</v>
      </c>
      <c r="B81" s="7">
        <v>4011</v>
      </c>
      <c r="C81" s="21" t="s">
        <v>193</v>
      </c>
      <c r="D81" s="21" t="s">
        <v>362</v>
      </c>
      <c r="E81" s="13">
        <v>42766.506921296299</v>
      </c>
      <c r="F81" s="13">
        <v>42766.510729166665</v>
      </c>
      <c r="G81" s="7">
        <v>2</v>
      </c>
      <c r="H81" s="21" t="s">
        <v>327</v>
      </c>
      <c r="I81" s="13">
        <v>42766.535138888888</v>
      </c>
      <c r="J81" s="7">
        <v>0</v>
      </c>
      <c r="K81" s="98" t="str">
        <f t="shared" si="60"/>
        <v>4011/4012</v>
      </c>
      <c r="L81" s="21" t="str">
        <f>VLOOKUP(A81,'Trips&amp;Operators'!$C$1:$G$99999,5,FALSE)</f>
        <v>ROMERO CHAD</v>
      </c>
      <c r="M81" s="6">
        <f t="shared" si="61"/>
        <v>2.4409722223936114E-2</v>
      </c>
      <c r="N81" s="7">
        <f t="shared" si="62"/>
        <v>35.150000002468005</v>
      </c>
      <c r="O81" s="7"/>
      <c r="P81" s="7"/>
      <c r="Q81" s="22"/>
      <c r="R81" s="22"/>
      <c r="S81" s="31">
        <f t="shared" si="63"/>
        <v>1</v>
      </c>
      <c r="T81" s="46" t="str">
        <f t="shared" si="55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67"/>
        <v>https://d0f6bd738d7f1b3e5a7ca70fe4ff75f0.us-east-1.aws.found.io/app/kibana#/discover/Steve-Slow-Train-Analysis-(2080s-and-2083s)?_g=(refreshInterval:(display:Off,pause:!f,section:0,value:0),time:(from:'2017-01-31T11:09:58-0700',mode:absolute,to:'2017-01-31T13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1" s="194" t="str">
        <f t="shared" si="56"/>
        <v>N</v>
      </c>
      <c r="X81" s="194">
        <f t="shared" si="65"/>
        <v>1</v>
      </c>
      <c r="Y81" s="62">
        <f t="shared" si="66"/>
        <v>4.7800000000000002E-2</v>
      </c>
      <c r="Z81" s="62">
        <f t="shared" si="64"/>
        <v>23.3308</v>
      </c>
      <c r="AA81" s="62">
        <f t="shared" si="57"/>
        <v>23.283000000000001</v>
      </c>
      <c r="AB81" s="59" t="e">
        <f>VLOOKUP(A81,Enforcements!$C$7:$K$16,8,0)</f>
        <v>#N/A</v>
      </c>
      <c r="AC81" s="55" t="e">
        <f>VLOOKUP(A81,Enforcements!$C$7:$E$16,3,0)</f>
        <v>#N/A</v>
      </c>
      <c r="AD81" s="56" t="str">
        <f t="shared" si="58"/>
        <v>0169-31</v>
      </c>
      <c r="AE81" s="85" t="str">
        <f t="shared" si="68"/>
        <v>aws s3 cp s3://rtdc.mdm.uploadarchive.raw/RTDC4011/ "%USERPROFILE%\AppData\Local\Temp\OnboardLogs"\RTDC4011\2017-01-31 --exclude "*" --recursive --include "*20170131*" &amp; "%USERPROFILE%\Documents\GitHub\mrs-test-scripts\Headless Mode &amp; Sideloading\WalkAndUnGZ.bat" "%USERPROFILE%\AppData\Local\Temp\OnboardLogs"\RTDC4011\2017-01-31 &amp; 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</v>
      </c>
      <c r="AF81" s="82" t="str">
        <f t="shared" si="69"/>
        <v>"C:\Program Files (x86)\AstroGrep\AstroGrep.exe" /spath="%USERPROFILE%\AppData\Local\Temp\OnboardLogs" /stypes="app*4011*20170131*" /stext=" 19:.+((SYSTEM_STATE.+slice.+state.+changed )|(ment ac)|(multiple cpu faults)|(system.+state.+changed )|(\[timeout)|(PRM\|1\|D)|(kpr)|(kdp)|(\|lc)|(penalty))" /e /r /s</v>
      </c>
      <c r="AG81" s="1" t="str">
        <f t="shared" si="59"/>
        <v>EC</v>
      </c>
      <c r="AH81" s="86" t="str">
        <f t="shared" si="30"/>
        <v>"%USERPROFILE%\Documents\GitHub\eaglep3\Utilities\RefineRTDCRunTimes.py" --tripid 169-31 --locoid 4011 --swversion DE.1.0.8.0 --startMP 204:478 --initTime 2017-01-31T12:09:58 --startdatetime 2017-01-31T12:15:27 --delay 2 --endMP 204:233308 --enddatetime 2017-01-31T12:50:36 --enforcementcount 0 &gt;&gt;C:\Users\stu\Documents\GitHub\eaglep3-reporting\EC\2017-01-31-refined-times.txt</v>
      </c>
      <c r="AI81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{"issue":{"subject":"","project_id":79,"tracker_id":40,"status_id":1,"priority_id":2,"assigned_to_id":23,"start_date":"2017-01-31","description":"","custom_fields":[{"id":1,"name":"Subdivision","value":"EC"},{"id":4,"name":"Milepost","value":"23.3308"},{"id":17,"name":"Train ID","value":"169-31"},{"id":16,"name":"Locomotive ID","value":"4011"},{"id":130,"name":"Impact","value":""},{"id":150,"name":"Time of Event (Mountain Time)","value":"12:50:36"},{"id":151,"name":"Denver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61" t="str">
        <f t="shared" si="32"/>
        <v>start /low /b %USERPROFILE%\Documents\GitHub\eaglep3\Utilities\DownloadLogsFromS3.py --loco 4011 --day 2017-01-31</v>
      </c>
      <c r="AN81" s="170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"%USERPROFILE%\AppData\Local\Temp\OnboardLogs"\RTDC4011\*4011*20170131* | grep -SE "(Enforcement Action)|(\[TIMEOUT)|(CHR.+\|PRM\|1\|D.+(SWITCH|SIGNAL).+UNKNOWN)" - &gt;&gt; 2017-01-31-UncaughtWiMAX.txt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608</v>
      </c>
      <c r="B82" s="7">
        <v>4012</v>
      </c>
      <c r="C82" s="21" t="s">
        <v>193</v>
      </c>
      <c r="D82" s="21" t="s">
        <v>355</v>
      </c>
      <c r="E82" s="13">
        <v>42766.538634259261</v>
      </c>
      <c r="F82" s="13">
        <v>42766.549687500003</v>
      </c>
      <c r="G82" s="7">
        <v>1</v>
      </c>
      <c r="H82" s="21" t="s">
        <v>184</v>
      </c>
      <c r="I82" s="13">
        <v>42766.579548611109</v>
      </c>
      <c r="J82" s="7">
        <v>0</v>
      </c>
      <c r="K82" s="98" t="str">
        <f t="shared" si="60"/>
        <v>4011/4012</v>
      </c>
      <c r="L82" s="21" t="str">
        <f>VLOOKUP(A82,'Trips&amp;Operators'!$C$1:$G$99999,5,FALSE)</f>
        <v>ROMERO CHAD</v>
      </c>
      <c r="M82" s="6">
        <f t="shared" si="61"/>
        <v>2.9861111106583849E-2</v>
      </c>
      <c r="N82" s="7">
        <f t="shared" si="62"/>
        <v>42.999999993480742</v>
      </c>
      <c r="O82" s="7"/>
      <c r="P82" s="7"/>
      <c r="Q82" s="22"/>
      <c r="R82" s="22"/>
      <c r="S82" s="31">
        <f t="shared" si="63"/>
        <v>1</v>
      </c>
      <c r="T82" s="46" t="str">
        <f t="shared" si="55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67"/>
        <v>https://d0f6bd738d7f1b3e5a7ca70fe4ff75f0.us-east-1.aws.found.io/app/kibana#/discover/Steve-Slow-Train-Analysis-(2080s-and-2083s)?_g=(refreshInterval:(display:Off,pause:!f,section:0,value:0),time:(from:'2017-01-31T11:55:38-0700',mode:absolute,to:'2017-01-31T14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2" s="194" t="str">
        <f t="shared" si="56"/>
        <v>N</v>
      </c>
      <c r="X82" s="194">
        <f t="shared" si="65"/>
        <v>1</v>
      </c>
      <c r="Y82" s="62">
        <f t="shared" si="66"/>
        <v>23.2987</v>
      </c>
      <c r="Z82" s="62">
        <f t="shared" si="64"/>
        <v>1.49E-2</v>
      </c>
      <c r="AA82" s="62">
        <f t="shared" si="57"/>
        <v>23.283799999999999</v>
      </c>
      <c r="AB82" s="59" t="e">
        <f>VLOOKUP(A82,Enforcements!$C$7:$K$16,8,0)</f>
        <v>#N/A</v>
      </c>
      <c r="AC82" s="55" t="e">
        <f>VLOOKUP(A82,Enforcements!$C$7:$E$16,3,0)</f>
        <v>#N/A</v>
      </c>
      <c r="AD82" s="56" t="str">
        <f t="shared" si="58"/>
        <v>0170-31</v>
      </c>
      <c r="AE82" s="85" t="str">
        <f t="shared" si="68"/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AF82" s="82" t="str">
        <f t="shared" si="69"/>
        <v>"C:\Program Files (x86)\AstroGrep\AstroGrep.exe" /spath="%USERPROFILE%\AppData\Local\Temp\OnboardLogs" /stypes="app*4012*20170131*" /stext=" 20:.+((SYSTEM_STATE.+slice.+state.+changed )|(ment ac)|(multiple cpu faults)|(system.+state.+changed )|(\[timeout)|(PRM\|1\|D)|(kpr)|(kdp)|(\|lc)|(penalty))" /e /r /s</v>
      </c>
      <c r="AG82" s="1" t="str">
        <f t="shared" si="59"/>
        <v>EC</v>
      </c>
      <c r="AH82" s="86" t="str">
        <f t="shared" si="30"/>
        <v>"%USERPROFILE%\Documents\GitHub\eaglep3\Utilities\RefineRTDCRunTimes.py" --tripid 170-31 --locoid 4012 --swversion DE.1.0.8.0 --startMP 204:232987 --initTime 2017-01-31T12:55:38 --startdatetime 2017-01-31T13:11:33 --delay 1 --endMP 204:149 --enddatetime 2017-01-31T13:54:33 --enforcementcount 0 &gt;&gt;C:\Users\stu\Documents\GitHub\eaglep3-reporting\EC\2017-01-31-refined-times.txt</v>
      </c>
      <c r="AI82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{"issue":{"subject":"","project_id":79,"tracker_id":40,"status_id":1,"priority_id":2,"assigned_to_id":23,"start_date":"2017-01-31","description":"","custom_fields":[{"id":1,"name":"Subdivision","value":"EC"},{"id":4,"name":"Milepost","value":"0.0149"},{"id":17,"name":"Train ID","value":"170-31"},{"id":16,"name":"Locomotive ID","value":"4012"},{"id":130,"name":"Impact","value":""},{"id":150,"name":"Time of Event (Mountain Time)","value":"13:54:33"},{"id":151,"name":"Denver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61" t="str">
        <f t="shared" si="32"/>
        <v>start /low /b %USERPROFILE%\Documents\GitHub\eaglep3\Utilities\DownloadLogsFromS3.py --loco 4012 --day 2017-01-31</v>
      </c>
      <c r="AN82" s="170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"%USERPROFILE%\AppData\Local\Temp\OnboardLogs"\RTDC4012\*4012*20170131* | grep -SE "(Enforcement Action)|(\[TIMEOUT)|(CHR.+\|PRM\|1\|D.+(SWITCH|SIGNAL).+UNKNOWN)" - &gt;&gt; 2017-01-31-UncaughtWiMAX.txt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3" t="s">
        <v>600</v>
      </c>
      <c r="B83" s="7">
        <v>4038</v>
      </c>
      <c r="C83" s="21" t="s">
        <v>193</v>
      </c>
      <c r="D83" s="21" t="s">
        <v>736</v>
      </c>
      <c r="E83" s="13">
        <v>42766.51666666667</v>
      </c>
      <c r="F83" s="13">
        <v>42766.521006944444</v>
      </c>
      <c r="G83" s="7">
        <v>2</v>
      </c>
      <c r="H83" s="21" t="s">
        <v>291</v>
      </c>
      <c r="I83" s="13">
        <v>42766.545520833337</v>
      </c>
      <c r="J83" s="7">
        <v>0</v>
      </c>
      <c r="K83" s="98" t="str">
        <f t="shared" si="60"/>
        <v>4037/4038</v>
      </c>
      <c r="L83" s="21" t="str">
        <f>VLOOKUP(A83,'Trips&amp;Operators'!$C$1:$G$99999,5,FALSE)</f>
        <v>BRANNON JEFFREY</v>
      </c>
      <c r="M83" s="6">
        <f t="shared" si="61"/>
        <v>2.4513888893125113E-2</v>
      </c>
      <c r="N83" s="7">
        <f t="shared" si="62"/>
        <v>35.300000006100163</v>
      </c>
      <c r="O83" s="7"/>
      <c r="P83" s="7"/>
      <c r="Q83" s="22"/>
      <c r="R83" s="22"/>
      <c r="S83" s="31">
        <f t="shared" si="63"/>
        <v>1</v>
      </c>
      <c r="T83" s="46" t="str">
        <f t="shared" si="55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67"/>
        <v>https://d0f6bd738d7f1b3e5a7ca70fe4ff75f0.us-east-1.aws.found.io/app/kibana#/discover/Steve-Slow-Train-Analysis-(2080s-and-2083s)?_g=(refreshInterval:(display:Off,pause:!f,section:0,value:0),time:(from:'2017-01-31T11:24:00-0700',mode:absolute,to:'2017-01-31T14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3" s="194" t="str">
        <f t="shared" si="56"/>
        <v>N</v>
      </c>
      <c r="X83" s="194">
        <f t="shared" si="65"/>
        <v>1</v>
      </c>
      <c r="Y83" s="62">
        <f t="shared" si="66"/>
        <v>4.8000000000000001E-2</v>
      </c>
      <c r="Z83" s="62">
        <f t="shared" si="64"/>
        <v>23.331199999999999</v>
      </c>
      <c r="AA83" s="62">
        <f t="shared" si="57"/>
        <v>23.283200000000001</v>
      </c>
      <c r="AB83" s="59" t="e">
        <f>VLOOKUP(A83,Enforcements!$C$7:$K$16,8,0)</f>
        <v>#N/A</v>
      </c>
      <c r="AC83" s="55" t="e">
        <f>VLOOKUP(A83,Enforcements!$C$7:$E$16,3,0)</f>
        <v>#N/A</v>
      </c>
      <c r="AD83" s="56" t="str">
        <f t="shared" si="58"/>
        <v>0171-31</v>
      </c>
      <c r="AE83" s="85" t="str">
        <f t="shared" si="68"/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83" s="82" t="str">
        <f t="shared" si="69"/>
        <v>"C:\Program Files (x86)\AstroGrep\AstroGrep.exe" /spath="%USERPROFILE%\AppData\Local\Temp\OnboardLogs" /stypes="app*4038*20170131*" /stext=" 20:.+((SYSTEM_STATE.+slice.+state.+changed )|(ment ac)|(multiple cpu faults)|(system.+state.+changed )|(\[timeout)|(PRM\|1\|D)|(kpr)|(kdp)|(\|lc)|(penalty))" /e /r /s</v>
      </c>
      <c r="AG83" s="1" t="str">
        <f t="shared" si="59"/>
        <v>EC</v>
      </c>
      <c r="AH83" s="86" t="str">
        <f t="shared" si="30"/>
        <v>"%USERPROFILE%\Documents\GitHub\eaglep3\Utilities\RefineRTDCRunTimes.py" --tripid 171-31 --locoid 4038 --swversion DE.1.0.8.0 --startMP 204:480 --initTime 2017-01-31T12:24:00 --startdatetime 2017-01-31T12:30:15 --delay 2 --endMP 204:233312 --enddatetime 2017-01-31T13:05:33 --enforcementcount 0 &gt;&gt;C:\Users\stu\Documents\GitHub\eaglep3-reporting\EC\2017-01-31-refined-times.txt</v>
      </c>
      <c r="AI83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{"issue":{"subject":"","project_id":79,"tracker_id":40,"status_id":1,"priority_id":2,"assigned_to_id":23,"start_date":"2017-01-31","description":"","custom_fields":[{"id":1,"name":"Subdivision","value":"EC"},{"id":4,"name":"Milepost","value":"23.3312"},{"id":17,"name":"Train ID","value":"171-31"},{"id":16,"name":"Locomotive ID","value":"4038"},{"id":130,"name":"Impact","value":""},{"id":150,"name":"Time of Event (Mountain Time)","value":"13:05:33"},{"id":151,"name":"Denver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61" t="str">
        <f t="shared" si="32"/>
        <v>start /low /b %USERPROFILE%\Documents\GitHub\eaglep3\Utilities\DownloadLogsFromS3.py --loco 4038 --day 2017-01-31</v>
      </c>
      <c r="AN83" s="170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"%USERPROFILE%\AppData\Local\Temp\OnboardLogs"\RTDC4038\*4038*20170131* | grep -SE "(Enforcement Action)|(\[TIMEOUT)|(CHR.+\|PRM\|1\|D.+(SWITCH|SIGNAL).+UNKNOWN)" - &gt;&gt; 2017-01-31-UncaughtWiMAX.txt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3" t="s">
        <v>613</v>
      </c>
      <c r="B84" s="7">
        <v>4037</v>
      </c>
      <c r="C84" s="21" t="s">
        <v>193</v>
      </c>
      <c r="D84" s="21" t="s">
        <v>338</v>
      </c>
      <c r="E84" s="13">
        <v>42766.547569444447</v>
      </c>
      <c r="F84" s="13">
        <v>42766.560740740744</v>
      </c>
      <c r="G84" s="7">
        <v>1</v>
      </c>
      <c r="H84" s="21" t="s">
        <v>270</v>
      </c>
      <c r="I84" s="13">
        <v>42766.588252314818</v>
      </c>
      <c r="J84" s="7">
        <v>0</v>
      </c>
      <c r="K84" s="98" t="str">
        <f t="shared" si="60"/>
        <v>4037/4038</v>
      </c>
      <c r="L84" s="21" t="str">
        <f>VLOOKUP(A84,'Trips&amp;Operators'!$C$1:$G$99999,5,FALSE)</f>
        <v>BRANNON JEFFREY</v>
      </c>
      <c r="M84" s="6">
        <f t="shared" si="61"/>
        <v>2.7511574073287193E-2</v>
      </c>
      <c r="N84" s="7">
        <f t="shared" si="62"/>
        <v>39.616666665533558</v>
      </c>
      <c r="O84" s="7"/>
      <c r="P84" s="7"/>
      <c r="Q84" s="22"/>
      <c r="R84" s="22"/>
      <c r="S84" s="31">
        <f t="shared" si="63"/>
        <v>1</v>
      </c>
      <c r="T84" s="46" t="str">
        <f t="shared" si="55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67"/>
        <v>https://d0f6bd738d7f1b3e5a7ca70fe4ff75f0.us-east-1.aws.found.io/app/kibana#/discover/Steve-Slow-Train-Analysis-(2080s-and-2083s)?_g=(refreshInterval:(display:Off,pause:!f,section:0,value:0),time:(from:'2017-01-31T12:08:30-0700',mode:absolute,to:'2017-01-31T15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4" s="194" t="str">
        <f t="shared" si="56"/>
        <v>N</v>
      </c>
      <c r="X84" s="194">
        <f t="shared" si="65"/>
        <v>1</v>
      </c>
      <c r="Y84" s="62">
        <f t="shared" si="66"/>
        <v>23.298400000000001</v>
      </c>
      <c r="Z84" s="62">
        <f t="shared" si="64"/>
        <v>1.41E-2</v>
      </c>
      <c r="AA84" s="62">
        <f t="shared" si="57"/>
        <v>23.284300000000002</v>
      </c>
      <c r="AB84" s="59" t="e">
        <f>VLOOKUP(A84,Enforcements!$C$7:$K$16,8,0)</f>
        <v>#N/A</v>
      </c>
      <c r="AC84" s="55" t="e">
        <f>VLOOKUP(A84,Enforcements!$C$7:$E$16,3,0)</f>
        <v>#N/A</v>
      </c>
      <c r="AD84" s="56" t="str">
        <f t="shared" si="58"/>
        <v>0172-31</v>
      </c>
      <c r="AE84" s="85" t="str">
        <f t="shared" si="68"/>
        <v>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 &amp; 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</v>
      </c>
      <c r="AF84" s="82" t="str">
        <f t="shared" si="69"/>
        <v>"C:\Program Files (x86)\AstroGrep\AstroGrep.exe" /spath="%USERPROFILE%\AppData\Local\Temp\OnboardLogs" /stypes="app*4037*20170131*" /stext=" 21:.+((SYSTEM_STATE.+slice.+state.+changed )|(ment ac)|(multiple cpu faults)|(system.+state.+changed )|(\[timeout)|(PRM\|1\|D)|(kpr)|(kdp)|(\|lc)|(penalty))" /e /r /s</v>
      </c>
      <c r="AG84" s="1" t="str">
        <f t="shared" si="59"/>
        <v>EC</v>
      </c>
      <c r="AH84" s="86" t="str">
        <f t="shared" si="30"/>
        <v>"%USERPROFILE%\Documents\GitHub\eaglep3\Utilities\RefineRTDCRunTimes.py" --tripid 172-31 --locoid 4037 --swversion DE.1.0.8.0 --startMP 204:232984 --initTime 2017-01-31T13:08:30 --startdatetime 2017-01-31T13:27:28 --delay 1 --endMP 204:141 --enddatetime 2017-01-31T14:07:05 --enforcementcount 0 &gt;&gt;C:\Users\stu\Documents\GitHub\eaglep3-reporting\EC\2017-01-31-refined-times.txt</v>
      </c>
      <c r="AI84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{"issue":{"subject":"","project_id":79,"tracker_id":40,"status_id":1,"priority_id":2,"assigned_to_id":23,"start_date":"2017-01-31","description":"","custom_fields":[{"id":1,"name":"Subdivision","value":"EC"},{"id":4,"name":"Milepost","value":"0.0141"},{"id":17,"name":"Train ID","value":"172-31"},{"id":16,"name":"Locomotive ID","value":"4037"},{"id":130,"name":"Impact","value":""},{"id":150,"name":"Time of Event (Mountain Time)","value":"14:07:05"},{"id":151,"name":"Denver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61" t="str">
        <f t="shared" si="32"/>
        <v>start /low /b %USERPROFILE%\Documents\GitHub\eaglep3\Utilities\DownloadLogsFromS3.py --loco 4037 --day 2017-01-31</v>
      </c>
      <c r="AN84" s="170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"%USERPROFILE%\AppData\Local\Temp\OnboardLogs"\RTDC4037\*4037*20170131* | grep -SE "(Enforcement Action)|(\[TIMEOUT)|(CHR.+\|PRM\|1\|D.+(SWITCH|SIGNAL).+UNKNOWN)" - &gt;&gt; 2017-01-31-UncaughtWiMAX.txt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3" t="s">
        <v>604</v>
      </c>
      <c r="B85" s="7">
        <v>4025</v>
      </c>
      <c r="C85" s="21" t="s">
        <v>193</v>
      </c>
      <c r="D85" s="21" t="s">
        <v>463</v>
      </c>
      <c r="E85" s="13">
        <v>42766.527395833335</v>
      </c>
      <c r="F85" s="13">
        <v>42766.535590277781</v>
      </c>
      <c r="G85" s="7">
        <v>1</v>
      </c>
      <c r="H85" s="21" t="s">
        <v>737</v>
      </c>
      <c r="I85" s="13">
        <v>42766.561435185184</v>
      </c>
      <c r="J85" s="7">
        <v>0</v>
      </c>
      <c r="K85" s="98" t="str">
        <f t="shared" si="60"/>
        <v>4025/4026</v>
      </c>
      <c r="L85" s="21" t="str">
        <f>VLOOKUP(A85,'Trips&amp;Operators'!$C$1:$G$99999,5,FALSE)</f>
        <v>SWANSON BRYCE</v>
      </c>
      <c r="M85" s="6">
        <f t="shared" si="61"/>
        <v>2.5844907402643003E-2</v>
      </c>
      <c r="N85" s="7">
        <f t="shared" si="62"/>
        <v>37.216666659805924</v>
      </c>
      <c r="O85" s="7"/>
      <c r="P85" s="7"/>
      <c r="Q85" s="22"/>
      <c r="R85" s="22"/>
      <c r="S85" s="31">
        <f t="shared" si="63"/>
        <v>1</v>
      </c>
      <c r="T85" s="46" t="str">
        <f t="shared" si="55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67"/>
        <v>https://d0f6bd738d7f1b3e5a7ca70fe4ff75f0.us-east-1.aws.found.io/app/kibana#/discover/Steve-Slow-Train-Analysis-(2080s-and-2083s)?_g=(refreshInterval:(display:Off,pause:!f,section:0,value:0),time:(from:'2017-01-31T11:39:27-0700',mode:absolute,to:'2017-01-31T14:28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194" t="str">
        <f t="shared" si="56"/>
        <v>N</v>
      </c>
      <c r="X85" s="194">
        <f t="shared" si="65"/>
        <v>1</v>
      </c>
      <c r="Y85" s="62">
        <f t="shared" si="66"/>
        <v>4.4699999999999997E-2</v>
      </c>
      <c r="Z85" s="62">
        <f t="shared" si="64"/>
        <v>23.325099999999999</v>
      </c>
      <c r="AA85" s="62">
        <f t="shared" si="57"/>
        <v>23.2804</v>
      </c>
      <c r="AB85" s="59" t="e">
        <f>VLOOKUP(A85,Enforcements!$C$7:$K$16,8,0)</f>
        <v>#N/A</v>
      </c>
      <c r="AC85" s="55" t="e">
        <f>VLOOKUP(A85,Enforcements!$C$7:$E$16,3,0)</f>
        <v>#N/A</v>
      </c>
      <c r="AD85" s="56" t="str">
        <f t="shared" si="58"/>
        <v>0173-31</v>
      </c>
      <c r="AE85" s="85" t="str">
        <f t="shared" si="68"/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AF85" s="82" t="str">
        <f t="shared" si="69"/>
        <v>"C:\Program Files (x86)\AstroGrep\AstroGrep.exe" /spath="%USERPROFILE%\AppData\Local\Temp\OnboardLogs" /stypes="app*4025*20170131*" /stext=" 20:.+((SYSTEM_STATE.+slice.+state.+changed )|(ment ac)|(multiple cpu faults)|(system.+state.+changed )|(\[timeout)|(PRM\|1\|D)|(kpr)|(kdp)|(\|lc)|(penalty))" /e /r /s</v>
      </c>
      <c r="AG85" s="1" t="str">
        <f t="shared" si="59"/>
        <v>EC</v>
      </c>
      <c r="AH85" s="86" t="str">
        <f t="shared" si="30"/>
        <v>"%USERPROFILE%\Documents\GitHub\eaglep3\Utilities\RefineRTDCRunTimes.py" --tripid 173-31 --locoid 4025 --swversion DE.1.0.8.0 --startMP 204:447 --initTime 2017-01-31T12:39:27 --startdatetime 2017-01-31T12:51:15 --delay 1 --endMP 204:233251 --enddatetime 2017-01-31T13:28:28 --enforcementcount 0 &gt;&gt;C:\Users\stu\Documents\GitHub\eaglep3-reporting\EC\2017-01-31-refined-times.txt</v>
      </c>
      <c r="AI85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{"issue":{"subject":"","project_id":79,"tracker_id":40,"status_id":1,"priority_id":2,"assigned_to_id":23,"start_date":"2017-01-31","description":"","custom_fields":[{"id":1,"name":"Subdivision","value":"EC"},{"id":4,"name":"Milepost","value":"23.3251"},{"id":17,"name":"Train ID","value":"173-31"},{"id":16,"name":"Locomotive ID","value":"4025"},{"id":130,"name":"Impact","value":""},{"id":150,"name":"Time of Event (Mountain Time)","value":"13:28:28"},{"id":151,"name":"Denver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61" t="str">
        <f t="shared" si="32"/>
        <v>start /low /b %USERPROFILE%\Documents\GitHub\eaglep3\Utilities\DownloadLogsFromS3.py --loco 4025 --day 2017-01-31</v>
      </c>
      <c r="AN85" s="170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"%USERPROFILE%\AppData\Local\Temp\OnboardLogs"\RTDC4025\*4025*20170131* | grep -SE "(Enforcement Action)|(\[TIMEOUT)|(CHR.+\|PRM\|1\|D.+(SWITCH|SIGNAL).+UNKNOWN)" - &gt;&gt; 2017-01-31-UncaughtWiMAX.txt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3" t="s">
        <v>615</v>
      </c>
      <c r="B86" s="7">
        <v>4026</v>
      </c>
      <c r="C86" s="21" t="s">
        <v>193</v>
      </c>
      <c r="D86" s="21" t="s">
        <v>738</v>
      </c>
      <c r="E86" s="13">
        <v>42766.562835648147</v>
      </c>
      <c r="F86" s="13">
        <v>42766.5703587963</v>
      </c>
      <c r="G86" s="7">
        <v>1</v>
      </c>
      <c r="H86" s="21" t="s">
        <v>241</v>
      </c>
      <c r="I86" s="13">
        <v>42766.598923611113</v>
      </c>
      <c r="J86" s="7">
        <v>0</v>
      </c>
      <c r="K86" s="98" t="str">
        <f t="shared" si="60"/>
        <v>4025/4026</v>
      </c>
      <c r="L86" s="21" t="str">
        <f>VLOOKUP(A86,'Trips&amp;Operators'!$C$1:$G$99999,5,FALSE)</f>
        <v>SWANSON BRYCE</v>
      </c>
      <c r="M86" s="6">
        <f t="shared" si="61"/>
        <v>2.8564814812853001E-2</v>
      </c>
      <c r="N86" s="7">
        <f t="shared" si="62"/>
        <v>41.133333330508322</v>
      </c>
      <c r="O86" s="7"/>
      <c r="P86" s="7"/>
      <c r="Q86" s="22"/>
      <c r="R86" s="22"/>
      <c r="S86" s="31">
        <f t="shared" si="63"/>
        <v>1</v>
      </c>
      <c r="T86" s="46" t="str">
        <f t="shared" si="55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67"/>
        <v>https://d0f6bd738d7f1b3e5a7ca70fe4ff75f0.us-east-1.aws.found.io/app/kibana#/discover/Steve-Slow-Train-Analysis-(2080s-and-2083s)?_g=(refreshInterval:(display:Off,pause:!f,section:0,value:0),time:(from:'2017-01-31T12:30:29-0700',mode:absolute,to:'2017-01-31T15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194" t="str">
        <f t="shared" si="56"/>
        <v>N</v>
      </c>
      <c r="X86" s="194">
        <f t="shared" si="65"/>
        <v>1</v>
      </c>
      <c r="Y86" s="62">
        <f t="shared" si="66"/>
        <v>23.293600000000001</v>
      </c>
      <c r="Z86" s="62">
        <f t="shared" si="64"/>
        <v>1.43E-2</v>
      </c>
      <c r="AA86" s="62">
        <f t="shared" si="57"/>
        <v>23.279300000000003</v>
      </c>
      <c r="AB86" s="59" t="e">
        <f>VLOOKUP(A86,Enforcements!$C$7:$K$16,8,0)</f>
        <v>#N/A</v>
      </c>
      <c r="AC86" s="55" t="e">
        <f>VLOOKUP(A86,Enforcements!$C$7:$E$16,3,0)</f>
        <v>#N/A</v>
      </c>
      <c r="AD86" s="56" t="str">
        <f t="shared" si="58"/>
        <v>0174-31</v>
      </c>
      <c r="AE86" s="85" t="str">
        <f t="shared" si="68"/>
        <v>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 &amp; 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</v>
      </c>
      <c r="AF86" s="82" t="str">
        <f t="shared" si="69"/>
        <v>"C:\Program Files (x86)\AstroGrep\AstroGrep.exe" /spath="%USERPROFILE%\AppData\Local\Temp\OnboardLogs" /stypes="app*4026*20170131*" /stext=" 21:.+((SYSTEM_STATE.+slice.+state.+changed )|(ment ac)|(multiple cpu faults)|(system.+state.+changed )|(\[timeout)|(PRM\|1\|D)|(kpr)|(kdp)|(\|lc)|(penalty))" /e /r /s</v>
      </c>
      <c r="AG86" s="1" t="str">
        <f t="shared" si="59"/>
        <v>EC</v>
      </c>
      <c r="AH86" s="86" t="str">
        <f t="shared" si="30"/>
        <v>"%USERPROFILE%\Documents\GitHub\eaglep3\Utilities\RefineRTDCRunTimes.py" --tripid 174-31 --locoid 4026 --swversion DE.1.0.8.0 --startMP 204:232936 --initTime 2017-01-31T13:30:29 --startdatetime 2017-01-31T13:41:19 --delay 1 --endMP 204:143 --enddatetime 2017-01-31T14:22:27 --enforcementcount 0 &gt;&gt;C:\Users\stu\Documents\GitHub\eaglep3-reporting\EC\2017-01-31-refined-times.txt</v>
      </c>
      <c r="AI86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{"issue":{"subject":"","project_id":79,"tracker_id":40,"status_id":1,"priority_id":2,"assigned_to_id":23,"start_date":"2017-01-31","description":"","custom_fields":[{"id":1,"name":"Subdivision","value":"EC"},{"id":4,"name":"Milepost","value":"0.0143"},{"id":17,"name":"Train ID","value":"174-31"},{"id":16,"name":"Locomotive ID","value":"4026"},{"id":130,"name":"Impact","value":""},{"id":150,"name":"Time of Event (Mountain Time)","value":"14:22:27"},{"id":151,"name":"Denver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61" t="str">
        <f t="shared" si="32"/>
        <v>start /low /b %USERPROFILE%\Documents\GitHub\eaglep3\Utilities\DownloadLogsFromS3.py --loco 4026 --day 2017-01-31</v>
      </c>
      <c r="AN86" s="170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"%USERPROFILE%\AppData\Local\Temp\OnboardLogs"\RTDC4026\*4026*20170131* | grep -SE "(Enforcement Action)|(\[TIMEOUT)|(CHR.+\|PRM\|1\|D.+(SWITCH|SIGNAL).+UNKNOWN)" - &gt;&gt; 2017-01-31-UncaughtWiMAX.txt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3" t="s">
        <v>607</v>
      </c>
      <c r="B87" s="7">
        <v>4040</v>
      </c>
      <c r="C87" s="21" t="s">
        <v>193</v>
      </c>
      <c r="D87" s="21" t="s">
        <v>286</v>
      </c>
      <c r="E87" s="13">
        <v>42766.537847222222</v>
      </c>
      <c r="F87" s="13">
        <v>42766.541932870372</v>
      </c>
      <c r="G87" s="7">
        <v>2</v>
      </c>
      <c r="H87" s="21" t="s">
        <v>296</v>
      </c>
      <c r="I87" s="13">
        <v>42766.567465277774</v>
      </c>
      <c r="J87" s="7">
        <v>0</v>
      </c>
      <c r="K87" s="98" t="str">
        <f t="shared" si="60"/>
        <v>4039/4040</v>
      </c>
      <c r="L87" s="21" t="str">
        <f>VLOOKUP(A87,'Trips&amp;Operators'!$C$1:$G$99999,5,FALSE)</f>
        <v>STEWART MICHAEL</v>
      </c>
      <c r="M87" s="6">
        <f t="shared" si="61"/>
        <v>2.5532407402351964E-2</v>
      </c>
      <c r="N87" s="7">
        <f t="shared" si="62"/>
        <v>36.766666659386829</v>
      </c>
      <c r="O87" s="7"/>
      <c r="P87" s="7"/>
      <c r="Q87" s="22"/>
      <c r="R87" s="22"/>
      <c r="S87" s="31">
        <f t="shared" si="63"/>
        <v>1</v>
      </c>
      <c r="T87" s="46" t="str">
        <f t="shared" ref="T87:T118" si="70">IF(ISEVEN(LEFT(AD87,4)),"Southbound","NorthBound")</f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67"/>
        <v>https://d0f6bd738d7f1b3e5a7ca70fe4ff75f0.us-east-1.aws.found.io/app/kibana#/discover/Steve-Slow-Train-Analysis-(2080s-and-2083s)?_g=(refreshInterval:(display:Off,pause:!f,section:0,value:0),time:(from:'2017-01-31T11:54:30-0700',mode:absolute,to:'2017-01-31T14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194" t="str">
        <f t="shared" ref="W87:W118" si="71">IF(AA87&lt;IF(AG87="EC",23,5.65),"Y","N")</f>
        <v>N</v>
      </c>
      <c r="X87" s="194">
        <f t="shared" si="65"/>
        <v>1</v>
      </c>
      <c r="Y87" s="62">
        <f t="shared" si="66"/>
        <v>4.7100000000000003E-2</v>
      </c>
      <c r="Z87" s="62">
        <f t="shared" si="64"/>
        <v>23.330100000000002</v>
      </c>
      <c r="AA87" s="62">
        <f t="shared" ref="AA87:AA118" si="72">ABS(Z87-Y87)</f>
        <v>23.283000000000001</v>
      </c>
      <c r="AB87" s="59" t="e">
        <f>VLOOKUP(A87,Enforcements!$C$7:$K$16,8,0)</f>
        <v>#N/A</v>
      </c>
      <c r="AC87" s="55" t="e">
        <f>VLOOKUP(A87,Enforcements!$C$7:$E$16,3,0)</f>
        <v>#N/A</v>
      </c>
      <c r="AD87" s="56" t="str">
        <f t="shared" ref="AD87:AD118" si="73">IF(LEN(A87)=6,"0"&amp;A87,A87)</f>
        <v>0175-31</v>
      </c>
      <c r="AE87" s="85" t="str">
        <f t="shared" si="68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87" s="82" t="str">
        <f t="shared" si="69"/>
        <v>"C:\Program Files (x86)\AstroGrep\AstroGrep.exe" /spath="%USERPROFILE%\AppData\Local\Temp\OnboardLogs" /stypes="app*4040*20170131*" /stext=" 20:.+((SYSTEM_STATE.+slice.+state.+changed )|(ment ac)|(multiple cpu faults)|(system.+state.+changed )|(\[timeout)|(PRM\|1\|D)|(kpr)|(kdp)|(\|lc)|(penalty))" /e /r /s</v>
      </c>
      <c r="AG87" s="1" t="str">
        <f t="shared" ref="AG87:AG118" si="74">IFERROR(IF(VALUE(LEFT(AD87,2))&lt;=2,"EC",IF(OR(VALUE(LEFT(AD87,2))=8,VALUE(LEFT(AD87,2))=18),"NW","Other")),"Other")</f>
        <v>EC</v>
      </c>
      <c r="AH87" s="86" t="str">
        <f t="shared" si="30"/>
        <v>"%USERPROFILE%\Documents\GitHub\eaglep3\Utilities\RefineRTDCRunTimes.py" --tripid 175-31 --locoid 4040 --swversion DE.1.0.8.0 --startMP 204:471 --initTime 2017-01-31T12:54:30 --startdatetime 2017-01-31T13:00:23 --delay 2 --endMP 204:233301 --enddatetime 2017-01-31T13:37:09 --enforcementcount 0 &gt;&gt;C:\Users\stu\Documents\GitHub\eaglep3-reporting\EC\2017-01-31-refined-times.txt</v>
      </c>
      <c r="AI87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{"issue":{"subject":"","project_id":79,"tracker_id":40,"status_id":1,"priority_id":2,"assigned_to_id":23,"start_date":"2017-01-31","description":"","custom_fields":[{"id":1,"name":"Subdivision","value":"EC"},{"id":4,"name":"Milepost","value":"23.3301"},{"id":17,"name":"Train ID","value":"175-31"},{"id":16,"name":"Locomotive ID","value":"4040"},{"id":130,"name":"Impact","value":""},{"id":150,"name":"Time of Event (Mountain Time)","value":"13:37:09"},{"id":151,"name":"Denver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61" t="str">
        <f t="shared" si="32"/>
        <v>start /low /b %USERPROFILE%\Documents\GitHub\eaglep3\Utilities\DownloadLogsFromS3.py --loco 4040 --day 2017-01-31</v>
      </c>
      <c r="AN87" s="170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"%USERPROFILE%\AppData\Local\Temp\OnboardLogs"\RTDC4040\*4040*20170131* | grep -SE "(Enforcement Action)|(\[TIMEOUT)|(CHR.+\|PRM\|1\|D.+(SWITCH|SIGNAL).+UNKNOWN)" - &gt;&gt; 2017-01-31-UncaughtWiMAX.txt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3" t="s">
        <v>618</v>
      </c>
      <c r="B88" s="7">
        <v>4039</v>
      </c>
      <c r="C88" s="21" t="s">
        <v>193</v>
      </c>
      <c r="D88" s="21" t="s">
        <v>708</v>
      </c>
      <c r="E88" s="13">
        <v>42766.576435185183</v>
      </c>
      <c r="F88" s="13">
        <v>42766.580787037034</v>
      </c>
      <c r="G88" s="7">
        <v>1</v>
      </c>
      <c r="H88" s="21" t="s">
        <v>722</v>
      </c>
      <c r="I88" s="13">
        <v>42766.607476851852</v>
      </c>
      <c r="J88" s="7">
        <v>0</v>
      </c>
      <c r="K88" s="98" t="str">
        <f t="shared" si="60"/>
        <v>4039/4040</v>
      </c>
      <c r="L88" s="21" t="str">
        <f>VLOOKUP(A88,'Trips&amp;Operators'!$C$1:$G$99999,5,FALSE)</f>
        <v>STEWART MICHAEL</v>
      </c>
      <c r="M88" s="6">
        <f t="shared" si="61"/>
        <v>2.6689814818382729E-2</v>
      </c>
      <c r="N88" s="7">
        <f t="shared" si="62"/>
        <v>38.43333333847113</v>
      </c>
      <c r="O88" s="7"/>
      <c r="P88" s="7"/>
      <c r="Q88" s="22"/>
      <c r="R88" s="22"/>
      <c r="S88" s="31">
        <f t="shared" si="63"/>
        <v>1</v>
      </c>
      <c r="T88" s="46" t="str">
        <f t="shared" si="70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67"/>
        <v>https://d0f6bd738d7f1b3e5a7ca70fe4ff75f0.us-east-1.aws.found.io/app/kibana#/discover/Steve-Slow-Train-Analysis-(2080s-and-2083s)?_g=(refreshInterval:(display:Off,pause:!f,section:0,value:0),time:(from:'2017-01-31T12:50:04-0700',mode:absolute,to:'2017-01-31T15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194" t="str">
        <f t="shared" si="71"/>
        <v>N</v>
      </c>
      <c r="X88" s="194">
        <f t="shared" si="65"/>
        <v>1</v>
      </c>
      <c r="Y88" s="62">
        <f t="shared" si="66"/>
        <v>23.297699999999999</v>
      </c>
      <c r="Z88" s="62">
        <f t="shared" si="64"/>
        <v>1.67E-2</v>
      </c>
      <c r="AA88" s="62">
        <f t="shared" si="72"/>
        <v>23.280999999999999</v>
      </c>
      <c r="AB88" s="59" t="e">
        <f>VLOOKUP(A88,Enforcements!$C$7:$K$16,8,0)</f>
        <v>#N/A</v>
      </c>
      <c r="AC88" s="55" t="e">
        <f>VLOOKUP(A88,Enforcements!$C$7:$E$16,3,0)</f>
        <v>#N/A</v>
      </c>
      <c r="AD88" s="56" t="str">
        <f t="shared" si="73"/>
        <v>0176-31</v>
      </c>
      <c r="AE88" s="85" t="str">
        <f t="shared" si="68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88" s="82" t="str">
        <f t="shared" si="69"/>
        <v>"C:\Program Files (x86)\AstroGrep\AstroGrep.exe" /spath="%USERPROFILE%\AppData\Local\Temp\OnboardLogs" /stypes="app*4039*20170131*" /stext=" 21:.+((SYSTEM_STATE.+slice.+state.+changed )|(ment ac)|(multiple cpu faults)|(system.+state.+changed )|(\[timeout)|(PRM\|1\|D)|(kpr)|(kdp)|(\|lc)|(penalty))" /e /r /s</v>
      </c>
      <c r="AG88" s="1" t="str">
        <f t="shared" si="74"/>
        <v>EC</v>
      </c>
      <c r="AH88" s="86" t="str">
        <f t="shared" si="30"/>
        <v>"%USERPROFILE%\Documents\GitHub\eaglep3\Utilities\RefineRTDCRunTimes.py" --tripid 176-31 --locoid 4039 --swversion DE.1.0.8.0 --startMP 204:232977 --initTime 2017-01-31T13:50:04 --startdatetime 2017-01-31T13:56:20 --delay 1 --endMP 204:167 --enddatetime 2017-01-31T14:34:46 --enforcementcount 0 &gt;&gt;C:\Users\stu\Documents\GitHub\eaglep3-reporting\EC\2017-01-31-refined-times.txt</v>
      </c>
      <c r="AI88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{"issue":{"subject":"","project_id":79,"tracker_id":40,"status_id":1,"priority_id":2,"assigned_to_id":23,"start_date":"2017-01-31","description":"","custom_fields":[{"id":1,"name":"Subdivision","value":"EC"},{"id":4,"name":"Milepost","value":"0.0167"},{"id":17,"name":"Train ID","value":"176-31"},{"id":16,"name":"Locomotive ID","value":"4039"},{"id":130,"name":"Impact","value":""},{"id":150,"name":"Time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61" t="str">
        <f t="shared" si="32"/>
        <v>start /low /b %USERPROFILE%\Documents\GitHub\eaglep3\Utilities\DownloadLogsFromS3.py --loco 4039 --day 2017-01-31</v>
      </c>
      <c r="AN88" s="170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"%USERPROFILE%\AppData\Local\Temp\OnboardLogs"\RTDC4039\*4039*20170131* | grep -SE "(Enforcement Action)|(\[TIMEOUT)|(CHR.+\|PRM\|1\|D.+(SWITCH|SIGNAL).+UNKNOWN)" - &gt;&gt; 2017-01-31-UncaughtWiMAX.txt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3" t="s">
        <v>612</v>
      </c>
      <c r="B89" s="7">
        <v>4027</v>
      </c>
      <c r="C89" s="21" t="s">
        <v>193</v>
      </c>
      <c r="D89" s="21" t="s">
        <v>211</v>
      </c>
      <c r="E89" s="13">
        <v>42766.547407407408</v>
      </c>
      <c r="F89" s="13">
        <v>42766.55232638889</v>
      </c>
      <c r="G89" s="7">
        <v>1</v>
      </c>
      <c r="H89" s="21" t="s">
        <v>475</v>
      </c>
      <c r="I89" s="13">
        <v>42766.578796296293</v>
      </c>
      <c r="J89" s="7">
        <v>0</v>
      </c>
      <c r="K89" s="98" t="str">
        <f t="shared" si="60"/>
        <v>4027/4028</v>
      </c>
      <c r="L89" s="21" t="str">
        <f>VLOOKUP(A89,'Trips&amp;Operators'!$C$1:$G$99999,5,FALSE)</f>
        <v>LEVERE CRAIG</v>
      </c>
      <c r="M89" s="6">
        <f t="shared" si="61"/>
        <v>2.6469907403225079E-2</v>
      </c>
      <c r="N89" s="7">
        <f t="shared" si="62"/>
        <v>38.116666660644114</v>
      </c>
      <c r="O89" s="7"/>
      <c r="P89" s="7"/>
      <c r="Q89" s="22"/>
      <c r="R89" s="22"/>
      <c r="S89" s="31">
        <f t="shared" si="63"/>
        <v>1</v>
      </c>
      <c r="T89" s="46" t="str">
        <f t="shared" si="70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67"/>
        <v>https://d0f6bd738d7f1b3e5a7ca70fe4ff75f0.us-east-1.aws.found.io/app/kibana#/discover/Steve-Slow-Train-Analysis-(2080s-and-2083s)?_g=(refreshInterval:(display:Off,pause:!f,section:0,value:0),time:(from:'2017-01-31T12:08:16-0700',mode:absolute,to:'2017-01-31T14:53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194" t="str">
        <f t="shared" si="71"/>
        <v>N</v>
      </c>
      <c r="X89" s="194">
        <f t="shared" si="65"/>
        <v>1</v>
      </c>
      <c r="Y89" s="62">
        <f t="shared" si="66"/>
        <v>4.6199999999999998E-2</v>
      </c>
      <c r="Z89" s="62">
        <f t="shared" si="64"/>
        <v>23.329799999999999</v>
      </c>
      <c r="AA89" s="62">
        <f t="shared" si="72"/>
        <v>23.2836</v>
      </c>
      <c r="AB89" s="59" t="e">
        <f>VLOOKUP(A89,Enforcements!$C$7:$K$16,8,0)</f>
        <v>#N/A</v>
      </c>
      <c r="AC89" s="55" t="e">
        <f>VLOOKUP(A89,Enforcements!$C$7:$E$16,3,0)</f>
        <v>#N/A</v>
      </c>
      <c r="AD89" s="56" t="str">
        <f t="shared" si="73"/>
        <v>0177-31</v>
      </c>
      <c r="AE89" s="85" t="str">
        <f t="shared" si="68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89" s="82" t="str">
        <f t="shared" si="69"/>
        <v>"C:\Program Files (x86)\AstroGrep\AstroGrep.exe" /spath="%USERPROFILE%\AppData\Local\Temp\OnboardLogs" /stypes="app*4027*20170131*" /stext=" 20:.+((SYSTEM_STATE.+slice.+state.+changed )|(ment ac)|(multiple cpu faults)|(system.+state.+changed )|(\[timeout)|(PRM\|1\|D)|(kpr)|(kdp)|(\|lc)|(penalty))" /e /r /s</v>
      </c>
      <c r="AG89" s="1" t="str">
        <f t="shared" si="74"/>
        <v>EC</v>
      </c>
      <c r="AH89" s="86" t="str">
        <f t="shared" si="30"/>
        <v>"%USERPROFILE%\Documents\GitHub\eaglep3\Utilities\RefineRTDCRunTimes.py" --tripid 177-31 --locoid 4027 --swversion DE.1.0.8.0 --startMP 204:462 --initTime 2017-01-31T13:08:16 --startdatetime 2017-01-31T13:15:21 --delay 1 --endMP 204:233298 --enddatetime 2017-01-31T13:53:28 --enforcementcount 0 &gt;&gt;C:\Users\stu\Documents\GitHub\eaglep3-reporting\EC\2017-01-31-refined-times.txt</v>
      </c>
      <c r="AI89" s="108" t="str">
        <f t="shared" si="31"/>
        <v>echo {"issue":{"subject":"","project_id":79,"tracker_id":40,"status_id":1,"priority_id":2,"assigned_to_id":23,"start_date":"2017-01-31","description":"","custom_fields":[{"id":1,"name":"Subdivision","value":"EC"},{"id":4,"name":"Milepost","value":"23.3298"},{"id":17,"name":"Train ID","value":"177-31"},{"id":16,"name":"Locomotive ID","value":"4027"},{"id":130,"name":"Impact","value":""},{"id":150,"name":"Time of Event (Mountain Time)","value":"13:53:28"},{"id":151,"name":"Denver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61" t="str">
        <f t="shared" si="32"/>
        <v>start /low /b %USERPROFILE%\Documents\GitHub\eaglep3\Utilities\DownloadLogsFromS3.py --loco 4027 --day 2017-01-31</v>
      </c>
      <c r="AN89" s="170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"%USERPROFILE%\AppData\Local\Temp\OnboardLogs"\RTDC4027\*4027*20170131* | grep -SE "(Enforcement Action)|(\[TIMEOUT)|(CHR.+\|PRM\|1\|D.+(SWITCH|SIGNAL).+UNKNOWN)" - &gt;&gt; 2017-01-31-UncaughtWiMAX.txt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3" t="s">
        <v>620</v>
      </c>
      <c r="B90" s="7">
        <v>4028</v>
      </c>
      <c r="C90" s="21" t="s">
        <v>193</v>
      </c>
      <c r="D90" s="21" t="s">
        <v>739</v>
      </c>
      <c r="E90" s="13">
        <v>42766.583773148152</v>
      </c>
      <c r="F90" s="13">
        <v>42766.591157407405</v>
      </c>
      <c r="G90" s="7">
        <v>1</v>
      </c>
      <c r="H90" s="21" t="s">
        <v>215</v>
      </c>
      <c r="I90" s="13">
        <v>42766.618310185186</v>
      </c>
      <c r="J90" s="7">
        <v>0</v>
      </c>
      <c r="K90" s="98" t="str">
        <f t="shared" si="60"/>
        <v>4027/4028</v>
      </c>
      <c r="L90" s="21" t="str">
        <f>VLOOKUP(A90,'Trips&amp;Operators'!$C$1:$G$99999,5,FALSE)</f>
        <v>LEVERE CRAIG</v>
      </c>
      <c r="M90" s="6">
        <f t="shared" si="61"/>
        <v>2.715277778042946E-2</v>
      </c>
      <c r="N90" s="7">
        <f t="shared" si="62"/>
        <v>39.100000003818423</v>
      </c>
      <c r="O90" s="7"/>
      <c r="P90" s="7"/>
      <c r="Q90" s="22"/>
      <c r="R90" s="22"/>
      <c r="S90" s="31">
        <f t="shared" si="63"/>
        <v>1</v>
      </c>
      <c r="T90" s="46" t="str">
        <f t="shared" si="70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67"/>
        <v>https://d0f6bd738d7f1b3e5a7ca70fe4ff75f0.us-east-1.aws.found.io/app/kibana#/discover/Steve-Slow-Train-Analysis-(2080s-and-2083s)?_g=(refreshInterval:(display:Off,pause:!f,section:0,value:0),time:(from:'2017-01-31T13:00:38-0700',mode:absolute,to:'2017-01-31T15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0" s="194" t="str">
        <f t="shared" si="71"/>
        <v>N</v>
      </c>
      <c r="X90" s="194">
        <f t="shared" si="65"/>
        <v>1</v>
      </c>
      <c r="Y90" s="62">
        <f t="shared" si="66"/>
        <v>23.300599999999999</v>
      </c>
      <c r="Z90" s="62">
        <f t="shared" si="64"/>
        <v>1.5800000000000002E-2</v>
      </c>
      <c r="AA90" s="62">
        <f t="shared" si="72"/>
        <v>23.284800000000001</v>
      </c>
      <c r="AB90" s="59" t="e">
        <f>VLOOKUP(A90,Enforcements!$C$7:$K$16,8,0)</f>
        <v>#N/A</v>
      </c>
      <c r="AC90" s="55" t="e">
        <f>VLOOKUP(A90,Enforcements!$C$7:$E$16,3,0)</f>
        <v>#N/A</v>
      </c>
      <c r="AD90" s="56" t="str">
        <f t="shared" si="73"/>
        <v>0178-31</v>
      </c>
      <c r="AE90" s="85" t="str">
        <f t="shared" si="68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90" s="82" t="str">
        <f t="shared" si="69"/>
        <v>"C:\Program Files (x86)\AstroGrep\AstroGrep.exe" /spath="%USERPROFILE%\AppData\Local\Temp\OnboardLogs" /stypes="app*4028*20170131*" /stext=" 21:.+((SYSTEM_STATE.+slice.+state.+changed )|(ment ac)|(multiple cpu faults)|(system.+state.+changed )|(\[timeout)|(PRM\|1\|D)|(kpr)|(kdp)|(\|lc)|(penalty))" /e /r /s</v>
      </c>
      <c r="AG90" s="1" t="str">
        <f t="shared" si="74"/>
        <v>EC</v>
      </c>
      <c r="AH90" s="86" t="str">
        <f t="shared" ref="AH90:AH153" si="75"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"&amp;J90&amp;IF(outputrefinedruntimes," &gt;&gt;"&amp;RefinedRTDCRunTimesOutputFile,"")</f>
        <v>"%USERPROFILE%\Documents\GitHub\eaglep3\Utilities\RefineRTDCRunTimes.py" --tripid 178-31 --locoid 4028 --swversion DE.1.0.8.0 --startMP 204:233006 --initTime 2017-01-31T14:00:38 --startdatetime 2017-01-31T14:11:16 --delay 1 --endMP 204:158 --enddatetime 2017-01-31T14:50:22 --enforcementcount 0 &gt;&gt;C:\Users\stu\Documents\GitHub\eaglep3-reporting\EC\2017-01-31-refined-times.txt</v>
      </c>
      <c r="AI90" s="108" t="str">
        <f t="shared" ref="AI90:AI153" si="76"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Z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{"issue":{"subject":"","project_id":79,"tracker_id":40,"status_id":1,"priority_id":2,"assigned_to_id":23,"start_date":"2017-01-31","description":"","custom_fields":[{"id":1,"name":"Subdivision","value":"EC"},{"id":4,"name":"Milepost","value":"0.0158"},{"id":17,"name":"Train ID","value":"178-31"},{"id":16,"name":"Locomotive ID","value":"4028"},{"id":130,"name":"Impact","value":""},{"id":150,"name":"Time of Event (Mountain Time)","value":"14:50:22"},{"id":151,"name":"Denver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61" t="str">
        <f t="shared" ref="AM90:AM153" si="77">"start /low /b "&amp;dls3logs&amp;" --loco "&amp;B90&amp;" --day "&amp;TEXT(F90,"YYYY-MM-DD")</f>
        <v>start /low /b %USERPROFILE%\Documents\GitHub\eaglep3\Utilities\DownloadLogsFromS3.py --loco 4028 --day 2017-01-31</v>
      </c>
      <c r="AN90" s="170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"%USERPROFILE%\AppData\Local\Temp\OnboardLogs"\RTDC4028\*4028*20170131* | grep -SE "(Enforcement Action)|(\[TIMEOUT)|(CHR.+\|PRM\|1\|D.+(SWITCH|SIGNAL).+UNKNOWN)" - &gt;&gt; 2017-01-31-UncaughtWiMAX.txt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3" t="s">
        <v>614</v>
      </c>
      <c r="B91" s="7">
        <v>4042</v>
      </c>
      <c r="C91" s="21" t="s">
        <v>193</v>
      </c>
      <c r="D91" s="21" t="s">
        <v>211</v>
      </c>
      <c r="E91" s="13">
        <v>42766.559583333335</v>
      </c>
      <c r="F91" s="13">
        <v>42766.562673611108</v>
      </c>
      <c r="G91" s="7">
        <v>1</v>
      </c>
      <c r="H91" s="21" t="s">
        <v>225</v>
      </c>
      <c r="I91" s="13">
        <v>42766.588726851849</v>
      </c>
      <c r="J91" s="7">
        <v>0</v>
      </c>
      <c r="K91" s="98" t="str">
        <f t="shared" si="60"/>
        <v>4041/4042</v>
      </c>
      <c r="L91" s="21" t="str">
        <f>VLOOKUP(A91,'Trips&amp;Operators'!$C$1:$G$99999,5,FALSE)</f>
        <v>CLARK KATHLEEN</v>
      </c>
      <c r="M91" s="6">
        <f t="shared" si="61"/>
        <v>2.6053240741021E-2</v>
      </c>
      <c r="N91" s="7">
        <f t="shared" si="62"/>
        <v>37.51666666707024</v>
      </c>
      <c r="O91" s="7"/>
      <c r="P91" s="7"/>
      <c r="Q91" s="22"/>
      <c r="R91" s="22"/>
      <c r="S91" s="31">
        <f t="shared" si="63"/>
        <v>1</v>
      </c>
      <c r="T91" s="46" t="str">
        <f t="shared" si="70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67"/>
        <v>https://d0f6bd738d7f1b3e5a7ca70fe4ff75f0.us-east-1.aws.found.io/app/kibana#/discover/Steve-Slow-Train-Analysis-(2080s-and-2083s)?_g=(refreshInterval:(display:Off,pause:!f,section:0,value:0),time:(from:'2017-01-31T12:25:48-0700',mode:absolute,to:'2017-01-31T15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94" t="str">
        <f t="shared" si="71"/>
        <v>N</v>
      </c>
      <c r="X91" s="194">
        <f t="shared" si="65"/>
        <v>1</v>
      </c>
      <c r="Y91" s="62">
        <f t="shared" si="66"/>
        <v>4.6199999999999998E-2</v>
      </c>
      <c r="Z91" s="62">
        <f t="shared" si="64"/>
        <v>23.329899999999999</v>
      </c>
      <c r="AA91" s="62">
        <f t="shared" si="72"/>
        <v>23.2837</v>
      </c>
      <c r="AB91" s="59" t="e">
        <f>VLOOKUP(A91,Enforcements!$C$7:$K$16,8,0)</f>
        <v>#N/A</v>
      </c>
      <c r="AC91" s="55" t="e">
        <f>VLOOKUP(A91,Enforcements!$C$7:$E$16,3,0)</f>
        <v>#N/A</v>
      </c>
      <c r="AD91" s="56" t="str">
        <f t="shared" si="73"/>
        <v>0179-31</v>
      </c>
      <c r="AE91" s="85" t="str">
        <f t="shared" si="68"/>
        <v>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 &amp; 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</v>
      </c>
      <c r="AF91" s="82" t="str">
        <f t="shared" si="69"/>
        <v>"C:\Program Files (x86)\AstroGrep\AstroGrep.exe" /spath="%USERPROFILE%\AppData\Local\Temp\OnboardLogs" /stypes="app*4042*20170131*" /stext=" 21:.+((SYSTEM_STATE.+slice.+state.+changed )|(ment ac)|(multiple cpu faults)|(system.+state.+changed )|(\[timeout)|(PRM\|1\|D)|(kpr)|(kdp)|(\|lc)|(penalty))" /e /r /s</v>
      </c>
      <c r="AG91" s="1" t="str">
        <f t="shared" si="74"/>
        <v>EC</v>
      </c>
      <c r="AH91" s="86" t="str">
        <f t="shared" si="75"/>
        <v>"%USERPROFILE%\Documents\GitHub\eaglep3\Utilities\RefineRTDCRunTimes.py" --tripid 179-31 --locoid 4042 --swversion DE.1.0.8.0 --startMP 204:462 --initTime 2017-01-31T13:25:48 --startdatetime 2017-01-31T13:30:15 --delay 1 --endMP 204:233299 --enddatetime 2017-01-31T14:07:46 --enforcementcount 0 &gt;&gt;C:\Users\stu\Documents\GitHub\eaglep3-reporting\EC\2017-01-31-refined-times.txt</v>
      </c>
      <c r="AI91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{"issue":{"subject":"","project_id":79,"tracker_id":40,"status_id":1,"priority_id":2,"assigned_to_id":23,"start_date":"2017-01-31","description":"","custom_fields":[{"id":1,"name":"Subdivision","value":"EC"},{"id":4,"name":"Milepost","value":"23.3299"},{"id":17,"name":"Train ID","value":"179-31"},{"id":16,"name":"Locomotive ID","value":"4042"},{"id":130,"name":"Impact","value":""},{"id":150,"name":"Time of Event (Mountain Time)","value":"14:07:46"},{"id":151,"name":"Denver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61" t="str">
        <f t="shared" si="77"/>
        <v>start /low /b %USERPROFILE%\Documents\GitHub\eaglep3\Utilities\DownloadLogsFromS3.py --loco 4042 --day 2017-01-31</v>
      </c>
      <c r="AN91" s="170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"%USERPROFILE%\AppData\Local\Temp\OnboardLogs"\RTDC4042\*4042*20170131* | grep -SE "(Enforcement Action)|(\[TIMEOUT)|(CHR.+\|PRM\|1\|D.+(SWITCH|SIGNAL).+UNKNOWN)" - &gt;&gt; 2017-01-31-UncaughtWiMAX.txt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3" t="s">
        <v>623</v>
      </c>
      <c r="B92" s="7">
        <v>4041</v>
      </c>
      <c r="C92" s="21" t="s">
        <v>193</v>
      </c>
      <c r="D92" s="21" t="s">
        <v>708</v>
      </c>
      <c r="E92" s="13">
        <v>42766.597141203703</v>
      </c>
      <c r="F92" s="13">
        <v>42766.6015625</v>
      </c>
      <c r="G92" s="7">
        <v>1</v>
      </c>
      <c r="H92" s="21" t="s">
        <v>740</v>
      </c>
      <c r="I92" s="13">
        <v>42766.629803240743</v>
      </c>
      <c r="J92" s="7">
        <v>0</v>
      </c>
      <c r="K92" s="98" t="str">
        <f t="shared" si="60"/>
        <v>4041/4042</v>
      </c>
      <c r="L92" s="21" t="str">
        <f>VLOOKUP(A92,'Trips&amp;Operators'!$C$1:$G$99999,5,FALSE)</f>
        <v>CLARK KATHLEEN</v>
      </c>
      <c r="M92" s="6">
        <f t="shared" si="61"/>
        <v>2.8240740743058268E-2</v>
      </c>
      <c r="N92" s="7">
        <f t="shared" si="62"/>
        <v>40.666666670003906</v>
      </c>
      <c r="O92" s="7"/>
      <c r="P92" s="7"/>
      <c r="Q92" s="22"/>
      <c r="R92" s="22"/>
      <c r="S92" s="31">
        <f t="shared" si="63"/>
        <v>1</v>
      </c>
      <c r="T92" s="46" t="str">
        <f t="shared" si="70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67"/>
        <v>https://d0f6bd738d7f1b3e5a7ca70fe4ff75f0.us-east-1.aws.found.io/app/kibana#/discover/Steve-Slow-Train-Analysis-(2080s-and-2083s)?_g=(refreshInterval:(display:Off,pause:!f,section:0,value:0),time:(from:'2017-01-31T13:19:53-0700',mode:absolute,to:'2017-01-31T16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94" t="str">
        <f t="shared" si="71"/>
        <v>N</v>
      </c>
      <c r="X92" s="194">
        <f t="shared" si="65"/>
        <v>1</v>
      </c>
      <c r="Y92" s="62">
        <f t="shared" si="66"/>
        <v>23.297699999999999</v>
      </c>
      <c r="Z92" s="62">
        <f t="shared" si="64"/>
        <v>1.78E-2</v>
      </c>
      <c r="AA92" s="62">
        <f t="shared" si="72"/>
        <v>23.279899999999998</v>
      </c>
      <c r="AB92" s="59" t="e">
        <f>VLOOKUP(A92,Enforcements!$C$7:$K$16,8,0)</f>
        <v>#N/A</v>
      </c>
      <c r="AC92" s="55" t="e">
        <f>VLOOKUP(A92,Enforcements!$C$7:$E$16,3,0)</f>
        <v>#N/A</v>
      </c>
      <c r="AD92" s="56" t="str">
        <f t="shared" si="73"/>
        <v>0180-31</v>
      </c>
      <c r="AE92" s="85" t="str">
        <f t="shared" si="68"/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AF92" s="82" t="str">
        <f t="shared" si="69"/>
        <v>"C:\Program Files (x86)\AstroGrep\AstroGrep.exe" /spath="%USERPROFILE%\AppData\Local\Temp\OnboardLogs" /stypes="app*4041*20170131*" /stext=" 22:.+((SYSTEM_STATE.+slice.+state.+changed )|(ment ac)|(multiple cpu faults)|(system.+state.+changed )|(\[timeout)|(PRM\|1\|D)|(kpr)|(kdp)|(\|lc)|(penalty))" /e /r /s</v>
      </c>
      <c r="AG92" s="1" t="str">
        <f t="shared" si="74"/>
        <v>EC</v>
      </c>
      <c r="AH92" s="86" t="str">
        <f t="shared" si="75"/>
        <v>"%USERPROFILE%\Documents\GitHub\eaglep3\Utilities\RefineRTDCRunTimes.py" --tripid 180-31 --locoid 4041 --swversion DE.1.0.8.0 --startMP 204:232977 --initTime 2017-01-31T14:19:53 --startdatetime 2017-01-31T14:26:15 --delay 1 --endMP 204:178 --enddatetime 2017-01-31T15:06:55 --enforcementcount 0 &gt;&gt;C:\Users\stu\Documents\GitHub\eaglep3-reporting\EC\2017-01-31-refined-times.txt</v>
      </c>
      <c r="AI92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{"issue":{"subject":"","project_id":79,"tracker_id":40,"status_id":1,"priority_id":2,"assigned_to_id":23,"start_date":"2017-01-31","description":"","custom_fields":[{"id":1,"name":"Subdivision","value":"EC"},{"id":4,"name":"Milepost","value":"0.0178"},{"id":17,"name":"Train ID","value":"180-31"},{"id":16,"name":"Locomotive ID","value":"4041"},{"id":130,"name":"Impact","value":""},{"id":150,"name":"Time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61" t="str">
        <f t="shared" si="77"/>
        <v>start /low /b %USERPROFILE%\Documents\GitHub\eaglep3\Utilities\DownloadLogsFromS3.py --loco 4041 --day 2017-01-31</v>
      </c>
      <c r="AN92" s="170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617</v>
      </c>
      <c r="B93" s="7">
        <v>4002</v>
      </c>
      <c r="C93" s="21" t="s">
        <v>193</v>
      </c>
      <c r="D93" s="21" t="s">
        <v>362</v>
      </c>
      <c r="E93" s="13">
        <v>42766.569872685184</v>
      </c>
      <c r="F93" s="13">
        <v>42766.573125000003</v>
      </c>
      <c r="G93" s="7">
        <v>1</v>
      </c>
      <c r="H93" s="21" t="s">
        <v>229</v>
      </c>
      <c r="I93" s="13">
        <v>42766.598055555558</v>
      </c>
      <c r="J93" s="7">
        <v>0</v>
      </c>
      <c r="K93" s="98" t="str">
        <f t="shared" si="60"/>
        <v>4001/4002</v>
      </c>
      <c r="L93" s="21" t="str">
        <f>VLOOKUP(A93,'Trips&amp;Operators'!$C$1:$G$99999,5,FALSE)</f>
        <v>CRAYTON QUNTRELL</v>
      </c>
      <c r="M93" s="6">
        <f t="shared" si="61"/>
        <v>2.4930555555329192E-2</v>
      </c>
      <c r="N93" s="7">
        <f t="shared" si="62"/>
        <v>35.899999999674037</v>
      </c>
      <c r="O93" s="7"/>
      <c r="P93" s="7"/>
      <c r="Q93" s="22"/>
      <c r="R93" s="22"/>
      <c r="S93" s="31">
        <f t="shared" si="63"/>
        <v>1</v>
      </c>
      <c r="T93" s="46" t="str">
        <f t="shared" si="70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67"/>
        <v>https://d0f6bd738d7f1b3e5a7ca70fe4ff75f0.us-east-1.aws.found.io/app/kibana#/discover/Steve-Slow-Train-Analysis-(2080s-and-2083s)?_g=(refreshInterval:(display:Off,pause:!f,section:0,value:0),time:(from:'2017-01-31T12:40:37-0700',mode:absolute,to:'2017-01-31T15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4" t="str">
        <f t="shared" si="71"/>
        <v>N</v>
      </c>
      <c r="X93" s="194">
        <f t="shared" si="65"/>
        <v>1</v>
      </c>
      <c r="Y93" s="62">
        <f t="shared" si="66"/>
        <v>4.7800000000000002E-2</v>
      </c>
      <c r="Z93" s="62">
        <f t="shared" si="64"/>
        <v>23.329699999999999</v>
      </c>
      <c r="AA93" s="62">
        <f t="shared" si="72"/>
        <v>23.2819</v>
      </c>
      <c r="AB93" s="59" t="e">
        <f>VLOOKUP(A93,Enforcements!$C$7:$K$16,8,0)</f>
        <v>#N/A</v>
      </c>
      <c r="AC93" s="55" t="e">
        <f>VLOOKUP(A93,Enforcements!$C$7:$E$16,3,0)</f>
        <v>#N/A</v>
      </c>
      <c r="AD93" s="56" t="str">
        <f t="shared" si="73"/>
        <v>0181-31</v>
      </c>
      <c r="AE93" s="85" t="str">
        <f t="shared" si="68"/>
        <v>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 &amp; aws s3 cp s3://rtdc.mdm.uploadarchive.raw/RTDC4002/ "%USERPROFILE%\AppData\Local\Temp\OnboardLogs"\RTDC4002\2017-02-01 --exclude "*" --recursive --include "*20170201*" &amp; "%USERPROFILE%\Documents\GitHub\mrs-test-scripts\Headless Mode &amp; Sideloading\WalkAndUnGZ.bat" "%USERPROFILE%\AppData\Local\Temp\OnboardLogs"\RTDC4002\2017-02-01</v>
      </c>
      <c r="AF93" s="82" t="str">
        <f t="shared" si="69"/>
        <v>"C:\Program Files (x86)\AstroGrep\AstroGrep.exe" /spath="%USERPROFILE%\AppData\Local\Temp\OnboardLogs" /stypes="app*4002*20170131*" /stext=" 21:.+((SYSTEM_STATE.+slice.+state.+changed )|(ment ac)|(multiple cpu faults)|(system.+state.+changed )|(\[timeout)|(PRM\|1\|D)|(kpr)|(kdp)|(\|lc)|(penalty))" /e /r /s</v>
      </c>
      <c r="AG93" s="1" t="str">
        <f t="shared" si="74"/>
        <v>EC</v>
      </c>
      <c r="AH93" s="86" t="str">
        <f t="shared" si="75"/>
        <v>"%USERPROFILE%\Documents\GitHub\eaglep3\Utilities\RefineRTDCRunTimes.py" --tripid 181-31 --locoid 4002 --swversion DE.1.0.8.0 --startMP 204:478 --initTime 2017-01-31T13:40:37 --startdatetime 2017-01-31T13:45:18 --delay 1 --endMP 204:233297 --enddatetime 2017-01-31T14:21:12 --enforcementcount 0 &gt;&gt;C:\Users\stu\Documents\GitHub\eaglep3-reporting\EC\2017-01-31-refined-times.txt</v>
      </c>
      <c r="AI93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{"issue":{"subject":"","project_id":79,"tracker_id":40,"status_id":1,"priority_id":2,"assigned_to_id":23,"start_date":"2017-01-31","description":"","custom_fields":[{"id":1,"name":"Subdivision","value":"EC"},{"id":4,"name":"Milepost","value":"23.3297"},{"id":17,"name":"Train ID","value":"181-31"},{"id":16,"name":"Locomotive ID","value":"4002"},{"id":130,"name":"Impact","value":""},{"id":150,"name":"Time of Event (Mountain Time)","value":"14:21:12"},{"id":151,"name":"Denver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61" t="str">
        <f t="shared" si="77"/>
        <v>start /low /b %USERPROFILE%\Documents\GitHub\eaglep3\Utilities\DownloadLogsFromS3.py --loco 4002 --day 2017-01-31</v>
      </c>
      <c r="AN93" s="170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"%USERPROFILE%\AppData\Local\Temp\OnboardLogs"\RTDC4002\*4002*20170131* | grep -SE "(Enforcement Action)|(\[TIMEOUT)|(CHR.+\|PRM\|1\|D.+(SWITCH|SIGNAL).+UNKNOWN)" - &gt;&gt; 2017-01-31-UncaughtWiMAX.txt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500</v>
      </c>
      <c r="B94" s="7">
        <v>4001</v>
      </c>
      <c r="C94" s="21" t="s">
        <v>193</v>
      </c>
      <c r="D94" s="21" t="s">
        <v>342</v>
      </c>
      <c r="E94" s="13">
        <v>42766.604525462964</v>
      </c>
      <c r="F94" s="13">
        <v>42766.612337962964</v>
      </c>
      <c r="G94" s="7">
        <v>3</v>
      </c>
      <c r="H94" s="21" t="s">
        <v>228</v>
      </c>
      <c r="I94" s="13">
        <v>42766.639178240737</v>
      </c>
      <c r="J94" s="7">
        <v>0</v>
      </c>
      <c r="K94" s="98" t="str">
        <f t="shared" ref="K94:K125" si="78">IF(ISEVEN(B94),(B94-1)&amp;"/"&amp;B94,B94&amp;"/"&amp;(B94+1))</f>
        <v>4001/4002</v>
      </c>
      <c r="L94" s="21" t="str">
        <f>VLOOKUP(A94,'Trips&amp;Operators'!$C$1:$G$99999,5,FALSE)</f>
        <v>CRAYTON QUNTRELL</v>
      </c>
      <c r="M94" s="6">
        <f t="shared" ref="M94:M125" si="79">I94-F94</f>
        <v>2.6840277772862464E-2</v>
      </c>
      <c r="N94" s="7">
        <f t="shared" ref="N94:N108" si="80">24*60*SUM($M94:$M94)</f>
        <v>38.649999992921948</v>
      </c>
      <c r="O94" s="7"/>
      <c r="P94" s="7"/>
      <c r="Q94" s="22"/>
      <c r="R94" s="22"/>
      <c r="S94" s="31">
        <f t="shared" ref="S94:S125" si="81">SUM(U94:U94)/IF(AG94="EC",12,1)</f>
        <v>1</v>
      </c>
      <c r="T94" s="46" t="str">
        <f t="shared" si="70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67"/>
        <v>https://d0f6bd738d7f1b3e5a7ca70fe4ff75f0.us-east-1.aws.found.io/app/kibana#/discover/Steve-Slow-Train-Analysis-(2080s-and-2083s)?_g=(refreshInterval:(display:Off,pause:!f,section:0,value:0),time:(from:'2017-01-31T13:30:31-0700',mode:absolute,to:'2017-01-31T16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4" t="str">
        <f t="shared" si="71"/>
        <v>N</v>
      </c>
      <c r="X94" s="194">
        <f t="shared" si="65"/>
        <v>1</v>
      </c>
      <c r="Y94" s="62">
        <f t="shared" si="66"/>
        <v>23.297899999999998</v>
      </c>
      <c r="Z94" s="62">
        <f t="shared" ref="Z94:Z125" si="82">RIGHT(H94,LEN(H94)-4)/10000</f>
        <v>1.54E-2</v>
      </c>
      <c r="AA94" s="62">
        <f t="shared" si="72"/>
        <v>23.282499999999999</v>
      </c>
      <c r="AB94" s="59" t="e">
        <f>VLOOKUP(A94,Enforcements!$C$7:$K$16,8,0)</f>
        <v>#N/A</v>
      </c>
      <c r="AC94" s="55" t="e">
        <f>VLOOKUP(A94,Enforcements!$C$7:$E$16,3,0)</f>
        <v>#N/A</v>
      </c>
      <c r="AD94" s="56" t="str">
        <f t="shared" si="73"/>
        <v>0182-31</v>
      </c>
      <c r="AE94" s="85" t="str">
        <f t="shared" si="68"/>
        <v>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 &amp; aws s3 cp s3://rtdc.mdm.uploadarchive.raw/RTDC4001/ "%USERPROFILE%\AppData\Local\Temp\OnboardLogs"\RTDC4001\2017-02-01 --exclude "*" --recursive --include "*20170201*" &amp; "%USERPROFILE%\Documents\GitHub\mrs-test-scripts\Headless Mode &amp; Sideloading\WalkAndUnGZ.bat" "%USERPROFILE%\AppData\Local\Temp\OnboardLogs"\RTDC4001\2017-02-01</v>
      </c>
      <c r="AF94" s="82" t="str">
        <f t="shared" si="69"/>
        <v>"C:\Program Files (x86)\AstroGrep\AstroGrep.exe" /spath="%USERPROFILE%\AppData\Local\Temp\OnboardLogs" /stypes="app*4001*20170131*" /stext=" 22:.+((SYSTEM_STATE.+slice.+state.+changed )|(ment ac)|(multiple cpu faults)|(system.+state.+changed )|(\[timeout)|(PRM\|1\|D)|(kpr)|(kdp)|(\|lc)|(penalty))" /e /r /s</v>
      </c>
      <c r="AG94" s="1" t="str">
        <f t="shared" si="74"/>
        <v>EC</v>
      </c>
      <c r="AH94" s="86" t="str">
        <f t="shared" si="75"/>
        <v>"%USERPROFILE%\Documents\GitHub\eaglep3\Utilities\RefineRTDCRunTimes.py" --tripid 182-31 --locoid 4001 --swversion DE.1.0.8.0 --startMP 204:232979 --initTime 2017-01-31T14:30:31 --startdatetime 2017-01-31T14:41:46 --delay 3 --endMP 204:154 --enddatetime 2017-01-31T15:20:25 --enforcementcount 0 &gt;&gt;C:\Users\stu\Documents\GitHub\eaglep3-reporting\EC\2017-01-31-refined-times.txt</v>
      </c>
      <c r="AI94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{"issue":{"subject":"","project_id":79,"tracker_id":40,"status_id":1,"priority_id":2,"assigned_to_id":23,"start_date":"2017-01-31","description":"","custom_fields":[{"id":1,"name":"Subdivision","value":"EC"},{"id":4,"name":"Milepost","value":"0.0154"},{"id":17,"name":"Train ID","value":"182-31"},{"id":16,"name":"Locomotive ID","value":"4001"},{"id":130,"name":"Impact","value":""},{"id":150,"name":"Time of Event (Mountain Time)","value":"15:20:25"},{"id":151,"name":"Denver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61" t="str">
        <f t="shared" si="77"/>
        <v>start /low /b %USERPROFILE%\Documents\GitHub\eaglep3\Utilities\DownloadLogsFromS3.py --loco 4001 --day 2017-01-31</v>
      </c>
      <c r="AN94" s="170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"%USERPROFILE%\AppData\Local\Temp\OnboardLogs"\RTDC4001\*4001*20170131* | grep -SE "(Enforcement Action)|(\[TIMEOUT)|(CHR.+\|PRM\|1\|D.+(SWITCH|SIGNAL).+UNKNOWN)" - &gt;&gt; 2017-01-31-UncaughtWiMAX.txt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619</v>
      </c>
      <c r="B95" s="7">
        <v>4011</v>
      </c>
      <c r="C95" s="21" t="s">
        <v>193</v>
      </c>
      <c r="D95" s="21" t="s">
        <v>307</v>
      </c>
      <c r="E95" s="13">
        <v>42766.581203703703</v>
      </c>
      <c r="F95" s="13">
        <v>42766.583506944444</v>
      </c>
      <c r="G95" s="7">
        <v>1</v>
      </c>
      <c r="H95" s="21" t="s">
        <v>476</v>
      </c>
      <c r="I95" s="13">
        <v>42766.607731481483</v>
      </c>
      <c r="J95" s="7">
        <v>0</v>
      </c>
      <c r="K95" s="98" t="str">
        <f t="shared" si="78"/>
        <v>4011/4012</v>
      </c>
      <c r="L95" s="21" t="str">
        <f>VLOOKUP(A95,'Trips&amp;Operators'!$C$1:$G$99999,5,FALSE)</f>
        <v>ROMERO CHAD</v>
      </c>
      <c r="M95" s="6">
        <f t="shared" si="79"/>
        <v>2.4224537039117422E-2</v>
      </c>
      <c r="N95" s="7">
        <f t="shared" si="80"/>
        <v>34.883333336329088</v>
      </c>
      <c r="O95" s="7"/>
      <c r="P95" s="7"/>
      <c r="Q95" s="22"/>
      <c r="R95" s="22"/>
      <c r="S95" s="31">
        <f t="shared" si="81"/>
        <v>1</v>
      </c>
      <c r="T95" s="46" t="str">
        <f t="shared" si="70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67"/>
        <v>https://d0f6bd738d7f1b3e5a7ca70fe4ff75f0.us-east-1.aws.found.io/app/kibana#/discover/Steve-Slow-Train-Analysis-(2080s-and-2083s)?_g=(refreshInterval:(display:Off,pause:!f,section:0,value:0),time:(from:'2017-01-31T12:56:56-0700',mode:absolute,to:'2017-01-31T15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5" s="194" t="str">
        <f t="shared" si="71"/>
        <v>N</v>
      </c>
      <c r="X95" s="194">
        <f t="shared" si="65"/>
        <v>1</v>
      </c>
      <c r="Y95" s="62">
        <f t="shared" si="66"/>
        <v>4.5499999999999999E-2</v>
      </c>
      <c r="Z95" s="62">
        <f t="shared" si="82"/>
        <v>23.339500000000001</v>
      </c>
      <c r="AA95" s="62">
        <f t="shared" si="72"/>
        <v>23.294</v>
      </c>
      <c r="AB95" s="59" t="e">
        <f>VLOOKUP(A95,Enforcements!$C$7:$K$16,8,0)</f>
        <v>#N/A</v>
      </c>
      <c r="AC95" s="55" t="e">
        <f>VLOOKUP(A95,Enforcements!$C$7:$E$16,3,0)</f>
        <v>#N/A</v>
      </c>
      <c r="AD95" s="56" t="str">
        <f t="shared" si="73"/>
        <v>0183-31</v>
      </c>
      <c r="AE95" s="85" t="str">
        <f t="shared" si="68"/>
        <v>aws s3 cp s3://rtdc.mdm.uploadarchive.raw/RTDC4011/ "%USERPROFILE%\AppData\Local\Temp\OnboardLogs"\RTDC4011\2017-01-31 --exclude "*" --recursive --include "*20170131*" &amp; "%USERPROFILE%\Documents\GitHub\mrs-test-scripts\Headless Mode &amp; Sideloading\WalkAndUnGZ.bat" "%USERPROFILE%\AppData\Local\Temp\OnboardLogs"\RTDC4011\2017-01-31 &amp; 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</v>
      </c>
      <c r="AF95" s="82" t="str">
        <f t="shared" si="69"/>
        <v>"C:\Program Files (x86)\AstroGrep\AstroGrep.exe" /spath="%USERPROFILE%\AppData\Local\Temp\OnboardLogs" /stypes="app*4011*20170131*" /stext=" 21:.+((SYSTEM_STATE.+slice.+state.+changed )|(ment ac)|(multiple cpu faults)|(system.+state.+changed )|(\[timeout)|(PRM\|1\|D)|(kpr)|(kdp)|(\|lc)|(penalty))" /e /r /s</v>
      </c>
      <c r="AG95" s="1" t="str">
        <f t="shared" si="74"/>
        <v>EC</v>
      </c>
      <c r="AH95" s="86" t="str">
        <f t="shared" si="75"/>
        <v>"%USERPROFILE%\Documents\GitHub\eaglep3\Utilities\RefineRTDCRunTimes.py" --tripid 183-31 --locoid 4011 --swversion DE.1.0.8.0 --startMP 204:455 --initTime 2017-01-31T13:56:56 --startdatetime 2017-01-31T14:00:15 --delay 1 --endMP 204:233395 --enddatetime 2017-01-31T14:35:08 --enforcementcount 0 &gt;&gt;C:\Users\stu\Documents\GitHub\eaglep3-reporting\EC\2017-01-31-refined-times.txt</v>
      </c>
      <c r="AI95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{"issue":{"subject":"","project_id":79,"tracker_id":40,"status_id":1,"priority_id":2,"assigned_to_id":23,"start_date":"2017-01-31","description":"","custom_fields":[{"id":1,"name":"Subdivision","value":"EC"},{"id":4,"name":"Milepost","value":"23.3395"},{"id":17,"name":"Train ID","value":"183-31"},{"id":16,"name":"Locomotive ID","value":"4011"},{"id":130,"name":"Impact","value":""},{"id":150,"name":"Time of Event (Mountain Time)","value":"14:35:08"},{"id":151,"name":"Denver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61" t="str">
        <f t="shared" si="77"/>
        <v>start /low /b %USERPROFILE%\Documents\GitHub\eaglep3\Utilities\DownloadLogsFromS3.py --loco 4011 --day 2017-01-31</v>
      </c>
      <c r="AN95" s="170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"%USERPROFILE%\AppData\Local\Temp\OnboardLogs"\RTDC4011\*4011*20170131* | grep -SE "(Enforcement Action)|(\[TIMEOUT)|(CHR.+\|PRM\|1\|D.+(SWITCH|SIGNAL).+UNKNOWN)" - &gt;&gt; 2017-01-31-UncaughtWiMAX.txt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501</v>
      </c>
      <c r="B96" s="7">
        <v>4012</v>
      </c>
      <c r="C96" s="21" t="s">
        <v>193</v>
      </c>
      <c r="D96" s="21" t="s">
        <v>741</v>
      </c>
      <c r="E96" s="13">
        <v>42766.610636574071</v>
      </c>
      <c r="F96" s="13">
        <v>42766.622372685182</v>
      </c>
      <c r="G96" s="7">
        <v>1</v>
      </c>
      <c r="H96" s="21" t="s">
        <v>294</v>
      </c>
      <c r="I96" s="13">
        <v>42766.649386574078</v>
      </c>
      <c r="J96" s="7">
        <v>0</v>
      </c>
      <c r="K96" s="98" t="str">
        <f t="shared" si="78"/>
        <v>4011/4012</v>
      </c>
      <c r="L96" s="21" t="str">
        <f>VLOOKUP(A96,'Trips&amp;Operators'!$C$1:$G$99999,5,FALSE)</f>
        <v>ROMERO CHAD</v>
      </c>
      <c r="M96" s="6">
        <f t="shared" si="79"/>
        <v>2.701388889545342E-2</v>
      </c>
      <c r="N96" s="7">
        <f t="shared" si="80"/>
        <v>38.900000009452924</v>
      </c>
      <c r="O96" s="7"/>
      <c r="P96" s="7"/>
      <c r="Q96" s="22"/>
      <c r="R96" s="22"/>
      <c r="S96" s="31">
        <f t="shared" si="81"/>
        <v>1</v>
      </c>
      <c r="T96" s="46" t="str">
        <f t="shared" si="70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67"/>
        <v>https://d0f6bd738d7f1b3e5a7ca70fe4ff75f0.us-east-1.aws.found.io/app/kibana#/discover/Steve-Slow-Train-Analysis-(2080s-and-2083s)?_g=(refreshInterval:(display:Off,pause:!f,section:0,value:0),time:(from:'2017-01-31T13:39:19-0700',mode:absolute,to:'2017-01-31T16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6" s="194" t="str">
        <f t="shared" si="71"/>
        <v>N</v>
      </c>
      <c r="X96" s="194">
        <f t="shared" si="65"/>
        <v>1</v>
      </c>
      <c r="Y96" s="62">
        <f t="shared" si="66"/>
        <v>23.3096</v>
      </c>
      <c r="Z96" s="62">
        <f t="shared" si="82"/>
        <v>1.3599999999999999E-2</v>
      </c>
      <c r="AA96" s="62">
        <f t="shared" si="72"/>
        <v>23.295999999999999</v>
      </c>
      <c r="AB96" s="59" t="str">
        <f>VLOOKUP(A96,Enforcements!$C$7:$K$16,8,0)</f>
        <v>Bulletin (2)</v>
      </c>
      <c r="AC96" s="55" t="str">
        <f>VLOOKUP(A96,Enforcements!$C$7:$E$16,3,0)</f>
        <v>GRADE CROSSING</v>
      </c>
      <c r="AD96" s="56" t="str">
        <f t="shared" si="73"/>
        <v>0184-31</v>
      </c>
      <c r="AE96" s="85" t="str">
        <f t="shared" si="68"/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AF96" s="82" t="str">
        <f t="shared" si="69"/>
        <v>"C:\Program Files (x86)\AstroGrep\AstroGrep.exe" /spath="%USERPROFILE%\AppData\Local\Temp\OnboardLogs" /stypes="app*4012*20170131*" /stext=" 22:.+((SYSTEM_STATE.+slice.+state.+changed )|(ment ac)|(multiple cpu faults)|(system.+state.+changed )|(\[timeout)|(PRM\|1\|D)|(kpr)|(kdp)|(\|lc)|(penalty))" /e /r /s</v>
      </c>
      <c r="AG96" s="1" t="str">
        <f t="shared" si="74"/>
        <v>EC</v>
      </c>
      <c r="AH96" s="86" t="str">
        <f t="shared" si="75"/>
        <v>"%USERPROFILE%\Documents\GitHub\eaglep3\Utilities\RefineRTDCRunTimes.py" --tripid 184-31 --locoid 4012 --swversion DE.1.0.8.0 --startMP 204:233096 --initTime 2017-01-31T14:39:19 --startdatetime 2017-01-31T14:56:13 --delay 1 --endMP 204:136 --enddatetime 2017-01-31T15:35:07 --enforcementcount 0 &gt;&gt;C:\Users\stu\Documents\GitHub\eaglep3-reporting\EC\2017-01-31-refined-times.txt</v>
      </c>
      <c r="AI96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{"issue":{"subject":"","project_id":79,"tracker_id":40,"status_id":1,"priority_id":2,"assigned_to_id":23,"start_date":"2017-01-31","description":"","custom_fields":[{"id":1,"name":"Subdivision","value":"EC"},{"id":4,"name":"Milepost","value":"0.0136"},{"id":17,"name":"Train ID","value":"184-31"},{"id":16,"name":"Locomotive ID","value":"4012"},{"id":130,"name":"Impact","value":""},{"id":150,"name":"Time of Event (Mountain Time)","value":"15:35:07"},{"id":151,"name":"Denver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61" t="str">
        <f t="shared" si="77"/>
        <v>start /low /b %USERPROFILE%\Documents\GitHub\eaglep3\Utilities\DownloadLogsFromS3.py --loco 4012 --day 2017-01-31</v>
      </c>
      <c r="AN96" s="170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"%USERPROFILE%\AppData\Local\Temp\OnboardLogs"\RTDC4012\*4012*20170131* | grep -SE "(Enforcement Action)|(\[TIMEOUT)|(CHR.+\|PRM\|1\|D.+(SWITCH|SIGNAL).+UNKNOWN)" - &gt;&gt; 2017-01-31-UncaughtWiMAX.txt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621</v>
      </c>
      <c r="B97" s="7">
        <v>4038</v>
      </c>
      <c r="C97" s="21" t="s">
        <v>193</v>
      </c>
      <c r="D97" s="21" t="s">
        <v>224</v>
      </c>
      <c r="E97" s="13">
        <v>42766.589490740742</v>
      </c>
      <c r="F97" s="13">
        <v>42766.593900462962</v>
      </c>
      <c r="G97" s="7">
        <v>1</v>
      </c>
      <c r="H97" s="21" t="s">
        <v>350</v>
      </c>
      <c r="I97" s="13">
        <v>42766.619687500002</v>
      </c>
      <c r="J97" s="7">
        <v>0</v>
      </c>
      <c r="K97" s="98" t="str">
        <f t="shared" si="78"/>
        <v>4037/4038</v>
      </c>
      <c r="L97" s="21" t="str">
        <f>VLOOKUP(A97,'Trips&amp;Operators'!$C$1:$G$99999,5,FALSE)</f>
        <v>BRANNON JEFFREY</v>
      </c>
      <c r="M97" s="6">
        <f t="shared" si="79"/>
        <v>2.5787037040572613E-2</v>
      </c>
      <c r="N97" s="7">
        <f t="shared" si="80"/>
        <v>37.133333338424563</v>
      </c>
      <c r="O97" s="7"/>
      <c r="P97" s="7"/>
      <c r="Q97" s="22"/>
      <c r="R97" s="22"/>
      <c r="S97" s="31">
        <f t="shared" si="81"/>
        <v>1</v>
      </c>
      <c r="T97" s="46" t="str">
        <f t="shared" si="70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67"/>
        <v>https://d0f6bd738d7f1b3e5a7ca70fe4ff75f0.us-east-1.aws.found.io/app/kibana#/discover/Steve-Slow-Train-Analysis-(2080s-and-2083s)?_g=(refreshInterval:(display:Off,pause:!f,section:0,value:0),time:(from:'2017-01-31T13:08:52-0700',mode:absolute,to:'2017-01-31T15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7" s="194" t="str">
        <f t="shared" si="71"/>
        <v>N</v>
      </c>
      <c r="X97" s="194">
        <f t="shared" si="65"/>
        <v>1</v>
      </c>
      <c r="Y97" s="62">
        <f t="shared" si="66"/>
        <v>4.6899999999999997E-2</v>
      </c>
      <c r="Z97" s="62">
        <f t="shared" si="82"/>
        <v>23.3323</v>
      </c>
      <c r="AA97" s="62">
        <f t="shared" si="72"/>
        <v>23.285399999999999</v>
      </c>
      <c r="AB97" s="59" t="e">
        <f>VLOOKUP(A97,Enforcements!$C$7:$K$16,8,0)</f>
        <v>#N/A</v>
      </c>
      <c r="AC97" s="55" t="e">
        <f>VLOOKUP(A97,Enforcements!$C$7:$E$16,3,0)</f>
        <v>#N/A</v>
      </c>
      <c r="AD97" s="56" t="str">
        <f t="shared" si="73"/>
        <v>0185-31</v>
      </c>
      <c r="AE97" s="85" t="str">
        <f t="shared" si="68"/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97" s="82" t="str">
        <f t="shared" si="69"/>
        <v>"C:\Program Files (x86)\AstroGrep\AstroGrep.exe" /spath="%USERPROFILE%\AppData\Local\Temp\OnboardLogs" /stypes="app*4038*20170131*" /stext=" 21:.+((SYSTEM_STATE.+slice.+state.+changed )|(ment ac)|(multiple cpu faults)|(system.+state.+changed )|(\[timeout)|(PRM\|1\|D)|(kpr)|(kdp)|(\|lc)|(penalty))" /e /r /s</v>
      </c>
      <c r="AG97" s="1" t="str">
        <f t="shared" si="74"/>
        <v>EC</v>
      </c>
      <c r="AH97" s="86" t="str">
        <f t="shared" si="75"/>
        <v>"%USERPROFILE%\Documents\GitHub\eaglep3\Utilities\RefineRTDCRunTimes.py" --tripid 185-31 --locoid 4038 --swversion DE.1.0.8.0 --startMP 204:469 --initTime 2017-01-31T14:08:52 --startdatetime 2017-01-31T14:15:13 --delay 1 --endMP 204:233323 --enddatetime 2017-01-31T14:52:21 --enforcementcount 0 &gt;&gt;C:\Users\stu\Documents\GitHub\eaglep3-reporting\EC\2017-01-31-refined-times.txt</v>
      </c>
      <c r="AI97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{"issue":{"subject":"","project_id":79,"tracker_id":40,"status_id":1,"priority_id":2,"assigned_to_id":23,"start_date":"2017-01-31","description":"","custom_fields":[{"id":1,"name":"Subdivision","value":"EC"},{"id":4,"name":"Milepost","value":"23.3323"},{"id":17,"name":"Train ID","value":"185-31"},{"id":16,"name":"Locomotive ID","value":"4038"},{"id":130,"name":"Impact","value":""},{"id":150,"name":"Time of Event (Mountain Time)","value":"14:52:21"},{"id":151,"name":"Denver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61" t="str">
        <f t="shared" si="77"/>
        <v>start /low /b %USERPROFILE%\Documents\GitHub\eaglep3\Utilities\DownloadLogsFromS3.py --loco 4038 --day 2017-01-31</v>
      </c>
      <c r="AN97" s="170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"%USERPROFILE%\AppData\Local\Temp\OnboardLogs"\RTDC4038\*4038*20170131* | grep -SE "(Enforcement Action)|(\[TIMEOUT)|(CHR.+\|PRM\|1\|D.+(SWITCH|SIGNAL).+UNKNOWN)" - &gt;&gt; 2017-01-31-UncaughtWiMAX.txt</v>
      </c>
    </row>
    <row r="98" spans="1:91" x14ac:dyDescent="0.25">
      <c r="A98" s="33" t="s">
        <v>628</v>
      </c>
      <c r="B98" s="7">
        <v>4037</v>
      </c>
      <c r="C98" s="21" t="s">
        <v>193</v>
      </c>
      <c r="D98" s="21" t="s">
        <v>341</v>
      </c>
      <c r="E98" s="13">
        <v>42766.629386574074</v>
      </c>
      <c r="F98" s="13">
        <v>42766.632800925923</v>
      </c>
      <c r="G98" s="7">
        <v>1</v>
      </c>
      <c r="H98" s="21" t="s">
        <v>215</v>
      </c>
      <c r="I98" s="13">
        <v>42766.659722222219</v>
      </c>
      <c r="J98" s="7">
        <v>0</v>
      </c>
      <c r="K98" s="98" t="str">
        <f t="shared" si="78"/>
        <v>4037/4038</v>
      </c>
      <c r="L98" s="21" t="str">
        <f>VLOOKUP(A98,'Trips&amp;Operators'!$C$1:$G$99999,5,FALSE)</f>
        <v>BRANNON JEFFREY</v>
      </c>
      <c r="M98" s="6">
        <f t="shared" si="79"/>
        <v>2.6921296295768116E-2</v>
      </c>
      <c r="N98" s="7">
        <f t="shared" si="80"/>
        <v>38.766666665906087</v>
      </c>
      <c r="O98" s="7"/>
      <c r="P98" s="7"/>
      <c r="Q98" s="22"/>
      <c r="R98" s="22"/>
      <c r="S98" s="31">
        <f t="shared" si="81"/>
        <v>1</v>
      </c>
      <c r="T98" s="46" t="str">
        <f t="shared" si="70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67"/>
        <v>https://d0f6bd738d7f1b3e5a7ca70fe4ff75f0.us-east-1.aws.found.io/app/kibana#/discover/Steve-Slow-Train-Analysis-(2080s-and-2083s)?_g=(refreshInterval:(display:Off,pause:!f,section:0,value:0),time:(from:'2017-01-31T14:06:19-0700',mode:absolute,to:'2017-01-31T16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98" s="194" t="str">
        <f t="shared" si="71"/>
        <v>N</v>
      </c>
      <c r="X98" s="194">
        <f t="shared" ref="X98:X129" si="83">VALUE(LEFT(AD98,4))-VALUE(LEFT(AD97,4))</f>
        <v>1</v>
      </c>
      <c r="Y98" s="62">
        <f t="shared" si="66"/>
        <v>23.299800000000001</v>
      </c>
      <c r="Z98" s="62">
        <f t="shared" si="82"/>
        <v>1.5800000000000002E-2</v>
      </c>
      <c r="AA98" s="62">
        <f t="shared" si="72"/>
        <v>23.284000000000002</v>
      </c>
      <c r="AB98" s="59" t="e">
        <f>VLOOKUP(A98,Enforcements!$C$7:$K$16,8,0)</f>
        <v>#N/A</v>
      </c>
      <c r="AC98" s="55" t="e">
        <f>VLOOKUP(A98,Enforcements!$C$7:$E$16,3,0)</f>
        <v>#N/A</v>
      </c>
      <c r="AD98" s="56" t="str">
        <f t="shared" si="73"/>
        <v>0186-31</v>
      </c>
      <c r="AE98" s="85" t="str">
        <f t="shared" si="68"/>
        <v>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 &amp; 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</v>
      </c>
      <c r="AF98" s="82" t="str">
        <f t="shared" si="69"/>
        <v>"C:\Program Files (x86)\AstroGrep\AstroGrep.exe" /spath="%USERPROFILE%\AppData\Local\Temp\OnboardLogs" /stypes="app*4037*20170131*" /stext=" 22:.+((SYSTEM_STATE.+slice.+state.+changed )|(ment ac)|(multiple cpu faults)|(system.+state.+changed )|(\[timeout)|(PRM\|1\|D)|(kpr)|(kdp)|(\|lc)|(penalty))" /e /r /s</v>
      </c>
      <c r="AG98" s="1" t="str">
        <f t="shared" si="74"/>
        <v>EC</v>
      </c>
      <c r="AH98" s="86" t="str">
        <f t="shared" si="75"/>
        <v>"%USERPROFILE%\Documents\GitHub\eaglep3\Utilities\RefineRTDCRunTimes.py" --tripid 186-31 --locoid 4037 --swversion DE.1.0.8.0 --startMP 204:232998 --initTime 2017-01-31T15:06:19 --startdatetime 2017-01-31T15:11:14 --delay 1 --endMP 204:158 --enddatetime 2017-01-31T15:50:00 --enforcementcount 0 &gt;&gt;C:\Users\stu\Documents\GitHub\eaglep3-reporting\EC\2017-01-31-refined-times.txt</v>
      </c>
      <c r="AI98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{"issue":{"subject":"","project_id":79,"tracker_id":40,"status_id":1,"priority_id":2,"assigned_to_id":23,"start_date":"2017-01-31","description":"","custom_fields":[{"id":1,"name":"Subdivision","value":"EC"},{"id":4,"name":"Milepost","value":"0.0158"},{"id":17,"name":"Train ID","value":"186-31"},{"id":16,"name":"Locomotive ID","value":"4037"},{"id":130,"name":"Impact","value":""},{"id":150,"name":"Time of Event (Mountain Time)","value":"15:50:00"},{"id":151,"name":"Denver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61" t="str">
        <f t="shared" si="77"/>
        <v>start /low /b %USERPROFILE%\Documents\GitHub\eaglep3\Utilities\DownloadLogsFromS3.py --loco 4037 --day 2017-01-31</v>
      </c>
      <c r="AN98" s="170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"%USERPROFILE%\AppData\Local\Temp\OnboardLogs"\RTDC4037\*4037*20170131* | grep -SE "(Enforcement Action)|(\[TIMEOUT)|(CHR.+\|PRM\|1\|D.+(SWITCH|SIGNAL).+UNKNOWN)" - &gt;&gt; 2017-01-31-UncaughtWiMAX.txt</v>
      </c>
    </row>
    <row r="99" spans="1:91" s="20" customFormat="1" x14ac:dyDescent="0.25">
      <c r="A99" s="33" t="s">
        <v>624</v>
      </c>
      <c r="B99" s="7">
        <v>4025</v>
      </c>
      <c r="C99" s="21" t="s">
        <v>193</v>
      </c>
      <c r="D99" s="21" t="s">
        <v>249</v>
      </c>
      <c r="E99" s="13">
        <v>42766.60056712963</v>
      </c>
      <c r="F99" s="13">
        <v>42766.60434027778</v>
      </c>
      <c r="G99" s="7">
        <v>1</v>
      </c>
      <c r="H99" s="21" t="s">
        <v>742</v>
      </c>
      <c r="I99" s="13">
        <v>42766.62945601852</v>
      </c>
      <c r="J99" s="7">
        <v>0</v>
      </c>
      <c r="K99" s="98" t="str">
        <f t="shared" si="78"/>
        <v>4025/4026</v>
      </c>
      <c r="L99" s="21" t="str">
        <f>VLOOKUP(A99,'Trips&amp;Operators'!$C$1:$G$99999,5,FALSE)</f>
        <v>SWANSON BRYCE</v>
      </c>
      <c r="M99" s="6">
        <f t="shared" si="79"/>
        <v>2.5115740740147885E-2</v>
      </c>
      <c r="N99" s="7">
        <f t="shared" si="80"/>
        <v>36.166666665812954</v>
      </c>
      <c r="O99" s="7"/>
      <c r="P99" s="7"/>
      <c r="Q99" s="22"/>
      <c r="R99" s="22"/>
      <c r="S99" s="31">
        <f t="shared" si="81"/>
        <v>1</v>
      </c>
      <c r="T99" s="46" t="str">
        <f t="shared" si="70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67"/>
        <v>https://d0f6bd738d7f1b3e5a7ca70fe4ff75f0.us-east-1.aws.found.io/app/kibana#/discover/Steve-Slow-Train-Analysis-(2080s-and-2083s)?_g=(refreshInterval:(display:Off,pause:!f,section:0,value:0),time:(from:'2017-01-31T13:24:49-0700',mode:absolute,to:'2017-01-31T16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194" t="str">
        <f t="shared" si="71"/>
        <v>N</v>
      </c>
      <c r="X99" s="194">
        <f t="shared" si="83"/>
        <v>1</v>
      </c>
      <c r="Y99" s="62">
        <f t="shared" si="66"/>
        <v>4.5999999999999999E-2</v>
      </c>
      <c r="Z99" s="62">
        <f t="shared" si="82"/>
        <v>23.327200000000001</v>
      </c>
      <c r="AA99" s="62">
        <f t="shared" si="72"/>
        <v>23.281200000000002</v>
      </c>
      <c r="AB99" s="59" t="e">
        <f>VLOOKUP(A99,Enforcements!$C$7:$K$16,8,0)</f>
        <v>#N/A</v>
      </c>
      <c r="AC99" s="55" t="e">
        <f>VLOOKUP(A99,Enforcements!$C$7:$E$16,3,0)</f>
        <v>#N/A</v>
      </c>
      <c r="AD99" s="56" t="str">
        <f t="shared" si="73"/>
        <v>0187-31</v>
      </c>
      <c r="AE99" s="85" t="str">
        <f t="shared" si="68"/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AF99" s="82" t="str">
        <f t="shared" si="69"/>
        <v>"C:\Program Files (x86)\AstroGrep\AstroGrep.exe" /spath="%USERPROFILE%\AppData\Local\Temp\OnboardLogs" /stypes="app*4025*20170131*" /stext=" 22:.+((SYSTEM_STATE.+slice.+state.+changed )|(ment ac)|(multiple cpu faults)|(system.+state.+changed )|(\[timeout)|(PRM\|1\|D)|(kpr)|(kdp)|(\|lc)|(penalty))" /e /r /s</v>
      </c>
      <c r="AG99" s="1" t="str">
        <f t="shared" si="74"/>
        <v>EC</v>
      </c>
      <c r="AH99" s="86" t="str">
        <f t="shared" si="75"/>
        <v>"%USERPROFILE%\Documents\GitHub\eaglep3\Utilities\RefineRTDCRunTimes.py" --tripid 187-31 --locoid 4025 --swversion DE.1.0.8.0 --startMP 204:460 --initTime 2017-01-31T14:24:49 --startdatetime 2017-01-31T14:30:15 --delay 1 --endMP 204:233272 --enddatetime 2017-01-31T15:06:25 --enforcementcount 0 &gt;&gt;C:\Users\stu\Documents\GitHub\eaglep3-reporting\EC\2017-01-31-refined-times.txt</v>
      </c>
      <c r="AI99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{"issue":{"subject":"","project_id":79,"tracker_id":40,"status_id":1,"priority_id":2,"assigned_to_id":23,"start_date":"2017-01-31","description":"","custom_fields":[{"id":1,"name":"Subdivision","value":"EC"},{"id":4,"name":"Milepost","value":"23.3272"},{"id":17,"name":"Train ID","value":"187-31"},{"id":16,"name":"Locomotive ID","value":"4025"},{"id":130,"name":"Impact","value":""},{"id":150,"name":"Time of Event (Mountain Time)","value":"15:06:25"},{"id":151,"name":"Denver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61" t="str">
        <f t="shared" si="77"/>
        <v>start /low /b %USERPROFILE%\Documents\GitHub\eaglep3\Utilities\DownloadLogsFromS3.py --loco 4025 --day 2017-01-31</v>
      </c>
      <c r="AN99" s="170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"%USERPROFILE%\AppData\Local\Temp\OnboardLogs"\RTDC4025\*4025*20170131* | grep -SE "(Enforcement Action)|(\[TIMEOUT)|(CHR.+\|PRM\|1\|D.+(SWITCH|SIGNAL).+UNKNOWN)" - &gt;&gt; 2017-01-31-UncaughtWiMAX.txt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629</v>
      </c>
      <c r="B100" s="7">
        <v>4026</v>
      </c>
      <c r="C100" s="21" t="s">
        <v>193</v>
      </c>
      <c r="D100" s="21" t="s">
        <v>743</v>
      </c>
      <c r="E100" s="13">
        <v>42766.631006944444</v>
      </c>
      <c r="F100" s="13">
        <v>42766.643321759257</v>
      </c>
      <c r="G100" s="7">
        <v>1</v>
      </c>
      <c r="H100" s="21" t="s">
        <v>208</v>
      </c>
      <c r="I100" s="13">
        <v>42766.671284722222</v>
      </c>
      <c r="J100" s="7">
        <v>0</v>
      </c>
      <c r="K100" s="98" t="str">
        <f t="shared" si="78"/>
        <v>4025/4026</v>
      </c>
      <c r="L100" s="21" t="str">
        <f>VLOOKUP(A100,'Trips&amp;Operators'!$C$1:$G$99999,5,FALSE)</f>
        <v>SWANSON BRYCE</v>
      </c>
      <c r="M100" s="6">
        <f t="shared" si="79"/>
        <v>2.7962962965830229E-2</v>
      </c>
      <c r="N100" s="7">
        <f t="shared" si="80"/>
        <v>40.26666667079553</v>
      </c>
      <c r="O100" s="7"/>
      <c r="P100" s="7"/>
      <c r="Q100" s="22"/>
      <c r="R100" s="22"/>
      <c r="S100" s="31">
        <f t="shared" si="81"/>
        <v>1</v>
      </c>
      <c r="T100" s="46" t="str">
        <f t="shared" si="70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67"/>
        <v>https://d0f6bd738d7f1b3e5a7ca70fe4ff75f0.us-east-1.aws.found.io/app/kibana#/discover/Steve-Slow-Train-Analysis-(2080s-and-2083s)?_g=(refreshInterval:(display:Off,pause:!f,section:0,value:0),time:(from:'2017-01-31T14:08:39-0700',mode:absolute,to:'2017-01-31T17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194" t="str">
        <f t="shared" si="71"/>
        <v>N</v>
      </c>
      <c r="X100" s="194">
        <f t="shared" si="83"/>
        <v>1</v>
      </c>
      <c r="Y100" s="62">
        <f t="shared" si="66"/>
        <v>23.295000000000002</v>
      </c>
      <c r="Z100" s="62">
        <f t="shared" si="82"/>
        <v>1.47E-2</v>
      </c>
      <c r="AA100" s="62">
        <f t="shared" si="72"/>
        <v>23.2803</v>
      </c>
      <c r="AB100" s="59" t="e">
        <f>VLOOKUP(A100,Enforcements!$C$7:$K$16,8,0)</f>
        <v>#N/A</v>
      </c>
      <c r="AC100" s="55" t="e">
        <f>VLOOKUP(A100,Enforcements!$C$7:$E$16,3,0)</f>
        <v>#N/A</v>
      </c>
      <c r="AD100" s="56" t="str">
        <f t="shared" si="73"/>
        <v>0188-31</v>
      </c>
      <c r="AE100" s="85" t="str">
        <f t="shared" si="68"/>
        <v>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 &amp; 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</v>
      </c>
      <c r="AF100" s="82" t="str">
        <f t="shared" si="69"/>
        <v>"C:\Program Files (x86)\AstroGrep\AstroGrep.exe" /spath="%USERPROFILE%\AppData\Local\Temp\OnboardLogs" /stypes="app*4026*20170131*" /stext=" 23:.+((SYSTEM_STATE.+slice.+state.+changed )|(ment ac)|(multiple cpu faults)|(system.+state.+changed )|(\[timeout)|(PRM\|1\|D)|(kpr)|(kdp)|(\|lc)|(penalty))" /e /r /s</v>
      </c>
      <c r="AG100" s="1" t="str">
        <f t="shared" si="74"/>
        <v>EC</v>
      </c>
      <c r="AH100" s="86" t="str">
        <f t="shared" si="75"/>
        <v>"%USERPROFILE%\Documents\GitHub\eaglep3\Utilities\RefineRTDCRunTimes.py" --tripid 188-31 --locoid 4026 --swversion DE.1.0.8.0 --startMP 204:232950 --initTime 2017-01-31T15:08:39 --startdatetime 2017-01-31T15:26:23 --delay 1 --endMP 204:147 --enddatetime 2017-01-31T16:06:39 --enforcementcount 0 &gt;&gt;C:\Users\stu\Documents\GitHub\eaglep3-reporting\EC\2017-01-31-refined-times.txt</v>
      </c>
      <c r="AI100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{"issue":{"subject":"","project_id":79,"tracker_id":40,"status_id":1,"priority_id":2,"assigned_to_id":23,"start_date":"2017-01-31","description":"","custom_fields":[{"id":1,"name":"Subdivision","value":"EC"},{"id":4,"name":"Milepost","value":"0.0147"},{"id":17,"name":"Train ID","value":"188-31"},{"id":16,"name":"Locomotive ID","value":"4026"},{"id":130,"name":"Impact","value":""},{"id":150,"name":"Time of Event (Mountain Time)","value":"16:06:39"},{"id":151,"name":"Denver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61" t="str">
        <f t="shared" si="77"/>
        <v>start /low /b %USERPROFILE%\Documents\GitHub\eaglep3\Utilities\DownloadLogsFromS3.py --loco 4026 --day 2017-01-31</v>
      </c>
      <c r="AN100" s="170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"%USERPROFILE%\AppData\Local\Temp\OnboardLogs"\RTDC4026\*4026*20170131* | grep -SE "(Enforcement Action)|(\[TIMEOUT)|(CHR.+\|PRM\|1\|D.+(SWITCH|SIGNAL).+UNKNOWN)" - &gt;&gt; 2017-01-31-UncaughtWiMAX.txt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626</v>
      </c>
      <c r="B101" s="7">
        <v>4040</v>
      </c>
      <c r="C101" s="21" t="s">
        <v>193</v>
      </c>
      <c r="D101" s="21" t="s">
        <v>224</v>
      </c>
      <c r="E101" s="13">
        <v>42766.61074074074</v>
      </c>
      <c r="F101" s="13">
        <v>42766.614837962959</v>
      </c>
      <c r="G101" s="7">
        <v>1</v>
      </c>
      <c r="H101" s="21" t="s">
        <v>744</v>
      </c>
      <c r="I101" s="13">
        <v>42766.639699074076</v>
      </c>
      <c r="J101" s="7">
        <v>0</v>
      </c>
      <c r="K101" s="98" t="str">
        <f t="shared" si="78"/>
        <v>4039/4040</v>
      </c>
      <c r="L101" s="21" t="str">
        <f>VLOOKUP(A101,'Trips&amp;Operators'!$C$1:$G$99999,5,FALSE)</f>
        <v>STEWART MICHAEL</v>
      </c>
      <c r="M101" s="6">
        <f t="shared" si="79"/>
        <v>2.4861111116479151E-2</v>
      </c>
      <c r="N101" s="7">
        <f t="shared" si="80"/>
        <v>35.800000007729977</v>
      </c>
      <c r="O101" s="7"/>
      <c r="P101" s="7"/>
      <c r="Q101" s="22"/>
      <c r="R101" s="22"/>
      <c r="S101" s="31">
        <f t="shared" si="81"/>
        <v>1</v>
      </c>
      <c r="T101" s="46" t="str">
        <f t="shared" si="70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67"/>
        <v>https://d0f6bd738d7f1b3e5a7ca70fe4ff75f0.us-east-1.aws.found.io/app/kibana#/discover/Steve-Slow-Train-Analysis-(2080s-and-2083s)?_g=(refreshInterval:(display:Off,pause:!f,section:0,value:0),time:(from:'2017-01-31T13:39:28-0700',mode:absolute,to:'2017-01-31T16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194" t="str">
        <f t="shared" si="71"/>
        <v>N</v>
      </c>
      <c r="X101" s="194">
        <f t="shared" si="83"/>
        <v>1</v>
      </c>
      <c r="Y101" s="62">
        <f t="shared" si="66"/>
        <v>4.6899999999999997E-2</v>
      </c>
      <c r="Z101" s="62">
        <f t="shared" si="82"/>
        <v>23.331</v>
      </c>
      <c r="AA101" s="62">
        <f t="shared" si="72"/>
        <v>23.284099999999999</v>
      </c>
      <c r="AB101" s="59" t="e">
        <f>VLOOKUP(A101,Enforcements!$C$7:$K$16,8,0)</f>
        <v>#N/A</v>
      </c>
      <c r="AC101" s="55" t="e">
        <f>VLOOKUP(A101,Enforcements!$C$7:$E$16,3,0)</f>
        <v>#N/A</v>
      </c>
      <c r="AD101" s="56" t="str">
        <f t="shared" si="73"/>
        <v>0189-31</v>
      </c>
      <c r="AE101" s="85" t="str">
        <f t="shared" si="68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101" s="82" t="str">
        <f t="shared" si="69"/>
        <v>"C:\Program Files (x86)\AstroGrep\AstroGrep.exe" /spath="%USERPROFILE%\AppData\Local\Temp\OnboardLogs" /stypes="app*4040*20170131*" /stext=" 22:.+((SYSTEM_STATE.+slice.+state.+changed )|(ment ac)|(multiple cpu faults)|(system.+state.+changed )|(\[timeout)|(PRM\|1\|D)|(kpr)|(kdp)|(\|lc)|(penalty))" /e /r /s</v>
      </c>
      <c r="AG101" s="1" t="str">
        <f t="shared" si="74"/>
        <v>EC</v>
      </c>
      <c r="AH101" s="86" t="str">
        <f t="shared" si="75"/>
        <v>"%USERPROFILE%\Documents\GitHub\eaglep3\Utilities\RefineRTDCRunTimes.py" --tripid 189-31 --locoid 4040 --swversion DE.1.0.8.0 --startMP 204:469 --initTime 2017-01-31T14:39:28 --startdatetime 2017-01-31T14:45:22 --delay 1 --endMP 204:233310 --enddatetime 2017-01-31T15:21:10 --enforcementcount 0 &gt;&gt;C:\Users\stu\Documents\GitHub\eaglep3-reporting\EC\2017-01-31-refined-times.txt</v>
      </c>
      <c r="AI101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{"issue":{"subject":"","project_id":79,"tracker_id":40,"status_id":1,"priority_id":2,"assigned_to_id":23,"start_date":"2017-01-31","description":"","custom_fields":[{"id":1,"name":"Subdivision","value":"EC"},{"id":4,"name":"Milepost","value":"23.331"},{"id":17,"name":"Train ID","value":"189-31"},{"id":16,"name":"Locomotive ID","value":"4040"},{"id":130,"name":"Impact","value":""},{"id":150,"name":"Time of Event (Mountain Time)","value":"15:21:10"},{"id":151,"name":"Denver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61" t="str">
        <f t="shared" si="77"/>
        <v>start /low /b %USERPROFILE%\Documents\GitHub\eaglep3\Utilities\DownloadLogsFromS3.py --loco 4040 --day 2017-01-31</v>
      </c>
      <c r="AN101" s="170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"%USERPROFILE%\AppData\Local\Temp\OnboardLogs"\RTDC4040\*4040*20170131* | grep -SE "(Enforcement Action)|(\[TIMEOUT)|(CHR.+\|PRM\|1\|D.+(SWITCH|SIGNAL).+UNKNOWN)" - &gt;&gt; 2017-01-31-UncaughtWiMAX.txt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634</v>
      </c>
      <c r="B102" s="7">
        <v>4039</v>
      </c>
      <c r="C102" s="21" t="s">
        <v>193</v>
      </c>
      <c r="D102" s="21" t="s">
        <v>720</v>
      </c>
      <c r="E102" s="13">
        <v>42766.65185185185</v>
      </c>
      <c r="F102" s="13">
        <v>42766.653738425928</v>
      </c>
      <c r="G102" s="7">
        <v>1</v>
      </c>
      <c r="H102" s="21" t="s">
        <v>734</v>
      </c>
      <c r="I102" s="13">
        <v>42766.68105324074</v>
      </c>
      <c r="J102" s="7">
        <v>0</v>
      </c>
      <c r="K102" s="98" t="str">
        <f t="shared" si="78"/>
        <v>4039/4040</v>
      </c>
      <c r="L102" s="21" t="str">
        <f>VLOOKUP(A102,'Trips&amp;Operators'!$C$1:$G$99999,5,FALSE)</f>
        <v>STEWART MICHAEL</v>
      </c>
      <c r="M102" s="6">
        <f t="shared" si="79"/>
        <v>2.7314814811688848E-2</v>
      </c>
      <c r="N102" s="7">
        <f t="shared" si="80"/>
        <v>39.333333328831941</v>
      </c>
      <c r="O102" s="7"/>
      <c r="P102" s="7"/>
      <c r="Q102" s="22"/>
      <c r="R102" s="22"/>
      <c r="S102" s="31">
        <f t="shared" si="81"/>
        <v>1</v>
      </c>
      <c r="T102" s="46" t="str">
        <f t="shared" si="70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67"/>
        <v>https://d0f6bd738d7f1b3e5a7ca70fe4ff75f0.us-east-1.aws.found.io/app/kibana#/discover/Steve-Slow-Train-Analysis-(2080s-and-2083s)?_g=(refreshInterval:(display:Off,pause:!f,section:0,value:0),time:(from:'2017-01-31T14:38:40-0700',mode:absolute,to:'2017-01-31T17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194" t="str">
        <f t="shared" si="71"/>
        <v>N</v>
      </c>
      <c r="X102" s="194">
        <f t="shared" si="83"/>
        <v>1</v>
      </c>
      <c r="Y102" s="62">
        <f t="shared" si="66"/>
        <v>23.298100000000002</v>
      </c>
      <c r="Z102" s="62">
        <f t="shared" si="82"/>
        <v>1.83E-2</v>
      </c>
      <c r="AA102" s="62">
        <f t="shared" si="72"/>
        <v>23.279800000000002</v>
      </c>
      <c r="AB102" s="59" t="e">
        <f>VLOOKUP(A102,Enforcements!$C$7:$K$16,8,0)</f>
        <v>#N/A</v>
      </c>
      <c r="AC102" s="55" t="e">
        <f>VLOOKUP(A102,Enforcements!$C$7:$E$16,3,0)</f>
        <v>#N/A</v>
      </c>
      <c r="AD102" s="56" t="str">
        <f t="shared" si="73"/>
        <v>0190-31</v>
      </c>
      <c r="AE102" s="85" t="str">
        <f t="shared" si="68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102" s="82" t="str">
        <f t="shared" si="69"/>
        <v>"C:\Program Files (x86)\AstroGrep\AstroGrep.exe" /spath="%USERPROFILE%\AppData\Local\Temp\OnboardLogs" /stypes="app*4039*20170131*" /stext=" 23:.+((SYSTEM_STATE.+slice.+state.+changed )|(ment ac)|(multiple cpu faults)|(system.+state.+changed )|(\[timeout)|(PRM\|1\|D)|(kpr)|(kdp)|(\|lc)|(penalty))" /e /r /s</v>
      </c>
      <c r="AG102" s="1" t="str">
        <f t="shared" si="74"/>
        <v>EC</v>
      </c>
      <c r="AH102" s="86" t="str">
        <f t="shared" si="75"/>
        <v>"%USERPROFILE%\Documents\GitHub\eaglep3\Utilities\RefineRTDCRunTimes.py" --tripid 190-31 --locoid 4039 --swversion DE.1.0.8.0 --startMP 204:232981 --initTime 2017-01-31T15:38:40 --startdatetime 2017-01-31T15:41:23 --delay 1 --endMP 204:183 --enddatetime 2017-01-31T16:20:43 --enforcementcount 0 &gt;&gt;C:\Users\stu\Documents\GitHub\eaglep3-reporting\EC\2017-01-31-refined-times.txt</v>
      </c>
      <c r="AI102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{"issue":{"subject":"","project_id":79,"tracker_id":40,"status_id":1,"priority_id":2,"assigned_to_id":23,"start_date":"2017-01-31","description":"","custom_fields":[{"id":1,"name":"Subdivision","value":"EC"},{"id":4,"name":"Milepost","value":"0.0183"},{"id":17,"name":"Train ID","value":"190-31"},{"id":16,"name":"Locomotive ID","value":"4039"},{"id":130,"name":"Impact","value":""},{"id":150,"name":"Time of Event (Mountain Time)","value":"16:20:43"},{"id":151,"name":"Denver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61" t="str">
        <f t="shared" si="77"/>
        <v>start /low /b %USERPROFILE%\Documents\GitHub\eaglep3\Utilities\DownloadLogsFromS3.py --loco 4039 --day 2017-01-31</v>
      </c>
      <c r="AN102" s="170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"%USERPROFILE%\AppData\Local\Temp\OnboardLogs"\RTDC4039\*4039*20170131* | grep -SE "(Enforcement Action)|(\[TIMEOUT)|(CHR.+\|PRM\|1\|D.+(SWITCH|SIGNAL).+UNKNOWN)" - &gt;&gt; 2017-01-31-UncaughtWiMAX.txt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627</v>
      </c>
      <c r="B103" s="7">
        <v>4027</v>
      </c>
      <c r="C103" s="21" t="s">
        <v>193</v>
      </c>
      <c r="D103" s="21" t="s">
        <v>242</v>
      </c>
      <c r="E103" s="13">
        <v>42766.620127314818</v>
      </c>
      <c r="F103" s="13">
        <v>42766.625474537039</v>
      </c>
      <c r="G103" s="7">
        <v>1</v>
      </c>
      <c r="H103" s="21" t="s">
        <v>229</v>
      </c>
      <c r="I103" s="13">
        <v>42766.650335648148</v>
      </c>
      <c r="J103" s="7">
        <v>0</v>
      </c>
      <c r="K103" s="98" t="str">
        <f t="shared" si="78"/>
        <v>4027/4028</v>
      </c>
      <c r="L103" s="21" t="str">
        <f>VLOOKUP(A103,'Trips&amp;Operators'!$C$1:$G$99999,5,FALSE)</f>
        <v>LEVERE CRAIG</v>
      </c>
      <c r="M103" s="6">
        <f t="shared" si="79"/>
        <v>2.4861111109203193E-2</v>
      </c>
      <c r="N103" s="7">
        <f t="shared" si="80"/>
        <v>35.799999997252598</v>
      </c>
      <c r="O103" s="7"/>
      <c r="P103" s="7"/>
      <c r="Q103" s="22"/>
      <c r="R103" s="22"/>
      <c r="S103" s="31">
        <f t="shared" si="81"/>
        <v>1</v>
      </c>
      <c r="T103" s="46" t="str">
        <f t="shared" si="70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67"/>
        <v>https://d0f6bd738d7f1b3e5a7ca70fe4ff75f0.us-east-1.aws.found.io/app/kibana#/discover/Steve-Slow-Train-Analysis-(2080s-and-2083s)?_g=(refreshInterval:(display:Off,pause:!f,section:0,value:0),time:(from:'2017-01-31T13:52:59-0700',mode:absolute,to:'2017-01-31T16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94" t="str">
        <f t="shared" si="71"/>
        <v>N</v>
      </c>
      <c r="X103" s="194">
        <f t="shared" si="83"/>
        <v>1</v>
      </c>
      <c r="Y103" s="62">
        <f t="shared" ref="Y103:Y134" si="84">RIGHT(D103,LEN(D103)-4)/10000</f>
        <v>4.6600000000000003E-2</v>
      </c>
      <c r="Z103" s="62">
        <f t="shared" si="82"/>
        <v>23.329699999999999</v>
      </c>
      <c r="AA103" s="62">
        <f t="shared" si="72"/>
        <v>23.283099999999997</v>
      </c>
      <c r="AB103" s="59" t="e">
        <f>VLOOKUP(A103,Enforcements!$C$7:$K$16,8,0)</f>
        <v>#N/A</v>
      </c>
      <c r="AC103" s="55" t="e">
        <f>VLOOKUP(A103,Enforcements!$C$7:$E$16,3,0)</f>
        <v>#N/A</v>
      </c>
      <c r="AD103" s="56" t="str">
        <f t="shared" si="73"/>
        <v>0191-31</v>
      </c>
      <c r="AE103" s="85" t="str">
        <f t="shared" si="68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103" s="82" t="str">
        <f t="shared" si="69"/>
        <v>"C:\Program Files (x86)\AstroGrep\AstroGrep.exe" /spath="%USERPROFILE%\AppData\Local\Temp\OnboardLogs" /stypes="app*4027*20170131*" /stext=" 22:.+((SYSTEM_STATE.+slice.+state.+changed )|(ment ac)|(multiple cpu faults)|(system.+state.+changed )|(\[timeout)|(PRM\|1\|D)|(kpr)|(kdp)|(\|lc)|(penalty))" /e /r /s</v>
      </c>
      <c r="AG103" s="1" t="str">
        <f t="shared" si="74"/>
        <v>EC</v>
      </c>
      <c r="AH103" s="86" t="str">
        <f t="shared" si="75"/>
        <v>"%USERPROFILE%\Documents\GitHub\eaglep3\Utilities\RefineRTDCRunTimes.py" --tripid 191-31 --locoid 4027 --swversion DE.1.0.8.0 --startMP 204:466 --initTime 2017-01-31T14:52:59 --startdatetime 2017-01-31T15:00:41 --delay 1 --endMP 204:233297 --enddatetime 2017-01-31T15:36:29 --enforcementcount 0 &gt;&gt;C:\Users\stu\Documents\GitHub\eaglep3-reporting\EC\2017-01-31-refined-times.txt</v>
      </c>
      <c r="AI103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{"issue":{"subject":"","project_id":79,"tracker_id":40,"status_id":1,"priority_id":2,"assigned_to_id":23,"start_date":"2017-01-31","description":"","custom_fields":[{"id":1,"name":"Subdivision","value":"EC"},{"id":4,"name":"Milepost","value":"23.3297"},{"id":17,"name":"Train ID","value":"191-31"},{"id":16,"name":"Locomotive ID","value":"4027"},{"id":130,"name":"Impact","value":""},{"id":150,"name":"Time of Event (Mountain Time)","value":"15:36:29"},{"id":151,"name":"Denver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61" t="str">
        <f t="shared" si="77"/>
        <v>start /low /b %USERPROFILE%\Documents\GitHub\eaglep3\Utilities\DownloadLogsFromS3.py --loco 4027 --day 2017-01-31</v>
      </c>
      <c r="AN103" s="170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"%USERPROFILE%\AppData\Local\Temp\OnboardLogs"\RTDC4027\*4027*20170131* | grep -SE "(Enforcement Action)|(\[TIMEOUT)|(CHR.+\|PRM\|1\|D.+(SWITCH|SIGNAL).+UNKNOWN)" - &gt;&gt; 2017-01-31-UncaughtWiMAX.txt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3" t="s">
        <v>635</v>
      </c>
      <c r="B104" s="7">
        <v>4028</v>
      </c>
      <c r="C104" s="21" t="s">
        <v>193</v>
      </c>
      <c r="D104" s="21" t="s">
        <v>328</v>
      </c>
      <c r="E104" s="13">
        <v>42766.657280092593</v>
      </c>
      <c r="F104" s="13">
        <v>42766.664201388892</v>
      </c>
      <c r="G104" s="7">
        <v>1</v>
      </c>
      <c r="H104" s="21" t="s">
        <v>339</v>
      </c>
      <c r="I104" s="13">
        <v>42766.691759259258</v>
      </c>
      <c r="J104" s="7">
        <v>0</v>
      </c>
      <c r="K104" s="98" t="str">
        <f t="shared" si="78"/>
        <v>4027/4028</v>
      </c>
      <c r="L104" s="21" t="str">
        <f>VLOOKUP(A104,'Trips&amp;Operators'!$C$1:$G$99999,5,FALSE)</f>
        <v>LEVERE CRAIG</v>
      </c>
      <c r="M104" s="6">
        <f t="shared" si="79"/>
        <v>2.7557870365853887E-2</v>
      </c>
      <c r="N104" s="7">
        <f t="shared" si="80"/>
        <v>39.683333326829597</v>
      </c>
      <c r="O104" s="7"/>
      <c r="P104" s="7"/>
      <c r="Q104" s="22"/>
      <c r="R104" s="22"/>
      <c r="S104" s="31">
        <f t="shared" si="81"/>
        <v>1</v>
      </c>
      <c r="T104" s="46" t="str">
        <f t="shared" si="70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67"/>
        <v>https://d0f6bd738d7f1b3e5a7ca70fe4ff75f0.us-east-1.aws.found.io/app/kibana#/discover/Steve-Slow-Train-Analysis-(2080s-and-2083s)?_g=(refreshInterval:(display:Off,pause:!f,section:0,value:0),time:(from:'2017-01-31T14:46:29-0700',mode:absolute,to:'2017-01-31T17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94" t="str">
        <f t="shared" si="71"/>
        <v>N</v>
      </c>
      <c r="X104" s="194">
        <f t="shared" si="83"/>
        <v>1</v>
      </c>
      <c r="Y104" s="62">
        <f t="shared" si="84"/>
        <v>23.296900000000001</v>
      </c>
      <c r="Z104" s="62">
        <f t="shared" si="82"/>
        <v>1.3899999999999999E-2</v>
      </c>
      <c r="AA104" s="62">
        <f t="shared" si="72"/>
        <v>23.283000000000001</v>
      </c>
      <c r="AB104" s="59" t="e">
        <f>VLOOKUP(A104,Enforcements!$C$7:$K$16,8,0)</f>
        <v>#N/A</v>
      </c>
      <c r="AC104" s="55" t="e">
        <f>VLOOKUP(A104,Enforcements!$C$7:$E$16,3,0)</f>
        <v>#N/A</v>
      </c>
      <c r="AD104" s="56" t="str">
        <f t="shared" si="73"/>
        <v>0192-31</v>
      </c>
      <c r="AE104" s="85" t="str">
        <f t="shared" si="68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104" s="82" t="str">
        <f t="shared" si="69"/>
        <v>"C:\Program Files (x86)\AstroGrep\AstroGrep.exe" /spath="%USERPROFILE%\AppData\Local\Temp\OnboardLogs" /stypes="app*4028*20170131*" /stext=" 23:.+((SYSTEM_STATE.+slice.+state.+changed )|(ment ac)|(multiple cpu faults)|(system.+state.+changed )|(\[timeout)|(PRM\|1\|D)|(kpr)|(kdp)|(\|lc)|(penalty))" /e /r /s</v>
      </c>
      <c r="AG104" s="1" t="str">
        <f t="shared" si="74"/>
        <v>EC</v>
      </c>
      <c r="AH104" s="86" t="str">
        <f t="shared" si="75"/>
        <v>"%USERPROFILE%\Documents\GitHub\eaglep3\Utilities\RefineRTDCRunTimes.py" --tripid 192-31 --locoid 4028 --swversion DE.1.0.8.0 --startMP 204:232969 --initTime 2017-01-31T15:46:29 --startdatetime 2017-01-31T15:56:27 --delay 1 --endMP 204:139 --enddatetime 2017-01-31T16:36:08 --enforcementcount 0 &gt;&gt;C:\Users\stu\Documents\GitHub\eaglep3-reporting\EC\2017-01-31-refined-times.txt</v>
      </c>
      <c r="AI104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{"issue":{"subject":"","project_id":79,"tracker_id":40,"status_id":1,"priority_id":2,"assigned_to_id":23,"start_date":"2017-01-31","description":"","custom_fields":[{"id":1,"name":"Subdivision","value":"EC"},{"id":4,"name":"Milepost","value":"0.0139"},{"id":17,"name":"Train ID","value":"192-31"},{"id":16,"name":"Locomotive ID","value":"4028"},{"id":130,"name":"Impact","value":""},{"id":150,"name":"Time of Event (Mountain Time)","value":"16:36:08"},{"id":151,"name":"Denver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61" t="str">
        <f t="shared" si="77"/>
        <v>start /low /b %USERPROFILE%\Documents\GitHub\eaglep3\Utilities\DownloadLogsFromS3.py --loco 4028 --day 2017-01-31</v>
      </c>
      <c r="AN104" s="170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"%USERPROFILE%\AppData\Local\Temp\OnboardLogs"\RTDC4028\*4028*20170131* | grep -SE "(Enforcement Action)|(\[TIMEOUT)|(CHR.+\|PRM\|1\|D.+(SWITCH|SIGNAL).+UNKNOWN)" - &gt;&gt; 2017-01-31-UncaughtWiMAX.txt</v>
      </c>
    </row>
    <row r="105" spans="1:91" s="20" customFormat="1" x14ac:dyDescent="0.25">
      <c r="A105" s="33" t="s">
        <v>630</v>
      </c>
      <c r="B105" s="7">
        <v>4042</v>
      </c>
      <c r="C105" s="21" t="s">
        <v>193</v>
      </c>
      <c r="D105" s="21" t="s">
        <v>474</v>
      </c>
      <c r="E105" s="13">
        <v>42766.631273148145</v>
      </c>
      <c r="F105" s="13">
        <v>42766.635578703703</v>
      </c>
      <c r="G105" s="7">
        <v>1</v>
      </c>
      <c r="H105" s="21" t="s">
        <v>745</v>
      </c>
      <c r="I105" s="13">
        <v>42766.662361111114</v>
      </c>
      <c r="J105" s="7">
        <v>0</v>
      </c>
      <c r="K105" s="98" t="str">
        <f t="shared" si="78"/>
        <v>4041/4042</v>
      </c>
      <c r="L105" s="21" t="str">
        <f>VLOOKUP(A105,'Trips&amp;Operators'!$C$1:$G$99999,5,FALSE)</f>
        <v>CLARK KATHLEEN</v>
      </c>
      <c r="M105" s="6">
        <f t="shared" si="79"/>
        <v>2.6782407410792075E-2</v>
      </c>
      <c r="N105" s="7">
        <f t="shared" si="80"/>
        <v>38.566666671540588</v>
      </c>
      <c r="O105" s="7"/>
      <c r="P105" s="7"/>
      <c r="Q105" s="22"/>
      <c r="R105" s="22"/>
      <c r="S105" s="31">
        <f t="shared" si="81"/>
        <v>1</v>
      </c>
      <c r="T105" s="46" t="str">
        <f t="shared" si="70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67"/>
        <v>https://d0f6bd738d7f1b3e5a7ca70fe4ff75f0.us-east-1.aws.found.io/app/kibana#/discover/Steve-Slow-Train-Analysis-(2080s-and-2083s)?_g=(refreshInterval:(display:Off,pause:!f,section:0,value:0),time:(from:'2017-01-31T14:09:02-0700',mode:absolute,to:'2017-01-31T16:53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194" t="str">
        <f t="shared" si="71"/>
        <v>N</v>
      </c>
      <c r="X105" s="194">
        <f t="shared" si="83"/>
        <v>1</v>
      </c>
      <c r="Y105" s="62">
        <f t="shared" si="84"/>
        <v>4.82E-2</v>
      </c>
      <c r="Z105" s="62">
        <f t="shared" si="82"/>
        <v>23.328099999999999</v>
      </c>
      <c r="AA105" s="62">
        <f t="shared" si="72"/>
        <v>23.279899999999998</v>
      </c>
      <c r="AB105" s="59" t="e">
        <f>VLOOKUP(A105,Enforcements!$C$7:$K$16,8,0)</f>
        <v>#N/A</v>
      </c>
      <c r="AC105" s="55" t="e">
        <f>VLOOKUP(A105,Enforcements!$C$7:$E$16,3,0)</f>
        <v>#N/A</v>
      </c>
      <c r="AD105" s="56" t="str">
        <f t="shared" si="73"/>
        <v>0193-31</v>
      </c>
      <c r="AE105" s="85" t="str">
        <f t="shared" si="68"/>
        <v>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 &amp; 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</v>
      </c>
      <c r="AF105" s="82" t="str">
        <f t="shared" si="69"/>
        <v>"C:\Program Files (x86)\AstroGrep\AstroGrep.exe" /spath="%USERPROFILE%\AppData\Local\Temp\OnboardLogs" /stypes="app*4042*20170131*" /stext=" 22:.+((SYSTEM_STATE.+slice.+state.+changed )|(ment ac)|(multiple cpu faults)|(system.+state.+changed )|(\[timeout)|(PRM\|1\|D)|(kpr)|(kdp)|(\|lc)|(penalty))" /e /r /s</v>
      </c>
      <c r="AG105" s="1" t="str">
        <f t="shared" si="74"/>
        <v>EC</v>
      </c>
      <c r="AH105" s="86" t="str">
        <f t="shared" si="75"/>
        <v>"%USERPROFILE%\Documents\GitHub\eaglep3\Utilities\RefineRTDCRunTimes.py" --tripid 193-31 --locoid 4042 --swversion DE.1.0.8.0 --startMP 204:482 --initTime 2017-01-31T15:09:02 --startdatetime 2017-01-31T15:15:14 --delay 1 --endMP 204:233281 --enddatetime 2017-01-31T15:53:48 --enforcementcount 0 &gt;&gt;C:\Users\stu\Documents\GitHub\eaglep3-reporting\EC\2017-01-31-refined-times.txt</v>
      </c>
      <c r="AI105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{"issue":{"subject":"","project_id":79,"tracker_id":40,"status_id":1,"priority_id":2,"assigned_to_id":23,"start_date":"2017-01-31","description":"","custom_fields":[{"id":1,"name":"Subdivision","value":"EC"},{"id":4,"name":"Milepost","value":"23.3281"},{"id":17,"name":"Train ID","value":"193-31"},{"id":16,"name":"Locomotive ID","value":"4042"},{"id":130,"name":"Impact","value":""},{"id":150,"name":"Time of Event (Mountain Time)","value":"15:53:48"},{"id":151,"name":"Denver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61" t="str">
        <f t="shared" si="77"/>
        <v>start /low /b %USERPROFILE%\Documents\GitHub\eaglep3\Utilities\DownloadLogsFromS3.py --loco 4042 --day 2017-01-31</v>
      </c>
      <c r="AN105" s="170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"%USERPROFILE%\AppData\Local\Temp\OnboardLogs"\RTDC4042\*4042*20170131* | grep -SE "(Enforcement Action)|(\[TIMEOUT)|(CHR.+\|PRM\|1\|D.+(SWITCH|SIGNAL).+UNKNOWN)" - &gt;&gt; 2017-01-31-UncaughtWiMAX.txt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639</v>
      </c>
      <c r="B106" s="7">
        <v>4041</v>
      </c>
      <c r="C106" s="21" t="s">
        <v>193</v>
      </c>
      <c r="D106" s="21" t="s">
        <v>364</v>
      </c>
      <c r="E106" s="13">
        <v>42766.66878472222</v>
      </c>
      <c r="F106" s="13">
        <v>42766.674467592595</v>
      </c>
      <c r="G106" s="7">
        <v>1</v>
      </c>
      <c r="H106" s="21" t="s">
        <v>746</v>
      </c>
      <c r="I106" s="13">
        <v>42766.703888888886</v>
      </c>
      <c r="J106" s="7">
        <v>0</v>
      </c>
      <c r="K106" s="98" t="str">
        <f t="shared" si="78"/>
        <v>4041/4042</v>
      </c>
      <c r="L106" s="21" t="str">
        <f>VLOOKUP(A106,'Trips&amp;Operators'!$C$1:$G$99999,5,FALSE)</f>
        <v>CLARK KATHLEEN</v>
      </c>
      <c r="M106" s="6">
        <f t="shared" si="79"/>
        <v>2.9421296290820464E-2</v>
      </c>
      <c r="N106" s="7">
        <f t="shared" si="80"/>
        <v>42.366666658781469</v>
      </c>
      <c r="O106" s="7"/>
      <c r="P106" s="7"/>
      <c r="Q106" s="22"/>
      <c r="R106" s="22"/>
      <c r="S106" s="31">
        <f t="shared" si="81"/>
        <v>1</v>
      </c>
      <c r="T106" s="46" t="str">
        <f t="shared" si="70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67"/>
        <v>https://d0f6bd738d7f1b3e5a7ca70fe4ff75f0.us-east-1.aws.found.io/app/kibana#/discover/Steve-Slow-Train-Analysis-(2080s-and-2083s)?_g=(refreshInterval:(display:Off,pause:!f,section:0,value:0),time:(from:'2017-01-31T15:03:03-0700',mode:absolute,to:'2017-01-31T17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194" t="str">
        <f t="shared" si="71"/>
        <v>N</v>
      </c>
      <c r="X106" s="194">
        <f t="shared" si="83"/>
        <v>1</v>
      </c>
      <c r="Y106" s="62">
        <f t="shared" si="84"/>
        <v>23.295999999999999</v>
      </c>
      <c r="Z106" s="62">
        <f t="shared" si="82"/>
        <v>2.76E-2</v>
      </c>
      <c r="AA106" s="62">
        <f t="shared" si="72"/>
        <v>23.2684</v>
      </c>
      <c r="AB106" s="59" t="e">
        <f>VLOOKUP(A106,Enforcements!$C$7:$K$16,8,0)</f>
        <v>#N/A</v>
      </c>
      <c r="AC106" s="55" t="e">
        <f>VLOOKUP(A106,Enforcements!$C$7:$E$16,3,0)</f>
        <v>#N/A</v>
      </c>
      <c r="AD106" s="56" t="str">
        <f t="shared" si="73"/>
        <v>0194-31</v>
      </c>
      <c r="AE106" s="85" t="str">
        <f t="shared" si="68"/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AF106" s="82" t="str">
        <f t="shared" si="69"/>
        <v>"C:\Program Files (x86)\AstroGrep\AstroGrep.exe" /spath="%USERPROFILE%\AppData\Local\Temp\OnboardLogs" /stypes="app*4041*20170131*" /stext=" 23:.+((SYSTEM_STATE.+slice.+state.+changed )|(ment ac)|(multiple cpu faults)|(system.+state.+changed )|(\[timeout)|(PRM\|1\|D)|(kpr)|(kdp)|(\|lc)|(penalty))" /e /r /s</v>
      </c>
      <c r="AG106" s="1" t="str">
        <f t="shared" si="74"/>
        <v>EC</v>
      </c>
      <c r="AH106" s="86" t="str">
        <f t="shared" si="75"/>
        <v>"%USERPROFILE%\Documents\GitHub\eaglep3\Utilities\RefineRTDCRunTimes.py" --tripid 194-31 --locoid 4041 --swversion DE.1.0.8.0 --startMP 204:232960 --initTime 2017-01-31T16:03:03 --startdatetime 2017-01-31T16:11:14 --delay 1 --endMP 204:276 --enddatetime 2017-01-31T16:53:36 --enforcementcount 0 &gt;&gt;C:\Users\stu\Documents\GitHub\eaglep3-reporting\EC\2017-01-31-refined-times.txt</v>
      </c>
      <c r="AI106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{"issue":{"subject":"","project_id":79,"tracker_id":40,"status_id":1,"priority_id":2,"assigned_to_id":23,"start_date":"2017-01-31","description":"","custom_fields":[{"id":1,"name":"Subdivision","value":"EC"},{"id":4,"name":"Milepost","value":"0.0276"},{"id":17,"name":"Train ID","value":"194-31"},{"id":16,"name":"Locomotive ID","value":"4041"},{"id":130,"name":"Impact","value":""},{"id":150,"name":"Time of Event (Mountain Time)","value":"16:53:36"},{"id":151,"name":"Denver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61" t="str">
        <f t="shared" si="77"/>
        <v>start /low /b %USERPROFILE%\Documents\GitHub\eaglep3\Utilities\DownloadLogsFromS3.py --loco 4041 --day 2017-01-31</v>
      </c>
      <c r="AN106" s="170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633</v>
      </c>
      <c r="B107" s="7">
        <v>4020</v>
      </c>
      <c r="C107" s="21" t="s">
        <v>193</v>
      </c>
      <c r="D107" s="21" t="s">
        <v>747</v>
      </c>
      <c r="E107" s="13">
        <v>42766.644062500003</v>
      </c>
      <c r="F107" s="13">
        <v>42766.646377314813</v>
      </c>
      <c r="G107" s="7">
        <v>1</v>
      </c>
      <c r="H107" s="21" t="s">
        <v>748</v>
      </c>
      <c r="I107" s="13">
        <v>42766.670937499999</v>
      </c>
      <c r="J107" s="7">
        <v>0</v>
      </c>
      <c r="K107" s="98" t="str">
        <f t="shared" si="78"/>
        <v>4019/4020</v>
      </c>
      <c r="L107" s="21" t="str">
        <f>VLOOKUP(A107,'Trips&amp;Operators'!$C$1:$G$99999,5,FALSE)</f>
        <v>CRAYTON QUNTRELL</v>
      </c>
      <c r="M107" s="6">
        <f t="shared" si="79"/>
        <v>2.4560185185691807E-2</v>
      </c>
      <c r="N107" s="7">
        <f t="shared" si="80"/>
        <v>35.366666667396203</v>
      </c>
      <c r="O107" s="7"/>
      <c r="P107" s="7"/>
      <c r="Q107" s="22"/>
      <c r="R107" s="22"/>
      <c r="S107" s="31">
        <f t="shared" si="81"/>
        <v>1</v>
      </c>
      <c r="T107" s="46" t="str">
        <f t="shared" si="70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67"/>
        <v>https://d0f6bd738d7f1b3e5a7ca70fe4ff75f0.us-east-1.aws.found.io/app/kibana#/discover/Steve-Slow-Train-Analysis-(2080s-and-2083s)?_g=(refreshInterval:(display:Off,pause:!f,section:0,value:0),time:(from:'2017-01-31T14:27:27-0700',mode:absolute,to:'2017-01-31T17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7" s="194" t="str">
        <f t="shared" si="71"/>
        <v>N</v>
      </c>
      <c r="X107" s="194">
        <f t="shared" si="83"/>
        <v>1</v>
      </c>
      <c r="Y107" s="62">
        <f t="shared" si="84"/>
        <v>0.11559999999999999</v>
      </c>
      <c r="Z107" s="62">
        <f t="shared" si="82"/>
        <v>23.3276</v>
      </c>
      <c r="AA107" s="62">
        <f t="shared" si="72"/>
        <v>23.212</v>
      </c>
      <c r="AB107" s="59" t="e">
        <f>VLOOKUP(A107,Enforcements!$C$7:$K$16,8,0)</f>
        <v>#N/A</v>
      </c>
      <c r="AC107" s="55" t="e">
        <f>VLOOKUP(A107,Enforcements!$C$7:$E$16,3,0)</f>
        <v>#N/A</v>
      </c>
      <c r="AD107" s="56" t="str">
        <f t="shared" si="73"/>
        <v>0195-31</v>
      </c>
      <c r="AE107" s="85" t="str">
        <f t="shared" si="68"/>
        <v>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 &amp; aws s3 cp s3://rtdc.mdm.uploadarchive.raw/RTDC4020/ "%USERPROFILE%\AppData\Local\Temp\OnboardLogs"\RTDC4020\2017-02-01 --exclude "*" --recursive --include "*20170201*" &amp; "%USERPROFILE%\Documents\GitHub\mrs-test-scripts\Headless Mode &amp; Sideloading\WalkAndUnGZ.bat" "%USERPROFILE%\AppData\Local\Temp\OnboardLogs"\RTDC4020\2017-02-01</v>
      </c>
      <c r="AF107" s="82" t="str">
        <f t="shared" si="69"/>
        <v>"C:\Program Files (x86)\AstroGrep\AstroGrep.exe" /spath="%USERPROFILE%\AppData\Local\Temp\OnboardLogs" /stypes="app*4020*20170131*" /stext=" 23:.+((SYSTEM_STATE.+slice.+state.+changed )|(ment ac)|(multiple cpu faults)|(system.+state.+changed )|(\[timeout)|(PRM\|1\|D)|(kpr)|(kdp)|(\|lc)|(penalty))" /e /r /s</v>
      </c>
      <c r="AG107" s="1" t="str">
        <f t="shared" si="74"/>
        <v>EC</v>
      </c>
      <c r="AH107" s="86" t="str">
        <f t="shared" si="75"/>
        <v>"%USERPROFILE%\Documents\GitHub\eaglep3\Utilities\RefineRTDCRunTimes.py" --tripid 195-31 --locoid 4020 --swversion DE.1.0.8.0 --startMP 204:1156 --initTime 2017-01-31T15:27:27 --startdatetime 2017-01-31T15:30:47 --delay 1 --endMP 204:233276 --enddatetime 2017-01-31T16:06:09 --enforcementcount 0 &gt;&gt;C:\Users\stu\Documents\GitHub\eaglep3-reporting\EC\2017-01-31-refined-times.txt</v>
      </c>
      <c r="AI107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{"issue":{"subject":"","project_id":79,"tracker_id":40,"status_id":1,"priority_id":2,"assigned_to_id":23,"start_date":"2017-01-31","description":"","custom_fields":[{"id":1,"name":"Subdivision","value":"EC"},{"id":4,"name":"Milepost","value":"23.3276"},{"id":17,"name":"Train ID","value":"195-31"},{"id":16,"name":"Locomotive ID","value":"4020"},{"id":130,"name":"Impact","value":""},{"id":150,"name":"Time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61" t="str">
        <f t="shared" si="77"/>
        <v>start /low /b %USERPROFILE%\Documents\GitHub\eaglep3\Utilities\DownloadLogsFromS3.py --loco 4020 --day 2017-01-31</v>
      </c>
      <c r="AN107" s="170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"%USERPROFILE%\AppData\Local\Temp\OnboardLogs"\RTDC4020\*4020*20170131* | grep -SE "(Enforcement Action)|(\[TIMEOUT)|(CHR.+\|PRM\|1\|D.+(SWITCH|SIGNAL).+UNKNOWN)" - &gt;&gt; 2017-01-31-UncaughtWiMAX.txt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641</v>
      </c>
      <c r="B108" s="7">
        <v>4019</v>
      </c>
      <c r="C108" s="21" t="s">
        <v>193</v>
      </c>
      <c r="D108" s="21" t="s">
        <v>749</v>
      </c>
      <c r="E108" s="13">
        <v>42766.675347222219</v>
      </c>
      <c r="F108" s="13">
        <v>42766.684907407405</v>
      </c>
      <c r="G108" s="7">
        <v>3</v>
      </c>
      <c r="H108" s="21" t="s">
        <v>227</v>
      </c>
      <c r="I108" s="13">
        <v>42766.713171296295</v>
      </c>
      <c r="J108" s="7">
        <v>0</v>
      </c>
      <c r="K108" s="98" t="str">
        <f t="shared" si="78"/>
        <v>4019/4020</v>
      </c>
      <c r="L108" s="21" t="str">
        <f>VLOOKUP(A108,'Trips&amp;Operators'!$C$1:$G$99999,5,FALSE)</f>
        <v>CRAYTON QUNTRELL</v>
      </c>
      <c r="M108" s="6">
        <f t="shared" si="79"/>
        <v>2.8263888889341615E-2</v>
      </c>
      <c r="N108" s="7">
        <f t="shared" si="80"/>
        <v>40.700000000651926</v>
      </c>
      <c r="O108" s="7"/>
      <c r="P108" s="7"/>
      <c r="Q108" s="22"/>
      <c r="R108" s="22"/>
      <c r="S108" s="31">
        <f t="shared" si="81"/>
        <v>1</v>
      </c>
      <c r="T108" s="46" t="str">
        <f t="shared" si="70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67"/>
        <v>https://d0f6bd738d7f1b3e5a7ca70fe4ff75f0.us-east-1.aws.found.io/app/kibana#/discover/Steve-Slow-Train-Analysis-(2080s-and-2083s)?_g=(refreshInterval:(display:Off,pause:!f,section:0,value:0),time:(from:'2017-01-31T15:12:30-0700',mode:absolute,to:'2017-01-31T18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8" s="194" t="str">
        <f t="shared" si="71"/>
        <v>N</v>
      </c>
      <c r="X108" s="194">
        <f t="shared" si="83"/>
        <v>1</v>
      </c>
      <c r="Y108" s="62">
        <f t="shared" si="84"/>
        <v>23.2944</v>
      </c>
      <c r="Z108" s="62">
        <f t="shared" si="82"/>
        <v>1.6299999999999999E-2</v>
      </c>
      <c r="AA108" s="62">
        <f t="shared" si="72"/>
        <v>23.278099999999998</v>
      </c>
      <c r="AB108" s="59" t="e">
        <f>VLOOKUP(A108,Enforcements!$C$7:$K$16,8,0)</f>
        <v>#N/A</v>
      </c>
      <c r="AC108" s="55" t="e">
        <f>VLOOKUP(A108,Enforcements!$C$7:$E$16,3,0)</f>
        <v>#N/A</v>
      </c>
      <c r="AD108" s="56" t="str">
        <f t="shared" si="73"/>
        <v>0196-31</v>
      </c>
      <c r="AE108" s="85" t="str">
        <f t="shared" si="68"/>
        <v>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 &amp; aws s3 cp s3://rtdc.mdm.uploadarchive.raw/RTDC4019/ "%USERPROFILE%\AppData\Local\Temp\OnboardLogs"\RTDC4019\2017-02-01 --exclude "*" --recursive --include "*20170201*" &amp; "%USERPROFILE%\Documents\GitHub\mrs-test-scripts\Headless Mode &amp; Sideloading\WalkAndUnGZ.bat" "%USERPROFILE%\AppData\Local\Temp\OnboardLogs"\RTDC4019\2017-02-01</v>
      </c>
      <c r="AF108" s="82" t="str">
        <f t="shared" si="69"/>
        <v>"C:\Program Files (x86)\AstroGrep\AstroGrep.exe" /spath="%USERPROFILE%\AppData\Local\Temp\OnboardLogs" /stypes="app*4019*20170201*" /stext=" 00:.+((SYSTEM_STATE.+slice.+state.+changed )|(ment ac)|(multiple cpu faults)|(system.+state.+changed )|(\[timeout)|(PRM\|1\|D)|(kpr)|(kdp)|(\|lc)|(penalty))" /e /r /s</v>
      </c>
      <c r="AG108" s="1" t="str">
        <f t="shared" si="74"/>
        <v>EC</v>
      </c>
      <c r="AH108" s="86" t="str">
        <f t="shared" si="75"/>
        <v>"%USERPROFILE%\Documents\GitHub\eaglep3\Utilities\RefineRTDCRunTimes.py" --tripid 196-31 --locoid 4019 --swversion DE.1.0.8.0 --startMP 204:232944 --initTime 2017-01-31T16:12:30 --startdatetime 2017-01-31T16:26:16 --delay 3 --endMP 204:163 --enddatetime 2017-01-31T17:06:58 --enforcementcount 0 &gt;&gt;C:\Users\stu\Documents\GitHub\eaglep3-reporting\EC\2017-01-31-refined-times.txt</v>
      </c>
      <c r="AI108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{"issue":{"subject":"","project_id":79,"tracker_id":40,"status_id":1,"priority_id":2,"assigned_to_id":23,"start_date":"2017-01-31","description":"","custom_fields":[{"id":1,"name":"Subdivision","value":"EC"},{"id":4,"name":"Milepost","value":"0.0163"},{"id":17,"name":"Train ID","value":"196-31"},{"id":16,"name":"Locomotive ID","value":"4019"},{"id":130,"name":"Impact","value":""},{"id":150,"name":"Time of Event (Mountain Time)","value":"17:06:58"},{"id":151,"name":"Denver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61" t="str">
        <f t="shared" si="77"/>
        <v>start /low /b %USERPROFILE%\Documents\GitHub\eaglep3\Utilities\DownloadLogsFromS3.py --loco 4019 --day 2017-01-31</v>
      </c>
      <c r="AN108" s="170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"%USERPROFILE%\AppData\Local\Temp\OnboardLogs"\RTDC4019\*4019*20170131* | grep -SE "(Enforcement Action)|(\[TIMEOUT)|(CHR.+\|PRM\|1\|D.+(SWITCH|SIGNAL).+UNKNOWN)" - &gt;&gt; 2017-01-31-UncaughtWiMAX.txt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508</v>
      </c>
      <c r="B109" s="7">
        <v>4011</v>
      </c>
      <c r="C109" s="21" t="s">
        <v>193</v>
      </c>
      <c r="D109" s="21" t="s">
        <v>307</v>
      </c>
      <c r="E109" s="13">
        <v>42766.651412037034</v>
      </c>
      <c r="F109" s="13">
        <v>42766.6565625</v>
      </c>
      <c r="G109" s="7">
        <v>1</v>
      </c>
      <c r="H109" s="21" t="s">
        <v>750</v>
      </c>
      <c r="I109" s="13">
        <v>42766.680115740739</v>
      </c>
      <c r="J109" s="7">
        <v>0</v>
      </c>
      <c r="K109" s="98" t="str">
        <f t="shared" si="78"/>
        <v>4011/4012</v>
      </c>
      <c r="L109" s="21" t="str">
        <f>VLOOKUP(A109,'Trips&amp;Operators'!$C$1:$G$99999,5,FALSE)</f>
        <v>ROMERO CHAD</v>
      </c>
      <c r="M109" s="6">
        <f t="shared" si="79"/>
        <v>2.3553240738692693E-2</v>
      </c>
      <c r="N109" s="7"/>
      <c r="O109" s="7"/>
      <c r="P109" s="7">
        <f>24*60*SUM($M109:$M109)</f>
        <v>33.916666663717479</v>
      </c>
      <c r="Q109" s="22"/>
      <c r="R109" s="22" t="s">
        <v>886</v>
      </c>
      <c r="S109" s="31">
        <f t="shared" si="81"/>
        <v>1</v>
      </c>
      <c r="T109" s="46" t="str">
        <f t="shared" si="70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67"/>
        <v>https://d0f6bd738d7f1b3e5a7ca70fe4ff75f0.us-east-1.aws.found.io/app/kibana#/discover/Steve-Slow-Train-Analysis-(2080s-and-2083s)?_g=(refreshInterval:(display:Off,pause:!f,section:0,value:0),time:(from:'2017-01-31T14:38:02-0700',mode:absolute,to:'2017-01-31T17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9" s="194" t="str">
        <f t="shared" si="71"/>
        <v>Y</v>
      </c>
      <c r="X109" s="194">
        <f t="shared" si="83"/>
        <v>1</v>
      </c>
      <c r="Y109" s="62">
        <f t="shared" si="84"/>
        <v>4.5499999999999999E-2</v>
      </c>
      <c r="Z109" s="62">
        <f t="shared" si="82"/>
        <v>22.9499</v>
      </c>
      <c r="AA109" s="62">
        <f t="shared" si="72"/>
        <v>22.904399999999999</v>
      </c>
      <c r="AB109" s="59" t="str">
        <f>VLOOKUP(A109,Enforcements!$C$7:$K$16,8,0)</f>
        <v>Speed (6)</v>
      </c>
      <c r="AC109" s="55" t="str">
        <f>VLOOKUP(A109,Enforcements!$C$7:$E$16,3,0)</f>
        <v>PERMANENT SPEED RESTRICTION</v>
      </c>
      <c r="AD109" s="56" t="str">
        <f t="shared" si="73"/>
        <v>0197-31</v>
      </c>
      <c r="AE109" s="85" t="str">
        <f t="shared" si="68"/>
        <v>aws s3 cp s3://rtdc.mdm.uploadarchive.raw/RTDC4011/ "%USERPROFILE%\AppData\Local\Temp\OnboardLogs"\RTDC4011\2017-01-31 --exclude "*" --recursive --include "*20170131*" &amp; "%USERPROFILE%\Documents\GitHub\mrs-test-scripts\Headless Mode &amp; Sideloading\WalkAndUnGZ.bat" "%USERPROFILE%\AppData\Local\Temp\OnboardLogs"\RTDC4011\2017-01-31 &amp; 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</v>
      </c>
      <c r="AF109" s="82" t="str">
        <f t="shared" si="69"/>
        <v>"C:\Program Files (x86)\AstroGrep\AstroGrep.exe" /spath="%USERPROFILE%\AppData\Local\Temp\OnboardLogs" /stypes="app*4011*20170131*" /stext=" 23:.+((SYSTEM_STATE.+slice.+state.+changed )|(ment ac)|(multiple cpu faults)|(system.+state.+changed )|(\[timeout)|(PRM\|1\|D)|(kpr)|(kdp)|(\|lc)|(penalty))" /e /r /s</v>
      </c>
      <c r="AG109" s="1" t="str">
        <f t="shared" si="74"/>
        <v>EC</v>
      </c>
      <c r="AH109" s="86" t="str">
        <f t="shared" si="75"/>
        <v>"%USERPROFILE%\Documents\GitHub\eaglep3\Utilities\RefineRTDCRunTimes.py" --tripid 197-31 --locoid 4011 --swversion DE.1.0.8.0 --startMP 204:455 --initTime 2017-01-31T15:38:02 --startdatetime 2017-01-31T15:45:27 --delay 1 --endMP 204:229499 --enddatetime 2017-01-31T16:19:22 --enforcementcount 0 &gt;&gt;C:\Users\stu\Documents\GitHub\eaglep3-reporting\EC\2017-01-31-refined-times.txt</v>
      </c>
      <c r="AI109" s="108" t="str">
        <f t="shared" si="76"/>
        <v>echo {"issue":{"subject":"Banner without braking (55 mph speed restriction approaching DIA)","project_id":79,"tracker_id":40,"status_id":1,"priority_id":2,"assigned_to_id":23,"start_date":"2017-01-31","description":"","custom_fields":[{"id":1,"name":"Subdivision","value":"EC"},{"id":4,"name":"Milepost","value":"22.9499"},{"id":17,"name":"Train ID","value":"197-31"},{"id":16,"name":"Locomotive ID","value":"4011"},{"id":130,"name":"Impact","value":""},{"id":150,"name":"Time of Event (Mountain Time)","value":"16:19:22"},{"id":151,"name":"Denver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61" t="str">
        <f t="shared" si="77"/>
        <v>start /low /b %USERPROFILE%\Documents\GitHub\eaglep3\Utilities\DownloadLogsFromS3.py --loco 4011 --day 2017-01-31</v>
      </c>
      <c r="AN109" s="170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"%USERPROFILE%\AppData\Local\Temp\OnboardLogs"\RTDC4011\*4011*20170131* | grep -SE "(Enforcement Action)|(\[TIMEOUT)|(CHR.+\|PRM\|1\|D.+(SWITCH|SIGNAL).+UNKNOWN)" - &gt;&gt; 2017-01-31-UncaughtWiMAX.txt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511</v>
      </c>
      <c r="B110" s="7">
        <v>4012</v>
      </c>
      <c r="C110" s="21" t="s">
        <v>193</v>
      </c>
      <c r="D110" s="21" t="s">
        <v>717</v>
      </c>
      <c r="E110" s="13">
        <v>42766.685393518521</v>
      </c>
      <c r="F110" s="13">
        <v>42766.695277777777</v>
      </c>
      <c r="G110" s="7">
        <v>1</v>
      </c>
      <c r="H110" s="21" t="s">
        <v>751</v>
      </c>
      <c r="I110" s="13">
        <v>42766.723564814813</v>
      </c>
      <c r="J110" s="7">
        <v>0</v>
      </c>
      <c r="K110" s="98" t="str">
        <f t="shared" si="78"/>
        <v>4011/4012</v>
      </c>
      <c r="L110" s="21" t="str">
        <f>VLOOKUP(A110,'Trips&amp;Operators'!$C$1:$G$99999,5,FALSE)</f>
        <v>ROMERO CHAD</v>
      </c>
      <c r="M110" s="6">
        <f t="shared" si="79"/>
        <v>2.8287037035624962E-2</v>
      </c>
      <c r="N110" s="7">
        <f t="shared" ref="N110:N141" si="85">24*60*SUM($M110:$M110)</f>
        <v>40.733333331299946</v>
      </c>
      <c r="O110" s="7"/>
      <c r="P110" s="7"/>
      <c r="Q110" s="22"/>
      <c r="R110" s="22"/>
      <c r="S110" s="31">
        <f t="shared" si="81"/>
        <v>1</v>
      </c>
      <c r="T110" s="46" t="str">
        <f t="shared" si="70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67"/>
        <v>https://d0f6bd738d7f1b3e5a7ca70fe4ff75f0.us-east-1.aws.found.io/app/kibana#/discover/Steve-Slow-Train-Analysis-(2080s-and-2083s)?_g=(refreshInterval:(display:Off,pause:!f,section:0,value:0),time:(from:'2017-01-31T15:26:58-0700',mode:absolute,to:'2017-01-31T18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0" s="194" t="str">
        <f t="shared" si="71"/>
        <v>N</v>
      </c>
      <c r="X110" s="194">
        <f t="shared" si="83"/>
        <v>1</v>
      </c>
      <c r="Y110" s="62">
        <f t="shared" si="84"/>
        <v>23.3002</v>
      </c>
      <c r="Z110" s="62">
        <f t="shared" si="82"/>
        <v>0.10009999999999999</v>
      </c>
      <c r="AA110" s="62">
        <f t="shared" si="72"/>
        <v>23.200099999999999</v>
      </c>
      <c r="AB110" s="59" t="e">
        <f>VLOOKUP(A110,Enforcements!$C$7:$K$16,8,0)</f>
        <v>#N/A</v>
      </c>
      <c r="AC110" s="55" t="e">
        <f>VLOOKUP(A110,Enforcements!$C$7:$E$16,3,0)</f>
        <v>#N/A</v>
      </c>
      <c r="AD110" s="56" t="str">
        <f t="shared" si="73"/>
        <v>0198-31</v>
      </c>
      <c r="AE110" s="85" t="str">
        <f t="shared" si="68"/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AF110" s="82" t="str">
        <f t="shared" si="69"/>
        <v>"C:\Program Files (x86)\AstroGrep\AstroGrep.exe" /spath="%USERPROFILE%\AppData\Local\Temp\OnboardLogs" /stypes="app*4012*20170201*" /stext=" 00:.+((SYSTEM_STATE.+slice.+state.+changed )|(ment ac)|(multiple cpu faults)|(system.+state.+changed )|(\[timeout)|(PRM\|1\|D)|(kpr)|(kdp)|(\|lc)|(penalty))" /e /r /s</v>
      </c>
      <c r="AG110" s="1" t="str">
        <f t="shared" si="74"/>
        <v>EC</v>
      </c>
      <c r="AH110" s="86" t="str">
        <f t="shared" si="75"/>
        <v>"%USERPROFILE%\Documents\GitHub\eaglep3\Utilities\RefineRTDCRunTimes.py" --tripid 198-31 --locoid 4012 --swversion DE.1.0.8.0 --startMP 204:233002 --initTime 2017-01-31T16:26:58 --startdatetime 2017-01-31T16:41:12 --delay 1 --endMP 204:1001 --enddatetime 2017-01-31T17:21:56 --enforcementcount 0 &gt;&gt;C:\Users\stu\Documents\GitHub\eaglep3-reporting\EC\2017-01-31-refined-times.txt</v>
      </c>
      <c r="AI110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{"issue":{"subject":"","project_id":79,"tracker_id":40,"status_id":1,"priority_id":2,"assigned_to_id":23,"start_date":"2017-01-31","description":"","custom_fields":[{"id":1,"name":"Subdivision","value":"EC"},{"id":4,"name":"Milepost","value":"0.1001"},{"id":17,"name":"Train ID","value":"198-31"},{"id":16,"name":"Locomotive ID","value":"4012"},{"id":130,"name":"Impact","value":""},{"id":150,"name":"Time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61" t="str">
        <f t="shared" si="77"/>
        <v>start /low /b %USERPROFILE%\Documents\GitHub\eaglep3\Utilities\DownloadLogsFromS3.py --loco 4012 --day 2017-01-31</v>
      </c>
      <c r="AN110" s="170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"%USERPROFILE%\AppData\Local\Temp\OnboardLogs"\RTDC4012\*4012*20170201* | grep -SE "(Enforcement Action)|(\[TIMEOUT)|(CHR.+\|PRM\|1\|D.+(SWITCH|SIGNAL).+UNKNOWN)" - &gt;&gt; 2017-01-31-UncaughtWiMAX.txt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636</v>
      </c>
      <c r="B111" s="7">
        <v>4038</v>
      </c>
      <c r="C111" s="21" t="s">
        <v>193</v>
      </c>
      <c r="D111" s="21" t="s">
        <v>224</v>
      </c>
      <c r="E111" s="13">
        <v>42766.662314814814</v>
      </c>
      <c r="F111" s="13">
        <v>42766.666921296295</v>
      </c>
      <c r="G111" s="7">
        <v>2</v>
      </c>
      <c r="H111" s="21" t="s">
        <v>326</v>
      </c>
      <c r="I111" s="13">
        <v>42766.694027777776</v>
      </c>
      <c r="J111" s="7">
        <v>0</v>
      </c>
      <c r="K111" s="98" t="str">
        <f t="shared" si="78"/>
        <v>4037/4038</v>
      </c>
      <c r="L111" s="21" t="str">
        <f>VLOOKUP(A111,'Trips&amp;Operators'!$C$1:$G$99999,5,FALSE)</f>
        <v>MOSES BRADLEY</v>
      </c>
      <c r="M111" s="6">
        <f t="shared" si="79"/>
        <v>2.7106481480586808E-2</v>
      </c>
      <c r="N111" s="7">
        <f t="shared" si="85"/>
        <v>39.033333332045004</v>
      </c>
      <c r="O111" s="7"/>
      <c r="P111" s="7"/>
      <c r="Q111" s="22"/>
      <c r="R111" s="22"/>
      <c r="S111" s="31">
        <f t="shared" si="81"/>
        <v>1</v>
      </c>
      <c r="T111" s="46" t="str">
        <f t="shared" si="70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67"/>
        <v>https://d0f6bd738d7f1b3e5a7ca70fe4ff75f0.us-east-1.aws.found.io/app/kibana#/discover/Steve-Slow-Train-Analysis-(2080s-and-2083s)?_g=(refreshInterval:(display:Off,pause:!f,section:0,value:0),time:(from:'2017-01-31T14:53:44-0700',mode:absolute,to:'2017-01-31T17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11" s="194" t="str">
        <f t="shared" si="71"/>
        <v>N</v>
      </c>
      <c r="X111" s="194">
        <f t="shared" si="83"/>
        <v>1</v>
      </c>
      <c r="Y111" s="62">
        <f t="shared" si="84"/>
        <v>4.6899999999999997E-2</v>
      </c>
      <c r="Z111" s="62">
        <f t="shared" si="82"/>
        <v>23.331099999999999</v>
      </c>
      <c r="AA111" s="62">
        <f t="shared" si="72"/>
        <v>23.284199999999998</v>
      </c>
      <c r="AB111" s="59" t="e">
        <f>VLOOKUP(A111,Enforcements!$C$7:$K$16,8,0)</f>
        <v>#N/A</v>
      </c>
      <c r="AC111" s="55" t="e">
        <f>VLOOKUP(A111,Enforcements!$C$7:$E$16,3,0)</f>
        <v>#N/A</v>
      </c>
      <c r="AD111" s="56" t="str">
        <f t="shared" si="73"/>
        <v>0199-31</v>
      </c>
      <c r="AE111" s="85" t="str">
        <f t="shared" si="68"/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111" s="82" t="str">
        <f t="shared" si="69"/>
        <v>"C:\Program Files (x86)\AstroGrep\AstroGrep.exe" /spath="%USERPROFILE%\AppData\Local\Temp\OnboardLogs" /stypes="app*4038*20170131*" /stext=" 23:.+((SYSTEM_STATE.+slice.+state.+changed )|(ment ac)|(multiple cpu faults)|(system.+state.+changed )|(\[timeout)|(PRM\|1\|D)|(kpr)|(kdp)|(\|lc)|(penalty))" /e /r /s</v>
      </c>
      <c r="AG111" s="1" t="str">
        <f t="shared" si="74"/>
        <v>EC</v>
      </c>
      <c r="AH111" s="86" t="str">
        <f t="shared" si="75"/>
        <v>"%USERPROFILE%\Documents\GitHub\eaglep3\Utilities\RefineRTDCRunTimes.py" --tripid 199-31 --locoid 4038 --swversion DE.1.0.8.0 --startMP 204:469 --initTime 2017-01-31T15:53:44 --startdatetime 2017-01-31T16:00:22 --delay 2 --endMP 204:233311 --enddatetime 2017-01-31T16:39:24 --enforcementcount 0 &gt;&gt;C:\Users\stu\Documents\GitHub\eaglep3-reporting\EC\2017-01-31-refined-times.txt</v>
      </c>
      <c r="AI111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{"issue":{"subject":"","project_id":79,"tracker_id":40,"status_id":1,"priority_id":2,"assigned_to_id":23,"start_date":"2017-01-31","description":"","custom_fields":[{"id":1,"name":"Subdivision","value":"EC"},{"id":4,"name":"Milepost","value":"23.3311"},{"id":17,"name":"Train ID","value":"199-31"},{"id":16,"name":"Locomotive ID","value":"4038"},{"id":130,"name":"Impact","value":""},{"id":150,"name":"Time of Event (Mountain Time)","value":"16:39:24"},{"id":151,"name":"Denver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61" t="str">
        <f t="shared" si="77"/>
        <v>start /low /b %USERPROFILE%\Documents\GitHub\eaglep3\Utilities\DownloadLogsFromS3.py --loco 4038 --day 2017-01-31</v>
      </c>
      <c r="AN111" s="170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"%USERPROFILE%\AppData\Local\Temp\OnboardLogs"\RTDC4038\*4038*20170131* | grep -SE "(Enforcement Action)|(\[TIMEOUT)|(CHR.+\|PRM\|1\|D.+(SWITCH|SIGNAL).+UNKNOWN)" - &gt;&gt; 2017-01-31-UncaughtWiMAX.txt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645</v>
      </c>
      <c r="B112" s="7">
        <v>4037</v>
      </c>
      <c r="C112" s="21" t="s">
        <v>193</v>
      </c>
      <c r="D112" s="21" t="s">
        <v>713</v>
      </c>
      <c r="E112" s="13">
        <v>42766.700648148151</v>
      </c>
      <c r="F112" s="13">
        <v>42766.705833333333</v>
      </c>
      <c r="G112" s="7">
        <v>1</v>
      </c>
      <c r="H112" s="21" t="s">
        <v>304</v>
      </c>
      <c r="I112" s="13">
        <v>42766.733287037037</v>
      </c>
      <c r="J112" s="7">
        <v>0</v>
      </c>
      <c r="K112" s="98" t="str">
        <f t="shared" si="78"/>
        <v>4037/4038</v>
      </c>
      <c r="L112" s="21" t="str">
        <f>VLOOKUP(A112,'Trips&amp;Operators'!$C$1:$G$99999,5,FALSE)</f>
        <v>MOSES BRADLEY</v>
      </c>
      <c r="M112" s="6">
        <f t="shared" si="79"/>
        <v>2.7453703703940846E-2</v>
      </c>
      <c r="N112" s="7">
        <f t="shared" si="85"/>
        <v>39.533333333674818</v>
      </c>
      <c r="O112" s="7"/>
      <c r="P112" s="7"/>
      <c r="Q112" s="22"/>
      <c r="R112" s="22"/>
      <c r="S112" s="31">
        <f t="shared" si="81"/>
        <v>1</v>
      </c>
      <c r="T112" s="46" t="str">
        <f t="shared" si="70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67"/>
        <v>https://d0f6bd738d7f1b3e5a7ca70fe4ff75f0.us-east-1.aws.found.io/app/kibana#/discover/Steve-Slow-Train-Analysis-(2080s-and-2083s)?_g=(refreshInterval:(display:Off,pause:!f,section:0,value:0),time:(from:'2017-01-31T15:48:56-0700',mode:absolute,to:'2017-01-31T18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2" s="194" t="str">
        <f t="shared" si="71"/>
        <v>N</v>
      </c>
      <c r="X112" s="194">
        <f t="shared" si="83"/>
        <v>1</v>
      </c>
      <c r="Y112" s="62">
        <f t="shared" si="84"/>
        <v>23.2986</v>
      </c>
      <c r="Z112" s="62">
        <f t="shared" si="82"/>
        <v>1.5599999999999999E-2</v>
      </c>
      <c r="AA112" s="62">
        <f t="shared" si="72"/>
        <v>23.283000000000001</v>
      </c>
      <c r="AB112" s="59" t="e">
        <f>VLOOKUP(A112,Enforcements!$C$7:$K$16,8,0)</f>
        <v>#N/A</v>
      </c>
      <c r="AC112" s="55" t="e">
        <f>VLOOKUP(A112,Enforcements!$C$7:$E$16,3,0)</f>
        <v>#N/A</v>
      </c>
      <c r="AD112" s="56" t="str">
        <f t="shared" si="73"/>
        <v>0200-31</v>
      </c>
      <c r="AE112" s="85" t="str">
        <f t="shared" si="68"/>
        <v>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 &amp; 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</v>
      </c>
      <c r="AF112" s="82" t="str">
        <f t="shared" si="69"/>
        <v>"C:\Program Files (x86)\AstroGrep\AstroGrep.exe" /spath="%USERPROFILE%\AppData\Local\Temp\OnboardLogs" /stypes="app*4037*20170201*" /stext=" 00:.+((SYSTEM_STATE.+slice.+state.+changed )|(ment ac)|(multiple cpu faults)|(system.+state.+changed )|(\[timeout)|(PRM\|1\|D)|(kpr)|(kdp)|(\|lc)|(penalty))" /e /r /s</v>
      </c>
      <c r="AG112" s="1" t="str">
        <f t="shared" si="74"/>
        <v>EC</v>
      </c>
      <c r="AH112" s="86" t="str">
        <f t="shared" si="75"/>
        <v>"%USERPROFILE%\Documents\GitHub\eaglep3\Utilities\RefineRTDCRunTimes.py" --tripid 200-31 --locoid 4037 --swversion DE.1.0.8.0 --startMP 204:232986 --initTime 2017-01-31T16:48:56 --startdatetime 2017-01-31T16:56:24 --delay 1 --endMP 204:156 --enddatetime 2017-01-31T17:35:56 --enforcementcount 0 &gt;&gt;C:\Users\stu\Documents\GitHub\eaglep3-reporting\EC\2017-01-31-refined-times.txt</v>
      </c>
      <c r="AI112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{"issue":{"subject":"","project_id":79,"tracker_id":40,"status_id":1,"priority_id":2,"assigned_to_id":23,"start_date":"2017-01-31","description":"","custom_fields":[{"id":1,"name":"Subdivision","value":"EC"},{"id":4,"name":"Milepost","value":"0.0156"},{"id":17,"name":"Train ID","value":"200-31"},{"id":16,"name":"Locomotive ID","value":"4037"},{"id":130,"name":"Impact","value":""},{"id":150,"name":"Time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61" t="str">
        <f t="shared" si="77"/>
        <v>start /low /b %USERPROFILE%\Documents\GitHub\eaglep3\Utilities\DownloadLogsFromS3.py --loco 4037 --day 2017-01-31</v>
      </c>
      <c r="AN112" s="170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"%USERPROFILE%\AppData\Local\Temp\OnboardLogs"\RTDC4037\*4037*20170201* | grep -SE "(Enforcement Action)|(\[TIMEOUT)|(CHR.+\|PRM\|1\|D.+(SWITCH|SIGNAL).+UNKNOWN)" - &gt;&gt; 2017-01-31-UncaughtWiMAX.txt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640</v>
      </c>
      <c r="B113" s="7">
        <v>4025</v>
      </c>
      <c r="C113" s="21" t="s">
        <v>193</v>
      </c>
      <c r="D113" s="21" t="s">
        <v>472</v>
      </c>
      <c r="E113" s="13">
        <v>42766.672592592593</v>
      </c>
      <c r="F113" s="13">
        <v>42766.677418981482</v>
      </c>
      <c r="G113" s="7">
        <v>1</v>
      </c>
      <c r="H113" s="21" t="s">
        <v>469</v>
      </c>
      <c r="I113" s="13">
        <v>42766.702905092592</v>
      </c>
      <c r="J113" s="7">
        <v>0</v>
      </c>
      <c r="K113" s="98" t="str">
        <f t="shared" si="78"/>
        <v>4025/4026</v>
      </c>
      <c r="L113" s="21" t="str">
        <f>VLOOKUP(A113,'Trips&amp;Operators'!$C$1:$G$99999,5,FALSE)</f>
        <v>SWANSON BRYCE</v>
      </c>
      <c r="M113" s="6">
        <f t="shared" si="79"/>
        <v>2.548611110978527E-2</v>
      </c>
      <c r="N113" s="7">
        <f t="shared" si="85"/>
        <v>36.699999998090789</v>
      </c>
      <c r="O113" s="7"/>
      <c r="P113" s="7"/>
      <c r="Q113" s="22"/>
      <c r="R113" s="22"/>
      <c r="S113" s="31">
        <f t="shared" si="81"/>
        <v>1</v>
      </c>
      <c r="T113" s="46" t="str">
        <f t="shared" si="70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67"/>
        <v>https://d0f6bd738d7f1b3e5a7ca70fe4ff75f0.us-east-1.aws.found.io/app/kibana#/discover/Steve-Slow-Train-Analysis-(2080s-and-2083s)?_g=(refreshInterval:(display:Off,pause:!f,section:0,value:0),time:(from:'2017-01-31T15:08:32-0700',mode:absolute,to:'2017-01-31T17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94" t="str">
        <f t="shared" si="71"/>
        <v>N</v>
      </c>
      <c r="X113" s="194">
        <f t="shared" si="83"/>
        <v>1</v>
      </c>
      <c r="Y113" s="62">
        <f t="shared" si="84"/>
        <v>4.7300000000000002E-2</v>
      </c>
      <c r="Z113" s="62">
        <f t="shared" si="82"/>
        <v>23.331700000000001</v>
      </c>
      <c r="AA113" s="62">
        <f t="shared" si="72"/>
        <v>23.284400000000002</v>
      </c>
      <c r="AB113" s="59" t="e">
        <f>VLOOKUP(A113,Enforcements!$C$7:$K$16,8,0)</f>
        <v>#N/A</v>
      </c>
      <c r="AC113" s="55" t="e">
        <f>VLOOKUP(A113,Enforcements!$C$7:$E$16,3,0)</f>
        <v>#N/A</v>
      </c>
      <c r="AD113" s="56" t="str">
        <f t="shared" si="73"/>
        <v>0201-31</v>
      </c>
      <c r="AE113" s="85" t="str">
        <f t="shared" si="68"/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AF113" s="82" t="str">
        <f t="shared" si="69"/>
        <v>"C:\Program Files (x86)\AstroGrep\AstroGrep.exe" /spath="%USERPROFILE%\AppData\Local\Temp\OnboardLogs" /stypes="app*4025*20170131*" /stext=" 23:.+((SYSTEM_STATE.+slice.+state.+changed )|(ment ac)|(multiple cpu faults)|(system.+state.+changed )|(\[timeout)|(PRM\|1\|D)|(kpr)|(kdp)|(\|lc)|(penalty))" /e /r /s</v>
      </c>
      <c r="AG113" s="1" t="str">
        <f t="shared" si="74"/>
        <v>EC</v>
      </c>
      <c r="AH113" s="86" t="str">
        <f t="shared" si="75"/>
        <v>"%USERPROFILE%\Documents\GitHub\eaglep3\Utilities\RefineRTDCRunTimes.py" --tripid 201-31 --locoid 4025 --swversion DE.1.0.8.0 --startMP 204:473 --initTime 2017-01-31T16:08:32 --startdatetime 2017-01-31T16:15:29 --delay 1 --endMP 204:233317 --enddatetime 2017-01-31T16:52:11 --enforcementcount 0 &gt;&gt;C:\Users\stu\Documents\GitHub\eaglep3-reporting\EC\2017-01-31-refined-times.txt</v>
      </c>
      <c r="AI113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{"issue":{"subject":"","project_id":79,"tracker_id":40,"status_id":1,"priority_id":2,"assigned_to_id":23,"start_date":"2017-01-31","description":"","custom_fields":[{"id":1,"name":"Subdivision","value":"EC"},{"id":4,"name":"Milepost","value":"23.3317"},{"id":17,"name":"Train ID","value":"201-31"},{"id":16,"name":"Locomotive ID","value":"4025"},{"id":130,"name":"Impact","value":""},{"id":150,"name":"Time of Event (Mountain Time)","value":"16:52:11"},{"id":151,"name":"Denver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61" t="str">
        <f t="shared" si="77"/>
        <v>start /low /b %USERPROFILE%\Documents\GitHub\eaglep3\Utilities\DownloadLogsFromS3.py --loco 4025 --day 2017-01-31</v>
      </c>
      <c r="AN113" s="170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"%USERPROFILE%\AppData\Local\Temp\OnboardLogs"\RTDC4025\*4025*20170131* | grep -SE "(Enforcement Action)|(\[TIMEOUT)|(CHR.+\|PRM\|1\|D.+(SWITCH|SIGNAL).+UNKNOWN)" - &gt;&gt; 2017-01-31-UncaughtWiMAX.txt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646</v>
      </c>
      <c r="B114" s="7">
        <v>4026</v>
      </c>
      <c r="C114" s="21" t="s">
        <v>193</v>
      </c>
      <c r="D114" s="21" t="s">
        <v>709</v>
      </c>
      <c r="E114" s="13">
        <v>42766.70453703704</v>
      </c>
      <c r="F114" s="13">
        <v>42766.716145833336</v>
      </c>
      <c r="G114" s="7">
        <v>0</v>
      </c>
      <c r="H114" s="21" t="s">
        <v>208</v>
      </c>
      <c r="I114" s="13">
        <v>42766.745092592595</v>
      </c>
      <c r="J114" s="7">
        <v>0</v>
      </c>
      <c r="K114" s="98" t="str">
        <f t="shared" si="78"/>
        <v>4025/4026</v>
      </c>
      <c r="L114" s="21" t="str">
        <f>VLOOKUP(A114,'Trips&amp;Operators'!$C$1:$G$99999,5,FALSE)</f>
        <v>SWANSON BRYCE</v>
      </c>
      <c r="M114" s="6">
        <f t="shared" si="79"/>
        <v>2.8946759259270038E-2</v>
      </c>
      <c r="N114" s="7">
        <f t="shared" si="85"/>
        <v>41.683333333348855</v>
      </c>
      <c r="O114" s="7"/>
      <c r="P114" s="7"/>
      <c r="Q114" s="22"/>
      <c r="R114" s="22"/>
      <c r="S114" s="31">
        <f t="shared" si="81"/>
        <v>1</v>
      </c>
      <c r="T114" s="46" t="str">
        <f t="shared" si="70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67"/>
        <v>https://d0f6bd738d7f1b3e5a7ca70fe4ff75f0.us-east-1.aws.found.io/app/kibana#/discover/Steve-Slow-Train-Analysis-(2080s-and-2083s)?_g=(refreshInterval:(display:Off,pause:!f,section:0,value:0),time:(from:'2017-01-31T15:54:32-0700',mode:absolute,to:'2017-01-31T18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194" t="str">
        <f t="shared" si="71"/>
        <v>N</v>
      </c>
      <c r="X114" s="194">
        <f t="shared" si="83"/>
        <v>1</v>
      </c>
      <c r="Y114" s="62">
        <f t="shared" si="84"/>
        <v>23.3</v>
      </c>
      <c r="Z114" s="62">
        <f t="shared" si="82"/>
        <v>1.47E-2</v>
      </c>
      <c r="AA114" s="62">
        <f t="shared" si="72"/>
        <v>23.285299999999999</v>
      </c>
      <c r="AB114" s="59" t="e">
        <f>VLOOKUP(A114,Enforcements!$C$7:$K$16,8,0)</f>
        <v>#N/A</v>
      </c>
      <c r="AC114" s="55" t="e">
        <f>VLOOKUP(A114,Enforcements!$C$7:$E$16,3,0)</f>
        <v>#N/A</v>
      </c>
      <c r="AD114" s="56" t="str">
        <f t="shared" si="73"/>
        <v>0202-31</v>
      </c>
      <c r="AE114" s="85" t="str">
        <f t="shared" si="68"/>
        <v>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 &amp; 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</v>
      </c>
      <c r="AF114" s="82" t="str">
        <f t="shared" si="69"/>
        <v>"C:\Program Files (x86)\AstroGrep\AstroGrep.exe" /spath="%USERPROFILE%\AppData\Local\Temp\OnboardLogs" /stypes="app*4026*20170201*" /stext=" 00:.+((SYSTEM_STATE.+slice.+state.+changed )|(ment ac)|(multiple cpu faults)|(system.+state.+changed )|(\[timeout)|(PRM\|1\|D)|(kpr)|(kdp)|(\|lc)|(penalty))" /e /r /s</v>
      </c>
      <c r="AG114" s="1" t="str">
        <f t="shared" si="74"/>
        <v>EC</v>
      </c>
      <c r="AH114" s="86" t="str">
        <f t="shared" si="75"/>
        <v>"%USERPROFILE%\Documents\GitHub\eaglep3\Utilities\RefineRTDCRunTimes.py" --tripid 202-31 --locoid 4026 --swversion DE.1.0.8.0 --startMP 204:233000 --initTime 2017-01-31T16:54:32 --startdatetime 2017-01-31T17:11:15 --delay 0 --endMP 204:147 --enddatetime 2017-01-31T17:52:56 --enforcementcount 0 &gt;&gt;C:\Users\stu\Documents\GitHub\eaglep3-reporting\EC\2017-01-31-refined-times.txt</v>
      </c>
      <c r="AI114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{"issue":{"subject":"","project_id":79,"tracker_id":40,"status_id":1,"priority_id":2,"assigned_to_id":23,"start_date":"2017-01-31","description":"","custom_fields":[{"id":1,"name":"Subdivision","value":"EC"},{"id":4,"name":"Milepost","value":"0.0147"},{"id":17,"name":"Train ID","value":"202-31"},{"id":16,"name":"Locomotive ID","value":"4026"},{"id":130,"name":"Impact","value":""},{"id":150,"name":"Time of Event (Mountain Time)","value":"17:52:56"},{"id":151,"name":"Denver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61" t="str">
        <f t="shared" si="77"/>
        <v>start /low /b %USERPROFILE%\Documents\GitHub\eaglep3\Utilities\DownloadLogsFromS3.py --loco 4026 --day 2017-01-31</v>
      </c>
      <c r="AN114" s="170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2017-01-31-UncaughtWiMAX.txt</v>
      </c>
    </row>
    <row r="115" spans="1:91" s="20" customFormat="1" x14ac:dyDescent="0.25">
      <c r="A115" s="33" t="s">
        <v>643</v>
      </c>
      <c r="B115" s="7">
        <v>4040</v>
      </c>
      <c r="C115" s="21" t="s">
        <v>193</v>
      </c>
      <c r="D115" s="21" t="s">
        <v>752</v>
      </c>
      <c r="E115" s="13">
        <v>42766.683495370373</v>
      </c>
      <c r="F115" s="13">
        <v>42766.687847222223</v>
      </c>
      <c r="G115" s="7">
        <v>1</v>
      </c>
      <c r="H115" s="21" t="s">
        <v>733</v>
      </c>
      <c r="I115" s="13">
        <v>42766.712384259263</v>
      </c>
      <c r="J115" s="7">
        <v>0</v>
      </c>
      <c r="K115" s="98" t="str">
        <f t="shared" si="78"/>
        <v>4039/4040</v>
      </c>
      <c r="L115" s="21" t="str">
        <f>VLOOKUP(A115,'Trips&amp;Operators'!$C$1:$G$99999,5,FALSE)</f>
        <v>STEWART MICHAEL</v>
      </c>
      <c r="M115" s="6">
        <f t="shared" si="79"/>
        <v>2.453703703940846E-2</v>
      </c>
      <c r="N115" s="7">
        <f t="shared" si="85"/>
        <v>35.333333336748183</v>
      </c>
      <c r="O115" s="7"/>
      <c r="P115" s="7"/>
      <c r="Q115" s="22"/>
      <c r="R115" s="22"/>
      <c r="S115" s="31">
        <f t="shared" si="81"/>
        <v>1</v>
      </c>
      <c r="T115" s="46" t="str">
        <f t="shared" si="70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67"/>
        <v>https://d0f6bd738d7f1b3e5a7ca70fe4ff75f0.us-east-1.aws.found.io/app/kibana#/discover/Steve-Slow-Train-Analysis-(2080s-and-2083s)?_g=(refreshInterval:(display:Off,pause:!f,section:0,value:0),time:(from:'2017-01-31T15:24:14-0700',mode:absolute,to:'2017-01-31T18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194" t="str">
        <f t="shared" si="71"/>
        <v>N</v>
      </c>
      <c r="X115" s="194">
        <f t="shared" si="83"/>
        <v>1</v>
      </c>
      <c r="Y115" s="62">
        <f t="shared" si="84"/>
        <v>4.8599999999999997E-2</v>
      </c>
      <c r="Z115" s="62">
        <f t="shared" si="82"/>
        <v>23.330300000000001</v>
      </c>
      <c r="AA115" s="62">
        <f t="shared" si="72"/>
        <v>23.281700000000001</v>
      </c>
      <c r="AB115" s="59" t="e">
        <f>VLOOKUP(A115,Enforcements!$C$7:$K$16,8,0)</f>
        <v>#N/A</v>
      </c>
      <c r="AC115" s="55" t="e">
        <f>VLOOKUP(A115,Enforcements!$C$7:$E$16,3,0)</f>
        <v>#N/A</v>
      </c>
      <c r="AD115" s="56" t="str">
        <f t="shared" si="73"/>
        <v>0203-31</v>
      </c>
      <c r="AE115" s="85" t="str">
        <f t="shared" si="68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115" s="82" t="str">
        <f t="shared" si="69"/>
        <v>"C:\Program Files (x86)\AstroGrep\AstroGrep.exe" /spath="%USERPROFILE%\AppData\Local\Temp\OnboardLogs" /stypes="app*4040*20170201*" /stext=" 00:.+((SYSTEM_STATE.+slice.+state.+changed )|(ment ac)|(multiple cpu faults)|(system.+state.+changed )|(\[timeout)|(PRM\|1\|D)|(kpr)|(kdp)|(\|lc)|(penalty))" /e /r /s</v>
      </c>
      <c r="AG115" s="1" t="str">
        <f t="shared" si="74"/>
        <v>EC</v>
      </c>
      <c r="AH115" s="86" t="str">
        <f t="shared" si="75"/>
        <v>"%USERPROFILE%\Documents\GitHub\eaglep3\Utilities\RefineRTDCRunTimes.py" --tripid 203-31 --locoid 4040 --swversion DE.1.0.8.0 --startMP 204:486 --initTime 2017-01-31T16:24:14 --startdatetime 2017-01-31T16:30:30 --delay 1 --endMP 204:233303 --enddatetime 2017-01-31T17:05:50 --enforcementcount 0 &gt;&gt;C:\Users\stu\Documents\GitHub\eaglep3-reporting\EC\2017-01-31-refined-times.txt</v>
      </c>
      <c r="AI115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{"issue":{"subject":"","project_id":79,"tracker_id":40,"status_id":1,"priority_id":2,"assigned_to_id":23,"start_date":"2017-01-31","description":"","custom_fields":[{"id":1,"name":"Subdivision","value":"EC"},{"id":4,"name":"Milepost","value":"23.3303"},{"id":17,"name":"Train ID","value":"203-31"},{"id":16,"name":"Locomotive ID","value":"4040"},{"id":130,"name":"Impact","value":""},{"id":150,"name":"Time of Event (Mountain Time)","value":"17:05:50"},{"id":151,"name":"Denver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61" t="str">
        <f t="shared" si="77"/>
        <v>start /low /b %USERPROFILE%\Documents\GitHub\eaglep3\Utilities\DownloadLogsFromS3.py --loco 4040 --day 2017-01-31</v>
      </c>
      <c r="AN115" s="170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"%USERPROFILE%\AppData\Local\Temp\OnboardLogs"\RTDC4040\*4040*20170131* | grep -SE "(Enforcement Action)|(\[TIMEOUT)|(CHR.+\|PRM\|1\|D.+(SWITCH|SIGNAL).+UNKNOWN)" - &gt;&gt; 2017-01-31-UncaughtWiMAX.txt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652</v>
      </c>
      <c r="B116" s="7">
        <v>4039</v>
      </c>
      <c r="C116" s="21" t="s">
        <v>193</v>
      </c>
      <c r="D116" s="21" t="s">
        <v>708</v>
      </c>
      <c r="E116" s="13">
        <v>42766.723530092589</v>
      </c>
      <c r="F116" s="13">
        <v>42766.7266087963</v>
      </c>
      <c r="G116" s="7">
        <v>1</v>
      </c>
      <c r="H116" s="21" t="s">
        <v>343</v>
      </c>
      <c r="I116" s="13">
        <v>42766.754189814812</v>
      </c>
      <c r="J116" s="7">
        <v>0</v>
      </c>
      <c r="K116" s="98" t="str">
        <f t="shared" si="78"/>
        <v>4039/4040</v>
      </c>
      <c r="L116" s="21" t="str">
        <f>VLOOKUP(A116,'Trips&amp;Operators'!$C$1:$G$99999,5,FALSE)</f>
        <v>STEWART MICHAEL</v>
      </c>
      <c r="M116" s="6">
        <f t="shared" si="79"/>
        <v>2.7581018512137234E-2</v>
      </c>
      <c r="N116" s="7">
        <f t="shared" si="85"/>
        <v>39.716666657477617</v>
      </c>
      <c r="O116" s="7"/>
      <c r="P116" s="7"/>
      <c r="Q116" s="22"/>
      <c r="R116" s="22"/>
      <c r="S116" s="31">
        <f t="shared" si="81"/>
        <v>1</v>
      </c>
      <c r="T116" s="46" t="str">
        <f t="shared" si="70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67"/>
        <v>https://d0f6bd738d7f1b3e5a7ca70fe4ff75f0.us-east-1.aws.found.io/app/kibana#/discover/Steve-Slow-Train-Analysis-(2080s-and-2083s)?_g=(refreshInterval:(display:Off,pause:!f,section:0,value:0),time:(from:'2017-01-31T16:21:53-0700',mode:absolute,to:'2017-01-31T19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194" t="str">
        <f t="shared" si="71"/>
        <v>N</v>
      </c>
      <c r="X116" s="194">
        <f t="shared" si="83"/>
        <v>1</v>
      </c>
      <c r="Y116" s="62">
        <f t="shared" si="84"/>
        <v>23.297699999999999</v>
      </c>
      <c r="Z116" s="62">
        <f t="shared" si="82"/>
        <v>1.7000000000000001E-2</v>
      </c>
      <c r="AA116" s="62">
        <f t="shared" si="72"/>
        <v>23.2807</v>
      </c>
      <c r="AB116" s="59" t="e">
        <f>VLOOKUP(A116,Enforcements!$C$7:$K$16,8,0)</f>
        <v>#N/A</v>
      </c>
      <c r="AC116" s="55" t="e">
        <f>VLOOKUP(A116,Enforcements!$C$7:$E$16,3,0)</f>
        <v>#N/A</v>
      </c>
      <c r="AD116" s="56" t="str">
        <f t="shared" si="73"/>
        <v>0204-31</v>
      </c>
      <c r="AE116" s="85" t="str">
        <f t="shared" si="68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116" s="82" t="str">
        <f t="shared" si="69"/>
        <v>"C:\Program Files (x86)\AstroGrep\AstroGrep.exe" /spath="%USERPROFILE%\AppData\Local\Temp\OnboardLogs" /stypes="app*4039*20170201*" /stext=" 01:.+((SYSTEM_STATE.+slice.+state.+changed )|(ment ac)|(multiple cpu faults)|(system.+state.+changed )|(\[timeout)|(PRM\|1\|D)|(kpr)|(kdp)|(\|lc)|(penalty))" /e /r /s</v>
      </c>
      <c r="AG116" s="1" t="str">
        <f t="shared" si="74"/>
        <v>EC</v>
      </c>
      <c r="AH116" s="86" t="str">
        <f t="shared" si="75"/>
        <v>"%USERPROFILE%\Documents\GitHub\eaglep3\Utilities\RefineRTDCRunTimes.py" --tripid 204-31 --locoid 4039 --swversion DE.1.0.8.0 --startMP 204:232977 --initTime 2017-01-31T17:21:53 --startdatetime 2017-01-31T17:26:19 --delay 1 --endMP 204:170 --enddatetime 2017-01-31T18:06:02 --enforcementcount 0 &gt;&gt;C:\Users\stu\Documents\GitHub\eaglep3-reporting\EC\2017-01-31-refined-times.txt</v>
      </c>
      <c r="AI116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{"issue":{"subject":"","project_id":79,"tracker_id":40,"status_id":1,"priority_id":2,"assigned_to_id":23,"start_date":"2017-01-31","description":"","custom_fields":[{"id":1,"name":"Subdivision","value":"EC"},{"id":4,"name":"Milepost","value":"0.017"},{"id":17,"name":"Train ID","value":"204-31"},{"id":16,"name":"Locomotive ID","value":"4039"},{"id":130,"name":"Impact","value":""},{"id":150,"name":"Time of Event (Mountain Time)","value":"18:06:02"},{"id":151,"name":"Denver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61" t="str">
        <f t="shared" si="77"/>
        <v>start /low /b %USERPROFILE%\Documents\GitHub\eaglep3\Utilities\DownloadLogsFromS3.py --loco 4039 --day 2017-01-31</v>
      </c>
      <c r="AN116" s="170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"%USERPROFILE%\AppData\Local\Temp\OnboardLogs"\RTDC4039\*4039*20170201* | grep -SE "(Enforcement Action)|(\[TIMEOUT)|(CHR.+\|PRM\|1\|D.+(SWITCH|SIGNAL).+UNKNOWN)" - &gt;&gt; 2017-01-31-UncaughtWiMAX.txt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510</v>
      </c>
      <c r="B117" s="7">
        <v>4027</v>
      </c>
      <c r="C117" s="21" t="s">
        <v>193</v>
      </c>
      <c r="D117" s="21" t="s">
        <v>245</v>
      </c>
      <c r="E117" s="13">
        <v>42766.694618055553</v>
      </c>
      <c r="F117" s="13">
        <v>42766.698206018518</v>
      </c>
      <c r="G117" s="7">
        <v>1</v>
      </c>
      <c r="H117" s="21" t="s">
        <v>753</v>
      </c>
      <c r="I117" s="13">
        <v>42766.725266203706</v>
      </c>
      <c r="J117" s="7">
        <v>0</v>
      </c>
      <c r="K117" s="98" t="str">
        <f t="shared" si="78"/>
        <v>4027/4028</v>
      </c>
      <c r="L117" s="21" t="str">
        <f>VLOOKUP(A117,'Trips&amp;Operators'!$C$1:$G$99999,5,FALSE)</f>
        <v>LEVERE CRAIG</v>
      </c>
      <c r="M117" s="6">
        <f t="shared" si="79"/>
        <v>2.7060185188020114E-2</v>
      </c>
      <c r="N117" s="7">
        <f t="shared" si="85"/>
        <v>38.966666670748964</v>
      </c>
      <c r="O117" s="7"/>
      <c r="P117" s="7"/>
      <c r="Q117" s="22"/>
      <c r="R117" s="22"/>
      <c r="S117" s="31">
        <f t="shared" si="81"/>
        <v>1</v>
      </c>
      <c r="T117" s="46" t="str">
        <f t="shared" si="70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67"/>
        <v>https://d0f6bd738d7f1b3e5a7ca70fe4ff75f0.us-east-1.aws.found.io/app/kibana#/discover/Steve-Slow-Train-Analysis-(2080s-and-2083s)?_g=(refreshInterval:(display:Off,pause:!f,section:0,value:0),time:(from:'2017-01-31T15:40:15-0700',mode:absolute,to:'2017-01-31T18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194" t="str">
        <f t="shared" si="71"/>
        <v>N</v>
      </c>
      <c r="X117" s="194">
        <f t="shared" si="83"/>
        <v>1</v>
      </c>
      <c r="Y117" s="62">
        <f t="shared" si="84"/>
        <v>4.5100000000000001E-2</v>
      </c>
      <c r="Z117" s="62">
        <f t="shared" si="82"/>
        <v>23.3306</v>
      </c>
      <c r="AA117" s="62">
        <f t="shared" si="72"/>
        <v>23.285499999999999</v>
      </c>
      <c r="AB117" s="59" t="str">
        <f>VLOOKUP(A117,Enforcements!$C$7:$K$16,8,0)</f>
        <v>Signal based authority (5)</v>
      </c>
      <c r="AC117" s="55" t="str">
        <f>VLOOKUP(A117,Enforcements!$C$7:$E$16,3,0)</f>
        <v>SIGNAL</v>
      </c>
      <c r="AD117" s="56" t="str">
        <f t="shared" si="73"/>
        <v>0205-31</v>
      </c>
      <c r="AE117" s="85" t="str">
        <f t="shared" si="68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117" s="82" t="str">
        <f t="shared" si="69"/>
        <v>"C:\Program Files (x86)\AstroGrep\AstroGrep.exe" /spath="%USERPROFILE%\AppData\Local\Temp\OnboardLogs" /stypes="app*4027*20170201*" /stext=" 00:.+((SYSTEM_STATE.+slice.+state.+changed )|(ment ac)|(multiple cpu faults)|(system.+state.+changed )|(\[timeout)|(PRM\|1\|D)|(kpr)|(kdp)|(\|lc)|(penalty))" /e /r /s</v>
      </c>
      <c r="AG117" s="1" t="str">
        <f t="shared" si="74"/>
        <v>EC</v>
      </c>
      <c r="AH117" s="86" t="str">
        <f t="shared" si="75"/>
        <v>"%USERPROFILE%\Documents\GitHub\eaglep3\Utilities\RefineRTDCRunTimes.py" --tripid 205-31 --locoid 4027 --swversion DE.1.0.8.0 --startMP 204:451 --initTime 2017-01-31T16:40:15 --startdatetime 2017-01-31T16:45:25 --delay 1 --endMP 204:233306 --enddatetime 2017-01-31T17:24:23 --enforcementcount 0 &gt;&gt;C:\Users\stu\Documents\GitHub\eaglep3-reporting\EC\2017-01-31-refined-times.txt</v>
      </c>
      <c r="AI117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{"issue":{"subject":"","project_id":79,"tracker_id":40,"status_id":1,"priority_id":2,"assigned_to_id":23,"start_date":"2017-01-31","description":"","custom_fields":[{"id":1,"name":"Subdivision","value":"EC"},{"id":4,"name":"Milepost","value":"23.3306"},{"id":17,"name":"Train ID","value":"205-31"},{"id":16,"name":"Locomotive ID","value":"4027"},{"id":130,"name":"Impact","value":""},{"id":150,"name":"Time of Event (Mountain Time)","value":"17:24:23"},{"id":151,"name":"Denver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61" t="str">
        <f t="shared" si="77"/>
        <v>start /low /b %USERPROFILE%\Documents\GitHub\eaglep3\Utilities\DownloadLogsFromS3.py --loco 4027 --day 2017-01-31</v>
      </c>
      <c r="AN117" s="170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"%USERPROFILE%\AppData\Local\Temp\OnboardLogs"\RTDC4027\*4027*20170201* | grep -SE "(Enforcement Action)|(\[TIMEOUT)|(CHR.+\|PRM\|1\|D.+(SWITCH|SIGNAL).+UNKNOWN)" - &gt;&gt; 2017-01-31-UncaughtWiMAX.txt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654</v>
      </c>
      <c r="B118" s="7">
        <v>4028</v>
      </c>
      <c r="C118" s="21" t="s">
        <v>193</v>
      </c>
      <c r="D118" s="21" t="s">
        <v>754</v>
      </c>
      <c r="E118" s="13">
        <v>42766.729849537034</v>
      </c>
      <c r="F118" s="13">
        <v>42766.737118055556</v>
      </c>
      <c r="G118" s="7">
        <v>1</v>
      </c>
      <c r="H118" s="21" t="s">
        <v>214</v>
      </c>
      <c r="I118" s="13">
        <v>42766.764965277776</v>
      </c>
      <c r="J118" s="7">
        <v>0</v>
      </c>
      <c r="K118" s="98" t="str">
        <f t="shared" si="78"/>
        <v>4027/4028</v>
      </c>
      <c r="L118" s="21" t="str">
        <f>VLOOKUP(A118,'Trips&amp;Operators'!$C$1:$G$99999,5,FALSE)</f>
        <v>LEVERE CRAIG</v>
      </c>
      <c r="M118" s="6">
        <f t="shared" si="79"/>
        <v>2.7847222219861578E-2</v>
      </c>
      <c r="N118" s="7">
        <f t="shared" si="85"/>
        <v>40.099999996600673</v>
      </c>
      <c r="O118" s="7"/>
      <c r="P118" s="7"/>
      <c r="Q118" s="22"/>
      <c r="R118" s="22"/>
      <c r="S118" s="31">
        <f t="shared" si="81"/>
        <v>1</v>
      </c>
      <c r="T118" s="46" t="str">
        <f t="shared" si="70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67"/>
        <v>https://d0f6bd738d7f1b3e5a7ca70fe4ff75f0.us-east-1.aws.found.io/app/kibana#/discover/Steve-Slow-Train-Analysis-(2080s-and-2083s)?_g=(refreshInterval:(display:Off,pause:!f,section:0,value:0),time:(from:'2017-01-31T16:30:59-0700',mode:absolute,to:'2017-01-31T19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94" t="str">
        <f t="shared" si="71"/>
        <v>N</v>
      </c>
      <c r="X118" s="194">
        <f t="shared" si="83"/>
        <v>1</v>
      </c>
      <c r="Y118" s="62">
        <f t="shared" si="84"/>
        <v>23.298500000000001</v>
      </c>
      <c r="Z118" s="62">
        <f t="shared" si="82"/>
        <v>1.52E-2</v>
      </c>
      <c r="AA118" s="62">
        <f t="shared" si="72"/>
        <v>23.283300000000001</v>
      </c>
      <c r="AB118" s="59" t="e">
        <f>VLOOKUP(A118,Enforcements!$C$7:$K$16,8,0)</f>
        <v>#N/A</v>
      </c>
      <c r="AC118" s="55" t="e">
        <f>VLOOKUP(A118,Enforcements!$C$7:$E$16,3,0)</f>
        <v>#N/A</v>
      </c>
      <c r="AD118" s="56" t="str">
        <f t="shared" si="73"/>
        <v>0206-31</v>
      </c>
      <c r="AE118" s="85" t="str">
        <f t="shared" si="68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118" s="82" t="str">
        <f t="shared" si="69"/>
        <v>"C:\Program Files (x86)\AstroGrep\AstroGrep.exe" /spath="%USERPROFILE%\AppData\Local\Temp\OnboardLogs" /stypes="app*4028*20170201*" /stext=" 01:.+((SYSTEM_STATE.+slice.+state.+changed )|(ment ac)|(multiple cpu faults)|(system.+state.+changed )|(\[timeout)|(PRM\|1\|D)|(kpr)|(kdp)|(\|lc)|(penalty))" /e /r /s</v>
      </c>
      <c r="AG118" s="1" t="str">
        <f t="shared" si="74"/>
        <v>EC</v>
      </c>
      <c r="AH118" s="86" t="str">
        <f t="shared" si="75"/>
        <v>"%USERPROFILE%\Documents\GitHub\eaglep3\Utilities\RefineRTDCRunTimes.py" --tripid 206-31 --locoid 4028 --swversion DE.1.0.8.0 --startMP 204:232985 --initTime 2017-01-31T17:30:59 --startdatetime 2017-01-31T17:41:27 --delay 1 --endMP 204:152 --enddatetime 2017-01-31T18:21:33 --enforcementcount 0 &gt;&gt;C:\Users\stu\Documents\GitHub\eaglep3-reporting\EC\2017-01-31-refined-times.txt</v>
      </c>
      <c r="AI118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{"issue":{"subject":"","project_id":79,"tracker_id":40,"status_id":1,"priority_id":2,"assigned_to_id":23,"start_date":"2017-01-31","description":"","custom_fields":[{"id":1,"name":"Subdivision","value":"EC"},{"id":4,"name":"Milepost","value":"0.0152"},{"id":17,"name":"Train ID","value":"206-31"},{"id":16,"name":"Locomotive ID","value":"4028"},{"id":130,"name":"Impact","value":""},{"id":150,"name":"Time of Event (Mountain Time)","value":"18:21:33"},{"id":151,"name":"Denver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61" t="str">
        <f t="shared" si="77"/>
        <v>start /low /b %USERPROFILE%\Documents\GitHub\eaglep3\Utilities\DownloadLogsFromS3.py --loco 4028 --day 2017-01-31</v>
      </c>
      <c r="AN118" s="170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"%USERPROFILE%\AppData\Local\Temp\OnboardLogs"\RTDC4028\*4028*20170201* | grep -SE "(Enforcement Action)|(\[TIMEOUT)|(CHR.+\|PRM\|1\|D.+(SWITCH|SIGNAL).+UNKNOWN)" - &gt;&gt; 2017-01-31-UncaughtWiMAX.txt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647</v>
      </c>
      <c r="B119" s="7">
        <v>4042</v>
      </c>
      <c r="C119" s="21" t="s">
        <v>193</v>
      </c>
      <c r="D119" s="21" t="s">
        <v>755</v>
      </c>
      <c r="E119" s="13">
        <v>42766.705185185187</v>
      </c>
      <c r="F119" s="13">
        <v>42766.70853009259</v>
      </c>
      <c r="G119" s="7">
        <v>1</v>
      </c>
      <c r="H119" s="21" t="s">
        <v>756</v>
      </c>
      <c r="I119" s="13">
        <v>42766.735983796294</v>
      </c>
      <c r="J119" s="7">
        <v>0</v>
      </c>
      <c r="K119" s="98" t="str">
        <f t="shared" si="78"/>
        <v>4041/4042</v>
      </c>
      <c r="L119" s="21" t="str">
        <f>VLOOKUP(A119,'Trips&amp;Operators'!$C$1:$G$99999,5,FALSE)</f>
        <v>CLARK KATHLEEN</v>
      </c>
      <c r="M119" s="6">
        <f t="shared" si="79"/>
        <v>2.7453703703940846E-2</v>
      </c>
      <c r="N119" s="7">
        <f t="shared" si="85"/>
        <v>39.533333333674818</v>
      </c>
      <c r="O119" s="7"/>
      <c r="P119" s="7"/>
      <c r="Q119" s="22"/>
      <c r="R119" s="22"/>
      <c r="S119" s="31">
        <f t="shared" si="81"/>
        <v>1</v>
      </c>
      <c r="T119" s="46" t="str">
        <f t="shared" ref="T119:T150" si="86">IF(ISEVEN(LEFT(AD119,4)),"Southbound","NorthBound")</f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67"/>
        <v>https://d0f6bd738d7f1b3e5a7ca70fe4ff75f0.us-east-1.aws.found.io/app/kibana#/discover/Steve-Slow-Train-Analysis-(2080s-and-2083s)?_g=(refreshInterval:(display:Off,pause:!f,section:0,value:0),time:(from:'2017-01-31T15:55:28-0700',mode:absolute,to:'2017-01-31T18:39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194" t="str">
        <f t="shared" ref="W119:W150" si="87">IF(AA119&lt;IF(AG119="EC",23,5.65),"Y","N")</f>
        <v>N</v>
      </c>
      <c r="X119" s="194">
        <f t="shared" si="83"/>
        <v>1</v>
      </c>
      <c r="Y119" s="62">
        <f t="shared" si="84"/>
        <v>5.5899999999999998E-2</v>
      </c>
      <c r="Z119" s="62">
        <f t="shared" si="82"/>
        <v>23.3263</v>
      </c>
      <c r="AA119" s="62">
        <f t="shared" ref="AA119:AA150" si="88">ABS(Z119-Y119)</f>
        <v>23.270399999999999</v>
      </c>
      <c r="AB119" s="59" t="e">
        <f>VLOOKUP(A119,Enforcements!$C$7:$K$16,8,0)</f>
        <v>#N/A</v>
      </c>
      <c r="AC119" s="55" t="e">
        <f>VLOOKUP(A119,Enforcements!$C$7:$E$16,3,0)</f>
        <v>#N/A</v>
      </c>
      <c r="AD119" s="56" t="str">
        <f t="shared" ref="AD119:AD150" si="89">IF(LEN(A119)=6,"0"&amp;A119,A119)</f>
        <v>0207-31</v>
      </c>
      <c r="AE119" s="85" t="str">
        <f t="shared" si="68"/>
        <v>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 &amp; aws s3 cp s3://rtdc.mdm.uploadarchive.raw/RTDC4042/ "%USERPROFILE%\AppData\Local\Temp\OnboardLogs"\RTDC4042\2017-02-01 --exclude "*" --recursive --include "*20170201*" &amp; "%USERPROFILE%\Documents\GitHub\mrs-test-scripts\Headless Mode &amp; Sideloading\WalkAndUnGZ.bat" "%USERPROFILE%\AppData\Local\Temp\OnboardLogs"\RTDC4042\2017-02-01</v>
      </c>
      <c r="AF119" s="82" t="str">
        <f t="shared" si="69"/>
        <v>"C:\Program Files (x86)\AstroGrep\AstroGrep.exe" /spath="%USERPROFILE%\AppData\Local\Temp\OnboardLogs" /stypes="app*4042*20170201*" /stext=" 00:.+((SYSTEM_STATE.+slice.+state.+changed )|(ment ac)|(multiple cpu faults)|(system.+state.+changed )|(\[timeout)|(PRM\|1\|D)|(kpr)|(kdp)|(\|lc)|(penalty))" /e /r /s</v>
      </c>
      <c r="AG119" s="1" t="str">
        <f t="shared" ref="AG119:AG150" si="90">IFERROR(IF(VALUE(LEFT(AD119,2))&lt;=2,"EC",IF(OR(VALUE(LEFT(AD119,2))=8,VALUE(LEFT(AD119,2))=18),"NW","Other")),"Other")</f>
        <v>EC</v>
      </c>
      <c r="AH119" s="86" t="str">
        <f t="shared" si="75"/>
        <v>"%USERPROFILE%\Documents\GitHub\eaglep3\Utilities\RefineRTDCRunTimes.py" --tripid 207-31 --locoid 4042 --swversion DE.1.0.8.0 --startMP 204:559 --initTime 2017-01-31T16:55:28 --startdatetime 2017-01-31T17:00:17 --delay 1 --endMP 204:233263 --enddatetime 2017-01-31T17:39:49 --enforcementcount 0 &gt;&gt;C:\Users\stu\Documents\GitHub\eaglep3-reporting\EC\2017-01-31-refined-times.txt</v>
      </c>
      <c r="AI119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{"issue":{"subject":"","project_id":79,"tracker_id":40,"status_id":1,"priority_id":2,"assigned_to_id":23,"start_date":"2017-01-31","description":"","custom_fields":[{"id":1,"name":"Subdivision","value":"EC"},{"id":4,"name":"Milepost","value":"23.3263"},{"id":17,"name":"Train ID","value":"207-31"},{"id":16,"name":"Locomotive ID","value":"4042"},{"id":130,"name":"Impact","value":""},{"id":150,"name":"Time of Event (Mountain Time)","value":"17:39:49"},{"id":151,"name":"Denver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61" t="str">
        <f t="shared" si="77"/>
        <v>start /low /b %USERPROFILE%\Documents\GitHub\eaglep3\Utilities\DownloadLogsFromS3.py --loco 4042 --day 2017-01-31</v>
      </c>
      <c r="AN119" s="170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"%USERPROFILE%\AppData\Local\Temp\OnboardLogs"\RTDC4042\*4042*20170201* | grep -SE "(Enforcement Action)|(\[TIMEOUT)|(CHR.+\|PRM\|1\|D.+(SWITCH|SIGNAL).+UNKNOWN)" - &gt;&gt; 2017-01-31-UncaughtWiMAX.txt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657</v>
      </c>
      <c r="B120" s="7">
        <v>4041</v>
      </c>
      <c r="C120" s="21" t="s">
        <v>193</v>
      </c>
      <c r="D120" s="21" t="s">
        <v>757</v>
      </c>
      <c r="E120" s="13">
        <v>42766.743148148147</v>
      </c>
      <c r="F120" s="13">
        <v>42766.747384259259</v>
      </c>
      <c r="G120" s="7">
        <v>1</v>
      </c>
      <c r="H120" s="21" t="s">
        <v>758</v>
      </c>
      <c r="I120" s="13">
        <v>42766.775046296294</v>
      </c>
      <c r="J120" s="7">
        <v>0</v>
      </c>
      <c r="K120" s="98" t="str">
        <f t="shared" si="78"/>
        <v>4041/4042</v>
      </c>
      <c r="L120" s="21" t="str">
        <f>VLOOKUP(A120,'Trips&amp;Operators'!$C$1:$G$99999,5,FALSE)</f>
        <v>CLARK KATHLEEN</v>
      </c>
      <c r="M120" s="6">
        <f t="shared" si="79"/>
        <v>2.7662037035042886E-2</v>
      </c>
      <c r="N120" s="7">
        <f t="shared" si="85"/>
        <v>39.833333330461755</v>
      </c>
      <c r="O120" s="7"/>
      <c r="P120" s="7"/>
      <c r="Q120" s="22"/>
      <c r="R120" s="22"/>
      <c r="S120" s="31">
        <f t="shared" si="81"/>
        <v>1</v>
      </c>
      <c r="T120" s="46" t="str">
        <f t="shared" si="86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67"/>
        <v>https://d0f6bd738d7f1b3e5a7ca70fe4ff75f0.us-east-1.aws.found.io/app/kibana#/discover/Steve-Slow-Train-Analysis-(2080s-and-2083s)?_g=(refreshInterval:(display:Off,pause:!f,section:0,value:0),time:(from:'2017-01-31T16:50:08-0700',mode:absolute,to:'2017-01-31T19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194" t="str">
        <f t="shared" si="87"/>
        <v>N</v>
      </c>
      <c r="X120" s="194">
        <f t="shared" si="83"/>
        <v>1</v>
      </c>
      <c r="Y120" s="62">
        <f t="shared" si="84"/>
        <v>23.295300000000001</v>
      </c>
      <c r="Z120" s="62">
        <f t="shared" si="82"/>
        <v>9.3700000000000006E-2</v>
      </c>
      <c r="AA120" s="62">
        <f t="shared" si="88"/>
        <v>23.201600000000003</v>
      </c>
      <c r="AB120" s="59" t="e">
        <f>VLOOKUP(A120,Enforcements!$C$7:$K$16,8,0)</f>
        <v>#N/A</v>
      </c>
      <c r="AC120" s="55" t="e">
        <f>VLOOKUP(A120,Enforcements!$C$7:$E$16,3,0)</f>
        <v>#N/A</v>
      </c>
      <c r="AD120" s="56" t="str">
        <f t="shared" si="89"/>
        <v>0208-31</v>
      </c>
      <c r="AE120" s="85" t="str">
        <f t="shared" si="68"/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AF120" s="82" t="str">
        <f t="shared" si="69"/>
        <v>"C:\Program Files (x86)\AstroGrep\AstroGrep.exe" /spath="%USERPROFILE%\AppData\Local\Temp\OnboardLogs" /stypes="app*4041*20170201*" /stext=" 01:.+((SYSTEM_STATE.+slice.+state.+changed )|(ment ac)|(multiple cpu faults)|(system.+state.+changed )|(\[timeout)|(PRM\|1\|D)|(kpr)|(kdp)|(\|lc)|(penalty))" /e /r /s</v>
      </c>
      <c r="AG120" s="1" t="str">
        <f t="shared" si="90"/>
        <v>EC</v>
      </c>
      <c r="AH120" s="86" t="str">
        <f t="shared" si="75"/>
        <v>"%USERPROFILE%\Documents\GitHub\eaglep3\Utilities\RefineRTDCRunTimes.py" --tripid 208-31 --locoid 4041 --swversion DE.1.0.8.0 --startMP 204:232953 --initTime 2017-01-31T17:50:08 --startdatetime 2017-01-31T17:56:14 --delay 1 --endMP 204:937 --enddatetime 2017-01-31T18:36:04 --enforcementcount 0 &gt;&gt;C:\Users\stu\Documents\GitHub\eaglep3-reporting\EC\2017-01-31-refined-times.txt</v>
      </c>
      <c r="AI120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{"issue":{"subject":"","project_id":79,"tracker_id":40,"status_id":1,"priority_id":2,"assigned_to_id":23,"start_date":"2017-01-31","description":"","custom_fields":[{"id":1,"name":"Subdivision","value":"EC"},{"id":4,"name":"Milepost","value":"0.0937"},{"id":17,"name":"Train ID","value":"208-31"},{"id":16,"name":"Locomotive ID","value":"4041"},{"id":130,"name":"Impact","value":""},{"id":150,"name":"Time of Event (Mountain Time)","value":"18:36:04"},{"id":151,"name":"Denver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61" t="str">
        <f t="shared" si="77"/>
        <v>start /low /b %USERPROFILE%\Documents\GitHub\eaglep3\Utilities\DownloadLogsFromS3.py --loco 4041 --day 2017-01-31</v>
      </c>
      <c r="AN120" s="170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"%USERPROFILE%\AppData\Local\Temp\OnboardLogs"\RTDC4041\*4041*20170201* | grep -SE "(Enforcement Action)|(\[TIMEOUT)|(CHR.+\|PRM\|1\|D.+(SWITCH|SIGNAL).+UNKNOWN)" - &gt;&gt; 2017-01-31-UncaughtWiMAX.txt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650</v>
      </c>
      <c r="B121" s="7">
        <v>4020</v>
      </c>
      <c r="C121" s="21" t="s">
        <v>193</v>
      </c>
      <c r="D121" s="21" t="s">
        <v>474</v>
      </c>
      <c r="E121" s="13">
        <v>42766.716817129629</v>
      </c>
      <c r="F121" s="13">
        <v>42766.719085648147</v>
      </c>
      <c r="G121" s="7">
        <v>1</v>
      </c>
      <c r="H121" s="21" t="s">
        <v>229</v>
      </c>
      <c r="I121" s="13">
        <v>42766.744409722225</v>
      </c>
      <c r="J121" s="7">
        <v>0</v>
      </c>
      <c r="K121" s="98" t="str">
        <f t="shared" si="78"/>
        <v>4019/4020</v>
      </c>
      <c r="L121" s="21" t="str">
        <f>VLOOKUP(A121,'Trips&amp;Operators'!$C$1:$G$99999,5,FALSE)</f>
        <v>CHANDLER KELVIN</v>
      </c>
      <c r="M121" s="6">
        <f t="shared" si="79"/>
        <v>2.5324074078525882E-2</v>
      </c>
      <c r="N121" s="7">
        <f t="shared" si="85"/>
        <v>36.46666667307727</v>
      </c>
      <c r="O121" s="7"/>
      <c r="P121" s="7"/>
      <c r="Q121" s="22"/>
      <c r="R121" s="22"/>
      <c r="S121" s="31">
        <f t="shared" si="81"/>
        <v>1</v>
      </c>
      <c r="T121" s="46" t="str">
        <f t="shared" si="86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67"/>
        <v>https://d0f6bd738d7f1b3e5a7ca70fe4ff75f0.us-east-1.aws.found.io/app/kibana#/discover/Steve-Slow-Train-Analysis-(2080s-and-2083s)?_g=(refreshInterval:(display:Off,pause:!f,section:0,value:0),time:(from:'2017-01-31T16:12:13-0700',mode:absolute,to:'2017-01-31T18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1" s="194" t="str">
        <f t="shared" si="87"/>
        <v>N</v>
      </c>
      <c r="X121" s="194">
        <f t="shared" si="83"/>
        <v>1</v>
      </c>
      <c r="Y121" s="62">
        <f t="shared" si="84"/>
        <v>4.82E-2</v>
      </c>
      <c r="Z121" s="62">
        <f t="shared" si="82"/>
        <v>23.329699999999999</v>
      </c>
      <c r="AA121" s="62">
        <f t="shared" si="88"/>
        <v>23.281499999999998</v>
      </c>
      <c r="AB121" s="59" t="e">
        <f>VLOOKUP(A121,Enforcements!$C$7:$K$16,8,0)</f>
        <v>#N/A</v>
      </c>
      <c r="AC121" s="55" t="e">
        <f>VLOOKUP(A121,Enforcements!$C$7:$E$16,3,0)</f>
        <v>#N/A</v>
      </c>
      <c r="AD121" s="56" t="str">
        <f t="shared" si="89"/>
        <v>0209-31</v>
      </c>
      <c r="AE121" s="85" t="str">
        <f t="shared" si="68"/>
        <v>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 &amp; aws s3 cp s3://rtdc.mdm.uploadarchive.raw/RTDC4020/ "%USERPROFILE%\AppData\Local\Temp\OnboardLogs"\RTDC4020\2017-02-01 --exclude "*" --recursive --include "*20170201*" &amp; "%USERPROFILE%\Documents\GitHub\mrs-test-scripts\Headless Mode &amp; Sideloading\WalkAndUnGZ.bat" "%USERPROFILE%\AppData\Local\Temp\OnboardLogs"\RTDC4020\2017-02-01</v>
      </c>
      <c r="AF121" s="82" t="str">
        <f t="shared" si="69"/>
        <v>"C:\Program Files (x86)\AstroGrep\AstroGrep.exe" /spath="%USERPROFILE%\AppData\Local\Temp\OnboardLogs" /stypes="app*4020*20170201*" /stext=" 00:.+((SYSTEM_STATE.+slice.+state.+changed )|(ment ac)|(multiple cpu faults)|(system.+state.+changed )|(\[timeout)|(PRM\|1\|D)|(kpr)|(kdp)|(\|lc)|(penalty))" /e /r /s</v>
      </c>
      <c r="AG121" s="1" t="str">
        <f t="shared" si="90"/>
        <v>EC</v>
      </c>
      <c r="AH121" s="86" t="str">
        <f t="shared" si="75"/>
        <v>"%USERPROFILE%\Documents\GitHub\eaglep3\Utilities\RefineRTDCRunTimes.py" --tripid 209-31 --locoid 4020 --swversion DE.1.0.8.0 --startMP 204:482 --initTime 2017-01-31T17:12:13 --startdatetime 2017-01-31T17:15:29 --delay 1 --endMP 204:233297 --enddatetime 2017-01-31T17:51:57 --enforcementcount 0 &gt;&gt;C:\Users\stu\Documents\GitHub\eaglep3-reporting\EC\2017-01-31-refined-times.txt</v>
      </c>
      <c r="AI121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{"issue":{"subject":"","project_id":79,"tracker_id":40,"status_id":1,"priority_id":2,"assigned_to_id":23,"start_date":"2017-01-31","description":"","custom_fields":[{"id":1,"name":"Subdivision","value":"EC"},{"id":4,"name":"Milepost","value":"23.3297"},{"id":17,"name":"Train ID","value":"209-31"},{"id":16,"name":"Locomotive ID","value":"4020"},{"id":130,"name":"Impact","value":""},{"id":150,"name":"Time of Event (Mountain Time)","value":"17:51:57"},{"id":151,"name":"Denver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61" t="str">
        <f t="shared" si="77"/>
        <v>start /low /b %USERPROFILE%\Documents\GitHub\eaglep3\Utilities\DownloadLogsFromS3.py --loco 4020 --day 2017-01-31</v>
      </c>
      <c r="AN121" s="170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"%USERPROFILE%\AppData\Local\Temp\OnboardLogs"\RTDC4020\*4020*20170201* | grep -SE "(Enforcement Action)|(\[TIMEOUT)|(CHR.+\|PRM\|1\|D.+(SWITCH|SIGNAL).+UNKNOWN)" - &gt;&gt; 2017-01-31-UncaughtWiMAX.txt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659</v>
      </c>
      <c r="B122" s="7">
        <v>4019</v>
      </c>
      <c r="C122" s="21" t="s">
        <v>193</v>
      </c>
      <c r="D122" s="21" t="s">
        <v>759</v>
      </c>
      <c r="E122" s="13">
        <v>42766.753912037035</v>
      </c>
      <c r="F122" s="13">
        <v>42766.757939814815</v>
      </c>
      <c r="G122" s="7">
        <v>1</v>
      </c>
      <c r="H122" s="21" t="s">
        <v>707</v>
      </c>
      <c r="I122" s="13">
        <v>42766.784930555557</v>
      </c>
      <c r="J122" s="7">
        <v>0</v>
      </c>
      <c r="K122" s="98" t="str">
        <f t="shared" si="78"/>
        <v>4019/4020</v>
      </c>
      <c r="L122" s="21" t="str">
        <f>VLOOKUP(A122,'Trips&amp;Operators'!$C$1:$G$99999,5,FALSE)</f>
        <v>CHANDLER KELVIN</v>
      </c>
      <c r="M122" s="6">
        <f t="shared" si="79"/>
        <v>2.6990740741894115E-2</v>
      </c>
      <c r="N122" s="7">
        <f t="shared" si="85"/>
        <v>38.866666668327525</v>
      </c>
      <c r="O122" s="7"/>
      <c r="P122" s="7"/>
      <c r="Q122" s="22"/>
      <c r="R122" s="22"/>
      <c r="S122" s="31">
        <f t="shared" si="81"/>
        <v>1</v>
      </c>
      <c r="T122" s="46" t="str">
        <f t="shared" si="86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67"/>
        <v>https://d0f6bd738d7f1b3e5a7ca70fe4ff75f0.us-east-1.aws.found.io/app/kibana#/discover/Steve-Slow-Train-Analysis-(2080s-and-2083s)?_g=(refreshInterval:(display:Off,pause:!f,section:0,value:0),time:(from:'2017-01-31T17:05:38-0700',mode:absolute,to:'2017-01-31T19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2" s="194" t="str">
        <f t="shared" si="87"/>
        <v>N</v>
      </c>
      <c r="X122" s="194">
        <f t="shared" si="83"/>
        <v>1</v>
      </c>
      <c r="Y122" s="62">
        <f t="shared" si="84"/>
        <v>23.2972</v>
      </c>
      <c r="Z122" s="62">
        <f t="shared" si="82"/>
        <v>1.34E-2</v>
      </c>
      <c r="AA122" s="62">
        <f t="shared" si="88"/>
        <v>23.283799999999999</v>
      </c>
      <c r="AB122" s="59" t="e">
        <f>VLOOKUP(A122,Enforcements!$C$7:$K$16,8,0)</f>
        <v>#N/A</v>
      </c>
      <c r="AC122" s="55" t="e">
        <f>VLOOKUP(A122,Enforcements!$C$7:$E$16,3,0)</f>
        <v>#N/A</v>
      </c>
      <c r="AD122" s="56" t="str">
        <f t="shared" si="89"/>
        <v>0210-31</v>
      </c>
      <c r="AE122" s="85" t="str">
        <f t="shared" si="68"/>
        <v>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 &amp; aws s3 cp s3://rtdc.mdm.uploadarchive.raw/RTDC4019/ "%USERPROFILE%\AppData\Local\Temp\OnboardLogs"\RTDC4019\2017-02-01 --exclude "*" --recursive --include "*20170201*" &amp; "%USERPROFILE%\Documents\GitHub\mrs-test-scripts\Headless Mode &amp; Sideloading\WalkAndUnGZ.bat" "%USERPROFILE%\AppData\Local\Temp\OnboardLogs"\RTDC4019\2017-02-01</v>
      </c>
      <c r="AF122" s="82" t="str">
        <f t="shared" si="69"/>
        <v>"C:\Program Files (x86)\AstroGrep\AstroGrep.exe" /spath="%USERPROFILE%\AppData\Local\Temp\OnboardLogs" /stypes="app*4019*20170201*" /stext=" 01:.+((SYSTEM_STATE.+slice.+state.+changed )|(ment ac)|(multiple cpu faults)|(system.+state.+changed )|(\[timeout)|(PRM\|1\|D)|(kpr)|(kdp)|(\|lc)|(penalty))" /e /r /s</v>
      </c>
      <c r="AG122" s="1" t="str">
        <f t="shared" si="90"/>
        <v>EC</v>
      </c>
      <c r="AH122" s="86" t="str">
        <f t="shared" si="75"/>
        <v>"%USERPROFILE%\Documents\GitHub\eaglep3\Utilities\RefineRTDCRunTimes.py" --tripid 210-31 --locoid 4019 --swversion DE.1.0.8.0 --startMP 204:232972 --initTime 2017-01-31T18:05:38 --startdatetime 2017-01-31T18:11:26 --delay 1 --endMP 204:134 --enddatetime 2017-01-31T18:50:18 --enforcementcount 0 &gt;&gt;C:\Users\stu\Documents\GitHub\eaglep3-reporting\EC\2017-01-31-refined-times.txt</v>
      </c>
      <c r="AI122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{"issue":{"subject":"","project_id":79,"tracker_id":40,"status_id":1,"priority_id":2,"assigned_to_id":23,"start_date":"2017-01-31","description":"","custom_fields":[{"id":1,"name":"Subdivision","value":"EC"},{"id":4,"name":"Milepost","value":"0.0134"},{"id":17,"name":"Train ID","value":"210-31"},{"id":16,"name":"Locomotive ID","value":"4019"},{"id":130,"name":"Impact","value":""},{"id":150,"name":"Time of Event (Mountain Time)","value":"18:50:18"},{"id":151,"name":"Denver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61" t="str">
        <f t="shared" si="77"/>
        <v>start /low /b %USERPROFILE%\Documents\GitHub\eaglep3\Utilities\DownloadLogsFromS3.py --loco 4019 --day 2017-01-31</v>
      </c>
      <c r="AN122" s="170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"%USERPROFILE%\AppData\Local\Temp\OnboardLogs"\RTDC4019\*4019*20170201* | grep -SE "(Enforcement Action)|(\[TIMEOUT)|(CHR.+\|PRM\|1\|D.+(SWITCH|SIGNAL).+UNKNOWN)" - &gt;&gt; 2017-01-31-UncaughtWiMAX.txt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653</v>
      </c>
      <c r="B123" s="7">
        <v>4002</v>
      </c>
      <c r="C123" s="21" t="s">
        <v>193</v>
      </c>
      <c r="D123" s="21" t="s">
        <v>211</v>
      </c>
      <c r="E123" s="13">
        <v>42766.727118055554</v>
      </c>
      <c r="F123" s="13">
        <v>42766.729618055557</v>
      </c>
      <c r="G123" s="7">
        <v>1</v>
      </c>
      <c r="H123" s="21" t="s">
        <v>760</v>
      </c>
      <c r="I123" s="13">
        <v>42766.754513888889</v>
      </c>
      <c r="J123" s="7">
        <v>0</v>
      </c>
      <c r="K123" s="98" t="str">
        <f t="shared" si="78"/>
        <v>4001/4002</v>
      </c>
      <c r="L123" s="21" t="str">
        <f>VLOOKUP(A123,'Trips&amp;Operators'!$C$1:$G$99999,5,FALSE)</f>
        <v>CRAYTON QUNTRELL</v>
      </c>
      <c r="M123" s="6">
        <f t="shared" si="79"/>
        <v>2.4895833332266193E-2</v>
      </c>
      <c r="N123" s="7">
        <f t="shared" si="85"/>
        <v>35.849999998463318</v>
      </c>
      <c r="O123" s="7"/>
      <c r="P123" s="7"/>
      <c r="Q123" s="22"/>
      <c r="R123" s="22"/>
      <c r="S123" s="31">
        <f t="shared" si="81"/>
        <v>1</v>
      </c>
      <c r="T123" s="46" t="str">
        <f t="shared" si="86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67"/>
        <v>https://d0f6bd738d7f1b3e5a7ca70fe4ff75f0.us-east-1.aws.found.io/app/kibana#/discover/Steve-Slow-Train-Analysis-(2080s-and-2083s)?_g=(refreshInterval:(display:Off,pause:!f,section:0,value:0),time:(from:'2017-01-31T16:27:03-0700',mode:absolute,to:'2017-01-31T19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194" t="str">
        <f t="shared" si="87"/>
        <v>N</v>
      </c>
      <c r="X123" s="194">
        <f t="shared" si="83"/>
        <v>1</v>
      </c>
      <c r="Y123" s="62">
        <f t="shared" si="84"/>
        <v>4.6199999999999998E-2</v>
      </c>
      <c r="Z123" s="62">
        <f t="shared" si="82"/>
        <v>23.327400000000001</v>
      </c>
      <c r="AA123" s="62">
        <f t="shared" si="88"/>
        <v>23.281200000000002</v>
      </c>
      <c r="AB123" s="59" t="e">
        <f>VLOOKUP(A123,Enforcements!$C$7:$K$16,8,0)</f>
        <v>#N/A</v>
      </c>
      <c r="AC123" s="55" t="e">
        <f>VLOOKUP(A123,Enforcements!$C$7:$E$16,3,0)</f>
        <v>#N/A</v>
      </c>
      <c r="AD123" s="56" t="str">
        <f t="shared" si="89"/>
        <v>0211-31</v>
      </c>
      <c r="AE123" s="85" t="str">
        <f t="shared" si="68"/>
        <v>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 &amp; aws s3 cp s3://rtdc.mdm.uploadarchive.raw/RTDC4002/ "%USERPROFILE%\AppData\Local\Temp\OnboardLogs"\RTDC4002\2017-02-01 --exclude "*" --recursive --include "*20170201*" &amp; "%USERPROFILE%\Documents\GitHub\mrs-test-scripts\Headless Mode &amp; Sideloading\WalkAndUnGZ.bat" "%USERPROFILE%\AppData\Local\Temp\OnboardLogs"\RTDC4002\2017-02-01</v>
      </c>
      <c r="AF123" s="82" t="str">
        <f t="shared" si="69"/>
        <v>"C:\Program Files (x86)\AstroGrep\AstroGrep.exe" /spath="%USERPROFILE%\AppData\Local\Temp\OnboardLogs" /stypes="app*4002*20170201*" /stext=" 01:.+((SYSTEM_STATE.+slice.+state.+changed )|(ment ac)|(multiple cpu faults)|(system.+state.+changed )|(\[timeout)|(PRM\|1\|D)|(kpr)|(kdp)|(\|lc)|(penalty))" /e /r /s</v>
      </c>
      <c r="AG123" s="1" t="str">
        <f t="shared" si="90"/>
        <v>EC</v>
      </c>
      <c r="AH123" s="86" t="str">
        <f t="shared" si="75"/>
        <v>"%USERPROFILE%\Documents\GitHub\eaglep3\Utilities\RefineRTDCRunTimes.py" --tripid 211-31 --locoid 4002 --swversion DE.1.0.8.0 --startMP 204:462 --initTime 2017-01-31T17:27:03 --startdatetime 2017-01-31T17:30:39 --delay 1 --endMP 204:233274 --enddatetime 2017-01-31T18:06:30 --enforcementcount 0 &gt;&gt;C:\Users\stu\Documents\GitHub\eaglep3-reporting\EC\2017-01-31-refined-times.txt</v>
      </c>
      <c r="AI123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{"issue":{"subject":"","project_id":79,"tracker_id":40,"status_id":1,"priority_id":2,"assigned_to_id":23,"start_date":"2017-01-31","description":"","custom_fields":[{"id":1,"name":"Subdivision","value":"EC"},{"id":4,"name":"Milepost","value":"23.3274"},{"id":17,"name":"Train ID","value":"211-31"},{"id":16,"name":"Locomotive ID","value":"4002"},{"id":130,"name":"Impact","value":""},{"id":150,"name":"Time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61" t="str">
        <f t="shared" si="77"/>
        <v>start /low /b %USERPROFILE%\Documents\GitHub\eaglep3\Utilities\DownloadLogsFromS3.py --loco 4002 --day 2017-01-31</v>
      </c>
      <c r="AN123" s="170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"%USERPROFILE%\AppData\Local\Temp\OnboardLogs"\RTDC4002\*4002*20170201* | grep -SE "(Enforcement Action)|(\[TIMEOUT)|(CHR.+\|PRM\|1\|D.+(SWITCH|SIGNAL).+UNKNOWN)" - &gt;&gt; 2017-01-31-UncaughtWiMAX.txt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663</v>
      </c>
      <c r="B124" s="7">
        <v>4001</v>
      </c>
      <c r="C124" s="21" t="s">
        <v>193</v>
      </c>
      <c r="D124" s="21" t="s">
        <v>478</v>
      </c>
      <c r="E124" s="13">
        <v>42766.763703703706</v>
      </c>
      <c r="F124" s="13">
        <v>42766.76840277778</v>
      </c>
      <c r="G124" s="7">
        <v>1</v>
      </c>
      <c r="H124" s="21" t="s">
        <v>184</v>
      </c>
      <c r="I124" s="13">
        <v>42766.795590277776</v>
      </c>
      <c r="J124" s="7">
        <v>0</v>
      </c>
      <c r="K124" s="98" t="str">
        <f t="shared" si="78"/>
        <v>4001/4002</v>
      </c>
      <c r="L124" s="21" t="str">
        <f>VLOOKUP(A124,'Trips&amp;Operators'!$C$1:$G$99999,5,FALSE)</f>
        <v>CRAYTON QUNTRELL</v>
      </c>
      <c r="M124" s="6">
        <f t="shared" si="79"/>
        <v>2.7187499996216502E-2</v>
      </c>
      <c r="N124" s="7">
        <f t="shared" si="85"/>
        <v>39.149999994551763</v>
      </c>
      <c r="O124" s="7"/>
      <c r="P124" s="7"/>
      <c r="Q124" s="22"/>
      <c r="R124" s="22"/>
      <c r="S124" s="31">
        <f t="shared" si="81"/>
        <v>1</v>
      </c>
      <c r="T124" s="46" t="str">
        <f t="shared" si="86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67"/>
        <v>https://d0f6bd738d7f1b3e5a7ca70fe4ff75f0.us-east-1.aws.found.io/app/kibana#/discover/Steve-Slow-Train-Analysis-(2080s-and-2083s)?_g=(refreshInterval:(display:Off,pause:!f,section:0,value:0),time:(from:'2017-01-31T17:19:44-0700',mode:absolute,to:'2017-01-31T20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194" t="str">
        <f t="shared" si="87"/>
        <v>N</v>
      </c>
      <c r="X124" s="194">
        <f t="shared" si="83"/>
        <v>1</v>
      </c>
      <c r="Y124" s="62">
        <f t="shared" si="84"/>
        <v>23.2973</v>
      </c>
      <c r="Z124" s="62">
        <f t="shared" si="82"/>
        <v>1.49E-2</v>
      </c>
      <c r="AA124" s="62">
        <f t="shared" si="88"/>
        <v>23.282399999999999</v>
      </c>
      <c r="AB124" s="59" t="e">
        <f>VLOOKUP(A124,Enforcements!$C$7:$K$16,8,0)</f>
        <v>#N/A</v>
      </c>
      <c r="AC124" s="55" t="e">
        <f>VLOOKUP(A124,Enforcements!$C$7:$E$16,3,0)</f>
        <v>#N/A</v>
      </c>
      <c r="AD124" s="56" t="str">
        <f t="shared" si="89"/>
        <v>0212-31</v>
      </c>
      <c r="AE124" s="85" t="str">
        <f t="shared" si="68"/>
        <v>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 &amp; aws s3 cp s3://rtdc.mdm.uploadarchive.raw/RTDC4001/ "%USERPROFILE%\AppData\Local\Temp\OnboardLogs"\RTDC4001\2017-02-01 --exclude "*" --recursive --include "*20170201*" &amp; "%USERPROFILE%\Documents\GitHub\mrs-test-scripts\Headless Mode &amp; Sideloading\WalkAndUnGZ.bat" "%USERPROFILE%\AppData\Local\Temp\OnboardLogs"\RTDC4001\2017-02-01</v>
      </c>
      <c r="AF124" s="82" t="str">
        <f t="shared" si="69"/>
        <v>"C:\Program Files (x86)\AstroGrep\AstroGrep.exe" /spath="%USERPROFILE%\AppData\Local\Temp\OnboardLogs" /stypes="app*4001*20170201*" /stext=" 02:.+((SYSTEM_STATE.+slice.+state.+changed )|(ment ac)|(multiple cpu faults)|(system.+state.+changed )|(\[timeout)|(PRM\|1\|D)|(kpr)|(kdp)|(\|lc)|(penalty))" /e /r /s</v>
      </c>
      <c r="AG124" s="1" t="str">
        <f t="shared" si="90"/>
        <v>EC</v>
      </c>
      <c r="AH124" s="86" t="str">
        <f t="shared" si="75"/>
        <v>"%USERPROFILE%\Documents\GitHub\eaglep3\Utilities\RefineRTDCRunTimes.py" --tripid 212-31 --locoid 4001 --swversion DE.1.0.8.0 --startMP 204:232973 --initTime 2017-01-31T18:19:44 --startdatetime 2017-01-31T18:26:30 --delay 1 --endMP 204:149 --enddatetime 2017-01-31T19:05:39 --enforcementcount 0 &gt;&gt;C:\Users\stu\Documents\GitHub\eaglep3-reporting\EC\2017-01-31-refined-times.txt</v>
      </c>
      <c r="AI124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{"issue":{"subject":"","project_id":79,"tracker_id":40,"status_id":1,"priority_id":2,"assigned_to_id":23,"start_date":"2017-01-31","description":"","custom_fields":[{"id":1,"name":"Subdivision","value":"EC"},{"id":4,"name":"Milepost","value":"0.0149"},{"id":17,"name":"Train ID","value":"212-31"},{"id":16,"name":"Locomotive ID","value":"4001"},{"id":130,"name":"Impact","value":""},{"id":150,"name":"Time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61" t="str">
        <f t="shared" si="77"/>
        <v>start /low /b %USERPROFILE%\Documents\GitHub\eaglep3\Utilities\DownloadLogsFromS3.py --loco 4001 --day 2017-01-31</v>
      </c>
      <c r="AN124" s="170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"%USERPROFILE%\AppData\Local\Temp\OnboardLogs"\RTDC4001\*4001*20170201* | grep -SE "(Enforcement Action)|(\[TIMEOUT)|(CHR.+\|PRM\|1\|D.+(SWITCH|SIGNAL).+UNKNOWN)" - &gt;&gt; 2017-01-31-UncaughtWiMAX.txt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656</v>
      </c>
      <c r="B125" s="7">
        <v>4038</v>
      </c>
      <c r="C125" s="21" t="s">
        <v>193</v>
      </c>
      <c r="D125" s="21" t="s">
        <v>211</v>
      </c>
      <c r="E125" s="13">
        <v>42766.735601851855</v>
      </c>
      <c r="F125" s="13">
        <v>42766.739756944444</v>
      </c>
      <c r="G125" s="7">
        <v>1</v>
      </c>
      <c r="H125" s="21" t="s">
        <v>350</v>
      </c>
      <c r="I125" s="13">
        <v>42766.764328703706</v>
      </c>
      <c r="J125" s="7">
        <v>0</v>
      </c>
      <c r="K125" s="98" t="str">
        <f t="shared" si="78"/>
        <v>4037/4038</v>
      </c>
      <c r="L125" s="21" t="str">
        <f>VLOOKUP(A125,'Trips&amp;Operators'!$C$1:$G$99999,5,FALSE)</f>
        <v>NEWELL JAMES</v>
      </c>
      <c r="M125" s="6">
        <f t="shared" si="79"/>
        <v>2.457175926247146E-2</v>
      </c>
      <c r="N125" s="7">
        <f t="shared" si="85"/>
        <v>35.383333337958902</v>
      </c>
      <c r="O125" s="7"/>
      <c r="P125" s="7"/>
      <c r="Q125" s="22"/>
      <c r="R125" s="22"/>
      <c r="S125" s="31">
        <f t="shared" si="81"/>
        <v>1</v>
      </c>
      <c r="T125" s="46" t="str">
        <f t="shared" si="86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67"/>
        <v>https://d0f6bd738d7f1b3e5a7ca70fe4ff75f0.us-east-1.aws.found.io/app/kibana#/discover/Steve-Slow-Train-Analysis-(2080s-and-2083s)?_g=(refreshInterval:(display:Off,pause:!f,section:0,value:0),time:(from:'2017-01-31T16:39:16-0700',mode:absolute,to:'2017-01-31T19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5" s="194" t="str">
        <f t="shared" si="87"/>
        <v>N</v>
      </c>
      <c r="X125" s="194">
        <f t="shared" si="83"/>
        <v>1</v>
      </c>
      <c r="Y125" s="62">
        <f t="shared" si="84"/>
        <v>4.6199999999999998E-2</v>
      </c>
      <c r="Z125" s="62">
        <f t="shared" si="82"/>
        <v>23.3323</v>
      </c>
      <c r="AA125" s="62">
        <f t="shared" si="88"/>
        <v>23.286100000000001</v>
      </c>
      <c r="AB125" s="59" t="e">
        <f>VLOOKUP(A125,Enforcements!$C$7:$K$16,8,0)</f>
        <v>#N/A</v>
      </c>
      <c r="AC125" s="55" t="e">
        <f>VLOOKUP(A125,Enforcements!$C$7:$E$16,3,0)</f>
        <v>#N/A</v>
      </c>
      <c r="AD125" s="56" t="str">
        <f t="shared" si="89"/>
        <v>0213-31</v>
      </c>
      <c r="AE125" s="85" t="str">
        <f t="shared" si="68"/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125" s="82" t="str">
        <f t="shared" si="69"/>
        <v>"C:\Program Files (x86)\AstroGrep\AstroGrep.exe" /spath="%USERPROFILE%\AppData\Local\Temp\OnboardLogs" /stypes="app*4038*20170201*" /stext=" 01:.+((SYSTEM_STATE.+slice.+state.+changed )|(ment ac)|(multiple cpu faults)|(system.+state.+changed )|(\[timeout)|(PRM\|1\|D)|(kpr)|(kdp)|(\|lc)|(penalty))" /e /r /s</v>
      </c>
      <c r="AG125" s="1" t="str">
        <f t="shared" si="90"/>
        <v>EC</v>
      </c>
      <c r="AH125" s="86" t="str">
        <f t="shared" si="75"/>
        <v>"%USERPROFILE%\Documents\GitHub\eaglep3\Utilities\RefineRTDCRunTimes.py" --tripid 213-31 --locoid 4038 --swversion DE.1.0.8.0 --startMP 204:462 --initTime 2017-01-31T17:39:16 --startdatetime 2017-01-31T17:45:15 --delay 1 --endMP 204:233323 --enddatetime 2017-01-31T18:20:38 --enforcementcount 0 &gt;&gt;C:\Users\stu\Documents\GitHub\eaglep3-reporting\EC\2017-01-31-refined-times.txt</v>
      </c>
      <c r="AI125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{"issue":{"subject":"","project_id":79,"tracker_id":40,"status_id":1,"priority_id":2,"assigned_to_id":23,"start_date":"2017-01-31","description":"","custom_fields":[{"id":1,"name":"Subdivision","value":"EC"},{"id":4,"name":"Milepost","value":"23.3323"},{"id":17,"name":"Train ID","value":"213-31"},{"id":16,"name":"Locomotive ID","value":"4038"},{"id":130,"name":"Impact","value":""},{"id":150,"name":"Time of Event (Mountain Time)","value":"18:20:38"},{"id":151,"name":"Denver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61" t="str">
        <f t="shared" si="77"/>
        <v>start /low /b %USERPROFILE%\Documents\GitHub\eaglep3\Utilities\DownloadLogsFromS3.py --loco 4038 --day 2017-01-31</v>
      </c>
      <c r="AN125" s="170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2017-01-31-UncaughtWiMAX.txt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665</v>
      </c>
      <c r="B126" s="7">
        <v>4037</v>
      </c>
      <c r="C126" s="21" t="s">
        <v>193</v>
      </c>
      <c r="D126" s="21" t="s">
        <v>739</v>
      </c>
      <c r="E126" s="13">
        <v>42766.770370370374</v>
      </c>
      <c r="F126" s="13">
        <v>42766.778634259259</v>
      </c>
      <c r="G126" s="7">
        <v>1</v>
      </c>
      <c r="H126" s="21" t="s">
        <v>761</v>
      </c>
      <c r="I126" s="13">
        <v>42766.805648148147</v>
      </c>
      <c r="J126" s="7">
        <v>0</v>
      </c>
      <c r="K126" s="98" t="str">
        <f t="shared" ref="K126:K157" si="91">IF(ISEVEN(B126),(B126-1)&amp;"/"&amp;B126,B126&amp;"/"&amp;(B126+1))</f>
        <v>4037/4038</v>
      </c>
      <c r="L126" s="21" t="str">
        <f>VLOOKUP(A126,'Trips&amp;Operators'!$C$1:$G$99999,5,FALSE)</f>
        <v>NEWELL JAMES</v>
      </c>
      <c r="M126" s="6">
        <f t="shared" ref="M126:M157" si="92">I126-F126</f>
        <v>2.7013888888177462E-2</v>
      </c>
      <c r="N126" s="7">
        <f t="shared" si="85"/>
        <v>38.899999998975545</v>
      </c>
      <c r="O126" s="7"/>
      <c r="P126" s="7"/>
      <c r="Q126" s="22"/>
      <c r="R126" s="22"/>
      <c r="S126" s="31">
        <f t="shared" ref="S126:S157" si="93">SUM(U126:U126)/IF(AG126="EC",12,1)</f>
        <v>1</v>
      </c>
      <c r="T126" s="46" t="str">
        <f t="shared" si="86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67"/>
        <v>https://d0f6bd738d7f1b3e5a7ca70fe4ff75f0.us-east-1.aws.found.io/app/kibana#/discover/Steve-Slow-Train-Analysis-(2080s-and-2083s)?_g=(refreshInterval:(display:Off,pause:!f,section:0,value:0),time:(from:'2017-01-31T17:29:20-0700',mode:absolute,to:'2017-01-31T20:20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6" s="194" t="str">
        <f t="shared" si="87"/>
        <v>N</v>
      </c>
      <c r="X126" s="194">
        <f t="shared" si="83"/>
        <v>1</v>
      </c>
      <c r="Y126" s="62">
        <f t="shared" si="84"/>
        <v>23.300599999999999</v>
      </c>
      <c r="Z126" s="62">
        <f t="shared" ref="Z126:Z157" si="94">RIGHT(H126,LEN(H126)-4)/10000</f>
        <v>0.11650000000000001</v>
      </c>
      <c r="AA126" s="62">
        <f t="shared" si="88"/>
        <v>23.184100000000001</v>
      </c>
      <c r="AB126" s="59" t="e">
        <f>VLOOKUP(A126,Enforcements!$C$7:$K$16,8,0)</f>
        <v>#N/A</v>
      </c>
      <c r="AC126" s="55" t="e">
        <f>VLOOKUP(A126,Enforcements!$C$7:$E$16,3,0)</f>
        <v>#N/A</v>
      </c>
      <c r="AD126" s="56" t="str">
        <f t="shared" si="89"/>
        <v>0214-31</v>
      </c>
      <c r="AE126" s="85" t="str">
        <f t="shared" si="68"/>
        <v>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 &amp; aws s3 cp s3://rtdc.mdm.uploadarchive.raw/RTDC4037/ "%USERPROFILE%\AppData\Local\Temp\OnboardLogs"\RTDC4037\2017-02-01 --exclude "*" --recursive --include "*20170201*" &amp; "%USERPROFILE%\Documents\GitHub\mrs-test-scripts\Headless Mode &amp; Sideloading\WalkAndUnGZ.bat" "%USERPROFILE%\AppData\Local\Temp\OnboardLogs"\RTDC4037\2017-02-01</v>
      </c>
      <c r="AF126" s="82" t="str">
        <f t="shared" si="69"/>
        <v>"C:\Program Files (x86)\AstroGrep\AstroGrep.exe" /spath="%USERPROFILE%\AppData\Local\Temp\OnboardLogs" /stypes="app*4037*20170201*" /stext=" 02:.+((SYSTEM_STATE.+slice.+state.+changed )|(ment ac)|(multiple cpu faults)|(system.+state.+changed )|(\[timeout)|(PRM\|1\|D)|(kpr)|(kdp)|(\|lc)|(penalty))" /e /r /s</v>
      </c>
      <c r="AG126" s="1" t="str">
        <f t="shared" si="90"/>
        <v>EC</v>
      </c>
      <c r="AH126" s="86" t="str">
        <f t="shared" si="75"/>
        <v>"%USERPROFILE%\Documents\GitHub\eaglep3\Utilities\RefineRTDCRunTimes.py" --tripid 214-31 --locoid 4037 --swversion DE.1.0.8.0 --startMP 204:233006 --initTime 2017-01-31T18:29:20 --startdatetime 2017-01-31T18:41:14 --delay 1 --endMP 204:1165 --enddatetime 2017-01-31T19:20:08 --enforcementcount 0 &gt;&gt;C:\Users\stu\Documents\GitHub\eaglep3-reporting\EC\2017-01-31-refined-times.txt</v>
      </c>
      <c r="AI126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{"issue":{"subject":"","project_id":79,"tracker_id":40,"status_id":1,"priority_id":2,"assigned_to_id":23,"start_date":"2017-01-31","description":"","custom_fields":[{"id":1,"name":"Subdivision","value":"EC"},{"id":4,"name":"Milepost","value":"0.1165"},{"id":17,"name":"Train ID","value":"214-31"},{"id":16,"name":"Locomotive ID","value":"4037"},{"id":130,"name":"Impact","value":""},{"id":150,"name":"Time of Event (Mountain Time)","value":"19:20:08"},{"id":151,"name":"Denver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61" t="str">
        <f t="shared" si="77"/>
        <v>start /low /b %USERPROFILE%\Documents\GitHub\eaglep3\Utilities\DownloadLogsFromS3.py --loco 4037 --day 2017-01-31</v>
      </c>
      <c r="AN126" s="170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"%USERPROFILE%\AppData\Local\Temp\OnboardLogs"\RTDC4037\*4037*20170201* | grep -SE "(Enforcement Action)|(\[TIMEOUT)|(CHR.+\|PRM\|1\|D.+(SWITCH|SIGNAL).+UNKNOWN)" - &gt;&gt; 2017-01-31-UncaughtWiMAX.txt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658</v>
      </c>
      <c r="B127" s="7">
        <v>4025</v>
      </c>
      <c r="C127" s="21" t="s">
        <v>193</v>
      </c>
      <c r="D127" s="21" t="s">
        <v>213</v>
      </c>
      <c r="E127" s="13">
        <v>42766.748402777775</v>
      </c>
      <c r="F127" s="13">
        <v>42766.750231481485</v>
      </c>
      <c r="G127" s="7">
        <v>1</v>
      </c>
      <c r="H127" s="21" t="s">
        <v>296</v>
      </c>
      <c r="I127" s="13">
        <v>42766.774768518517</v>
      </c>
      <c r="J127" s="7">
        <v>0</v>
      </c>
      <c r="K127" s="98" t="str">
        <f t="shared" si="91"/>
        <v>4025/4026</v>
      </c>
      <c r="L127" s="21" t="str">
        <f>VLOOKUP(A127,'Trips&amp;Operators'!$C$1:$G$99999,5,FALSE)</f>
        <v>LALONDE GREGORY</v>
      </c>
      <c r="M127" s="6">
        <f t="shared" si="92"/>
        <v>2.4537037032132503E-2</v>
      </c>
      <c r="N127" s="7">
        <f t="shared" si="85"/>
        <v>35.333333326270804</v>
      </c>
      <c r="O127" s="7"/>
      <c r="P127" s="7"/>
      <c r="Q127" s="22"/>
      <c r="R127" s="22"/>
      <c r="S127" s="31">
        <f t="shared" si="93"/>
        <v>1</v>
      </c>
      <c r="T127" s="46" t="str">
        <f t="shared" si="86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67"/>
        <v>https://d0f6bd738d7f1b3e5a7ca70fe4ff75f0.us-east-1.aws.found.io/app/kibana#/discover/Steve-Slow-Train-Analysis-(2080s-and-2083s)?_g=(refreshInterval:(display:Off,pause:!f,section:0,value:0),time:(from:'2017-01-31T16:57:42-0700',mode:absolute,to:'2017-01-31T19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194" t="str">
        <f t="shared" si="87"/>
        <v>N</v>
      </c>
      <c r="X127" s="194">
        <f t="shared" si="83"/>
        <v>1</v>
      </c>
      <c r="Y127" s="62">
        <f t="shared" si="84"/>
        <v>4.4900000000000002E-2</v>
      </c>
      <c r="Z127" s="62">
        <f t="shared" si="94"/>
        <v>23.330100000000002</v>
      </c>
      <c r="AA127" s="62">
        <f t="shared" si="88"/>
        <v>23.285200000000003</v>
      </c>
      <c r="AB127" s="59" t="e">
        <f>VLOOKUP(A127,Enforcements!$C$7:$K$16,8,0)</f>
        <v>#N/A</v>
      </c>
      <c r="AC127" s="55" t="e">
        <f>VLOOKUP(A127,Enforcements!$C$7:$E$16,3,0)</f>
        <v>#N/A</v>
      </c>
      <c r="AD127" s="56" t="str">
        <f t="shared" si="89"/>
        <v>0215-31</v>
      </c>
      <c r="AE127" s="85" t="str">
        <f t="shared" si="68"/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AF127" s="82" t="str">
        <f t="shared" si="69"/>
        <v>"C:\Program Files (x86)\AstroGrep\AstroGrep.exe" /spath="%USERPROFILE%\AppData\Local\Temp\OnboardLogs" /stypes="app*4025*20170201*" /stext=" 01:.+((SYSTEM_STATE.+slice.+state.+changed )|(ment ac)|(multiple cpu faults)|(system.+state.+changed )|(\[timeout)|(PRM\|1\|D)|(kpr)|(kdp)|(\|lc)|(penalty))" /e /r /s</v>
      </c>
      <c r="AG127" s="1" t="str">
        <f t="shared" si="90"/>
        <v>EC</v>
      </c>
      <c r="AH127" s="86" t="str">
        <f t="shared" si="75"/>
        <v>"%USERPROFILE%\Documents\GitHub\eaglep3\Utilities\RefineRTDCRunTimes.py" --tripid 215-31 --locoid 4025 --swversion DE.1.0.8.0 --startMP 204:449 --initTime 2017-01-31T17:57:42 --startdatetime 2017-01-31T18:00:20 --delay 1 --endMP 204:233301 --enddatetime 2017-01-31T18:35:40 --enforcementcount 0 &gt;&gt;C:\Users\stu\Documents\GitHub\eaglep3-reporting\EC\2017-01-31-refined-times.txt</v>
      </c>
      <c r="AI127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{"issue":{"subject":"","project_id":79,"tracker_id":40,"status_id":1,"priority_id":2,"assigned_to_id":23,"start_date":"2017-01-31","description":"","custom_fields":[{"id":1,"name":"Subdivision","value":"EC"},{"id":4,"name":"Milepost","value":"23.3301"},{"id":17,"name":"Train ID","value":"215-31"},{"id":16,"name":"Locomotive ID","value":"4025"},{"id":130,"name":"Impact","value":""},{"id":150,"name":"Time of Event (Mountain Time)","value":"18:35:40"},{"id":151,"name":"Denver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61" t="str">
        <f t="shared" si="77"/>
        <v>start /low /b %USERPROFILE%\Documents\GitHub\eaglep3\Utilities\DownloadLogsFromS3.py --loco 4025 --day 2017-01-31</v>
      </c>
      <c r="AN127" s="170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"%USERPROFILE%\AppData\Local\Temp\OnboardLogs"\RTDC4025\*4025*20170201* | grep -SE "(Enforcement Action)|(\[TIMEOUT)|(CHR.+\|PRM\|1\|D.+(SWITCH|SIGNAL).+UNKNOWN)" - &gt;&gt; 2017-01-31-UncaughtWiMAX.txt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668</v>
      </c>
      <c r="B128" s="7">
        <v>4026</v>
      </c>
      <c r="C128" s="21" t="s">
        <v>193</v>
      </c>
      <c r="D128" s="21" t="s">
        <v>295</v>
      </c>
      <c r="E128" s="13">
        <v>42766.780312499999</v>
      </c>
      <c r="F128" s="13">
        <v>42766.789050925923</v>
      </c>
      <c r="G128" s="7">
        <v>1</v>
      </c>
      <c r="H128" s="21" t="s">
        <v>214</v>
      </c>
      <c r="I128" s="13">
        <v>42766.815138888887</v>
      </c>
      <c r="J128" s="7">
        <v>0</v>
      </c>
      <c r="K128" s="98" t="str">
        <f t="shared" si="91"/>
        <v>4025/4026</v>
      </c>
      <c r="L128" s="21" t="str">
        <f>VLOOKUP(A128,'Trips&amp;Operators'!$C$1:$G$99999,5,FALSE)</f>
        <v>LALONDE GREGORY</v>
      </c>
      <c r="M128" s="6">
        <f t="shared" si="92"/>
        <v>2.6087962964083999E-2</v>
      </c>
      <c r="N128" s="7">
        <f t="shared" si="85"/>
        <v>37.566666668280959</v>
      </c>
      <c r="O128" s="7"/>
      <c r="P128" s="7"/>
      <c r="Q128" s="22"/>
      <c r="R128" s="22"/>
      <c r="S128" s="31">
        <f t="shared" si="93"/>
        <v>1</v>
      </c>
      <c r="T128" s="46" t="str">
        <f t="shared" si="86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67"/>
        <v>https://d0f6bd738d7f1b3e5a7ca70fe4ff75f0.us-east-1.aws.found.io/app/kibana#/discover/Steve-Slow-Train-Analysis-(2080s-and-2083s)?_g=(refreshInterval:(display:Off,pause:!f,section:0,value:0),time:(from:'2017-01-31T17:43:39-0700',mode:absolute,to:'2017-01-31T20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194" t="str">
        <f t="shared" si="87"/>
        <v>N</v>
      </c>
      <c r="X128" s="194">
        <f t="shared" si="83"/>
        <v>1</v>
      </c>
      <c r="Y128" s="62">
        <f t="shared" si="84"/>
        <v>23.298200000000001</v>
      </c>
      <c r="Z128" s="62">
        <f t="shared" si="94"/>
        <v>1.52E-2</v>
      </c>
      <c r="AA128" s="62">
        <f t="shared" si="88"/>
        <v>23.283000000000001</v>
      </c>
      <c r="AB128" s="59" t="e">
        <f>VLOOKUP(A128,Enforcements!$C$7:$K$16,8,0)</f>
        <v>#N/A</v>
      </c>
      <c r="AC128" s="55" t="e">
        <f>VLOOKUP(A128,Enforcements!$C$7:$E$16,3,0)</f>
        <v>#N/A</v>
      </c>
      <c r="AD128" s="56" t="str">
        <f t="shared" si="89"/>
        <v>0216-31</v>
      </c>
      <c r="AE128" s="85" t="str">
        <f t="shared" si="68"/>
        <v>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 &amp; aws s3 cp s3://rtdc.mdm.uploadarchive.raw/RTDC4026/ "%USERPROFILE%\AppData\Local\Temp\OnboardLogs"\RTDC4026\2017-02-01 --exclude "*" --recursive --include "*20170201*" &amp; "%USERPROFILE%\Documents\GitHub\mrs-test-scripts\Headless Mode &amp; Sideloading\WalkAndUnGZ.bat" "%USERPROFILE%\AppData\Local\Temp\OnboardLogs"\RTDC4026\2017-02-01</v>
      </c>
      <c r="AF128" s="82" t="str">
        <f t="shared" si="69"/>
        <v>"C:\Program Files (x86)\AstroGrep\AstroGrep.exe" /spath="%USERPROFILE%\AppData\Local\Temp\OnboardLogs" /stypes="app*4026*20170201*" /stext=" 02:.+((SYSTEM_STATE.+slice.+state.+changed )|(ment ac)|(multiple cpu faults)|(system.+state.+changed )|(\[timeout)|(PRM\|1\|D)|(kpr)|(kdp)|(\|lc)|(penalty))" /e /r /s</v>
      </c>
      <c r="AG128" s="1" t="str">
        <f t="shared" si="90"/>
        <v>EC</v>
      </c>
      <c r="AH128" s="86" t="str">
        <f t="shared" si="75"/>
        <v>"%USERPROFILE%\Documents\GitHub\eaglep3\Utilities\RefineRTDCRunTimes.py" --tripid 216-31 --locoid 4026 --swversion DE.1.0.8.0 --startMP 204:232982 --initTime 2017-01-31T18:43:39 --startdatetime 2017-01-31T18:56:14 --delay 1 --endMP 204:152 --enddatetime 2017-01-31T19:33:48 --enforcementcount 0 &gt;&gt;C:\Users\stu\Documents\GitHub\eaglep3-reporting\EC\2017-01-31-refined-times.txt</v>
      </c>
      <c r="AI128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{"issue":{"subject":"","project_id":79,"tracker_id":40,"status_id":1,"priority_id":2,"assigned_to_id":23,"start_date":"2017-01-31","description":"","custom_fields":[{"id":1,"name":"Subdivision","value":"EC"},{"id":4,"name":"Milepost","value":"0.0152"},{"id":17,"name":"Train ID","value":"216-31"},{"id":16,"name":"Locomotive ID","value":"4026"},{"id":130,"name":"Impact","value":""},{"id":150,"name":"Time of Event (Mountain Time)","value":"19:33:48"},{"id":151,"name":"Denver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61" t="str">
        <f t="shared" si="77"/>
        <v>start /low /b %USERPROFILE%\Documents\GitHub\eaglep3\Utilities\DownloadLogsFromS3.py --loco 4026 --day 2017-01-31</v>
      </c>
      <c r="AN128" s="170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"%USERPROFILE%\AppData\Local\Temp\OnboardLogs"\RTDC4026\*4026*20170201* | grep -SE "(Enforcement Action)|(\[TIMEOUT)|(CHR.+\|PRM\|1\|D.+(SWITCH|SIGNAL).+UNKNOWN)" - &gt;&gt; 2017-01-31-UncaughtWiMAX.txt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661</v>
      </c>
      <c r="B129" s="7">
        <v>4040</v>
      </c>
      <c r="C129" s="21" t="s">
        <v>193</v>
      </c>
      <c r="D129" s="21" t="s">
        <v>762</v>
      </c>
      <c r="E129" s="13">
        <v>42766.757280092592</v>
      </c>
      <c r="F129" s="13">
        <v>42766.760648148149</v>
      </c>
      <c r="G129" s="7">
        <v>1</v>
      </c>
      <c r="H129" s="21" t="s">
        <v>466</v>
      </c>
      <c r="I129" s="13">
        <v>42766.78806712963</v>
      </c>
      <c r="J129" s="7">
        <v>0</v>
      </c>
      <c r="K129" s="98" t="str">
        <f t="shared" si="91"/>
        <v>4039/4040</v>
      </c>
      <c r="L129" s="21" t="str">
        <f>VLOOKUP(A129,'Trips&amp;Operators'!$C$1:$G$99999,5,FALSE)</f>
        <v>DAVIDSON DAVID</v>
      </c>
      <c r="M129" s="6">
        <f t="shared" si="92"/>
        <v>2.7418981480877846E-2</v>
      </c>
      <c r="N129" s="7">
        <f t="shared" si="85"/>
        <v>39.483333332464099</v>
      </c>
      <c r="O129" s="7"/>
      <c r="P129" s="7"/>
      <c r="Q129" s="22"/>
      <c r="R129" s="22"/>
      <c r="S129" s="31">
        <f t="shared" si="93"/>
        <v>1</v>
      </c>
      <c r="T129" s="46" t="str">
        <f t="shared" si="86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67"/>
        <v>https://d0f6bd738d7f1b3e5a7ca70fe4ff75f0.us-east-1.aws.found.io/app/kibana#/discover/Steve-Slow-Train-Analysis-(2080s-and-2083s)?_g=(refreshInterval:(display:Off,pause:!f,section:0,value:0),time:(from:'2017-01-31T17:10:29-0700',mode:absolute,to:'2017-01-31T19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194" t="str">
        <f t="shared" si="87"/>
        <v>N</v>
      </c>
      <c r="X129" s="194">
        <f t="shared" si="83"/>
        <v>1</v>
      </c>
      <c r="Y129" s="62">
        <f t="shared" si="84"/>
        <v>4.9299999999999997E-2</v>
      </c>
      <c r="Z129" s="62">
        <f t="shared" si="94"/>
        <v>23.334</v>
      </c>
      <c r="AA129" s="62">
        <f t="shared" si="88"/>
        <v>23.284700000000001</v>
      </c>
      <c r="AB129" s="59" t="e">
        <f>VLOOKUP(A129,Enforcements!$C$7:$K$16,8,0)</f>
        <v>#N/A</v>
      </c>
      <c r="AC129" s="55" t="e">
        <f>VLOOKUP(A129,Enforcements!$C$7:$E$16,3,0)</f>
        <v>#N/A</v>
      </c>
      <c r="AD129" s="56" t="str">
        <f t="shared" si="89"/>
        <v>0217-31</v>
      </c>
      <c r="AE129" s="85" t="str">
        <f t="shared" si="68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129" s="82" t="str">
        <f t="shared" si="69"/>
        <v>"C:\Program Files (x86)\AstroGrep\AstroGrep.exe" /spath="%USERPROFILE%\AppData\Local\Temp\OnboardLogs" /stypes="app*4040*20170201*" /stext=" 01:.+((SYSTEM_STATE.+slice.+state.+changed )|(ment ac)|(multiple cpu faults)|(system.+state.+changed )|(\[timeout)|(PRM\|1\|D)|(kpr)|(kdp)|(\|lc)|(penalty))" /e /r /s</v>
      </c>
      <c r="AG129" s="1" t="str">
        <f t="shared" si="90"/>
        <v>EC</v>
      </c>
      <c r="AH129" s="86" t="str">
        <f t="shared" si="75"/>
        <v>"%USERPROFILE%\Documents\GitHub\eaglep3\Utilities\RefineRTDCRunTimes.py" --tripid 217-31 --locoid 4040 --swversion DE.1.0.8.0 --startMP 204:493 --initTime 2017-01-31T18:10:29 --startdatetime 2017-01-31T18:15:20 --delay 1 --endMP 204:233340 --enddatetime 2017-01-31T18:54:49 --enforcementcount 0 &gt;&gt;C:\Users\stu\Documents\GitHub\eaglep3-reporting\EC\2017-01-31-refined-times.txt</v>
      </c>
      <c r="AI129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{"issue":{"subject":"","project_id":79,"tracker_id":40,"status_id":1,"priority_id":2,"assigned_to_id":23,"start_date":"2017-01-31","description":"","custom_fields":[{"id":1,"name":"Subdivision","value":"EC"},{"id":4,"name":"Milepost","value":"23.334"},{"id":17,"name":"Train ID","value":"217-31"},{"id":16,"name":"Locomotive ID","value":"4040"},{"id":130,"name":"Impact","value":""},{"id":150,"name":"Time of Event (Mountain Time)","value":"18:54:49"},{"id":151,"name":"Denver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61" t="str">
        <f t="shared" si="77"/>
        <v>start /low /b %USERPROFILE%\Documents\GitHub\eaglep3\Utilities\DownloadLogsFromS3.py --loco 4040 --day 2017-01-31</v>
      </c>
      <c r="AN129" s="170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"%USERPROFILE%\AppData\Local\Temp\OnboardLogs"\RTDC4040\*4040*20170201* | grep -SE "(Enforcement Action)|(\[TIMEOUT)|(CHR.+\|PRM\|1\|D.+(SWITCH|SIGNAL).+UNKNOWN)" - &gt;&gt; 2017-01-31-UncaughtWiMAX.txt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673</v>
      </c>
      <c r="B130" s="7">
        <v>4039</v>
      </c>
      <c r="C130" s="21" t="s">
        <v>193</v>
      </c>
      <c r="D130" s="21" t="s">
        <v>708</v>
      </c>
      <c r="E130" s="13">
        <v>42766.790902777779</v>
      </c>
      <c r="F130" s="13">
        <v>42766.799583333333</v>
      </c>
      <c r="G130" s="7">
        <v>1</v>
      </c>
      <c r="H130" s="21" t="s">
        <v>214</v>
      </c>
      <c r="I130" s="13">
        <v>42766.827777777777</v>
      </c>
      <c r="J130" s="7">
        <v>0</v>
      </c>
      <c r="K130" s="98" t="str">
        <f t="shared" si="91"/>
        <v>4039/4040</v>
      </c>
      <c r="L130" s="21" t="str">
        <f>VLOOKUP(A130,'Trips&amp;Operators'!$C$1:$G$99999,5,FALSE)</f>
        <v>DAVIDSON DAVID</v>
      </c>
      <c r="M130" s="6">
        <f t="shared" si="92"/>
        <v>2.8194444443215616E-2</v>
      </c>
      <c r="N130" s="7">
        <f t="shared" si="85"/>
        <v>40.599999998230487</v>
      </c>
      <c r="O130" s="7"/>
      <c r="P130" s="7"/>
      <c r="Q130" s="22"/>
      <c r="R130" s="22"/>
      <c r="S130" s="31">
        <f t="shared" si="93"/>
        <v>1</v>
      </c>
      <c r="T130" s="46" t="str">
        <f t="shared" si="86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67"/>
        <v>https://d0f6bd738d7f1b3e5a7ca70fe4ff75f0.us-east-1.aws.found.io/app/kibana#/discover/Steve-Slow-Train-Analysis-(2080s-and-2083s)?_g=(refreshInterval:(display:Off,pause:!f,section:0,value:0),time:(from:'2017-01-31T17:58:54-0700',mode:absolute,to:'2017-01-31T20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194" t="str">
        <f t="shared" si="87"/>
        <v>N</v>
      </c>
      <c r="X130" s="194">
        <f t="shared" ref="X130:X161" si="95">VALUE(LEFT(AD130,4))-VALUE(LEFT(AD129,4))</f>
        <v>1</v>
      </c>
      <c r="Y130" s="62">
        <f t="shared" si="84"/>
        <v>23.297699999999999</v>
      </c>
      <c r="Z130" s="62">
        <f t="shared" si="94"/>
        <v>1.52E-2</v>
      </c>
      <c r="AA130" s="62">
        <f t="shared" si="88"/>
        <v>23.282499999999999</v>
      </c>
      <c r="AB130" s="59" t="e">
        <f>VLOOKUP(A130,Enforcements!$C$7:$K$16,8,0)</f>
        <v>#N/A</v>
      </c>
      <c r="AC130" s="55" t="e">
        <f>VLOOKUP(A130,Enforcements!$C$7:$E$16,3,0)</f>
        <v>#N/A</v>
      </c>
      <c r="AD130" s="56" t="str">
        <f t="shared" si="89"/>
        <v>0218-31</v>
      </c>
      <c r="AE130" s="85" t="str">
        <f t="shared" si="68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130" s="82" t="str">
        <f t="shared" si="69"/>
        <v>"C:\Program Files (x86)\AstroGrep\AstroGrep.exe" /spath="%USERPROFILE%\AppData\Local\Temp\OnboardLogs" /stypes="app*4039*20170201*" /stext=" 02:.+((SYSTEM_STATE.+slice.+state.+changed )|(ment ac)|(multiple cpu faults)|(system.+state.+changed )|(\[timeout)|(PRM\|1\|D)|(kpr)|(kdp)|(\|lc)|(penalty))" /e /r /s</v>
      </c>
      <c r="AG130" s="1" t="str">
        <f t="shared" si="90"/>
        <v>EC</v>
      </c>
      <c r="AH130" s="86" t="str">
        <f t="shared" si="75"/>
        <v>"%USERPROFILE%\Documents\GitHub\eaglep3\Utilities\RefineRTDCRunTimes.py" --tripid 218-31 --locoid 4039 --swversion DE.1.0.8.0 --startMP 204:232977 --initTime 2017-01-31T18:58:54 --startdatetime 2017-01-31T19:11:24 --delay 1 --endMP 204:152 --enddatetime 2017-01-31T19:52:00 --enforcementcount 0 &gt;&gt;C:\Users\stu\Documents\GitHub\eaglep3-reporting\EC\2017-01-31-refined-times.txt</v>
      </c>
      <c r="AI130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{"issue":{"subject":"","project_id":79,"tracker_id":40,"status_id":1,"priority_id":2,"assigned_to_id":23,"start_date":"2017-01-31","description":"","custom_fields":[{"id":1,"name":"Subdivision","value":"EC"},{"id":4,"name":"Milepost","value":"0.0152"},{"id":17,"name":"Train ID","value":"218-31"},{"id":16,"name":"Locomotive ID","value":"4039"},{"id":130,"name":"Impact","value":""},{"id":150,"name":"Time of Event (Mountain Time)","value":"19:52:00"},{"id":151,"name":"Denver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61" t="str">
        <f t="shared" si="77"/>
        <v>start /low /b %USERPROFILE%\Documents\GitHub\eaglep3\Utilities\DownloadLogsFromS3.py --loco 4039 --day 2017-01-31</v>
      </c>
      <c r="AN130" s="170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"%USERPROFILE%\AppData\Local\Temp\OnboardLogs"\RTDC4039\*4039*20170201* | grep -SE "(Enforcement Action)|(\[TIMEOUT)|(CHR.+\|PRM\|1\|D.+(SWITCH|SIGNAL).+UNKNOWN)" - &gt;&gt; 2017-01-31-UncaughtWiMAX.txt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3" t="s">
        <v>664</v>
      </c>
      <c r="B131" s="7">
        <v>4027</v>
      </c>
      <c r="C131" s="21" t="s">
        <v>193</v>
      </c>
      <c r="D131" s="21" t="s">
        <v>298</v>
      </c>
      <c r="E131" s="13">
        <v>42766.76840277778</v>
      </c>
      <c r="F131" s="13">
        <v>42766.771296296298</v>
      </c>
      <c r="G131" s="7">
        <v>2</v>
      </c>
      <c r="H131" s="21" t="s">
        <v>763</v>
      </c>
      <c r="I131" s="13">
        <v>42766.795324074075</v>
      </c>
      <c r="J131" s="7">
        <v>0</v>
      </c>
      <c r="K131" s="98" t="str">
        <f t="shared" si="91"/>
        <v>4027/4028</v>
      </c>
      <c r="L131" s="21" t="str">
        <f>VLOOKUP(A131,'Trips&amp;Operators'!$C$1:$G$99999,5,FALSE)</f>
        <v>STAMBAUGH JAMES</v>
      </c>
      <c r="M131" s="6">
        <f t="shared" si="92"/>
        <v>2.4027777777519077E-2</v>
      </c>
      <c r="N131" s="7">
        <f t="shared" si="85"/>
        <v>34.599999999627471</v>
      </c>
      <c r="O131" s="7"/>
      <c r="P131" s="7"/>
      <c r="Q131" s="22"/>
      <c r="R131" s="22"/>
      <c r="S131" s="31">
        <f t="shared" si="93"/>
        <v>1</v>
      </c>
      <c r="T131" s="46" t="str">
        <f t="shared" si="86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67"/>
        <v>https://d0f6bd738d7f1b3e5a7ca70fe4ff75f0.us-east-1.aws.found.io/app/kibana#/discover/Steve-Slow-Train-Analysis-(2080s-and-2083s)?_g=(refreshInterval:(display:Off,pause:!f,section:0,value:0),time:(from:'2017-01-31T17:26:30-0700',mode:absolute,to:'2017-01-31T20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194" t="str">
        <f t="shared" si="87"/>
        <v>N</v>
      </c>
      <c r="X131" s="194">
        <f t="shared" si="95"/>
        <v>1</v>
      </c>
      <c r="Y131" s="62">
        <f t="shared" si="84"/>
        <v>4.6699999999999998E-2</v>
      </c>
      <c r="Z131" s="62">
        <f t="shared" si="94"/>
        <v>23.340299999999999</v>
      </c>
      <c r="AA131" s="62">
        <f t="shared" si="88"/>
        <v>23.293599999999998</v>
      </c>
      <c r="AB131" s="59" t="e">
        <f>VLOOKUP(A131,Enforcements!$C$7:$K$16,8,0)</f>
        <v>#N/A</v>
      </c>
      <c r="AC131" s="55" t="e">
        <f>VLOOKUP(A131,Enforcements!$C$7:$E$16,3,0)</f>
        <v>#N/A</v>
      </c>
      <c r="AD131" s="56" t="str">
        <f t="shared" si="89"/>
        <v>0219-31</v>
      </c>
      <c r="AE131" s="85" t="str">
        <f t="shared" si="68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131" s="82" t="str">
        <f t="shared" si="69"/>
        <v>"C:\Program Files (x86)\AstroGrep\AstroGrep.exe" /spath="%USERPROFILE%\AppData\Local\Temp\OnboardLogs" /stypes="app*4027*20170201*" /stext=" 02:.+((SYSTEM_STATE.+slice.+state.+changed )|(ment ac)|(multiple cpu faults)|(system.+state.+changed )|(\[timeout)|(PRM\|1\|D)|(kpr)|(kdp)|(\|lc)|(penalty))" /e /r /s</v>
      </c>
      <c r="AG131" s="1" t="str">
        <f t="shared" si="90"/>
        <v>EC</v>
      </c>
      <c r="AH131" s="86" t="str">
        <f t="shared" si="75"/>
        <v>"%USERPROFILE%\Documents\GitHub\eaglep3\Utilities\RefineRTDCRunTimes.py" --tripid 219-31 --locoid 4027 --swversion DE.1.0.8.0 --startMP 204:467 --initTime 2017-01-31T18:26:30 --startdatetime 2017-01-31T18:30:40 --delay 2 --endMP 204:233403 --enddatetime 2017-01-31T19:05:16 --enforcementcount 0 &gt;&gt;C:\Users\stu\Documents\GitHub\eaglep3-reporting\EC\2017-01-31-refined-times.txt</v>
      </c>
      <c r="AI131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{"issue":{"subject":"","project_id":79,"tracker_id":40,"status_id":1,"priority_id":2,"assigned_to_id":23,"start_date":"2017-01-31","description":"","custom_fields":[{"id":1,"name":"Subdivision","value":"EC"},{"id":4,"name":"Milepost","value":"23.3403"},{"id":17,"name":"Train ID","value":"219-31"},{"id":16,"name":"Locomotive ID","value":"4027"},{"id":130,"name":"Impact","value":""},{"id":150,"name":"Time of Event (Mountain Time)","value":"19:05:16"},{"id":151,"name":"Denver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61" t="str">
        <f t="shared" si="77"/>
        <v>start /low /b %USERPROFILE%\Documents\GitHub\eaglep3\Utilities\DownloadLogsFromS3.py --loco 4027 --day 2017-01-31</v>
      </c>
      <c r="AN131" s="170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"%USERPROFILE%\AppData\Local\Temp\OnboardLogs"\RTDC4027\*4027*20170201* | grep -SE "(Enforcement Action)|(\[TIMEOUT)|(CHR.+\|PRM\|1\|D.+(SWITCH|SIGNAL).+UNKNOWN)" - &gt;&gt; 2017-01-31-UncaughtWiMAX.txt</v>
      </c>
    </row>
    <row r="132" spans="1:91" s="20" customFormat="1" x14ac:dyDescent="0.25">
      <c r="A132" s="33" t="s">
        <v>675</v>
      </c>
      <c r="B132" s="7">
        <v>4028</v>
      </c>
      <c r="C132" s="21" t="s">
        <v>193</v>
      </c>
      <c r="D132" s="21" t="s">
        <v>764</v>
      </c>
      <c r="E132" s="13">
        <v>42766.799305555556</v>
      </c>
      <c r="F132" s="13">
        <v>42766.810011574074</v>
      </c>
      <c r="G132" s="7">
        <v>1</v>
      </c>
      <c r="H132" s="21" t="s">
        <v>208</v>
      </c>
      <c r="I132" s="13">
        <v>42766.8359375</v>
      </c>
      <c r="J132" s="7">
        <v>0</v>
      </c>
      <c r="K132" s="98" t="str">
        <f t="shared" si="91"/>
        <v>4027/4028</v>
      </c>
      <c r="L132" s="21" t="str">
        <f>VLOOKUP(A132,'Trips&amp;Operators'!$C$1:$G$99999,5,FALSE)</f>
        <v>STAMBAUGH JAMES</v>
      </c>
      <c r="M132" s="6">
        <f t="shared" si="92"/>
        <v>2.5925925925548654E-2</v>
      </c>
      <c r="N132" s="7">
        <f t="shared" si="85"/>
        <v>37.333333332790062</v>
      </c>
      <c r="O132" s="7"/>
      <c r="P132" s="7"/>
      <c r="Q132" s="22"/>
      <c r="R132" s="22"/>
      <c r="S132" s="31">
        <f t="shared" si="93"/>
        <v>1</v>
      </c>
      <c r="T132" s="46" t="str">
        <f t="shared" si="86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67"/>
        <v>https://d0f6bd738d7f1b3e5a7ca70fe4ff75f0.us-east-1.aws.found.io/app/kibana#/discover/Steve-Slow-Train-Analysis-(2080s-and-2083s)?_g=(refreshInterval:(display:Off,pause:!f,section:0,value:0),time:(from:'2017-01-31T18:11:00-0700',mode:absolute,to:'2017-01-31T21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94" t="str">
        <f t="shared" si="87"/>
        <v>N</v>
      </c>
      <c r="X132" s="194">
        <f t="shared" si="95"/>
        <v>1</v>
      </c>
      <c r="Y132" s="62">
        <f t="shared" si="84"/>
        <v>23.308599999999998</v>
      </c>
      <c r="Z132" s="62">
        <f t="shared" si="94"/>
        <v>1.47E-2</v>
      </c>
      <c r="AA132" s="62">
        <f t="shared" si="88"/>
        <v>23.293899999999997</v>
      </c>
      <c r="AB132" s="59" t="e">
        <f>VLOOKUP(A132,Enforcements!$C$7:$K$16,8,0)</f>
        <v>#N/A</v>
      </c>
      <c r="AC132" s="55" t="e">
        <f>VLOOKUP(A132,Enforcements!$C$7:$E$16,3,0)</f>
        <v>#N/A</v>
      </c>
      <c r="AD132" s="56" t="str">
        <f t="shared" si="89"/>
        <v>0220-31</v>
      </c>
      <c r="AE132" s="85" t="str">
        <f t="shared" si="68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132" s="82" t="str">
        <f t="shared" si="69"/>
        <v>"C:\Program Files (x86)\AstroGrep\AstroGrep.exe" /spath="%USERPROFILE%\AppData\Local\Temp\OnboardLogs" /stypes="app*4028*20170201*" /stext=" 03:.+((SYSTEM_STATE.+slice.+state.+changed )|(ment ac)|(multiple cpu faults)|(system.+state.+changed )|(\[timeout)|(PRM\|1\|D)|(kpr)|(kdp)|(\|lc)|(penalty))" /e /r /s</v>
      </c>
      <c r="AG132" s="1" t="str">
        <f t="shared" si="90"/>
        <v>EC</v>
      </c>
      <c r="AH132" s="86" t="str">
        <f t="shared" si="75"/>
        <v>"%USERPROFILE%\Documents\GitHub\eaglep3\Utilities\RefineRTDCRunTimes.py" --tripid 220-31 --locoid 4028 --swversion DE.1.0.8.0 --startMP 204:233086 --initTime 2017-01-31T19:11:00 --startdatetime 2017-01-31T19:26:25 --delay 1 --endMP 204:147 --enddatetime 2017-01-31T20:03:45 --enforcementcount 0 &gt;&gt;C:\Users\stu\Documents\GitHub\eaglep3-reporting\EC\2017-01-31-refined-times.txt</v>
      </c>
      <c r="AI132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{"issue":{"subject":"","project_id":79,"tracker_id":40,"status_id":1,"priority_id":2,"assigned_to_id":23,"start_date":"2017-01-31","description":"","custom_fields":[{"id":1,"name":"Subdivision","value":"EC"},{"id":4,"name":"Milepost","value":"0.0147"},{"id":17,"name":"Train ID","value":"220-31"},{"id":16,"name":"Locomotive ID","value":"4028"},{"id":130,"name":"Impact","value":""},{"id":150,"name":"Time of Event (Mountain Time)","value":"20:03:45"},{"id":151,"name":"Denver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61" t="str">
        <f t="shared" si="77"/>
        <v>start /low /b %USERPROFILE%\Documents\GitHub\eaglep3\Utilities\DownloadLogsFromS3.py --loco 4028 --day 2017-01-31</v>
      </c>
      <c r="AN132" s="170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"%USERPROFILE%\AppData\Local\Temp\OnboardLogs"\RTDC4028\*4028*20170201* | grep -SE "(Enforcement Action)|(\[TIMEOUT)|(CHR.+\|PRM\|1\|D.+(SWITCH|SIGNAL).+UNKNOWN)" - &gt;&gt; 2017-01-31-UncaughtWiMAX.txt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3" t="s">
        <v>672</v>
      </c>
      <c r="B133" s="7">
        <v>4020</v>
      </c>
      <c r="C133" s="21" t="s">
        <v>193</v>
      </c>
      <c r="D133" s="21" t="s">
        <v>362</v>
      </c>
      <c r="E133" s="13">
        <v>42766.790613425925</v>
      </c>
      <c r="F133" s="13">
        <v>42766.791909722226</v>
      </c>
      <c r="G133" s="7">
        <v>1</v>
      </c>
      <c r="H133" s="21" t="s">
        <v>363</v>
      </c>
      <c r="I133" s="13">
        <v>42766.817326388889</v>
      </c>
      <c r="J133" s="7">
        <v>0</v>
      </c>
      <c r="K133" s="98" t="str">
        <f t="shared" si="91"/>
        <v>4019/4020</v>
      </c>
      <c r="L133" s="21" t="str">
        <f>VLOOKUP(A133,'Trips&amp;Operators'!$C$1:$G$99999,5,FALSE)</f>
        <v>CHANDLER KELVIN</v>
      </c>
      <c r="M133" s="6">
        <f t="shared" si="92"/>
        <v>2.5416666663659271E-2</v>
      </c>
      <c r="N133" s="7">
        <f t="shared" si="85"/>
        <v>36.59999999566935</v>
      </c>
      <c r="O133" s="7"/>
      <c r="P133" s="7"/>
      <c r="Q133" s="22"/>
      <c r="R133" s="22"/>
      <c r="S133" s="31">
        <f t="shared" si="93"/>
        <v>1</v>
      </c>
      <c r="T133" s="46" t="str">
        <f t="shared" si="86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67"/>
        <v>https://d0f6bd738d7f1b3e5a7ca70fe4ff75f0.us-east-1.aws.found.io/app/kibana#/discover/Steve-Slow-Train-Analysis-(2080s-and-2083s)?_g=(refreshInterval:(display:Off,pause:!f,section:0,value:0),time:(from:'2017-01-31T17:58:29-0700',mode:absolute,to:'2017-01-31T20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194" t="str">
        <f t="shared" si="87"/>
        <v>N</v>
      </c>
      <c r="X133" s="194">
        <f t="shared" si="95"/>
        <v>1</v>
      </c>
      <c r="Y133" s="62">
        <f t="shared" si="84"/>
        <v>4.7800000000000002E-2</v>
      </c>
      <c r="Z133" s="62">
        <f t="shared" si="94"/>
        <v>23.328299999999999</v>
      </c>
      <c r="AA133" s="62">
        <f t="shared" si="88"/>
        <v>23.2805</v>
      </c>
      <c r="AB133" s="59" t="e">
        <f>VLOOKUP(A133,Enforcements!$C$7:$K$16,8,0)</f>
        <v>#N/A</v>
      </c>
      <c r="AC133" s="55" t="e">
        <f>VLOOKUP(A133,Enforcements!$C$7:$E$16,3,0)</f>
        <v>#N/A</v>
      </c>
      <c r="AD133" s="56" t="str">
        <f t="shared" si="89"/>
        <v>0221-31</v>
      </c>
      <c r="AE133" s="85" t="str">
        <f t="shared" si="68"/>
        <v>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 &amp; aws s3 cp s3://rtdc.mdm.uploadarchive.raw/RTDC4020/ "%USERPROFILE%\AppData\Local\Temp\OnboardLogs"\RTDC4020\2017-02-01 --exclude "*" --recursive --include "*20170201*" &amp; "%USERPROFILE%\Documents\GitHub\mrs-test-scripts\Headless Mode &amp; Sideloading\WalkAndUnGZ.bat" "%USERPROFILE%\AppData\Local\Temp\OnboardLogs"\RTDC4020\2017-02-01</v>
      </c>
      <c r="AF133" s="82" t="str">
        <f t="shared" si="69"/>
        <v>"C:\Program Files (x86)\AstroGrep\AstroGrep.exe" /spath="%USERPROFILE%\AppData\Local\Temp\OnboardLogs" /stypes="app*4020*20170201*" /stext=" 02:.+((SYSTEM_STATE.+slice.+state.+changed )|(ment ac)|(multiple cpu faults)|(system.+state.+changed )|(\[timeout)|(PRM\|1\|D)|(kpr)|(kdp)|(\|lc)|(penalty))" /e /r /s</v>
      </c>
      <c r="AG133" s="1" t="str">
        <f t="shared" si="90"/>
        <v>EC</v>
      </c>
      <c r="AH133" s="86" t="str">
        <f t="shared" si="75"/>
        <v>"%USERPROFILE%\Documents\GitHub\eaglep3\Utilities\RefineRTDCRunTimes.py" --tripid 221-31 --locoid 4020 --swversion DE.1.0.8.0 --startMP 204:478 --initTime 2017-01-31T18:58:29 --startdatetime 2017-01-31T19:00:21 --delay 1 --endMP 204:233283 --enddatetime 2017-01-31T19:36:57 --enforcementcount 0 &gt;&gt;C:\Users\stu\Documents\GitHub\eaglep3-reporting\EC\2017-01-31-refined-times.txt</v>
      </c>
      <c r="AI133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{"issue":{"subject":"","project_id":79,"tracker_id":40,"status_id":1,"priority_id":2,"assigned_to_id":23,"start_date":"2017-01-31","description":"","custom_fields":[{"id":1,"name":"Subdivision","value":"EC"},{"id":4,"name":"Milepost","value":"23.3283"},{"id":17,"name":"Train ID","value":"221-31"},{"id":16,"name":"Locomotive ID","value":"4020"},{"id":130,"name":"Impact","value":""},{"id":150,"name":"Time of Event (Mountain Time)","value":"19:36:57"},{"id":151,"name":"Denver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61" t="str">
        <f t="shared" si="77"/>
        <v>start /low /b %USERPROFILE%\Documents\GitHub\eaglep3\Utilities\DownloadLogsFromS3.py --loco 4020 --day 2017-01-31</v>
      </c>
      <c r="AN133" s="170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"%USERPROFILE%\AppData\Local\Temp\OnboardLogs"\RTDC4020\*4020*20170201* | grep -SE "(Enforcement Action)|(\[TIMEOUT)|(CHR.+\|PRM\|1\|D.+(SWITCH|SIGNAL).+UNKNOWN)" - &gt;&gt; 2017-01-31-UncaughtWiMAX.txt</v>
      </c>
    </row>
    <row r="134" spans="1:91" s="20" customFormat="1" x14ac:dyDescent="0.25">
      <c r="A134" s="33" t="s">
        <v>680</v>
      </c>
      <c r="B134" s="7">
        <v>4019</v>
      </c>
      <c r="C134" s="21" t="s">
        <v>193</v>
      </c>
      <c r="D134" s="21" t="s">
        <v>360</v>
      </c>
      <c r="E134" s="13">
        <v>42766.829259259262</v>
      </c>
      <c r="F134" s="13">
        <v>42766.830833333333</v>
      </c>
      <c r="G134" s="7">
        <v>1</v>
      </c>
      <c r="H134" s="21" t="s">
        <v>304</v>
      </c>
      <c r="I134" s="13">
        <v>42766.858738425923</v>
      </c>
      <c r="J134" s="7">
        <v>0</v>
      </c>
      <c r="K134" s="98" t="str">
        <f t="shared" si="91"/>
        <v>4019/4020</v>
      </c>
      <c r="L134" s="21" t="str">
        <f>VLOOKUP(A134,'Trips&amp;Operators'!$C$1:$G$99999,5,FALSE)</f>
        <v>CHANDLER KELVIN</v>
      </c>
      <c r="M134" s="6">
        <f t="shared" si="92"/>
        <v>2.7905092589207925E-2</v>
      </c>
      <c r="N134" s="7">
        <f t="shared" si="85"/>
        <v>40.183333328459412</v>
      </c>
      <c r="O134" s="7"/>
      <c r="P134" s="7"/>
      <c r="Q134" s="22"/>
      <c r="R134" s="22"/>
      <c r="S134" s="31">
        <f t="shared" si="93"/>
        <v>1</v>
      </c>
      <c r="T134" s="46" t="str">
        <f t="shared" si="86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67"/>
        <v>https://d0f6bd738d7f1b3e5a7ca70fe4ff75f0.us-east-1.aws.found.io/app/kibana#/discover/Steve-Slow-Train-Analysis-(2080s-and-2083s)?_g=(refreshInterval:(display:Off,pause:!f,section:0,value:0),time:(from:'2017-01-31T18:54:08-0700',mode:absolute,to:'2017-01-31T21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194" t="str">
        <f t="shared" si="87"/>
        <v>N</v>
      </c>
      <c r="X134" s="194">
        <f t="shared" si="95"/>
        <v>1</v>
      </c>
      <c r="Y134" s="62">
        <f t="shared" si="84"/>
        <v>23.297599999999999</v>
      </c>
      <c r="Z134" s="62">
        <f t="shared" si="94"/>
        <v>1.5599999999999999E-2</v>
      </c>
      <c r="AA134" s="62">
        <f t="shared" si="88"/>
        <v>23.282</v>
      </c>
      <c r="AB134" s="59" t="e">
        <f>VLOOKUP(A134,Enforcements!$C$7:$K$16,8,0)</f>
        <v>#N/A</v>
      </c>
      <c r="AC134" s="55" t="e">
        <f>VLOOKUP(A134,Enforcements!$C$7:$E$16,3,0)</f>
        <v>#N/A</v>
      </c>
      <c r="AD134" s="56" t="str">
        <f t="shared" si="89"/>
        <v>0222-31</v>
      </c>
      <c r="AE134" s="85" t="str">
        <f t="shared" si="68"/>
        <v>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 &amp; aws s3 cp s3://rtdc.mdm.uploadarchive.raw/RTDC4019/ "%USERPROFILE%\AppData\Local\Temp\OnboardLogs"\RTDC4019\2017-02-01 --exclude "*" --recursive --include "*20170201*" &amp; "%USERPROFILE%\Documents\GitHub\mrs-test-scripts\Headless Mode &amp; Sideloading\WalkAndUnGZ.bat" "%USERPROFILE%\AppData\Local\Temp\OnboardLogs"\RTDC4019\2017-02-01</v>
      </c>
      <c r="AF134" s="82" t="str">
        <f t="shared" si="69"/>
        <v>"C:\Program Files (x86)\AstroGrep\AstroGrep.exe" /spath="%USERPROFILE%\AppData\Local\Temp\OnboardLogs" /stypes="app*4019*20170201*" /stext=" 03:.+((SYSTEM_STATE.+slice.+state.+changed )|(ment ac)|(multiple cpu faults)|(system.+state.+changed )|(\[timeout)|(PRM\|1\|D)|(kpr)|(kdp)|(\|lc)|(penalty))" /e /r /s</v>
      </c>
      <c r="AG134" s="1" t="str">
        <f t="shared" si="90"/>
        <v>EC</v>
      </c>
      <c r="AH134" s="86" t="str">
        <f t="shared" si="75"/>
        <v>"%USERPROFILE%\Documents\GitHub\eaglep3\Utilities\RefineRTDCRunTimes.py" --tripid 222-31 --locoid 4019 --swversion DE.1.0.8.0 --startMP 204:232976 --initTime 2017-01-31T19:54:08 --startdatetime 2017-01-31T19:56:24 --delay 1 --endMP 204:156 --enddatetime 2017-01-31T20:36:35 --enforcementcount 0 &gt;&gt;C:\Users\stu\Documents\GitHub\eaglep3-reporting\EC\2017-01-31-refined-times.txt</v>
      </c>
      <c r="AI134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{"issue":{"subject":"","project_id":79,"tracker_id":40,"status_id":1,"priority_id":2,"assigned_to_id":23,"start_date":"2017-01-31","description":"","custom_fields":[{"id":1,"name":"Subdivision","value":"EC"},{"id":4,"name":"Milepost","value":"0.0156"},{"id":17,"name":"Train ID","value":"222-31"},{"id":16,"name":"Locomotive ID","value":"4019"},{"id":130,"name":"Impact","value":""},{"id":150,"name":"Time of Event (Mountain Time)","value":"20:36:35"},{"id":151,"name":"Denver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61" t="str">
        <f t="shared" si="77"/>
        <v>start /low /b %USERPROFILE%\Documents\GitHub\eaglep3\Utilities\DownloadLogsFromS3.py --loco 4019 --day 2017-01-31</v>
      </c>
      <c r="AN134" s="170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"%USERPROFILE%\AppData\Local\Temp\OnboardLogs"\RTDC4019\*4019*20170201* | grep -SE "(Enforcement Action)|(\[TIMEOUT)|(CHR.+\|PRM\|1\|D.+(SWITCH|SIGNAL).+UNKNOWN)" - &gt;&gt; 2017-01-31-UncaughtWiMAX.txt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677</v>
      </c>
      <c r="B135" s="7">
        <v>4002</v>
      </c>
      <c r="C135" s="21" t="s">
        <v>193</v>
      </c>
      <c r="D135" s="21" t="s">
        <v>249</v>
      </c>
      <c r="E135" s="13">
        <v>42766.812708333331</v>
      </c>
      <c r="F135" s="13">
        <v>42766.814293981479</v>
      </c>
      <c r="G135" s="7">
        <v>1</v>
      </c>
      <c r="H135" s="21" t="s">
        <v>327</v>
      </c>
      <c r="I135" s="13">
        <v>42766.837893518517</v>
      </c>
      <c r="J135" s="7">
        <v>0</v>
      </c>
      <c r="K135" s="98" t="str">
        <f t="shared" si="91"/>
        <v>4001/4002</v>
      </c>
      <c r="L135" s="21" t="str">
        <f>VLOOKUP(A135,'Trips&amp;Operators'!$C$1:$G$99999,5,FALSE)</f>
        <v>NEWELL JAMES</v>
      </c>
      <c r="M135" s="6">
        <f t="shared" si="92"/>
        <v>2.3599537038535345E-2</v>
      </c>
      <c r="N135" s="7">
        <f t="shared" si="85"/>
        <v>33.983333335490897</v>
      </c>
      <c r="O135" s="7"/>
      <c r="P135" s="7"/>
      <c r="Q135" s="22"/>
      <c r="R135" s="22"/>
      <c r="S135" s="31">
        <f t="shared" si="93"/>
        <v>1</v>
      </c>
      <c r="T135" s="46" t="str">
        <f t="shared" si="86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67"/>
        <v>https://d0f6bd738d7f1b3e5a7ca70fe4ff75f0.us-east-1.aws.found.io/app/kibana#/discover/Steve-Slow-Train-Analysis-(2080s-and-2083s)?_g=(refreshInterval:(display:Off,pause:!f,section:0,value:0),time:(from:'2017-01-31T18:30:18-0700',mode:absolute,to:'2017-01-31T21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94" t="str">
        <f t="shared" si="87"/>
        <v>N</v>
      </c>
      <c r="X135" s="194">
        <f t="shared" si="95"/>
        <v>1</v>
      </c>
      <c r="Y135" s="62">
        <f t="shared" ref="Y135:Y166" si="96">RIGHT(D135,LEN(D135)-4)/10000</f>
        <v>4.5999999999999999E-2</v>
      </c>
      <c r="Z135" s="62">
        <f t="shared" si="94"/>
        <v>23.3308</v>
      </c>
      <c r="AA135" s="62">
        <f t="shared" si="88"/>
        <v>23.284800000000001</v>
      </c>
      <c r="AB135" s="59" t="e">
        <f>VLOOKUP(A135,Enforcements!$C$7:$K$16,8,0)</f>
        <v>#N/A</v>
      </c>
      <c r="AC135" s="55" t="e">
        <f>VLOOKUP(A135,Enforcements!$C$7:$E$16,3,0)</f>
        <v>#N/A</v>
      </c>
      <c r="AD135" s="56" t="str">
        <f t="shared" si="89"/>
        <v>0223-31</v>
      </c>
      <c r="AE135" s="85" t="str">
        <f t="shared" si="68"/>
        <v>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 &amp; aws s3 cp s3://rtdc.mdm.uploadarchive.raw/RTDC4002/ "%USERPROFILE%\AppData\Local\Temp\OnboardLogs"\RTDC4002\2017-02-01 --exclude "*" --recursive --include "*20170201*" &amp; "%USERPROFILE%\Documents\GitHub\mrs-test-scripts\Headless Mode &amp; Sideloading\WalkAndUnGZ.bat" "%USERPROFILE%\AppData\Local\Temp\OnboardLogs"\RTDC4002\2017-02-01</v>
      </c>
      <c r="AF135" s="82" t="str">
        <f t="shared" si="69"/>
        <v>"C:\Program Files (x86)\AstroGrep\AstroGrep.exe" /spath="%USERPROFILE%\AppData\Local\Temp\OnboardLogs" /stypes="app*4002*20170201*" /stext=" 03:.+((SYSTEM_STATE.+slice.+state.+changed )|(ment ac)|(multiple cpu faults)|(system.+state.+changed )|(\[timeout)|(PRM\|1\|D)|(kpr)|(kdp)|(\|lc)|(penalty))" /e /r /s</v>
      </c>
      <c r="AG135" s="1" t="str">
        <f t="shared" si="90"/>
        <v>EC</v>
      </c>
      <c r="AH135" s="86" t="str">
        <f t="shared" si="75"/>
        <v>"%USERPROFILE%\Documents\GitHub\eaglep3\Utilities\RefineRTDCRunTimes.py" --tripid 223-31 --locoid 4002 --swversion DE.1.0.8.0 --startMP 204:460 --initTime 2017-01-31T19:30:18 --startdatetime 2017-01-31T19:32:35 --delay 1 --endMP 204:233308 --enddatetime 2017-01-31T20:06:34 --enforcementcount 0 &gt;&gt;C:\Users\stu\Documents\GitHub\eaglep3-reporting\EC\2017-01-31-refined-times.txt</v>
      </c>
      <c r="AI135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{"issue":{"subject":"","project_id":79,"tracker_id":40,"status_id":1,"priority_id":2,"assigned_to_id":23,"start_date":"2017-01-31","description":"","custom_fields":[{"id":1,"name":"Subdivision","value":"EC"},{"id":4,"name":"Milepost","value":"23.3308"},{"id":17,"name":"Train ID","value":"223-31"},{"id":16,"name":"Locomotive ID","value":"4002"},{"id":130,"name":"Impact","value":""},{"id":150,"name":"Time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61" t="str">
        <f t="shared" si="77"/>
        <v>start /low /b %USERPROFILE%\Documents\GitHub\eaglep3\Utilities\DownloadLogsFromS3.py --loco 4002 --day 2017-01-31</v>
      </c>
      <c r="AN135" s="170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"%USERPROFILE%\AppData\Local\Temp\OnboardLogs"\RTDC4002\*4002*20170201* | grep -SE "(Enforcement Action)|(\[TIMEOUT)|(CHR.+\|PRM\|1\|D.+(SWITCH|SIGNAL).+UNKNOWN)" - &gt;&gt; 2017-01-31-UncaughtWiMAX.txt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683</v>
      </c>
      <c r="B136" s="7">
        <v>4001</v>
      </c>
      <c r="C136" s="21" t="s">
        <v>193</v>
      </c>
      <c r="D136" s="21" t="s">
        <v>297</v>
      </c>
      <c r="E136" s="13">
        <v>42766.844224537039</v>
      </c>
      <c r="F136" s="13">
        <v>42766.851539351854</v>
      </c>
      <c r="G136" s="7">
        <v>1</v>
      </c>
      <c r="H136" s="21" t="s">
        <v>197</v>
      </c>
      <c r="I136" s="13">
        <v>42766.877326388887</v>
      </c>
      <c r="J136" s="7">
        <v>0</v>
      </c>
      <c r="K136" s="98" t="str">
        <f t="shared" si="91"/>
        <v>4001/4002</v>
      </c>
      <c r="L136" s="21" t="str">
        <f>VLOOKUP(A136,'Trips&amp;Operators'!$C$1:$G$99999,5,FALSE)</f>
        <v>NEWELL JAMES</v>
      </c>
      <c r="M136" s="6">
        <f t="shared" si="92"/>
        <v>2.5787037033296656E-2</v>
      </c>
      <c r="N136" s="7">
        <f t="shared" si="85"/>
        <v>37.133333327947184</v>
      </c>
      <c r="O136" s="7"/>
      <c r="P136" s="7"/>
      <c r="Q136" s="22"/>
      <c r="R136" s="22"/>
      <c r="S136" s="31">
        <f t="shared" si="93"/>
        <v>1</v>
      </c>
      <c r="T136" s="46" t="str">
        <f t="shared" si="86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67"/>
        <v>https://d0f6bd738d7f1b3e5a7ca70fe4ff75f0.us-east-1.aws.found.io/app/kibana#/discover/Steve-Slow-Train-Analysis-(2080s-and-2083s)?_g=(refreshInterval:(display:Off,pause:!f,section:0,value:0),time:(from:'2017-01-31T19:15:41-0700',mode:absolute,to:'2017-01-31T22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94" t="str">
        <f t="shared" si="87"/>
        <v>N</v>
      </c>
      <c r="X136" s="194">
        <f t="shared" si="95"/>
        <v>1</v>
      </c>
      <c r="Y136" s="62">
        <f t="shared" si="96"/>
        <v>23.299399999999999</v>
      </c>
      <c r="Z136" s="62">
        <f t="shared" si="94"/>
        <v>1.4999999999999999E-2</v>
      </c>
      <c r="AA136" s="62">
        <f t="shared" si="88"/>
        <v>23.284399999999998</v>
      </c>
      <c r="AB136" s="59" t="e">
        <f>VLOOKUP(A136,Enforcements!$C$7:$K$16,8,0)</f>
        <v>#N/A</v>
      </c>
      <c r="AC136" s="55" t="e">
        <f>VLOOKUP(A136,Enforcements!$C$7:$E$16,3,0)</f>
        <v>#N/A</v>
      </c>
      <c r="AD136" s="56" t="str">
        <f t="shared" si="89"/>
        <v>0224-31</v>
      </c>
      <c r="AE136" s="85" t="str">
        <f t="shared" si="68"/>
        <v>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 &amp; aws s3 cp s3://rtdc.mdm.uploadarchive.raw/RTDC4001/ "%USERPROFILE%\AppData\Local\Temp\OnboardLogs"\RTDC4001\2017-02-01 --exclude "*" --recursive --include "*20170201*" &amp; "%USERPROFILE%\Documents\GitHub\mrs-test-scripts\Headless Mode &amp; Sideloading\WalkAndUnGZ.bat" "%USERPROFILE%\AppData\Local\Temp\OnboardLogs"\RTDC4001\2017-02-01</v>
      </c>
      <c r="AF136" s="82" t="str">
        <f t="shared" si="69"/>
        <v>"C:\Program Files (x86)\AstroGrep\AstroGrep.exe" /spath="%USERPROFILE%\AppData\Local\Temp\OnboardLogs" /stypes="app*4001*20170201*" /stext=" 04:.+((SYSTEM_STATE.+slice.+state.+changed )|(ment ac)|(multiple cpu faults)|(system.+state.+changed )|(\[timeout)|(PRM\|1\|D)|(kpr)|(kdp)|(\|lc)|(penalty))" /e /r /s</v>
      </c>
      <c r="AG136" s="1" t="str">
        <f t="shared" si="90"/>
        <v>EC</v>
      </c>
      <c r="AH136" s="86" t="str">
        <f t="shared" si="75"/>
        <v>"%USERPROFILE%\Documents\GitHub\eaglep3\Utilities\RefineRTDCRunTimes.py" --tripid 224-31 --locoid 4001 --swversion DE.1.0.8.0 --startMP 204:232994 --initTime 2017-01-31T20:15:41 --startdatetime 2017-01-31T20:26:13 --delay 1 --endMP 204:150 --enddatetime 2017-01-31T21:03:21 --enforcementcount 0 &gt;&gt;C:\Users\stu\Documents\GitHub\eaglep3-reporting\EC\2017-01-31-refined-times.txt</v>
      </c>
      <c r="AI136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{"issue":{"subject":"","project_id":79,"tracker_id":40,"status_id":1,"priority_id":2,"assigned_to_id":23,"start_date":"2017-01-31","description":"","custom_fields":[{"id":1,"name":"Subdivision","value":"EC"},{"id":4,"name":"Milepost","value":"0.015"},{"id":17,"name":"Train ID","value":"224-31"},{"id":16,"name":"Locomotive ID","value":"4001"},{"id":130,"name":"Impact","value":""},{"id":150,"name":"Time of Event (Mountain Time)","value":"21:03:21"},{"id":151,"name":"Denver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61" t="str">
        <f t="shared" si="77"/>
        <v>start /low /b %USERPROFILE%\Documents\GitHub\eaglep3\Utilities\DownloadLogsFromS3.py --loco 4001 --day 2017-01-31</v>
      </c>
      <c r="AN136" s="170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"%USERPROFILE%\AppData\Local\Temp\OnboardLogs"\RTDC4001\*4001*20170201* | grep -SE "(Enforcement Action)|(\[TIMEOUT)|(CHR.+\|PRM\|1\|D.+(SWITCH|SIGNAL).+UNKNOWN)" - &gt;&gt; 2017-01-31-UncaughtWiMAX.txt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681</v>
      </c>
      <c r="B137" s="7">
        <v>4040</v>
      </c>
      <c r="C137" s="21" t="s">
        <v>193</v>
      </c>
      <c r="D137" s="21" t="s">
        <v>213</v>
      </c>
      <c r="E137" s="13">
        <v>42766.829872685186</v>
      </c>
      <c r="F137" s="13">
        <v>42766.833703703705</v>
      </c>
      <c r="G137" s="7">
        <v>2</v>
      </c>
      <c r="H137" s="21" t="s">
        <v>471</v>
      </c>
      <c r="I137" s="13">
        <v>42766.858680555553</v>
      </c>
      <c r="J137" s="7">
        <v>0</v>
      </c>
      <c r="K137" s="98" t="str">
        <f t="shared" si="91"/>
        <v>4039/4040</v>
      </c>
      <c r="L137" s="21" t="str">
        <f>VLOOKUP(A137,'Trips&amp;Operators'!$C$1:$G$99999,5,FALSE)</f>
        <v>STORY SAMANTHA</v>
      </c>
      <c r="M137" s="6">
        <f t="shared" si="92"/>
        <v>2.4976851847895887E-2</v>
      </c>
      <c r="N137" s="7">
        <f t="shared" si="85"/>
        <v>35.966666660970077</v>
      </c>
      <c r="O137" s="7"/>
      <c r="P137" s="7"/>
      <c r="Q137" s="22"/>
      <c r="R137" s="22"/>
      <c r="S137" s="31">
        <f t="shared" si="93"/>
        <v>1</v>
      </c>
      <c r="T137" s="46" t="str">
        <f t="shared" si="86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67"/>
        <v>https://d0f6bd738d7f1b3e5a7ca70fe4ff75f0.us-east-1.aws.found.io/app/kibana#/discover/Steve-Slow-Train-Analysis-(2080s-and-2083s)?_g=(refreshInterval:(display:Off,pause:!f,section:0,value:0),time:(from:'2017-01-31T18:55:01-0700',mode:absolute,to:'2017-01-31T21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194" t="str">
        <f t="shared" si="87"/>
        <v>N</v>
      </c>
      <c r="X137" s="194">
        <f t="shared" si="95"/>
        <v>1</v>
      </c>
      <c r="Y137" s="62">
        <f t="shared" si="96"/>
        <v>4.4900000000000002E-2</v>
      </c>
      <c r="Z137" s="62">
        <f t="shared" si="94"/>
        <v>23.332899999999999</v>
      </c>
      <c r="AA137" s="62">
        <f t="shared" si="88"/>
        <v>23.288</v>
      </c>
      <c r="AB137" s="59" t="e">
        <f>VLOOKUP(A137,Enforcements!$C$7:$K$16,8,0)</f>
        <v>#N/A</v>
      </c>
      <c r="AC137" s="55" t="e">
        <f>VLOOKUP(A137,Enforcements!$C$7:$E$16,3,0)</f>
        <v>#N/A</v>
      </c>
      <c r="AD137" s="56" t="str">
        <f t="shared" si="89"/>
        <v>0225-31</v>
      </c>
      <c r="AE137" s="85" t="str">
        <f t="shared" si="68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137" s="82" t="str">
        <f t="shared" si="69"/>
        <v>"C:\Program Files (x86)\AstroGrep\AstroGrep.exe" /spath="%USERPROFILE%\AppData\Local\Temp\OnboardLogs" /stypes="app*4040*20170201*" /stext=" 03:.+((SYSTEM_STATE.+slice.+state.+changed )|(ment ac)|(multiple cpu faults)|(system.+state.+changed )|(\[timeout)|(PRM\|1\|D)|(kpr)|(kdp)|(\|lc)|(penalty))" /e /r /s</v>
      </c>
      <c r="AG137" s="1" t="str">
        <f t="shared" si="90"/>
        <v>EC</v>
      </c>
      <c r="AH137" s="86" t="str">
        <f t="shared" si="75"/>
        <v>"%USERPROFILE%\Documents\GitHub\eaglep3\Utilities\RefineRTDCRunTimes.py" --tripid 225-31 --locoid 4040 --swversion DE.1.0.8.0 --startMP 204:449 --initTime 2017-01-31T19:55:01 --startdatetime 2017-01-31T20:00:32 --delay 2 --endMP 204:233329 --enddatetime 2017-01-31T20:36:30 --enforcementcount 0 &gt;&gt;C:\Users\stu\Documents\GitHub\eaglep3-reporting\EC\2017-01-31-refined-times.txt</v>
      </c>
      <c r="AI137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{"issue":{"subject":"","project_id":79,"tracker_id":40,"status_id":1,"priority_id":2,"assigned_to_id":23,"start_date":"2017-01-31","description":"","custom_fields":[{"id":1,"name":"Subdivision","value":"EC"},{"id":4,"name":"Milepost","value":"23.3329"},{"id":17,"name":"Train ID","value":"225-31"},{"id":16,"name":"Locomotive ID","value":"4040"},{"id":130,"name":"Impact","value":""},{"id":150,"name":"Time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61" t="str">
        <f t="shared" si="77"/>
        <v>start /low /b %USERPROFILE%\Documents\GitHub\eaglep3\Utilities\DownloadLogsFromS3.py --loco 4040 --day 2017-01-31</v>
      </c>
      <c r="AN137" s="170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"%USERPROFILE%\AppData\Local\Temp\OnboardLogs"\RTDC4040\*4040*20170201* | grep -SE "(Enforcement Action)|(\[TIMEOUT)|(CHR.+\|PRM\|1\|D.+(SWITCH|SIGNAL).+UNKNOWN)" - &gt;&gt; 2017-01-31-UncaughtWiMAX.txt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517</v>
      </c>
      <c r="B138" s="7">
        <v>4039</v>
      </c>
      <c r="C138" s="21" t="s">
        <v>193</v>
      </c>
      <c r="D138" s="21" t="s">
        <v>340</v>
      </c>
      <c r="E138" s="13">
        <v>42766.862592592595</v>
      </c>
      <c r="F138" s="13">
        <v>42766.872499999998</v>
      </c>
      <c r="G138" s="7">
        <v>1</v>
      </c>
      <c r="H138" s="21" t="s">
        <v>765</v>
      </c>
      <c r="I138" s="13">
        <v>42766.900370370371</v>
      </c>
      <c r="J138" s="7">
        <v>0</v>
      </c>
      <c r="K138" s="98" t="str">
        <f t="shared" si="91"/>
        <v>4039/4040</v>
      </c>
      <c r="L138" s="21" t="str">
        <f>VLOOKUP(A138,'Trips&amp;Operators'!$C$1:$G$99999,5,FALSE)</f>
        <v>STORY SAMANTHA</v>
      </c>
      <c r="M138" s="6">
        <f t="shared" si="92"/>
        <v>2.7870370373420883E-2</v>
      </c>
      <c r="N138" s="7">
        <f t="shared" si="85"/>
        <v>40.133333337726071</v>
      </c>
      <c r="O138" s="7"/>
      <c r="P138" s="7"/>
      <c r="Q138" s="22"/>
      <c r="R138" s="22"/>
      <c r="S138" s="31">
        <f t="shared" si="93"/>
        <v>1</v>
      </c>
      <c r="T138" s="46" t="str">
        <f t="shared" si="86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67"/>
        <v>https://d0f6bd738d7f1b3e5a7ca70fe4ff75f0.us-east-1.aws.found.io/app/kibana#/discover/Steve-Slow-Train-Analysis-(2080s-and-2083s)?_g=(refreshInterval:(display:Off,pause:!f,section:0,value:0),time:(from:'2017-01-31T19:42:08-0700',mode:absolute,to:'2017-01-31T22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194" t="str">
        <f t="shared" si="87"/>
        <v>N</v>
      </c>
      <c r="X138" s="194">
        <f t="shared" si="95"/>
        <v>1</v>
      </c>
      <c r="Y138" s="62">
        <f t="shared" si="96"/>
        <v>23.3017</v>
      </c>
      <c r="Z138" s="62">
        <f t="shared" si="94"/>
        <v>1.7399999999999999E-2</v>
      </c>
      <c r="AA138" s="62">
        <f t="shared" si="88"/>
        <v>23.284300000000002</v>
      </c>
      <c r="AB138" s="59" t="str">
        <f>VLOOKUP(A138,Enforcements!$C$7:$K$16,8,0)</f>
        <v>Bulletin (2)</v>
      </c>
      <c r="AC138" s="55" t="str">
        <f>VLOOKUP(A138,Enforcements!$C$7:$E$16,3,0)</f>
        <v>GRADE CROSSING</v>
      </c>
      <c r="AD138" s="56" t="str">
        <f t="shared" si="89"/>
        <v>0226-31</v>
      </c>
      <c r="AE138" s="85" t="str">
        <f t="shared" si="68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138" s="82" t="str">
        <f t="shared" si="69"/>
        <v>"C:\Program Files (x86)\AstroGrep\AstroGrep.exe" /spath="%USERPROFILE%\AppData\Local\Temp\OnboardLogs" /stypes="app*4039*20170201*" /stext=" 04:.+((SYSTEM_STATE.+slice.+state.+changed )|(ment ac)|(multiple cpu faults)|(system.+state.+changed )|(\[timeout)|(PRM\|1\|D)|(kpr)|(kdp)|(\|lc)|(penalty))" /e /r /s</v>
      </c>
      <c r="AG138" s="1" t="str">
        <f t="shared" si="90"/>
        <v>EC</v>
      </c>
      <c r="AH138" s="86" t="str">
        <f t="shared" si="75"/>
        <v>"%USERPROFILE%\Documents\GitHub\eaglep3\Utilities\RefineRTDCRunTimes.py" --tripid 226-31 --locoid 4039 --swversion DE.1.0.8.0 --startMP 204:233017 --initTime 2017-01-31T20:42:08 --startdatetime 2017-01-31T20:56:24 --delay 1 --endMP 204:174 --enddatetime 2017-01-31T21:36:32 --enforcementcount 0 &gt;&gt;C:\Users\stu\Documents\GitHub\eaglep3-reporting\EC\2017-01-31-refined-times.txt</v>
      </c>
      <c r="AI138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{"issue":{"subject":"","project_id":79,"tracker_id":40,"status_id":1,"priority_id":2,"assigned_to_id":23,"start_date":"2017-01-31","description":"","custom_fields":[{"id":1,"name":"Subdivision","value":"EC"},{"id":4,"name":"Milepost","value":"0.0174"},{"id":17,"name":"Train ID","value":"226-31"},{"id":16,"name":"Locomotive ID","value":"4039"},{"id":130,"name":"Impact","value":""},{"id":150,"name":"Time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61" t="str">
        <f t="shared" si="77"/>
        <v>start /low /b %USERPROFILE%\Documents\GitHub\eaglep3\Utilities\DownloadLogsFromS3.py --loco 4039 --day 2017-01-31</v>
      </c>
      <c r="AN138" s="170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"%USERPROFILE%\AppData\Local\Temp\OnboardLogs"\RTDC4039\*4039*20170201* | grep -SE "(Enforcement Action)|(\[TIMEOUT)|(CHR.+\|PRM\|1\|D.+(SWITCH|SIGNAL).+UNKNOWN)" - &gt;&gt; 2017-01-31-UncaughtWiMAX.txt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682</v>
      </c>
      <c r="B139" s="7">
        <v>4027</v>
      </c>
      <c r="C139" s="21" t="s">
        <v>193</v>
      </c>
      <c r="D139" s="21" t="s">
        <v>285</v>
      </c>
      <c r="E139" s="13">
        <v>42766.838333333333</v>
      </c>
      <c r="F139" s="13">
        <v>42766.854641203703</v>
      </c>
      <c r="G139" s="7">
        <v>1</v>
      </c>
      <c r="H139" s="21" t="s">
        <v>766</v>
      </c>
      <c r="I139" s="13">
        <v>42766.879363425927</v>
      </c>
      <c r="J139" s="7">
        <v>0</v>
      </c>
      <c r="K139" s="98" t="str">
        <f t="shared" si="91"/>
        <v>4027/4028</v>
      </c>
      <c r="L139" s="21" t="str">
        <f>VLOOKUP(A139,'Trips&amp;Operators'!$C$1:$G$99999,5,FALSE)</f>
        <v>STAMBAUGH JAMES</v>
      </c>
      <c r="M139" s="6">
        <f t="shared" si="92"/>
        <v>2.4722222224227153E-2</v>
      </c>
      <c r="N139" s="7">
        <f t="shared" si="85"/>
        <v>35.6000000028871</v>
      </c>
      <c r="O139" s="7"/>
      <c r="P139" s="7"/>
      <c r="Q139" s="22"/>
      <c r="R139" s="22"/>
      <c r="S139" s="31">
        <f t="shared" si="93"/>
        <v>1</v>
      </c>
      <c r="T139" s="46" t="str">
        <f t="shared" si="86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67"/>
        <v>https://d0f6bd738d7f1b3e5a7ca70fe4ff75f0.us-east-1.aws.found.io/app/kibana#/discover/Steve-Slow-Train-Analysis-(2080s-and-2083s)?_g=(refreshInterval:(display:Off,pause:!f,section:0,value:0),time:(from:'2017-01-31T19:07:12-0700',mode:absolute,to:'2017-01-31T22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194" t="str">
        <f t="shared" si="87"/>
        <v>N</v>
      </c>
      <c r="X139" s="194">
        <f t="shared" si="95"/>
        <v>1</v>
      </c>
      <c r="Y139" s="62">
        <f t="shared" si="96"/>
        <v>4.53E-2</v>
      </c>
      <c r="Z139" s="62">
        <f t="shared" si="94"/>
        <v>23.336099999999998</v>
      </c>
      <c r="AA139" s="62">
        <f t="shared" si="88"/>
        <v>23.290799999999997</v>
      </c>
      <c r="AB139" s="59" t="e">
        <f>VLOOKUP(A139,Enforcements!$C$7:$K$16,8,0)</f>
        <v>#N/A</v>
      </c>
      <c r="AC139" s="55" t="e">
        <f>VLOOKUP(A139,Enforcements!$C$7:$E$16,3,0)</f>
        <v>#N/A</v>
      </c>
      <c r="AD139" s="56" t="str">
        <f t="shared" si="89"/>
        <v>0227-31</v>
      </c>
      <c r="AE139" s="85" t="str">
        <f t="shared" si="68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139" s="82" t="str">
        <f t="shared" si="69"/>
        <v>"C:\Program Files (x86)\AstroGrep\AstroGrep.exe" /spath="%USERPROFILE%\AppData\Local\Temp\OnboardLogs" /stypes="app*4027*20170201*" /stext=" 04:.+((SYSTEM_STATE.+slice.+state.+changed )|(ment ac)|(multiple cpu faults)|(system.+state.+changed )|(\[timeout)|(PRM\|1\|D)|(kpr)|(kdp)|(\|lc)|(penalty))" /e /r /s</v>
      </c>
      <c r="AG139" s="1" t="str">
        <f t="shared" si="90"/>
        <v>EC</v>
      </c>
      <c r="AH139" s="86" t="str">
        <f t="shared" si="75"/>
        <v>"%USERPROFILE%\Documents\GitHub\eaglep3\Utilities\RefineRTDCRunTimes.py" --tripid 227-31 --locoid 4027 --swversion DE.1.0.8.0 --startMP 204:453 --initTime 2017-01-31T20:07:12 --startdatetime 2017-01-31T20:30:41 --delay 1 --endMP 204:233361 --enddatetime 2017-01-31T21:06:17 --enforcementcount 0 &gt;&gt;C:\Users\stu\Documents\GitHub\eaglep3-reporting\EC\2017-01-31-refined-times.txt</v>
      </c>
      <c r="AI139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{"issue":{"subject":"","project_id":79,"tracker_id":40,"status_id":1,"priority_id":2,"assigned_to_id":23,"start_date":"2017-01-31","description":"","custom_fields":[{"id":1,"name":"Subdivision","value":"EC"},{"id":4,"name":"Milepost","value":"23.3361"},{"id":17,"name":"Train ID","value":"227-31"},{"id":16,"name":"Locomotive ID","value":"4027"},{"id":130,"name":"Impact","value":""},{"id":150,"name":"Time of Event (Mountain Time)","value":"21:06:17"},{"id":151,"name":"Denver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61" t="str">
        <f t="shared" si="77"/>
        <v>start /low /b %USERPROFILE%\Documents\GitHub\eaglep3\Utilities\DownloadLogsFromS3.py --loco 4027 --day 2017-01-31</v>
      </c>
      <c r="AN139" s="170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"%USERPROFILE%\AppData\Local\Temp\OnboardLogs"\RTDC4027\*4027*20170201* | grep -SE "(Enforcement Action)|(\[TIMEOUT)|(CHR.+\|PRM\|1\|D.+(SWITCH|SIGNAL).+UNKNOWN)" - &gt;&gt; 2017-01-31-UncaughtWiMAX.txt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687</v>
      </c>
      <c r="B140" s="7">
        <v>4028</v>
      </c>
      <c r="C140" s="21" t="s">
        <v>193</v>
      </c>
      <c r="D140" s="21" t="s">
        <v>767</v>
      </c>
      <c r="E140" s="13">
        <v>42766.885115740741</v>
      </c>
      <c r="F140" s="13">
        <v>42766.893368055556</v>
      </c>
      <c r="G140" s="7">
        <v>1</v>
      </c>
      <c r="H140" s="21" t="s">
        <v>215</v>
      </c>
      <c r="I140" s="13">
        <v>42766.919722222221</v>
      </c>
      <c r="J140" s="7">
        <v>0</v>
      </c>
      <c r="K140" s="98" t="str">
        <f t="shared" si="91"/>
        <v>4027/4028</v>
      </c>
      <c r="L140" s="21" t="str">
        <f>VLOOKUP(A140,'Trips&amp;Operators'!$C$1:$G$99999,5,FALSE)</f>
        <v>STAMBAUGH JAMES</v>
      </c>
      <c r="M140" s="6">
        <f t="shared" si="92"/>
        <v>2.6354166664532386E-2</v>
      </c>
      <c r="N140" s="7">
        <f t="shared" si="85"/>
        <v>37.949999996926636</v>
      </c>
      <c r="O140" s="7"/>
      <c r="P140" s="7"/>
      <c r="Q140" s="22"/>
      <c r="R140" s="22"/>
      <c r="S140" s="31">
        <f t="shared" si="93"/>
        <v>1</v>
      </c>
      <c r="T140" s="46" t="str">
        <f t="shared" si="86"/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67"/>
        <v>https://d0f6bd738d7f1b3e5a7ca70fe4ff75f0.us-east-1.aws.found.io/app/kibana#/discover/Steve-Slow-Train-Analysis-(2080s-and-2083s)?_g=(refreshInterval:(display:Off,pause:!f,section:0,value:0),time:(from:'2017-01-31T20:14:34-0700',mode:absolute,to:'2017-01-31T23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0" s="194" t="str">
        <f t="shared" si="87"/>
        <v>N</v>
      </c>
      <c r="X140" s="194">
        <f t="shared" si="95"/>
        <v>1</v>
      </c>
      <c r="Y140" s="62">
        <f t="shared" si="96"/>
        <v>23.305299999999999</v>
      </c>
      <c r="Z140" s="62">
        <f t="shared" si="94"/>
        <v>1.5800000000000002E-2</v>
      </c>
      <c r="AA140" s="62">
        <f t="shared" si="88"/>
        <v>23.2895</v>
      </c>
      <c r="AB140" s="59" t="e">
        <f>VLOOKUP(A140,Enforcements!$C$7:$K$16,8,0)</f>
        <v>#N/A</v>
      </c>
      <c r="AC140" s="55" t="e">
        <f>VLOOKUP(A140,Enforcements!$C$7:$E$16,3,0)</f>
        <v>#N/A</v>
      </c>
      <c r="AD140" s="56" t="str">
        <f t="shared" si="89"/>
        <v>0228-31</v>
      </c>
      <c r="AE140" s="85" t="str">
        <f t="shared" si="68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140" s="82" t="str">
        <f t="shared" si="69"/>
        <v>"C:\Program Files (x86)\AstroGrep\AstroGrep.exe" /spath="%USERPROFILE%\AppData\Local\Temp\OnboardLogs" /stypes="app*4028*20170201*" /stext=" 05:.+((SYSTEM_STATE.+slice.+state.+changed )|(ment ac)|(multiple cpu faults)|(system.+state.+changed )|(\[timeout)|(PRM\|1\|D)|(kpr)|(kdp)|(\|lc)|(penalty))" /e /r /s</v>
      </c>
      <c r="AG140" s="1" t="str">
        <f t="shared" si="90"/>
        <v>EC</v>
      </c>
      <c r="AH140" s="86" t="str">
        <f t="shared" si="75"/>
        <v>"%USERPROFILE%\Documents\GitHub\eaglep3\Utilities\RefineRTDCRunTimes.py" --tripid 228-31 --locoid 4028 --swversion DE.1.0.8.0 --startMP 204:233053 --initTime 2017-01-31T21:14:34 --startdatetime 2017-01-31T21:26:27 --delay 1 --endMP 204:158 --enddatetime 2017-01-31T22:04:24 --enforcementcount 0 &gt;&gt;C:\Users\stu\Documents\GitHub\eaglep3-reporting\EC\2017-01-31-refined-times.txt</v>
      </c>
      <c r="AI140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{"issue":{"subject":"","project_id":79,"tracker_id":40,"status_id":1,"priority_id":2,"assigned_to_id":23,"start_date":"2017-01-31","description":"","custom_fields":[{"id":1,"name":"Subdivision","value":"EC"},{"id":4,"name":"Milepost","value":"0.0158"},{"id":17,"name":"Train ID","value":"228-31"},{"id":16,"name":"Locomotive ID","value":"4028"},{"id":130,"name":"Impact","value":""},{"id":150,"name":"Time of Event (Mountain Time)","value":"22:04:24"},{"id":151,"name":"Denver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61" t="str">
        <f t="shared" si="77"/>
        <v>start /low /b %USERPROFILE%\Documents\GitHub\eaglep3\Utilities\DownloadLogsFromS3.py --loco 4028 --day 2017-01-31</v>
      </c>
      <c r="AN140" s="170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"%USERPROFILE%\AppData\Local\Temp\OnboardLogs"\RTDC4028\*4028*20170201* | grep -SE "(Enforcement Action)|(\[TIMEOUT)|(CHR.+\|PRM\|1\|D.+(SWITCH|SIGNAL).+UNKNOWN)" - &gt;&gt; 2017-01-31-UncaughtWiMAX.txt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686</v>
      </c>
      <c r="B141" s="7">
        <v>4020</v>
      </c>
      <c r="C141" s="21" t="s">
        <v>193</v>
      </c>
      <c r="D141" s="21" t="s">
        <v>213</v>
      </c>
      <c r="E141" s="13">
        <v>42766.873090277775</v>
      </c>
      <c r="F141" s="13">
        <v>42766.875300925924</v>
      </c>
      <c r="G141" s="7">
        <v>1</v>
      </c>
      <c r="H141" s="21" t="s">
        <v>768</v>
      </c>
      <c r="I141" s="13">
        <v>42766.900775462964</v>
      </c>
      <c r="J141" s="7">
        <v>0</v>
      </c>
      <c r="K141" s="98" t="str">
        <f t="shared" si="91"/>
        <v>4019/4020</v>
      </c>
      <c r="L141" s="21" t="str">
        <f>VLOOKUP(A141,'Trips&amp;Operators'!$C$1:$G$99999,5,FALSE)</f>
        <v>CHANDLER KELVIN</v>
      </c>
      <c r="M141" s="6">
        <f t="shared" si="92"/>
        <v>2.5474537040281575E-2</v>
      </c>
      <c r="N141" s="7">
        <f t="shared" si="85"/>
        <v>36.683333338005468</v>
      </c>
      <c r="O141" s="7"/>
      <c r="P141" s="7"/>
      <c r="Q141" s="22"/>
      <c r="R141" s="22"/>
      <c r="S141" s="31">
        <f t="shared" si="93"/>
        <v>1</v>
      </c>
      <c r="T141" s="46" t="str">
        <f t="shared" si="86"/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9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-31T19:57:15-0700',mode:absolute,to:'2017-01-31T22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194" t="str">
        <f t="shared" si="87"/>
        <v>N</v>
      </c>
      <c r="X141" s="194">
        <f t="shared" si="95"/>
        <v>1</v>
      </c>
      <c r="Y141" s="62">
        <f t="shared" si="96"/>
        <v>4.4900000000000002E-2</v>
      </c>
      <c r="Z141" s="62">
        <f t="shared" si="94"/>
        <v>23.3247</v>
      </c>
      <c r="AA141" s="62">
        <f t="shared" si="88"/>
        <v>23.279800000000002</v>
      </c>
      <c r="AB141" s="59" t="e">
        <f>VLOOKUP(A141,Enforcements!$C$7:$K$16,8,0)</f>
        <v>#N/A</v>
      </c>
      <c r="AC141" s="55" t="e">
        <f>VLOOKUP(A141,Enforcements!$C$7:$E$16,3,0)</f>
        <v>#N/A</v>
      </c>
      <c r="AD141" s="56" t="str">
        <f t="shared" si="89"/>
        <v>0229-31</v>
      </c>
      <c r="AE141" s="85" t="str">
        <f t="shared" ref="AE141:AE204" si="9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 &amp; aws s3 cp s3://rtdc.mdm.uploadarchive.raw/RTDC4020/ "%USERPROFILE%\AppData\Local\Temp\OnboardLogs"\RTDC4020\2017-02-01 --exclude "*" --recursive --include "*20170201*" &amp; "%USERPROFILE%\Documents\GitHub\mrs-test-scripts\Headless Mode &amp; Sideloading\WalkAndUnGZ.bat" "%USERPROFILE%\AppData\Local\Temp\OnboardLogs"\RTDC4020\2017-02-01</v>
      </c>
      <c r="AF141" s="82" t="str">
        <f t="shared" ref="AF141:AF204" si="9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/stypes="app*4020*20170201*" /stext=" 04:.+((SYSTEM_STATE.+slice.+state.+changed )|(ment ac)|(multiple cpu faults)|(system.+state.+changed )|(\[timeout)|(PRM\|1\|D)|(kpr)|(kdp)|(\|lc)|(penalty))" /e /r /s</v>
      </c>
      <c r="AG141" s="1" t="str">
        <f t="shared" si="90"/>
        <v>EC</v>
      </c>
      <c r="AH141" s="86" t="str">
        <f t="shared" si="75"/>
        <v>"%USERPROFILE%\Documents\GitHub\eaglep3\Utilities\RefineRTDCRunTimes.py" --tripid 229-31 --locoid 4020 --swversion DE.1.0.8.0 --startMP 204:449 --initTime 2017-01-31T20:57:15 --startdatetime 2017-01-31T21:00:26 --delay 1 --endMP 204:233247 --enddatetime 2017-01-31T21:37:07 --enforcementcount 0 &gt;&gt;C:\Users\stu\Documents\GitHub\eaglep3-reporting\EC\2017-01-31-refined-times.txt</v>
      </c>
      <c r="AI141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{"issue":{"subject":"","project_id":79,"tracker_id":40,"status_id":1,"priority_id":2,"assigned_to_id":23,"start_date":"2017-01-31","description":"","custom_fields":[{"id":1,"name":"Subdivision","value":"EC"},{"id":4,"name":"Milepost","value":"23.3247"},{"id":17,"name":"Train ID","value":"229-31"},{"id":16,"name":"Locomotive ID","value":"4020"},{"id":130,"name":"Impact","value":""},{"id":150,"name":"Time of Event (Mountain Time)","value":"21:37:07"},{"id":151,"name":"Denver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61" t="str">
        <f t="shared" si="77"/>
        <v>start /low /b %USERPROFILE%\Documents\GitHub\eaglep3\Utilities\DownloadLogsFromS3.py --loco 4020 --day 2017-01-31</v>
      </c>
      <c r="AN141" s="170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"%USERPROFILE%\AppData\Local\Temp\OnboardLogs"\RTDC4020\*4020*20170201* | grep -SE "(Enforcement Action)|(\[TIMEOUT)|(CHR.+\|PRM\|1\|D.+(SWITCH|SIGNAL).+UNKNOWN)" - &gt;&gt; 2017-01-31-UncaughtWiMAX.txt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690</v>
      </c>
      <c r="B142" s="7">
        <v>4019</v>
      </c>
      <c r="C142" s="21" t="s">
        <v>193</v>
      </c>
      <c r="D142" s="21" t="s">
        <v>769</v>
      </c>
      <c r="E142" s="13">
        <v>42766.912824074076</v>
      </c>
      <c r="F142" s="13">
        <v>42766.914143518516</v>
      </c>
      <c r="G142" s="7">
        <v>1</v>
      </c>
      <c r="H142" s="21" t="s">
        <v>477</v>
      </c>
      <c r="I142" s="13">
        <v>42766.941446759258</v>
      </c>
      <c r="J142" s="7">
        <v>0</v>
      </c>
      <c r="K142" s="98" t="str">
        <f t="shared" si="91"/>
        <v>4019/4020</v>
      </c>
      <c r="L142" s="21" t="str">
        <f>VLOOKUP(A142,'Trips&amp;Operators'!$C$1:$G$99999,5,FALSE)</f>
        <v>CHANDLER KELVIN</v>
      </c>
      <c r="M142" s="6">
        <f t="shared" si="92"/>
        <v>2.7303240742185153E-2</v>
      </c>
      <c r="N142" s="7">
        <f t="shared" ref="N142:N173" si="100">24*60*SUM($M142:$M142)</f>
        <v>39.31666666874662</v>
      </c>
      <c r="O142" s="7"/>
      <c r="P142" s="7"/>
      <c r="Q142" s="22"/>
      <c r="R142" s="22"/>
      <c r="S142" s="31">
        <f t="shared" si="93"/>
        <v>1</v>
      </c>
      <c r="T142" s="46" t="str">
        <f t="shared" si="86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97"/>
        <v>https://d0f6bd738d7f1b3e5a7ca70fe4ff75f0.us-east-1.aws.found.io/app/kibana#/discover/Steve-Slow-Train-Analysis-(2080s-and-2083s)?_g=(refreshInterval:(display:Off,pause:!f,section:0,value:0),time:(from:'2017-01-31T20:54:28-0700',mode:absolute,to:'2017-01-31T23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194" t="str">
        <f t="shared" si="87"/>
        <v>N</v>
      </c>
      <c r="X142" s="194">
        <f t="shared" si="95"/>
        <v>1</v>
      </c>
      <c r="Y142" s="62">
        <f t="shared" si="96"/>
        <v>23.296600000000002</v>
      </c>
      <c r="Z142" s="62">
        <f t="shared" si="94"/>
        <v>1.72E-2</v>
      </c>
      <c r="AA142" s="62">
        <f t="shared" si="88"/>
        <v>23.279400000000003</v>
      </c>
      <c r="AB142" s="59" t="e">
        <f>VLOOKUP(A142,Enforcements!$C$7:$K$16,8,0)</f>
        <v>#N/A</v>
      </c>
      <c r="AC142" s="55" t="e">
        <f>VLOOKUP(A142,Enforcements!$C$7:$E$16,3,0)</f>
        <v>#N/A</v>
      </c>
      <c r="AD142" s="56" t="str">
        <f t="shared" si="89"/>
        <v>0230-31</v>
      </c>
      <c r="AE142" s="85" t="str">
        <f t="shared" si="98"/>
        <v>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 &amp; aws s3 cp s3://rtdc.mdm.uploadarchive.raw/RTDC4019/ "%USERPROFILE%\AppData\Local\Temp\OnboardLogs"\RTDC4019\2017-02-01 --exclude "*" --recursive --include "*20170201*" &amp; "%USERPROFILE%\Documents\GitHub\mrs-test-scripts\Headless Mode &amp; Sideloading\WalkAndUnGZ.bat" "%USERPROFILE%\AppData\Local\Temp\OnboardLogs"\RTDC4019\2017-02-01</v>
      </c>
      <c r="AF142" s="82" t="str">
        <f t="shared" si="99"/>
        <v>"C:\Program Files (x86)\AstroGrep\AstroGrep.exe" /spath="%USERPROFILE%\AppData\Local\Temp\OnboardLogs" /stypes="app*4019*20170201*" /stext=" 05:.+((SYSTEM_STATE.+slice.+state.+changed )|(ment ac)|(multiple cpu faults)|(system.+state.+changed )|(\[timeout)|(PRM\|1\|D)|(kpr)|(kdp)|(\|lc)|(penalty))" /e /r /s</v>
      </c>
      <c r="AG142" s="1" t="str">
        <f t="shared" si="90"/>
        <v>EC</v>
      </c>
      <c r="AH142" s="86" t="str">
        <f t="shared" si="75"/>
        <v>"%USERPROFILE%\Documents\GitHub\eaglep3\Utilities\RefineRTDCRunTimes.py" --tripid 230-31 --locoid 4019 --swversion DE.1.0.8.0 --startMP 204:232966 --initTime 2017-01-31T21:54:28 --startdatetime 2017-01-31T21:56:22 --delay 1 --endMP 204:172 --enddatetime 2017-01-31T22:35:41 --enforcementcount 0 &gt;&gt;C:\Users\stu\Documents\GitHub\eaglep3-reporting\EC\2017-01-31-refined-times.txt</v>
      </c>
      <c r="AI142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{"issue":{"subject":"","project_id":79,"tracker_id":40,"status_id":1,"priority_id":2,"assigned_to_id":23,"start_date":"2017-01-31","description":"","custom_fields":[{"id":1,"name":"Subdivision","value":"EC"},{"id":4,"name":"Milepost","value":"0.0172"},{"id":17,"name":"Train ID","value":"230-31"},{"id":16,"name":"Locomotive ID","value":"4019"},{"id":130,"name":"Impact","value":""},{"id":150,"name":"Time of Event (Mountain Time)","value":"22:35:41"},{"id":151,"name":"Denver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61" t="str">
        <f t="shared" si="77"/>
        <v>start /low /b %USERPROFILE%\Documents\GitHub\eaglep3\Utilities\DownloadLogsFromS3.py --loco 4019 --day 2017-01-31</v>
      </c>
      <c r="AN142" s="170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"%USERPROFILE%\AppData\Local\Temp\OnboardLogs"\RTDC4019\*4019*20170201* | grep -SE "(Enforcement Action)|(\[TIMEOUT)|(CHR.+\|PRM\|1\|D.+(SWITCH|SIGNAL).+UNKNOWN)" - &gt;&gt; 2017-01-31-UncaughtWiMAX.txt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688</v>
      </c>
      <c r="B143" s="7">
        <v>4002</v>
      </c>
      <c r="C143" s="21" t="s">
        <v>193</v>
      </c>
      <c r="D143" s="21" t="s">
        <v>224</v>
      </c>
      <c r="E143" s="13">
        <v>42766.890115740738</v>
      </c>
      <c r="F143" s="13">
        <v>42766.896064814813</v>
      </c>
      <c r="G143" s="7">
        <v>1</v>
      </c>
      <c r="H143" s="21" t="s">
        <v>291</v>
      </c>
      <c r="I143" s="13">
        <v>42766.920648148145</v>
      </c>
      <c r="J143" s="7">
        <v>0</v>
      </c>
      <c r="K143" s="98" t="str">
        <f t="shared" si="91"/>
        <v>4001/4002</v>
      </c>
      <c r="L143" s="21" t="str">
        <f>VLOOKUP(A143,'Trips&amp;Operators'!$C$1:$G$99999,5,FALSE)</f>
        <v>NEWELL JAMES</v>
      </c>
      <c r="M143" s="6">
        <f t="shared" si="92"/>
        <v>2.4583333331975155E-2</v>
      </c>
      <c r="N143" s="7">
        <f t="shared" si="100"/>
        <v>35.399999998044223</v>
      </c>
      <c r="O143" s="7"/>
      <c r="P143" s="7"/>
      <c r="Q143" s="22"/>
      <c r="R143" s="22"/>
      <c r="S143" s="31">
        <f t="shared" si="93"/>
        <v>1</v>
      </c>
      <c r="T143" s="46" t="str">
        <f t="shared" si="86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97"/>
        <v>https://d0f6bd738d7f1b3e5a7ca70fe4ff75f0.us-east-1.aws.found.io/app/kibana#/discover/Steve-Slow-Train-Analysis-(2080s-and-2083s)?_g=(refreshInterval:(display:Off,pause:!f,section:0,value:0),time:(from:'2017-01-31T20:21:46-0700',mode:absolute,to:'2017-01-31T23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94" t="str">
        <f t="shared" si="87"/>
        <v>N</v>
      </c>
      <c r="X143" s="194">
        <f t="shared" si="95"/>
        <v>1</v>
      </c>
      <c r="Y143" s="62">
        <f t="shared" si="96"/>
        <v>4.6899999999999997E-2</v>
      </c>
      <c r="Z143" s="62">
        <f t="shared" si="94"/>
        <v>23.331199999999999</v>
      </c>
      <c r="AA143" s="62">
        <f t="shared" si="88"/>
        <v>23.284299999999998</v>
      </c>
      <c r="AB143" s="59" t="e">
        <f>VLOOKUP(A143,Enforcements!$C$7:$K$16,8,0)</f>
        <v>#N/A</v>
      </c>
      <c r="AC143" s="55" t="e">
        <f>VLOOKUP(A143,Enforcements!$C$7:$E$16,3,0)</f>
        <v>#N/A</v>
      </c>
      <c r="AD143" s="56" t="str">
        <f t="shared" si="89"/>
        <v>0231-31</v>
      </c>
      <c r="AE143" s="85" t="str">
        <f t="shared" si="98"/>
        <v>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 &amp; aws s3 cp s3://rtdc.mdm.uploadarchive.raw/RTDC4002/ "%USERPROFILE%\AppData\Local\Temp\OnboardLogs"\RTDC4002\2017-02-01 --exclude "*" --recursive --include "*20170201*" &amp; "%USERPROFILE%\Documents\GitHub\mrs-test-scripts\Headless Mode &amp; Sideloading\WalkAndUnGZ.bat" "%USERPROFILE%\AppData\Local\Temp\OnboardLogs"\RTDC4002\2017-02-01</v>
      </c>
      <c r="AF143" s="82" t="str">
        <f t="shared" si="99"/>
        <v>"C:\Program Files (x86)\AstroGrep\AstroGrep.exe" /spath="%USERPROFILE%\AppData\Local\Temp\OnboardLogs" /stypes="app*4002*20170201*" /stext=" 05:.+((SYSTEM_STATE.+slice.+state.+changed )|(ment ac)|(multiple cpu faults)|(system.+state.+changed )|(\[timeout)|(PRM\|1\|D)|(kpr)|(kdp)|(\|lc)|(penalty))" /e /r /s</v>
      </c>
      <c r="AG143" s="1" t="str">
        <f t="shared" si="90"/>
        <v>EC</v>
      </c>
      <c r="AH143" s="86" t="str">
        <f t="shared" si="75"/>
        <v>"%USERPROFILE%\Documents\GitHub\eaglep3\Utilities\RefineRTDCRunTimes.py" --tripid 231-31 --locoid 4002 --swversion DE.1.0.8.0 --startMP 204:469 --initTime 2017-01-31T21:21:46 --startdatetime 2017-01-31T21:30:20 --delay 1 --endMP 204:233312 --enddatetime 2017-01-31T22:05:44 --enforcementcount 0 &gt;&gt;C:\Users\stu\Documents\GitHub\eaglep3-reporting\EC\2017-01-31-refined-times.txt</v>
      </c>
      <c r="AI143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{"issue":{"subject":"","project_id":79,"tracker_id":40,"status_id":1,"priority_id":2,"assigned_to_id":23,"start_date":"2017-01-31","description":"","custom_fields":[{"id":1,"name":"Subdivision","value":"EC"},{"id":4,"name":"Milepost","value":"23.3312"},{"id":17,"name":"Train ID","value":"231-31"},{"id":16,"name":"Locomotive ID","value":"4002"},{"id":130,"name":"Impact","value":""},{"id":150,"name":"Time of Event (Mountain Time)","value":"22:05:44"},{"id":151,"name":"Denver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61" t="str">
        <f t="shared" si="77"/>
        <v>start /low /b %USERPROFILE%\Documents\GitHub\eaglep3\Utilities\DownloadLogsFromS3.py --loco 4002 --day 2017-01-31</v>
      </c>
      <c r="AN143" s="170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"%USERPROFILE%\AppData\Local\Temp\OnboardLogs"\RTDC4002\*4002*20170201* | grep -SE "(Enforcement Action)|(\[TIMEOUT)|(CHR.+\|PRM\|1\|D.+(SWITCH|SIGNAL).+UNKNOWN)" - &gt;&gt; 2017-01-31-UncaughtWiMAX.txt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693</v>
      </c>
      <c r="B144" s="7">
        <v>4001</v>
      </c>
      <c r="C144" s="21" t="s">
        <v>193</v>
      </c>
      <c r="D144" s="21" t="s">
        <v>342</v>
      </c>
      <c r="E144" s="13">
        <v>42766.93178240741</v>
      </c>
      <c r="F144" s="13">
        <v>42766.934884259259</v>
      </c>
      <c r="G144" s="7">
        <v>1</v>
      </c>
      <c r="H144" s="21" t="s">
        <v>707</v>
      </c>
      <c r="I144" s="13">
        <v>42766.960706018515</v>
      </c>
      <c r="J144" s="7">
        <v>0</v>
      </c>
      <c r="K144" s="98" t="str">
        <f t="shared" si="91"/>
        <v>4001/4002</v>
      </c>
      <c r="L144" s="21" t="str">
        <f>VLOOKUP(A144,'Trips&amp;Operators'!$C$1:$G$99999,5,FALSE)</f>
        <v>NEWELL JAMES</v>
      </c>
      <c r="M144" s="6">
        <f t="shared" si="92"/>
        <v>2.5821759256359655E-2</v>
      </c>
      <c r="N144" s="7">
        <f t="shared" si="100"/>
        <v>37.183333329157904</v>
      </c>
      <c r="O144" s="7"/>
      <c r="P144" s="7"/>
      <c r="Q144" s="22"/>
      <c r="R144" s="22"/>
      <c r="S144" s="31">
        <f t="shared" si="93"/>
        <v>1</v>
      </c>
      <c r="T144" s="46" t="str">
        <f t="shared" si="86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97"/>
        <v>https://d0f6bd738d7f1b3e5a7ca70fe4ff75f0.us-east-1.aws.found.io/app/kibana#/discover/Steve-Slow-Train-Analysis-(2080s-and-2083s)?_g=(refreshInterval:(display:Off,pause:!f,section:0,value:0),time:(from:'2017-01-31T21:21:46-0700',mode:absolute,to:'2017-02-01T00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94" t="str">
        <f t="shared" si="87"/>
        <v>N</v>
      </c>
      <c r="X144" s="194">
        <f t="shared" si="95"/>
        <v>1</v>
      </c>
      <c r="Y144" s="62">
        <f t="shared" si="96"/>
        <v>23.297899999999998</v>
      </c>
      <c r="Z144" s="62">
        <f t="shared" si="94"/>
        <v>1.34E-2</v>
      </c>
      <c r="AA144" s="62">
        <f t="shared" si="88"/>
        <v>23.284499999999998</v>
      </c>
      <c r="AB144" s="59" t="e">
        <f>VLOOKUP(A144,Enforcements!$C$7:$K$16,8,0)</f>
        <v>#N/A</v>
      </c>
      <c r="AC144" s="55" t="e">
        <f>VLOOKUP(A144,Enforcements!$C$7:$E$16,3,0)</f>
        <v>#N/A</v>
      </c>
      <c r="AD144" s="56" t="str">
        <f t="shared" si="89"/>
        <v>0232-31</v>
      </c>
      <c r="AE144" s="85" t="str">
        <f t="shared" si="98"/>
        <v>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 &amp; aws s3 cp s3://rtdc.mdm.uploadarchive.raw/RTDC4001/ "%USERPROFILE%\AppData\Local\Temp\OnboardLogs"\RTDC4001\2017-02-01 --exclude "*" --recursive --include "*20170201*" &amp; "%USERPROFILE%\Documents\GitHub\mrs-test-scripts\Headless Mode &amp; Sideloading\WalkAndUnGZ.bat" "%USERPROFILE%\AppData\Local\Temp\OnboardLogs"\RTDC4001\2017-02-01</v>
      </c>
      <c r="AF144" s="82" t="str">
        <f t="shared" si="99"/>
        <v>"C:\Program Files (x86)\AstroGrep\AstroGrep.exe" /spath="%USERPROFILE%\AppData\Local\Temp\OnboardLogs" /stypes="app*4001*20170201*" /stext=" 06:.+((SYSTEM_STATE.+slice.+state.+changed )|(ment ac)|(multiple cpu faults)|(system.+state.+changed )|(\[timeout)|(PRM\|1\|D)|(kpr)|(kdp)|(\|lc)|(penalty))" /e /r /s</v>
      </c>
      <c r="AG144" s="1" t="str">
        <f t="shared" si="90"/>
        <v>EC</v>
      </c>
      <c r="AH144" s="86" t="str">
        <f t="shared" si="75"/>
        <v>"%USERPROFILE%\Documents\GitHub\eaglep3\Utilities\RefineRTDCRunTimes.py" --tripid 232-31 --locoid 4001 --swversion DE.1.0.8.0 --startMP 204:232979 --initTime 2017-01-31T22:21:46 --startdatetime 2017-01-31T22:26:14 --delay 1 --endMP 204:134 --enddatetime 2017-01-31T23:03:25 --enforcementcount 0 &gt;&gt;C:\Users\stu\Documents\GitHub\eaglep3-reporting\EC\2017-01-31-refined-times.txt</v>
      </c>
      <c r="AI144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{"issue":{"subject":"","project_id":79,"tracker_id":40,"status_id":1,"priority_id":2,"assigned_to_id":23,"start_date":"2017-01-31","description":"","custom_fields":[{"id":1,"name":"Subdivision","value":"EC"},{"id":4,"name":"Milepost","value":"0.0134"},{"id":17,"name":"Train ID","value":"232-31"},{"id":16,"name":"Locomotive ID","value":"4001"},{"id":130,"name":"Impact","value":""},{"id":150,"name":"Time of Event (Mountain Time)","value":"23:03:25"},{"id":151,"name":"Denver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61" t="str">
        <f t="shared" si="77"/>
        <v>start /low /b %USERPROFILE%\Documents\GitHub\eaglep3\Utilities\DownloadLogsFromS3.py --loco 4001 --day 2017-01-31</v>
      </c>
      <c r="AN144" s="170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"%USERPROFILE%\AppData\Local\Temp\OnboardLogs"\RTDC4001\*4001*20170201* | grep -SE "(Enforcement Action)|(\[TIMEOUT)|(CHR.+\|PRM\|1\|D.+(SWITCH|SIGNAL).+UNKNOWN)" - &gt;&gt; 2017-01-31-UncaughtWiMAX.txt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689</v>
      </c>
      <c r="B145" s="7">
        <v>4040</v>
      </c>
      <c r="C145" s="21" t="s">
        <v>193</v>
      </c>
      <c r="D145" s="21" t="s">
        <v>271</v>
      </c>
      <c r="E145" s="13">
        <v>42766.904976851853</v>
      </c>
      <c r="F145" s="13">
        <v>42766.916932870372</v>
      </c>
      <c r="G145" s="7">
        <v>1</v>
      </c>
      <c r="H145" s="21" t="s">
        <v>361</v>
      </c>
      <c r="I145" s="13">
        <v>42766.94226851852</v>
      </c>
      <c r="J145" s="7">
        <v>0</v>
      </c>
      <c r="K145" s="98" t="str">
        <f t="shared" si="91"/>
        <v>4039/4040</v>
      </c>
      <c r="L145" s="21" t="str">
        <f>VLOOKUP(A145,'Trips&amp;Operators'!$C$1:$G$99999,5,FALSE)</f>
        <v>STORY SAMANTHA</v>
      </c>
      <c r="M145" s="6">
        <f t="shared" si="92"/>
        <v>2.5335648148029577E-2</v>
      </c>
      <c r="N145" s="7">
        <f t="shared" si="100"/>
        <v>36.483333333162591</v>
      </c>
      <c r="O145" s="7"/>
      <c r="P145" s="7"/>
      <c r="Q145" s="22"/>
      <c r="R145" s="22"/>
      <c r="S145" s="31">
        <f t="shared" si="93"/>
        <v>1</v>
      </c>
      <c r="T145" s="46" t="str">
        <f t="shared" si="86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97"/>
        <v>https://d0f6bd738d7f1b3e5a7ca70fe4ff75f0.us-east-1.aws.found.io/app/kibana#/discover/Steve-Slow-Train-Analysis-(2080s-and-2083s)?_g=(refreshInterval:(display:Off,pause:!f,section:0,value:0),time:(from:'2017-01-31T20:43:10-0700',mode:absolute,to:'2017-01-31T23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194" t="str">
        <f t="shared" si="87"/>
        <v>N</v>
      </c>
      <c r="X145" s="194">
        <f t="shared" si="95"/>
        <v>1</v>
      </c>
      <c r="Y145" s="62">
        <f t="shared" si="96"/>
        <v>4.6399999999999997E-2</v>
      </c>
      <c r="Z145" s="62">
        <f t="shared" si="94"/>
        <v>23.339700000000001</v>
      </c>
      <c r="AA145" s="62">
        <f t="shared" si="88"/>
        <v>23.293300000000002</v>
      </c>
      <c r="AB145" s="59" t="e">
        <f>VLOOKUP(A145,Enforcements!$C$7:$K$16,8,0)</f>
        <v>#N/A</v>
      </c>
      <c r="AC145" s="55" t="e">
        <f>VLOOKUP(A145,Enforcements!$C$7:$E$16,3,0)</f>
        <v>#N/A</v>
      </c>
      <c r="AD145" s="56" t="str">
        <f t="shared" si="89"/>
        <v>0233-31</v>
      </c>
      <c r="AE145" s="85" t="str">
        <f t="shared" si="98"/>
        <v>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 &amp; 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</v>
      </c>
      <c r="AF145" s="82" t="str">
        <f t="shared" si="99"/>
        <v>"C:\Program Files (x86)\AstroGrep\AstroGrep.exe" /spath="%USERPROFILE%\AppData\Local\Temp\OnboardLogs" /stypes="app*4040*20170201*" /stext=" 05:.+((SYSTEM_STATE.+slice.+state.+changed )|(ment ac)|(multiple cpu faults)|(system.+state.+changed )|(\[timeout)|(PRM\|1\|D)|(kpr)|(kdp)|(\|lc)|(penalty))" /e /r /s</v>
      </c>
      <c r="AG145" s="1" t="str">
        <f t="shared" si="90"/>
        <v>EC</v>
      </c>
      <c r="AH145" s="86" t="str">
        <f t="shared" si="75"/>
        <v>"%USERPROFILE%\Documents\GitHub\eaglep3\Utilities\RefineRTDCRunTimes.py" --tripid 233-31 --locoid 4040 --swversion DE.1.0.8.0 --startMP 204:464 --initTime 2017-01-31T21:43:10 --startdatetime 2017-01-31T22:00:23 --delay 1 --endMP 204:233397 --enddatetime 2017-01-31T22:36:52 --enforcementcount 0 &gt;&gt;C:\Users\stu\Documents\GitHub\eaglep3-reporting\EC\2017-01-31-refined-times.txt</v>
      </c>
      <c r="AI145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{"issue":{"subject":"","project_id":79,"tracker_id":40,"status_id":1,"priority_id":2,"assigned_to_id":23,"start_date":"2017-01-31","description":"","custom_fields":[{"id":1,"name":"Subdivision","value":"EC"},{"id":4,"name":"Milepost","value":"23.3397"},{"id":17,"name":"Train ID","value":"233-31"},{"id":16,"name":"Locomotive ID","value":"4040"},{"id":130,"name":"Impact","value":""},{"id":150,"name":"Time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61" t="str">
        <f t="shared" si="77"/>
        <v>start /low /b %USERPROFILE%\Documents\GitHub\eaglep3\Utilities\DownloadLogsFromS3.py --loco 4040 --day 2017-01-31</v>
      </c>
      <c r="AN145" s="170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"%USERPROFILE%\AppData\Local\Temp\OnboardLogs"\RTDC4040\*4040*20170201* | grep -SE "(Enforcement Action)|(\[TIMEOUT)|(CHR.+\|PRM\|1\|D.+(SWITCH|SIGNAL).+UNKNOWN)" - &gt;&gt; 2017-01-31-UncaughtWiMAX.txt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520</v>
      </c>
      <c r="B146" s="7">
        <v>4039</v>
      </c>
      <c r="C146" s="21" t="s">
        <v>193</v>
      </c>
      <c r="D146" s="21" t="s">
        <v>770</v>
      </c>
      <c r="E146" s="13">
        <v>42766.945856481485</v>
      </c>
      <c r="F146" s="13">
        <v>42766.95585648148</v>
      </c>
      <c r="G146" s="7">
        <v>1</v>
      </c>
      <c r="H146" s="21" t="s">
        <v>771</v>
      </c>
      <c r="I146" s="13">
        <v>42766.984525462962</v>
      </c>
      <c r="J146" s="7">
        <v>0</v>
      </c>
      <c r="K146" s="98" t="str">
        <f t="shared" si="91"/>
        <v>4039/4040</v>
      </c>
      <c r="L146" s="21" t="str">
        <f>VLOOKUP(A146,'Trips&amp;Operators'!$C$1:$G$99999,5,FALSE)</f>
        <v>STORY SAMANTHA</v>
      </c>
      <c r="M146" s="6">
        <f t="shared" si="92"/>
        <v>2.8668981482042E-2</v>
      </c>
      <c r="N146" s="7">
        <f t="shared" si="100"/>
        <v>41.28333333414048</v>
      </c>
      <c r="O146" s="7"/>
      <c r="P146" s="7"/>
      <c r="Q146" s="22"/>
      <c r="R146" s="22"/>
      <c r="S146" s="31">
        <f t="shared" si="93"/>
        <v>1</v>
      </c>
      <c r="T146" s="46" t="str">
        <f t="shared" si="86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97"/>
        <v>https://d0f6bd738d7f1b3e5a7ca70fe4ff75f0.us-east-1.aws.found.io/app/kibana#/discover/Steve-Slow-Train-Analysis-(2080s-and-2083s)?_g=(refreshInterval:(display:Off,pause:!f,section:0,value:0),time:(from:'2017-01-31T21:42:02-0700',mode:absolute,to:'2017-02-01T00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194" t="str">
        <f t="shared" si="87"/>
        <v>N</v>
      </c>
      <c r="X146" s="194">
        <f t="shared" si="95"/>
        <v>1</v>
      </c>
      <c r="Y146" s="62">
        <f t="shared" si="96"/>
        <v>23.309799999999999</v>
      </c>
      <c r="Z146" s="62">
        <f t="shared" si="94"/>
        <v>2.5399999999999999E-2</v>
      </c>
      <c r="AA146" s="62">
        <f t="shared" si="88"/>
        <v>23.284399999999998</v>
      </c>
      <c r="AB146" s="59" t="e">
        <f>VLOOKUP(A146,Enforcements!$C$7:$K$16,8,0)</f>
        <v>#N/A</v>
      </c>
      <c r="AC146" s="55" t="e">
        <f>VLOOKUP(A146,Enforcements!$C$7:$E$16,3,0)</f>
        <v>#N/A</v>
      </c>
      <c r="AD146" s="56" t="str">
        <f t="shared" si="89"/>
        <v>0234-31</v>
      </c>
      <c r="AE146" s="85" t="str">
        <f t="shared" si="98"/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AF146" s="82" t="str">
        <f t="shared" si="99"/>
        <v>"C:\Program Files (x86)\AstroGrep\AstroGrep.exe" /spath="%USERPROFILE%\AppData\Local\Temp\OnboardLogs" /stypes="app*4039*20170201*" /stext=" 06:.+((SYSTEM_STATE.+slice.+state.+changed )|(ment ac)|(multiple cpu faults)|(system.+state.+changed )|(\[timeout)|(PRM\|1\|D)|(kpr)|(kdp)|(\|lc)|(penalty))" /e /r /s</v>
      </c>
      <c r="AG146" s="1" t="str">
        <f t="shared" si="90"/>
        <v>EC</v>
      </c>
      <c r="AH146" s="86" t="str">
        <f t="shared" si="75"/>
        <v>"%USERPROFILE%\Documents\GitHub\eaglep3\Utilities\RefineRTDCRunTimes.py" --tripid 234-31 --locoid 4039 --swversion DE.1.0.8.0 --startMP 204:233098 --initTime 2017-01-31T22:42:02 --startdatetime 2017-01-31T22:56:26 --delay 1 --endMP 204:254 --enddatetime 2017-01-31T23:37:43 --enforcementcount 0 &gt;&gt;C:\Users\stu\Documents\GitHub\eaglep3-reporting\EC\2017-01-31-refined-times.txt</v>
      </c>
      <c r="AI146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{"issue":{"subject":"","project_id":79,"tracker_id":40,"status_id":1,"priority_id":2,"assigned_to_id":23,"start_date":"2017-01-31","description":"","custom_fields":[{"id":1,"name":"Subdivision","value":"EC"},{"id":4,"name":"Milepost","value":"0.0254"},{"id":17,"name":"Train ID","value":"234-31"},{"id":16,"name":"Locomotive ID","value":"4039"},{"id":130,"name":"Impact","value":""},{"id":150,"name":"Time of Event (Mountain Time)","value":"23:37:43"},{"id":151,"name":"Denver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61" t="str">
        <f t="shared" si="77"/>
        <v>start /low /b %USERPROFILE%\Documents\GitHub\eaglep3\Utilities\DownloadLogsFromS3.py --loco 4039 --day 2017-01-31</v>
      </c>
      <c r="AN146" s="170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"%USERPROFILE%\AppData\Local\Temp\OnboardLogs"\RTDC4039\*4039*20170201* | grep -SE "(Enforcement Action)|(\[TIMEOUT)|(CHR.+\|PRM\|1\|D.+(SWITCH|SIGNAL).+UNKNOWN)" - &gt;&gt; 2017-01-31-UncaughtWiMAX.txt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692</v>
      </c>
      <c r="B147" s="7">
        <v>4027</v>
      </c>
      <c r="C147" s="21" t="s">
        <v>193</v>
      </c>
      <c r="D147" s="21" t="s">
        <v>211</v>
      </c>
      <c r="E147" s="13">
        <v>42766.925532407404</v>
      </c>
      <c r="F147" s="13">
        <v>42766.937847222223</v>
      </c>
      <c r="G147" s="7">
        <v>1</v>
      </c>
      <c r="H147" s="21" t="s">
        <v>772</v>
      </c>
      <c r="I147" s="13">
        <v>42766.962488425925</v>
      </c>
      <c r="J147" s="7">
        <v>0</v>
      </c>
      <c r="K147" s="98" t="str">
        <f t="shared" si="91"/>
        <v>4027/4028</v>
      </c>
      <c r="L147" s="21" t="str">
        <f>VLOOKUP(A147,'Trips&amp;Operators'!$C$1:$G$99999,5,FALSE)</f>
        <v>STAMBAUGH JAMES</v>
      </c>
      <c r="M147" s="6">
        <f t="shared" si="92"/>
        <v>2.4641203701321501E-2</v>
      </c>
      <c r="N147" s="7">
        <f t="shared" si="100"/>
        <v>35.483333329902962</v>
      </c>
      <c r="O147" s="7"/>
      <c r="P147" s="7"/>
      <c r="Q147" s="22"/>
      <c r="R147" s="22"/>
      <c r="S147" s="31">
        <f t="shared" si="93"/>
        <v>1</v>
      </c>
      <c r="T147" s="46" t="str">
        <f t="shared" si="86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97"/>
        <v>https://d0f6bd738d7f1b3e5a7ca70fe4ff75f0.us-east-1.aws.found.io/app/kibana#/discover/Steve-Slow-Train-Analysis-(2080s-and-2083s)?_g=(refreshInterval:(display:Off,pause:!f,section:0,value:0),time:(from:'2017-01-31T21:12:46-0700',mode:absolute,to:'2017-02-01T00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194" t="str">
        <f t="shared" si="87"/>
        <v>N</v>
      </c>
      <c r="X147" s="194">
        <f t="shared" si="95"/>
        <v>1</v>
      </c>
      <c r="Y147" s="62">
        <f t="shared" si="96"/>
        <v>4.6199999999999998E-2</v>
      </c>
      <c r="Z147" s="62">
        <f t="shared" si="94"/>
        <v>23.341000000000001</v>
      </c>
      <c r="AA147" s="62">
        <f t="shared" si="88"/>
        <v>23.294800000000002</v>
      </c>
      <c r="AB147" s="59" t="e">
        <f>VLOOKUP(A147,Enforcements!$C$7:$K$16,8,0)</f>
        <v>#N/A</v>
      </c>
      <c r="AC147" s="55" t="e">
        <f>VLOOKUP(A147,Enforcements!$C$7:$E$16,3,0)</f>
        <v>#N/A</v>
      </c>
      <c r="AD147" s="56" t="str">
        <f t="shared" si="89"/>
        <v>0235-31</v>
      </c>
      <c r="AE147" s="85" t="str">
        <f t="shared" si="98"/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AF147" s="82" t="str">
        <f t="shared" si="99"/>
        <v>"C:\Program Files (x86)\AstroGrep\AstroGrep.exe" /spath="%USERPROFILE%\AppData\Local\Temp\OnboardLogs" /stypes="app*4027*20170201*" /stext=" 06:.+((SYSTEM_STATE.+slice.+state.+changed )|(ment ac)|(multiple cpu faults)|(system.+state.+changed )|(\[timeout)|(PRM\|1\|D)|(kpr)|(kdp)|(\|lc)|(penalty))" /e /r /s</v>
      </c>
      <c r="AG147" s="1" t="str">
        <f t="shared" si="90"/>
        <v>EC</v>
      </c>
      <c r="AH147" s="86" t="str">
        <f t="shared" si="75"/>
        <v>"%USERPROFILE%\Documents\GitHub\eaglep3\Utilities\RefineRTDCRunTimes.py" --tripid 235-31 --locoid 4027 --swversion DE.1.0.8.0 --startMP 204:462 --initTime 2017-01-31T22:12:46 --startdatetime 2017-01-31T22:30:30 --delay 1 --endMP 204:233410 --enddatetime 2017-01-31T23:05:59 --enforcementcount 0 &gt;&gt;C:\Users\stu\Documents\GitHub\eaglep3-reporting\EC\2017-01-31-refined-times.txt</v>
      </c>
      <c r="AI147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{"issue":{"subject":"","project_id":79,"tracker_id":40,"status_id":1,"priority_id":2,"assigned_to_id":23,"start_date":"2017-01-31","description":"","custom_fields":[{"id":1,"name":"Subdivision","value":"EC"},{"id":4,"name":"Milepost","value":"23.341"},{"id":17,"name":"Train ID","value":"235-31"},{"id":16,"name":"Locomotive ID","value":"4027"},{"id":130,"name":"Impact","value":""},{"id":150,"name":"Time of Event (Mountain Time)","value":"23:05:59"},{"id":151,"name":"Denver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61" t="str">
        <f t="shared" si="77"/>
        <v>start /low /b %USERPROFILE%\Documents\GitHub\eaglep3\Utilities\DownloadLogsFromS3.py --loco 4027 --day 2017-01-31</v>
      </c>
      <c r="AN147" s="170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"%USERPROFILE%\AppData\Local\Temp\OnboardLogs"\RTDC4027\*4027*20170201* | grep -SE "(Enforcement Action)|(\[TIMEOUT)|(CHR.+\|PRM\|1\|D.+(SWITCH|SIGNAL).+UNKNOWN)" - &gt;&gt; 2017-01-31-UncaughtWiMAX.txt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696</v>
      </c>
      <c r="B148" s="7">
        <v>4028</v>
      </c>
      <c r="C148" s="21" t="s">
        <v>193</v>
      </c>
      <c r="D148" s="21" t="s">
        <v>464</v>
      </c>
      <c r="E148" s="13">
        <v>42766.972395833334</v>
      </c>
      <c r="F148" s="13">
        <v>42766.9766087963</v>
      </c>
      <c r="G148" s="7">
        <v>3</v>
      </c>
      <c r="H148" s="21" t="s">
        <v>202</v>
      </c>
      <c r="I148" s="13">
        <v>42767.003495370373</v>
      </c>
      <c r="J148" s="7">
        <v>0</v>
      </c>
      <c r="K148" s="98" t="str">
        <f t="shared" si="91"/>
        <v>4027/4028</v>
      </c>
      <c r="L148" s="21" t="str">
        <f>VLOOKUP(A148,'Trips&amp;Operators'!$C$1:$G$99999,5,FALSE)</f>
        <v>STAMBAUGH JAMES</v>
      </c>
      <c r="M148" s="6">
        <f t="shared" si="92"/>
        <v>2.6886574072705116E-2</v>
      </c>
      <c r="N148" s="7">
        <f t="shared" si="100"/>
        <v>38.716666664695367</v>
      </c>
      <c r="O148" s="7"/>
      <c r="P148" s="7"/>
      <c r="Q148" s="22"/>
      <c r="R148" s="22"/>
      <c r="S148" s="31">
        <f t="shared" si="93"/>
        <v>1</v>
      </c>
      <c r="T148" s="46" t="str">
        <f t="shared" si="86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97"/>
        <v>https://d0f6bd738d7f1b3e5a7ca70fe4ff75f0.us-east-1.aws.found.io/app/kibana#/discover/Steve-Slow-Train-Analysis-(2080s-and-2083s)?_g=(refreshInterval:(display:Off,pause:!f,section:0,value:0),time:(from:'2017-01-31T22:20:15-0700',mode:absolute,to:'2017-02-01T01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194" t="str">
        <f t="shared" si="87"/>
        <v>N</v>
      </c>
      <c r="X148" s="194">
        <f t="shared" si="95"/>
        <v>1</v>
      </c>
      <c r="Y148" s="62">
        <f t="shared" si="96"/>
        <v>23.3034</v>
      </c>
      <c r="Z148" s="62">
        <f t="shared" si="94"/>
        <v>1.4500000000000001E-2</v>
      </c>
      <c r="AA148" s="62">
        <f t="shared" si="88"/>
        <v>23.288899999999998</v>
      </c>
      <c r="AB148" s="59" t="e">
        <f>VLOOKUP(A148,Enforcements!$C$7:$K$16,8,0)</f>
        <v>#N/A</v>
      </c>
      <c r="AC148" s="55" t="e">
        <f>VLOOKUP(A148,Enforcements!$C$7:$E$16,3,0)</f>
        <v>#N/A</v>
      </c>
      <c r="AD148" s="56" t="str">
        <f t="shared" si="89"/>
        <v>0236-31</v>
      </c>
      <c r="AE148" s="85" t="str">
        <f t="shared" si="98"/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AF148" s="82" t="str">
        <f t="shared" si="99"/>
        <v>"C:\Program Files (x86)\AstroGrep\AstroGrep.exe" /spath="%USERPROFILE%\AppData\Local\Temp\OnboardLogs" /stypes="app*4028*20170201*" /stext=" 07:.+((SYSTEM_STATE.+slice.+state.+changed )|(ment ac)|(multiple cpu faults)|(system.+state.+changed )|(\[timeout)|(PRM\|1\|D)|(kpr)|(kdp)|(\|lc)|(penalty))" /e /r /s</v>
      </c>
      <c r="AG148" s="1" t="str">
        <f t="shared" si="90"/>
        <v>EC</v>
      </c>
      <c r="AH148" s="86" t="str">
        <f t="shared" si="75"/>
        <v>"%USERPROFILE%\Documents\GitHub\eaglep3\Utilities\RefineRTDCRunTimes.py" --tripid 236-31 --locoid 4028 --swversion DE.1.0.8.0 --startMP 204:233034 --initTime 2017-01-31T23:20:15 --startdatetime 2017-01-31T23:26:19 --delay 3 --endMP 204:145 --enddatetime 2017-02-01T00:05:02 --enforcementcount 0 &gt;&gt;C:\Users\stu\Documents\GitHub\eaglep3-reporting\EC\2017-01-31-refined-times.txt</v>
      </c>
      <c r="AI148" s="108" t="str">
        <f t="shared" si="76"/>
        <v>echo {"issue":{"subject":"","project_id":79,"tracker_id":40,"status_id":1,"priority_id":2,"assigned_to_id":23,"start_date":"2017-02-01","description":"","custom_fields":[{"id":1,"name":"Subdivision","value":"EC"},{"id":4,"name":"Milepost","value":"0.0145"},{"id":17,"name":"Train ID","value":"236-31"},{"id":16,"name":"Locomotive ID","value":"4028"},{"id":130,"name":"Impact","value":""},{"id":150,"name":"Time of Event (Mountain Time)","value":"00:05:02"},{"id":151,"name":"Denver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61" t="str">
        <f t="shared" si="77"/>
        <v>start /low /b %USERPROFILE%\Documents\GitHub\eaglep3\Utilities\DownloadLogsFromS3.py --loco 4028 --day 2017-01-31</v>
      </c>
      <c r="AN148" s="170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"%USERPROFILE%\AppData\Local\Temp\OnboardLogs"\RTDC4028\*4028*20170201* | grep -SE "(Enforcement Action)|(\[TIMEOUT)|(CHR.+\|PRM\|1\|D.+(SWITCH|SIGNAL).+UNKNOWN)" - &gt;&gt; 2017-01-31-UncaughtWiMAX.txt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695</v>
      </c>
      <c r="B149" s="7">
        <v>4020</v>
      </c>
      <c r="C149" s="21" t="s">
        <v>193</v>
      </c>
      <c r="D149" s="21" t="s">
        <v>246</v>
      </c>
      <c r="E149" s="13">
        <v>42766.954594907409</v>
      </c>
      <c r="F149" s="13">
        <v>42766.958622685182</v>
      </c>
      <c r="G149" s="7">
        <v>1</v>
      </c>
      <c r="H149" s="21" t="s">
        <v>359</v>
      </c>
      <c r="I149" s="13">
        <v>42766.986805555556</v>
      </c>
      <c r="J149" s="7">
        <v>0</v>
      </c>
      <c r="K149" s="98" t="str">
        <f t="shared" si="91"/>
        <v>4019/4020</v>
      </c>
      <c r="L149" s="21" t="str">
        <f>VLOOKUP(A149,'Trips&amp;Operators'!$C$1:$G$99999,5,FALSE)</f>
        <v>CHANDLER KELVIN</v>
      </c>
      <c r="M149" s="6">
        <f t="shared" si="92"/>
        <v>2.8182870373711921E-2</v>
      </c>
      <c r="N149" s="7">
        <f t="shared" si="100"/>
        <v>40.583333338145167</v>
      </c>
      <c r="O149" s="7"/>
      <c r="P149" s="7"/>
      <c r="Q149" s="22"/>
      <c r="R149" s="22"/>
      <c r="S149" s="31">
        <f t="shared" si="93"/>
        <v>1</v>
      </c>
      <c r="T149" s="46" t="str">
        <f t="shared" si="86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97"/>
        <v>https://d0f6bd738d7f1b3e5a7ca70fe4ff75f0.us-east-1.aws.found.io/app/kibana#/discover/Steve-Slow-Train-Analysis-(2080s-and-2083s)?_g=(refreshInterval:(display:Off,pause:!f,section:0,value:0),time:(from:'2017-01-31T21:54:37-0700',mode:absolute,to:'2017-02-01T00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94" t="str">
        <f t="shared" si="87"/>
        <v>N</v>
      </c>
      <c r="X149" s="194">
        <f t="shared" si="95"/>
        <v>1</v>
      </c>
      <c r="Y149" s="62">
        <f t="shared" si="96"/>
        <v>4.5699999999999998E-2</v>
      </c>
      <c r="Z149" s="62">
        <f t="shared" si="94"/>
        <v>23.327999999999999</v>
      </c>
      <c r="AA149" s="62">
        <f t="shared" si="88"/>
        <v>23.282299999999999</v>
      </c>
      <c r="AB149" s="59" t="e">
        <f>VLOOKUP(A149,Enforcements!$C$7:$K$16,8,0)</f>
        <v>#N/A</v>
      </c>
      <c r="AC149" s="55" t="e">
        <f>VLOOKUP(A149,Enforcements!$C$7:$E$16,3,0)</f>
        <v>#N/A</v>
      </c>
      <c r="AD149" s="56" t="str">
        <f t="shared" si="89"/>
        <v>0237-31</v>
      </c>
      <c r="AE149" s="85" t="str">
        <f t="shared" si="98"/>
        <v>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 &amp; aws s3 cp s3://rtdc.mdm.uploadarchive.raw/RTDC4020/ "%USERPROFILE%\AppData\Local\Temp\OnboardLogs"\RTDC4020\2017-02-01 --exclude "*" --recursive --include "*20170201*" &amp; "%USERPROFILE%\Documents\GitHub\mrs-test-scripts\Headless Mode &amp; Sideloading\WalkAndUnGZ.bat" "%USERPROFILE%\AppData\Local\Temp\OnboardLogs"\RTDC4020\2017-02-01</v>
      </c>
      <c r="AF149" s="82" t="str">
        <f t="shared" si="99"/>
        <v>"C:\Program Files (x86)\AstroGrep\AstroGrep.exe" /spath="%USERPROFILE%\AppData\Local\Temp\OnboardLogs" /stypes="app*4020*20170201*" /stext=" 06:.+((SYSTEM_STATE.+slice.+state.+changed )|(ment ac)|(multiple cpu faults)|(system.+state.+changed )|(\[timeout)|(PRM\|1\|D)|(kpr)|(kdp)|(\|lc)|(penalty))" /e /r /s</v>
      </c>
      <c r="AG149" s="1" t="str">
        <f t="shared" si="90"/>
        <v>EC</v>
      </c>
      <c r="AH149" s="86" t="str">
        <f t="shared" si="75"/>
        <v>"%USERPROFILE%\Documents\GitHub\eaglep3\Utilities\RefineRTDCRunTimes.py" --tripid 237-31 --locoid 4020 --swversion DE.1.0.8.0 --startMP 204:457 --initTime 2017-01-31T22:54:37 --startdatetime 2017-01-31T23:00:25 --delay 1 --endMP 204:233280 --enddatetime 2017-01-31T23:41:00 --enforcementcount 0 &gt;&gt;C:\Users\stu\Documents\GitHub\eaglep3-reporting\EC\2017-01-31-refined-times.txt</v>
      </c>
      <c r="AI149" s="108" t="str">
        <f t="shared" si="76"/>
        <v>echo {"issue":{"subject":"","project_id":79,"tracker_id":40,"status_id":1,"priority_id":2,"assigned_to_id":23,"start_date":"2017-01-31","description":"","custom_fields":[{"id":1,"name":"Subdivision","value":"EC"},{"id":4,"name":"Milepost","value":"23.328"},{"id":17,"name":"Train ID","value":"237-31"},{"id":16,"name":"Locomotive ID","value":"4020"},{"id":130,"name":"Impact","value":""},{"id":150,"name":"Time of Event (Mountain Time)","value":"23:41:00"},{"id":151,"name":"Denver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61" t="str">
        <f t="shared" si="77"/>
        <v>start /low /b %USERPROFILE%\Documents\GitHub\eaglep3\Utilities\DownloadLogsFromS3.py --loco 4020 --day 2017-01-31</v>
      </c>
      <c r="AN149" s="170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"%USERPROFILE%\AppData\Local\Temp\OnboardLogs"\RTDC4020\*4020*20170201* | grep -SE "(Enforcement Action)|(\[TIMEOUT)|(CHR.+\|PRM\|1\|D.+(SWITCH|SIGNAL).+UNKNOWN)" - &gt;&gt; 2017-01-31-UncaughtWiMAX.txt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698</v>
      </c>
      <c r="B150" s="7">
        <v>4019</v>
      </c>
      <c r="C150" s="21" t="s">
        <v>193</v>
      </c>
      <c r="D150" s="21" t="s">
        <v>773</v>
      </c>
      <c r="E150" s="13">
        <v>42766.995532407411</v>
      </c>
      <c r="F150" s="13">
        <v>42766.997511574074</v>
      </c>
      <c r="G150" s="7">
        <v>1</v>
      </c>
      <c r="H150" s="21" t="s">
        <v>228</v>
      </c>
      <c r="I150" s="13">
        <v>42767.024918981479</v>
      </c>
      <c r="J150" s="7">
        <v>0</v>
      </c>
      <c r="K150" s="98" t="str">
        <f t="shared" si="91"/>
        <v>4019/4020</v>
      </c>
      <c r="L150" s="21" t="str">
        <f>VLOOKUP(A150,'Trips&amp;Operators'!$C$1:$G$99999,5,FALSE)</f>
        <v>CHANDLER KELVIN</v>
      </c>
      <c r="M150" s="6">
        <f t="shared" si="92"/>
        <v>2.7407407404098194E-2</v>
      </c>
      <c r="N150" s="7">
        <f t="shared" si="100"/>
        <v>39.466666661901399</v>
      </c>
      <c r="O150" s="7"/>
      <c r="P150" s="7"/>
      <c r="Q150" s="22"/>
      <c r="R150" s="22"/>
      <c r="S150" s="31">
        <f t="shared" si="93"/>
        <v>1</v>
      </c>
      <c r="T150" s="46" t="str">
        <f t="shared" si="86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97"/>
        <v>https://d0f6bd738d7f1b3e5a7ca70fe4ff75f0.us-east-1.aws.found.io/app/kibana#/discover/Steve-Slow-Train-Analysis-(2080s-and-2083s)?_g=(refreshInterval:(display:Off,pause:!f,section:0,value:0),time:(from:'2017-01-31T22:53:34-0700',mode:absolute,to:'2017-02-01T01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94" t="str">
        <f t="shared" si="87"/>
        <v>N</v>
      </c>
      <c r="X150" s="194">
        <f t="shared" si="95"/>
        <v>1</v>
      </c>
      <c r="Y150" s="62">
        <f t="shared" si="96"/>
        <v>23.296399999999998</v>
      </c>
      <c r="Z150" s="62">
        <f t="shared" si="94"/>
        <v>1.54E-2</v>
      </c>
      <c r="AA150" s="62">
        <f t="shared" si="88"/>
        <v>23.280999999999999</v>
      </c>
      <c r="AB150" s="59" t="e">
        <f>VLOOKUP(A150,Enforcements!$C$7:$K$16,8,0)</f>
        <v>#N/A</v>
      </c>
      <c r="AC150" s="55" t="e">
        <f>VLOOKUP(A150,Enforcements!$C$7:$E$16,3,0)</f>
        <v>#N/A</v>
      </c>
      <c r="AD150" s="56" t="str">
        <f t="shared" si="89"/>
        <v>0238-31</v>
      </c>
      <c r="AE150" s="85" t="str">
        <f t="shared" si="98"/>
        <v>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 &amp; aws s3 cp s3://rtdc.mdm.uploadarchive.raw/RTDC4019/ "%USERPROFILE%\AppData\Local\Temp\OnboardLogs"\RTDC4019\2017-02-01 --exclude "*" --recursive --include "*20170201*" &amp; "%USERPROFILE%\Documents\GitHub\mrs-test-scripts\Headless Mode &amp; Sideloading\WalkAndUnGZ.bat" "%USERPROFILE%\AppData\Local\Temp\OnboardLogs"\RTDC4019\2017-02-01</v>
      </c>
      <c r="AF150" s="82" t="str">
        <f t="shared" si="99"/>
        <v>"C:\Program Files (x86)\AstroGrep\AstroGrep.exe" /spath="%USERPROFILE%\AppData\Local\Temp\OnboardLogs" /stypes="app*4019*20170201*" /stext=" 07:.+((SYSTEM_STATE.+slice.+state.+changed )|(ment ac)|(multiple cpu faults)|(system.+state.+changed )|(\[timeout)|(PRM\|1\|D)|(kpr)|(kdp)|(\|lc)|(penalty))" /e /r /s</v>
      </c>
      <c r="AG150" s="1" t="str">
        <f t="shared" si="90"/>
        <v>EC</v>
      </c>
      <c r="AH150" s="86" t="str">
        <f t="shared" si="75"/>
        <v>"%USERPROFILE%\Documents\GitHub\eaglep3\Utilities\RefineRTDCRunTimes.py" --tripid 238-31 --locoid 4019 --swversion DE.1.0.8.0 --startMP 204:232964 --initTime 2017-01-31T23:53:34 --startdatetime 2017-01-31T23:56:25 --delay 1 --endMP 204:154 --enddatetime 2017-02-01T00:35:53 --enforcementcount 0 &gt;&gt;C:\Users\stu\Documents\GitHub\eaglep3-reporting\EC\2017-01-31-refined-times.txt</v>
      </c>
      <c r="AI150" s="108" t="str">
        <f t="shared" si="76"/>
        <v>echo {"issue":{"subject":"","project_id":79,"tracker_id":40,"status_id":1,"priority_id":2,"assigned_to_id":23,"start_date":"2017-02-01","description":"","custom_fields":[{"id":1,"name":"Subdivision","value":"EC"},{"id":4,"name":"Milepost","value":"0.0154"},{"id":17,"name":"Train ID","value":"238-31"},{"id":16,"name":"Locomotive ID","value":"4019"},{"id":130,"name":"Impact","value":""},{"id":150,"name":"Time of Event (Mountain Time)","value":"00:35:53"},{"id":151,"name":"Denver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61" t="str">
        <f t="shared" si="77"/>
        <v>start /low /b %USERPROFILE%\Documents\GitHub\eaglep3\Utilities\DownloadLogsFromS3.py --loco 4019 --day 2017-01-31</v>
      </c>
      <c r="AN150" s="170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"%USERPROFILE%\AppData\Local\Temp\OnboardLogs"\RTDC4019\*4019*20170201* | grep -SE "(Enforcement Action)|(\[TIMEOUT)|(CHR.+\|PRM\|1\|D.+(SWITCH|SIGNAL).+UNKNOWN)" - &gt;&gt; 2017-01-31-UncaughtWiMAX.txt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521</v>
      </c>
      <c r="B151" s="7">
        <v>4002</v>
      </c>
      <c r="C151" s="21" t="s">
        <v>193</v>
      </c>
      <c r="D151" s="21" t="s">
        <v>463</v>
      </c>
      <c r="E151" s="13">
        <v>42766.965671296297</v>
      </c>
      <c r="F151" s="13">
        <v>42766.979328703703</v>
      </c>
      <c r="G151" s="7">
        <v>1</v>
      </c>
      <c r="H151" s="21" t="s">
        <v>774</v>
      </c>
      <c r="I151" s="13">
        <v>42767.003912037035</v>
      </c>
      <c r="J151" s="7">
        <v>0</v>
      </c>
      <c r="K151" s="98" t="str">
        <f t="shared" si="91"/>
        <v>4001/4002</v>
      </c>
      <c r="L151" s="21" t="str">
        <f>VLOOKUP(A151,'Trips&amp;Operators'!$C$1:$G$99999,5,FALSE)</f>
        <v>NEWELL JAMES</v>
      </c>
      <c r="M151" s="6">
        <f t="shared" si="92"/>
        <v>2.4583333331975155E-2</v>
      </c>
      <c r="N151" s="7">
        <f t="shared" si="100"/>
        <v>35.399999998044223</v>
      </c>
      <c r="O151" s="7"/>
      <c r="P151" s="7"/>
      <c r="Q151" s="22"/>
      <c r="R151" s="22"/>
      <c r="S151" s="31">
        <f t="shared" si="93"/>
        <v>1</v>
      </c>
      <c r="T151" s="46" t="str">
        <f t="shared" ref="T151:T182" si="101">IF(ISEVEN(LEFT(AD151,4)),"Southbound","NorthBound")</f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97"/>
        <v>https://d0f6bd738d7f1b3e5a7ca70fe4ff75f0.us-east-1.aws.found.io/app/kibana#/discover/Steve-Slow-Train-Analysis-(2080s-and-2083s)?_g=(refreshInterval:(display:Off,pause:!f,section:0,value:0),time:(from:'2017-01-31T22:10:34-0700',mode:absolute,to:'2017-02-01T01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194" t="str">
        <f t="shared" ref="W151:W182" si="102">IF(AA151&lt;IF(AG151="EC",23,5.65),"Y","N")</f>
        <v>N</v>
      </c>
      <c r="X151" s="194">
        <f t="shared" si="95"/>
        <v>1</v>
      </c>
      <c r="Y151" s="62">
        <f t="shared" si="96"/>
        <v>4.4699999999999997E-2</v>
      </c>
      <c r="Z151" s="62">
        <f t="shared" si="94"/>
        <v>23.333100000000002</v>
      </c>
      <c r="AA151" s="62">
        <f t="shared" ref="AA151:AA182" si="103">ABS(Z151-Y151)</f>
        <v>23.288400000000003</v>
      </c>
      <c r="AB151" s="59" t="str">
        <f>VLOOKUP(A151,Enforcements!$C$7:$K$16,8,0)</f>
        <v>Signal based authority (5)</v>
      </c>
      <c r="AC151" s="55" t="str">
        <f>VLOOKUP(A151,Enforcements!$C$7:$E$16,3,0)</f>
        <v>SIGNAL</v>
      </c>
      <c r="AD151" s="56" t="str">
        <f t="shared" ref="AD151:AD182" si="104">IF(LEN(A151)=6,"0"&amp;A151,A151)</f>
        <v>0239-31</v>
      </c>
      <c r="AE151" s="85" t="str">
        <f t="shared" si="98"/>
        <v>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 &amp; aws s3 cp s3://rtdc.mdm.uploadarchive.raw/RTDC4002/ "%USERPROFILE%\AppData\Local\Temp\OnboardLogs"\RTDC4002\2017-02-01 --exclude "*" --recursive --include "*20170201*" &amp; "%USERPROFILE%\Documents\GitHub\mrs-test-scripts\Headless Mode &amp; Sideloading\WalkAndUnGZ.bat" "%USERPROFILE%\AppData\Local\Temp\OnboardLogs"\RTDC4002\2017-02-01</v>
      </c>
      <c r="AF151" s="82" t="str">
        <f t="shared" si="99"/>
        <v>"C:\Program Files (x86)\AstroGrep\AstroGrep.exe" /spath="%USERPROFILE%\AppData\Local\Temp\OnboardLogs" /stypes="app*4002*20170201*" /stext=" 07:.+((SYSTEM_STATE.+slice.+state.+changed )|(ment ac)|(multiple cpu faults)|(system.+state.+changed )|(\[timeout)|(PRM\|1\|D)|(kpr)|(kdp)|(\|lc)|(penalty))" /e /r /s</v>
      </c>
      <c r="AG151" s="1" t="str">
        <f t="shared" ref="AG151:AG182" si="105">IFERROR(IF(VALUE(LEFT(AD151,2))&lt;=2,"EC",IF(OR(VALUE(LEFT(AD151,2))=8,VALUE(LEFT(AD151,2))=18),"NW","Other")),"Other")</f>
        <v>EC</v>
      </c>
      <c r="AH151" s="86" t="str">
        <f t="shared" si="75"/>
        <v>"%USERPROFILE%\Documents\GitHub\eaglep3\Utilities\RefineRTDCRunTimes.py" --tripid 239-31 --locoid 4002 --swversion DE.1.0.8.0 --startMP 204:447 --initTime 2017-01-31T23:10:34 --startdatetime 2017-01-31T23:30:14 --delay 1 --endMP 204:233331 --enddatetime 2017-02-01T00:05:38 --enforcementcount 0 &gt;&gt;C:\Users\stu\Documents\GitHub\eaglep3-reporting\EC\2017-01-31-refined-times.txt</v>
      </c>
      <c r="AI151" s="108" t="str">
        <f t="shared" si="76"/>
        <v>echo {"issue":{"subject":"","project_id":79,"tracker_id":40,"status_id":1,"priority_id":2,"assigned_to_id":23,"start_date":"2017-02-01","description":"","custom_fields":[{"id":1,"name":"Subdivision","value":"EC"},{"id":4,"name":"Milepost","value":"23.3331"},{"id":17,"name":"Train ID","value":"239-31"},{"id":16,"name":"Locomotive ID","value":"4002"},{"id":130,"name":"Impact","value":""},{"id":150,"name":"Time of Event (Mountain Time)","value":"00:05:38"},{"id":151,"name":"Denver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61" t="str">
        <f t="shared" si="77"/>
        <v>start /low /b %USERPROFILE%\Documents\GitHub\eaglep3\Utilities\DownloadLogsFromS3.py --loco 4002 --day 2017-01-31</v>
      </c>
      <c r="AN151" s="170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"%USERPROFILE%\AppData\Local\Temp\OnboardLogs"\RTDC4002\*4002*20170201* | grep -SE "(Enforcement Action)|(\[TIMEOUT)|(CHR.+\|PRM\|1\|D.+(SWITCH|SIGNAL).+UNKNOWN)" - &gt;&gt; 2017-01-31-UncaughtWiMAX.txt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700</v>
      </c>
      <c r="B152" s="7">
        <v>4001</v>
      </c>
      <c r="C152" s="21" t="s">
        <v>193</v>
      </c>
      <c r="D152" s="21" t="s">
        <v>297</v>
      </c>
      <c r="E152" s="13">
        <v>42767.014999999999</v>
      </c>
      <c r="F152" s="13">
        <v>42767.01835648148</v>
      </c>
      <c r="G152" s="7">
        <v>0</v>
      </c>
      <c r="H152" s="21" t="s">
        <v>214</v>
      </c>
      <c r="I152" s="13">
        <v>42767.044270833336</v>
      </c>
      <c r="J152" s="7">
        <v>0</v>
      </c>
      <c r="K152" s="98" t="str">
        <f t="shared" si="91"/>
        <v>4001/4002</v>
      </c>
      <c r="L152" s="21" t="str">
        <f>VLOOKUP(A152,'Trips&amp;Operators'!$C$1:$G$99999,5,FALSE)</f>
        <v>NEWELL JAMES</v>
      </c>
      <c r="M152" s="6">
        <f t="shared" si="92"/>
        <v>2.5914351856044959E-2</v>
      </c>
      <c r="N152" s="7">
        <f t="shared" si="100"/>
        <v>37.316666672704741</v>
      </c>
      <c r="O152" s="7"/>
      <c r="P152" s="7"/>
      <c r="Q152" s="22"/>
      <c r="R152" s="22"/>
      <c r="S152" s="31">
        <f t="shared" si="93"/>
        <v>1</v>
      </c>
      <c r="T152" s="46" t="str">
        <f t="shared" si="101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97"/>
        <v>https://d0f6bd738d7f1b3e5a7ca70fe4ff75f0.us-east-1.aws.found.io/app/kibana#/discover/Steve-Slow-Train-Analysis-(2080s-and-2083s)?_g=(refreshInterval:(display:Off,pause:!f,section:0,value:0),time:(from:'2017-01-31T23:21:36-0700',mode:absolute,to:'2017-02-01T02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194" t="str">
        <f t="shared" si="102"/>
        <v>N</v>
      </c>
      <c r="X152" s="194">
        <f t="shared" si="95"/>
        <v>1</v>
      </c>
      <c r="Y152" s="62">
        <f t="shared" si="96"/>
        <v>23.299399999999999</v>
      </c>
      <c r="Z152" s="62">
        <f t="shared" si="94"/>
        <v>1.52E-2</v>
      </c>
      <c r="AA152" s="62">
        <f t="shared" si="103"/>
        <v>23.284199999999998</v>
      </c>
      <c r="AB152" s="59" t="e">
        <f>VLOOKUP(A152,Enforcements!$C$7:$K$16,8,0)</f>
        <v>#N/A</v>
      </c>
      <c r="AC152" s="55" t="e">
        <f>VLOOKUP(A152,Enforcements!$C$7:$E$16,3,0)</f>
        <v>#N/A</v>
      </c>
      <c r="AD152" s="56" t="str">
        <f t="shared" si="104"/>
        <v>0240-31</v>
      </c>
      <c r="AE152" s="85" t="str">
        <f t="shared" si="98"/>
        <v>aws s3 cp s3://rtdc.mdm.uploadarchive.raw/RTDC4001/ "%USERPROFILE%\AppData\Local\Temp\OnboardLogs"\RTDC4001\2017-02-01 --exclude "*" --recursive --include "*20170201*" &amp; "%USERPROFILE%\Documents\GitHub\mrs-test-scripts\Headless Mode &amp; Sideloading\WalkAndUnGZ.bat" "%USERPROFILE%\AppData\Local\Temp\OnboardLogs"\RTDC4001\2017-02-01 &amp; aws s3 cp s3://rtdc.mdm.uploadarchive.raw/RTDC4001/ "%USERPROFILE%\AppData\Local\Temp\OnboardLogs"\RTDC4001\2017-02-02 --exclude "*" --recursive --include "*20170202*" &amp; "%USERPROFILE%\Documents\GitHub\mrs-test-scripts\Headless Mode &amp; Sideloading\WalkAndUnGZ.bat" "%USERPROFILE%\AppData\Local\Temp\OnboardLogs"\RTDC4001\2017-02-02</v>
      </c>
      <c r="AF152" s="82" t="str">
        <f t="shared" si="99"/>
        <v>"C:\Program Files (x86)\AstroGrep\AstroGrep.exe" /spath="%USERPROFILE%\AppData\Local\Temp\OnboardLogs" /stypes="app*4001*20170201*" /stext=" 08:.+((SYSTEM_STATE.+slice.+state.+changed )|(ment ac)|(multiple cpu faults)|(system.+state.+changed )|(\[timeout)|(PRM\|1\|D)|(kpr)|(kdp)|(\|lc)|(penalty))" /e /r /s</v>
      </c>
      <c r="AG152" s="1" t="str">
        <f t="shared" si="105"/>
        <v>EC</v>
      </c>
      <c r="AH152" s="86" t="str">
        <f t="shared" si="75"/>
        <v>"%USERPROFILE%\Documents\GitHub\eaglep3\Utilities\RefineRTDCRunTimes.py" --tripid 240-31 --locoid 4001 --swversion DE.1.0.8.0 --startMP 204:232994 --initTime 2017-02-01T00:21:36 --startdatetime 2017-02-01T00:26:26 --delay 0 --endMP 204:152 --enddatetime 2017-02-01T01:03:45 --enforcementcount 0 &gt;&gt;C:\Users\stu\Documents\GitHub\eaglep3-reporting\EC\2017-01-31-refined-times.txt</v>
      </c>
      <c r="AI152" s="108" t="str">
        <f t="shared" si="76"/>
        <v>echo {"issue":{"subject":"","project_id":79,"tracker_id":40,"status_id":1,"priority_id":2,"assigned_to_id":23,"start_date":"2017-02-01","description":"","custom_fields":[{"id":1,"name":"Subdivision","value":"EC"},{"id":4,"name":"Milepost","value":"0.0152"},{"id":17,"name":"Train ID","value":"240-31"},{"id":16,"name":"Locomotive ID","value":"4001"},{"id":130,"name":"Impact","value":""},{"id":150,"name":"Time of Event (Mountain Time)","value":"01:03:45"},{"id":151,"name":"Denver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61" t="str">
        <f t="shared" si="77"/>
        <v>start /low /b %USERPROFILE%\Documents\GitHub\eaglep3\Utilities\DownloadLogsFromS3.py --loco 4001 --day 2017-02-01</v>
      </c>
      <c r="AN152" s="170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"%USERPROFILE%\AppData\Local\Temp\OnboardLogs"\RTDC4001\*4001*20170201* | grep -SE "(Enforcement Action)|(\[TIMEOUT)|(CHR.+\|PRM\|1\|D.+(SWITCH|SIGNAL).+UNKNOWN)" - &gt;&gt; 2017-01-31-UncaughtWiMAX.txt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697</v>
      </c>
      <c r="B153" s="7">
        <v>4040</v>
      </c>
      <c r="C153" s="21" t="s">
        <v>193</v>
      </c>
      <c r="D153" s="21" t="s">
        <v>775</v>
      </c>
      <c r="E153" s="13">
        <v>42766.991307870368</v>
      </c>
      <c r="F153" s="13">
        <v>42767.00037037037</v>
      </c>
      <c r="G153" s="7">
        <v>4</v>
      </c>
      <c r="H153" s="21" t="s">
        <v>473</v>
      </c>
      <c r="I153" s="13">
        <v>42767.025405092594</v>
      </c>
      <c r="J153" s="7">
        <v>0</v>
      </c>
      <c r="K153" s="98" t="str">
        <f t="shared" si="91"/>
        <v>4039/4040</v>
      </c>
      <c r="L153" s="21" t="str">
        <f>VLOOKUP(A153,'Trips&amp;Operators'!$C$1:$G$99999,5,FALSE)</f>
        <v>STORY SAMANTHA</v>
      </c>
      <c r="M153" s="6">
        <f t="shared" si="92"/>
        <v>2.5034722224518191E-2</v>
      </c>
      <c r="N153" s="7">
        <f t="shared" si="100"/>
        <v>36.050000003306195</v>
      </c>
      <c r="O153" s="7"/>
      <c r="P153" s="7"/>
      <c r="Q153" s="22"/>
      <c r="R153" s="22"/>
      <c r="S153" s="31">
        <f t="shared" si="93"/>
        <v>1</v>
      </c>
      <c r="T153" s="46" t="str">
        <f t="shared" si="101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97"/>
        <v>https://d0f6bd738d7f1b3e5a7ca70fe4ff75f0.us-east-1.aws.found.io/app/kibana#/discover/Steve-Slow-Train-Analysis-(2080s-and-2083s)?_g=(refreshInterval:(display:Off,pause:!f,section:0,value:0),time:(from:'2017-01-31T22:47:29-0700',mode:absolute,to:'2017-02-01T01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194" t="str">
        <f t="shared" si="102"/>
        <v>N</v>
      </c>
      <c r="X153" s="194">
        <f t="shared" si="95"/>
        <v>1</v>
      </c>
      <c r="Y153" s="62">
        <f t="shared" si="96"/>
        <v>5.7500000000000002E-2</v>
      </c>
      <c r="Z153" s="62">
        <f t="shared" si="94"/>
        <v>23.340800000000002</v>
      </c>
      <c r="AA153" s="62">
        <f t="shared" si="103"/>
        <v>23.283300000000001</v>
      </c>
      <c r="AB153" s="59" t="e">
        <f>VLOOKUP(A153,Enforcements!$C$7:$K$16,8,0)</f>
        <v>#N/A</v>
      </c>
      <c r="AC153" s="55" t="e">
        <f>VLOOKUP(A153,Enforcements!$C$7:$E$16,3,0)</f>
        <v>#N/A</v>
      </c>
      <c r="AD153" s="56" t="str">
        <f t="shared" si="104"/>
        <v>0241-31</v>
      </c>
      <c r="AE153" s="85" t="str">
        <f t="shared" si="98"/>
        <v>aws s3 cp s3://rtdc.mdm.uploadarchive.raw/RTDC4040/ "%USERPROFILE%\AppData\Local\Temp\OnboardLogs"\RTDC4040\2017-02-01 --exclude "*" --recursive --include "*20170201*" &amp; "%USERPROFILE%\Documents\GitHub\mrs-test-scripts\Headless Mode &amp; Sideloading\WalkAndUnGZ.bat" "%USERPROFILE%\AppData\Local\Temp\OnboardLogs"\RTDC4040\2017-02-01 &amp; aws s3 cp s3://rtdc.mdm.uploadarchive.raw/RTDC4040/ "%USERPROFILE%\AppData\Local\Temp\OnboardLogs"\RTDC4040\2017-02-02 --exclude "*" --recursive --include "*20170202*" &amp; "%USERPROFILE%\Documents\GitHub\mrs-test-scripts\Headless Mode &amp; Sideloading\WalkAndUnGZ.bat" "%USERPROFILE%\AppData\Local\Temp\OnboardLogs"\RTDC4040\2017-02-02</v>
      </c>
      <c r="AF153" s="82" t="str">
        <f t="shared" si="99"/>
        <v>"C:\Program Files (x86)\AstroGrep\AstroGrep.exe" /spath="%USERPROFILE%\AppData\Local\Temp\OnboardLogs" /stypes="app*4040*20170201*" /stext=" 07:.+((SYSTEM_STATE.+slice.+state.+changed )|(ment ac)|(multiple cpu faults)|(system.+state.+changed )|(\[timeout)|(PRM\|1\|D)|(kpr)|(kdp)|(\|lc)|(penalty))" /e /r /s</v>
      </c>
      <c r="AG153" s="1" t="str">
        <f t="shared" si="105"/>
        <v>EC</v>
      </c>
      <c r="AH153" s="86" t="str">
        <f t="shared" si="75"/>
        <v>"%USERPROFILE%\Documents\GitHub\eaglep3\Utilities\RefineRTDCRunTimes.py" --tripid 241-31 --locoid 4040 --swversion DE.1.0.8.0 --startMP 204:575 --initTime 2017-01-31T23:47:29 --startdatetime 2017-02-01T00:00:32 --delay 4 --endMP 204:233408 --enddatetime 2017-02-01T00:36:35 --enforcementcount 0 &gt;&gt;C:\Users\stu\Documents\GitHub\eaglep3-reporting\EC\2017-01-31-refined-times.txt</v>
      </c>
      <c r="AI153" s="108" t="str">
        <f t="shared" si="76"/>
        <v>echo {"issue":{"subject":"","project_id":79,"tracker_id":40,"status_id":1,"priority_id":2,"assigned_to_id":23,"start_date":"2017-02-01","description":"","custom_fields":[{"id":1,"name":"Subdivision","value":"EC"},{"id":4,"name":"Milepost","value":"23.3408"},{"id":17,"name":"Train ID","value":"241-31"},{"id":16,"name":"Locomotive ID","value":"4040"},{"id":130,"name":"Impact","value":""},{"id":150,"name":"Time of Event (Mountain Time)","value":"00:36:35"},{"id":151,"name":"Denver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61" t="str">
        <f t="shared" si="77"/>
        <v>start /low /b %USERPROFILE%\Documents\GitHub\eaglep3\Utilities\DownloadLogsFromS3.py --loco 4040 --day 2017-02-01</v>
      </c>
      <c r="AN153" s="170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"%USERPROFILE%\AppData\Local\Temp\OnboardLogs"\RTDC4040\*4040*20170201* | grep -SE "(Enforcement Action)|(\[TIMEOUT)|(CHR.+\|PRM\|1\|D.+(SWITCH|SIGNAL).+UNKNOWN)" - &gt;&gt; 2017-01-31-UncaughtWiMAX.txt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702</v>
      </c>
      <c r="B154" s="7">
        <v>4039</v>
      </c>
      <c r="C154" s="21" t="s">
        <v>193</v>
      </c>
      <c r="D154" s="21" t="s">
        <v>776</v>
      </c>
      <c r="E154" s="13">
        <v>42767.036192129628</v>
      </c>
      <c r="F154" s="13">
        <v>42767.039236111108</v>
      </c>
      <c r="G154" s="7">
        <v>1</v>
      </c>
      <c r="H154" s="21" t="s">
        <v>197</v>
      </c>
      <c r="I154" s="13">
        <v>42767.065520833334</v>
      </c>
      <c r="J154" s="7">
        <v>0</v>
      </c>
      <c r="K154" s="98" t="str">
        <f t="shared" si="91"/>
        <v>4039/4040</v>
      </c>
      <c r="L154" s="21" t="str">
        <f>VLOOKUP(A154,'Trips&amp;Operators'!$C$1:$G$99999,5,FALSE)</f>
        <v>STORY SAMANTHA</v>
      </c>
      <c r="M154" s="6">
        <f t="shared" si="92"/>
        <v>2.6284722225682344E-2</v>
      </c>
      <c r="N154" s="7">
        <f t="shared" si="100"/>
        <v>37.850000004982576</v>
      </c>
      <c r="O154" s="7"/>
      <c r="P154" s="7"/>
      <c r="Q154" s="22"/>
      <c r="R154" s="22"/>
      <c r="S154" s="31">
        <f t="shared" si="93"/>
        <v>1</v>
      </c>
      <c r="T154" s="46" t="str">
        <f t="shared" si="101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97"/>
        <v>https://d0f6bd738d7f1b3e5a7ca70fe4ff75f0.us-east-1.aws.found.io/app/kibana#/discover/Steve-Slow-Train-Analysis-(2080s-and-2083s)?_g=(refreshInterval:(display:Off,pause:!f,section:0,value:0),time:(from:'2017-01-31T23:52:07-0700',mode:absolute,to:'2017-02-01T02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194" t="str">
        <f t="shared" si="102"/>
        <v>N</v>
      </c>
      <c r="X154" s="194">
        <f t="shared" si="95"/>
        <v>1</v>
      </c>
      <c r="Y154" s="62">
        <f t="shared" si="96"/>
        <v>23.308499999999999</v>
      </c>
      <c r="Z154" s="62">
        <f t="shared" si="94"/>
        <v>1.4999999999999999E-2</v>
      </c>
      <c r="AA154" s="62">
        <f t="shared" si="103"/>
        <v>23.293499999999998</v>
      </c>
      <c r="AB154" s="59" t="e">
        <f>VLOOKUP(A154,Enforcements!$C$7:$K$16,8,0)</f>
        <v>#N/A</v>
      </c>
      <c r="AC154" s="55" t="e">
        <f>VLOOKUP(A154,Enforcements!$C$7:$E$16,3,0)</f>
        <v>#N/A</v>
      </c>
      <c r="AD154" s="56" t="str">
        <f t="shared" si="104"/>
        <v>0242-31</v>
      </c>
      <c r="AE154" s="85" t="str">
        <f t="shared" si="98"/>
        <v>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 &amp; aws s3 cp s3://rtdc.mdm.uploadarchive.raw/RTDC4039/ "%USERPROFILE%\AppData\Local\Temp\OnboardLogs"\RTDC4039\2017-02-02 --exclude "*" --recursive --include "*20170202*" &amp; "%USERPROFILE%\Documents\GitHub\mrs-test-scripts\Headless Mode &amp; Sideloading\WalkAndUnGZ.bat" "%USERPROFILE%\AppData\Local\Temp\OnboardLogs"\RTDC4039\2017-02-02</v>
      </c>
      <c r="AF154" s="82" t="str">
        <f t="shared" si="99"/>
        <v>"C:\Program Files (x86)\AstroGrep\AstroGrep.exe" /spath="%USERPROFILE%\AppData\Local\Temp\OnboardLogs" /stypes="app*4039*20170201*" /stext=" 08:.+((SYSTEM_STATE.+slice.+state.+changed )|(ment ac)|(multiple cpu faults)|(system.+state.+changed )|(\[timeout)|(PRM\|1\|D)|(kpr)|(kdp)|(\|lc)|(penalty))" /e /r /s</v>
      </c>
      <c r="AG154" s="1" t="str">
        <f t="shared" si="105"/>
        <v>EC</v>
      </c>
      <c r="AH154" s="86" t="str">
        <f t="shared" ref="AH154:AH216" si="106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242-31 --locoid 4039 --swversion DE.1.0.8.0 --startMP 204:233085 --initTime 2017-02-01T00:52:07 --startdatetime 2017-02-01T00:56:30 --delay 1 --endMP 204:150 --enddatetime 2017-02-01T01:34:21 --enforcementcount 0 &gt;&gt;C:\Users\stu\Documents\GitHub\eaglep3-reporting\EC\2017-01-31-refined-times.txt</v>
      </c>
      <c r="AI154" s="108" t="str">
        <f t="shared" ref="AI154:AI216" si="107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{"issue":{"subject":"","project_id":79,"tracker_id":40,"status_id":1,"priority_id":2,"assigned_to_id":23,"start_date":"2017-02-01","description":"","custom_fields":[{"id":1,"name":"Subdivision","value":"EC"},{"id":4,"name":"Milepost","value":"0.015"},{"id":17,"name":"Train ID","value":"242-31"},{"id":16,"name":"Locomotive ID","value":"4039"},{"id":130,"name":"Impact","value":""},{"id":150,"name":"Time of Event (Mountain Time)","value":"01:34:21"},{"id":151,"name":"Denver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61" t="str">
        <f t="shared" ref="AM154:AM216" si="108">"start /low /b "&amp;dls3logs&amp;" --loco "&amp;B154&amp;" --day "&amp;TEXT(F154,"YYYY-MM-DD")</f>
        <v>start /low /b %USERPROFILE%\Documents\GitHub\eaglep3\Utilities\DownloadLogsFromS3.py --loco 4039 --day 2017-02-01</v>
      </c>
      <c r="AN154" s="170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"%USERPROFILE%\AppData\Local\Temp\OnboardLogs"\RTDC4039\*4039*20170201* | grep -SE "(Enforcement Action)|(\[TIMEOUT)|(CHR.+\|PRM\|1\|D.+(SWITCH|SIGNAL).+UNKNOWN)" - &gt;&gt; 2017-01-31-UncaughtWiMAX.txt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699</v>
      </c>
      <c r="B155" s="7">
        <v>4027</v>
      </c>
      <c r="C155" s="21" t="s">
        <v>193</v>
      </c>
      <c r="D155" s="21" t="s">
        <v>285</v>
      </c>
      <c r="E155" s="13">
        <v>42767.004930555559</v>
      </c>
      <c r="F155" s="13">
        <v>42767.021284722221</v>
      </c>
      <c r="G155" s="7">
        <v>1</v>
      </c>
      <c r="H155" s="21" t="s">
        <v>466</v>
      </c>
      <c r="I155" s="13">
        <v>42767.045671296299</v>
      </c>
      <c r="J155" s="7">
        <v>0</v>
      </c>
      <c r="K155" s="98" t="str">
        <f t="shared" si="91"/>
        <v>4027/4028</v>
      </c>
      <c r="L155" s="21" t="str">
        <f>VLOOKUP(A155,'Trips&amp;Operators'!$C$1:$G$99999,5,FALSE)</f>
        <v>STAMBAUGH JAMES</v>
      </c>
      <c r="M155" s="6">
        <f t="shared" si="92"/>
        <v>2.4386574077652767E-2</v>
      </c>
      <c r="N155" s="7">
        <f t="shared" si="100"/>
        <v>35.116666671819985</v>
      </c>
      <c r="O155" s="7"/>
      <c r="P155" s="7"/>
      <c r="Q155" s="22"/>
      <c r="R155" s="22"/>
      <c r="S155" s="31">
        <f t="shared" si="93"/>
        <v>1</v>
      </c>
      <c r="T155" s="46" t="str">
        <f t="shared" si="101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97"/>
        <v>https://d0f6bd738d7f1b3e5a7ca70fe4ff75f0.us-east-1.aws.found.io/app/kibana#/discover/Steve-Slow-Train-Analysis-(2080s-and-2083s)?_g=(refreshInterval:(display:Off,pause:!f,section:0,value:0),time:(from:'2017-01-31T23:07:06-0700',mode:absolute,to:'2017-02-01T02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194" t="str">
        <f t="shared" si="102"/>
        <v>N</v>
      </c>
      <c r="X155" s="194">
        <f t="shared" si="95"/>
        <v>1</v>
      </c>
      <c r="Y155" s="62">
        <f t="shared" si="96"/>
        <v>4.53E-2</v>
      </c>
      <c r="Z155" s="62">
        <f t="shared" si="94"/>
        <v>23.334</v>
      </c>
      <c r="AA155" s="62">
        <f t="shared" si="103"/>
        <v>23.288699999999999</v>
      </c>
      <c r="AB155" s="59" t="e">
        <f>VLOOKUP(A155,Enforcements!$C$7:$K$16,8,0)</f>
        <v>#N/A</v>
      </c>
      <c r="AC155" s="55" t="e">
        <f>VLOOKUP(A155,Enforcements!$C$7:$E$16,3,0)</f>
        <v>#N/A</v>
      </c>
      <c r="AD155" s="56" t="str">
        <f t="shared" si="104"/>
        <v>0243-31</v>
      </c>
      <c r="AE155" s="85" t="str">
        <f t="shared" si="98"/>
        <v>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 &amp; 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</v>
      </c>
      <c r="AF155" s="82" t="str">
        <f t="shared" si="99"/>
        <v>"C:\Program Files (x86)\AstroGrep\AstroGrep.exe" /spath="%USERPROFILE%\AppData\Local\Temp\OnboardLogs" /stypes="app*4027*20170201*" /stext=" 08:.+((SYSTEM_STATE.+slice.+state.+changed )|(ment ac)|(multiple cpu faults)|(system.+state.+changed )|(\[timeout)|(PRM\|1\|D)|(kpr)|(kdp)|(\|lc)|(penalty))" /e /r /s</v>
      </c>
      <c r="AG155" s="1" t="str">
        <f t="shared" si="105"/>
        <v>EC</v>
      </c>
      <c r="AH155" s="86" t="str">
        <f t="shared" si="106"/>
        <v>"%USERPROFILE%\Documents\GitHub\eaglep3\Utilities\RefineRTDCRunTimes.py" --tripid 243-31 --locoid 4027 --swversion DE.1.0.8.0 --startMP 204:453 --initTime 2017-02-01T00:07:06 --startdatetime 2017-02-01T00:30:39 --delay 1 --endMP 204:233340 --enddatetime 2017-02-01T01:05:46 --enforcementcount 0 &gt;&gt;C:\Users\stu\Documents\GitHub\eaglep3-reporting\EC\2017-01-31-refined-times.txt</v>
      </c>
      <c r="AI155" s="108" t="str">
        <f t="shared" si="107"/>
        <v>echo {"issue":{"subject":"","project_id":79,"tracker_id":40,"status_id":1,"priority_id":2,"assigned_to_id":23,"start_date":"2017-02-01","description":"","custom_fields":[{"id":1,"name":"Subdivision","value":"EC"},{"id":4,"name":"Milepost","value":"23.334"},{"id":17,"name":"Train ID","value":"243-31"},{"id":16,"name":"Locomotive ID","value":"4027"},{"id":130,"name":"Impact","value":""},{"id":150,"name":"Time of Event (Mountain Time)","value":"01:05:46"},{"id":151,"name":"Denver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61" t="str">
        <f t="shared" si="108"/>
        <v>start /low /b %USERPROFILE%\Documents\GitHub\eaglep3\Utilities\DownloadLogsFromS3.py --loco 4027 --day 2017-02-01</v>
      </c>
      <c r="AN155" s="170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"%USERPROFILE%\AppData\Local\Temp\OnboardLogs"\RTDC4027\*4027*20170201* | grep -SE "(Enforcement Action)|(\[TIMEOUT)|(CHR.+\|PRM\|1\|D.+(SWITCH|SIGNAL).+UNKNOWN)" - &gt;&gt; 2017-01-31-UncaughtWiMAX.txt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704</v>
      </c>
      <c r="B156" s="7">
        <v>4028</v>
      </c>
      <c r="C156" s="21" t="s">
        <v>193</v>
      </c>
      <c r="D156" s="21" t="s">
        <v>353</v>
      </c>
      <c r="E156" s="13">
        <v>42767.058854166666</v>
      </c>
      <c r="F156" s="13">
        <v>42767.060185185182</v>
      </c>
      <c r="G156" s="7">
        <v>1</v>
      </c>
      <c r="H156" s="21" t="s">
        <v>777</v>
      </c>
      <c r="I156" s="13">
        <v>42767.085555555554</v>
      </c>
      <c r="J156" s="7">
        <v>0</v>
      </c>
      <c r="K156" s="98" t="str">
        <f t="shared" si="91"/>
        <v>4027/4028</v>
      </c>
      <c r="L156" s="21" t="str">
        <f>VLOOKUP(A156,'Trips&amp;Operators'!$C$1:$G$99999,5,FALSE)</f>
        <v>STAMBAUGH JAMES</v>
      </c>
      <c r="M156" s="6">
        <f t="shared" si="92"/>
        <v>2.5370370371092577E-2</v>
      </c>
      <c r="N156" s="7">
        <f t="shared" si="100"/>
        <v>36.53333333437331</v>
      </c>
      <c r="O156" s="7"/>
      <c r="P156" s="7"/>
      <c r="Q156" s="22"/>
      <c r="R156" s="22"/>
      <c r="S156" s="31">
        <f t="shared" si="93"/>
        <v>1</v>
      </c>
      <c r="T156" s="46" t="str">
        <f t="shared" si="101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97"/>
        <v>https://d0f6bd738d7f1b3e5a7ca70fe4ff75f0.us-east-1.aws.found.io/app/kibana#/discover/Steve-Slow-Train-Analysis-(2080s-and-2083s)?_g=(refreshInterval:(display:Off,pause:!f,section:0,value:0),time:(from:'2017-02-01T00:24:45-0700',mode:absolute,to:'2017-02-01T03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6" s="194" t="str">
        <f t="shared" si="102"/>
        <v>N</v>
      </c>
      <c r="X156" s="194">
        <f t="shared" si="95"/>
        <v>1</v>
      </c>
      <c r="Y156" s="62">
        <f t="shared" si="96"/>
        <v>23.3049</v>
      </c>
      <c r="Z156" s="62">
        <f t="shared" si="94"/>
        <v>2.3199999999999998E-2</v>
      </c>
      <c r="AA156" s="62">
        <f t="shared" si="103"/>
        <v>23.281700000000001</v>
      </c>
      <c r="AB156" s="59" t="e">
        <f>VLOOKUP(A156,Enforcements!$C$7:$K$16,8,0)</f>
        <v>#N/A</v>
      </c>
      <c r="AC156" s="55" t="e">
        <f>VLOOKUP(A156,Enforcements!$C$7:$E$16,3,0)</f>
        <v>#N/A</v>
      </c>
      <c r="AD156" s="56" t="str">
        <f t="shared" si="104"/>
        <v>0244-31</v>
      </c>
      <c r="AE156" s="85" t="str">
        <f t="shared" si="98"/>
        <v>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 &amp; 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</v>
      </c>
      <c r="AF156" s="82" t="str">
        <f t="shared" si="99"/>
        <v>"C:\Program Files (x86)\AstroGrep\AstroGrep.exe" /spath="%USERPROFILE%\AppData\Local\Temp\OnboardLogs" /stypes="app*4028*20170201*" /stext=" 09:.+((SYSTEM_STATE.+slice.+state.+changed )|(ment ac)|(multiple cpu faults)|(system.+state.+changed )|(\[timeout)|(PRM\|1\|D)|(kpr)|(kdp)|(\|lc)|(penalty))" /e /r /s</v>
      </c>
      <c r="AG156" s="1" t="str">
        <f t="shared" si="105"/>
        <v>EC</v>
      </c>
      <c r="AH156" s="86" t="str">
        <f t="shared" si="106"/>
        <v>"%USERPROFILE%\Documents\GitHub\eaglep3\Utilities\RefineRTDCRunTimes.py" --tripid 244-31 --locoid 4028 --swversion DE.1.0.8.0 --startMP 204:233049 --initTime 2017-02-01T01:24:45 --startdatetime 2017-02-01T01:26:40 --delay 1 --endMP 204:232 --enddatetime 2017-02-01T02:03:12 --enforcementcount 0 &gt;&gt;C:\Users\stu\Documents\GitHub\eaglep3-reporting\EC\2017-01-31-refined-times.txt</v>
      </c>
      <c r="AI156" s="108" t="str">
        <f t="shared" si="107"/>
        <v>echo {"issue":{"subject":"","project_id":79,"tracker_id":40,"status_id":1,"priority_id":2,"assigned_to_id":23,"start_date":"2017-02-01","description":"","custom_fields":[{"id":1,"name":"Subdivision","value":"EC"},{"id":4,"name":"Milepost","value":"0.0232"},{"id":17,"name":"Train ID","value":"244-31"},{"id":16,"name":"Locomotive ID","value":"4028"},{"id":130,"name":"Impact","value":""},{"id":150,"name":"Time of Event (Mountain Time)","value":"02:03:12"},{"id":151,"name":"Denver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61" t="str">
        <f t="shared" si="108"/>
        <v>start /low /b %USERPROFILE%\Documents\GitHub\eaglep3\Utilities\DownloadLogsFromS3.py --loco 4028 --day 2017-02-01</v>
      </c>
      <c r="AN156" s="170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"%USERPROFILE%\AppData\Local\Temp\OnboardLogs"\RTDC4028\*4028*20170201* | grep -SE "(Enforcement Action)|(\[TIMEOUT)|(CHR.+\|PRM\|1\|D.+(SWITCH|SIGNAL).+UNKNOWN)" - &gt;&gt; 2017-01-31-UncaughtWiMAX.txt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522</v>
      </c>
      <c r="B157" s="7">
        <v>4007</v>
      </c>
      <c r="C157" s="21" t="s">
        <v>193</v>
      </c>
      <c r="D157" s="21" t="s">
        <v>795</v>
      </c>
      <c r="E157" s="13">
        <v>42766.233981481484</v>
      </c>
      <c r="F157" s="13">
        <v>42766.244016203702</v>
      </c>
      <c r="G157" s="7">
        <v>1</v>
      </c>
      <c r="H157" s="21" t="s">
        <v>489</v>
      </c>
      <c r="I157" s="13">
        <v>42766.255613425928</v>
      </c>
      <c r="J157" s="7">
        <v>0</v>
      </c>
      <c r="K157" s="98" t="str">
        <f t="shared" si="91"/>
        <v>4007/4008</v>
      </c>
      <c r="L157" s="21" t="str">
        <f>VLOOKUP(A157,'Trips&amp;Operators'!$C$1:$G$99999,5,FALSE)</f>
        <v>STRICKLAND EVAN</v>
      </c>
      <c r="M157" s="6">
        <f t="shared" si="92"/>
        <v>1.1597222226555459E-2</v>
      </c>
      <c r="N157" s="7">
        <f t="shared" si="100"/>
        <v>16.700000006239861</v>
      </c>
      <c r="O157" s="7"/>
      <c r="P157" s="7"/>
      <c r="Q157" s="22"/>
      <c r="R157" s="22"/>
      <c r="S157" s="31">
        <f t="shared" si="93"/>
        <v>1</v>
      </c>
      <c r="T157" s="46" t="str">
        <f t="shared" si="101"/>
        <v>NorthBound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 t="shared" si="97"/>
        <v>https://d0f6bd738d7f1b3e5a7ca70fe4ff75f0.us-east-1.aws.found.io/app/kibana#/discover/Steve-Slow-Train-Analysis-(2080s-and-2083s)?_g=(refreshInterval:(display:Off,pause:!f,section:0,value:0),time:(from:'2017-01-31T04:36:56-0700',mode:absolute,to:'2017-01-31T07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7" s="194" t="str">
        <f t="shared" si="102"/>
        <v>N</v>
      </c>
      <c r="X157" s="194">
        <f t="shared" si="95"/>
        <v>557</v>
      </c>
      <c r="Y157" s="62">
        <f t="shared" si="96"/>
        <v>0.10440000000000001</v>
      </c>
      <c r="Z157" s="62">
        <f t="shared" si="94"/>
        <v>5.8964999999999996</v>
      </c>
      <c r="AA157" s="62">
        <f t="shared" si="103"/>
        <v>5.7920999999999996</v>
      </c>
      <c r="AB157" s="59" t="e">
        <f>VLOOKUP(A157,Enforcements!$C$7:$K$16,8,0)</f>
        <v>#N/A</v>
      </c>
      <c r="AC157" s="55" t="e">
        <f>VLOOKUP(A157,Enforcements!$C$7:$E$16,3,0)</f>
        <v>#N/A</v>
      </c>
      <c r="AD157" s="56" t="str">
        <f t="shared" si="104"/>
        <v>0801-31</v>
      </c>
      <c r="AE157" s="85" t="str">
        <f t="shared" si="98"/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AF157" s="82" t="str">
        <f t="shared" si="99"/>
        <v>"C:\Program Files (x86)\AstroGrep\AstroGrep.exe" /spath="%USERPROFILE%\AppData\Local\Temp\OnboardLogs" /stypes="app*4007*20170131*" /stext=" 13:.+((SYSTEM_STATE.+slice.+state.+changed )|(ment ac)|(multiple cpu faults)|(system.+state.+changed )|(\[timeout)|(PRM\|1\|D)|(kpr)|(kdp)|(\|lc)|(penalty))" /e /r /s</v>
      </c>
      <c r="AG157" s="1" t="str">
        <f t="shared" si="105"/>
        <v>NW</v>
      </c>
      <c r="AH157" s="86" t="str">
        <f t="shared" si="106"/>
        <v>"%USERPROFILE%\Documents\GitHub\eaglep3\Utilities\RefineRTDCRunTimes.py" --tripid 801-31 --locoid 4007 --swversion DE.1.0.8.0 --startMP 204:1044 --initTime 2017-01-31T05:36:56 --startdatetime 2017-01-31T05:51:23 --delay 1 --endMP 300:58965 --enddatetime 2017-01-31T06:08:05 --enforcementcount 0 &gt;&gt;C:\Users\stu\Documents\GitHub\eaglep3-reporting\EC\2017-01-31-refined-times.txt</v>
      </c>
      <c r="AI157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{"issue":{"subject":"","project_id":79,"tracker_id":40,"status_id":1,"priority_id":2,"assigned_to_id":23,"start_date":"2017-01-31","description":"","custom_fields":[{"id":1,"name":"Subdivision","value":"NW"},{"id":4,"name":"Milepost","value":"5.8965"},{"id":17,"name":"Train ID","value":"801-31"},{"id":16,"name":"Locomotive ID","value":"4007"},{"id":130,"name":"Impact","value":""},{"id":150,"name":"Time of Event (Mountain Time)","value":"06:08:05"},{"id":151,"name":"Denver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61" t="str">
        <f t="shared" si="108"/>
        <v>start /low /b %USERPROFILE%\Documents\GitHub\eaglep3\Utilities\DownloadLogsFromS3.py --loco 4007 --day 2017-01-31</v>
      </c>
      <c r="AN157" s="170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"%USERPROFILE%\AppData\Local\Temp\OnboardLogs"\RTDC4007\*4007*20170131* | grep -SE "(Enforcement Action)|(\[TIMEOUT)|(CHR.+\|PRM\|1\|D.+(SWITCH|SIGNAL).+UNKNOWN)" - &gt;&gt; 2017-01-31-UncaughtWiMAX.txt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534</v>
      </c>
      <c r="B158" s="7">
        <v>4008</v>
      </c>
      <c r="C158" s="21" t="s">
        <v>193</v>
      </c>
      <c r="D158" s="21" t="s">
        <v>796</v>
      </c>
      <c r="E158" s="13">
        <v>42766.256469907406</v>
      </c>
      <c r="F158" s="13">
        <v>42766.257824074077</v>
      </c>
      <c r="G158" s="7">
        <v>1</v>
      </c>
      <c r="H158" s="21" t="s">
        <v>797</v>
      </c>
      <c r="I158" s="13">
        <v>42766.268842592595</v>
      </c>
      <c r="J158" s="7">
        <v>0</v>
      </c>
      <c r="K158" s="98" t="str">
        <f t="shared" ref="K158:K189" si="109">IF(ISEVEN(B158),(B158-1)&amp;"/"&amp;B158,B158&amp;"/"&amp;(B158+1))</f>
        <v>4007/4008</v>
      </c>
      <c r="L158" s="21" t="str">
        <f>VLOOKUP(A158,'Trips&amp;Operators'!$C$1:$G$99999,5,FALSE)</f>
        <v>STRICKLAND EVAN</v>
      </c>
      <c r="M158" s="6">
        <f t="shared" ref="M158:M189" si="110">I158-F158</f>
        <v>1.1018518518540077E-2</v>
      </c>
      <c r="N158" s="7">
        <f t="shared" si="100"/>
        <v>15.866666666697711</v>
      </c>
      <c r="O158" s="7"/>
      <c r="P158" s="7"/>
      <c r="Q158" s="22"/>
      <c r="R158" s="22"/>
      <c r="S158" s="31">
        <f t="shared" ref="S158:S189" si="111">SUM(U158:U158)/IF(AG158="EC",12,1)</f>
        <v>1</v>
      </c>
      <c r="T158" s="46" t="str">
        <f t="shared" si="101"/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 t="shared" si="97"/>
        <v>https://d0f6bd738d7f1b3e5a7ca70fe4ff75f0.us-east-1.aws.found.io/app/kibana#/discover/Steve-Slow-Train-Analysis-(2080s-and-2083s)?_g=(refreshInterval:(display:Off,pause:!f,section:0,value:0),time:(from:'2017-01-31T05:09:19-0700',mode:absolute,to:'2017-01-31T07:27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8" s="194" t="str">
        <f t="shared" si="102"/>
        <v>N</v>
      </c>
      <c r="X158" s="194">
        <f t="shared" si="95"/>
        <v>1</v>
      </c>
      <c r="Y158" s="62">
        <f t="shared" si="96"/>
        <v>5.8648999999999996</v>
      </c>
      <c r="Z158" s="62">
        <f t="shared" ref="Z158:Z189" si="112">RIGHT(H158,LEN(H158)-4)/10000</f>
        <v>7.6799999999999993E-2</v>
      </c>
      <c r="AA158" s="62">
        <f t="shared" si="103"/>
        <v>5.7880999999999991</v>
      </c>
      <c r="AB158" s="59" t="e">
        <f>VLOOKUP(A158,Enforcements!$C$7:$K$16,8,0)</f>
        <v>#N/A</v>
      </c>
      <c r="AC158" s="55" t="e">
        <f>VLOOKUP(A158,Enforcements!$C$7:$E$16,3,0)</f>
        <v>#N/A</v>
      </c>
      <c r="AD158" s="56" t="str">
        <f t="shared" si="104"/>
        <v>0802-31</v>
      </c>
      <c r="AE158" s="85" t="str">
        <f t="shared" si="98"/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AF158" s="82" t="str">
        <f t="shared" si="99"/>
        <v>"C:\Program Files (x86)\AstroGrep\AstroGrep.exe" /spath="%USERPROFILE%\AppData\Local\Temp\OnboardLogs" /stypes="app*4008*20170131*" /stext=" 13:.+((SYSTEM_STATE.+slice.+state.+changed )|(ment ac)|(multiple cpu faults)|(system.+state.+changed )|(\[timeout)|(PRM\|1\|D)|(kpr)|(kdp)|(\|lc)|(penalty))" /e /r /s</v>
      </c>
      <c r="AG158" s="1" t="str">
        <f t="shared" si="105"/>
        <v>NW</v>
      </c>
      <c r="AH158" s="86" t="str">
        <f t="shared" si="106"/>
        <v>"%USERPROFILE%\Documents\GitHub\eaglep3\Utilities\RefineRTDCRunTimes.py" --tripid 802-31 --locoid 4008 --swversion DE.1.0.8.0 --startMP 300:58649 --initTime 2017-01-31T06:09:19 --startdatetime 2017-01-31T06:11:16 --delay 1 --endMP 204:768 --enddatetime 2017-01-31T06:27:08 --enforcementcount 0 &gt;&gt;C:\Users\stu\Documents\GitHub\eaglep3-reporting\EC\2017-01-31-refined-times.txt</v>
      </c>
      <c r="AI158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{"issue":{"subject":"","project_id":79,"tracker_id":40,"status_id":1,"priority_id":2,"assigned_to_id":23,"start_date":"2017-01-31","description":"","custom_fields":[{"id":1,"name":"Subdivision","value":"NW"},{"id":4,"name":"Milepost","value":"0.0768"},{"id":17,"name":"Train ID","value":"802-31"},{"id":16,"name":"Locomotive ID","value":"4008"},{"id":130,"name":"Impact","value":""},{"id":150,"name":"Time of Event (Mountain Time)","value":"06:27:08"},{"id":151,"name":"Denver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61" t="str">
        <f t="shared" si="108"/>
        <v>start /low /b %USERPROFILE%\Documents\GitHub\eaglep3\Utilities\DownloadLogsFromS3.py --loco 4008 --day 2017-01-31</v>
      </c>
      <c r="AN158" s="170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"%USERPROFILE%\AppData\Local\Temp\OnboardLogs"\RTDC4008\*4008*20170131* | grep -SE "(Enforcement Action)|(\[TIMEOUT)|(CHR.+\|PRM\|1\|D.+(SWITCH|SIGNAL).+UNKNOWN)" - &gt;&gt; 2017-01-31-UncaughtWiMAX.txt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491</v>
      </c>
      <c r="B159" s="7">
        <v>4051</v>
      </c>
      <c r="C159" s="21" t="s">
        <v>193</v>
      </c>
      <c r="D159" s="21" t="s">
        <v>798</v>
      </c>
      <c r="E159" s="13">
        <v>42766.26190972222</v>
      </c>
      <c r="F159" s="13">
        <v>42766.264803240738</v>
      </c>
      <c r="G159" s="7">
        <v>1</v>
      </c>
      <c r="H159" s="21" t="s">
        <v>799</v>
      </c>
      <c r="I159" s="13">
        <v>42766.275891203702</v>
      </c>
      <c r="J159" s="7">
        <v>1</v>
      </c>
      <c r="K159" s="98" t="str">
        <f t="shared" si="109"/>
        <v>4051/4052</v>
      </c>
      <c r="L159" s="21" t="str">
        <f>VLOOKUP(A159,'Trips&amp;Operators'!$C$1:$G$99999,5,FALSE)</f>
        <v>BROWN JACOB</v>
      </c>
      <c r="M159" s="6">
        <f t="shared" si="110"/>
        <v>1.1087962964666076E-2</v>
      </c>
      <c r="N159" s="7">
        <f t="shared" si="100"/>
        <v>15.966666669119149</v>
      </c>
      <c r="O159" s="7"/>
      <c r="P159" s="7"/>
      <c r="Q159" s="22"/>
      <c r="R159" s="22"/>
      <c r="S159" s="31">
        <f t="shared" si="111"/>
        <v>1</v>
      </c>
      <c r="T159" s="46" t="str">
        <f t="shared" si="101"/>
        <v>NorthBound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97"/>
        <v>https://d0f6bd738d7f1b3e5a7ca70fe4ff75f0.us-east-1.aws.found.io/app/kibana#/discover/Steve-Slow-Train-Analysis-(2080s-and-2083s)?_g=(refreshInterval:(display:Off,pause:!f,section:0,value:0),time:(from:'2017-01-31T05:17:09-0700',mode:absolute,to:'2017-01-31T07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194" t="str">
        <f t="shared" si="102"/>
        <v>N</v>
      </c>
      <c r="X159" s="194">
        <f t="shared" si="95"/>
        <v>1</v>
      </c>
      <c r="Y159" s="62">
        <f t="shared" si="96"/>
        <v>0.1021</v>
      </c>
      <c r="Z159" s="62">
        <f t="shared" si="112"/>
        <v>5.8940999999999999</v>
      </c>
      <c r="AA159" s="62">
        <f t="shared" si="103"/>
        <v>5.7919999999999998</v>
      </c>
      <c r="AB159" s="59" t="e">
        <f>VLOOKUP(A159,Enforcements!$C$7:$K$16,8,0)</f>
        <v>#N/A</v>
      </c>
      <c r="AC159" s="55" t="e">
        <f>VLOOKUP(A159,Enforcements!$C$7:$E$16,3,0)</f>
        <v>#N/A</v>
      </c>
      <c r="AD159" s="56" t="str">
        <f t="shared" si="104"/>
        <v>0803-31</v>
      </c>
      <c r="AE159" s="85" t="str">
        <f t="shared" si="98"/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AF159" s="82" t="str">
        <f t="shared" si="99"/>
        <v>"C:\Program Files (x86)\AstroGrep\AstroGrep.exe" /spath="%USERPROFILE%\AppData\Local\Temp\OnboardLogs" /stypes="app*4051*20170131*" /stext=" 13:.+((SYSTEM_STATE.+slice.+state.+changed )|(ment ac)|(multiple cpu faults)|(system.+state.+changed )|(\[timeout)|(PRM\|1\|D)|(kpr)|(kdp)|(\|lc)|(penalty))" /e /r /s</v>
      </c>
      <c r="AG159" s="1" t="str">
        <f t="shared" si="105"/>
        <v>NW</v>
      </c>
      <c r="AH159" s="86" t="str">
        <f t="shared" si="106"/>
        <v>"%USERPROFILE%\Documents\GitHub\eaglep3\Utilities\RefineRTDCRunTimes.py" --tripid 803-31 --locoid 4051 --swversion DE.1.0.8.0 --startMP 204:1021 --initTime 2017-01-31T06:17:09 --startdatetime 2017-01-31T06:21:19 --delay 1 --endMP 300:58941 --enddatetime 2017-01-31T06:37:17 --enforcementcount 1 &gt;&gt;C:\Users\stu\Documents\GitHub\eaglep3-reporting\EC\2017-01-31-refined-times.txt</v>
      </c>
      <c r="AI159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{"issue":{"subject":"","project_id":79,"tracker_id":40,"status_id":1,"priority_id":2,"assigned_to_id":23,"start_date":"2017-01-31","description":"","custom_fields":[{"id":1,"name":"Subdivision","value":"NW"},{"id":4,"name":"Milepost","value":"5.8941"},{"id":17,"name":"Train ID","value":"803-31"},{"id":16,"name":"Locomotive ID","value":"4051"},{"id":130,"name":"Impact","value":""},{"id":150,"name":"Time of Event (Mountain Time)","value":"06:37:17"},{"id":151,"name":"Denver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61" t="str">
        <f t="shared" si="108"/>
        <v>start /low /b %USERPROFILE%\Documents\GitHub\eaglep3\Utilities\DownloadLogsFromS3.py --loco 4051 --day 2017-01-31</v>
      </c>
      <c r="AN159" s="170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"%USERPROFILE%\AppData\Local\Temp\OnboardLogs"\RTDC4051\*4051*20170131* | grep -SE "(Enforcement Action)|(\[TIMEOUT)|(CHR.+\|PRM\|1\|D.+(SWITCH|SIGNAL).+UNKNOWN)" - &gt;&gt; 2017-01-31-UncaughtWiMAX.txt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539</v>
      </c>
      <c r="B160" s="7">
        <v>4052</v>
      </c>
      <c r="C160" s="21" t="s">
        <v>193</v>
      </c>
      <c r="D160" s="21" t="s">
        <v>484</v>
      </c>
      <c r="E160" s="13">
        <v>42766.277407407404</v>
      </c>
      <c r="F160" s="13">
        <v>42766.278506944444</v>
      </c>
      <c r="G160" s="7">
        <v>1</v>
      </c>
      <c r="H160" s="21" t="s">
        <v>800</v>
      </c>
      <c r="I160" s="13">
        <v>42766.289178240739</v>
      </c>
      <c r="J160" s="7">
        <v>0</v>
      </c>
      <c r="K160" s="98" t="str">
        <f t="shared" si="109"/>
        <v>4051/4052</v>
      </c>
      <c r="L160" s="21" t="str">
        <f>VLOOKUP(A160,'Trips&amp;Operators'!$C$1:$G$99999,5,FALSE)</f>
        <v>BROWN JACOB</v>
      </c>
      <c r="M160" s="6">
        <f t="shared" si="110"/>
        <v>1.0671296295186039E-2</v>
      </c>
      <c r="N160" s="7">
        <f t="shared" si="100"/>
        <v>15.366666665067896</v>
      </c>
      <c r="O160" s="7"/>
      <c r="P160" s="7"/>
      <c r="Q160" s="22"/>
      <c r="R160" s="22"/>
      <c r="S160" s="31">
        <f t="shared" si="111"/>
        <v>1</v>
      </c>
      <c r="T160" s="46" t="str">
        <f t="shared" si="101"/>
        <v>Southbound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97"/>
        <v>https://d0f6bd738d7f1b3e5a7ca70fe4ff75f0.us-east-1.aws.found.io/app/kibana#/discover/Steve-Slow-Train-Analysis-(2080s-and-2083s)?_g=(refreshInterval:(display:Off,pause:!f,section:0,value:0),time:(from:'2017-01-31T05:39:28-0700',mode:absolute,to:'2017-01-31T07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0" s="194" t="str">
        <f t="shared" si="102"/>
        <v>N</v>
      </c>
      <c r="X160" s="194">
        <f t="shared" si="95"/>
        <v>1</v>
      </c>
      <c r="Y160" s="62">
        <f t="shared" si="96"/>
        <v>5.8628</v>
      </c>
      <c r="Z160" s="62">
        <f t="shared" si="112"/>
        <v>7.22E-2</v>
      </c>
      <c r="AA160" s="62">
        <f t="shared" si="103"/>
        <v>5.7906000000000004</v>
      </c>
      <c r="AB160" s="59" t="e">
        <f>VLOOKUP(A160,Enforcements!$C$7:$K$16,8,0)</f>
        <v>#N/A</v>
      </c>
      <c r="AC160" s="55" t="e">
        <f>VLOOKUP(A160,Enforcements!$C$7:$E$16,3,0)</f>
        <v>#N/A</v>
      </c>
      <c r="AD160" s="56" t="str">
        <f t="shared" si="104"/>
        <v>0804-31</v>
      </c>
      <c r="AE160" s="85" t="str">
        <f t="shared" si="98"/>
        <v>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 &amp; 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</v>
      </c>
      <c r="AF160" s="82" t="str">
        <f t="shared" si="99"/>
        <v>"C:\Program Files (x86)\AstroGrep\AstroGrep.exe" /spath="%USERPROFILE%\AppData\Local\Temp\OnboardLogs" /stypes="app*4052*20170131*" /stext=" 13:.+((SYSTEM_STATE.+slice.+state.+changed )|(ment ac)|(multiple cpu faults)|(system.+state.+changed )|(\[timeout)|(PRM\|1\|D)|(kpr)|(kdp)|(\|lc)|(penalty))" /e /r /s</v>
      </c>
      <c r="AG160" s="1" t="str">
        <f t="shared" si="105"/>
        <v>NW</v>
      </c>
      <c r="AH160" s="86" t="str">
        <f t="shared" si="106"/>
        <v>"%USERPROFILE%\Documents\GitHub\eaglep3\Utilities\RefineRTDCRunTimes.py" --tripid 804-31 --locoid 4052 --swversion DE.1.0.8.0 --startMP 300:58628 --initTime 2017-01-31T06:39:28 --startdatetime 2017-01-31T06:41:03 --delay 1 --endMP 204:722 --enddatetime 2017-01-31T06:56:25 --enforcementcount 0 &gt;&gt;C:\Users\stu\Documents\GitHub\eaglep3-reporting\EC\2017-01-31-refined-times.txt</v>
      </c>
      <c r="AI160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{"issue":{"subject":"","project_id":79,"tracker_id":40,"status_id":1,"priority_id":2,"assigned_to_id":23,"start_date":"2017-01-31","description":"","custom_fields":[{"id":1,"name":"Subdivision","value":"NW"},{"id":4,"name":"Milepost","value":"0.0722"},{"id":17,"name":"Train ID","value":"804-31"},{"id":16,"name":"Locomotive ID","value":"4052"},{"id":130,"name":"Impact","value":""},{"id":150,"name":"Time of Event (Mountain Time)","value":"06:56:25"},{"id":151,"name":"Denver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61" t="str">
        <f t="shared" si="108"/>
        <v>start /low /b %USERPROFILE%\Documents\GitHub\eaglep3\Utilities\DownloadLogsFromS3.py --loco 4052 --day 2017-01-31</v>
      </c>
      <c r="AN160" s="170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2017-01-31-UncaughtWiMAX.txt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537</v>
      </c>
      <c r="B161" s="7">
        <v>4007</v>
      </c>
      <c r="C161" s="21" t="s">
        <v>193</v>
      </c>
      <c r="D161" s="21" t="s">
        <v>801</v>
      </c>
      <c r="E161" s="13">
        <v>42766.270787037036</v>
      </c>
      <c r="F161" s="13">
        <v>42766.28565972222</v>
      </c>
      <c r="G161" s="7">
        <v>1</v>
      </c>
      <c r="H161" s="21" t="s">
        <v>802</v>
      </c>
      <c r="I161" s="13">
        <v>42766.2966087963</v>
      </c>
      <c r="J161" s="7">
        <v>0</v>
      </c>
      <c r="K161" s="98" t="str">
        <f t="shared" si="109"/>
        <v>4007/4008</v>
      </c>
      <c r="L161" s="21" t="str">
        <f>VLOOKUP(A161,'Trips&amp;Operators'!$C$1:$G$99999,5,FALSE)</f>
        <v>STRICKLAND EVAN</v>
      </c>
      <c r="M161" s="6">
        <f t="shared" si="110"/>
        <v>1.0949074079690035E-2</v>
      </c>
      <c r="N161" s="7">
        <f t="shared" si="100"/>
        <v>15.766666674753651</v>
      </c>
      <c r="O161" s="7"/>
      <c r="P161" s="7"/>
      <c r="Q161" s="22"/>
      <c r="R161" s="22"/>
      <c r="S161" s="31">
        <f t="shared" si="111"/>
        <v>1</v>
      </c>
      <c r="T161" s="46" t="str">
        <f t="shared" si="101"/>
        <v>NorthBound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97"/>
        <v>https://d0f6bd738d7f1b3e5a7ca70fe4ff75f0.us-east-1.aws.found.io/app/kibana#/discover/Steve-Slow-Train-Analysis-(2080s-and-2083s)?_g=(refreshInterval:(display:Off,pause:!f,section:0,value:0),time:(from:'2017-01-31T05:29:56-0700',mode:absolute,to:'2017-01-31T08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194" t="str">
        <f t="shared" si="102"/>
        <v>N</v>
      </c>
      <c r="X161" s="194">
        <f t="shared" si="95"/>
        <v>1</v>
      </c>
      <c r="Y161" s="62">
        <f t="shared" si="96"/>
        <v>0.10349999999999999</v>
      </c>
      <c r="Z161" s="62">
        <f t="shared" si="112"/>
        <v>5.8971</v>
      </c>
      <c r="AA161" s="62">
        <f t="shared" si="103"/>
        <v>5.7935999999999996</v>
      </c>
      <c r="AB161" s="59" t="e">
        <f>VLOOKUP(A161,Enforcements!$C$7:$K$16,8,0)</f>
        <v>#N/A</v>
      </c>
      <c r="AC161" s="55" t="e">
        <f>VLOOKUP(A161,Enforcements!$C$7:$E$16,3,0)</f>
        <v>#N/A</v>
      </c>
      <c r="AD161" s="56" t="str">
        <f t="shared" si="104"/>
        <v>0805-31</v>
      </c>
      <c r="AE161" s="85" t="str">
        <f t="shared" si="98"/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AF161" s="82" t="str">
        <f t="shared" si="99"/>
        <v>"C:\Program Files (x86)\AstroGrep\AstroGrep.exe" /spath="%USERPROFILE%\AppData\Local\Temp\OnboardLogs" /stypes="app*4007*20170131*" /stext=" 14:.+((SYSTEM_STATE.+slice.+state.+changed )|(ment ac)|(multiple cpu faults)|(system.+state.+changed )|(\[timeout)|(PRM\|1\|D)|(kpr)|(kdp)|(\|lc)|(penalty))" /e /r /s</v>
      </c>
      <c r="AG161" s="1" t="str">
        <f t="shared" si="105"/>
        <v>NW</v>
      </c>
      <c r="AH161" s="86" t="str">
        <f t="shared" si="106"/>
        <v>"%USERPROFILE%\Documents\GitHub\eaglep3\Utilities\RefineRTDCRunTimes.py" --tripid 805-31 --locoid 4007 --swversion DE.1.0.8.0 --startMP 204:1035 --initTime 2017-01-31T06:29:56 --startdatetime 2017-01-31T06:51:21 --delay 1 --endMP 300:58971 --enddatetime 2017-01-31T07:07:07 --enforcementcount 0 &gt;&gt;C:\Users\stu\Documents\GitHub\eaglep3-reporting\EC\2017-01-31-refined-times.txt</v>
      </c>
      <c r="AI161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{"issue":{"subject":"","project_id":79,"tracker_id":40,"status_id":1,"priority_id":2,"assigned_to_id":23,"start_date":"2017-01-31","description":"","custom_fields":[{"id":1,"name":"Subdivision","value":"NW"},{"id":4,"name":"Milepost","value":"5.8971"},{"id":17,"name":"Train ID","value":"805-31"},{"id":16,"name":"Locomotive ID","value":"4007"},{"id":130,"name":"Impact","value":""},{"id":150,"name":"Time of Event (Mountain Time)","value":"07:07:07"},{"id":151,"name":"Denver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61" t="str">
        <f t="shared" si="108"/>
        <v>start /low /b %USERPROFILE%\Documents\GitHub\eaglep3\Utilities\DownloadLogsFromS3.py --loco 4007 --day 2017-01-31</v>
      </c>
      <c r="AN161" s="170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"%USERPROFILE%\AppData\Local\Temp\OnboardLogs"\RTDC4007\*4007*20170131* | grep -SE "(Enforcement Action)|(\[TIMEOUT)|(CHR.+\|PRM\|1\|D.+(SWITCH|SIGNAL).+UNKNOWN)" - &gt;&gt; 2017-01-31-UncaughtWiMAX.txt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545</v>
      </c>
      <c r="B162" s="7">
        <v>4008</v>
      </c>
      <c r="C162" s="21" t="s">
        <v>193</v>
      </c>
      <c r="D162" s="21" t="s">
        <v>803</v>
      </c>
      <c r="E162" s="13">
        <v>42766.297615740739</v>
      </c>
      <c r="F162" s="13">
        <v>42766.298935185187</v>
      </c>
      <c r="G162" s="7">
        <v>1</v>
      </c>
      <c r="H162" s="21" t="s">
        <v>804</v>
      </c>
      <c r="I162" s="13">
        <v>42766.310474537036</v>
      </c>
      <c r="J162" s="7">
        <v>0</v>
      </c>
      <c r="K162" s="98" t="str">
        <f t="shared" si="109"/>
        <v>4007/4008</v>
      </c>
      <c r="L162" s="21" t="str">
        <f>VLOOKUP(A162,'Trips&amp;Operators'!$C$1:$G$99999,5,FALSE)</f>
        <v>STRICKLAND EVAN</v>
      </c>
      <c r="M162" s="6">
        <f t="shared" si="110"/>
        <v>1.1539351849933155E-2</v>
      </c>
      <c r="N162" s="7">
        <f t="shared" si="100"/>
        <v>16.616666663903743</v>
      </c>
      <c r="O162" s="7"/>
      <c r="P162" s="7"/>
      <c r="Q162" s="22"/>
      <c r="R162" s="22"/>
      <c r="S162" s="31">
        <f t="shared" si="111"/>
        <v>1</v>
      </c>
      <c r="T162" s="46" t="str">
        <f t="shared" si="101"/>
        <v>Southbound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97"/>
        <v>https://d0f6bd738d7f1b3e5a7ca70fe4ff75f0.us-east-1.aws.found.io/app/kibana#/discover/Steve-Slow-Train-Analysis-(2080s-and-2083s)?_g=(refreshInterval:(display:Off,pause:!f,section:0,value:0),time:(from:'2017-01-31T06:08:34-0700',mode:absolute,to:'2017-01-31T08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94" t="str">
        <f t="shared" si="102"/>
        <v>N</v>
      </c>
      <c r="X162" s="194">
        <f t="shared" ref="X162:X193" si="113">VALUE(LEFT(AD162,4))-VALUE(LEFT(AD161,4))</f>
        <v>1</v>
      </c>
      <c r="Y162" s="62">
        <f t="shared" si="96"/>
        <v>5.8647</v>
      </c>
      <c r="Z162" s="62">
        <f t="shared" si="112"/>
        <v>7.4099999999999999E-2</v>
      </c>
      <c r="AA162" s="62">
        <f t="shared" si="103"/>
        <v>5.7906000000000004</v>
      </c>
      <c r="AB162" s="59" t="e">
        <f>VLOOKUP(A162,Enforcements!$C$7:$K$16,8,0)</f>
        <v>#N/A</v>
      </c>
      <c r="AC162" s="55" t="e">
        <f>VLOOKUP(A162,Enforcements!$C$7:$E$16,3,0)</f>
        <v>#N/A</v>
      </c>
      <c r="AD162" s="56" t="str">
        <f t="shared" si="104"/>
        <v>0806-31</v>
      </c>
      <c r="AE162" s="85" t="str">
        <f t="shared" si="98"/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AF162" s="82" t="str">
        <f t="shared" si="99"/>
        <v>"C:\Program Files (x86)\AstroGrep\AstroGrep.exe" /spath="%USERPROFILE%\AppData\Local\Temp\OnboardLogs" /stypes="app*4008*20170131*" /stext=" 14:.+((SYSTEM_STATE.+slice.+state.+changed )|(ment ac)|(multiple cpu faults)|(system.+state.+changed )|(\[timeout)|(PRM\|1\|D)|(kpr)|(kdp)|(\|lc)|(penalty))" /e /r /s</v>
      </c>
      <c r="AG162" s="1" t="str">
        <f t="shared" si="105"/>
        <v>NW</v>
      </c>
      <c r="AH162" s="86" t="str">
        <f t="shared" si="106"/>
        <v>"%USERPROFILE%\Documents\GitHub\eaglep3\Utilities\RefineRTDCRunTimes.py" --tripid 806-31 --locoid 4008 --swversion DE.1.0.8.0 --startMP 300:58647 --initTime 2017-01-31T07:08:34 --startdatetime 2017-01-31T07:10:28 --delay 1 --endMP 204:741 --enddatetime 2017-01-31T07:27:05 --enforcementcount 0 &gt;&gt;C:\Users\stu\Documents\GitHub\eaglep3-reporting\EC\2017-01-31-refined-times.txt</v>
      </c>
      <c r="AI162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{"issue":{"subject":"","project_id":79,"tracker_id":40,"status_id":1,"priority_id":2,"assigned_to_id":23,"start_date":"2017-01-31","description":"","custom_fields":[{"id":1,"name":"Subdivision","value":"NW"},{"id":4,"name":"Milepost","value":"0.0741"},{"id":17,"name":"Train ID","value":"806-31"},{"id":16,"name":"Locomotive ID","value":"4008"},{"id":130,"name":"Impact","value":""},{"id":150,"name":"Time of Event (Mountain Time)","value":"07:27:05"},{"id":151,"name":"Denver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61" t="str">
        <f t="shared" si="108"/>
        <v>start /low /b %USERPROFILE%\Documents\GitHub\eaglep3\Utilities\DownloadLogsFromS3.py --loco 4008 --day 2017-01-31</v>
      </c>
      <c r="AN162" s="170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"%USERPROFILE%\AppData\Local\Temp\OnboardLogs"\RTDC4008\*4008*20170131* | grep -SE "(Enforcement Action)|(\[TIMEOUT)|(CHR.+\|PRM\|1\|D.+(SWITCH|SIGNAL).+UNKNOWN)" - &gt;&gt; 2017-01-31-UncaughtWiMAX.txt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546</v>
      </c>
      <c r="B163" s="7">
        <v>4051</v>
      </c>
      <c r="C163" s="21" t="s">
        <v>193</v>
      </c>
      <c r="D163" s="21" t="s">
        <v>805</v>
      </c>
      <c r="E163" s="13">
        <v>42766.303287037037</v>
      </c>
      <c r="F163" s="13">
        <v>42766.306585648148</v>
      </c>
      <c r="G163" s="7">
        <v>1</v>
      </c>
      <c r="H163" s="21" t="s">
        <v>806</v>
      </c>
      <c r="I163" s="13">
        <v>42766.317060185182</v>
      </c>
      <c r="J163" s="7">
        <v>0</v>
      </c>
      <c r="K163" s="98" t="str">
        <f t="shared" si="109"/>
        <v>4051/4052</v>
      </c>
      <c r="L163" s="21" t="str">
        <f>VLOOKUP(A163,'Trips&amp;Operators'!$C$1:$G$99999,5,FALSE)</f>
        <v>BROWN JACOB</v>
      </c>
      <c r="M163" s="6">
        <f t="shared" si="110"/>
        <v>1.0474537033587694E-2</v>
      </c>
      <c r="N163" s="7">
        <f t="shared" si="100"/>
        <v>15.08333332836628</v>
      </c>
      <c r="O163" s="7"/>
      <c r="P163" s="7"/>
      <c r="Q163" s="22"/>
      <c r="R163" s="22"/>
      <c r="S163" s="31">
        <f t="shared" si="111"/>
        <v>1</v>
      </c>
      <c r="T163" s="46" t="str">
        <f t="shared" si="101"/>
        <v>NorthBound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97"/>
        <v>https://d0f6bd738d7f1b3e5a7ca70fe4ff75f0.us-east-1.aws.found.io/app/kibana#/discover/Steve-Slow-Train-Analysis-(2080s-and-2083s)?_g=(refreshInterval:(display:Off,pause:!f,section:0,value:0),time:(from:'2017-01-31T06:16:44-0700',mode:absolute,to:'2017-01-31T08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3" s="194" t="str">
        <f t="shared" si="102"/>
        <v>N</v>
      </c>
      <c r="X163" s="194">
        <f t="shared" si="113"/>
        <v>1</v>
      </c>
      <c r="Y163" s="62">
        <f t="shared" si="96"/>
        <v>0.1013</v>
      </c>
      <c r="Z163" s="62">
        <f t="shared" si="112"/>
        <v>5.8949999999999996</v>
      </c>
      <c r="AA163" s="62">
        <f t="shared" si="103"/>
        <v>5.7936999999999994</v>
      </c>
      <c r="AB163" s="59" t="e">
        <f>VLOOKUP(A163,Enforcements!$C$7:$K$16,8,0)</f>
        <v>#N/A</v>
      </c>
      <c r="AC163" s="55" t="e">
        <f>VLOOKUP(A163,Enforcements!$C$7:$E$16,3,0)</f>
        <v>#N/A</v>
      </c>
      <c r="AD163" s="56" t="str">
        <f t="shared" si="104"/>
        <v>0807-31</v>
      </c>
      <c r="AE163" s="85" t="str">
        <f t="shared" si="98"/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AF163" s="82" t="str">
        <f t="shared" si="99"/>
        <v>"C:\Program Files (x86)\AstroGrep\AstroGrep.exe" /spath="%USERPROFILE%\AppData\Local\Temp\OnboardLogs" /stypes="app*4051*20170131*" /stext=" 14:.+((SYSTEM_STATE.+slice.+state.+changed )|(ment ac)|(multiple cpu faults)|(system.+state.+changed )|(\[timeout)|(PRM\|1\|D)|(kpr)|(kdp)|(\|lc)|(penalty))" /e /r /s</v>
      </c>
      <c r="AG163" s="1" t="str">
        <f t="shared" si="105"/>
        <v>NW</v>
      </c>
      <c r="AH163" s="86" t="str">
        <f t="shared" si="106"/>
        <v>"%USERPROFILE%\Documents\GitHub\eaglep3\Utilities\RefineRTDCRunTimes.py" --tripid 807-31 --locoid 4051 --swversion DE.1.0.8.0 --startMP 204:1013 --initTime 2017-01-31T07:16:44 --startdatetime 2017-01-31T07:21:29 --delay 1 --endMP 300:58950 --enddatetime 2017-01-31T07:36:34 --enforcementcount 0 &gt;&gt;C:\Users\stu\Documents\GitHub\eaglep3-reporting\EC\2017-01-31-refined-times.txt</v>
      </c>
      <c r="AI163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{"issue":{"subject":"","project_id":79,"tracker_id":40,"status_id":1,"priority_id":2,"assigned_to_id":23,"start_date":"2017-01-31","description":"","custom_fields":[{"id":1,"name":"Subdivision","value":"NW"},{"id":4,"name":"Milepost","value":"5.895"},{"id":17,"name":"Train ID","value":"807-31"},{"id":16,"name":"Locomotive ID","value":"4051"},{"id":130,"name":"Impact","value":""},{"id":150,"name":"Time of Event (Mountain Time)","value":"07:36:34"},{"id":151,"name":"Denver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61" t="str">
        <f t="shared" si="108"/>
        <v>start /low /b %USERPROFILE%\Documents\GitHub\eaglep3\Utilities\DownloadLogsFromS3.py --loco 4051 --day 2017-01-31</v>
      </c>
      <c r="AN163" s="170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"%USERPROFILE%\AppData\Local\Temp\OnboardLogs"\RTDC4051\*4051*20170131* | grep -SE "(Enforcement Action)|(\[TIMEOUT)|(CHR.+\|PRM\|1\|D.+(SWITCH|SIGNAL).+UNKNOWN)" - &gt;&gt; 2017-01-31-UncaughtWiMAX.txt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551</v>
      </c>
      <c r="B164" s="7">
        <v>4052</v>
      </c>
      <c r="C164" s="21" t="s">
        <v>193</v>
      </c>
      <c r="D164" s="21" t="s">
        <v>807</v>
      </c>
      <c r="E164" s="13">
        <v>42766.318148148152</v>
      </c>
      <c r="F164" s="13">
        <v>42766.319814814815</v>
      </c>
      <c r="G164" s="7">
        <v>1</v>
      </c>
      <c r="H164" s="21" t="s">
        <v>800</v>
      </c>
      <c r="I164" s="13">
        <v>42766.330578703702</v>
      </c>
      <c r="J164" s="7">
        <v>0</v>
      </c>
      <c r="K164" s="98" t="str">
        <f t="shared" si="109"/>
        <v>4051/4052</v>
      </c>
      <c r="L164" s="21" t="str">
        <f>VLOOKUP(A164,'Trips&amp;Operators'!$C$1:$G$99999,5,FALSE)</f>
        <v>BROWN JACOB</v>
      </c>
      <c r="M164" s="6">
        <f t="shared" si="110"/>
        <v>1.0763888887595385E-2</v>
      </c>
      <c r="N164" s="7">
        <f t="shared" si="100"/>
        <v>15.499999998137355</v>
      </c>
      <c r="O164" s="7"/>
      <c r="P164" s="7"/>
      <c r="Q164" s="22"/>
      <c r="R164" s="22"/>
      <c r="S164" s="31">
        <f t="shared" si="111"/>
        <v>1</v>
      </c>
      <c r="T164" s="46" t="str">
        <f t="shared" si="101"/>
        <v>Southbound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97"/>
        <v>https://d0f6bd738d7f1b3e5a7ca70fe4ff75f0.us-east-1.aws.found.io/app/kibana#/discover/Steve-Slow-Train-Analysis-(2080s-and-2083s)?_g=(refreshInterval:(display:Off,pause:!f,section:0,value:0),time:(from:'2017-01-31T06:38:08-0700',mode:absolute,to:'2017-01-31T08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4" s="194" t="str">
        <f t="shared" si="102"/>
        <v>N</v>
      </c>
      <c r="X164" s="194">
        <f t="shared" si="113"/>
        <v>1</v>
      </c>
      <c r="Y164" s="62">
        <f t="shared" si="96"/>
        <v>5.8635999999999999</v>
      </c>
      <c r="Z164" s="62">
        <f t="shared" si="112"/>
        <v>7.22E-2</v>
      </c>
      <c r="AA164" s="62">
        <f t="shared" si="103"/>
        <v>5.7914000000000003</v>
      </c>
      <c r="AB164" s="59" t="e">
        <f>VLOOKUP(A164,Enforcements!$C$7:$K$16,8,0)</f>
        <v>#N/A</v>
      </c>
      <c r="AC164" s="55" t="e">
        <f>VLOOKUP(A164,Enforcements!$C$7:$E$16,3,0)</f>
        <v>#N/A</v>
      </c>
      <c r="AD164" s="56" t="str">
        <f t="shared" si="104"/>
        <v>0808-31</v>
      </c>
      <c r="AE164" s="85" t="str">
        <f t="shared" si="98"/>
        <v>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 &amp; 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</v>
      </c>
      <c r="AF164" s="82" t="str">
        <f t="shared" si="99"/>
        <v>"C:\Program Files (x86)\AstroGrep\AstroGrep.exe" /spath="%USERPROFILE%\AppData\Local\Temp\OnboardLogs" /stypes="app*4052*20170131*" /stext=" 14:.+((SYSTEM_STATE.+slice.+state.+changed )|(ment ac)|(multiple cpu faults)|(system.+state.+changed )|(\[timeout)|(PRM\|1\|D)|(kpr)|(kdp)|(\|lc)|(penalty))" /e /r /s</v>
      </c>
      <c r="AG164" s="1" t="str">
        <f t="shared" si="105"/>
        <v>NW</v>
      </c>
      <c r="AH164" s="86" t="str">
        <f t="shared" si="106"/>
        <v>"%USERPROFILE%\Documents\GitHub\eaglep3\Utilities\RefineRTDCRunTimes.py" --tripid 808-31 --locoid 4052 --swversion DE.1.0.8.0 --startMP 300:58636 --initTime 2017-01-31T07:38:08 --startdatetime 2017-01-31T07:40:32 --delay 1 --endMP 204:722 --enddatetime 2017-01-31T07:56:02 --enforcementcount 0 &gt;&gt;C:\Users\stu\Documents\GitHub\eaglep3-reporting\EC\2017-01-31-refined-times.txt</v>
      </c>
      <c r="AI164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{"issue":{"subject":"","project_id":79,"tracker_id":40,"status_id":1,"priority_id":2,"assigned_to_id":23,"start_date":"2017-01-31","description":"","custom_fields":[{"id":1,"name":"Subdivision","value":"NW"},{"id":4,"name":"Milepost","value":"0.0722"},{"id":17,"name":"Train ID","value":"808-31"},{"id":16,"name":"Locomotive ID","value":"4052"},{"id":130,"name":"Impact","value":""},{"id":150,"name":"Time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61" t="str">
        <f t="shared" si="108"/>
        <v>start /low /b %USERPROFILE%\Documents\GitHub\eaglep3\Utilities\DownloadLogsFromS3.py --loco 4052 --day 2017-01-31</v>
      </c>
      <c r="AN164" s="170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2017-01-31-UncaughtWiMAX.txt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549</v>
      </c>
      <c r="B165" s="7">
        <v>4007</v>
      </c>
      <c r="C165" s="21" t="s">
        <v>193</v>
      </c>
      <c r="D165" s="21" t="s">
        <v>808</v>
      </c>
      <c r="E165" s="13">
        <v>42766.312708333331</v>
      </c>
      <c r="F165" s="13">
        <v>42766.327280092592</v>
      </c>
      <c r="G165" s="7">
        <v>1</v>
      </c>
      <c r="H165" s="21" t="s">
        <v>809</v>
      </c>
      <c r="I165" s="13">
        <v>42766.337916666664</v>
      </c>
      <c r="J165" s="7">
        <v>0</v>
      </c>
      <c r="K165" s="98" t="str">
        <f t="shared" si="109"/>
        <v>4007/4008</v>
      </c>
      <c r="L165" s="21" t="str">
        <f>VLOOKUP(A165,'Trips&amp;Operators'!$C$1:$G$99999,5,FALSE)</f>
        <v>STRICKLAND EVAN</v>
      </c>
      <c r="M165" s="6">
        <f t="shared" si="110"/>
        <v>1.063657407212304E-2</v>
      </c>
      <c r="N165" s="7">
        <f t="shared" si="100"/>
        <v>15.316666663857177</v>
      </c>
      <c r="O165" s="7"/>
      <c r="P165" s="7"/>
      <c r="Q165" s="22"/>
      <c r="R165" s="22"/>
      <c r="S165" s="31">
        <f t="shared" si="111"/>
        <v>1</v>
      </c>
      <c r="T165" s="46" t="str">
        <f t="shared" si="101"/>
        <v>NorthBound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97"/>
        <v>https://d0f6bd738d7f1b3e5a7ca70fe4ff75f0.us-east-1.aws.found.io/app/kibana#/discover/Steve-Slow-Train-Analysis-(2080s-and-2083s)?_g=(refreshInterval:(display:Off,pause:!f,section:0,value:0),time:(from:'2017-01-31T06:30:18-0700',mode:absolute,to:'2017-01-31T09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94" t="str">
        <f t="shared" si="102"/>
        <v>N</v>
      </c>
      <c r="X165" s="194">
        <f t="shared" si="113"/>
        <v>1</v>
      </c>
      <c r="Y165" s="62">
        <f t="shared" si="96"/>
        <v>0.1042</v>
      </c>
      <c r="Z165" s="62">
        <f t="shared" si="112"/>
        <v>5.8956</v>
      </c>
      <c r="AA165" s="62">
        <f t="shared" si="103"/>
        <v>5.7914000000000003</v>
      </c>
      <c r="AB165" s="59" t="e">
        <f>VLOOKUP(A165,Enforcements!$C$7:$K$16,8,0)</f>
        <v>#N/A</v>
      </c>
      <c r="AC165" s="55" t="e">
        <f>VLOOKUP(A165,Enforcements!$C$7:$E$16,3,0)</f>
        <v>#N/A</v>
      </c>
      <c r="AD165" s="56" t="str">
        <f t="shared" si="104"/>
        <v>0809-31</v>
      </c>
      <c r="AE165" s="85" t="str">
        <f t="shared" si="98"/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AF165" s="82" t="str">
        <f t="shared" si="99"/>
        <v>"C:\Program Files (x86)\AstroGrep\AstroGrep.exe" /spath="%USERPROFILE%\AppData\Local\Temp\OnboardLogs" /stypes="app*4007*20170131*" /stext=" 15:.+((SYSTEM_STATE.+slice.+state.+changed )|(ment ac)|(multiple cpu faults)|(system.+state.+changed )|(\[timeout)|(PRM\|1\|D)|(kpr)|(kdp)|(\|lc)|(penalty))" /e /r /s</v>
      </c>
      <c r="AG165" s="1" t="str">
        <f t="shared" si="105"/>
        <v>NW</v>
      </c>
      <c r="AH165" s="86" t="str">
        <f t="shared" si="106"/>
        <v>"%USERPROFILE%\Documents\GitHub\eaglep3\Utilities\RefineRTDCRunTimes.py" --tripid 809-31 --locoid 4007 --swversion DE.1.0.8.0 --startMP 204:1042 --initTime 2017-01-31T07:30:18 --startdatetime 2017-01-31T07:51:17 --delay 1 --endMP 300:58956 --enddatetime 2017-01-31T08:06:36 --enforcementcount 0 &gt;&gt;C:\Users\stu\Documents\GitHub\eaglep3-reporting\EC\2017-01-31-refined-times.txt</v>
      </c>
      <c r="AI165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{"issue":{"subject":"","project_id":79,"tracker_id":40,"status_id":1,"priority_id":2,"assigned_to_id":23,"start_date":"2017-01-31","description":"","custom_fields":[{"id":1,"name":"Subdivision","value":"NW"},{"id":4,"name":"Milepost","value":"5.8956"},{"id":17,"name":"Train ID","value":"809-31"},{"id":16,"name":"Locomotive ID","value":"4007"},{"id":130,"name":"Impact","value":""},{"id":150,"name":"Time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61" t="str">
        <f t="shared" si="108"/>
        <v>start /low /b %USERPROFILE%\Documents\GitHub\eaglep3\Utilities\DownloadLogsFromS3.py --loco 4007 --day 2017-01-31</v>
      </c>
      <c r="AN165" s="170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"%USERPROFILE%\AppData\Local\Temp\OnboardLogs"\RTDC4007\*4007*20170131* | grep -SE "(Enforcement Action)|(\[TIMEOUT)|(CHR.+\|PRM\|1\|D.+(SWITCH|SIGNAL).+UNKNOWN)" - &gt;&gt; 2017-01-31-UncaughtWiMAX.txt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555</v>
      </c>
      <c r="B166" s="7">
        <v>4008</v>
      </c>
      <c r="C166" s="21" t="s">
        <v>193</v>
      </c>
      <c r="D166" s="21" t="s">
        <v>810</v>
      </c>
      <c r="E166" s="13">
        <v>42766.338796296295</v>
      </c>
      <c r="F166" s="13">
        <v>42766.340046296296</v>
      </c>
      <c r="G166" s="7">
        <v>1</v>
      </c>
      <c r="H166" s="21" t="s">
        <v>811</v>
      </c>
      <c r="I166" s="13">
        <v>42766.351851851854</v>
      </c>
      <c r="J166" s="7">
        <v>0</v>
      </c>
      <c r="K166" s="98" t="str">
        <f t="shared" si="109"/>
        <v>4007/4008</v>
      </c>
      <c r="L166" s="21" t="str">
        <f>VLOOKUP(A166,'Trips&amp;Operators'!$C$1:$G$99999,5,FALSE)</f>
        <v>STRICKLAND EVAN</v>
      </c>
      <c r="M166" s="6">
        <f t="shared" si="110"/>
        <v>1.1805555557657499E-2</v>
      </c>
      <c r="N166" s="7">
        <f t="shared" si="100"/>
        <v>17.000000003026798</v>
      </c>
      <c r="O166" s="7"/>
      <c r="P166" s="7"/>
      <c r="Q166" s="22"/>
      <c r="R166" s="22"/>
      <c r="S166" s="31">
        <f t="shared" si="111"/>
        <v>1</v>
      </c>
      <c r="T166" s="46" t="str">
        <f t="shared" si="101"/>
        <v>Southbound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97"/>
        <v>https://d0f6bd738d7f1b3e5a7ca70fe4ff75f0.us-east-1.aws.found.io/app/kibana#/discover/Steve-Slow-Train-Analysis-(2080s-and-2083s)?_g=(refreshInterval:(display:Off,pause:!f,section:0,value:0),time:(from:'2017-01-31T07:07:52-0700',mode:absolute,to:'2017-01-31T09:26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94" t="str">
        <f t="shared" si="102"/>
        <v>N</v>
      </c>
      <c r="X166" s="194">
        <f t="shared" si="113"/>
        <v>1</v>
      </c>
      <c r="Y166" s="62">
        <f t="shared" si="96"/>
        <v>5.8632</v>
      </c>
      <c r="Z166" s="62">
        <f t="shared" si="112"/>
        <v>7.5700000000000003E-2</v>
      </c>
      <c r="AA166" s="62">
        <f t="shared" si="103"/>
        <v>5.7874999999999996</v>
      </c>
      <c r="AB166" s="59" t="e">
        <f>VLOOKUP(A166,Enforcements!$C$7:$K$16,8,0)</f>
        <v>#N/A</v>
      </c>
      <c r="AC166" s="55" t="e">
        <f>VLOOKUP(A166,Enforcements!$C$7:$E$16,3,0)</f>
        <v>#N/A</v>
      </c>
      <c r="AD166" s="56" t="str">
        <f t="shared" si="104"/>
        <v>0810-31</v>
      </c>
      <c r="AE166" s="85" t="str">
        <f t="shared" si="98"/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AF166" s="82" t="str">
        <f t="shared" si="99"/>
        <v>"C:\Program Files (x86)\AstroGrep\AstroGrep.exe" /spath="%USERPROFILE%\AppData\Local\Temp\OnboardLogs" /stypes="app*4008*20170131*" /stext=" 15:.+((SYSTEM_STATE.+slice.+state.+changed )|(ment ac)|(multiple cpu faults)|(system.+state.+changed )|(\[timeout)|(PRM\|1\|D)|(kpr)|(kdp)|(\|lc)|(penalty))" /e /r /s</v>
      </c>
      <c r="AG166" s="1" t="str">
        <f t="shared" si="105"/>
        <v>NW</v>
      </c>
      <c r="AH166" s="86" t="str">
        <f t="shared" si="106"/>
        <v>"%USERPROFILE%\Documents\GitHub\eaglep3\Utilities\RefineRTDCRunTimes.py" --tripid 810-31 --locoid 4008 --swversion DE.1.0.8.0 --startMP 300:58632 --initTime 2017-01-31T08:07:52 --startdatetime 2017-01-31T08:09:40 --delay 1 --endMP 204:757 --enddatetime 2017-01-31T08:26:40 --enforcementcount 0 &gt;&gt;C:\Users\stu\Documents\GitHub\eaglep3-reporting\EC\2017-01-31-refined-times.txt</v>
      </c>
      <c r="AI166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{"issue":{"subject":"","project_id":79,"tracker_id":40,"status_id":1,"priority_id":2,"assigned_to_id":23,"start_date":"2017-01-31","description":"","custom_fields":[{"id":1,"name":"Subdivision","value":"NW"},{"id":4,"name":"Milepost","value":"0.0757"},{"id":17,"name":"Train ID","value":"810-31"},{"id":16,"name":"Locomotive ID","value":"4008"},{"id":130,"name":"Impact","value":""},{"id":150,"name":"Time of Event (Mountain Time)","value":"08:26:40"},{"id":151,"name":"Denver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61" t="str">
        <f t="shared" si="108"/>
        <v>start /low /b %USERPROFILE%\Documents\GitHub\eaglep3\Utilities\DownloadLogsFromS3.py --loco 4008 --day 2017-01-31</v>
      </c>
      <c r="AN166" s="170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"%USERPROFILE%\AppData\Local\Temp\OnboardLogs"\RTDC4008\*4008*20170131* | grep -SE "(Enforcement Action)|(\[TIMEOUT)|(CHR.+\|PRM\|1\|D.+(SWITCH|SIGNAL).+UNKNOWN)" - &gt;&gt; 2017-01-31-UncaughtWiMAX.txt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557</v>
      </c>
      <c r="B167" s="7">
        <v>4051</v>
      </c>
      <c r="C167" s="21" t="s">
        <v>193</v>
      </c>
      <c r="D167" s="21" t="s">
        <v>812</v>
      </c>
      <c r="E167" s="13">
        <v>42766.340046296296</v>
      </c>
      <c r="F167" s="13">
        <v>42766.348032407404</v>
      </c>
      <c r="G167" s="7">
        <v>1</v>
      </c>
      <c r="H167" s="21" t="s">
        <v>813</v>
      </c>
      <c r="I167" s="13">
        <v>42766.358252314814</v>
      </c>
      <c r="J167" s="7">
        <v>0</v>
      </c>
      <c r="K167" s="98" t="str">
        <f t="shared" si="109"/>
        <v>4051/4052</v>
      </c>
      <c r="L167" s="21" t="str">
        <f>VLOOKUP(A167,'Trips&amp;Operators'!$C$1:$G$99999,5,FALSE)</f>
        <v>BROWN JACOB</v>
      </c>
      <c r="M167" s="6">
        <f t="shared" si="110"/>
        <v>1.021990740991896E-2</v>
      </c>
      <c r="N167" s="7">
        <f t="shared" si="100"/>
        <v>14.716666670283303</v>
      </c>
      <c r="O167" s="7"/>
      <c r="P167" s="7"/>
      <c r="Q167" s="22"/>
      <c r="R167" s="22"/>
      <c r="S167" s="31">
        <f t="shared" si="111"/>
        <v>1</v>
      </c>
      <c r="T167" s="46" t="str">
        <f t="shared" si="101"/>
        <v>NorthBound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97"/>
        <v>https://d0f6bd738d7f1b3e5a7ca70fe4ff75f0.us-east-1.aws.found.io/app/kibana#/discover/Steve-Slow-Train-Analysis-(2080s-and-2083s)?_g=(refreshInterval:(display:Off,pause:!f,section:0,value:0),time:(from:'2017-01-31T07:09:40-0700',mode:absolute,to:'2017-01-31T09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194" t="str">
        <f t="shared" si="102"/>
        <v>N</v>
      </c>
      <c r="X167" s="194">
        <f t="shared" si="113"/>
        <v>1</v>
      </c>
      <c r="Y167" s="62">
        <f t="shared" ref="Y167:Y198" si="114">RIGHT(D167,LEN(D167)-4)/10000</f>
        <v>0.1007</v>
      </c>
      <c r="Z167" s="62">
        <f t="shared" si="112"/>
        <v>5.8979999999999997</v>
      </c>
      <c r="AA167" s="62">
        <f t="shared" si="103"/>
        <v>5.7972999999999999</v>
      </c>
      <c r="AB167" s="59" t="e">
        <f>VLOOKUP(A167,Enforcements!$C$7:$K$16,8,0)</f>
        <v>#N/A</v>
      </c>
      <c r="AC167" s="55" t="e">
        <f>VLOOKUP(A167,Enforcements!$C$7:$E$16,3,0)</f>
        <v>#N/A</v>
      </c>
      <c r="AD167" s="56" t="str">
        <f t="shared" si="104"/>
        <v>0811-31</v>
      </c>
      <c r="AE167" s="85" t="str">
        <f t="shared" si="98"/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AF167" s="82" t="str">
        <f t="shared" si="99"/>
        <v>"C:\Program Files (x86)\AstroGrep\AstroGrep.exe" /spath="%USERPROFILE%\AppData\Local\Temp\OnboardLogs" /stypes="app*4051*20170131*" /stext=" 15:.+((SYSTEM_STATE.+slice.+state.+changed )|(ment ac)|(multiple cpu faults)|(system.+state.+changed )|(\[timeout)|(PRM\|1\|D)|(kpr)|(kdp)|(\|lc)|(penalty))" /e /r /s</v>
      </c>
      <c r="AG167" s="1" t="str">
        <f t="shared" si="105"/>
        <v>NW</v>
      </c>
      <c r="AH167" s="86" t="str">
        <f t="shared" si="106"/>
        <v>"%USERPROFILE%\Documents\GitHub\eaglep3\Utilities\RefineRTDCRunTimes.py" --tripid 811-31 --locoid 4051 --swversion DE.1.0.8.0 --startMP 204:1007 --initTime 2017-01-31T08:09:40 --startdatetime 2017-01-31T08:21:10 --delay 1 --endMP 300:58980 --enddatetime 2017-01-31T08:35:53 --enforcementcount 0 &gt;&gt;C:\Users\stu\Documents\GitHub\eaglep3-reporting\EC\2017-01-31-refined-times.txt</v>
      </c>
      <c r="AI167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{"issue":{"subject":"","project_id":79,"tracker_id":40,"status_id":1,"priority_id":2,"assigned_to_id":23,"start_date":"2017-01-31","description":"","custom_fields":[{"id":1,"name":"Subdivision","value":"NW"},{"id":4,"name":"Milepost","value":"5.898"},{"id":17,"name":"Train ID","value":"811-31"},{"id":16,"name":"Locomotive ID","value":"4051"},{"id":130,"name":"Impact","value":""},{"id":150,"name":"Time of Event (Mountain Time)","value":"08:35:53"},{"id":151,"name":"Denver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61" t="str">
        <f t="shared" si="108"/>
        <v>start /low /b %USERPROFILE%\Documents\GitHub\eaglep3\Utilities\DownloadLogsFromS3.py --loco 4051 --day 2017-01-31</v>
      </c>
      <c r="AN167" s="170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"%USERPROFILE%\AppData\Local\Temp\OnboardLogs"\RTDC4051\*4051*20170131* | grep -SE "(Enforcement Action)|(\[TIMEOUT)|(CHR.+\|PRM\|1\|D.+(SWITCH|SIGNAL).+UNKNOWN)" - &gt;&gt; 2017-01-31-UncaughtWiMAX.txt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564</v>
      </c>
      <c r="B168" s="7">
        <v>4052</v>
      </c>
      <c r="C168" s="21" t="s">
        <v>193</v>
      </c>
      <c r="D168" s="21" t="s">
        <v>814</v>
      </c>
      <c r="E168" s="13">
        <v>42766.359189814815</v>
      </c>
      <c r="F168" s="13">
        <v>42766.360312500001</v>
      </c>
      <c r="G168" s="7">
        <v>1</v>
      </c>
      <c r="H168" s="21" t="s">
        <v>348</v>
      </c>
      <c r="I168" s="13">
        <v>42766.372291666667</v>
      </c>
      <c r="J168" s="7">
        <v>0</v>
      </c>
      <c r="K168" s="98" t="str">
        <f t="shared" si="109"/>
        <v>4051/4052</v>
      </c>
      <c r="L168" s="21" t="str">
        <f>VLOOKUP(A168,'Trips&amp;Operators'!$C$1:$G$99999,5,FALSE)</f>
        <v>BROWN JACOB</v>
      </c>
      <c r="M168" s="6">
        <f t="shared" si="110"/>
        <v>1.1979166665696539E-2</v>
      </c>
      <c r="N168" s="7">
        <f t="shared" si="100"/>
        <v>17.249999998603016</v>
      </c>
      <c r="O168" s="7"/>
      <c r="P168" s="7"/>
      <c r="Q168" s="22"/>
      <c r="R168" s="22"/>
      <c r="S168" s="31">
        <f t="shared" si="111"/>
        <v>1</v>
      </c>
      <c r="T168" s="46" t="str">
        <f t="shared" si="101"/>
        <v>Southbound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97"/>
        <v>https://d0f6bd738d7f1b3e5a7ca70fe4ff75f0.us-east-1.aws.found.io/app/kibana#/discover/Steve-Slow-Train-Analysis-(2080s-and-2083s)?_g=(refreshInterval:(display:Off,pause:!f,section:0,value:0),time:(from:'2017-01-31T07:37:14-0700',mode:absolute,to:'2017-01-31T09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8" s="194" t="str">
        <f t="shared" si="102"/>
        <v>N</v>
      </c>
      <c r="X168" s="194">
        <f t="shared" si="113"/>
        <v>1</v>
      </c>
      <c r="Y168" s="62">
        <f t="shared" si="114"/>
        <v>5.8662000000000001</v>
      </c>
      <c r="Z168" s="62">
        <f t="shared" si="112"/>
        <v>7.2599999999999998E-2</v>
      </c>
      <c r="AA168" s="62">
        <f t="shared" si="103"/>
        <v>5.7935999999999996</v>
      </c>
      <c r="AB168" s="59" t="e">
        <f>VLOOKUP(A168,Enforcements!$C$7:$K$16,8,0)</f>
        <v>#N/A</v>
      </c>
      <c r="AC168" s="55" t="e">
        <f>VLOOKUP(A168,Enforcements!$C$7:$E$16,3,0)</f>
        <v>#N/A</v>
      </c>
      <c r="AD168" s="56" t="str">
        <f t="shared" si="104"/>
        <v>0812-31</v>
      </c>
      <c r="AE168" s="85" t="str">
        <f t="shared" si="98"/>
        <v>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 &amp; 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</v>
      </c>
      <c r="AF168" s="82" t="str">
        <f t="shared" si="99"/>
        <v>"C:\Program Files (x86)\AstroGrep\AstroGrep.exe" /spath="%USERPROFILE%\AppData\Local\Temp\OnboardLogs" /stypes="app*4052*20170131*" /stext=" 15:.+((SYSTEM_STATE.+slice.+state.+changed )|(ment ac)|(multiple cpu faults)|(system.+state.+changed )|(\[timeout)|(PRM\|1\|D)|(kpr)|(kdp)|(\|lc)|(penalty))" /e /r /s</v>
      </c>
      <c r="AG168" s="1" t="str">
        <f t="shared" si="105"/>
        <v>NW</v>
      </c>
      <c r="AH168" s="86" t="str">
        <f t="shared" si="106"/>
        <v>"%USERPROFILE%\Documents\GitHub\eaglep3\Utilities\RefineRTDCRunTimes.py" --tripid 812-31 --locoid 4052 --swversion DE.1.0.8.0 --startMP 300:58662 --initTime 2017-01-31T08:37:14 --startdatetime 2017-01-31T08:38:51 --delay 1 --endMP 204:726 --enddatetime 2017-01-31T08:56:06 --enforcementcount 0 &gt;&gt;C:\Users\stu\Documents\GitHub\eaglep3-reporting\EC\2017-01-31-refined-times.txt</v>
      </c>
      <c r="AI168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{"issue":{"subject":"","project_id":79,"tracker_id":40,"status_id":1,"priority_id":2,"assigned_to_id":23,"start_date":"2017-01-31","description":"","custom_fields":[{"id":1,"name":"Subdivision","value":"NW"},{"id":4,"name":"Milepost","value":"0.0726"},{"id":17,"name":"Train ID","value":"812-31"},{"id":16,"name":"Locomotive ID","value":"4052"},{"id":130,"name":"Impact","value":""},{"id":150,"name":"Time of Event (Mountain Time)","value":"08:56:06"},{"id":151,"name":"Denver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61" t="str">
        <f t="shared" si="108"/>
        <v>start /low /b %USERPROFILE%\Documents\GitHub\eaglep3\Utilities\DownloadLogsFromS3.py --loco 4052 --day 2017-01-31</v>
      </c>
      <c r="AN168" s="170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2017-01-31-UncaughtWiMAX.txt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568</v>
      </c>
      <c r="B169" s="7">
        <v>4051</v>
      </c>
      <c r="C169" s="21" t="s">
        <v>193</v>
      </c>
      <c r="D169" s="21" t="s">
        <v>812</v>
      </c>
      <c r="E169" s="13">
        <v>42766.385752314818</v>
      </c>
      <c r="F169" s="13">
        <v>42766.389687499999</v>
      </c>
      <c r="G169" s="7">
        <v>1</v>
      </c>
      <c r="H169" s="21" t="s">
        <v>815</v>
      </c>
      <c r="I169" s="13">
        <v>42766.400046296294</v>
      </c>
      <c r="J169" s="7">
        <v>0</v>
      </c>
      <c r="K169" s="98" t="str">
        <f t="shared" si="109"/>
        <v>4051/4052</v>
      </c>
      <c r="L169" s="21" t="str">
        <f>VLOOKUP(A169,'Trips&amp;Operators'!$C$1:$G$99999,5,FALSE)</f>
        <v>BROWN JACOB</v>
      </c>
      <c r="M169" s="6">
        <f t="shared" si="110"/>
        <v>1.0358796294895001E-2</v>
      </c>
      <c r="N169" s="7">
        <f t="shared" si="100"/>
        <v>14.916666664648801</v>
      </c>
      <c r="O169" s="7"/>
      <c r="P169" s="7"/>
      <c r="Q169" s="22"/>
      <c r="R169" s="22"/>
      <c r="S169" s="31">
        <f t="shared" si="111"/>
        <v>1</v>
      </c>
      <c r="T169" s="46" t="str">
        <f t="shared" si="101"/>
        <v>NorthBound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97"/>
        <v>https://d0f6bd738d7f1b3e5a7ca70fe4ff75f0.us-east-1.aws.found.io/app/kibana#/discover/Steve-Slow-Train-Analysis-(2080s-and-2083s)?_g=(refreshInterval:(display:Off,pause:!f,section:0,value:0),time:(from:'2017-01-31T08:15:29-0700',mode:absolute,to:'2017-01-31T10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9" s="194" t="str">
        <f t="shared" si="102"/>
        <v>N</v>
      </c>
      <c r="X169" s="194">
        <f t="shared" si="113"/>
        <v>1</v>
      </c>
      <c r="Y169" s="62">
        <f t="shared" si="114"/>
        <v>0.1007</v>
      </c>
      <c r="Z169" s="62">
        <f t="shared" si="112"/>
        <v>5.8973000000000004</v>
      </c>
      <c r="AA169" s="62">
        <f t="shared" si="103"/>
        <v>5.7966000000000006</v>
      </c>
      <c r="AB169" s="59" t="e">
        <f>VLOOKUP(A169,Enforcements!$C$7:$K$16,8,0)</f>
        <v>#N/A</v>
      </c>
      <c r="AC169" s="55" t="e">
        <f>VLOOKUP(A169,Enforcements!$C$7:$E$16,3,0)</f>
        <v>#N/A</v>
      </c>
      <c r="AD169" s="56" t="str">
        <f t="shared" si="104"/>
        <v>0813-31</v>
      </c>
      <c r="AE169" s="85" t="str">
        <f t="shared" si="98"/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AF169" s="82" t="str">
        <f t="shared" si="99"/>
        <v>"C:\Program Files (x86)\AstroGrep\AstroGrep.exe" /spath="%USERPROFILE%\AppData\Local\Temp\OnboardLogs" /stypes="app*4051*20170131*" /stext=" 16:.+((SYSTEM_STATE.+slice.+state.+changed )|(ment ac)|(multiple cpu faults)|(system.+state.+changed )|(\[timeout)|(PRM\|1\|D)|(kpr)|(kdp)|(\|lc)|(penalty))" /e /r /s</v>
      </c>
      <c r="AG169" s="1" t="str">
        <f t="shared" si="105"/>
        <v>NW</v>
      </c>
      <c r="AH169" s="86" t="str">
        <f t="shared" si="106"/>
        <v>"%USERPROFILE%\Documents\GitHub\eaglep3\Utilities\RefineRTDCRunTimes.py" --tripid 813-31 --locoid 4051 --swversion DE.1.0.8.0 --startMP 204:1007 --initTime 2017-01-31T09:15:29 --startdatetime 2017-01-31T09:21:09 --delay 1 --endMP 300:58973 --enddatetime 2017-01-31T09:36:04 --enforcementcount 0 &gt;&gt;C:\Users\stu\Documents\GitHub\eaglep3-reporting\EC\2017-01-31-refined-times.txt</v>
      </c>
      <c r="AI169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{"issue":{"subject":"","project_id":79,"tracker_id":40,"status_id":1,"priority_id":2,"assigned_to_id":23,"start_date":"2017-01-31","description":"","custom_fields":[{"id":1,"name":"Subdivision","value":"NW"},{"id":4,"name":"Milepost","value":"5.8973"},{"id":17,"name":"Train ID","value":"813-31"},{"id":16,"name":"Locomotive ID","value":"4051"},{"id":130,"name":"Impact","value":""},{"id":150,"name":"Time of Event (Mountain Time)","value":"09:36:04"},{"id":151,"name":"Denver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61" t="str">
        <f t="shared" si="108"/>
        <v>start /low /b %USERPROFILE%\Documents\GitHub\eaglep3\Utilities\DownloadLogsFromS3.py --loco 4051 --day 2017-01-31</v>
      </c>
      <c r="AN169" s="170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"%USERPROFILE%\AppData\Local\Temp\OnboardLogs"\RTDC4051\*4051*20170131* | grep -SE "(Enforcement Action)|(\[TIMEOUT)|(CHR.+\|PRM\|1\|D.+(SWITCH|SIGNAL).+UNKNOWN)" - &gt;&gt; 2017-01-31-UncaughtWiMAX.txt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3" t="s">
        <v>572</v>
      </c>
      <c r="B170" s="7">
        <v>4052</v>
      </c>
      <c r="C170" s="21" t="s">
        <v>193</v>
      </c>
      <c r="D170" s="21" t="s">
        <v>816</v>
      </c>
      <c r="E170" s="13">
        <v>42766.40115740741</v>
      </c>
      <c r="F170" s="13">
        <v>42766.402488425927</v>
      </c>
      <c r="G170" s="7">
        <v>1</v>
      </c>
      <c r="H170" s="21" t="s">
        <v>348</v>
      </c>
      <c r="I170" s="13">
        <v>42766.41369212963</v>
      </c>
      <c r="J170" s="7">
        <v>0</v>
      </c>
      <c r="K170" s="98" t="str">
        <f t="shared" si="109"/>
        <v>4051/4052</v>
      </c>
      <c r="L170" s="21" t="str">
        <f>VLOOKUP(A170,'Trips&amp;Operators'!$C$1:$G$99999,5,FALSE)</f>
        <v>BROWN JACOB</v>
      </c>
      <c r="M170" s="6">
        <f t="shared" si="110"/>
        <v>1.1203703703358769E-2</v>
      </c>
      <c r="N170" s="7">
        <f t="shared" si="100"/>
        <v>16.133333332836628</v>
      </c>
      <c r="O170" s="7"/>
      <c r="P170" s="7"/>
      <c r="Q170" s="22"/>
      <c r="R170" s="22"/>
      <c r="S170" s="31">
        <f t="shared" si="111"/>
        <v>1</v>
      </c>
      <c r="T170" s="46" t="str">
        <f t="shared" si="101"/>
        <v>Southbound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97"/>
        <v>https://d0f6bd738d7f1b3e5a7ca70fe4ff75f0.us-east-1.aws.found.io/app/kibana#/discover/Steve-Slow-Train-Analysis-(2080s-and-2083s)?_g=(refreshInterval:(display:Off,pause:!f,section:0,value:0),time:(from:'2017-01-31T08:37:40-0700',mode:absolute,to:'2017-01-31T10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194" t="str">
        <f t="shared" si="102"/>
        <v>N</v>
      </c>
      <c r="X170" s="194">
        <f t="shared" si="113"/>
        <v>1</v>
      </c>
      <c r="Y170" s="62">
        <f t="shared" si="114"/>
        <v>5.8655999999999997</v>
      </c>
      <c r="Z170" s="62">
        <f t="shared" si="112"/>
        <v>7.2599999999999998E-2</v>
      </c>
      <c r="AA170" s="62">
        <f t="shared" si="103"/>
        <v>5.7929999999999993</v>
      </c>
      <c r="AB170" s="59" t="e">
        <f>VLOOKUP(A170,Enforcements!$C$7:$K$16,8,0)</f>
        <v>#N/A</v>
      </c>
      <c r="AC170" s="55" t="e">
        <f>VLOOKUP(A170,Enforcements!$C$7:$E$16,3,0)</f>
        <v>#N/A</v>
      </c>
      <c r="AD170" s="56" t="str">
        <f t="shared" si="104"/>
        <v>0814-31</v>
      </c>
      <c r="AE170" s="85" t="str">
        <f t="shared" si="98"/>
        <v>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 &amp; 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</v>
      </c>
      <c r="AF170" s="82" t="str">
        <f t="shared" si="99"/>
        <v>"C:\Program Files (x86)\AstroGrep\AstroGrep.exe" /spath="%USERPROFILE%\AppData\Local\Temp\OnboardLogs" /stypes="app*4052*20170131*" /stext=" 16:.+((SYSTEM_STATE.+slice.+state.+changed )|(ment ac)|(multiple cpu faults)|(system.+state.+changed )|(\[timeout)|(PRM\|1\|D)|(kpr)|(kdp)|(\|lc)|(penalty))" /e /r /s</v>
      </c>
      <c r="AG170" s="1" t="str">
        <f t="shared" si="105"/>
        <v>NW</v>
      </c>
      <c r="AH170" s="86" t="str">
        <f t="shared" si="106"/>
        <v>"%USERPROFILE%\Documents\GitHub\eaglep3\Utilities\RefineRTDCRunTimes.py" --tripid 814-31 --locoid 4052 --swversion DE.1.0.8.0 --startMP 300:58656 --initTime 2017-01-31T09:37:40 --startdatetime 2017-01-31T09:39:35 --delay 1 --endMP 204:726 --enddatetime 2017-01-31T09:55:43 --enforcementcount 0 &gt;&gt;C:\Users\stu\Documents\GitHub\eaglep3-reporting\EC\2017-01-31-refined-times.txt</v>
      </c>
      <c r="AI170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{"issue":{"subject":"","project_id":79,"tracker_id":40,"status_id":1,"priority_id":2,"assigned_to_id":23,"start_date":"2017-01-31","description":"","custom_fields":[{"id":1,"name":"Subdivision","value":"NW"},{"id":4,"name":"Milepost","value":"0.0726"},{"id":17,"name":"Train ID","value":"814-31"},{"id":16,"name":"Locomotive ID","value":"4052"},{"id":130,"name":"Impact","value":""},{"id":150,"name":"Time of Event (Mountain Time)","value":"09:55:43"},{"id":151,"name":"Denver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61" t="str">
        <f t="shared" si="108"/>
        <v>start /low /b %USERPROFILE%\Documents\GitHub\eaglep3\Utilities\DownloadLogsFromS3.py --loco 4052 --day 2017-01-31</v>
      </c>
      <c r="AN170" s="170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2017-01-31-UncaughtWiMAX.txt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3" t="s">
        <v>578</v>
      </c>
      <c r="B171" s="7">
        <v>4051</v>
      </c>
      <c r="C171" s="21" t="s">
        <v>193</v>
      </c>
      <c r="D171" s="21" t="s">
        <v>817</v>
      </c>
      <c r="E171" s="13">
        <v>42766.422592592593</v>
      </c>
      <c r="F171" s="13">
        <v>42766.431550925925</v>
      </c>
      <c r="G171" s="7">
        <v>1</v>
      </c>
      <c r="H171" s="21" t="s">
        <v>818</v>
      </c>
      <c r="I171" s="13">
        <v>42766.442187499997</v>
      </c>
      <c r="J171" s="7">
        <v>0</v>
      </c>
      <c r="K171" s="98" t="str">
        <f t="shared" si="109"/>
        <v>4051/4052</v>
      </c>
      <c r="L171" s="21" t="str">
        <f>VLOOKUP(A171,'Trips&amp;Operators'!$C$1:$G$99999,5,FALSE)</f>
        <v>BROWN JACOB</v>
      </c>
      <c r="M171" s="6">
        <f t="shared" si="110"/>
        <v>1.063657407212304E-2</v>
      </c>
      <c r="N171" s="7">
        <f t="shared" si="100"/>
        <v>15.316666663857177</v>
      </c>
      <c r="O171" s="7"/>
      <c r="P171" s="7"/>
      <c r="Q171" s="22"/>
      <c r="R171" s="22"/>
      <c r="S171" s="31">
        <f t="shared" si="111"/>
        <v>1</v>
      </c>
      <c r="T171" s="46" t="str">
        <f t="shared" si="101"/>
        <v>NorthBound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97"/>
        <v>https://d0f6bd738d7f1b3e5a7ca70fe4ff75f0.us-east-1.aws.found.io/app/kibana#/discover/Steve-Slow-Train-Analysis-(2080s-and-2083s)?_g=(refreshInterval:(display:Off,pause:!f,section:0,value:0),time:(from:'2017-01-31T09:08:32-0700',mode:absolute,to:'2017-01-31T11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1" s="194" t="str">
        <f t="shared" si="102"/>
        <v>N</v>
      </c>
      <c r="X171" s="194">
        <f t="shared" si="113"/>
        <v>1</v>
      </c>
      <c r="Y171" s="62">
        <f t="shared" si="114"/>
        <v>0.1004</v>
      </c>
      <c r="Z171" s="62">
        <f t="shared" si="112"/>
        <v>5.8945999999999996</v>
      </c>
      <c r="AA171" s="62">
        <f t="shared" si="103"/>
        <v>5.7942</v>
      </c>
      <c r="AB171" s="59" t="e">
        <f>VLOOKUP(A171,Enforcements!$C$7:$K$16,8,0)</f>
        <v>#N/A</v>
      </c>
      <c r="AC171" s="55" t="e">
        <f>VLOOKUP(A171,Enforcements!$C$7:$E$16,3,0)</f>
        <v>#N/A</v>
      </c>
      <c r="AD171" s="56" t="str">
        <f t="shared" si="104"/>
        <v>0815-31</v>
      </c>
      <c r="AE171" s="85" t="str">
        <f t="shared" si="98"/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AF171" s="82" t="str">
        <f t="shared" si="99"/>
        <v>"C:\Program Files (x86)\AstroGrep\AstroGrep.exe" /spath="%USERPROFILE%\AppData\Local\Temp\OnboardLogs" /stypes="app*4051*20170131*" /stext=" 17:.+((SYSTEM_STATE.+slice.+state.+changed )|(ment ac)|(multiple cpu faults)|(system.+state.+changed )|(\[timeout)|(PRM\|1\|D)|(kpr)|(kdp)|(\|lc)|(penalty))" /e /r /s</v>
      </c>
      <c r="AG171" s="1" t="str">
        <f t="shared" si="105"/>
        <v>NW</v>
      </c>
      <c r="AH171" s="86" t="str">
        <f t="shared" si="106"/>
        <v>"%USERPROFILE%\Documents\GitHub\eaglep3\Utilities\RefineRTDCRunTimes.py" --tripid 815-31 --locoid 4051 --swversion DE.1.0.8.0 --startMP 204:1004 --initTime 2017-01-31T10:08:32 --startdatetime 2017-01-31T10:21:26 --delay 1 --endMP 300:58946 --enddatetime 2017-01-31T10:36:45 --enforcementcount 0 &gt;&gt;C:\Users\stu\Documents\GitHub\eaglep3-reporting\EC\2017-01-31-refined-times.txt</v>
      </c>
      <c r="AI171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{"issue":{"subject":"","project_id":79,"tracker_id":40,"status_id":1,"priority_id":2,"assigned_to_id":23,"start_date":"2017-01-31","description":"","custom_fields":[{"id":1,"name":"Subdivision","value":"NW"},{"id":4,"name":"Milepost","value":"5.8946"},{"id":17,"name":"Train ID","value":"815-31"},{"id":16,"name":"Locomotive ID","value":"4051"},{"id":130,"name":"Impact","value":""},{"id":150,"name":"Time of Event (Mountain Time)","value":"10:36:45"},{"id":151,"name":"Denver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61" t="str">
        <f t="shared" si="108"/>
        <v>start /low /b %USERPROFILE%\Documents\GitHub\eaglep3\Utilities\DownloadLogsFromS3.py --loco 4051 --day 2017-01-31</v>
      </c>
      <c r="AN171" s="170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"%USERPROFILE%\AppData\Local\Temp\OnboardLogs"\RTDC4051\*4051*20170131* | grep -SE "(Enforcement Action)|(\[TIMEOUT)|(CHR.+\|PRM\|1\|D.+(SWITCH|SIGNAL).+UNKNOWN)" - &gt;&gt; 2017-01-31-UncaughtWiMAX.txt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582</v>
      </c>
      <c r="B172" s="7">
        <v>4052</v>
      </c>
      <c r="C172" s="21" t="s">
        <v>193</v>
      </c>
      <c r="D172" s="21" t="s">
        <v>484</v>
      </c>
      <c r="E172" s="13">
        <v>42766.44295138889</v>
      </c>
      <c r="F172" s="13">
        <v>42766.444085648145</v>
      </c>
      <c r="G172" s="7">
        <v>1</v>
      </c>
      <c r="H172" s="21" t="s">
        <v>819</v>
      </c>
      <c r="I172" s="13">
        <v>42766.455416666664</v>
      </c>
      <c r="J172" s="7">
        <v>0</v>
      </c>
      <c r="K172" s="98" t="str">
        <f t="shared" si="109"/>
        <v>4051/4052</v>
      </c>
      <c r="L172" s="21" t="str">
        <f>VLOOKUP(A172,'Trips&amp;Operators'!$C$1:$G$99999,5,FALSE)</f>
        <v>BROWN JACOB</v>
      </c>
      <c r="M172" s="6">
        <f t="shared" si="110"/>
        <v>1.1331018518831115E-2</v>
      </c>
      <c r="N172" s="7">
        <f t="shared" si="100"/>
        <v>16.316666667116806</v>
      </c>
      <c r="O172" s="7"/>
      <c r="P172" s="7"/>
      <c r="Q172" s="22"/>
      <c r="R172" s="22"/>
      <c r="S172" s="31">
        <f t="shared" si="111"/>
        <v>1</v>
      </c>
      <c r="T172" s="46" t="str">
        <f t="shared" si="101"/>
        <v>Southbound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97"/>
        <v>https://d0f6bd738d7f1b3e5a7ca70fe4ff75f0.us-east-1.aws.found.io/app/kibana#/discover/Steve-Slow-Train-Analysis-(2080s-and-2083s)?_g=(refreshInterval:(display:Off,pause:!f,section:0,value:0),time:(from:'2017-01-31T09:37:51-0700',mode:absolute,to:'2017-01-31T11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2" s="194" t="str">
        <f t="shared" si="102"/>
        <v>N</v>
      </c>
      <c r="X172" s="194">
        <f t="shared" si="113"/>
        <v>1</v>
      </c>
      <c r="Y172" s="62">
        <f t="shared" si="114"/>
        <v>5.8628</v>
      </c>
      <c r="Z172" s="62">
        <f t="shared" si="112"/>
        <v>7.4700000000000003E-2</v>
      </c>
      <c r="AA172" s="62">
        <f t="shared" si="103"/>
        <v>5.7881</v>
      </c>
      <c r="AB172" s="59" t="e">
        <f>VLOOKUP(A172,Enforcements!$C$7:$K$16,8,0)</f>
        <v>#N/A</v>
      </c>
      <c r="AC172" s="55" t="e">
        <f>VLOOKUP(A172,Enforcements!$C$7:$E$16,3,0)</f>
        <v>#N/A</v>
      </c>
      <c r="AD172" s="56" t="str">
        <f t="shared" si="104"/>
        <v>0816-31</v>
      </c>
      <c r="AE172" s="85" t="str">
        <f t="shared" si="98"/>
        <v>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 &amp; 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</v>
      </c>
      <c r="AF172" s="82" t="str">
        <f t="shared" si="99"/>
        <v>"C:\Program Files (x86)\AstroGrep\AstroGrep.exe" /spath="%USERPROFILE%\AppData\Local\Temp\OnboardLogs" /stypes="app*4052*20170131*" /stext=" 17:.+((SYSTEM_STATE.+slice.+state.+changed )|(ment ac)|(multiple cpu faults)|(system.+state.+changed )|(\[timeout)|(PRM\|1\|D)|(kpr)|(kdp)|(\|lc)|(penalty))" /e /r /s</v>
      </c>
      <c r="AG172" s="1" t="str">
        <f t="shared" si="105"/>
        <v>NW</v>
      </c>
      <c r="AH172" s="86" t="str">
        <f t="shared" si="106"/>
        <v>"%USERPROFILE%\Documents\GitHub\eaglep3\Utilities\RefineRTDCRunTimes.py" --tripid 816-31 --locoid 4052 --swversion DE.1.0.8.0 --startMP 300:58628 --initTime 2017-01-31T10:37:51 --startdatetime 2017-01-31T10:39:29 --delay 1 --endMP 204:747 --enddatetime 2017-01-31T10:55:48 --enforcementcount 0 &gt;&gt;C:\Users\stu\Documents\GitHub\eaglep3-reporting\EC\2017-01-31-refined-times.txt</v>
      </c>
      <c r="AI172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{"issue":{"subject":"","project_id":79,"tracker_id":40,"status_id":1,"priority_id":2,"assigned_to_id":23,"start_date":"2017-01-31","description":"","custom_fields":[{"id":1,"name":"Subdivision","value":"NW"},{"id":4,"name":"Milepost","value":"0.0747"},{"id":17,"name":"Train ID","value":"816-31"},{"id":16,"name":"Locomotive ID","value":"4052"},{"id":130,"name":"Impact","value":""},{"id":150,"name":"Time of Event (Mountain Time)","value":"10:55:48"},{"id":151,"name":"Denver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61" t="str">
        <f t="shared" si="108"/>
        <v>start /low /b %USERPROFILE%\Documents\GitHub\eaglep3\Utilities\DownloadLogsFromS3.py --loco 4052 --day 2017-01-31</v>
      </c>
      <c r="AN172" s="170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2017-01-31-UncaughtWiMAX.txt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497</v>
      </c>
      <c r="B173" s="7">
        <v>4051</v>
      </c>
      <c r="C173" s="21" t="s">
        <v>193</v>
      </c>
      <c r="D173" s="21" t="s">
        <v>812</v>
      </c>
      <c r="E173" s="13">
        <v>42766.469166666669</v>
      </c>
      <c r="F173" s="13">
        <v>42766.473067129627</v>
      </c>
      <c r="G173" s="7">
        <v>1</v>
      </c>
      <c r="H173" s="21" t="s">
        <v>820</v>
      </c>
      <c r="I173" s="13">
        <v>42766.488402777781</v>
      </c>
      <c r="J173" s="7">
        <v>0</v>
      </c>
      <c r="K173" s="98" t="str">
        <f t="shared" si="109"/>
        <v>4051/4052</v>
      </c>
      <c r="L173" s="21" t="str">
        <f>VLOOKUP(A173,'Trips&amp;Operators'!$C$1:$G$99999,5,FALSE)</f>
        <v>BROWN JACOB</v>
      </c>
      <c r="M173" s="6">
        <f t="shared" si="110"/>
        <v>1.5335648153268266E-2</v>
      </c>
      <c r="N173" s="7">
        <f t="shared" si="100"/>
        <v>22.083333340706304</v>
      </c>
      <c r="O173" s="7"/>
      <c r="P173" s="7"/>
      <c r="Q173" s="22"/>
      <c r="R173" s="22"/>
      <c r="S173" s="31">
        <f t="shared" si="111"/>
        <v>1</v>
      </c>
      <c r="T173" s="46" t="str">
        <f t="shared" si="101"/>
        <v>NorthBound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97"/>
        <v>https://d0f6bd738d7f1b3e5a7ca70fe4ff75f0.us-east-1.aws.found.io/app/kibana#/discover/Steve-Slow-Train-Analysis-(2080s-and-2083s)?_g=(refreshInterval:(display:Off,pause:!f,section:0,value:0),time:(from:'2017-01-31T10:15:36-0700',mode:absolute,to:'2017-01-31T12:43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3" s="194" t="str">
        <f t="shared" si="102"/>
        <v>N</v>
      </c>
      <c r="X173" s="194">
        <f t="shared" si="113"/>
        <v>1</v>
      </c>
      <c r="Y173" s="62">
        <f t="shared" si="114"/>
        <v>0.1007</v>
      </c>
      <c r="Z173" s="62">
        <f t="shared" si="112"/>
        <v>5.8944000000000001</v>
      </c>
      <c r="AA173" s="62">
        <f t="shared" si="103"/>
        <v>5.7937000000000003</v>
      </c>
      <c r="AB173" s="59" t="e">
        <f>VLOOKUP(A173,Enforcements!$C$7:$K$16,8,0)</f>
        <v>#N/A</v>
      </c>
      <c r="AC173" s="55" t="e">
        <f>VLOOKUP(A173,Enforcements!$C$7:$E$16,3,0)</f>
        <v>#N/A</v>
      </c>
      <c r="AD173" s="56" t="str">
        <f t="shared" si="104"/>
        <v>0817-31</v>
      </c>
      <c r="AE173" s="85" t="str">
        <f t="shared" si="98"/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AF173" s="82" t="str">
        <f t="shared" si="99"/>
        <v>"C:\Program Files (x86)\AstroGrep\AstroGrep.exe" /spath="%USERPROFILE%\AppData\Local\Temp\OnboardLogs" /stypes="app*4051*20170131*" /stext=" 18:.+((SYSTEM_STATE.+slice.+state.+changed )|(ment ac)|(multiple cpu faults)|(system.+state.+changed )|(\[timeout)|(PRM\|1\|D)|(kpr)|(kdp)|(\|lc)|(penalty))" /e /r /s</v>
      </c>
      <c r="AG173" s="1" t="str">
        <f t="shared" si="105"/>
        <v>NW</v>
      </c>
      <c r="AH173" s="86" t="str">
        <f t="shared" si="106"/>
        <v>"%USERPROFILE%\Documents\GitHub\eaglep3\Utilities\RefineRTDCRunTimes.py" --tripid 817-31 --locoid 4051 --swversion DE.1.0.8.0 --startMP 204:1007 --initTime 2017-01-31T11:15:36 --startdatetime 2017-01-31T11:21:13 --delay 1 --endMP 300:58944 --enddatetime 2017-01-31T11:43:18 --enforcementcount 0 &gt;&gt;C:\Users\stu\Documents\GitHub\eaglep3-reporting\EC\2017-01-31-refined-times.txt</v>
      </c>
      <c r="AI173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{"issue":{"subject":"","project_id":79,"tracker_id":40,"status_id":1,"priority_id":2,"assigned_to_id":23,"start_date":"2017-01-31","description":"","custom_fields":[{"id":1,"name":"Subdivision","value":"NW"},{"id":4,"name":"Milepost","value":"5.8944"},{"id":17,"name":"Train ID","value":"817-31"},{"id":16,"name":"Locomotive ID","value":"4051"},{"id":130,"name":"Impact","value":""},{"id":150,"name":"Time of Event (Mountain Time)","value":"11:43:18"},{"id":151,"name":"Denver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61" t="str">
        <f t="shared" si="108"/>
        <v>start /low /b %USERPROFILE%\Documents\GitHub\eaglep3\Utilities\DownloadLogsFromS3.py --loco 4051 --day 2017-01-31</v>
      </c>
      <c r="AN173" s="170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"%USERPROFILE%\AppData\Local\Temp\OnboardLogs"\RTDC4051\*4051*20170131* | grep -SE "(Enforcement Action)|(\[TIMEOUT)|(CHR.+\|PRM\|1\|D.+(SWITCH|SIGNAL).+UNKNOWN)" - &gt;&gt; 2017-01-31-UncaughtWiMAX.txt</v>
      </c>
    </row>
    <row r="174" spans="1:91" s="20" customFormat="1" x14ac:dyDescent="0.25">
      <c r="A174" s="33" t="s">
        <v>595</v>
      </c>
      <c r="B174" s="7">
        <v>4052</v>
      </c>
      <c r="C174" s="21" t="s">
        <v>193</v>
      </c>
      <c r="D174" s="21" t="s">
        <v>821</v>
      </c>
      <c r="E174" s="13">
        <v>42766.489398148151</v>
      </c>
      <c r="F174" s="13">
        <v>42766.490405092591</v>
      </c>
      <c r="G174" s="7">
        <v>1</v>
      </c>
      <c r="H174" s="21" t="s">
        <v>822</v>
      </c>
      <c r="I174" s="13">
        <v>42766.500879629632</v>
      </c>
      <c r="J174" s="7">
        <v>0</v>
      </c>
      <c r="K174" s="98" t="str">
        <f t="shared" si="109"/>
        <v>4051/4052</v>
      </c>
      <c r="L174" s="21" t="str">
        <f>VLOOKUP(A174,'Trips&amp;Operators'!$C$1:$G$99999,5,FALSE)</f>
        <v>BROWN JACOB</v>
      </c>
      <c r="M174" s="6">
        <f t="shared" si="110"/>
        <v>1.0474537040863652E-2</v>
      </c>
      <c r="N174" s="7">
        <f t="shared" ref="N174:N205" si="115">24*60*SUM($M174:$M174)</f>
        <v>15.083333338843659</v>
      </c>
      <c r="O174" s="7"/>
      <c r="P174" s="7"/>
      <c r="Q174" s="22"/>
      <c r="R174" s="22"/>
      <c r="S174" s="31">
        <f t="shared" si="111"/>
        <v>1</v>
      </c>
      <c r="T174" s="46" t="str">
        <f t="shared" si="101"/>
        <v>Southbound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97"/>
        <v>https://d0f6bd738d7f1b3e5a7ca70fe4ff75f0.us-east-1.aws.found.io/app/kibana#/discover/Steve-Slow-Train-Analysis-(2080s-and-2083s)?_g=(refreshInterval:(display:Off,pause:!f,section:0,value:0),time:(from:'2017-01-31T10:44:44-0700',mode:absolute,to:'2017-01-31T13:01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4" s="194" t="str">
        <f t="shared" si="102"/>
        <v>N</v>
      </c>
      <c r="X174" s="194">
        <f t="shared" si="113"/>
        <v>1</v>
      </c>
      <c r="Y174" s="62">
        <f t="shared" si="114"/>
        <v>5.8624000000000001</v>
      </c>
      <c r="Z174" s="62">
        <f t="shared" si="112"/>
        <v>7.3400000000000007E-2</v>
      </c>
      <c r="AA174" s="62">
        <f t="shared" si="103"/>
        <v>5.7889999999999997</v>
      </c>
      <c r="AB174" s="59" t="e">
        <f>VLOOKUP(A174,Enforcements!$C$7:$K$16,8,0)</f>
        <v>#N/A</v>
      </c>
      <c r="AC174" s="55" t="e">
        <f>VLOOKUP(A174,Enforcements!$C$7:$E$16,3,0)</f>
        <v>#N/A</v>
      </c>
      <c r="AD174" s="56" t="str">
        <f t="shared" si="104"/>
        <v>0818-31</v>
      </c>
      <c r="AE174" s="85" t="str">
        <f t="shared" si="98"/>
        <v>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 &amp; 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</v>
      </c>
      <c r="AF174" s="82" t="str">
        <f t="shared" si="99"/>
        <v>"C:\Program Files (x86)\AstroGrep\AstroGrep.exe" /spath="%USERPROFILE%\AppData\Local\Temp\OnboardLogs" /stypes="app*4052*20170131*" /stext=" 19:.+((SYSTEM_STATE.+slice.+state.+changed )|(ment ac)|(multiple cpu faults)|(system.+state.+changed )|(\[timeout)|(PRM\|1\|D)|(kpr)|(kdp)|(\|lc)|(penalty))" /e /r /s</v>
      </c>
      <c r="AG174" s="1" t="str">
        <f t="shared" si="105"/>
        <v>NW</v>
      </c>
      <c r="AH174" s="86" t="str">
        <f t="shared" si="106"/>
        <v>"%USERPROFILE%\Documents\GitHub\eaglep3\Utilities\RefineRTDCRunTimes.py" --tripid 818-31 --locoid 4052 --swversion DE.1.0.8.0 --startMP 300:58624 --initTime 2017-01-31T11:44:44 --startdatetime 2017-01-31T11:46:11 --delay 1 --endMP 204:734 --enddatetime 2017-01-31T12:01:16 --enforcementcount 0 &gt;&gt;C:\Users\stu\Documents\GitHub\eaglep3-reporting\EC\2017-01-31-refined-times.txt</v>
      </c>
      <c r="AI174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{"issue":{"subject":"","project_id":79,"tracker_id":40,"status_id":1,"priority_id":2,"assigned_to_id":23,"start_date":"2017-01-31","description":"","custom_fields":[{"id":1,"name":"Subdivision","value":"NW"},{"id":4,"name":"Milepost","value":"0.0734"},{"id":17,"name":"Train ID","value":"818-31"},{"id":16,"name":"Locomotive ID","value":"4052"},{"id":130,"name":"Impact","value":""},{"id":150,"name":"Time of Event (Mountain Time)","value":"12:01:16"},{"id":151,"name":"Denver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61" t="str">
        <f t="shared" si="108"/>
        <v>start /low /b %USERPROFILE%\Documents\GitHub\eaglep3\Utilities\DownloadLogsFromS3.py --loco 4052 --day 2017-01-31</v>
      </c>
      <c r="AN174" s="170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2017-01-31-UncaughtWiMAX.txt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499</v>
      </c>
      <c r="B175" s="7">
        <v>4051</v>
      </c>
      <c r="C175" s="21" t="s">
        <v>193</v>
      </c>
      <c r="D175" s="21" t="s">
        <v>823</v>
      </c>
      <c r="E175" s="13">
        <v>42766.510162037041</v>
      </c>
      <c r="F175" s="13">
        <v>42766.53193287037</v>
      </c>
      <c r="G175" s="7">
        <v>1</v>
      </c>
      <c r="H175" s="21" t="s">
        <v>824</v>
      </c>
      <c r="I175" s="13">
        <v>42766.541921296295</v>
      </c>
      <c r="J175" s="7">
        <v>0</v>
      </c>
      <c r="K175" s="98" t="str">
        <f t="shared" si="109"/>
        <v>4051/4052</v>
      </c>
      <c r="L175" s="21" t="str">
        <f>VLOOKUP(A175,'Trips&amp;Operators'!$C$1:$G$99999,5,FALSE)</f>
        <v>BROWN JACOB</v>
      </c>
      <c r="M175" s="6">
        <f t="shared" si="110"/>
        <v>9.9884259252576157E-3</v>
      </c>
      <c r="N175" s="7">
        <f t="shared" si="115"/>
        <v>14.383333332370967</v>
      </c>
      <c r="O175" s="7"/>
      <c r="P175" s="7"/>
      <c r="Q175" s="22"/>
      <c r="R175" s="22"/>
      <c r="S175" s="31">
        <f t="shared" si="111"/>
        <v>1</v>
      </c>
      <c r="T175" s="46" t="str">
        <f t="shared" si="101"/>
        <v>NorthBound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97"/>
        <v>https://d0f6bd738d7f1b3e5a7ca70fe4ff75f0.us-east-1.aws.found.io/app/kibana#/discover/Steve-Slow-Train-Analysis-(2080s-and-2083s)?_g=(refreshInterval:(display:Off,pause:!f,section:0,value:0),time:(from:'2017-01-31T11:14:38-0700',mode:absolute,to:'2017-01-31T14:00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5" s="194" t="str">
        <f t="shared" si="102"/>
        <v>N</v>
      </c>
      <c r="X175" s="194">
        <f t="shared" si="113"/>
        <v>1</v>
      </c>
      <c r="Y175" s="62">
        <f t="shared" si="114"/>
        <v>0.1009</v>
      </c>
      <c r="Z175" s="62">
        <f t="shared" si="112"/>
        <v>5.8921999999999999</v>
      </c>
      <c r="AA175" s="62">
        <f t="shared" si="103"/>
        <v>5.7912999999999997</v>
      </c>
      <c r="AB175" s="59" t="e">
        <f>VLOOKUP(A175,Enforcements!$C$7:$K$16,8,0)</f>
        <v>#N/A</v>
      </c>
      <c r="AC175" s="55" t="e">
        <f>VLOOKUP(A175,Enforcements!$C$7:$E$16,3,0)</f>
        <v>#N/A</v>
      </c>
      <c r="AD175" s="56" t="str">
        <f t="shared" si="104"/>
        <v>0819-31</v>
      </c>
      <c r="AE175" s="85" t="str">
        <f t="shared" si="98"/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AF175" s="82" t="str">
        <f t="shared" si="99"/>
        <v>"C:\Program Files (x86)\AstroGrep\AstroGrep.exe" /spath="%USERPROFILE%\AppData\Local\Temp\OnboardLogs" /stypes="app*4051*20170131*" /stext=" 20:.+((SYSTEM_STATE.+slice.+state.+changed )|(ment ac)|(multiple cpu faults)|(system.+state.+changed )|(\[timeout)|(PRM\|1\|D)|(kpr)|(kdp)|(\|lc)|(penalty))" /e /r /s</v>
      </c>
      <c r="AG175" s="1" t="str">
        <f t="shared" si="105"/>
        <v>NW</v>
      </c>
      <c r="AH175" s="86" t="str">
        <f t="shared" si="106"/>
        <v>"%USERPROFILE%\Documents\GitHub\eaglep3\Utilities\RefineRTDCRunTimes.py" --tripid 819-31 --locoid 4051 --swversion DE.1.0.8.0 --startMP 204:1009 --initTime 2017-01-31T12:14:38 --startdatetime 2017-01-31T12:45:59 --delay 1 --endMP 300:58922 --enddatetime 2017-01-31T13:00:22 --enforcementcount 0 &gt;&gt;C:\Users\stu\Documents\GitHub\eaglep3-reporting\EC\2017-01-31-refined-times.txt</v>
      </c>
      <c r="AI175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{"issue":{"subject":"","project_id":79,"tracker_id":40,"status_id":1,"priority_id":2,"assigned_to_id":23,"start_date":"2017-01-31","description":"","custom_fields":[{"id":1,"name":"Subdivision","value":"NW"},{"id":4,"name":"Milepost","value":"5.8922"},{"id":17,"name":"Train ID","value":"819-31"},{"id":16,"name":"Locomotive ID","value":"4051"},{"id":130,"name":"Impact","value":""},{"id":150,"name":"Time of Event (Mountain Time)","value":"13:00:22"},{"id":151,"name":"Denver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61" t="str">
        <f t="shared" si="108"/>
        <v>start /low /b %USERPROFILE%\Documents\GitHub\eaglep3\Utilities\DownloadLogsFromS3.py --loco 4051 --day 2017-01-31</v>
      </c>
      <c r="AN175" s="170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"%USERPROFILE%\AppData\Local\Temp\OnboardLogs"\RTDC4051\*4051*20170131* | grep -SE "(Enforcement Action)|(\[TIMEOUT)|(CHR.+\|PRM\|1\|D.+(SWITCH|SIGNAL).+UNKNOWN)" - &gt;&gt; 2017-01-31-UncaughtWiMAX.txt</v>
      </c>
    </row>
    <row r="176" spans="1:91" s="20" customFormat="1" x14ac:dyDescent="0.25">
      <c r="A176" s="33" t="s">
        <v>605</v>
      </c>
      <c r="B176" s="7">
        <v>4052</v>
      </c>
      <c r="C176" s="21" t="s">
        <v>193</v>
      </c>
      <c r="D176" s="21" t="s">
        <v>482</v>
      </c>
      <c r="E176" s="13">
        <v>42766.530740740738</v>
      </c>
      <c r="F176" s="13">
        <v>42766.53193287037</v>
      </c>
      <c r="G176" s="7">
        <v>1</v>
      </c>
      <c r="H176" s="21" t="s">
        <v>825</v>
      </c>
      <c r="I176" s="13">
        <v>42766.541921296295</v>
      </c>
      <c r="J176" s="7">
        <v>0</v>
      </c>
      <c r="K176" s="98" t="str">
        <f t="shared" si="109"/>
        <v>4051/4052</v>
      </c>
      <c r="L176" s="21" t="str">
        <f>VLOOKUP(A176,'Trips&amp;Operators'!$C$1:$G$99999,5,FALSE)</f>
        <v>BROWN JACOB</v>
      </c>
      <c r="M176" s="6">
        <f t="shared" si="110"/>
        <v>9.9884259252576157E-3</v>
      </c>
      <c r="N176" s="7">
        <f t="shared" si="115"/>
        <v>14.383333332370967</v>
      </c>
      <c r="O176" s="7"/>
      <c r="P176" s="7"/>
      <c r="Q176" s="22"/>
      <c r="R176" s="22"/>
      <c r="S176" s="31">
        <f t="shared" si="111"/>
        <v>1</v>
      </c>
      <c r="T176" s="46" t="str">
        <f t="shared" si="101"/>
        <v>Southbound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97"/>
        <v>https://d0f6bd738d7f1b3e5a7ca70fe4ff75f0.us-east-1.aws.found.io/app/kibana#/discover/Steve-Slow-Train-Analysis-(2080s-and-2083s)?_g=(refreshInterval:(display:Off,pause:!f,section:0,value:0),time:(from:'2017-01-31T11:44:16-0700',mode:absolute,to:'2017-01-31T14:00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6" s="194" t="str">
        <f t="shared" si="102"/>
        <v>N</v>
      </c>
      <c r="X176" s="194">
        <f t="shared" si="113"/>
        <v>1</v>
      </c>
      <c r="Y176" s="62">
        <f t="shared" si="114"/>
        <v>5.8596000000000004</v>
      </c>
      <c r="Z176" s="62">
        <f t="shared" si="112"/>
        <v>1.5699999999999999E-2</v>
      </c>
      <c r="AA176" s="62">
        <f t="shared" si="103"/>
        <v>5.8439000000000005</v>
      </c>
      <c r="AB176" s="59" t="e">
        <f>VLOOKUP(A176,Enforcements!$C$7:$K$16,8,0)</f>
        <v>#N/A</v>
      </c>
      <c r="AC176" s="55" t="e">
        <f>VLOOKUP(A176,Enforcements!$C$7:$E$16,3,0)</f>
        <v>#N/A</v>
      </c>
      <c r="AD176" s="56" t="str">
        <f t="shared" si="104"/>
        <v>0820-31</v>
      </c>
      <c r="AE176" s="85" t="str">
        <f t="shared" si="98"/>
        <v>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 &amp; 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</v>
      </c>
      <c r="AF176" s="82" t="str">
        <f t="shared" si="99"/>
        <v>"C:\Program Files (x86)\AstroGrep\AstroGrep.exe" /spath="%USERPROFILE%\AppData\Local\Temp\OnboardLogs" /stypes="app*4052*20170131*" /stext=" 20:.+((SYSTEM_STATE.+slice.+state.+changed )|(ment ac)|(multiple cpu faults)|(system.+state.+changed )|(\[timeout)|(PRM\|1\|D)|(kpr)|(kdp)|(\|lc)|(penalty))" /e /r /s</v>
      </c>
      <c r="AG176" s="1" t="str">
        <f t="shared" si="105"/>
        <v>NW</v>
      </c>
      <c r="AH176" s="86" t="str">
        <f t="shared" si="106"/>
        <v>"%USERPROFILE%\Documents\GitHub\eaglep3\Utilities\RefineRTDCRunTimes.py" --tripid 820-31 --locoid 4052 --swversion DE.1.0.8.0 --startMP 300:58596 --initTime 2017-01-31T12:44:16 --startdatetime 2017-01-31T12:45:59 --delay 1 --endMP 204:157 --enddatetime 2017-01-31T13:00:22 --enforcementcount 0 &gt;&gt;C:\Users\stu\Documents\GitHub\eaglep3-reporting\EC\2017-01-31-refined-times.txt</v>
      </c>
      <c r="AI176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{"issue":{"subject":"","project_id":79,"tracker_id":40,"status_id":1,"priority_id":2,"assigned_to_id":23,"start_date":"2017-01-31","description":"","custom_fields":[{"id":1,"name":"Subdivision","value":"NW"},{"id":4,"name":"Milepost","value":"0.0157"},{"id":17,"name":"Train ID","value":"820-31"},{"id":16,"name":"Locomotive ID","value":"4052"},{"id":130,"name":"Impact","value":""},{"id":150,"name":"Time of Event (Mountain Time)","value":"13:00:22"},{"id":151,"name":"Denver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61" t="str">
        <f t="shared" si="108"/>
        <v>start /low /b %USERPROFILE%\Documents\GitHub\eaglep3\Utilities\DownloadLogsFromS3.py --loco 4052 --day 2017-01-31</v>
      </c>
      <c r="AN176" s="170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2017-01-31-UncaughtWiMAX.txt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3" t="s">
        <v>609</v>
      </c>
      <c r="B177" s="7">
        <v>4009</v>
      </c>
      <c r="C177" s="21" t="s">
        <v>193</v>
      </c>
      <c r="D177" s="21" t="s">
        <v>826</v>
      </c>
      <c r="E177" s="13">
        <v>42766.544374999998</v>
      </c>
      <c r="F177" s="13">
        <v>42766.556493055556</v>
      </c>
      <c r="G177" s="7">
        <v>4</v>
      </c>
      <c r="H177" s="21" t="s">
        <v>487</v>
      </c>
      <c r="I177" s="13">
        <v>42766.566481481481</v>
      </c>
      <c r="J177" s="7">
        <v>0</v>
      </c>
      <c r="K177" s="98" t="str">
        <f t="shared" si="109"/>
        <v>4009/4010</v>
      </c>
      <c r="L177" s="21" t="str">
        <f>VLOOKUP(A177,'Trips&amp;Operators'!$C$1:$G$99999,5,FALSE)</f>
        <v>LEVIN SCOTT</v>
      </c>
      <c r="M177" s="6">
        <f t="shared" si="110"/>
        <v>9.9884259252576157E-3</v>
      </c>
      <c r="N177" s="7">
        <f t="shared" si="115"/>
        <v>14.383333332370967</v>
      </c>
      <c r="O177" s="7"/>
      <c r="P177" s="7"/>
      <c r="Q177" s="22"/>
      <c r="R177" s="22"/>
      <c r="S177" s="31">
        <f t="shared" si="111"/>
        <v>1</v>
      </c>
      <c r="T177" s="46" t="str">
        <f t="shared" si="101"/>
        <v>NorthBound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97"/>
        <v>https://d0f6bd738d7f1b3e5a7ca70fe4ff75f0.us-east-1.aws.found.io/app/kibana#/discover/Steve-Slow-Train-Analysis-(2080s-and-2083s)?_g=(refreshInterval:(display:Off,pause:!f,section:0,value:0),time:(from:'2017-01-31T12:03:54-0700',mode:absolute,to:'2017-01-31T14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94" t="str">
        <f t="shared" si="102"/>
        <v>N</v>
      </c>
      <c r="X177" s="194">
        <f t="shared" si="113"/>
        <v>1</v>
      </c>
      <c r="Y177" s="62">
        <f t="shared" si="114"/>
        <v>9.9500000000000005E-2</v>
      </c>
      <c r="Z177" s="62">
        <f t="shared" si="112"/>
        <v>5.8959999999999999</v>
      </c>
      <c r="AA177" s="62">
        <f t="shared" si="103"/>
        <v>5.7965</v>
      </c>
      <c r="AB177" s="59" t="e">
        <f>VLOOKUP(A177,Enforcements!$C$7:$K$16,8,0)</f>
        <v>#N/A</v>
      </c>
      <c r="AC177" s="55" t="e">
        <f>VLOOKUP(A177,Enforcements!$C$7:$E$16,3,0)</f>
        <v>#N/A</v>
      </c>
      <c r="AD177" s="56" t="str">
        <f t="shared" si="104"/>
        <v>0821-31</v>
      </c>
      <c r="AE177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177" s="82" t="str">
        <f t="shared" si="99"/>
        <v>"C:\Program Files (x86)\AstroGrep\AstroGrep.exe" /spath="%USERPROFILE%\AppData\Local\Temp\OnboardLogs" /stypes="app*4009*20170131*" /stext=" 20:.+((SYSTEM_STATE.+slice.+state.+changed )|(ment ac)|(multiple cpu faults)|(system.+state.+changed )|(\[timeout)|(PRM\|1\|D)|(kpr)|(kdp)|(\|lc)|(penalty))" /e /r /s</v>
      </c>
      <c r="AG177" s="1" t="str">
        <f t="shared" si="105"/>
        <v>NW</v>
      </c>
      <c r="AH177" s="86" t="str">
        <f t="shared" si="106"/>
        <v>"%USERPROFILE%\Documents\GitHub\eaglep3\Utilities\RefineRTDCRunTimes.py" --tripid 821-31 --locoid 4009 --swversion DE.1.0.8.0 --startMP 204:995 --initTime 2017-01-31T13:03:54 --startdatetime 2017-01-31T13:21:21 --delay 4 --endMP 300:58960 --enddatetime 2017-01-31T13:35:44 --enforcementcount 0 &gt;&gt;C:\Users\stu\Documents\GitHub\eaglep3-reporting\EC\2017-01-31-refined-times.txt</v>
      </c>
      <c r="AI177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{"issue":{"subject":"","project_id":79,"tracker_id":40,"status_id":1,"priority_id":2,"assigned_to_id":23,"start_date":"2017-01-31","description":"","custom_fields":[{"id":1,"name":"Subdivision","value":"NW"},{"id":4,"name":"Milepost","value":"5.896"},{"id":17,"name":"Train ID","value":"821-31"},{"id":16,"name":"Locomotive ID","value":"4009"},{"id":130,"name":"Impact","value":""},{"id":150,"name":"Time of Event (Mountain Time)","value":"13:35:44"},{"id":151,"name":"Denver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61" t="str">
        <f t="shared" si="108"/>
        <v>start /low /b %USERPROFILE%\Documents\GitHub\eaglep3\Utilities\DownloadLogsFromS3.py --loco 4009 --day 2017-01-31</v>
      </c>
      <c r="AN177" s="170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"%USERPROFILE%\AppData\Local\Temp\OnboardLogs"\RTDC4009\*4009*20170131* | grep -SE "(Enforcement Action)|(\[TIMEOUT)|(CHR.+\|PRM\|1\|D.+(SWITCH|SIGNAL).+UNKNOWN)" - &gt;&gt; 2017-01-31-UncaughtWiMAX.txt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3" t="s">
        <v>616</v>
      </c>
      <c r="B178" s="7">
        <v>4010</v>
      </c>
      <c r="C178" s="21" t="s">
        <v>193</v>
      </c>
      <c r="D178" s="21" t="s">
        <v>827</v>
      </c>
      <c r="E178" s="13">
        <v>42766.567465277774</v>
      </c>
      <c r="F178" s="13">
        <v>42766.568576388891</v>
      </c>
      <c r="G178" s="7">
        <v>1</v>
      </c>
      <c r="H178" s="21" t="s">
        <v>828</v>
      </c>
      <c r="I178" s="13">
        <v>42766.580312500002</v>
      </c>
      <c r="J178" s="7">
        <v>0</v>
      </c>
      <c r="K178" s="98" t="str">
        <f t="shared" si="109"/>
        <v>4009/4010</v>
      </c>
      <c r="L178" s="21" t="str">
        <f>VLOOKUP(A178,'Trips&amp;Operators'!$C$1:$G$99999,5,FALSE)</f>
        <v>LEVIN SCOTT</v>
      </c>
      <c r="M178" s="6">
        <f t="shared" si="110"/>
        <v>1.17361111115315E-2</v>
      </c>
      <c r="N178" s="7">
        <f t="shared" si="115"/>
        <v>16.90000000060536</v>
      </c>
      <c r="O178" s="7"/>
      <c r="P178" s="7"/>
      <c r="Q178" s="22"/>
      <c r="R178" s="22"/>
      <c r="S178" s="31">
        <f t="shared" si="111"/>
        <v>1</v>
      </c>
      <c r="T178" s="46" t="str">
        <f t="shared" si="101"/>
        <v>Southbound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97"/>
        <v>https://d0f6bd738d7f1b3e5a7ca70fe4ff75f0.us-east-1.aws.found.io/app/kibana#/discover/Steve-Slow-Train-Analysis-(2080s-and-2083s)?_g=(refreshInterval:(display:Off,pause:!f,section:0,value:0),time:(from:'2017-01-31T12:37:09-0700',mode:absolute,to:'2017-01-31T14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94" t="str">
        <f t="shared" si="102"/>
        <v>N</v>
      </c>
      <c r="X178" s="194">
        <f t="shared" si="113"/>
        <v>1</v>
      </c>
      <c r="Y178" s="62">
        <f t="shared" si="114"/>
        <v>5.8634000000000004</v>
      </c>
      <c r="Z178" s="62">
        <f t="shared" si="112"/>
        <v>6.7699999999999996E-2</v>
      </c>
      <c r="AA178" s="62">
        <f t="shared" si="103"/>
        <v>5.7957000000000001</v>
      </c>
      <c r="AB178" s="59" t="e">
        <f>VLOOKUP(A178,Enforcements!$C$7:$K$16,8,0)</f>
        <v>#N/A</v>
      </c>
      <c r="AC178" s="55" t="e">
        <f>VLOOKUP(A178,Enforcements!$C$7:$E$16,3,0)</f>
        <v>#N/A</v>
      </c>
      <c r="AD178" s="56" t="str">
        <f t="shared" si="104"/>
        <v>0822-31</v>
      </c>
      <c r="AE178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178" s="82" t="str">
        <f t="shared" si="99"/>
        <v>"C:\Program Files (x86)\AstroGrep\AstroGrep.exe" /spath="%USERPROFILE%\AppData\Local\Temp\OnboardLogs" /stypes="app*4010*20170131*" /stext=" 20:.+((SYSTEM_STATE.+slice.+state.+changed )|(ment ac)|(multiple cpu faults)|(system.+state.+changed )|(\[timeout)|(PRM\|1\|D)|(kpr)|(kdp)|(\|lc)|(penalty))" /e /r /s</v>
      </c>
      <c r="AG178" s="1" t="str">
        <f t="shared" si="105"/>
        <v>NW</v>
      </c>
      <c r="AH178" s="86" t="str">
        <f t="shared" si="106"/>
        <v>"%USERPROFILE%\Documents\GitHub\eaglep3\Utilities\RefineRTDCRunTimes.py" --tripid 822-31 --locoid 4010 --swversion DE.1.0.8.0 --startMP 300:58634 --initTime 2017-01-31T13:37:09 --startdatetime 2017-01-31T13:38:45 --delay 1 --endMP 204:677 --enddatetime 2017-01-31T13:55:39 --enforcementcount 0 &gt;&gt;C:\Users\stu\Documents\GitHub\eaglep3-reporting\EC\2017-01-31-refined-times.txt</v>
      </c>
      <c r="AI178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{"issue":{"subject":"","project_id":79,"tracker_id":40,"status_id":1,"priority_id":2,"assigned_to_id":23,"start_date":"2017-01-31","description":"","custom_fields":[{"id":1,"name":"Subdivision","value":"NW"},{"id":4,"name":"Milepost","value":"0.0677"},{"id":17,"name":"Train ID","value":"822-31"},{"id":16,"name":"Locomotive ID","value":"4010"},{"id":130,"name":"Impact","value":""},{"id":150,"name":"Time of Event (Mountain Time)","value":"13:55:39"},{"id":151,"name":"Denver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61" t="str">
        <f t="shared" si="108"/>
        <v>start /low /b %USERPROFILE%\Documents\GitHub\eaglep3\Utilities\DownloadLogsFromS3.py --loco 4010 --day 2017-01-31</v>
      </c>
      <c r="AN178" s="170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"%USERPROFILE%\AppData\Local\Temp\OnboardLogs"\RTDC4010\*4010*20170131* | grep -SE "(Enforcement Action)|(\[TIMEOUT)|(CHR.+\|PRM\|1\|D.+(SWITCH|SIGNAL).+UNKNOWN)" - &gt;&gt; 2017-01-31-UncaughtWiMAX.txt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3" t="s">
        <v>622</v>
      </c>
      <c r="B179" s="7">
        <v>4009</v>
      </c>
      <c r="C179" s="21" t="s">
        <v>193</v>
      </c>
      <c r="D179" s="21" t="s">
        <v>488</v>
      </c>
      <c r="E179" s="13">
        <v>42766.594641203701</v>
      </c>
      <c r="F179" s="13">
        <v>42766.59814814815</v>
      </c>
      <c r="G179" s="7">
        <v>1</v>
      </c>
      <c r="H179" s="21" t="s">
        <v>829</v>
      </c>
      <c r="I179" s="13">
        <v>42766.607986111114</v>
      </c>
      <c r="J179" s="7">
        <v>0</v>
      </c>
      <c r="K179" s="98" t="str">
        <f t="shared" si="109"/>
        <v>4009/4010</v>
      </c>
      <c r="L179" s="21" t="str">
        <f>VLOOKUP(A179,'Trips&amp;Operators'!$C$1:$G$99999,5,FALSE)</f>
        <v>LEVIN SCOTT</v>
      </c>
      <c r="M179" s="6">
        <f t="shared" si="110"/>
        <v>9.8379629635019228E-3</v>
      </c>
      <c r="N179" s="7">
        <f t="shared" si="115"/>
        <v>14.166666667442769</v>
      </c>
      <c r="O179" s="7"/>
      <c r="P179" s="7"/>
      <c r="Q179" s="22"/>
      <c r="R179" s="22"/>
      <c r="S179" s="31">
        <f t="shared" si="111"/>
        <v>1</v>
      </c>
      <c r="T179" s="46" t="str">
        <f t="shared" si="101"/>
        <v>NorthBound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97"/>
        <v>https://d0f6bd738d7f1b3e5a7ca70fe4ff75f0.us-east-1.aws.found.io/app/kibana#/discover/Steve-Slow-Train-Analysis-(2080s-and-2083s)?_g=(refreshInterval:(display:Off,pause:!f,section:0,value:0),time:(from:'2017-01-31T13:16:17-0700',mode:absolute,to:'2017-01-31T15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94" t="str">
        <f t="shared" si="102"/>
        <v>N</v>
      </c>
      <c r="X179" s="194">
        <f t="shared" si="113"/>
        <v>1</v>
      </c>
      <c r="Y179" s="62">
        <f t="shared" si="114"/>
        <v>9.6199999999999994E-2</v>
      </c>
      <c r="Z179" s="62">
        <f t="shared" si="112"/>
        <v>5.8958000000000004</v>
      </c>
      <c r="AA179" s="62">
        <f t="shared" si="103"/>
        <v>5.7996000000000008</v>
      </c>
      <c r="AB179" s="59" t="e">
        <f>VLOOKUP(A179,Enforcements!$C$7:$K$16,8,0)</f>
        <v>#N/A</v>
      </c>
      <c r="AC179" s="55" t="e">
        <f>VLOOKUP(A179,Enforcements!$C$7:$E$16,3,0)</f>
        <v>#N/A</v>
      </c>
      <c r="AD179" s="56" t="str">
        <f t="shared" si="104"/>
        <v>0823-31</v>
      </c>
      <c r="AE179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179" s="82" t="str">
        <f t="shared" si="99"/>
        <v>"C:\Program Files (x86)\AstroGrep\AstroGrep.exe" /spath="%USERPROFILE%\AppData\Local\Temp\OnboardLogs" /stypes="app*4009*20170131*" /stext=" 21:.+((SYSTEM_STATE.+slice.+state.+changed )|(ment ac)|(multiple cpu faults)|(system.+state.+changed )|(\[timeout)|(PRM\|1\|D)|(kpr)|(kdp)|(\|lc)|(penalty))" /e /r /s</v>
      </c>
      <c r="AG179" s="1" t="str">
        <f t="shared" si="105"/>
        <v>NW</v>
      </c>
      <c r="AH179" s="86" t="str">
        <f t="shared" si="106"/>
        <v>"%USERPROFILE%\Documents\GitHub\eaglep3\Utilities\RefineRTDCRunTimes.py" --tripid 823-31 --locoid 4009 --swversion DE.1.0.8.0 --startMP 204:962 --initTime 2017-01-31T14:16:17 --startdatetime 2017-01-31T14:21:20 --delay 1 --endMP 300:58958 --enddatetime 2017-01-31T14:35:30 --enforcementcount 0 &gt;&gt;C:\Users\stu\Documents\GitHub\eaglep3-reporting\EC\2017-01-31-refined-times.txt</v>
      </c>
      <c r="AI179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{"issue":{"subject":"","project_id":79,"tracker_id":40,"status_id":1,"priority_id":2,"assigned_to_id":23,"start_date":"2017-01-31","description":"","custom_fields":[{"id":1,"name":"Subdivision","value":"NW"},{"id":4,"name":"Milepost","value":"5.8958"},{"id":17,"name":"Train ID","value":"823-31"},{"id":16,"name":"Locomotive ID","value":"4009"},{"id":130,"name":"Impact","value":""},{"id":150,"name":"Time of Event (Mountain Time)","value":"14:35:30"},{"id":151,"name":"Denver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61" t="str">
        <f t="shared" si="108"/>
        <v>start /low /b %USERPROFILE%\Documents\GitHub\eaglep3\Utilities\DownloadLogsFromS3.py --loco 4009 --day 2017-01-31</v>
      </c>
      <c r="AN179" s="170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"%USERPROFILE%\AppData\Local\Temp\OnboardLogs"\RTDC4009\*4009*20170131* | grep -SE "(Enforcement Action)|(\[TIMEOUT)|(CHR.+\|PRM\|1\|D.+(SWITCH|SIGNAL).+UNKNOWN)" - &gt;&gt; 2017-01-31-UncaughtWiMAX.txt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3" t="s">
        <v>625</v>
      </c>
      <c r="B180" s="7">
        <v>4010</v>
      </c>
      <c r="C180" s="21" t="s">
        <v>193</v>
      </c>
      <c r="D180" s="21" t="s">
        <v>830</v>
      </c>
      <c r="E180" s="13">
        <v>42766.609027777777</v>
      </c>
      <c r="F180" s="13">
        <v>42766.610162037039</v>
      </c>
      <c r="G180" s="7">
        <v>0</v>
      </c>
      <c r="H180" s="21" t="s">
        <v>831</v>
      </c>
      <c r="I180" s="13">
        <v>42766.621782407405</v>
      </c>
      <c r="J180" s="7">
        <v>0</v>
      </c>
      <c r="K180" s="98" t="str">
        <f t="shared" si="109"/>
        <v>4009/4010</v>
      </c>
      <c r="L180" s="21" t="str">
        <f>VLOOKUP(A180,'Trips&amp;Operators'!$C$1:$G$99999,5,FALSE)</f>
        <v>LEVIN SCOTT</v>
      </c>
      <c r="M180" s="6">
        <f t="shared" si="110"/>
        <v>1.1620370365562849E-2</v>
      </c>
      <c r="N180" s="7">
        <f t="shared" si="115"/>
        <v>16.733333326410502</v>
      </c>
      <c r="O180" s="7"/>
      <c r="P180" s="7"/>
      <c r="Q180" s="22"/>
      <c r="R180" s="22"/>
      <c r="S180" s="31">
        <f t="shared" si="111"/>
        <v>1</v>
      </c>
      <c r="T180" s="46" t="str">
        <f t="shared" si="101"/>
        <v>Southbound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97"/>
        <v>https://d0f6bd738d7f1b3e5a7ca70fe4ff75f0.us-east-1.aws.found.io/app/kibana#/discover/Steve-Slow-Train-Analysis-(2080s-and-2083s)?_g=(refreshInterval:(display:Off,pause:!f,section:0,value:0),time:(from:'2017-01-31T13:37:00-0700',mode:absolute,to:'2017-01-31T15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94" t="str">
        <f t="shared" si="102"/>
        <v>N</v>
      </c>
      <c r="X180" s="194">
        <f t="shared" si="113"/>
        <v>1</v>
      </c>
      <c r="Y180" s="62">
        <f t="shared" si="114"/>
        <v>5.8643000000000001</v>
      </c>
      <c r="Z180" s="62">
        <f t="shared" si="112"/>
        <v>6.4000000000000001E-2</v>
      </c>
      <c r="AA180" s="62">
        <f t="shared" si="103"/>
        <v>5.8003</v>
      </c>
      <c r="AB180" s="59" t="e">
        <f>VLOOKUP(A180,Enforcements!$C$7:$K$16,8,0)</f>
        <v>#N/A</v>
      </c>
      <c r="AC180" s="55" t="e">
        <f>VLOOKUP(A180,Enforcements!$C$7:$E$16,3,0)</f>
        <v>#N/A</v>
      </c>
      <c r="AD180" s="56" t="str">
        <f t="shared" si="104"/>
        <v>0824-31</v>
      </c>
      <c r="AE180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180" s="82" t="str">
        <f t="shared" si="99"/>
        <v>"C:\Program Files (x86)\AstroGrep\AstroGrep.exe" /spath="%USERPROFILE%\AppData\Local\Temp\OnboardLogs" /stypes="app*4010*20170131*" /stext=" 21:.+((SYSTEM_STATE.+slice.+state.+changed )|(ment ac)|(multiple cpu faults)|(system.+state.+changed )|(\[timeout)|(PRM\|1\|D)|(kpr)|(kdp)|(\|lc)|(penalty))" /e /r /s</v>
      </c>
      <c r="AG180" s="1" t="str">
        <f t="shared" si="105"/>
        <v>NW</v>
      </c>
      <c r="AH180" s="86" t="str">
        <f t="shared" si="106"/>
        <v>"%USERPROFILE%\Documents\GitHub\eaglep3\Utilities\RefineRTDCRunTimes.py" --tripid 824-31 --locoid 4010 --swversion DE.1.0.8.0 --startMP 300:58643 --initTime 2017-01-31T14:37:00 --startdatetime 2017-01-31T14:38:38 --delay 0 --endMP 204:640 --enddatetime 2017-01-31T14:55:22 --enforcementcount 0 &gt;&gt;C:\Users\stu\Documents\GitHub\eaglep3-reporting\EC\2017-01-31-refined-times.txt</v>
      </c>
      <c r="AI180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{"issue":{"subject":"","project_id":79,"tracker_id":40,"status_id":1,"priority_id":2,"assigned_to_id":23,"start_date":"2017-01-31","description":"","custom_fields":[{"id":1,"name":"Subdivision","value":"NW"},{"id":4,"name":"Milepost","value":"0.064"},{"id":17,"name":"Train ID","value":"824-31"},{"id":16,"name":"Locomotive ID","value":"4010"},{"id":130,"name":"Impact","value":""},{"id":150,"name":"Time of Event (Mountain Time)","value":"14:55:22"},{"id":151,"name":"Denver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61" t="str">
        <f t="shared" si="108"/>
        <v>start /low /b %USERPROFILE%\Documents\GitHub\eaglep3\Utilities\DownloadLogsFromS3.py --loco 4010 --day 2017-01-31</v>
      </c>
      <c r="AN180" s="170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"%USERPROFILE%\AppData\Local\Temp\OnboardLogs"\RTDC4010\*4010*20170131* | grep -SE "(Enforcement Action)|(\[TIMEOUT)|(CHR.+\|PRM\|1\|D.+(SWITCH|SIGNAL).+UNKNOWN)" - &gt;&gt; 2017-01-31-UncaughtWiMAX.txt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631</v>
      </c>
      <c r="B181" s="7">
        <v>4009</v>
      </c>
      <c r="C181" s="21" t="s">
        <v>193</v>
      </c>
      <c r="D181" s="21" t="s">
        <v>832</v>
      </c>
      <c r="E181" s="13">
        <v>42766.636180555557</v>
      </c>
      <c r="F181" s="13">
        <v>42766.639791666668</v>
      </c>
      <c r="G181" s="7">
        <v>1</v>
      </c>
      <c r="H181" s="21" t="s">
        <v>833</v>
      </c>
      <c r="I181" s="13">
        <v>42766.649583333332</v>
      </c>
      <c r="J181" s="7">
        <v>0</v>
      </c>
      <c r="K181" s="98" t="str">
        <f t="shared" si="109"/>
        <v>4009/4010</v>
      </c>
      <c r="L181" s="21" t="str">
        <f>VLOOKUP(A181,'Trips&amp;Operators'!$C$1:$G$99999,5,FALSE)</f>
        <v>LEVIN SCOTT</v>
      </c>
      <c r="M181" s="6">
        <f t="shared" si="110"/>
        <v>9.7916666636592709E-3</v>
      </c>
      <c r="N181" s="7">
        <f t="shared" si="115"/>
        <v>14.09999999566935</v>
      </c>
      <c r="O181" s="7"/>
      <c r="P181" s="7"/>
      <c r="Q181" s="22"/>
      <c r="R181" s="22"/>
      <c r="S181" s="31">
        <f t="shared" si="111"/>
        <v>1</v>
      </c>
      <c r="T181" s="46" t="str">
        <f t="shared" si="101"/>
        <v>NorthBound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97"/>
        <v>https://d0f6bd738d7f1b3e5a7ca70fe4ff75f0.us-east-1.aws.found.io/app/kibana#/discover/Steve-Slow-Train-Analysis-(2080s-and-2083s)?_g=(refreshInterval:(display:Off,pause:!f,section:0,value:0),time:(from:'2017-01-31T14:16:06-0700',mode:absolute,to:'2017-01-31T16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94" t="str">
        <f t="shared" si="102"/>
        <v>N</v>
      </c>
      <c r="X181" s="194">
        <f t="shared" si="113"/>
        <v>1</v>
      </c>
      <c r="Y181" s="62">
        <f t="shared" si="114"/>
        <v>9.3399999999999997E-2</v>
      </c>
      <c r="Z181" s="62">
        <f t="shared" si="112"/>
        <v>5.8967000000000001</v>
      </c>
      <c r="AA181" s="62">
        <f t="shared" si="103"/>
        <v>5.8033000000000001</v>
      </c>
      <c r="AB181" s="59" t="e">
        <f>VLOOKUP(A181,Enforcements!$C$7:$K$16,8,0)</f>
        <v>#N/A</v>
      </c>
      <c r="AC181" s="55" t="e">
        <f>VLOOKUP(A181,Enforcements!$C$7:$E$16,3,0)</f>
        <v>#N/A</v>
      </c>
      <c r="AD181" s="56" t="str">
        <f t="shared" si="104"/>
        <v>0825-31</v>
      </c>
      <c r="AE181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181" s="82" t="str">
        <f t="shared" si="99"/>
        <v>"C:\Program Files (x86)\AstroGrep\AstroGrep.exe" /spath="%USERPROFILE%\AppData\Local\Temp\OnboardLogs" /stypes="app*4009*20170131*" /stext=" 22:.+((SYSTEM_STATE.+slice.+state.+changed )|(ment ac)|(multiple cpu faults)|(system.+state.+changed )|(\[timeout)|(PRM\|1\|D)|(kpr)|(kdp)|(\|lc)|(penalty))" /e /r /s</v>
      </c>
      <c r="AG181" s="1" t="str">
        <f t="shared" si="105"/>
        <v>NW</v>
      </c>
      <c r="AH181" s="86" t="str">
        <f t="shared" si="106"/>
        <v>"%USERPROFILE%\Documents\GitHub\eaglep3\Utilities\RefineRTDCRunTimes.py" --tripid 825-31 --locoid 4009 --swversion DE.1.0.8.0 --startMP 204:934 --initTime 2017-01-31T15:16:06 --startdatetime 2017-01-31T15:21:18 --delay 1 --endMP 300:58967 --enddatetime 2017-01-31T15:35:24 --enforcementcount 0 &gt;&gt;C:\Users\stu\Documents\GitHub\eaglep3-reporting\EC\2017-01-31-refined-times.txt</v>
      </c>
      <c r="AI181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{"issue":{"subject":"","project_id":79,"tracker_id":40,"status_id":1,"priority_id":2,"assigned_to_id":23,"start_date":"2017-01-31","description":"","custom_fields":[{"id":1,"name":"Subdivision","value":"NW"},{"id":4,"name":"Milepost","value":"5.8967"},{"id":17,"name":"Train ID","value":"825-31"},{"id":16,"name":"Locomotive ID","value":"4009"},{"id":130,"name":"Impact","value":""},{"id":150,"name":"Time of Event (Mountain Time)","value":"15:35:24"},{"id":151,"name":"Denver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61" t="str">
        <f t="shared" si="108"/>
        <v>start /low /b %USERPROFILE%\Documents\GitHub\eaglep3\Utilities\DownloadLogsFromS3.py --loco 4009 --day 2017-01-31</v>
      </c>
      <c r="AN181" s="170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"%USERPROFILE%\AppData\Local\Temp\OnboardLogs"\RTDC4009\*4009*20170131* | grep -SE "(Enforcement Action)|(\[TIMEOUT)|(CHR.+\|PRM\|1\|D.+(SWITCH|SIGNAL).+UNKNOWN)" - &gt;&gt; 2017-01-31-UncaughtWiMAX.txt</v>
      </c>
    </row>
    <row r="182" spans="1:91" s="20" customFormat="1" x14ac:dyDescent="0.25">
      <c r="A182" s="33" t="s">
        <v>505</v>
      </c>
      <c r="B182" s="7">
        <v>4010</v>
      </c>
      <c r="C182" s="21" t="s">
        <v>193</v>
      </c>
      <c r="D182" s="21" t="s">
        <v>486</v>
      </c>
      <c r="E182" s="13">
        <v>42766.650578703702</v>
      </c>
      <c r="F182" s="13">
        <v>42766.652002314811</v>
      </c>
      <c r="G182" s="7">
        <v>1</v>
      </c>
      <c r="H182" s="21" t="s">
        <v>834</v>
      </c>
      <c r="I182" s="13">
        <v>42766.663541666669</v>
      </c>
      <c r="J182" s="7">
        <v>0</v>
      </c>
      <c r="K182" s="98" t="str">
        <f t="shared" si="109"/>
        <v>4009/4010</v>
      </c>
      <c r="L182" s="21" t="str">
        <f>VLOOKUP(A182,'Trips&amp;Operators'!$C$1:$G$99999,5,FALSE)</f>
        <v>LEVIN SCOTT</v>
      </c>
      <c r="M182" s="6">
        <f t="shared" si="110"/>
        <v>1.1539351857209112E-2</v>
      </c>
      <c r="N182" s="7">
        <f t="shared" si="115"/>
        <v>16.616666674381122</v>
      </c>
      <c r="O182" s="7"/>
      <c r="P182" s="7"/>
      <c r="Q182" s="22"/>
      <c r="R182" s="22"/>
      <c r="S182" s="31">
        <f t="shared" si="111"/>
        <v>1</v>
      </c>
      <c r="T182" s="46" t="str">
        <f t="shared" si="101"/>
        <v>Southbound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97"/>
        <v>https://d0f6bd738d7f1b3e5a7ca70fe4ff75f0.us-east-1.aws.found.io/app/kibana#/discover/Steve-Slow-Train-Analysis-(2080s-and-2083s)?_g=(refreshInterval:(display:Off,pause:!f,section:0,value:0),time:(from:'2017-01-31T14:36:50-0700',mode:absolute,to:'2017-01-31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94" t="str">
        <f t="shared" si="102"/>
        <v>N</v>
      </c>
      <c r="X182" s="194">
        <f t="shared" si="113"/>
        <v>1</v>
      </c>
      <c r="Y182" s="62">
        <f t="shared" si="114"/>
        <v>5.8651</v>
      </c>
      <c r="Z182" s="62">
        <f t="shared" si="112"/>
        <v>6.4899999999999999E-2</v>
      </c>
      <c r="AA182" s="62">
        <f t="shared" si="103"/>
        <v>5.8002000000000002</v>
      </c>
      <c r="AB182" s="59" t="e">
        <f>VLOOKUP(A182,Enforcements!$C$7:$K$16,8,0)</f>
        <v>#N/A</v>
      </c>
      <c r="AC182" s="55" t="e">
        <f>VLOOKUP(A182,Enforcements!$C$7:$E$16,3,0)</f>
        <v>#N/A</v>
      </c>
      <c r="AD182" s="56" t="str">
        <f t="shared" si="104"/>
        <v>0826-31</v>
      </c>
      <c r="AE182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182" s="82" t="str">
        <f t="shared" si="99"/>
        <v>"C:\Program Files (x86)\AstroGrep\AstroGrep.exe" /spath="%USERPROFILE%\AppData\Local\Temp\OnboardLogs" /stypes="app*4010*20170131*" /stext=" 22:.+((SYSTEM_STATE.+slice.+state.+changed )|(ment ac)|(multiple cpu faults)|(system.+state.+changed )|(\[timeout)|(PRM\|1\|D)|(kpr)|(kdp)|(\|lc)|(penalty))" /e /r /s</v>
      </c>
      <c r="AG182" s="1" t="str">
        <f t="shared" si="105"/>
        <v>NW</v>
      </c>
      <c r="AH182" s="86" t="str">
        <f t="shared" si="106"/>
        <v>"%USERPROFILE%\Documents\GitHub\eaglep3\Utilities\RefineRTDCRunTimes.py" --tripid 826-31 --locoid 4010 --swversion DE.1.0.8.0 --startMP 300:58651 --initTime 2017-01-31T15:36:50 --startdatetime 2017-01-31T15:38:53 --delay 1 --endMP 204:649 --enddatetime 2017-01-31T15:55:30 --enforcementcount 0 &gt;&gt;C:\Users\stu\Documents\GitHub\eaglep3-reporting\EC\2017-01-31-refined-times.txt</v>
      </c>
      <c r="AI182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{"issue":{"subject":"","project_id":79,"tracker_id":40,"status_id":1,"priority_id":2,"assigned_to_id":23,"start_date":"2017-01-31","description":"","custom_fields":[{"id":1,"name":"Subdivision","value":"NW"},{"id":4,"name":"Milepost","value":"0.0649"},{"id":17,"name":"Train ID","value":"826-31"},{"id":16,"name":"Locomotive ID","value":"4010"},{"id":130,"name":"Impact","value":""},{"id":150,"name":"Time of Event (Mountain Time)","value":"15:55:30"},{"id":151,"name":"Denver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61" t="str">
        <f t="shared" si="108"/>
        <v>start /low /b %USERPROFILE%\Documents\GitHub\eaglep3\Utilities\DownloadLogsFromS3.py --loco 4010 --day 2017-01-31</v>
      </c>
      <c r="AN182" s="170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"%USERPROFILE%\AppData\Local\Temp\OnboardLogs"\RTDC4010\*4010*20170131* | grep -SE "(Enforcement Action)|(\[TIMEOUT)|(CHR.+\|PRM\|1\|D.+(SWITCH|SIGNAL).+UNKNOWN)" - &gt;&gt; 2017-01-31-UncaughtWiMAX.txt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3" t="s">
        <v>502</v>
      </c>
      <c r="B183" s="7">
        <v>4007</v>
      </c>
      <c r="C183" s="21" t="s">
        <v>193</v>
      </c>
      <c r="D183" s="21" t="s">
        <v>835</v>
      </c>
      <c r="E183" s="13">
        <v>42766.653668981482</v>
      </c>
      <c r="F183" s="13">
        <v>42766.660671296297</v>
      </c>
      <c r="G183" s="7">
        <v>1</v>
      </c>
      <c r="H183" s="21" t="s">
        <v>480</v>
      </c>
      <c r="I183" s="13">
        <v>42766.67150462963</v>
      </c>
      <c r="J183" s="7">
        <v>0</v>
      </c>
      <c r="K183" s="98" t="str">
        <f t="shared" si="109"/>
        <v>4007/4008</v>
      </c>
      <c r="L183" s="21" t="str">
        <f>VLOOKUP(A183,'Trips&amp;Operators'!$C$1:$G$99999,5,FALSE)</f>
        <v>HILLS DUSTIN</v>
      </c>
      <c r="M183" s="6">
        <f t="shared" si="110"/>
        <v>1.0833333333721384E-2</v>
      </c>
      <c r="N183" s="7">
        <f t="shared" si="115"/>
        <v>15.600000000558794</v>
      </c>
      <c r="O183" s="7"/>
      <c r="P183" s="7"/>
      <c r="Q183" s="22"/>
      <c r="R183" s="22"/>
      <c r="S183" s="31">
        <f t="shared" si="111"/>
        <v>1</v>
      </c>
      <c r="T183" s="46" t="str">
        <f t="shared" ref="T183:T219" si="116">IF(ISEVEN(LEFT(AD183,4)),"Southbound","NorthBound")</f>
        <v>NorthBound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97"/>
        <v>https://d0f6bd738d7f1b3e5a7ca70fe4ff75f0.us-east-1.aws.found.io/app/kibana#/discover/Steve-Slow-Train-Analysis-(2080s-and-2083s)?_g=(refreshInterval:(display:Off,pause:!f,section:0,value:0),time:(from:'2017-01-31T14:41:17-0700',mode:absolute,to:'2017-01-31T17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94" t="str">
        <f t="shared" ref="W183:W219" si="117">IF(AA183&lt;IF(AG183="EC",23,5.65),"Y","N")</f>
        <v>N</v>
      </c>
      <c r="X183" s="194">
        <f t="shared" si="113"/>
        <v>1</v>
      </c>
      <c r="Y183" s="62">
        <f t="shared" si="114"/>
        <v>9.3899999999999997E-2</v>
      </c>
      <c r="Z183" s="62">
        <f t="shared" si="112"/>
        <v>5.9012000000000002</v>
      </c>
      <c r="AA183" s="62">
        <f t="shared" ref="AA183:AA214" si="118">ABS(Z183-Y183)</f>
        <v>5.8073000000000006</v>
      </c>
      <c r="AB183" s="59" t="e">
        <f>VLOOKUP(A183,Enforcements!$C$7:$K$16,8,0)</f>
        <v>#N/A</v>
      </c>
      <c r="AC183" s="55" t="e">
        <f>VLOOKUP(A183,Enforcements!$C$7:$E$16,3,0)</f>
        <v>#N/A</v>
      </c>
      <c r="AD183" s="56" t="str">
        <f t="shared" ref="AD183:AD219" si="119">IF(LEN(A183)=6,"0"&amp;A183,A183)</f>
        <v>0827-31</v>
      </c>
      <c r="AE183" s="85" t="str">
        <f t="shared" si="98"/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AF183" s="82" t="str">
        <f t="shared" si="99"/>
        <v>"C:\Program Files (x86)\AstroGrep\AstroGrep.exe" /spath="%USERPROFILE%\AppData\Local\Temp\OnboardLogs" /stypes="app*4007*20170131*" /stext=" 23:.+((SYSTEM_STATE.+slice.+state.+changed )|(ment ac)|(multiple cpu faults)|(system.+state.+changed )|(\[timeout)|(PRM\|1\|D)|(kpr)|(kdp)|(\|lc)|(penalty))" /e /r /s</v>
      </c>
      <c r="AG183" s="1" t="str">
        <f t="shared" ref="AG183:AG219" si="120">IFERROR(IF(VALUE(LEFT(AD183,2))&lt;=2,"EC",IF(OR(VALUE(LEFT(AD183,2))=8,VALUE(LEFT(AD183,2))=18),"NW","Other")),"Other")</f>
        <v>NW</v>
      </c>
      <c r="AH183" s="86" t="str">
        <f t="shared" si="106"/>
        <v>"%USERPROFILE%\Documents\GitHub\eaglep3\Utilities\RefineRTDCRunTimes.py" --tripid 827-31 --locoid 4007 --swversion DE.1.0.8.0 --startMP 204:939 --initTime 2017-01-31T15:41:17 --startdatetime 2017-01-31T15:51:22 --delay 1 --endMP 300:59012 --enddatetime 2017-01-31T16:06:58 --enforcementcount 0 &gt;&gt;C:\Users\stu\Documents\GitHub\eaglep3-reporting\EC\2017-01-31-refined-times.txt</v>
      </c>
      <c r="AI183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{"issue":{"subject":"","project_id":79,"tracker_id":40,"status_id":1,"priority_id":2,"assigned_to_id":23,"start_date":"2017-01-31","description":"","custom_fields":[{"id":1,"name":"Subdivision","value":"NW"},{"id":4,"name":"Milepost","value":"5.9012"},{"id":17,"name":"Train ID","value":"827-31"},{"id":16,"name":"Locomotive ID","value":"4007"},{"id":130,"name":"Impact","value":""},{"id":150,"name":"Time of Event (Mountain Time)","value":"16:06:58"},{"id":151,"name":"Denver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61" t="str">
        <f t="shared" si="108"/>
        <v>start /low /b %USERPROFILE%\Documents\GitHub\eaglep3\Utilities\DownloadLogsFromS3.py --loco 4007 --day 2017-01-31</v>
      </c>
      <c r="AN183" s="170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"%USERPROFILE%\AppData\Local\Temp\OnboardLogs"\RTDC4007\*4007*20170131* | grep -SE "(Enforcement Action)|(\[TIMEOUT)|(CHR.+\|PRM\|1\|D.+(SWITCH|SIGNAL).+UNKNOWN)" - &gt;&gt; 2017-01-31-UncaughtWiMAX.txt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3" t="s">
        <v>507</v>
      </c>
      <c r="B184" s="7">
        <v>4008</v>
      </c>
      <c r="C184" s="21" t="s">
        <v>193</v>
      </c>
      <c r="D184" s="21" t="s">
        <v>481</v>
      </c>
      <c r="E184" s="13">
        <v>42766.673020833332</v>
      </c>
      <c r="F184" s="13">
        <v>42766.675266203703</v>
      </c>
      <c r="G184" s="7">
        <v>1</v>
      </c>
      <c r="H184" s="21" t="s">
        <v>836</v>
      </c>
      <c r="I184" s="13">
        <v>42766.685057870367</v>
      </c>
      <c r="J184" s="7">
        <v>0</v>
      </c>
      <c r="K184" s="98" t="str">
        <f t="shared" si="109"/>
        <v>4007/4008</v>
      </c>
      <c r="L184" s="21" t="str">
        <f>VLOOKUP(A184,'Trips&amp;Operators'!$C$1:$G$99999,5,FALSE)</f>
        <v>HILLS DUSTIN</v>
      </c>
      <c r="M184" s="6">
        <f t="shared" si="110"/>
        <v>9.7916666636592709E-3</v>
      </c>
      <c r="N184" s="7">
        <f t="shared" si="115"/>
        <v>14.09999999566935</v>
      </c>
      <c r="O184" s="7"/>
      <c r="P184" s="7"/>
      <c r="Q184" s="22"/>
      <c r="R184" s="22"/>
      <c r="S184" s="31">
        <f t="shared" si="111"/>
        <v>1</v>
      </c>
      <c r="T184" s="46" t="str">
        <f t="shared" si="116"/>
        <v>Southbound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97"/>
        <v>https://d0f6bd738d7f1b3e5a7ca70fe4ff75f0.us-east-1.aws.found.io/app/kibana#/discover/Steve-Slow-Train-Analysis-(2080s-and-2083s)?_g=(refreshInterval:(display:Off,pause:!f,section:0,value:0),time:(from:'2017-01-31T15:09:09-0700',mode:absolute,to:'2017-01-31T17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94" t="str">
        <f t="shared" si="117"/>
        <v>N</v>
      </c>
      <c r="X184" s="194">
        <f t="shared" si="113"/>
        <v>1</v>
      </c>
      <c r="Y184" s="62">
        <f t="shared" si="114"/>
        <v>5.8692000000000002</v>
      </c>
      <c r="Z184" s="62">
        <f t="shared" si="112"/>
        <v>7.1199999999999999E-2</v>
      </c>
      <c r="AA184" s="62">
        <f t="shared" si="118"/>
        <v>5.798</v>
      </c>
      <c r="AB184" s="59" t="e">
        <f>VLOOKUP(A184,Enforcements!$C$7:$K$16,8,0)</f>
        <v>#N/A</v>
      </c>
      <c r="AC184" s="55" t="e">
        <f>VLOOKUP(A184,Enforcements!$C$7:$E$16,3,0)</f>
        <v>#N/A</v>
      </c>
      <c r="AD184" s="56" t="str">
        <f t="shared" si="119"/>
        <v>0828-31</v>
      </c>
      <c r="AE184" s="85" t="str">
        <f t="shared" si="98"/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AF184" s="82" t="str">
        <f t="shared" si="99"/>
        <v>"C:\Program Files (x86)\AstroGrep\AstroGrep.exe" /spath="%USERPROFILE%\AppData\Local\Temp\OnboardLogs" /stypes="app*4008*20170131*" /stext=" 23:.+((SYSTEM_STATE.+slice.+state.+changed )|(ment ac)|(multiple cpu faults)|(system.+state.+changed )|(\[timeout)|(PRM\|1\|D)|(kpr)|(kdp)|(\|lc)|(penalty))" /e /r /s</v>
      </c>
      <c r="AG184" s="1" t="str">
        <f t="shared" si="120"/>
        <v>NW</v>
      </c>
      <c r="AH184" s="86" t="str">
        <f t="shared" si="106"/>
        <v>"%USERPROFILE%\Documents\GitHub\eaglep3\Utilities\RefineRTDCRunTimes.py" --tripid 828-31 --locoid 4008 --swversion DE.1.0.8.0 --startMP 300:58692 --initTime 2017-01-31T16:09:09 --startdatetime 2017-01-31T16:12:23 --delay 1 --endMP 204:712 --enddatetime 2017-01-31T16:26:29 --enforcementcount 0 &gt;&gt;C:\Users\stu\Documents\GitHub\eaglep3-reporting\EC\2017-01-31-refined-times.txt</v>
      </c>
      <c r="AI184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{"issue":{"subject":"","project_id":79,"tracker_id":40,"status_id":1,"priority_id":2,"assigned_to_id":23,"start_date":"2017-01-31","description":"","custom_fields":[{"id":1,"name":"Subdivision","value":"NW"},{"id":4,"name":"Milepost","value":"0.0712"},{"id":17,"name":"Train ID","value":"828-31"},{"id":16,"name":"Locomotive ID","value":"4008"},{"id":130,"name":"Impact","value":""},{"id":150,"name":"Time of Event (Mountain Time)","value":"16:26:29"},{"id":151,"name":"Denver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61" t="str">
        <f t="shared" si="108"/>
        <v>start /low /b %USERPROFILE%\Documents\GitHub\eaglep3\Utilities\DownloadLogsFromS3.py --loco 4008 --day 2017-01-31</v>
      </c>
      <c r="AN184" s="170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"%USERPROFILE%\AppData\Local\Temp\OnboardLogs"\RTDC4008\*4008*20170131* | grep -SE "(Enforcement Action)|(\[TIMEOUT)|(CHR.+\|PRM\|1\|D.+(SWITCH|SIGNAL).+UNKNOWN)" - &gt;&gt; 2017-01-31-UncaughtWiMAX.txt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642</v>
      </c>
      <c r="B185" s="7">
        <v>4009</v>
      </c>
      <c r="C185" s="21" t="s">
        <v>193</v>
      </c>
      <c r="D185" s="21" t="s">
        <v>837</v>
      </c>
      <c r="E185" s="13">
        <v>42766.676840277774</v>
      </c>
      <c r="F185" s="13">
        <v>42766.681458333333</v>
      </c>
      <c r="G185" s="7">
        <v>1</v>
      </c>
      <c r="H185" s="21" t="s">
        <v>838</v>
      </c>
      <c r="I185" s="13">
        <v>42766.691331018519</v>
      </c>
      <c r="J185" s="7">
        <v>0</v>
      </c>
      <c r="K185" s="98" t="str">
        <f t="shared" si="109"/>
        <v>4009/4010</v>
      </c>
      <c r="L185" s="21" t="str">
        <f>VLOOKUP(A185,'Trips&amp;Operators'!$C$1:$G$99999,5,FALSE)</f>
        <v>LEVIN SCOTT</v>
      </c>
      <c r="M185" s="6">
        <f t="shared" si="110"/>
        <v>9.8726851865649223E-3</v>
      </c>
      <c r="N185" s="7">
        <f t="shared" si="115"/>
        <v>14.216666668653488</v>
      </c>
      <c r="O185" s="7"/>
      <c r="P185" s="7"/>
      <c r="Q185" s="22"/>
      <c r="R185" s="22"/>
      <c r="S185" s="31">
        <f t="shared" si="111"/>
        <v>1</v>
      </c>
      <c r="T185" s="46" t="str">
        <f t="shared" si="116"/>
        <v>NorthBound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97"/>
        <v>https://d0f6bd738d7f1b3e5a7ca70fe4ff75f0.us-east-1.aws.found.io/app/kibana#/discover/Steve-Slow-Train-Analysis-(2080s-and-2083s)?_g=(refreshInterval:(display:Off,pause:!f,section:0,value:0),time:(from:'2017-01-31T15:14:39-0700',mode:absolute,to:'2017-01-31T17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194" t="str">
        <f t="shared" si="117"/>
        <v>N</v>
      </c>
      <c r="X185" s="194">
        <f t="shared" si="113"/>
        <v>1</v>
      </c>
      <c r="Y185" s="62">
        <f t="shared" si="114"/>
        <v>9.2999999999999999E-2</v>
      </c>
      <c r="Z185" s="62">
        <f t="shared" si="112"/>
        <v>5.8975</v>
      </c>
      <c r="AA185" s="62">
        <f t="shared" si="118"/>
        <v>5.8045</v>
      </c>
      <c r="AB185" s="59" t="e">
        <f>VLOOKUP(A185,Enforcements!$C$7:$K$16,8,0)</f>
        <v>#N/A</v>
      </c>
      <c r="AC185" s="55" t="e">
        <f>VLOOKUP(A185,Enforcements!$C$7:$E$16,3,0)</f>
        <v>#N/A</v>
      </c>
      <c r="AD185" s="56" t="str">
        <f t="shared" si="119"/>
        <v>0829-31</v>
      </c>
      <c r="AE185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185" s="82" t="str">
        <f t="shared" si="99"/>
        <v>"C:\Program Files (x86)\AstroGrep\AstroGrep.exe" /spath="%USERPROFILE%\AppData\Local\Temp\OnboardLogs" /stypes="app*4009*20170131*" /stext=" 23:.+((SYSTEM_STATE.+slice.+state.+changed )|(ment ac)|(multiple cpu faults)|(system.+state.+changed )|(\[timeout)|(PRM\|1\|D)|(kpr)|(kdp)|(\|lc)|(penalty))" /e /r /s</v>
      </c>
      <c r="AG185" s="1" t="str">
        <f t="shared" si="120"/>
        <v>NW</v>
      </c>
      <c r="AH185" s="86" t="str">
        <f t="shared" si="106"/>
        <v>"%USERPROFILE%\Documents\GitHub\eaglep3\Utilities\RefineRTDCRunTimes.py" --tripid 829-31 --locoid 4009 --swversion DE.1.0.8.0 --startMP 204:930 --initTime 2017-01-31T16:14:39 --startdatetime 2017-01-31T16:21:18 --delay 1 --endMP 300:58975 --enddatetime 2017-01-31T16:35:31 --enforcementcount 0 &gt;&gt;C:\Users\stu\Documents\GitHub\eaglep3-reporting\EC\2017-01-31-refined-times.txt</v>
      </c>
      <c r="AI185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{"issue":{"subject":"","project_id":79,"tracker_id":40,"status_id":1,"priority_id":2,"assigned_to_id":23,"start_date":"2017-01-31","description":"","custom_fields":[{"id":1,"name":"Subdivision","value":"NW"},{"id":4,"name":"Milepost","value":"5.8975"},{"id":17,"name":"Train ID","value":"829-31"},{"id":16,"name":"Locomotive ID","value":"4009"},{"id":130,"name":"Impact","value":""},{"id":150,"name":"Time of Event (Mountain Time)","value":"16:35:31"},{"id":151,"name":"Denver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61" t="str">
        <f t="shared" si="108"/>
        <v>start /low /b %USERPROFILE%\Documents\GitHub\eaglep3\Utilities\DownloadLogsFromS3.py --loco 4009 --day 2017-01-31</v>
      </c>
      <c r="AN185" s="170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"%USERPROFILE%\AppData\Local\Temp\OnboardLogs"\RTDC4009\*4009*20170131* | grep -SE "(Enforcement Action)|(\[TIMEOUT)|(CHR.+\|PRM\|1\|D.+(SWITCH|SIGNAL).+UNKNOWN)" - &gt;&gt; 2017-01-31-UncaughtWiMAX.txt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3" t="s">
        <v>644</v>
      </c>
      <c r="B186" s="7">
        <v>4010</v>
      </c>
      <c r="C186" s="21" t="s">
        <v>193</v>
      </c>
      <c r="D186" s="21" t="s">
        <v>796</v>
      </c>
      <c r="E186" s="13">
        <v>42766.692291666666</v>
      </c>
      <c r="F186" s="13">
        <v>42766.693356481483</v>
      </c>
      <c r="G186" s="7">
        <v>0</v>
      </c>
      <c r="H186" s="21" t="s">
        <v>839</v>
      </c>
      <c r="I186" s="13">
        <v>42766.705231481479</v>
      </c>
      <c r="J186" s="7">
        <v>0</v>
      </c>
      <c r="K186" s="98" t="str">
        <f t="shared" si="109"/>
        <v>4009/4010</v>
      </c>
      <c r="L186" s="21" t="str">
        <f>VLOOKUP(A186,'Trips&amp;Operators'!$C$1:$G$99999,5,FALSE)</f>
        <v>LEVIN SCOTT</v>
      </c>
      <c r="M186" s="6">
        <f t="shared" si="110"/>
        <v>1.187499999650754E-2</v>
      </c>
      <c r="N186" s="7">
        <f t="shared" si="115"/>
        <v>17.099999994970858</v>
      </c>
      <c r="O186" s="7"/>
      <c r="P186" s="7"/>
      <c r="Q186" s="22"/>
      <c r="R186" s="22"/>
      <c r="S186" s="31">
        <f t="shared" si="111"/>
        <v>1</v>
      </c>
      <c r="T186" s="46" t="str">
        <f t="shared" si="116"/>
        <v>Southbound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97"/>
        <v>https://d0f6bd738d7f1b3e5a7ca70fe4ff75f0.us-east-1.aws.found.io/app/kibana#/discover/Steve-Slow-Train-Analysis-(2080s-and-2083s)?_g=(refreshInterval:(display:Off,pause:!f,section:0,value:0),time:(from:'2017-01-31T15:36:54-0700',mode:absolute,to:'2017-01-31T17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6" s="194" t="str">
        <f t="shared" si="117"/>
        <v>N</v>
      </c>
      <c r="X186" s="194">
        <f t="shared" si="113"/>
        <v>1</v>
      </c>
      <c r="Y186" s="62">
        <f t="shared" si="114"/>
        <v>5.8648999999999996</v>
      </c>
      <c r="Z186" s="62">
        <f t="shared" si="112"/>
        <v>6.6299999999999998E-2</v>
      </c>
      <c r="AA186" s="62">
        <f t="shared" si="118"/>
        <v>5.7985999999999995</v>
      </c>
      <c r="AB186" s="59" t="e">
        <f>VLOOKUP(A186,Enforcements!$C$7:$K$16,8,0)</f>
        <v>#N/A</v>
      </c>
      <c r="AC186" s="55" t="e">
        <f>VLOOKUP(A186,Enforcements!$C$7:$E$16,3,0)</f>
        <v>#N/A</v>
      </c>
      <c r="AD186" s="56" t="str">
        <f t="shared" si="119"/>
        <v>0830-31</v>
      </c>
      <c r="AE186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186" s="82" t="str">
        <f t="shared" si="99"/>
        <v>"C:\Program Files (x86)\AstroGrep\AstroGrep.exe" /spath="%USERPROFILE%\AppData\Local\Temp\OnboardLogs" /stypes="app*4010*20170131*" /stext=" 23:.+((SYSTEM_STATE.+slice.+state.+changed )|(ment ac)|(multiple cpu faults)|(system.+state.+changed )|(\[timeout)|(PRM\|1\|D)|(kpr)|(kdp)|(\|lc)|(penalty))" /e /r /s</v>
      </c>
      <c r="AG186" s="1" t="str">
        <f t="shared" si="120"/>
        <v>NW</v>
      </c>
      <c r="AH186" s="86" t="str">
        <f t="shared" si="106"/>
        <v>"%USERPROFILE%\Documents\GitHub\eaglep3\Utilities\RefineRTDCRunTimes.py" --tripid 830-31 --locoid 4010 --swversion DE.1.0.8.0 --startMP 300:58649 --initTime 2017-01-31T16:36:54 --startdatetime 2017-01-31T16:38:26 --delay 0 --endMP 204:663 --enddatetime 2017-01-31T16:55:32 --enforcementcount 0 &gt;&gt;C:\Users\stu\Documents\GitHub\eaglep3-reporting\EC\2017-01-31-refined-times.txt</v>
      </c>
      <c r="AI186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{"issue":{"subject":"","project_id":79,"tracker_id":40,"status_id":1,"priority_id":2,"assigned_to_id":23,"start_date":"2017-01-31","description":"","custom_fields":[{"id":1,"name":"Subdivision","value":"NW"},{"id":4,"name":"Milepost","value":"0.0663"},{"id":17,"name":"Train ID","value":"830-31"},{"id":16,"name":"Locomotive ID","value":"4010"},{"id":130,"name":"Impact","value":""},{"id":150,"name":"Time of Event (Mountain Time)","value":"16:55:32"},{"id":151,"name":"Denver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61" t="str">
        <f t="shared" si="108"/>
        <v>start /low /b %USERPROFILE%\Documents\GitHub\eaglep3\Utilities\DownloadLogsFromS3.py --loco 4010 --day 2017-01-31</v>
      </c>
      <c r="AN186" s="170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"%USERPROFILE%\AppData\Local\Temp\OnboardLogs"\RTDC4010\*4010*20170131* | grep -SE "(Enforcement Action)|(\[TIMEOUT)|(CHR.+\|PRM\|1\|D.+(SWITCH|SIGNAL).+UNKNOWN)" - &gt;&gt; 2017-01-31-UncaughtWiMAX.txt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3" t="s">
        <v>509</v>
      </c>
      <c r="B187" s="7">
        <v>4007</v>
      </c>
      <c r="C187" s="21" t="s">
        <v>193</v>
      </c>
      <c r="D187" s="21" t="s">
        <v>840</v>
      </c>
      <c r="E187" s="13">
        <v>42766.686435185184</v>
      </c>
      <c r="F187" s="13">
        <v>42766.702453703707</v>
      </c>
      <c r="G187" s="7">
        <v>1</v>
      </c>
      <c r="H187" s="21" t="s">
        <v>841</v>
      </c>
      <c r="I187" s="13">
        <v>42766.712905092594</v>
      </c>
      <c r="J187" s="7">
        <v>0</v>
      </c>
      <c r="K187" s="98" t="str">
        <f t="shared" si="109"/>
        <v>4007/4008</v>
      </c>
      <c r="L187" s="21" t="str">
        <f>VLOOKUP(A187,'Trips&amp;Operators'!$C$1:$G$99999,5,FALSE)</f>
        <v>HILLS DUSTIN</v>
      </c>
      <c r="M187" s="6">
        <f t="shared" si="110"/>
        <v>1.0451388887304347E-2</v>
      </c>
      <c r="N187" s="7">
        <f t="shared" si="115"/>
        <v>15.04999999771826</v>
      </c>
      <c r="O187" s="7"/>
      <c r="P187" s="7"/>
      <c r="Q187" s="22"/>
      <c r="R187" s="22"/>
      <c r="S187" s="31">
        <f t="shared" si="111"/>
        <v>1</v>
      </c>
      <c r="T187" s="46" t="str">
        <f t="shared" si="116"/>
        <v>NorthBound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97"/>
        <v>https://d0f6bd738d7f1b3e5a7ca70fe4ff75f0.us-east-1.aws.found.io/app/kibana#/discover/Steve-Slow-Train-Analysis-(2080s-and-2083s)?_g=(refreshInterval:(display:Off,pause:!f,section:0,value:0),time:(from:'2017-01-31T15:28:28-0700',mode:absolute,to:'2017-01-31T18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194" t="str">
        <f t="shared" si="117"/>
        <v>N</v>
      </c>
      <c r="X187" s="194">
        <f t="shared" si="113"/>
        <v>1</v>
      </c>
      <c r="Y187" s="62">
        <f t="shared" si="114"/>
        <v>0.10059999999999999</v>
      </c>
      <c r="Z187" s="62">
        <f t="shared" si="112"/>
        <v>5.8994999999999997</v>
      </c>
      <c r="AA187" s="62">
        <f t="shared" si="118"/>
        <v>5.7988999999999997</v>
      </c>
      <c r="AB187" s="59" t="e">
        <f>VLOOKUP(A187,Enforcements!$C$7:$K$16,8,0)</f>
        <v>#N/A</v>
      </c>
      <c r="AC187" s="55" t="e">
        <f>VLOOKUP(A187,Enforcements!$C$7:$E$16,3,0)</f>
        <v>#N/A</v>
      </c>
      <c r="AD187" s="56" t="str">
        <f t="shared" si="119"/>
        <v>0831-31</v>
      </c>
      <c r="AE187" s="85" t="str">
        <f t="shared" si="98"/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AF187" s="82" t="str">
        <f t="shared" si="99"/>
        <v>"C:\Program Files (x86)\AstroGrep\AstroGrep.exe" /spath="%USERPROFILE%\AppData\Local\Temp\OnboardLogs" /stypes="app*4007*20170201*" /stext=" 00:.+((SYSTEM_STATE.+slice.+state.+changed )|(ment ac)|(multiple cpu faults)|(system.+state.+changed )|(\[timeout)|(PRM\|1\|D)|(kpr)|(kdp)|(\|lc)|(penalty))" /e /r /s</v>
      </c>
      <c r="AG187" s="1" t="str">
        <f t="shared" si="120"/>
        <v>NW</v>
      </c>
      <c r="AH187" s="86" t="str">
        <f t="shared" si="106"/>
        <v>"%USERPROFILE%\Documents\GitHub\eaglep3\Utilities\RefineRTDCRunTimes.py" --tripid 831-31 --locoid 4007 --swversion DE.1.0.8.0 --startMP 204:1006 --initTime 2017-01-31T16:28:28 --startdatetime 2017-01-31T16:51:32 --delay 1 --endMP 300:58995 --enddatetime 2017-01-31T17:06:35 --enforcementcount 0 &gt;&gt;C:\Users\stu\Documents\GitHub\eaglep3-reporting\EC\2017-01-31-refined-times.txt</v>
      </c>
      <c r="AI187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{"issue":{"subject":"","project_id":79,"tracker_id":40,"status_id":1,"priority_id":2,"assigned_to_id":23,"start_date":"2017-01-31","description":"","custom_fields":[{"id":1,"name":"Subdivision","value":"NW"},{"id":4,"name":"Milepost","value":"5.8995"},{"id":17,"name":"Train ID","value":"831-31"},{"id":16,"name":"Locomotive ID","value":"4007"},{"id":130,"name":"Impact","value":""},{"id":150,"name":"Time of Event (Mountain Time)","value":"17:06:35"},{"id":151,"name":"Denver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61" t="str">
        <f t="shared" si="108"/>
        <v>start /low /b %USERPROFILE%\Documents\GitHub\eaglep3\Utilities\DownloadLogsFromS3.py --loco 4007 --day 2017-01-31</v>
      </c>
      <c r="AN187" s="170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"%USERPROFILE%\AppData\Local\Temp\OnboardLogs"\RTDC4007\*4007*20170131* | grep -SE "(Enforcement Action)|(\[TIMEOUT)|(CHR.+\|PRM\|1\|D.+(SWITCH|SIGNAL).+UNKNOWN)" - &gt;&gt; 2017-01-31-UncaughtWiMAX.txt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3" t="s">
        <v>649</v>
      </c>
      <c r="B188" s="7">
        <v>4008</v>
      </c>
      <c r="C188" s="21" t="s">
        <v>193</v>
      </c>
      <c r="D188" s="21" t="s">
        <v>842</v>
      </c>
      <c r="E188" s="13">
        <v>42766.713877314818</v>
      </c>
      <c r="F188" s="13">
        <v>42766.715624999997</v>
      </c>
      <c r="G188" s="7">
        <v>1</v>
      </c>
      <c r="H188" s="21" t="s">
        <v>843</v>
      </c>
      <c r="I188" s="13">
        <v>42766.726099537038</v>
      </c>
      <c r="J188" s="7">
        <v>0</v>
      </c>
      <c r="K188" s="98" t="str">
        <f t="shared" si="109"/>
        <v>4007/4008</v>
      </c>
      <c r="L188" s="21" t="str">
        <f>VLOOKUP(A188,'Trips&amp;Operators'!$C$1:$G$99999,5,FALSE)</f>
        <v>HILLS DUSTIN</v>
      </c>
      <c r="M188" s="6">
        <f t="shared" si="110"/>
        <v>1.0474537040863652E-2</v>
      </c>
      <c r="N188" s="7">
        <f t="shared" si="115"/>
        <v>15.083333338843659</v>
      </c>
      <c r="O188" s="7"/>
      <c r="P188" s="7"/>
      <c r="Q188" s="22"/>
      <c r="R188" s="22"/>
      <c r="S188" s="31">
        <f t="shared" si="111"/>
        <v>1</v>
      </c>
      <c r="T188" s="46" t="str">
        <f t="shared" si="116"/>
        <v>Southbound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97"/>
        <v>https://d0f6bd738d7f1b3e5a7ca70fe4ff75f0.us-east-1.aws.found.io/app/kibana#/discover/Steve-Slow-Train-Analysis-(2080s-and-2083s)?_g=(refreshInterval:(display:Off,pause:!f,section:0,value:0),time:(from:'2017-01-31T16:07:59-0700',mode:absolute,to:'2017-01-31T18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94" t="str">
        <f t="shared" si="117"/>
        <v>N</v>
      </c>
      <c r="X188" s="194">
        <f t="shared" si="113"/>
        <v>1</v>
      </c>
      <c r="Y188" s="62">
        <f t="shared" si="114"/>
        <v>5.8677000000000001</v>
      </c>
      <c r="Z188" s="62">
        <f t="shared" si="112"/>
        <v>6.7100000000000007E-2</v>
      </c>
      <c r="AA188" s="62">
        <f t="shared" si="118"/>
        <v>5.8006000000000002</v>
      </c>
      <c r="AB188" s="59" t="e">
        <f>VLOOKUP(A188,Enforcements!$C$7:$K$16,8,0)</f>
        <v>#N/A</v>
      </c>
      <c r="AC188" s="55" t="e">
        <f>VLOOKUP(A188,Enforcements!$C$7:$E$16,3,0)</f>
        <v>#N/A</v>
      </c>
      <c r="AD188" s="56" t="str">
        <f t="shared" si="119"/>
        <v>0832-31</v>
      </c>
      <c r="AE188" s="85" t="str">
        <f t="shared" si="98"/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AF188" s="82" t="str">
        <f t="shared" si="99"/>
        <v>"C:\Program Files (x86)\AstroGrep\AstroGrep.exe" /spath="%USERPROFILE%\AppData\Local\Temp\OnboardLogs" /stypes="app*4008*20170201*" /stext=" 00:.+((SYSTEM_STATE.+slice.+state.+changed )|(ment ac)|(multiple cpu faults)|(system.+state.+changed )|(\[timeout)|(PRM\|1\|D)|(kpr)|(kdp)|(\|lc)|(penalty))" /e /r /s</v>
      </c>
      <c r="AG188" s="1" t="str">
        <f t="shared" si="120"/>
        <v>NW</v>
      </c>
      <c r="AH188" s="86" t="str">
        <f t="shared" si="106"/>
        <v>"%USERPROFILE%\Documents\GitHub\eaglep3\Utilities\RefineRTDCRunTimes.py" --tripid 832-31 --locoid 4008 --swversion DE.1.0.8.0 --startMP 300:58677 --initTime 2017-01-31T17:07:59 --startdatetime 2017-01-31T17:10:30 --delay 1 --endMP 204:671 --enddatetime 2017-01-31T17:25:35 --enforcementcount 0 &gt;&gt;C:\Users\stu\Documents\GitHub\eaglep3-reporting\EC\2017-01-31-refined-times.txt</v>
      </c>
      <c r="AI188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{"issue":{"subject":"","project_id":79,"tracker_id":40,"status_id":1,"priority_id":2,"assigned_to_id":23,"start_date":"2017-01-31","description":"","custom_fields":[{"id":1,"name":"Subdivision","value":"NW"},{"id":4,"name":"Milepost","value":"0.0671"},{"id":17,"name":"Train ID","value":"832-31"},{"id":16,"name":"Locomotive ID","value":"4008"},{"id":130,"name":"Impact","value":""},{"id":150,"name":"Time of Event (Mountain Time)","value":"17:25:35"},{"id":151,"name":"Denver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61" t="str">
        <f t="shared" si="108"/>
        <v>start /low /b %USERPROFILE%\Documents\GitHub\eaglep3\Utilities\DownloadLogsFromS3.py --loco 4008 --day 2017-01-31</v>
      </c>
      <c r="AN188" s="170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"%USERPROFILE%\AppData\Local\Temp\OnboardLogs"\RTDC4008\*4008*20170201* | grep -SE "(Enforcement Action)|(\[TIMEOUT)|(CHR.+\|PRM\|1\|D.+(SWITCH|SIGNAL).+UNKNOWN)" - &gt;&gt; 2017-01-31-UncaughtWiMAX.txt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3" t="s">
        <v>651</v>
      </c>
      <c r="B189" s="7">
        <v>4009</v>
      </c>
      <c r="C189" s="21" t="s">
        <v>193</v>
      </c>
      <c r="D189" s="21" t="s">
        <v>844</v>
      </c>
      <c r="E189" s="13">
        <v>42766.719421296293</v>
      </c>
      <c r="F189" s="13">
        <v>42766.723090277781</v>
      </c>
      <c r="G189" s="7">
        <v>0</v>
      </c>
      <c r="H189" s="21" t="s">
        <v>308</v>
      </c>
      <c r="I189" s="13">
        <v>42766.732766203706</v>
      </c>
      <c r="J189" s="7">
        <v>0</v>
      </c>
      <c r="K189" s="98" t="str">
        <f t="shared" si="109"/>
        <v>4009/4010</v>
      </c>
      <c r="L189" s="21" t="str">
        <f>VLOOKUP(A189,'Trips&amp;Operators'!$C$1:$G$99999,5,FALSE)</f>
        <v>LEVIN SCOTT</v>
      </c>
      <c r="M189" s="6">
        <f t="shared" si="110"/>
        <v>9.6759259249665774E-3</v>
      </c>
      <c r="N189" s="7">
        <f t="shared" si="115"/>
        <v>13.933333331951872</v>
      </c>
      <c r="O189" s="7"/>
      <c r="P189" s="7"/>
      <c r="Q189" s="22"/>
      <c r="R189" s="22"/>
      <c r="S189" s="31">
        <f t="shared" si="111"/>
        <v>1</v>
      </c>
      <c r="T189" s="46" t="str">
        <f t="shared" si="116"/>
        <v>NorthBound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97"/>
        <v>https://d0f6bd738d7f1b3e5a7ca70fe4ff75f0.us-east-1.aws.found.io/app/kibana#/discover/Steve-Slow-Train-Analysis-(2080s-and-2083s)?_g=(refreshInterval:(display:Off,pause:!f,section:0,value:0),time:(from:'2017-01-31T16:15:58-0700',mode:absolute,to:'2017-01-31T18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194" t="str">
        <f t="shared" si="117"/>
        <v>N</v>
      </c>
      <c r="X189" s="194">
        <f t="shared" si="113"/>
        <v>1</v>
      </c>
      <c r="Y189" s="62">
        <f t="shared" si="114"/>
        <v>9.5299999999999996E-2</v>
      </c>
      <c r="Z189" s="62">
        <f t="shared" si="112"/>
        <v>5.8939000000000004</v>
      </c>
      <c r="AA189" s="62">
        <f t="shared" si="118"/>
        <v>5.7986000000000004</v>
      </c>
      <c r="AB189" s="59" t="e">
        <f>VLOOKUP(A189,Enforcements!$C$7:$K$16,8,0)</f>
        <v>#N/A</v>
      </c>
      <c r="AC189" s="55" t="e">
        <f>VLOOKUP(A189,Enforcements!$C$7:$E$16,3,0)</f>
        <v>#N/A</v>
      </c>
      <c r="AD189" s="56" t="str">
        <f t="shared" si="119"/>
        <v>0833-31</v>
      </c>
      <c r="AE189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189" s="82" t="str">
        <f t="shared" si="99"/>
        <v>"C:\Program Files (x86)\AstroGrep\AstroGrep.exe" /spath="%USERPROFILE%\AppData\Local\Temp\OnboardLogs" /stypes="app*4009*20170201*" /stext=" 00:.+((SYSTEM_STATE.+slice.+state.+changed )|(ment ac)|(multiple cpu faults)|(system.+state.+changed )|(\[timeout)|(PRM\|1\|D)|(kpr)|(kdp)|(\|lc)|(penalty))" /e /r /s</v>
      </c>
      <c r="AG189" s="1" t="str">
        <f t="shared" si="120"/>
        <v>NW</v>
      </c>
      <c r="AH189" s="86" t="str">
        <f t="shared" si="106"/>
        <v>"%USERPROFILE%\Documents\GitHub\eaglep3\Utilities\RefineRTDCRunTimes.py" --tripid 833-31 --locoid 4009 --swversion DE.1.0.8.0 --startMP 204:953 --initTime 2017-01-31T17:15:58 --startdatetime 2017-01-31T17:21:15 --delay 0 --endMP 300:58939 --enddatetime 2017-01-31T17:35:11 --enforcementcount 0 &gt;&gt;C:\Users\stu\Documents\GitHub\eaglep3-reporting\EC\2017-01-31-refined-times.txt</v>
      </c>
      <c r="AI189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{"issue":{"subject":"","project_id":79,"tracker_id":40,"status_id":1,"priority_id":2,"assigned_to_id":23,"start_date":"2017-01-31","description":"","custom_fields":[{"id":1,"name":"Subdivision","value":"NW"},{"id":4,"name":"Milepost","value":"5.8939"},{"id":17,"name":"Train ID","value":"833-31"},{"id":16,"name":"Locomotive ID","value":"4009"},{"id":130,"name":"Impact","value":""},{"id":150,"name":"Time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61" t="str">
        <f t="shared" si="108"/>
        <v>start /low /b %USERPROFILE%\Documents\GitHub\eaglep3\Utilities\DownloadLogsFromS3.py --loco 4009 --day 2017-01-31</v>
      </c>
      <c r="AN189" s="170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"%USERPROFILE%\AppData\Local\Temp\OnboardLogs"\RTDC4009\*4009*20170201* | grep -SE "(Enforcement Action)|(\[TIMEOUT)|(CHR.+\|PRM\|1\|D.+(SWITCH|SIGNAL).+UNKNOWN)" - &gt;&gt; 2017-01-31-UncaughtWiMAX.txt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655</v>
      </c>
      <c r="B190" s="7">
        <v>4010</v>
      </c>
      <c r="C190" s="21" t="s">
        <v>193</v>
      </c>
      <c r="D190" s="21" t="s">
        <v>845</v>
      </c>
      <c r="E190" s="13">
        <v>42766.733865740738</v>
      </c>
      <c r="F190" s="13">
        <v>42766.735069444447</v>
      </c>
      <c r="G190" s="7">
        <v>1</v>
      </c>
      <c r="H190" s="21" t="s">
        <v>846</v>
      </c>
      <c r="I190" s="13">
        <v>42766.747187499997</v>
      </c>
      <c r="J190" s="7">
        <v>0</v>
      </c>
      <c r="K190" s="98" t="str">
        <f t="shared" ref="K190:K219" si="121">IF(ISEVEN(B190),(B190-1)&amp;"/"&amp;B190,B190&amp;"/"&amp;(B190+1))</f>
        <v>4009/4010</v>
      </c>
      <c r="L190" s="21" t="str">
        <f>VLOOKUP(A190,'Trips&amp;Operators'!$C$1:$G$99999,5,FALSE)</f>
        <v>LEVIN SCOTT</v>
      </c>
      <c r="M190" s="6">
        <f t="shared" ref="M190:M219" si="122">I190-F190</f>
        <v>1.211805555067258E-2</v>
      </c>
      <c r="N190" s="7">
        <f t="shared" si="115"/>
        <v>17.449999992968515</v>
      </c>
      <c r="O190" s="7"/>
      <c r="P190" s="7"/>
      <c r="Q190" s="22"/>
      <c r="R190" s="22"/>
      <c r="S190" s="31">
        <f t="shared" ref="S190:S219" si="123">SUM(U190:U190)/IF(AG190="EC",12,1)</f>
        <v>1</v>
      </c>
      <c r="T190" s="46" t="str">
        <f t="shared" si="116"/>
        <v>Southbound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97"/>
        <v>https://d0f6bd738d7f1b3e5a7ca70fe4ff75f0.us-east-1.aws.found.io/app/kibana#/discover/Steve-Slow-Train-Analysis-(2080s-and-2083s)?_g=(refreshInterval:(display:Off,pause:!f,section:0,value:0),time:(from:'2017-01-31T16:36:46-0700',mode:absolute,to:'2017-01-31T18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0" s="194" t="str">
        <f t="shared" si="117"/>
        <v>N</v>
      </c>
      <c r="X190" s="194">
        <f t="shared" si="113"/>
        <v>1</v>
      </c>
      <c r="Y190" s="62">
        <f t="shared" si="114"/>
        <v>5.8625999999999996</v>
      </c>
      <c r="Z190" s="62">
        <f t="shared" ref="Z190:Z219" si="124">RIGHT(H190,LEN(H190)-4)/10000</f>
        <v>6.4699999999999994E-2</v>
      </c>
      <c r="AA190" s="62">
        <f t="shared" si="118"/>
        <v>5.7978999999999994</v>
      </c>
      <c r="AB190" s="59" t="e">
        <f>VLOOKUP(A190,Enforcements!$C$7:$K$16,8,0)</f>
        <v>#N/A</v>
      </c>
      <c r="AC190" s="55" t="e">
        <f>VLOOKUP(A190,Enforcements!$C$7:$E$16,3,0)</f>
        <v>#N/A</v>
      </c>
      <c r="AD190" s="56" t="str">
        <f t="shared" si="119"/>
        <v>0834-31</v>
      </c>
      <c r="AE190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190" s="82" t="str">
        <f t="shared" si="99"/>
        <v>"C:\Program Files (x86)\AstroGrep\AstroGrep.exe" /spath="%USERPROFILE%\AppData\Local\Temp\OnboardLogs" /stypes="app*4010*20170201*" /stext=" 00:.+((SYSTEM_STATE.+slice.+state.+changed )|(ment ac)|(multiple cpu faults)|(system.+state.+changed )|(\[timeout)|(PRM\|1\|D)|(kpr)|(kdp)|(\|lc)|(penalty))" /e /r /s</v>
      </c>
      <c r="AG190" s="1" t="str">
        <f t="shared" si="120"/>
        <v>NW</v>
      </c>
      <c r="AH190" s="86" t="str">
        <f t="shared" si="106"/>
        <v>"%USERPROFILE%\Documents\GitHub\eaglep3\Utilities\RefineRTDCRunTimes.py" --tripid 834-31 --locoid 4010 --swversion DE.1.0.8.0 --startMP 300:58626 --initTime 2017-01-31T17:36:46 --startdatetime 2017-01-31T17:38:30 --delay 1 --endMP 204:647 --enddatetime 2017-01-31T17:55:57 --enforcementcount 0 &gt;&gt;C:\Users\stu\Documents\GitHub\eaglep3-reporting\EC\2017-01-31-refined-times.txt</v>
      </c>
      <c r="AI190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{"issue":{"subject":"","project_id":79,"tracker_id":40,"status_id":1,"priority_id":2,"assigned_to_id":23,"start_date":"2017-01-31","description":"","custom_fields":[{"id":1,"name":"Subdivision","value":"NW"},{"id":4,"name":"Milepost","value":"0.0647"},{"id":17,"name":"Train ID","value":"834-31"},{"id":16,"name":"Locomotive ID","value":"4010"},{"id":130,"name":"Impact","value":""},{"id":150,"name":"Time of Event (Mountain Time)","value":"17:55:57"},{"id":151,"name":"Denver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61" t="str">
        <f t="shared" si="108"/>
        <v>start /low /b %USERPROFILE%\Documents\GitHub\eaglep3\Utilities\DownloadLogsFromS3.py --loco 4010 --day 2017-01-31</v>
      </c>
      <c r="AN190" s="170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"%USERPROFILE%\AppData\Local\Temp\OnboardLogs"\RTDC4010\*4010*20170201* | grep -SE "(Enforcement Action)|(\[TIMEOUT)|(CHR.+\|PRM\|1\|D.+(SWITCH|SIGNAL).+UNKNOWN)" - &gt;&gt; 2017-01-31-UncaughtWiMAX.txt</v>
      </c>
    </row>
    <row r="191" spans="1:91" x14ac:dyDescent="0.25">
      <c r="A191" s="33" t="s">
        <v>512</v>
      </c>
      <c r="B191" s="7">
        <v>4007</v>
      </c>
      <c r="C191" s="21" t="s">
        <v>193</v>
      </c>
      <c r="D191" s="21" t="s">
        <v>488</v>
      </c>
      <c r="E191" s="13">
        <v>42766.727094907408</v>
      </c>
      <c r="F191" s="13">
        <v>42766.743969907409</v>
      </c>
      <c r="G191" s="7">
        <v>1</v>
      </c>
      <c r="H191" s="21" t="s">
        <v>847</v>
      </c>
      <c r="I191" s="13">
        <v>42766.754293981481</v>
      </c>
      <c r="J191" s="7">
        <v>0</v>
      </c>
      <c r="K191" s="98" t="str">
        <f t="shared" si="121"/>
        <v>4007/4008</v>
      </c>
      <c r="L191" s="21" t="str">
        <f>VLOOKUP(A191,'Trips&amp;Operators'!$C$1:$G$99999,5,FALSE)</f>
        <v>HILLS DUSTIN</v>
      </c>
      <c r="M191" s="6">
        <f t="shared" si="122"/>
        <v>1.0324074071832001E-2</v>
      </c>
      <c r="N191" s="7">
        <f t="shared" si="115"/>
        <v>14.866666663438082</v>
      </c>
      <c r="O191" s="7"/>
      <c r="P191" s="7"/>
      <c r="Q191" s="22"/>
      <c r="R191" s="22"/>
      <c r="S191" s="31">
        <f t="shared" si="123"/>
        <v>1</v>
      </c>
      <c r="T191" s="46" t="str">
        <f t="shared" si="116"/>
        <v>NorthBound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97"/>
        <v>https://d0f6bd738d7f1b3e5a7ca70fe4ff75f0.us-east-1.aws.found.io/app/kibana#/discover/Steve-Slow-Train-Analysis-(2080s-and-2083s)?_g=(refreshInterval:(display:Off,pause:!f,section:0,value:0),time:(from:'2017-01-31T16:27:01-0700',mode:absolute,to:'2017-01-31T19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94" t="str">
        <f t="shared" si="117"/>
        <v>N</v>
      </c>
      <c r="X191" s="194">
        <f t="shared" si="113"/>
        <v>1</v>
      </c>
      <c r="Y191" s="62">
        <f t="shared" si="114"/>
        <v>9.6199999999999994E-2</v>
      </c>
      <c r="Z191" s="62">
        <f t="shared" si="124"/>
        <v>5.8997000000000002</v>
      </c>
      <c r="AA191" s="62">
        <f t="shared" si="118"/>
        <v>5.8035000000000005</v>
      </c>
      <c r="AB191" s="59" t="e">
        <f>VLOOKUP(A191,Enforcements!$C$7:$K$16,8,0)</f>
        <v>#N/A</v>
      </c>
      <c r="AC191" s="55" t="e">
        <f>VLOOKUP(A191,Enforcements!$C$7:$E$16,3,0)</f>
        <v>#N/A</v>
      </c>
      <c r="AD191" s="56" t="str">
        <f t="shared" si="119"/>
        <v>0835-31</v>
      </c>
      <c r="AE191" s="85" t="str">
        <f t="shared" si="98"/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AF191" s="82" t="str">
        <f t="shared" si="99"/>
        <v>"C:\Program Files (x86)\AstroGrep\AstroGrep.exe" /spath="%USERPROFILE%\AppData\Local\Temp\OnboardLogs" /stypes="app*4007*20170201*" /stext=" 01:.+((SYSTEM_STATE.+slice.+state.+changed )|(ment ac)|(multiple cpu faults)|(system.+state.+changed )|(\[timeout)|(PRM\|1\|D)|(kpr)|(kdp)|(\|lc)|(penalty))" /e /r /s</v>
      </c>
      <c r="AG191" s="1" t="str">
        <f t="shared" si="120"/>
        <v>NW</v>
      </c>
      <c r="AH191" s="86" t="str">
        <f t="shared" si="106"/>
        <v>"%USERPROFILE%\Documents\GitHub\eaglep3\Utilities\RefineRTDCRunTimes.py" --tripid 835-31 --locoid 4007 --swversion DE.1.0.8.0 --startMP 204:962 --initTime 2017-01-31T17:27:01 --startdatetime 2017-01-31T17:51:19 --delay 1 --endMP 300:58997 --enddatetime 2017-01-31T18:06:11 --enforcementcount 0 &gt;&gt;C:\Users\stu\Documents\GitHub\eaglep3-reporting\EC\2017-01-31-refined-times.txt</v>
      </c>
      <c r="AI191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{"issue":{"subject":"","project_id":79,"tracker_id":40,"status_id":1,"priority_id":2,"assigned_to_id":23,"start_date":"2017-01-31","description":"","custom_fields":[{"id":1,"name":"Subdivision","value":"NW"},{"id":4,"name":"Milepost","value":"5.8997"},{"id":17,"name":"Train ID","value":"835-31"},{"id":16,"name":"Locomotive ID","value":"4007"},{"id":130,"name":"Impact","value":""},{"id":150,"name":"Time of Event (Mountain Time)","value":"18:06:11"},{"id":151,"name":"Denver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61" t="str">
        <f t="shared" si="108"/>
        <v>start /low /b %USERPROFILE%\Documents\GitHub\eaglep3\Utilities\DownloadLogsFromS3.py --loco 4007 --day 2017-01-31</v>
      </c>
      <c r="AN191" s="170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"%USERPROFILE%\AppData\Local\Temp\OnboardLogs"\RTDC4007\*4007*20170201* | grep -SE "(Enforcement Action)|(\[TIMEOUT)|(CHR.+\|PRM\|1\|D.+(SWITCH|SIGNAL).+UNKNOWN)" - &gt;&gt; 2017-01-31-UncaughtWiMAX.txt</v>
      </c>
    </row>
    <row r="192" spans="1:91" x14ac:dyDescent="0.25">
      <c r="A192" s="33" t="s">
        <v>660</v>
      </c>
      <c r="B192" s="7">
        <v>4008</v>
      </c>
      <c r="C192" s="21" t="s">
        <v>193</v>
      </c>
      <c r="D192" s="21" t="s">
        <v>848</v>
      </c>
      <c r="E192" s="13">
        <v>42766.75540509259</v>
      </c>
      <c r="F192" s="13">
        <v>42766.756967592592</v>
      </c>
      <c r="G192" s="7">
        <v>1</v>
      </c>
      <c r="H192" s="21" t="s">
        <v>483</v>
      </c>
      <c r="I192" s="13">
        <v>42766.767997685187</v>
      </c>
      <c r="J192" s="7">
        <v>0</v>
      </c>
      <c r="K192" s="98" t="str">
        <f t="shared" si="121"/>
        <v>4007/4008</v>
      </c>
      <c r="L192" s="21" t="str">
        <f>VLOOKUP(A192,'Trips&amp;Operators'!$C$1:$G$99999,5,FALSE)</f>
        <v>HILLS DUSTIN</v>
      </c>
      <c r="M192" s="6">
        <f t="shared" si="122"/>
        <v>1.1030092595319729E-2</v>
      </c>
      <c r="N192" s="7">
        <f t="shared" si="115"/>
        <v>15.88333333726041</v>
      </c>
      <c r="O192" s="7"/>
      <c r="P192" s="7"/>
      <c r="Q192" s="22"/>
      <c r="R192" s="22"/>
      <c r="S192" s="31">
        <f t="shared" si="123"/>
        <v>1</v>
      </c>
      <c r="T192" s="46" t="str">
        <f t="shared" si="116"/>
        <v>Southbound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97"/>
        <v>https://d0f6bd738d7f1b3e5a7ca70fe4ff75f0.us-east-1.aws.found.io/app/kibana#/discover/Steve-Slow-Train-Analysis-(2080s-and-2083s)?_g=(refreshInterval:(display:Off,pause:!f,section:0,value:0),time:(from:'2017-01-31T17:07:47-0700',mode:absolute,to:'2017-01-31T19:25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94" t="str">
        <f t="shared" si="117"/>
        <v>N</v>
      </c>
      <c r="X192" s="194">
        <f t="shared" si="113"/>
        <v>1</v>
      </c>
      <c r="Y192" s="62">
        <f t="shared" si="114"/>
        <v>5.8666</v>
      </c>
      <c r="Z192" s="62">
        <f t="shared" si="124"/>
        <v>6.3100000000000003E-2</v>
      </c>
      <c r="AA192" s="62">
        <f t="shared" si="118"/>
        <v>5.8034999999999997</v>
      </c>
      <c r="AB192" s="59" t="e">
        <f>VLOOKUP(A192,Enforcements!$C$7:$K$16,8,0)</f>
        <v>#N/A</v>
      </c>
      <c r="AC192" s="55" t="e">
        <f>VLOOKUP(A192,Enforcements!$C$7:$E$16,3,0)</f>
        <v>#N/A</v>
      </c>
      <c r="AD192" s="56" t="str">
        <f t="shared" si="119"/>
        <v>0836-31</v>
      </c>
      <c r="AE192" s="85" t="str">
        <f t="shared" si="98"/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AF192" s="82" t="str">
        <f t="shared" si="99"/>
        <v>"C:\Program Files (x86)\AstroGrep\AstroGrep.exe" /spath="%USERPROFILE%\AppData\Local\Temp\OnboardLogs" /stypes="app*4008*20170201*" /stext=" 01:.+((SYSTEM_STATE.+slice.+state.+changed )|(ment ac)|(multiple cpu faults)|(system.+state.+changed )|(\[timeout)|(PRM\|1\|D)|(kpr)|(kdp)|(\|lc)|(penalty))" /e /r /s</v>
      </c>
      <c r="AG192" s="1" t="str">
        <f t="shared" si="120"/>
        <v>NW</v>
      </c>
      <c r="AH192" s="86" t="str">
        <f t="shared" si="106"/>
        <v>"%USERPROFILE%\Documents\GitHub\eaglep3\Utilities\RefineRTDCRunTimes.py" --tripid 836-31 --locoid 4008 --swversion DE.1.0.8.0 --startMP 300:58666 --initTime 2017-01-31T18:07:47 --startdatetime 2017-01-31T18:10:02 --delay 1 --endMP 204:631 --enddatetime 2017-01-31T18:25:55 --enforcementcount 0 &gt;&gt;C:\Users\stu\Documents\GitHub\eaglep3-reporting\EC\2017-01-31-refined-times.txt</v>
      </c>
      <c r="AI192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{"issue":{"subject":"","project_id":79,"tracker_id":40,"status_id":1,"priority_id":2,"assigned_to_id":23,"start_date":"2017-01-31","description":"","custom_fields":[{"id":1,"name":"Subdivision","value":"NW"},{"id":4,"name":"Milepost","value":"0.0631"},{"id":17,"name":"Train ID","value":"836-31"},{"id":16,"name":"Locomotive ID","value":"4008"},{"id":130,"name":"Impact","value":""},{"id":150,"name":"Time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61" t="str">
        <f t="shared" si="108"/>
        <v>start /low /b %USERPROFILE%\Documents\GitHub\eaglep3\Utilities\DownloadLogsFromS3.py --loco 4008 --day 2017-01-31</v>
      </c>
      <c r="AN192" s="170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"%USERPROFILE%\AppData\Local\Temp\OnboardLogs"\RTDC4008\*4008*20170201* | grep -SE "(Enforcement Action)|(\[TIMEOUT)|(CHR.+\|PRM\|1\|D.+(SWITCH|SIGNAL).+UNKNOWN)" - &gt;&gt; 2017-01-31-UncaughtWiMAX.txt</v>
      </c>
    </row>
    <row r="193" spans="1:91" x14ac:dyDescent="0.25">
      <c r="A193" s="33" t="s">
        <v>514</v>
      </c>
      <c r="B193" s="7">
        <v>4009</v>
      </c>
      <c r="C193" s="21" t="s">
        <v>193</v>
      </c>
      <c r="D193" s="21" t="s">
        <v>849</v>
      </c>
      <c r="E193" s="13">
        <v>42766.757280092592</v>
      </c>
      <c r="F193" s="13">
        <v>42766.764756944445</v>
      </c>
      <c r="G193" s="7">
        <v>1</v>
      </c>
      <c r="H193" s="21" t="s">
        <v>485</v>
      </c>
      <c r="I193" s="13">
        <v>42766.774351851855</v>
      </c>
      <c r="J193" s="7">
        <v>0</v>
      </c>
      <c r="K193" s="98" t="str">
        <f t="shared" si="121"/>
        <v>4009/4010</v>
      </c>
      <c r="L193" s="21" t="str">
        <f>VLOOKUP(A193,'Trips&amp;Operators'!$C$1:$G$99999,5,FALSE)</f>
        <v>LEVIN SCOTT</v>
      </c>
      <c r="M193" s="6">
        <f t="shared" si="122"/>
        <v>9.5949074093368836E-3</v>
      </c>
      <c r="N193" s="7">
        <f t="shared" si="115"/>
        <v>13.816666669445112</v>
      </c>
      <c r="O193" s="7"/>
      <c r="P193" s="7"/>
      <c r="Q193" s="22"/>
      <c r="R193" s="22"/>
      <c r="S193" s="31">
        <f t="shared" si="123"/>
        <v>1</v>
      </c>
      <c r="T193" s="46" t="str">
        <f t="shared" si="116"/>
        <v>NorthBound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97"/>
        <v>https://d0f6bd738d7f1b3e5a7ca70fe4ff75f0.us-east-1.aws.found.io/app/kibana#/discover/Steve-Slow-Train-Analysis-(2080s-and-2083s)?_g=(refreshInterval:(display:Off,pause:!f,section:0,value:0),time:(from:'2017-01-31T17:10:29-0700',mode:absolute,to:'2017-01-31T19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94" t="str">
        <f t="shared" si="117"/>
        <v>N</v>
      </c>
      <c r="X193" s="194">
        <f t="shared" si="113"/>
        <v>1</v>
      </c>
      <c r="Y193" s="62">
        <f t="shared" si="114"/>
        <v>9.4799999999999995E-2</v>
      </c>
      <c r="Z193" s="62">
        <f t="shared" si="124"/>
        <v>5.8925999999999998</v>
      </c>
      <c r="AA193" s="62">
        <f t="shared" si="118"/>
        <v>5.7977999999999996</v>
      </c>
      <c r="AB193" s="59" t="e">
        <f>VLOOKUP(A193,Enforcements!$C$7:$K$16,8,0)</f>
        <v>#N/A</v>
      </c>
      <c r="AC193" s="55" t="e">
        <f>VLOOKUP(A193,Enforcements!$C$7:$E$16,3,0)</f>
        <v>#N/A</v>
      </c>
      <c r="AD193" s="56" t="str">
        <f t="shared" si="119"/>
        <v>0837-31</v>
      </c>
      <c r="AE193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193" s="82" t="str">
        <f t="shared" si="99"/>
        <v>"C:\Program Files (x86)\AstroGrep\AstroGrep.exe" /spath="%USERPROFILE%\AppData\Local\Temp\OnboardLogs" /stypes="app*4009*20170201*" /stext=" 01:.+((SYSTEM_STATE.+slice.+state.+changed )|(ment ac)|(multiple cpu faults)|(system.+state.+changed )|(\[timeout)|(PRM\|1\|D)|(kpr)|(kdp)|(\|lc)|(penalty))" /e /r /s</v>
      </c>
      <c r="AG193" s="1" t="str">
        <f t="shared" si="120"/>
        <v>NW</v>
      </c>
      <c r="AH193" s="86" t="str">
        <f t="shared" si="106"/>
        <v>"%USERPROFILE%\Documents\GitHub\eaglep3\Utilities\RefineRTDCRunTimes.py" --tripid 837-31 --locoid 4009 --swversion DE.1.0.8.0 --startMP 204:948 --initTime 2017-01-31T18:10:29 --startdatetime 2017-01-31T18:21:15 --delay 1 --endMP 300:58926 --enddatetime 2017-01-31T18:35:04 --enforcementcount 0 &gt;&gt;C:\Users\stu\Documents\GitHub\eaglep3-reporting\EC\2017-01-31-refined-times.txt</v>
      </c>
      <c r="AI193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{"issue":{"subject":"","project_id":79,"tracker_id":40,"status_id":1,"priority_id":2,"assigned_to_id":23,"start_date":"2017-01-31","description":"","custom_fields":[{"id":1,"name":"Subdivision","value":"NW"},{"id":4,"name":"Milepost","value":"5.8926"},{"id":17,"name":"Train ID","value":"837-31"},{"id":16,"name":"Locomotive ID","value":"4009"},{"id":130,"name":"Impact","value":""},{"id":150,"name":"Time of Event (Mountain Time)","value":"18:35:04"},{"id":151,"name":"Denver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61" t="str">
        <f t="shared" si="108"/>
        <v>start /low /b %USERPROFILE%\Documents\GitHub\eaglep3\Utilities\DownloadLogsFromS3.py --loco 4009 --day 2017-01-31</v>
      </c>
      <c r="AN193" s="170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"%USERPROFILE%\AppData\Local\Temp\OnboardLogs"\RTDC4009\*4009*20170201* | grep -SE "(Enforcement Action)|(\[TIMEOUT)|(CHR.+\|PRM\|1\|D.+(SWITCH|SIGNAL).+UNKNOWN)" - &gt;&gt; 2017-01-31-UncaughtWiMAX.txt</v>
      </c>
    </row>
    <row r="194" spans="1:91" s="20" customFormat="1" x14ac:dyDescent="0.25">
      <c r="A194" s="33" t="s">
        <v>666</v>
      </c>
      <c r="B194" s="7">
        <v>4010</v>
      </c>
      <c r="C194" s="21" t="s">
        <v>193</v>
      </c>
      <c r="D194" s="21" t="s">
        <v>356</v>
      </c>
      <c r="E194" s="13">
        <v>42766.775567129633</v>
      </c>
      <c r="F194" s="13">
        <v>42766.776736111111</v>
      </c>
      <c r="G194" s="7">
        <v>1</v>
      </c>
      <c r="H194" s="21" t="s">
        <v>850</v>
      </c>
      <c r="I194" s="13">
        <v>42766.788761574076</v>
      </c>
      <c r="J194" s="7">
        <v>0</v>
      </c>
      <c r="K194" s="98" t="str">
        <f t="shared" si="121"/>
        <v>4009/4010</v>
      </c>
      <c r="L194" s="21" t="str">
        <f>VLOOKUP(A194,'Trips&amp;Operators'!$C$1:$G$99999,5,FALSE)</f>
        <v>LEVIN SCOTT</v>
      </c>
      <c r="M194" s="6">
        <f t="shared" si="122"/>
        <v>1.2025462965539191E-2</v>
      </c>
      <c r="N194" s="7">
        <f t="shared" si="115"/>
        <v>17.316666670376435</v>
      </c>
      <c r="O194" s="7"/>
      <c r="P194" s="7"/>
      <c r="Q194" s="22"/>
      <c r="R194" s="22"/>
      <c r="S194" s="31">
        <f t="shared" si="123"/>
        <v>1</v>
      </c>
      <c r="T194" s="46" t="str">
        <f t="shared" si="116"/>
        <v>Southbound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97"/>
        <v>https://d0f6bd738d7f1b3e5a7ca70fe4ff75f0.us-east-1.aws.found.io/app/kibana#/discover/Steve-Slow-Train-Analysis-(2080s-and-2083s)?_g=(refreshInterval:(display:Off,pause:!f,section:0,value:0),time:(from:'2017-01-31T17:36:49-0700',mode:absolute,to:'2017-01-31T19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4" s="194" t="str">
        <f t="shared" si="117"/>
        <v>N</v>
      </c>
      <c r="X194" s="194">
        <f t="shared" ref="X194:X199" si="125">VALUE(LEFT(AD194,4))-VALUE(LEFT(AD193,4))</f>
        <v>1</v>
      </c>
      <c r="Y194" s="62">
        <f t="shared" si="114"/>
        <v>5.8608000000000002</v>
      </c>
      <c r="Z194" s="62">
        <f t="shared" si="124"/>
        <v>6.6100000000000006E-2</v>
      </c>
      <c r="AA194" s="62">
        <f t="shared" si="118"/>
        <v>5.7947000000000006</v>
      </c>
      <c r="AB194" s="59" t="e">
        <f>VLOOKUP(A194,Enforcements!$C$7:$K$16,8,0)</f>
        <v>#N/A</v>
      </c>
      <c r="AC194" s="55" t="e">
        <f>VLOOKUP(A194,Enforcements!$C$7:$E$16,3,0)</f>
        <v>#N/A</v>
      </c>
      <c r="AD194" s="56" t="str">
        <f t="shared" si="119"/>
        <v>0838-31</v>
      </c>
      <c r="AE194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194" s="82" t="str">
        <f t="shared" si="99"/>
        <v>"C:\Program Files (x86)\AstroGrep\AstroGrep.exe" /spath="%USERPROFILE%\AppData\Local\Temp\OnboardLogs" /stypes="app*4010*20170201*" /stext=" 01:.+((SYSTEM_STATE.+slice.+state.+changed )|(ment ac)|(multiple cpu faults)|(system.+state.+changed )|(\[timeout)|(PRM\|1\|D)|(kpr)|(kdp)|(\|lc)|(penalty))" /e /r /s</v>
      </c>
      <c r="AG194" s="1" t="str">
        <f t="shared" si="120"/>
        <v>NW</v>
      </c>
      <c r="AH194" s="86" t="str">
        <f t="shared" si="106"/>
        <v>"%USERPROFILE%\Documents\GitHub\eaglep3\Utilities\RefineRTDCRunTimes.py" --tripid 838-31 --locoid 4010 --swversion DE.1.0.8.0 --startMP 300:58608 --initTime 2017-01-31T18:36:49 --startdatetime 2017-01-31T18:38:30 --delay 1 --endMP 204:661 --enddatetime 2017-01-31T18:55:49 --enforcementcount 0 &gt;&gt;C:\Users\stu\Documents\GitHub\eaglep3-reporting\EC\2017-01-31-refined-times.txt</v>
      </c>
      <c r="AI194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{"issue":{"subject":"","project_id":79,"tracker_id":40,"status_id":1,"priority_id":2,"assigned_to_id":23,"start_date":"2017-01-31","description":"","custom_fields":[{"id":1,"name":"Subdivision","value":"NW"},{"id":4,"name":"Milepost","value":"0.0661"},{"id":17,"name":"Train ID","value":"838-31"},{"id":16,"name":"Locomotive ID","value":"4010"},{"id":130,"name":"Impact","value":""},{"id":150,"name":"Time of Event (Mountain Time)","value":"18:55:49"},{"id":151,"name":"Denver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61" t="str">
        <f t="shared" si="108"/>
        <v>start /low /b %USERPROFILE%\Documents\GitHub\eaglep3\Utilities\DownloadLogsFromS3.py --loco 4010 --day 2017-01-31</v>
      </c>
      <c r="AN194" s="170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"%USERPROFILE%\AppData\Local\Temp\OnboardLogs"\RTDC4010\*4010*20170201* | grep -SE "(Enforcement Action)|(\[TIMEOUT)|(CHR.+\|PRM\|1\|D.+(SWITCH|SIGNAL).+UNKNOWN)" - &gt;&gt; 2017-01-31-UncaughtWiMAX.txt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3" t="s">
        <v>515</v>
      </c>
      <c r="B195" s="7">
        <v>4007</v>
      </c>
      <c r="C195" s="21" t="s">
        <v>193</v>
      </c>
      <c r="D195" s="21" t="s">
        <v>851</v>
      </c>
      <c r="E195" s="13">
        <v>42766.769050925926</v>
      </c>
      <c r="F195" s="13">
        <v>42766.785937499997</v>
      </c>
      <c r="G195" s="7">
        <v>1</v>
      </c>
      <c r="H195" s="21" t="s">
        <v>852</v>
      </c>
      <c r="I195" s="13">
        <v>42766.796516203707</v>
      </c>
      <c r="J195" s="7">
        <v>0</v>
      </c>
      <c r="K195" s="98" t="str">
        <f t="shared" si="121"/>
        <v>4007/4008</v>
      </c>
      <c r="L195" s="21" t="str">
        <f>VLOOKUP(A195,'Trips&amp;Operators'!$C$1:$G$99999,5,FALSE)</f>
        <v>HILLS DUSTIN</v>
      </c>
      <c r="M195" s="6">
        <f t="shared" si="122"/>
        <v>1.057870371005265E-2</v>
      </c>
      <c r="N195" s="7">
        <f t="shared" si="115"/>
        <v>15.233333342475817</v>
      </c>
      <c r="O195" s="7"/>
      <c r="P195" s="7"/>
      <c r="Q195" s="22"/>
      <c r="R195" s="22"/>
      <c r="S195" s="31">
        <f t="shared" si="123"/>
        <v>1</v>
      </c>
      <c r="T195" s="46" t="str">
        <f t="shared" si="116"/>
        <v>NorthBound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97"/>
        <v>https://d0f6bd738d7f1b3e5a7ca70fe4ff75f0.us-east-1.aws.found.io/app/kibana#/discover/Steve-Slow-Train-Analysis-(2080s-and-2083s)?_g=(refreshInterval:(display:Off,pause:!f,section:0,value:0),time:(from:'2017-01-31T17:27:26-0700',mode:absolute,to:'2017-01-31T20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94" t="str">
        <f t="shared" si="117"/>
        <v>N</v>
      </c>
      <c r="X195" s="194">
        <f t="shared" si="125"/>
        <v>1</v>
      </c>
      <c r="Y195" s="62">
        <f t="shared" si="114"/>
        <v>9.0200000000000002E-2</v>
      </c>
      <c r="Z195" s="62">
        <f t="shared" si="124"/>
        <v>5.9002999999999997</v>
      </c>
      <c r="AA195" s="62">
        <f t="shared" si="118"/>
        <v>5.8100999999999994</v>
      </c>
      <c r="AB195" s="59" t="e">
        <f>VLOOKUP(A195,Enforcements!$C$7:$K$16,8,0)</f>
        <v>#N/A</v>
      </c>
      <c r="AC195" s="55" t="e">
        <f>VLOOKUP(A195,Enforcements!$C$7:$E$16,3,0)</f>
        <v>#N/A</v>
      </c>
      <c r="AD195" s="56" t="str">
        <f t="shared" si="119"/>
        <v>0839-31</v>
      </c>
      <c r="AE195" s="85" t="str">
        <f t="shared" si="98"/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AF195" s="82" t="str">
        <f t="shared" si="99"/>
        <v>"C:\Program Files (x86)\AstroGrep\AstroGrep.exe" /spath="%USERPROFILE%\AppData\Local\Temp\OnboardLogs" /stypes="app*4007*20170201*" /stext=" 02:.+((SYSTEM_STATE.+slice.+state.+changed )|(ment ac)|(multiple cpu faults)|(system.+state.+changed )|(\[timeout)|(PRM\|1\|D)|(kpr)|(kdp)|(\|lc)|(penalty))" /e /r /s</v>
      </c>
      <c r="AG195" s="1" t="str">
        <f t="shared" si="120"/>
        <v>NW</v>
      </c>
      <c r="AH195" s="86" t="str">
        <f t="shared" si="106"/>
        <v>"%USERPROFILE%\Documents\GitHub\eaglep3\Utilities\RefineRTDCRunTimes.py" --tripid 839-31 --locoid 4007 --swversion DE.1.0.8.0 --startMP 204:902 --initTime 2017-01-31T18:27:26 --startdatetime 2017-01-31T18:51:45 --delay 1 --endMP 300:59003 --enddatetime 2017-01-31T19:06:59 --enforcementcount 0 &gt;&gt;C:\Users\stu\Documents\GitHub\eaglep3-reporting\EC\2017-01-31-refined-times.txt</v>
      </c>
      <c r="AI195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{"issue":{"subject":"","project_id":79,"tracker_id":40,"status_id":1,"priority_id":2,"assigned_to_id":23,"start_date":"2017-01-31","description":"","custom_fields":[{"id":1,"name":"Subdivision","value":"NW"},{"id":4,"name":"Milepost","value":"5.9003"},{"id":17,"name":"Train ID","value":"839-31"},{"id":16,"name":"Locomotive ID","value":"4007"},{"id":130,"name":"Impact","value":""},{"id":150,"name":"Time of Event (Mountain Time)","value":"19:06:59"},{"id":151,"name":"Denver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61" t="str">
        <f t="shared" si="108"/>
        <v>start /low /b %USERPROFILE%\Documents\GitHub\eaglep3\Utilities\DownloadLogsFromS3.py --loco 4007 --day 2017-01-31</v>
      </c>
      <c r="AN195" s="170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"%USERPROFILE%\AppData\Local\Temp\OnboardLogs"\RTDC4007\*4007*20170201* | grep -SE "(Enforcement Action)|(\[TIMEOUT)|(CHR.+\|PRM\|1\|D.+(SWITCH|SIGNAL).+UNKNOWN)" - &gt;&gt; 2017-01-31-UncaughtWiMAX.txt</v>
      </c>
    </row>
    <row r="196" spans="1:91" x14ac:dyDescent="0.25">
      <c r="A196" s="33" t="s">
        <v>678</v>
      </c>
      <c r="B196" s="7">
        <v>4010</v>
      </c>
      <c r="C196" s="21" t="s">
        <v>193</v>
      </c>
      <c r="D196" s="21" t="s">
        <v>810</v>
      </c>
      <c r="E196" s="13">
        <v>42766.817060185182</v>
      </c>
      <c r="F196" s="13">
        <v>42766.81832175926</v>
      </c>
      <c r="G196" s="7">
        <v>1</v>
      </c>
      <c r="H196" s="21" t="s">
        <v>839</v>
      </c>
      <c r="I196" s="13">
        <v>42766.831817129627</v>
      </c>
      <c r="J196" s="7">
        <v>0</v>
      </c>
      <c r="K196" s="98" t="str">
        <f t="shared" si="121"/>
        <v>4009/4010</v>
      </c>
      <c r="L196" s="21" t="str">
        <f>VLOOKUP(A196,'Trips&amp;Operators'!$C$1:$G$99999,5,FALSE)</f>
        <v>LEVIN SCOTT</v>
      </c>
      <c r="M196" s="6">
        <f t="shared" si="122"/>
        <v>1.3495370367309079E-2</v>
      </c>
      <c r="N196" s="7">
        <f t="shared" si="115"/>
        <v>19.433333328925073</v>
      </c>
      <c r="O196" s="7"/>
      <c r="P196" s="7"/>
      <c r="Q196" s="22"/>
      <c r="R196" s="22"/>
      <c r="S196" s="31">
        <f t="shared" si="123"/>
        <v>1</v>
      </c>
      <c r="T196" s="46" t="str">
        <f t="shared" si="116"/>
        <v>Southbound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97"/>
        <v>https://d0f6bd738d7f1b3e5a7ca70fe4ff75f0.us-east-1.aws.found.io/app/kibana#/discover/Steve-Slow-Train-Analysis-(2080s-and-2083s)?_g=(refreshInterval:(display:Off,pause:!f,section:0,value:0),time:(from:'2017-01-31T18:36:34-0700',mode:absolute,to:'2017-01-31T20:57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94" t="str">
        <f t="shared" si="117"/>
        <v>N</v>
      </c>
      <c r="X196" s="194">
        <f t="shared" si="125"/>
        <v>1</v>
      </c>
      <c r="Y196" s="62">
        <f t="shared" si="114"/>
        <v>5.8632</v>
      </c>
      <c r="Z196" s="62">
        <f t="shared" si="124"/>
        <v>6.6299999999999998E-2</v>
      </c>
      <c r="AA196" s="62">
        <f t="shared" si="118"/>
        <v>5.7968999999999999</v>
      </c>
      <c r="AB196" s="59" t="e">
        <f>VLOOKUP(A196,Enforcements!$C$7:$K$16,8,0)</f>
        <v>#N/A</v>
      </c>
      <c r="AC196" s="55" t="e">
        <f>VLOOKUP(A196,Enforcements!$C$7:$E$16,3,0)</f>
        <v>#N/A</v>
      </c>
      <c r="AD196" s="56" t="str">
        <f t="shared" si="119"/>
        <v>0840-31</v>
      </c>
      <c r="AE196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196" s="82" t="str">
        <f t="shared" si="99"/>
        <v>"C:\Program Files (x86)\AstroGrep\AstroGrep.exe" /spath="%USERPROFILE%\AppData\Local\Temp\OnboardLogs" /stypes="app*4010*20170201*" /stext=" 02:.+((SYSTEM_STATE.+slice.+state.+changed )|(ment ac)|(multiple cpu faults)|(system.+state.+changed )|(\[timeout)|(PRM\|1\|D)|(kpr)|(kdp)|(\|lc)|(penalty))" /e /r /s</v>
      </c>
      <c r="AG196" s="1" t="str">
        <f t="shared" si="120"/>
        <v>NW</v>
      </c>
      <c r="AH196" s="86" t="str">
        <f t="shared" si="106"/>
        <v>"%USERPROFILE%\Documents\GitHub\eaglep3\Utilities\RefineRTDCRunTimes.py" --tripid 840-31 --locoid 4010 --swversion DE.1.0.8.0 --startMP 300:58632 --initTime 2017-01-31T19:36:34 --startdatetime 2017-01-31T19:38:23 --delay 1 --endMP 204:663 --enddatetime 2017-01-31T19:57:49 --enforcementcount 0 &gt;&gt;C:\Users\stu\Documents\GitHub\eaglep3-reporting\EC\2017-01-31-refined-times.txt</v>
      </c>
      <c r="AI196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{"issue":{"subject":"","project_id":79,"tracker_id":40,"status_id":1,"priority_id":2,"assigned_to_id":23,"start_date":"2017-01-31","description":"","custom_fields":[{"id":1,"name":"Subdivision","value":"NW"},{"id":4,"name":"Milepost","value":"0.0663"},{"id":17,"name":"Train ID","value":"840-31"},{"id":16,"name":"Locomotive ID","value":"4010"},{"id":130,"name":"Impact","value":""},{"id":150,"name":"Time of Event (Mountain Time)","value":"19:57:49"},{"id":151,"name":"Denver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61" t="str">
        <f t="shared" si="108"/>
        <v>start /low /b %USERPROFILE%\Documents\GitHub\eaglep3\Utilities\DownloadLogsFromS3.py --loco 4010 --day 2017-01-31</v>
      </c>
      <c r="AN196" s="170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"%USERPROFILE%\AppData\Local\Temp\OnboardLogs"\RTDC4010\*4010*20170201* | grep -SE "(Enforcement Action)|(\[TIMEOUT)|(CHR.+\|PRM\|1\|D.+(SWITCH|SIGNAL).+UNKNOWN)" - &gt;&gt; 2017-01-31-UncaughtWiMAX.txt</v>
      </c>
    </row>
    <row r="197" spans="1:91" x14ac:dyDescent="0.25">
      <c r="A197" s="33" t="s">
        <v>676</v>
      </c>
      <c r="B197" s="7">
        <v>4009</v>
      </c>
      <c r="C197" s="21" t="s">
        <v>193</v>
      </c>
      <c r="D197" s="21" t="s">
        <v>853</v>
      </c>
      <c r="E197" s="13">
        <v>42766.801886574074</v>
      </c>
      <c r="F197" s="13">
        <v>42766.806435185186</v>
      </c>
      <c r="G197" s="7">
        <v>1</v>
      </c>
      <c r="H197" s="21" t="s">
        <v>487</v>
      </c>
      <c r="I197" s="13">
        <v>42766.815891203703</v>
      </c>
      <c r="J197" s="7">
        <v>0</v>
      </c>
      <c r="K197" s="98" t="str">
        <f t="shared" si="121"/>
        <v>4009/4010</v>
      </c>
      <c r="L197" s="21" t="str">
        <f>VLOOKUP(A197,'Trips&amp;Operators'!$C$1:$G$99999,5,FALSE)</f>
        <v>LEVIN SCOTT</v>
      </c>
      <c r="M197" s="6">
        <f t="shared" si="122"/>
        <v>9.4560185170848854E-3</v>
      </c>
      <c r="N197" s="7">
        <f t="shared" si="115"/>
        <v>13.616666664602235</v>
      </c>
      <c r="O197" s="7"/>
      <c r="P197" s="7"/>
      <c r="Q197" s="22"/>
      <c r="R197" s="22"/>
      <c r="S197" s="31">
        <f t="shared" si="123"/>
        <v>1</v>
      </c>
      <c r="T197" s="46" t="str">
        <f t="shared" si="116"/>
        <v>NorthBound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97"/>
        <v>https://d0f6bd738d7f1b3e5a7ca70fe4ff75f0.us-east-1.aws.found.io/app/kibana#/discover/Steve-Slow-Train-Analysis-(2080s-and-2083s)?_g=(refreshInterval:(display:Off,pause:!f,section:0,value:0),time:(from:'2017-01-31T18:14:43-0700',mode:absolute,to:'2017-01-31T20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94" t="str">
        <f t="shared" si="117"/>
        <v>N</v>
      </c>
      <c r="X197" s="194">
        <f t="shared" si="125"/>
        <v>1</v>
      </c>
      <c r="Y197" s="62">
        <f t="shared" si="114"/>
        <v>9.5100000000000004E-2</v>
      </c>
      <c r="Z197" s="62">
        <f t="shared" si="124"/>
        <v>5.8959999999999999</v>
      </c>
      <c r="AA197" s="62">
        <f t="shared" si="118"/>
        <v>5.8008999999999995</v>
      </c>
      <c r="AB197" s="59" t="e">
        <f>VLOOKUP(A197,Enforcements!$C$7:$K$16,8,0)</f>
        <v>#N/A</v>
      </c>
      <c r="AC197" s="55" t="e">
        <f>VLOOKUP(A197,Enforcements!$C$7:$E$16,3,0)</f>
        <v>#N/A</v>
      </c>
      <c r="AD197" s="56" t="str">
        <f t="shared" si="119"/>
        <v>0841-31</v>
      </c>
      <c r="AE197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197" s="82" t="str">
        <f t="shared" si="99"/>
        <v>"C:\Program Files (x86)\AstroGrep\AstroGrep.exe" /spath="%USERPROFILE%\AppData\Local\Temp\OnboardLogs" /stypes="app*4009*20170201*" /stext=" 02:.+((SYSTEM_STATE.+slice.+state.+changed )|(ment ac)|(multiple cpu faults)|(system.+state.+changed )|(\[timeout)|(PRM\|1\|D)|(kpr)|(kdp)|(\|lc)|(penalty))" /e /r /s</v>
      </c>
      <c r="AG197" s="1" t="str">
        <f t="shared" si="120"/>
        <v>NW</v>
      </c>
      <c r="AH197" s="86" t="str">
        <f t="shared" si="106"/>
        <v>"%USERPROFILE%\Documents\GitHub\eaglep3\Utilities\RefineRTDCRunTimes.py" --tripid 841-31 --locoid 4009 --swversion DE.1.0.8.0 --startMP 204:951 --initTime 2017-01-31T19:14:43 --startdatetime 2017-01-31T19:21:16 --delay 1 --endMP 300:58960 --enddatetime 2017-01-31T19:34:53 --enforcementcount 0 &gt;&gt;C:\Users\stu\Documents\GitHub\eaglep3-reporting\EC\2017-01-31-refined-times.txt</v>
      </c>
      <c r="AI197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{"issue":{"subject":"","project_id":79,"tracker_id":40,"status_id":1,"priority_id":2,"assigned_to_id":23,"start_date":"2017-01-31","description":"","custom_fields":[{"id":1,"name":"Subdivision","value":"NW"},{"id":4,"name":"Milepost","value":"5.896"},{"id":17,"name":"Train ID","value":"841-31"},{"id":16,"name":"Locomotive ID","value":"4009"},{"id":130,"name":"Impact","value":""},{"id":150,"name":"Time of Event (Mountain Time)","value":"19:34:53"},{"id":151,"name":"Denver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61" t="str">
        <f t="shared" si="108"/>
        <v>start /low /b %USERPROFILE%\Documents\GitHub\eaglep3\Utilities\DownloadLogsFromS3.py --loco 4009 --day 2017-01-31</v>
      </c>
      <c r="AN197" s="170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"%USERPROFILE%\AppData\Local\Temp\OnboardLogs"\RTDC4009\*4009*20170201* | grep -SE "(Enforcement Action)|(\[TIMEOUT)|(CHR.+\|PRM\|1\|D.+(SWITCH|SIGNAL).+UNKNOWN)" - &gt;&gt; 2017-01-31-UncaughtWiMAX.txt</v>
      </c>
    </row>
    <row r="198" spans="1:91" x14ac:dyDescent="0.25">
      <c r="A198" s="33" t="s">
        <v>685</v>
      </c>
      <c r="B198" s="7">
        <v>4010</v>
      </c>
      <c r="C198" s="21" t="s">
        <v>193</v>
      </c>
      <c r="D198" s="21" t="s">
        <v>807</v>
      </c>
      <c r="E198" s="13">
        <v>42766.858935185184</v>
      </c>
      <c r="F198" s="13">
        <v>42766.859942129631</v>
      </c>
      <c r="G198" s="7">
        <v>0</v>
      </c>
      <c r="H198" s="21" t="s">
        <v>854</v>
      </c>
      <c r="I198" s="13">
        <v>42766.872037037036</v>
      </c>
      <c r="J198" s="7">
        <v>0</v>
      </c>
      <c r="K198" s="98" t="str">
        <f t="shared" si="121"/>
        <v>4009/4010</v>
      </c>
      <c r="L198" s="21" t="str">
        <f>VLOOKUP(A198,'Trips&amp;Operators'!$C$1:$G$99999,5,FALSE)</f>
        <v>LEVIN SCOTT</v>
      </c>
      <c r="M198" s="6">
        <f t="shared" si="122"/>
        <v>1.2094907404389232E-2</v>
      </c>
      <c r="N198" s="7">
        <f t="shared" si="115"/>
        <v>17.416666662320495</v>
      </c>
      <c r="O198" s="7"/>
      <c r="P198" s="7"/>
      <c r="Q198" s="22"/>
      <c r="R198" s="22"/>
      <c r="S198" s="31">
        <f t="shared" si="123"/>
        <v>1</v>
      </c>
      <c r="T198" s="46" t="str">
        <f t="shared" si="116"/>
        <v>Southbound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97"/>
        <v>https://d0f6bd738d7f1b3e5a7ca70fe4ff75f0.us-east-1.aws.found.io/app/kibana#/discover/Steve-Slow-Train-Analysis-(2080s-and-2083s)?_g=(refreshInterval:(display:Off,pause:!f,section:0,value:0),time:(from:'2017-01-31T19:36:52-0700',mode:absolute,to:'2017-01-31T21:55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194" t="str">
        <f t="shared" si="117"/>
        <v>N</v>
      </c>
      <c r="X198" s="194">
        <f t="shared" si="125"/>
        <v>1</v>
      </c>
      <c r="Y198" s="62">
        <f t="shared" si="114"/>
        <v>5.8635999999999999</v>
      </c>
      <c r="Z198" s="62">
        <f t="shared" si="124"/>
        <v>6.5600000000000006E-2</v>
      </c>
      <c r="AA198" s="62">
        <f t="shared" si="118"/>
        <v>5.798</v>
      </c>
      <c r="AB198" s="59" t="e">
        <f>VLOOKUP(A198,Enforcements!$C$7:$K$16,8,0)</f>
        <v>#N/A</v>
      </c>
      <c r="AC198" s="55" t="e">
        <f>VLOOKUP(A198,Enforcements!$C$7:$E$16,3,0)</f>
        <v>#N/A</v>
      </c>
      <c r="AD198" s="56" t="str">
        <f t="shared" si="119"/>
        <v>0842-31</v>
      </c>
      <c r="AE198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198" s="82" t="str">
        <f t="shared" si="99"/>
        <v>"C:\Program Files (x86)\AstroGrep\AstroGrep.exe" /spath="%USERPROFILE%\AppData\Local\Temp\OnboardLogs" /stypes="app*4010*20170201*" /stext=" 03:.+((SYSTEM_STATE.+slice.+state.+changed )|(ment ac)|(multiple cpu faults)|(system.+state.+changed )|(\[timeout)|(PRM\|1\|D)|(kpr)|(kdp)|(\|lc)|(penalty))" /e /r /s</v>
      </c>
      <c r="AG198" s="1" t="str">
        <f t="shared" si="120"/>
        <v>NW</v>
      </c>
      <c r="AH198" s="86" t="str">
        <f t="shared" si="106"/>
        <v>"%USERPROFILE%\Documents\GitHub\eaglep3\Utilities\RefineRTDCRunTimes.py" --tripid 842-31 --locoid 4010 --swversion DE.1.0.8.0 --startMP 300:58636 --initTime 2017-01-31T20:36:52 --startdatetime 2017-01-31T20:38:19 --delay 0 --endMP 204:656 --enddatetime 2017-01-31T20:55:44 --enforcementcount 0 &gt;&gt;C:\Users\stu\Documents\GitHub\eaglep3-reporting\EC\2017-01-31-refined-times.txt</v>
      </c>
      <c r="AI198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{"issue":{"subject":"","project_id":79,"tracker_id":40,"status_id":1,"priority_id":2,"assigned_to_id":23,"start_date":"2017-01-31","description":"","custom_fields":[{"id":1,"name":"Subdivision","value":"NW"},{"id":4,"name":"Milepost","value":"0.0656"},{"id":17,"name":"Train ID","value":"842-31"},{"id":16,"name":"Locomotive ID","value":"4010"},{"id":130,"name":"Impact","value":""},{"id":150,"name":"Time of Event (Mountain Time)","value":"20:55:44"},{"id":151,"name":"Denver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61" t="str">
        <f t="shared" si="108"/>
        <v>start /low /b %USERPROFILE%\Documents\GitHub\eaglep3\Utilities\DownloadLogsFromS3.py --loco 4010 --day 2017-01-31</v>
      </c>
      <c r="AN198" s="170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"%USERPROFILE%\AppData\Local\Temp\OnboardLogs"\RTDC4010\*4010*20170201* | grep -SE "(Enforcement Action)|(\[TIMEOUT)|(CHR.+\|PRM\|1\|D.+(SWITCH|SIGNAL).+UNKNOWN)" - &gt;&gt; 2017-01-31-UncaughtWiMAX.txt</v>
      </c>
    </row>
    <row r="199" spans="1:91" x14ac:dyDescent="0.25">
      <c r="A199" s="33" t="s">
        <v>684</v>
      </c>
      <c r="B199" s="7">
        <v>4009</v>
      </c>
      <c r="C199" s="21" t="s">
        <v>193</v>
      </c>
      <c r="D199" s="21" t="s">
        <v>844</v>
      </c>
      <c r="E199" s="13">
        <v>42766.844907407409</v>
      </c>
      <c r="F199" s="13">
        <v>42766.848078703704</v>
      </c>
      <c r="G199" s="7">
        <v>1</v>
      </c>
      <c r="H199" s="21" t="s">
        <v>818</v>
      </c>
      <c r="I199" s="13">
        <v>42766.857847222222</v>
      </c>
      <c r="J199" s="7">
        <v>0</v>
      </c>
      <c r="K199" s="98" t="str">
        <f t="shared" si="121"/>
        <v>4009/4010</v>
      </c>
      <c r="L199" s="21" t="str">
        <f>VLOOKUP(A199,'Trips&amp;Operators'!$C$1:$G$99999,5,FALSE)</f>
        <v>LEVIN SCOTT</v>
      </c>
      <c r="M199" s="6">
        <f t="shared" si="122"/>
        <v>9.7685185173759237E-3</v>
      </c>
      <c r="N199" s="7">
        <f t="shared" si="115"/>
        <v>14.06666666502133</v>
      </c>
      <c r="O199" s="7"/>
      <c r="P199" s="7"/>
      <c r="Q199" s="22"/>
      <c r="R199" s="22"/>
      <c r="S199" s="31">
        <f t="shared" si="123"/>
        <v>1</v>
      </c>
      <c r="T199" s="46" t="str">
        <f t="shared" si="116"/>
        <v>NorthBound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97"/>
        <v>https://d0f6bd738d7f1b3e5a7ca70fe4ff75f0.us-east-1.aws.found.io/app/kibana#/discover/Steve-Slow-Train-Analysis-(2080s-and-2083s)?_g=(refreshInterval:(display:Off,pause:!f,section:0,value:0),time:(from:'2017-01-31T19:16:40-0700',mode:absolute,to:'2017-01-31T21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94" t="str">
        <f t="shared" si="117"/>
        <v>N</v>
      </c>
      <c r="X199" s="194">
        <f t="shared" si="125"/>
        <v>1</v>
      </c>
      <c r="Y199" s="62">
        <f t="shared" ref="Y199:Y219" si="126">RIGHT(D199,LEN(D199)-4)/10000</f>
        <v>9.5299999999999996E-2</v>
      </c>
      <c r="Z199" s="62">
        <f t="shared" si="124"/>
        <v>5.8945999999999996</v>
      </c>
      <c r="AA199" s="62">
        <f t="shared" si="118"/>
        <v>5.7992999999999997</v>
      </c>
      <c r="AB199" s="59" t="e">
        <f>VLOOKUP(A199,Enforcements!$C$7:$K$16,8,0)</f>
        <v>#N/A</v>
      </c>
      <c r="AC199" s="55" t="e">
        <f>VLOOKUP(A199,Enforcements!$C$7:$E$16,3,0)</f>
        <v>#N/A</v>
      </c>
      <c r="AD199" s="56" t="str">
        <f t="shared" si="119"/>
        <v>0843-31</v>
      </c>
      <c r="AE199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199" s="82" t="str">
        <f t="shared" si="99"/>
        <v>"C:\Program Files (x86)\AstroGrep\AstroGrep.exe" /spath="%USERPROFILE%\AppData\Local\Temp\OnboardLogs" /stypes="app*4009*20170201*" /stext=" 03:.+((SYSTEM_STATE.+slice.+state.+changed )|(ment ac)|(multiple cpu faults)|(system.+state.+changed )|(\[timeout)|(PRM\|1\|D)|(kpr)|(kdp)|(\|lc)|(penalty))" /e /r /s</v>
      </c>
      <c r="AG199" s="1" t="str">
        <f t="shared" si="120"/>
        <v>NW</v>
      </c>
      <c r="AH199" s="86" t="str">
        <f t="shared" si="106"/>
        <v>"%USERPROFILE%\Documents\GitHub\eaglep3\Utilities\RefineRTDCRunTimes.py" --tripid 843-31 --locoid 4009 --swversion DE.1.0.8.0 --startMP 204:953 --initTime 2017-01-31T20:16:40 --startdatetime 2017-01-31T20:21:14 --delay 1 --endMP 300:58946 --enddatetime 2017-01-31T20:35:18 --enforcementcount 0 &gt;&gt;C:\Users\stu\Documents\GitHub\eaglep3-reporting\EC\2017-01-31-refined-times.txt</v>
      </c>
      <c r="AI199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{"issue":{"subject":"","project_id":79,"tracker_id":40,"status_id":1,"priority_id":2,"assigned_to_id":23,"start_date":"2017-01-31","description":"","custom_fields":[{"id":1,"name":"Subdivision","value":"NW"},{"id":4,"name":"Milepost","value":"5.8946"},{"id":17,"name":"Train ID","value":"843-31"},{"id":16,"name":"Locomotive ID","value":"4009"},{"id":130,"name":"Impact","value":""},{"id":150,"name":"Time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61" t="str">
        <f t="shared" si="108"/>
        <v>start /low /b %USERPROFILE%\Documents\GitHub\eaglep3\Utilities\DownloadLogsFromS3.py --loco 4009 --day 2017-01-31</v>
      </c>
      <c r="AN199" s="170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"%USERPROFILE%\AppData\Local\Temp\OnboardLogs"\RTDC4009\*4009*20170201* | grep -SE "(Enforcement Action)|(\[TIMEOUT)|(CHR.+\|PRM\|1\|D.+(SWITCH|SIGNAL).+UNKNOWN)" - &gt;&gt; 2017-01-31-UncaughtWiMAX.txt</v>
      </c>
    </row>
    <row r="200" spans="1:91" s="20" customFormat="1" x14ac:dyDescent="0.25">
      <c r="A200" s="33" t="s">
        <v>519</v>
      </c>
      <c r="B200" s="7">
        <v>4010</v>
      </c>
      <c r="C200" s="21" t="s">
        <v>193</v>
      </c>
      <c r="D200" s="21" t="s">
        <v>855</v>
      </c>
      <c r="E200" s="13">
        <v>42766.903634259259</v>
      </c>
      <c r="F200" s="13">
        <v>42766.907557870371</v>
      </c>
      <c r="G200" s="7">
        <v>4</v>
      </c>
      <c r="H200" s="21" t="s">
        <v>856</v>
      </c>
      <c r="I200" s="13">
        <v>42766.916805555556</v>
      </c>
      <c r="J200" s="7">
        <v>0</v>
      </c>
      <c r="K200" s="98" t="str">
        <f t="shared" si="121"/>
        <v>4009/4010</v>
      </c>
      <c r="L200" s="21" t="str">
        <f>VLOOKUP(A200,'Trips&amp;Operators'!$C$1:$G$99999,5,FALSE)</f>
        <v>HILLS DUSTIN</v>
      </c>
      <c r="M200" s="6">
        <f t="shared" si="122"/>
        <v>9.2476851859828457E-3</v>
      </c>
      <c r="N200" s="7">
        <f t="shared" si="115"/>
        <v>13.316666667815298</v>
      </c>
      <c r="O200" s="7"/>
      <c r="P200" s="7"/>
      <c r="Q200" s="22"/>
      <c r="R200" s="22" t="s">
        <v>887</v>
      </c>
      <c r="S200" s="31">
        <f t="shared" si="123"/>
        <v>1</v>
      </c>
      <c r="T200" s="46" t="str">
        <f t="shared" si="116"/>
        <v>Southbound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97"/>
        <v>https://d0f6bd738d7f1b3e5a7ca70fe4ff75f0.us-east-1.aws.found.io/app/kibana#/discover/Steve-Slow-Train-Analysis-(2080s-and-2083s)?_g=(refreshInterval:(display:Off,pause:!f,section:0,value:0),time:(from:'2017-01-31T20:41:14-0700',mode:absolute,to:'2017-01-31T23:00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94" t="str">
        <f t="shared" si="117"/>
        <v>N</v>
      </c>
      <c r="X200" s="194">
        <f t="shared" ref="X200:X203" si="127">VALUE(LEFT(AD200,4))-VALUE(LEFT(AD199,4))</f>
        <v>1</v>
      </c>
      <c r="Y200" s="62">
        <f t="shared" si="126"/>
        <v>5.7351999999999999</v>
      </c>
      <c r="Z200" s="62">
        <f t="shared" si="124"/>
        <v>7.1999999999999995E-2</v>
      </c>
      <c r="AA200" s="62">
        <f t="shared" si="118"/>
        <v>5.6631999999999998</v>
      </c>
      <c r="AB200" s="59" t="e">
        <f>VLOOKUP(A200,Enforcements!$C$7:$K$16,8,0)</f>
        <v>#N/A</v>
      </c>
      <c r="AC200" s="55" t="e">
        <f>VLOOKUP(A200,Enforcements!$C$7:$E$16,3,0)</f>
        <v>#N/A</v>
      </c>
      <c r="AD200" s="56" t="str">
        <f t="shared" si="119"/>
        <v>0844-31</v>
      </c>
      <c r="AE200" s="85" t="str">
        <f t="shared" si="98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200" s="82" t="str">
        <f t="shared" si="99"/>
        <v>"C:\Program Files (x86)\AstroGrep\AstroGrep.exe" /spath="%USERPROFILE%\AppData\Local\Temp\OnboardLogs" /stypes="app*4010*20170201*" /stext=" 05:.+((SYSTEM_STATE.+slice.+state.+changed )|(ment ac)|(multiple cpu faults)|(system.+state.+changed )|(\[timeout)|(PRM\|1\|D)|(kpr)|(kdp)|(\|lc)|(penalty))" /e /r /s</v>
      </c>
      <c r="AG200" s="1" t="str">
        <f t="shared" si="120"/>
        <v>NW</v>
      </c>
      <c r="AH200" s="86" t="str">
        <f t="shared" si="106"/>
        <v>"%USERPROFILE%\Documents\GitHub\eaglep3\Utilities\RefineRTDCRunTimes.py" --tripid 844-31 --locoid 4010 --swversion DE.1.0.8.0 --startMP 300:57352 --initTime 2017-01-31T21:41:14 --startdatetime 2017-01-31T21:46:53 --delay 4 --endMP 204:720 --enddatetime 2017-01-31T22:00:12 --enforcementcount 0 &gt;&gt;C:\Users\stu\Documents\GitHub\eaglep3-reporting\EC\2017-01-31-refined-times.txt</v>
      </c>
      <c r="AI200" s="108" t="str">
        <f t="shared" si="107"/>
        <v>echo {"issue":{"subject":"Delayed by map selection issues - reverser handle being centered","project_id":79,"tracker_id":40,"status_id":1,"priority_id":2,"assigned_to_id":23,"start_date":"2017-01-31","description":"","custom_fields":[{"id":1,"name":"Subdivision","value":"NW"},{"id":4,"name":"Milepost","value":"0.072"},{"id":17,"name":"Train ID","value":"844-31"},{"id":16,"name":"Locomotive ID","value":"4010"},{"id":130,"name":"Impact","value":""},{"id":150,"name":"Time of Event (Mountain Time)","value":"22:00:12"},{"id":151,"name":"Denver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61" t="str">
        <f t="shared" si="108"/>
        <v>start /low /b %USERPROFILE%\Documents\GitHub\eaglep3\Utilities\DownloadLogsFromS3.py --loco 4010 --day 2017-01-31</v>
      </c>
      <c r="AN200" s="170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"%USERPROFILE%\AppData\Local\Temp\OnboardLogs"\RTDC4010\*4010*20170201* | grep -SE "(Enforcement Action)|(\[TIMEOUT)|(CHR.+\|PRM\|1\|D.+(SWITCH|SIGNAL).+UNKNOWN)" - &gt;&gt; 2017-01-31-UncaughtWiMAX.txt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3" t="s">
        <v>518</v>
      </c>
      <c r="B201" s="7">
        <v>4009</v>
      </c>
      <c r="C201" s="21" t="s">
        <v>193</v>
      </c>
      <c r="D201" s="21" t="s">
        <v>849</v>
      </c>
      <c r="E201" s="13">
        <v>42766.884039351855</v>
      </c>
      <c r="F201" s="13">
        <v>42766.889861111114</v>
      </c>
      <c r="G201" s="7">
        <v>1</v>
      </c>
      <c r="H201" s="21" t="s">
        <v>857</v>
      </c>
      <c r="I201" s="13">
        <v>42766.900023148148</v>
      </c>
      <c r="J201" s="7">
        <v>0</v>
      </c>
      <c r="K201" s="98" t="str">
        <f t="shared" si="121"/>
        <v>4009/4010</v>
      </c>
      <c r="L201" s="21" t="str">
        <f>VLOOKUP(A201,'Trips&amp;Operators'!$C$1:$G$99999,5,FALSE)</f>
        <v>HILLS DUSTIN</v>
      </c>
      <c r="M201" s="6">
        <f t="shared" si="122"/>
        <v>1.0162037033296656E-2</v>
      </c>
      <c r="N201" s="7">
        <f t="shared" si="115"/>
        <v>14.633333327947184</v>
      </c>
      <c r="O201" s="7"/>
      <c r="P201" s="7"/>
      <c r="Q201" s="22"/>
      <c r="R201" s="22"/>
      <c r="S201" s="31">
        <f t="shared" si="123"/>
        <v>1</v>
      </c>
      <c r="T201" s="46" t="str">
        <f t="shared" si="116"/>
        <v>NorthBound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97"/>
        <v>https://d0f6bd738d7f1b3e5a7ca70fe4ff75f0.us-east-1.aws.found.io/app/kibana#/discover/Steve-Slow-Train-Analysis-(2080s-and-2083s)?_g=(refreshInterval:(display:Off,pause:!f,section:0,value:0),time:(from:'2017-01-31T20:13:01-0700',mode:absolute,to:'2017-01-31T22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94" t="str">
        <f t="shared" si="117"/>
        <v>N</v>
      </c>
      <c r="X201" s="194">
        <f t="shared" si="127"/>
        <v>1</v>
      </c>
      <c r="Y201" s="62">
        <f t="shared" si="126"/>
        <v>9.4799999999999995E-2</v>
      </c>
      <c r="Z201" s="62">
        <f t="shared" si="124"/>
        <v>5.9006999999999996</v>
      </c>
      <c r="AA201" s="62">
        <f t="shared" si="118"/>
        <v>5.8058999999999994</v>
      </c>
      <c r="AB201" s="59" t="e">
        <f>VLOOKUP(A201,Enforcements!$C$7:$K$16,8,0)</f>
        <v>#N/A</v>
      </c>
      <c r="AC201" s="55" t="e">
        <f>VLOOKUP(A201,Enforcements!$C$7:$E$16,3,0)</f>
        <v>#N/A</v>
      </c>
      <c r="AD201" s="56" t="str">
        <f t="shared" si="119"/>
        <v>0845-31</v>
      </c>
      <c r="AE201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201" s="82" t="str">
        <f t="shared" si="99"/>
        <v>"C:\Program Files (x86)\AstroGrep\AstroGrep.exe" /spath="%USERPROFILE%\AppData\Local\Temp\OnboardLogs" /stypes="app*4009*20170201*" /stext=" 04:.+((SYSTEM_STATE.+slice.+state.+changed )|(ment ac)|(multiple cpu faults)|(system.+state.+changed )|(\[timeout)|(PRM\|1\|D)|(kpr)|(kdp)|(\|lc)|(penalty))" /e /r /s</v>
      </c>
      <c r="AG201" s="1" t="str">
        <f t="shared" si="120"/>
        <v>NW</v>
      </c>
      <c r="AH201" s="86" t="str">
        <f t="shared" si="106"/>
        <v>"%USERPROFILE%\Documents\GitHub\eaglep3\Utilities\RefineRTDCRunTimes.py" --tripid 845-31 --locoid 4009 --swversion DE.1.0.8.0 --startMP 204:948 --initTime 2017-01-31T21:13:01 --startdatetime 2017-01-31T21:21:24 --delay 1 --endMP 300:59007 --enddatetime 2017-01-31T21:36:02 --enforcementcount 0 &gt;&gt;C:\Users\stu\Documents\GitHub\eaglep3-reporting\EC\2017-01-31-refined-times.txt</v>
      </c>
      <c r="AI201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{"issue":{"subject":"","project_id":79,"tracker_id":40,"status_id":1,"priority_id":2,"assigned_to_id":23,"start_date":"2017-01-31","description":"","custom_fields":[{"id":1,"name":"Subdivision","value":"NW"},{"id":4,"name":"Milepost","value":"5.9007"},{"id":17,"name":"Train ID","value":"845-31"},{"id":16,"name":"Locomotive ID","value":"4009"},{"id":130,"name":"Impact","value":""},{"id":150,"name":"Time of Event (Mountain Time)","value":"21:36:02"},{"id":151,"name":"Denver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61" t="str">
        <f t="shared" si="108"/>
        <v>start /low /b %USERPROFILE%\Documents\GitHub\eaglep3\Utilities\DownloadLogsFromS3.py --loco 4009 --day 2017-01-31</v>
      </c>
      <c r="AN201" s="170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"%USERPROFILE%\AppData\Local\Temp\OnboardLogs"\RTDC4009\*4009*20170201* | grep -SE "(Enforcement Action)|(\[TIMEOUT)|(CHR.+\|PRM\|1\|D.+(SWITCH|SIGNAL).+UNKNOWN)" - &gt;&gt; 2017-01-31-UncaughtWiMAX.txt</v>
      </c>
    </row>
    <row r="202" spans="1:91" x14ac:dyDescent="0.25">
      <c r="A202" s="33" t="s">
        <v>691</v>
      </c>
      <c r="B202" s="7">
        <v>4009</v>
      </c>
      <c r="C202" s="21" t="s">
        <v>193</v>
      </c>
      <c r="D202" s="21" t="s">
        <v>826</v>
      </c>
      <c r="E202" s="13">
        <v>42766.917986111112</v>
      </c>
      <c r="F202" s="13">
        <v>42766.93236111111</v>
      </c>
      <c r="G202" s="7">
        <v>1</v>
      </c>
      <c r="H202" s="21" t="s">
        <v>847</v>
      </c>
      <c r="I202" s="13">
        <v>42766.942013888889</v>
      </c>
      <c r="J202" s="7">
        <v>0</v>
      </c>
      <c r="K202" s="98" t="str">
        <f t="shared" si="121"/>
        <v>4009/4010</v>
      </c>
      <c r="L202" s="21" t="str">
        <f>VLOOKUP(A202,'Trips&amp;Operators'!$C$1:$G$99999,5,FALSE)</f>
        <v>HILLS DUSTIN</v>
      </c>
      <c r="M202" s="6">
        <f t="shared" si="122"/>
        <v>9.6527777786832303E-3</v>
      </c>
      <c r="N202" s="7">
        <f t="shared" si="115"/>
        <v>13.900000001303852</v>
      </c>
      <c r="O202" s="7"/>
      <c r="P202" s="7"/>
      <c r="Q202" s="22"/>
      <c r="R202" s="22"/>
      <c r="S202" s="31">
        <f t="shared" si="123"/>
        <v>1</v>
      </c>
      <c r="T202" s="46" t="str">
        <f t="shared" si="116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97"/>
        <v>https://d0f6bd738d7f1b3e5a7ca70fe4ff75f0.us-east-1.aws.found.io/app/kibana#/discover/Steve-Slow-Train-Analysis-(2080s-and-2083s)?_g=(refreshInterval:(display:Off,pause:!f,section:0,value:0),time:(from:'2017-01-31T21:01:54-0700',mode:absolute,to:'2017-01-31T23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2" s="194" t="str">
        <f t="shared" si="117"/>
        <v>N</v>
      </c>
      <c r="X202" s="194">
        <f t="shared" si="127"/>
        <v>2</v>
      </c>
      <c r="Y202" s="62">
        <f t="shared" si="126"/>
        <v>9.9500000000000005E-2</v>
      </c>
      <c r="Z202" s="62">
        <f t="shared" si="124"/>
        <v>5.8997000000000002</v>
      </c>
      <c r="AA202" s="62">
        <f t="shared" si="118"/>
        <v>5.8002000000000002</v>
      </c>
      <c r="AB202" s="59" t="e">
        <f>VLOOKUP(A202,Enforcements!$C$7:$K$16,8,0)</f>
        <v>#N/A</v>
      </c>
      <c r="AC202" s="55" t="e">
        <f>VLOOKUP(A202,Enforcements!$C$7:$E$16,3,0)</f>
        <v>#N/A</v>
      </c>
      <c r="AD202" s="56" t="str">
        <f t="shared" si="119"/>
        <v>0847-31</v>
      </c>
      <c r="AE202" s="85" t="str">
        <f t="shared" si="98"/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AF202" s="82" t="str">
        <f t="shared" si="99"/>
        <v>"C:\Program Files (x86)\AstroGrep\AstroGrep.exe" /spath="%USERPROFILE%\AppData\Local\Temp\OnboardLogs" /stypes="app*4009*20170201*" /stext=" 05:.+((SYSTEM_STATE.+slice.+state.+changed )|(ment ac)|(multiple cpu faults)|(system.+state.+changed )|(\[timeout)|(PRM\|1\|D)|(kpr)|(kdp)|(\|lc)|(penalty))" /e /r /s</v>
      </c>
      <c r="AG202" s="1" t="str">
        <f t="shared" si="120"/>
        <v>NW</v>
      </c>
      <c r="AH202" s="86" t="str">
        <f t="shared" si="106"/>
        <v>"%USERPROFILE%\Documents\GitHub\eaglep3\Utilities\RefineRTDCRunTimes.py" --tripid 847-31 --locoid 4009 --swversion DE.1.0.8.0 --startMP 204:995 --initTime 2017-01-31T22:01:54 --startdatetime 2017-01-31T22:22:36 --delay 1 --endMP 300:58997 --enddatetime 2017-01-31T22:36:30 --enforcementcount 0 &gt;&gt;C:\Users\stu\Documents\GitHub\eaglep3-reporting\EC\2017-01-31-refined-times.txt</v>
      </c>
      <c r="AI202" s="108" t="str">
        <f t="shared" si="107"/>
        <v>echo {"issue":{"subject":"","project_id":79,"tracker_id":40,"status_id":1,"priority_id":2,"assigned_to_id":23,"start_date":"2017-01-31","description":"","custom_fields":[{"id":1,"name":"Subdivision","value":"NW"},{"id":4,"name":"Milepost","value":"5.8997"},{"id":17,"name":"Train ID","value":"847-31"},{"id":16,"name":"Locomotive ID","value":"4009"},{"id":130,"name":"Impact","value":""},{"id":150,"name":"Time of Event (Mountain Time)","value":"22:36:30"},{"id":151,"name":"Denver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61" t="str">
        <f t="shared" si="108"/>
        <v>start /low /b %USERPROFILE%\Documents\GitHub\eaglep3\Utilities\DownloadLogsFromS3.py --loco 4009 --day 2017-01-31</v>
      </c>
      <c r="AN202" s="170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"%USERPROFILE%\AppData\Local\Temp\OnboardLogs"\RTDC4009\*4009*20170201* | grep -SE "(Enforcement Action)|(\[TIMEOUT)|(CHR.+\|PRM\|1\|D.+(SWITCH|SIGNAL).+UNKNOWN)" - &gt;&gt; 2017-01-31-UncaughtWiMAX.txt</v>
      </c>
    </row>
    <row r="203" spans="1:91" x14ac:dyDescent="0.25">
      <c r="A203" s="33" t="s">
        <v>667</v>
      </c>
      <c r="B203" s="7">
        <v>4042</v>
      </c>
      <c r="C203" s="21" t="s">
        <v>193</v>
      </c>
      <c r="D203" s="21" t="s">
        <v>778</v>
      </c>
      <c r="E203" s="13">
        <v>42766.780312499999</v>
      </c>
      <c r="F203" s="13">
        <v>25568.708333333332</v>
      </c>
      <c r="G203" s="7">
        <v>1</v>
      </c>
      <c r="H203" s="21" t="s">
        <v>779</v>
      </c>
      <c r="I203" s="13">
        <v>25568.708333333332</v>
      </c>
      <c r="J203" s="7">
        <v>0</v>
      </c>
      <c r="K203" s="98" t="str">
        <f t="shared" si="121"/>
        <v>4041/4042</v>
      </c>
      <c r="L203" s="21" t="str">
        <f>VLOOKUP(A203,'Trips&amp;Operators'!$C$1:$G$99999,5,FALSE)</f>
        <v>CLARK KATHLEEN</v>
      </c>
      <c r="M203" s="6">
        <f t="shared" si="122"/>
        <v>0</v>
      </c>
      <c r="N203" s="7">
        <f t="shared" si="115"/>
        <v>0</v>
      </c>
      <c r="O203" s="7"/>
      <c r="P203" s="7"/>
      <c r="Q203" s="22"/>
      <c r="R203" s="22"/>
      <c r="S203" s="31">
        <f t="shared" si="123"/>
        <v>1</v>
      </c>
      <c r="T203" s="46" t="str">
        <f t="shared" si="116"/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97"/>
        <v>https://d0f6bd738d7f1b3e5a7ca70fe4ff75f0.us-east-1.aws.found.io/app/kibana#/discover/Steve-Slow-Train-Analysis-(2080s-and-2083s)?_g=(refreshInterval:(display:Off,pause:!f,section:0,value:0),time:(from:'2017-01-31T17:43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194" t="str">
        <f t="shared" si="117"/>
        <v>Y</v>
      </c>
      <c r="X203" s="194">
        <f t="shared" si="127"/>
        <v>-544</v>
      </c>
      <c r="Y203" s="62">
        <f t="shared" si="126"/>
        <v>0.1236</v>
      </c>
      <c r="Z203" s="62">
        <f t="shared" si="124"/>
        <v>2.3346</v>
      </c>
      <c r="AA203" s="62">
        <f t="shared" si="118"/>
        <v>2.2109999999999999</v>
      </c>
      <c r="AB203" s="59" t="e">
        <f>VLOOKUP(A203,Enforcements!$C$7:$K$16,8,0)</f>
        <v>#N/A</v>
      </c>
      <c r="AC203" s="55" t="e">
        <f>VLOOKUP(A203,Enforcements!$C$7:$E$16,3,0)</f>
        <v>#N/A</v>
      </c>
      <c r="AD203" s="56" t="str">
        <f t="shared" si="119"/>
        <v>0303-31</v>
      </c>
      <c r="AE203" s="85" t="str">
        <f t="shared" si="9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3" s="82" t="str">
        <f t="shared" si="99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3" s="1" t="str">
        <f t="shared" si="120"/>
        <v>Other</v>
      </c>
      <c r="AH203" s="86" t="str">
        <f t="shared" si="106"/>
        <v>"%USERPROFILE%\Documents\GitHub\eaglep3\Utilities\RefineRTDCRunTimes.py" --tripid 303-31 --locoid 4042 --swversion DE.1.0.8.0 --startMP 204:1236 --initTime 2017-01-31T18:43:39 --startdatetime 1969-12-31T17:00:00 --delay 1 --endMP 300:23346 --enddatetime 1969-12-31T17:00:00 --enforcementcount 0 &gt;&gt;C:\Users\stu\Documents\GitHub\eaglep3-reporting\EC\2017-01-31-refined-times.txt</v>
      </c>
      <c r="AI203" s="108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ID","value":"303-31"},{"id":16,"name":"Locomotive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61" t="str">
        <f t="shared" si="108"/>
        <v>start /low /b %USERPROFILE%\Documents\GitHub\eaglep3\Utilities\DownloadLogsFromS3.py --loco 4042 --day 1969-12-31</v>
      </c>
      <c r="AN203" s="170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"%USERPROFILE%\AppData\Local\Temp\OnboardLogs"\RTDC4042\*4042*19700101* | grep -SE "(Enforcement Action)|(\[TIMEOUT)|(CHR.+\|PRM\|1\|D.+(SWITCH|SIGNAL).+UNKNOWN)" - &gt;&gt; 2017-01-31-UncaughtWiMAX.txt</v>
      </c>
    </row>
    <row r="204" spans="1:91" s="20" customFormat="1" x14ac:dyDescent="0.25">
      <c r="A204" s="33" t="s">
        <v>516</v>
      </c>
      <c r="B204" s="7">
        <v>4038</v>
      </c>
      <c r="C204" s="21" t="s">
        <v>193</v>
      </c>
      <c r="D204" s="21" t="s">
        <v>780</v>
      </c>
      <c r="E204" s="13">
        <v>42766.811053240737</v>
      </c>
      <c r="F204" s="13">
        <v>42766.818449074075</v>
      </c>
      <c r="G204" s="7">
        <v>3</v>
      </c>
      <c r="H204" s="21" t="s">
        <v>781</v>
      </c>
      <c r="I204" s="13">
        <v>42766.819085648145</v>
      </c>
      <c r="J204" s="7">
        <v>0</v>
      </c>
      <c r="K204" s="98" t="str">
        <f t="shared" si="121"/>
        <v>4037/4038</v>
      </c>
      <c r="L204" s="21" t="str">
        <f>VLOOKUP(A204,'Trips&amp;Operators'!$C$1:$G$99999,5,FALSE)</f>
        <v>CRAYTON QUNTRELL</v>
      </c>
      <c r="M204" s="6">
        <f t="shared" si="122"/>
        <v>6.3657407008577138E-4</v>
      </c>
      <c r="N204" s="7">
        <f t="shared" si="115"/>
        <v>0.91666666092351079</v>
      </c>
      <c r="O204" s="7"/>
      <c r="P204" s="7"/>
      <c r="Q204" s="22"/>
      <c r="R204" s="22"/>
      <c r="S204" s="31">
        <f t="shared" si="123"/>
        <v>0</v>
      </c>
      <c r="T204" s="46" t="str">
        <f t="shared" si="116"/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3" t="str">
        <f t="shared" si="97"/>
        <v>https://d0f6bd738d7f1b3e5a7ca70fe4ff75f0.us-east-1.aws.found.io/app/kibana#/discover/Steve-Slow-Train-Analysis-(2080s-and-2083s)?_g=(refreshInterval:(display:Off,pause:!f,section:0,value:0),time:(from:'2017-01-31T18:27:55-0700',mode:absolute,to:'2017-01-31T20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4" s="194" t="str">
        <f t="shared" si="117"/>
        <v>Y</v>
      </c>
      <c r="X204" s="194">
        <f t="shared" ref="X204:X219" si="128">VALUE(LEFT(AD204,4))-VALUE(LEFT(AD203,4))</f>
        <v>2</v>
      </c>
      <c r="Y204" s="62">
        <f t="shared" si="126"/>
        <v>0.14899999999999999</v>
      </c>
      <c r="Z204" s="62">
        <f t="shared" si="124"/>
        <v>0.1875</v>
      </c>
      <c r="AA204" s="62">
        <f t="shared" si="118"/>
        <v>3.8500000000000006E-2</v>
      </c>
      <c r="AB204" s="59" t="e">
        <f>VLOOKUP(A204,Enforcements!$C$7:$K$16,8,0)</f>
        <v>#N/A</v>
      </c>
      <c r="AC204" s="55" t="e">
        <f>VLOOKUP(A204,Enforcements!$C$7:$E$16,3,0)</f>
        <v>#N/A</v>
      </c>
      <c r="AD204" s="56" t="str">
        <f t="shared" si="119"/>
        <v>0305-31</v>
      </c>
      <c r="AE204" s="85" t="str">
        <f t="shared" si="98"/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204" s="82" t="str">
        <f t="shared" si="99"/>
        <v>"C:\Program Files (x86)\AstroGrep\AstroGrep.exe" /spath="%USERPROFILE%\AppData\Local\Temp\OnboardLogs" /stypes="app*4038*20170201*" /stext=" 02:.+((SYSTEM_STATE.+slice.+state.+changed )|(ment ac)|(multiple cpu faults)|(system.+state.+changed )|(\[timeout)|(PRM\|1\|D)|(kpr)|(kdp)|(\|lc)|(penalty))" /e /r /s</v>
      </c>
      <c r="AG204" s="1" t="str">
        <f t="shared" si="120"/>
        <v>Other</v>
      </c>
      <c r="AH204" s="86" t="str">
        <f t="shared" si="106"/>
        <v>"%USERPROFILE%\Documents\GitHub\eaglep3\Utilities\RefineRTDCRunTimes.py" --tripid 305-31 --locoid 4038 --swversion DE.1.0.8.0 --startMP 204:1490 --initTime 2017-01-31T19:27:55 --startdatetime 2017-01-31T19:38:34 --delay 3 --endMP 204:1875 --enddatetime 2017-01-31T19:39:29 --enforcementcount 0 &gt;&gt;C:\Users\stu\Documents\GitHub\eaglep3-reporting\EC\2017-01-31-refined-times.txt</v>
      </c>
      <c r="AI204" s="108" t="str">
        <f t="shared" si="107"/>
        <v>echo {"issue":{"subject":"","project_id":79,"tracker_id":40,"status_id":1,"priority_id":2,"assigned_to_id":23,"start_date":"2017-01-31","description":"","custom_fields":[{"id":1,"name":"Subdivision","value":"Other"},{"id":4,"name":"Milepost","value":"0.1875"},{"id":17,"name":"Train ID","value":"305-31"},{"id":16,"name":"Locomotive ID","value":"4038"},{"id":130,"name":"Impact","value":""},{"id":150,"name":"Time of Event (Mountain Time)","value":"19:39:29"},{"id":151,"name":"Denver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61" t="str">
        <f t="shared" si="108"/>
        <v>start /low /b %USERPROFILE%\Documents\GitHub\eaglep3\Utilities\DownloadLogsFromS3.py --loco 4038 --day 2017-01-31</v>
      </c>
      <c r="AN204" s="170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2017-01-31-UncaughtWiMAX.txt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3" t="s">
        <v>516</v>
      </c>
      <c r="B205" s="7">
        <v>4038</v>
      </c>
      <c r="C205" s="21" t="s">
        <v>193</v>
      </c>
      <c r="D205" s="21" t="s">
        <v>782</v>
      </c>
      <c r="E205" s="13">
        <v>42766.817499999997</v>
      </c>
      <c r="F205" s="13">
        <v>42766.818449074075</v>
      </c>
      <c r="G205" s="7">
        <v>1</v>
      </c>
      <c r="H205" s="21" t="s">
        <v>783</v>
      </c>
      <c r="I205" s="13">
        <v>42766.819085648145</v>
      </c>
      <c r="J205" s="7">
        <v>0</v>
      </c>
      <c r="K205" s="98" t="str">
        <f t="shared" si="121"/>
        <v>4037/4038</v>
      </c>
      <c r="L205" s="21" t="str">
        <f>VLOOKUP(A205,'Trips&amp;Operators'!$C$1:$G$99999,5,FALSE)</f>
        <v>CRAYTON QUNTRELL</v>
      </c>
      <c r="M205" s="6">
        <f t="shared" si="122"/>
        <v>6.3657407008577138E-4</v>
      </c>
      <c r="N205" s="7">
        <f t="shared" si="115"/>
        <v>0.91666666092351079</v>
      </c>
      <c r="O205" s="7"/>
      <c r="P205" s="7"/>
      <c r="Q205" s="22"/>
      <c r="R205" s="22"/>
      <c r="S205" s="31">
        <f t="shared" si="123"/>
        <v>0</v>
      </c>
      <c r="T205" s="46" t="str">
        <f t="shared" si="116"/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3" t="str">
        <f t="shared" ref="V205:V219" si="12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-31T18:37:12-0700',mode:absolute,to:'2017-01-31T20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5" s="194" t="str">
        <f t="shared" si="117"/>
        <v>Y</v>
      </c>
      <c r="X205" s="194">
        <f t="shared" si="128"/>
        <v>0</v>
      </c>
      <c r="Y205" s="62">
        <f t="shared" si="126"/>
        <v>0.30370000000000003</v>
      </c>
      <c r="Z205" s="62">
        <f t="shared" si="124"/>
        <v>0.4879</v>
      </c>
      <c r="AA205" s="62">
        <f t="shared" si="118"/>
        <v>0.18419999999999997</v>
      </c>
      <c r="AB205" s="59" t="e">
        <f>VLOOKUP(A205,Enforcements!$C$7:$K$16,8,0)</f>
        <v>#N/A</v>
      </c>
      <c r="AC205" s="55" t="e">
        <f>VLOOKUP(A205,Enforcements!$C$7:$E$16,3,0)</f>
        <v>#N/A</v>
      </c>
      <c r="AD205" s="56" t="str">
        <f t="shared" si="119"/>
        <v>0305-31</v>
      </c>
      <c r="AE205" s="85" t="str">
        <f t="shared" ref="AE205:AE219" si="13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AF205" s="82" t="str">
        <f t="shared" ref="AF205:AF219" si="13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/stypes="app*4038*20170201*" /stext=" 02:.+((SYSTEM_STATE.+slice.+state.+changed )|(ment ac)|(multiple cpu faults)|(system.+state.+changed )|(\[timeout)|(PRM\|1\|D)|(kpr)|(kdp)|(\|lc)|(penalty))" /e /r /s</v>
      </c>
      <c r="AG205" s="1" t="str">
        <f t="shared" si="120"/>
        <v>Other</v>
      </c>
      <c r="AH205" s="86" t="str">
        <f t="shared" si="106"/>
        <v>"%USERPROFILE%\Documents\GitHub\eaglep3\Utilities\RefineRTDCRunTimes.py" --tripid 305-31 --locoid 4038 --swversion DE.1.0.8.0 --startMP 204:3037 --initTime 2017-01-31T19:37:12 --startdatetime 2017-01-31T19:38:34 --delay 1 --endMP 204:4879 --enddatetime 2017-01-31T19:39:29 --enforcementcount 0 &gt;&gt;C:\Users\stu\Documents\GitHub\eaglep3-reporting\EC\2017-01-31-refined-times.txt</v>
      </c>
      <c r="AI205" s="108" t="str">
        <f t="shared" si="107"/>
        <v>echo {"issue":{"subject":"","project_id":79,"tracker_id":40,"status_id":1,"priority_id":2,"assigned_to_id":23,"start_date":"2017-01-31","description":"","custom_fields":[{"id":1,"name":"Subdivision","value":"Other"},{"id":4,"name":"Milepost","value":"0.4879"},{"id":17,"name":"Train ID","value":"305-31"},{"id":16,"name":"Locomotive ID","value":"4038"},{"id":130,"name":"Impact","value":""},{"id":150,"name":"Time of Event (Mountain Time)","value":"19:39:29"},{"id":151,"name":"Denver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61" t="str">
        <f t="shared" si="108"/>
        <v>start /low /b %USERPROFILE%\Documents\GitHub\eaglep3\Utilities\DownloadLogsFromS3.py --loco 4038 --day 2017-01-31</v>
      </c>
      <c r="AN205" s="170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"%USERPROFILE%\AppData\Local\Temp\OnboardLogs"\RTDC4038\*4038*20170201* | grep -SE "(Enforcement Action)|(\[TIMEOUT)|(CHR.+\|PRM\|1\|D.+(SWITCH|SIGNAL).+UNKNOWN)" - &gt;&gt; 2017-01-31-UncaughtWiMAX.txt</v>
      </c>
    </row>
    <row r="206" spans="1:91" x14ac:dyDescent="0.25">
      <c r="A206" s="33" t="s">
        <v>679</v>
      </c>
      <c r="B206" s="7">
        <v>4025</v>
      </c>
      <c r="C206" s="21" t="s">
        <v>193</v>
      </c>
      <c r="D206" s="21" t="s">
        <v>211</v>
      </c>
      <c r="E206" s="13">
        <v>42766.817453703705</v>
      </c>
      <c r="F206" s="13">
        <v>25568.708333333332</v>
      </c>
      <c r="G206" s="7">
        <v>1</v>
      </c>
      <c r="H206" s="21" t="s">
        <v>779</v>
      </c>
      <c r="I206" s="13">
        <v>25568.708333333332</v>
      </c>
      <c r="J206" s="7">
        <v>0</v>
      </c>
      <c r="K206" s="98" t="str">
        <f t="shared" si="121"/>
        <v>4025/4026</v>
      </c>
      <c r="L206" s="21" t="str">
        <f>VLOOKUP(A206,'Trips&amp;Operators'!$C$1:$G$99999,5,FALSE)</f>
        <v>BRANNON JEFFREY</v>
      </c>
      <c r="M206" s="6">
        <f t="shared" si="122"/>
        <v>0</v>
      </c>
      <c r="N206" s="7">
        <f t="shared" ref="N206:N219" si="132">24*60*SUM($M206:$M206)</f>
        <v>0</v>
      </c>
      <c r="O206" s="7"/>
      <c r="P206" s="7"/>
      <c r="Q206" s="22"/>
      <c r="R206" s="22"/>
      <c r="S206" s="31">
        <f t="shared" si="123"/>
        <v>1</v>
      </c>
      <c r="T206" s="46" t="str">
        <f t="shared" si="116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129"/>
        <v>https://d0f6bd738d7f1b3e5a7ca70fe4ff75f0.us-east-1.aws.found.io/app/kibana#/discover/Steve-Slow-Train-Analysis-(2080s-and-2083s)?_g=(refreshInterval:(display:Off,pause:!f,section:0,value:0),time:(from:'2017-01-31T18:37:08-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6" s="194" t="str">
        <f t="shared" si="117"/>
        <v>Y</v>
      </c>
      <c r="X206" s="194">
        <f t="shared" si="128"/>
        <v>2</v>
      </c>
      <c r="Y206" s="62">
        <f t="shared" si="126"/>
        <v>4.6199999999999998E-2</v>
      </c>
      <c r="Z206" s="62">
        <f t="shared" si="124"/>
        <v>2.3346</v>
      </c>
      <c r="AA206" s="62">
        <f t="shared" si="118"/>
        <v>2.2884000000000002</v>
      </c>
      <c r="AB206" s="59" t="e">
        <f>VLOOKUP(A206,Enforcements!$C$7:$K$16,8,0)</f>
        <v>#N/A</v>
      </c>
      <c r="AC206" s="55" t="e">
        <f>VLOOKUP(A206,Enforcements!$C$7:$E$16,3,0)</f>
        <v>#N/A</v>
      </c>
      <c r="AD206" s="56" t="str">
        <f t="shared" si="119"/>
        <v>0307-31</v>
      </c>
      <c r="AE206" s="85" t="str">
        <f t="shared" si="130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6" s="82" t="str">
        <f t="shared" si="131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6" s="1" t="str">
        <f t="shared" si="120"/>
        <v>Other</v>
      </c>
      <c r="AH206" s="86" t="str">
        <f t="shared" si="106"/>
        <v>"%USERPROFILE%\Documents\GitHub\eaglep3\Utilities\RefineRTDCRunTimes.py" --tripid 307-31 --locoid 4025 --swversion DE.1.0.8.0 --startMP 204:462 --initTime 2017-01-31T19:37:08 --startdatetime 1969-12-31T17:00:00 --delay 1 --endMP 300:23346 --enddatetime 1969-12-31T17:00:00 --enforcementcount 0 &gt;&gt;C:\Users\stu\Documents\GitHub\eaglep3-reporting\EC\2017-01-31-refined-times.txt</v>
      </c>
      <c r="AI206" s="108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ID","value":"307-31"},{"id":16,"name":"Locomotive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61" t="str">
        <f t="shared" si="108"/>
        <v>start /low /b %USERPROFILE%\Documents\GitHub\eaglep3\Utilities\DownloadLogsFromS3.py --loco 4025 --day 1969-12-31</v>
      </c>
      <c r="AN206" s="170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2017-01-31-UncaughtWiMAX.txt</v>
      </c>
    </row>
    <row r="207" spans="1:91" x14ac:dyDescent="0.25">
      <c r="A207" s="33" t="s">
        <v>701</v>
      </c>
      <c r="B207" s="7">
        <v>4020</v>
      </c>
      <c r="C207" s="21" t="s">
        <v>193</v>
      </c>
      <c r="D207" s="21" t="s">
        <v>230</v>
      </c>
      <c r="E207" s="13">
        <v>42767.027800925927</v>
      </c>
      <c r="F207" s="13">
        <v>42767.030069444445</v>
      </c>
      <c r="G207" s="7">
        <v>2</v>
      </c>
      <c r="H207" s="21" t="s">
        <v>784</v>
      </c>
      <c r="I207" s="13">
        <v>42767.037268518521</v>
      </c>
      <c r="J207" s="7">
        <v>0</v>
      </c>
      <c r="K207" s="98" t="str">
        <f t="shared" si="121"/>
        <v>4019/4020</v>
      </c>
      <c r="L207" s="21" t="str">
        <f>VLOOKUP(A207,'Trips&amp;Operators'!$C$1:$G$99999,5,FALSE)</f>
        <v>CHANDLER KELVIN</v>
      </c>
      <c r="M207" s="6">
        <f t="shared" si="122"/>
        <v>7.1990740761975758E-3</v>
      </c>
      <c r="N207" s="7">
        <f t="shared" si="132"/>
        <v>10.366666669724509</v>
      </c>
      <c r="O207" s="7"/>
      <c r="P207" s="7"/>
      <c r="Q207" s="22"/>
      <c r="R207" s="22"/>
      <c r="S207" s="31">
        <f t="shared" si="123"/>
        <v>1</v>
      </c>
      <c r="T207" s="46" t="str">
        <f t="shared" si="116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129"/>
        <v>https://d0f6bd738d7f1b3e5a7ca70fe4ff75f0.us-east-1.aws.found.io/app/kibana#/discover/Steve-Slow-Train-Analysis-(2080s-and-2083s)?_g=(refreshInterval:(display:Off,pause:!f,section:0,value:0),time:(from:'2017-01-31T23:40:02-0700',mode:absolute,to:'2017-02-01T01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194" t="str">
        <f t="shared" si="117"/>
        <v>Y</v>
      </c>
      <c r="X207" s="194">
        <f t="shared" si="128"/>
        <v>2</v>
      </c>
      <c r="Y207" s="62">
        <f t="shared" si="126"/>
        <v>4.58E-2</v>
      </c>
      <c r="Z207" s="62">
        <f t="shared" si="124"/>
        <v>2.3294999999999999</v>
      </c>
      <c r="AA207" s="62">
        <f t="shared" si="118"/>
        <v>2.2837000000000001</v>
      </c>
      <c r="AB207" s="59" t="e">
        <f>VLOOKUP(A207,Enforcements!$C$7:$K$16,8,0)</f>
        <v>#N/A</v>
      </c>
      <c r="AC207" s="55" t="e">
        <f>VLOOKUP(A207,Enforcements!$C$7:$E$16,3,0)</f>
        <v>#N/A</v>
      </c>
      <c r="AD207" s="56" t="str">
        <f t="shared" si="119"/>
        <v>0309-31</v>
      </c>
      <c r="AE207" s="85" t="str">
        <f t="shared" si="130"/>
        <v>aws s3 cp s3://rtdc.mdm.uploadarchive.raw/RTDC4020/ "%USERPROFILE%\AppData\Local\Temp\OnboardLogs"\RTDC4020\2017-02-01 --exclude "*" --recursive --include "*20170201*" &amp; "%USERPROFILE%\Documents\GitHub\mrs-test-scripts\Headless Mode &amp; Sideloading\WalkAndUnGZ.bat" "%USERPROFILE%\AppData\Local\Temp\OnboardLogs"\RTDC4020\2017-02-01 &amp; 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</v>
      </c>
      <c r="AF207" s="82" t="str">
        <f t="shared" si="131"/>
        <v>"C:\Program Files (x86)\AstroGrep\AstroGrep.exe" /spath="%USERPROFILE%\AppData\Local\Temp\OnboardLogs" /stypes="app*4020*20170201*" /stext=" 07:.+((SYSTEM_STATE.+slice.+state.+changed )|(ment ac)|(multiple cpu faults)|(system.+state.+changed )|(\[timeout)|(PRM\|1\|D)|(kpr)|(kdp)|(\|lc)|(penalty))" /e /r /s</v>
      </c>
      <c r="AG207" s="1" t="str">
        <f t="shared" si="120"/>
        <v>Other</v>
      </c>
      <c r="AH207" s="86" t="str">
        <f t="shared" si="106"/>
        <v>"%USERPROFILE%\Documents\GitHub\eaglep3\Utilities\RefineRTDCRunTimes.py" --tripid 309-31 --locoid 4020 --swversion DE.1.0.8.0 --startMP 204:458 --initTime 2017-02-01T00:40:02 --startdatetime 2017-02-01T00:43:18 --delay 2 --endMP 300:23295 --enddatetime 2017-02-01T00:53:40 --enforcementcount 0 &gt;&gt;C:\Users\stu\Documents\GitHub\eaglep3-reporting\EC\2017-01-31-refined-times.txt</v>
      </c>
      <c r="AI207" s="108" t="str">
        <f t="shared" si="107"/>
        <v>echo {"issue":{"subject":"","project_id":79,"tracker_id":40,"status_id":1,"priority_id":2,"assigned_to_id":23,"start_date":"2017-02-01","description":"","custom_fields":[{"id":1,"name":"Subdivision","value":"Other"},{"id":4,"name":"Milepost","value":"2.3295"},{"id":17,"name":"Train ID","value":"309-31"},{"id":16,"name":"Locomotive ID","value":"4020"},{"id":130,"name":"Impact","value":""},{"id":150,"name":"Time of Event (Mountain Time)","value":"00:53:40"},{"id":151,"name":"Denver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61" t="str">
        <f t="shared" si="108"/>
        <v>start /low /b %USERPROFILE%\Documents\GitHub\eaglep3\Utilities\DownloadLogsFromS3.py --loco 4020 --day 2017-02-01</v>
      </c>
      <c r="AN207" s="170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"%USERPROFILE%\AppData\Local\Temp\OnboardLogs"\RTDC4020\*4020*20170201* | grep -SE "(Enforcement Action)|(\[TIMEOUT)|(CHR.+\|PRM\|1\|D.+(SWITCH|SIGNAL).+UNKNOWN)" - &gt;&gt; 2017-01-31-UncaughtWiMAX.txt</v>
      </c>
    </row>
    <row r="208" spans="1:91" s="20" customFormat="1" x14ac:dyDescent="0.25">
      <c r="A208" s="33" t="s">
        <v>703</v>
      </c>
      <c r="B208" s="7">
        <v>4002</v>
      </c>
      <c r="C208" s="21" t="s">
        <v>193</v>
      </c>
      <c r="D208" s="21" t="s">
        <v>230</v>
      </c>
      <c r="E208" s="13">
        <v>42767.04760416667</v>
      </c>
      <c r="F208" s="13">
        <v>25568.708333333332</v>
      </c>
      <c r="G208" s="7">
        <v>2</v>
      </c>
      <c r="H208" s="21" t="s">
        <v>785</v>
      </c>
      <c r="I208" s="13">
        <v>25568.708333333332</v>
      </c>
      <c r="J208" s="7">
        <v>0</v>
      </c>
      <c r="K208" s="98" t="str">
        <f t="shared" si="121"/>
        <v>4001/4002</v>
      </c>
      <c r="L208" s="21" t="str">
        <f>VLOOKUP(A208,'Trips&amp;Operators'!$C$1:$G$99999,5,FALSE)</f>
        <v>NEWELL JAMES</v>
      </c>
      <c r="M208" s="6">
        <f t="shared" si="122"/>
        <v>0</v>
      </c>
      <c r="N208" s="7">
        <f t="shared" si="132"/>
        <v>0</v>
      </c>
      <c r="O208" s="7"/>
      <c r="P208" s="7"/>
      <c r="Q208" s="22"/>
      <c r="R208" s="22"/>
      <c r="S208" s="31">
        <f t="shared" si="123"/>
        <v>1</v>
      </c>
      <c r="T208" s="46" t="str">
        <f t="shared" si="116"/>
        <v>NorthBound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129"/>
        <v>https://d0f6bd738d7f1b3e5a7ca70fe4ff75f0.us-east-1.aws.found.io/app/kibana#/discover/Steve-Slow-Train-Analysis-(2080s-and-2083s)?_g=(refreshInterval:(display:Off,pause:!f,section:0,value:0),time:(from:'2017-02-01T00:08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194" t="str">
        <f t="shared" si="117"/>
        <v>Y</v>
      </c>
      <c r="X208" s="194">
        <f t="shared" si="128"/>
        <v>2</v>
      </c>
      <c r="Y208" s="62">
        <f t="shared" si="126"/>
        <v>4.58E-2</v>
      </c>
      <c r="Z208" s="62">
        <f t="shared" si="124"/>
        <v>2.331</v>
      </c>
      <c r="AA208" s="62">
        <f t="shared" si="118"/>
        <v>2.2852000000000001</v>
      </c>
      <c r="AB208" s="59" t="e">
        <f>VLOOKUP(A208,Enforcements!$C$7:$K$16,8,0)</f>
        <v>#N/A</v>
      </c>
      <c r="AC208" s="55" t="e">
        <f>VLOOKUP(A208,Enforcements!$C$7:$E$16,3,0)</f>
        <v>#N/A</v>
      </c>
      <c r="AD208" s="56" t="str">
        <f t="shared" si="119"/>
        <v>0311-31</v>
      </c>
      <c r="AE208" s="85" t="str">
        <f t="shared" si="130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8" s="82" t="str">
        <f t="shared" si="131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8" s="1" t="str">
        <f t="shared" si="120"/>
        <v>Other</v>
      </c>
      <c r="AH208" s="86" t="str">
        <f t="shared" si="106"/>
        <v>"%USERPROFILE%\Documents\GitHub\eaglep3\Utilities\RefineRTDCRunTimes.py" --tripid 311-31 --locoid 4002 --swversion DE.1.0.8.0 --startMP 204:458 --initTime 2017-02-01T01:08:33 --startdatetime 1969-12-31T17:00:00 --delay 2 --endMP 300:23310 --enddatetime 1969-12-31T17:00:00 --enforcementcount 0 &gt;&gt;C:\Users\stu\Documents\GitHub\eaglep3-reporting\EC\2017-01-31-refined-times.txt</v>
      </c>
      <c r="AI208" s="108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ID","value":"311-31"},{"id":16,"name":"Locomotive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61" t="str">
        <f t="shared" si="108"/>
        <v>start /low /b %USERPROFILE%\Documents\GitHub\eaglep3\Utilities\DownloadLogsFromS3.py --loco 4002 --day 1969-12-31</v>
      </c>
      <c r="AN208" s="170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2017-01-31-UncaughtWiMAX.txt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3" t="s">
        <v>705</v>
      </c>
      <c r="B209" s="7">
        <v>4040</v>
      </c>
      <c r="C209" s="21" t="s">
        <v>193</v>
      </c>
      <c r="D209" s="21" t="s">
        <v>242</v>
      </c>
      <c r="E209" s="13">
        <v>42767.067037037035</v>
      </c>
      <c r="F209" s="13">
        <v>25568.708333333332</v>
      </c>
      <c r="G209" s="7">
        <v>2</v>
      </c>
      <c r="H209" s="21" t="s">
        <v>785</v>
      </c>
      <c r="I209" s="13">
        <v>25568.708333333332</v>
      </c>
      <c r="J209" s="7">
        <v>0</v>
      </c>
      <c r="K209" s="98" t="str">
        <f t="shared" si="121"/>
        <v>4039/4040</v>
      </c>
      <c r="L209" s="21" t="str">
        <f>VLOOKUP(A209,'Trips&amp;Operators'!$C$1:$G$99999,5,FALSE)</f>
        <v>STORY SAMANTHA</v>
      </c>
      <c r="M209" s="6">
        <f t="shared" si="122"/>
        <v>0</v>
      </c>
      <c r="N209" s="7">
        <f t="shared" si="132"/>
        <v>0</v>
      </c>
      <c r="O209" s="7"/>
      <c r="P209" s="7"/>
      <c r="Q209" s="22"/>
      <c r="R209" s="22"/>
      <c r="S209" s="31">
        <f t="shared" si="123"/>
        <v>1</v>
      </c>
      <c r="T209" s="46" t="str">
        <f t="shared" si="116"/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129"/>
        <v>https://d0f6bd738d7f1b3e5a7ca70fe4ff75f0.us-east-1.aws.found.io/app/kibana#/discover/Steve-Slow-Train-Analysis-(2080s-and-2083s)?_g=(refreshInterval:(display:Off,pause:!f,section:0,value:0),time:(from:'2017-02-01T00:36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9" s="194" t="str">
        <f t="shared" si="117"/>
        <v>Y</v>
      </c>
      <c r="X209" s="194">
        <f t="shared" si="128"/>
        <v>2</v>
      </c>
      <c r="Y209" s="62">
        <f t="shared" si="126"/>
        <v>4.6600000000000003E-2</v>
      </c>
      <c r="Z209" s="62">
        <f t="shared" si="124"/>
        <v>2.331</v>
      </c>
      <c r="AA209" s="62">
        <f t="shared" si="118"/>
        <v>2.2843999999999998</v>
      </c>
      <c r="AB209" s="59" t="e">
        <f>VLOOKUP(A209,Enforcements!$C$7:$K$16,8,0)</f>
        <v>#N/A</v>
      </c>
      <c r="AC209" s="55" t="e">
        <f>VLOOKUP(A209,Enforcements!$C$7:$E$16,3,0)</f>
        <v>#N/A</v>
      </c>
      <c r="AD209" s="56" t="str">
        <f t="shared" si="119"/>
        <v>0313-31</v>
      </c>
      <c r="AE209" s="85" t="str">
        <f t="shared" si="130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9" s="82" t="str">
        <f t="shared" si="131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09" s="1" t="str">
        <f t="shared" si="120"/>
        <v>Other</v>
      </c>
      <c r="AH209" s="86" t="str">
        <f t="shared" si="106"/>
        <v>"%USERPROFILE%\Documents\GitHub\eaglep3\Utilities\RefineRTDCRunTimes.py" --tripid 313-31 --locoid 4040 --swversion DE.1.0.8.0 --startMP 204:466 --initTime 2017-02-01T01:36:32 --startdatetime 1969-12-31T17:00:00 --delay 2 --endMP 300:23310 --enddatetime 1969-12-31T17:00:00 --enforcementcount 0 &gt;&gt;C:\Users\stu\Documents\GitHub\eaglep3-reporting\EC\2017-01-31-refined-times.txt</v>
      </c>
      <c r="AI209" s="108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ID","value":"313-31"},{"id":16,"name":"Locomotive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61" t="str">
        <f t="shared" si="108"/>
        <v>start /low /b %USERPROFILE%\Documents\GitHub\eaglep3\Utilities\DownloadLogsFromS3.py --loco 4040 --day 1969-12-31</v>
      </c>
      <c r="AN209" s="170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2017-01-31-UncaughtWiMAX.txt</v>
      </c>
    </row>
    <row r="210" spans="1:91" s="20" customFormat="1" x14ac:dyDescent="0.25">
      <c r="A210" s="33" t="s">
        <v>706</v>
      </c>
      <c r="B210" s="7">
        <v>4027</v>
      </c>
      <c r="C210" s="21" t="s">
        <v>193</v>
      </c>
      <c r="D210" s="21" t="s">
        <v>786</v>
      </c>
      <c r="E210" s="13">
        <v>42767.088576388887</v>
      </c>
      <c r="F210" s="13">
        <v>42767.094398148147</v>
      </c>
      <c r="G210" s="7">
        <v>6</v>
      </c>
      <c r="H210" s="21" t="s">
        <v>787</v>
      </c>
      <c r="I210" s="13">
        <v>42767.097453703704</v>
      </c>
      <c r="J210" s="7">
        <v>0</v>
      </c>
      <c r="K210" s="98" t="str">
        <f t="shared" si="121"/>
        <v>4027/4028</v>
      </c>
      <c r="L210" s="21" t="str">
        <f>VLOOKUP(A210,'Trips&amp;Operators'!$C$1:$G$99999,5,FALSE)</f>
        <v>STAMBAUGH JAMES</v>
      </c>
      <c r="M210" s="6">
        <f t="shared" si="122"/>
        <v>3.055555556784384E-3</v>
      </c>
      <c r="N210" s="7">
        <f t="shared" si="132"/>
        <v>4.4000000017695129</v>
      </c>
      <c r="O210" s="7"/>
      <c r="P210" s="7"/>
      <c r="Q210" s="22"/>
      <c r="R210" s="22"/>
      <c r="S210" s="31">
        <f t="shared" si="123"/>
        <v>0</v>
      </c>
      <c r="T210" s="46" t="str">
        <f t="shared" si="116"/>
        <v>NorthBound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3" t="str">
        <f t="shared" si="129"/>
        <v>https://d0f6bd738d7f1b3e5a7ca70fe4ff75f0.us-east-1.aws.found.io/app/kibana#/discover/Steve-Slow-Train-Analysis-(2080s-and-2083s)?_g=(refreshInterval:(display:Off,pause:!f,section:0,value:0),time:(from:'2017-02-01T01:07:33-0700',mode:absolute,to:'2017-02-01T03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94" t="str">
        <f t="shared" si="117"/>
        <v>Y</v>
      </c>
      <c r="X210" s="194">
        <f t="shared" si="128"/>
        <v>2</v>
      </c>
      <c r="Y210" s="62">
        <f t="shared" si="126"/>
        <v>5.3699999999999998E-2</v>
      </c>
      <c r="Z210" s="62">
        <f t="shared" si="124"/>
        <v>0.15390000000000001</v>
      </c>
      <c r="AA210" s="62">
        <f t="shared" si="118"/>
        <v>0.10020000000000001</v>
      </c>
      <c r="AB210" s="59" t="e">
        <f>VLOOKUP(A210,Enforcements!$C$7:$K$16,8,0)</f>
        <v>#N/A</v>
      </c>
      <c r="AC210" s="55" t="e">
        <f>VLOOKUP(A210,Enforcements!$C$7:$E$16,3,0)</f>
        <v>#N/A</v>
      </c>
      <c r="AD210" s="56" t="str">
        <f t="shared" si="119"/>
        <v>0315-31</v>
      </c>
      <c r="AE210" s="85" t="str">
        <f t="shared" si="130"/>
        <v>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 &amp; 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</v>
      </c>
      <c r="AF210" s="82" t="str">
        <f t="shared" si="131"/>
        <v>"C:\Program Files (x86)\AstroGrep\AstroGrep.exe" /spath="%USERPROFILE%\AppData\Local\Temp\OnboardLogs" /stypes="app*4027*20170201*" /stext=" 09:.+((SYSTEM_STATE.+slice.+state.+changed )|(ment ac)|(multiple cpu faults)|(system.+state.+changed )|(\[timeout)|(PRM\|1\|D)|(kpr)|(kdp)|(\|lc)|(penalty))" /e /r /s</v>
      </c>
      <c r="AG210" s="1" t="str">
        <f t="shared" si="120"/>
        <v>Other</v>
      </c>
      <c r="AH210" s="86" t="str">
        <f t="shared" si="106"/>
        <v>"%USERPROFILE%\Documents\GitHub\eaglep3\Utilities\RefineRTDCRunTimes.py" --tripid 315-31 --locoid 4027 --swversion DE.1.0.8.0 --startMP 204:537 --initTime 2017-02-01T02:07:33 --startdatetime 2017-02-01T02:15:56 --delay 6 --endMP 204:1539 --enddatetime 2017-02-01T02:20:20 --enforcementcount 0 &gt;&gt;C:\Users\stu\Documents\GitHub\eaglep3-reporting\EC\2017-01-31-refined-times.txt</v>
      </c>
      <c r="AI210" s="108" t="str">
        <f t="shared" si="107"/>
        <v>echo {"issue":{"subject":"","project_id":79,"tracker_id":40,"status_id":1,"priority_id":2,"assigned_to_id":23,"start_date":"2017-02-01","description":"","custom_fields":[{"id":1,"name":"Subdivision","value":"Other"},{"id":4,"name":"Milepost","value":"0.1539"},{"id":17,"name":"Train ID","value":"315-31"},{"id":16,"name":"Locomotive ID","value":"4027"},{"id":130,"name":"Impact","value":""},{"id":150,"name":"Time of Event (Mountain Time)","value":"02:20:20"},{"id":151,"name":"Denver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61" t="str">
        <f t="shared" si="108"/>
        <v>start /low /b %USERPROFILE%\Documents\GitHub\eaglep3\Utilities\DownloadLogsFromS3.py --loco 4027 --day 2017-02-01</v>
      </c>
      <c r="AN210" s="170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"%USERPROFILE%\AppData\Local\Temp\OnboardLogs"\RTDC4027\*4027*20170201* | grep -SE "(Enforcement Action)|(\[TIMEOUT)|(CHR.+\|PRM\|1\|D.+(SWITCH|SIGNAL).+UNKNOWN)" - &gt;&gt; 2017-01-31-UncaughtWiMAX.txt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3" t="s">
        <v>530</v>
      </c>
      <c r="B211" s="7">
        <v>4052</v>
      </c>
      <c r="C211" s="21" t="s">
        <v>193</v>
      </c>
      <c r="D211" s="21" t="s">
        <v>858</v>
      </c>
      <c r="E211" s="13">
        <v>42766.239305555559</v>
      </c>
      <c r="F211" s="13">
        <v>42766.242361111108</v>
      </c>
      <c r="G211" s="7">
        <v>3</v>
      </c>
      <c r="H211" s="21" t="s">
        <v>859</v>
      </c>
      <c r="I211" s="13">
        <v>42766.248472222222</v>
      </c>
      <c r="J211" s="7">
        <v>0</v>
      </c>
      <c r="K211" s="98" t="str">
        <f t="shared" si="121"/>
        <v>4051/4052</v>
      </c>
      <c r="L211" s="21" t="str">
        <f>VLOOKUP(A211,'Trips&amp;Operators'!$C$1:$G$99999,5,FALSE)</f>
        <v>BROWN JACOB</v>
      </c>
      <c r="M211" s="6">
        <f t="shared" si="122"/>
        <v>6.1111111135687679E-3</v>
      </c>
      <c r="N211" s="7">
        <f t="shared" si="132"/>
        <v>8.8000000035390258</v>
      </c>
      <c r="O211" s="7"/>
      <c r="P211" s="7"/>
      <c r="Q211" s="22"/>
      <c r="R211" s="22"/>
      <c r="S211" s="31">
        <f t="shared" si="123"/>
        <v>1</v>
      </c>
      <c r="T211" s="46" t="str">
        <f t="shared" si="116"/>
        <v>Southbound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129"/>
        <v>https://d0f6bd738d7f1b3e5a7ca70fe4ff75f0.us-east-1.aws.found.io/app/kibana#/discover/Steve-Slow-Train-Analysis-(2080s-and-2083s)?_g=(refreshInterval:(display:Off,pause:!f,section:0,value:0),time:(from:'2017-01-31T04:44:36-0700',mode:absolute,to:'2017-01-31T06:57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1" s="194" t="str">
        <f t="shared" si="117"/>
        <v>Y</v>
      </c>
      <c r="X211" s="194">
        <f t="shared" si="128"/>
        <v>587</v>
      </c>
      <c r="Y211" s="62">
        <f t="shared" si="126"/>
        <v>2.3317000000000001</v>
      </c>
      <c r="Z211" s="62">
        <f t="shared" si="124"/>
        <v>7.3300000000000004E-2</v>
      </c>
      <c r="AA211" s="62">
        <f t="shared" si="118"/>
        <v>2.2584</v>
      </c>
      <c r="AB211" s="59" t="e">
        <f>VLOOKUP(A211,Enforcements!$C$7:$K$16,8,0)</f>
        <v>#N/A</v>
      </c>
      <c r="AC211" s="55" t="e">
        <f>VLOOKUP(A211,Enforcements!$C$7:$E$16,3,0)</f>
        <v>#N/A</v>
      </c>
      <c r="AD211" s="56" t="str">
        <f t="shared" si="119"/>
        <v>0902-31</v>
      </c>
      <c r="AE211" s="85" t="str">
        <f t="shared" si="130"/>
        <v>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 &amp; aws s3 cp s3://rtdc.mdm.uploadarchive.raw/RTDC4052/ "%USERPROFILE%\AppData\Local\Temp\OnboardLogs"\RTDC4052\2017-02-01 --exclude "*" --recursive --include "*20170201*" &amp; "%USERPROFILE%\Documents\GitHub\mrs-test-scripts\Headless Mode &amp; Sideloading\WalkAndUnGZ.bat" "%USERPROFILE%\AppData\Local\Temp\OnboardLogs"\RTDC4052\2017-02-01</v>
      </c>
      <c r="AF211" s="82" t="str">
        <f t="shared" si="131"/>
        <v>"C:\Program Files (x86)\AstroGrep\AstroGrep.exe" /spath="%USERPROFILE%\AppData\Local\Temp\OnboardLogs" /stypes="app*4052*20170131*" /stext=" 12:.+((SYSTEM_STATE.+slice.+state.+changed )|(ment ac)|(multiple cpu faults)|(system.+state.+changed )|(\[timeout)|(PRM\|1\|D)|(kpr)|(kdp)|(\|lc)|(penalty))" /e /r /s</v>
      </c>
      <c r="AG211" s="1" t="str">
        <f t="shared" si="120"/>
        <v>Other</v>
      </c>
      <c r="AH211" s="86" t="str">
        <f t="shared" si="106"/>
        <v>"%USERPROFILE%\Documents\GitHub\eaglep3\Utilities\RefineRTDCRunTimes.py" --tripid 902-31 --locoid 4052 --swversion DE.1.0.8.0 --startMP 300:23317 --initTime 2017-01-31T05:44:36 --startdatetime 2017-01-31T05:49:00 --delay 3 --endMP 204:733 --enddatetime 2017-01-31T05:57:48 --enforcementcount 0 &gt;&gt;C:\Users\stu\Documents\GitHub\eaglep3-reporting\EC\2017-01-31-refined-times.txt</v>
      </c>
      <c r="AI211" s="108" t="str">
        <f t="shared" si="107"/>
        <v>echo {"issue":{"subject":"","project_id":79,"tracker_id":40,"status_id":1,"priority_id":2,"assigned_to_id":23,"start_date":"2017-01-31","description":"","custom_fields":[{"id":1,"name":"Subdivision","value":"Other"},{"id":4,"name":"Milepost","value":"0.0733"},{"id":17,"name":"Train ID","value":"902-31"},{"id":16,"name":"Locomotive ID","value":"4052"},{"id":130,"name":"Impact","value":""},{"id":150,"name":"Time of Event (Mountain Time)","value":"05:57:48"},{"id":151,"name":"Denver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61" t="str">
        <f t="shared" si="108"/>
        <v>start /low /b %USERPROFILE%\Documents\GitHub\eaglep3\Utilities\DownloadLogsFromS3.py --loco 4052 --day 2017-01-31</v>
      </c>
      <c r="AN211" s="170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2017-01-31-UncaughtWiMAX.txt</v>
      </c>
    </row>
    <row r="212" spans="1:91" x14ac:dyDescent="0.25">
      <c r="A212" s="33" t="s">
        <v>563</v>
      </c>
      <c r="B212" s="7">
        <v>4007</v>
      </c>
      <c r="C212" s="21" t="s">
        <v>193</v>
      </c>
      <c r="D212" s="21" t="s">
        <v>860</v>
      </c>
      <c r="E212" s="13">
        <v>42766.353148148148</v>
      </c>
      <c r="F212" s="13">
        <v>25568.708333333332</v>
      </c>
      <c r="G212" s="7">
        <v>1</v>
      </c>
      <c r="H212" s="21" t="s">
        <v>861</v>
      </c>
      <c r="I212" s="13">
        <v>25568.708333333332</v>
      </c>
      <c r="J212" s="7">
        <v>0</v>
      </c>
      <c r="K212" s="98" t="str">
        <f t="shared" si="121"/>
        <v>4007/4008</v>
      </c>
      <c r="L212" s="21" t="str">
        <f>VLOOKUP(A212,'Trips&amp;Operators'!$C$1:$G$99999,5,FALSE)</f>
        <v>STRICKLAND EVAN</v>
      </c>
      <c r="M212" s="6">
        <f t="shared" si="122"/>
        <v>0</v>
      </c>
      <c r="N212" s="7">
        <f t="shared" si="132"/>
        <v>0</v>
      </c>
      <c r="O212" s="7"/>
      <c r="P212" s="7"/>
      <c r="Q212" s="22"/>
      <c r="R212" s="22"/>
      <c r="S212" s="31">
        <f t="shared" si="123"/>
        <v>1</v>
      </c>
      <c r="T212" s="46" t="str">
        <f t="shared" si="116"/>
        <v>NorthBound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129"/>
        <v>https://d0f6bd738d7f1b3e5a7ca70fe4ff75f0.us-east-1.aws.found.io/app/kibana#/discover/Steve-Slow-Train-Analysis-(2080s-and-2083s)?_g=(refreshInterval:(display:Off,pause:!f,section:0,value:0),time:(from:'2017-01-31T07:28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2" s="194" t="str">
        <f t="shared" si="117"/>
        <v>Y</v>
      </c>
      <c r="X212" s="194">
        <f t="shared" si="128"/>
        <v>1</v>
      </c>
      <c r="Y212" s="62">
        <f t="shared" si="126"/>
        <v>0.10390000000000001</v>
      </c>
      <c r="Z212" s="62">
        <f t="shared" si="124"/>
        <v>2.4258000000000002</v>
      </c>
      <c r="AA212" s="62">
        <f t="shared" si="118"/>
        <v>2.3219000000000003</v>
      </c>
      <c r="AB212" s="59" t="e">
        <f>VLOOKUP(A212,Enforcements!$C$7:$K$16,8,0)</f>
        <v>#N/A</v>
      </c>
      <c r="AC212" s="55" t="e">
        <f>VLOOKUP(A212,Enforcements!$C$7:$E$16,3,0)</f>
        <v>#N/A</v>
      </c>
      <c r="AD212" s="56" t="str">
        <f t="shared" si="119"/>
        <v>0903-31</v>
      </c>
      <c r="AE212" s="85" t="str">
        <f t="shared" si="130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2" s="82" t="str">
        <f t="shared" si="131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2" s="1" t="str">
        <f t="shared" si="120"/>
        <v>Other</v>
      </c>
      <c r="AH212" s="86" t="str">
        <f t="shared" si="106"/>
        <v>"%USERPROFILE%\Documents\GitHub\eaglep3\Utilities\RefineRTDCRunTimes.py" --tripid 903-31 --locoid 4007 --swversion DE.1.0.8.0 --startMP 204:1039 --initTime 2017-01-31T08:28:32 --startdatetime 1969-12-31T17:00:00 --delay 1 --endMP 300:24258 --enddatetime 1969-12-31T17:00:00 --enforcementcount 0 &gt;&gt;C:\Users\stu\Documents\GitHub\eaglep3-reporting\EC\2017-01-31-refined-times.txt</v>
      </c>
      <c r="AI212" s="108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{"issue":{"subject":"","project_id":79,"tracker_id":40,"status_id":1,"priority_id":2,"assigned_to_id":23,"start_date":"1969-12-31","description":"","custom_fields":[{"id":1,"name":"Subdivision","value":"Other"},{"id":4,"name":"Milepost","value":"2.4258"},{"id":17,"name":"Train ID","value":"903-31"},{"id":16,"name":"Locomotive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61" t="str">
        <f t="shared" si="108"/>
        <v>start /low /b %USERPROFILE%\Documents\GitHub\eaglep3\Utilities\DownloadLogsFromS3.py --loco 4007 --day 1969-12-31</v>
      </c>
      <c r="AN212" s="170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2017-01-31-UncaughtWiMAX.txt</v>
      </c>
    </row>
    <row r="213" spans="1:91" s="20" customFormat="1" x14ac:dyDescent="0.25">
      <c r="A213" s="33" t="s">
        <v>632</v>
      </c>
      <c r="B213" s="7">
        <v>4008</v>
      </c>
      <c r="C213" s="21" t="s">
        <v>193</v>
      </c>
      <c r="D213" s="21" t="s">
        <v>862</v>
      </c>
      <c r="E213" s="13">
        <v>42766.640300925923</v>
      </c>
      <c r="F213" s="13">
        <v>42766.644930555558</v>
      </c>
      <c r="G213" s="7">
        <v>6</v>
      </c>
      <c r="H213" s="21" t="s">
        <v>831</v>
      </c>
      <c r="I213" s="13">
        <v>42766.651307870372</v>
      </c>
      <c r="J213" s="7">
        <v>0</v>
      </c>
      <c r="K213" s="98" t="str">
        <f t="shared" si="121"/>
        <v>4007/4008</v>
      </c>
      <c r="L213" s="21" t="str">
        <f>VLOOKUP(A213,'Trips&amp;Operators'!$C$1:$G$99999,5,FALSE)</f>
        <v>HILLS DUSTIN</v>
      </c>
      <c r="M213" s="6">
        <f t="shared" si="122"/>
        <v>6.3773148140171543E-3</v>
      </c>
      <c r="N213" s="7">
        <f t="shared" si="132"/>
        <v>9.1833333321847022</v>
      </c>
      <c r="O213" s="7"/>
      <c r="P213" s="7"/>
      <c r="Q213" s="22"/>
      <c r="R213" s="22"/>
      <c r="S213" s="31">
        <f t="shared" si="123"/>
        <v>1</v>
      </c>
      <c r="T213" s="46" t="str">
        <f t="shared" si="116"/>
        <v>Southbound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129"/>
        <v>https://d0f6bd738d7f1b3e5a7ca70fe4ff75f0.us-east-1.aws.found.io/app/kibana#/discover/Steve-Slow-Train-Analysis-(2080s-and-2083s)?_g=(refreshInterval:(display:Off,pause:!f,section:0,value:0),time:(from:'2017-01-31T14:22:02-0700',mode:absolute,to:'2017-01-31T16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3" s="194" t="str">
        <f t="shared" si="117"/>
        <v>Y</v>
      </c>
      <c r="X213" s="194">
        <f t="shared" si="128"/>
        <v>1</v>
      </c>
      <c r="Y213" s="62">
        <f t="shared" si="126"/>
        <v>2.3111999999999999</v>
      </c>
      <c r="Z213" s="62">
        <f t="shared" si="124"/>
        <v>6.4000000000000001E-2</v>
      </c>
      <c r="AA213" s="62">
        <f t="shared" si="118"/>
        <v>2.2471999999999999</v>
      </c>
      <c r="AB213" s="59" t="e">
        <f>VLOOKUP(A213,Enforcements!$C$7:$K$16,8,0)</f>
        <v>#N/A</v>
      </c>
      <c r="AC213" s="55" t="e">
        <f>VLOOKUP(A213,Enforcements!$C$7:$E$16,3,0)</f>
        <v>#N/A</v>
      </c>
      <c r="AD213" s="56" t="str">
        <f t="shared" si="119"/>
        <v>0904-31</v>
      </c>
      <c r="AE213" s="85" t="str">
        <f t="shared" si="130"/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AF213" s="82" t="str">
        <f t="shared" si="131"/>
        <v>"C:\Program Files (x86)\AstroGrep\AstroGrep.exe" /spath="%USERPROFILE%\AppData\Local\Temp\OnboardLogs" /stypes="app*4008*20170131*" /stext=" 22:.+((SYSTEM_STATE.+slice.+state.+changed )|(ment ac)|(multiple cpu faults)|(system.+state.+changed )|(\[timeout)|(PRM\|1\|D)|(kpr)|(kdp)|(\|lc)|(penalty))" /e /r /s</v>
      </c>
      <c r="AG213" s="1" t="str">
        <f t="shared" si="120"/>
        <v>Other</v>
      </c>
      <c r="AH213" s="86" t="str">
        <f t="shared" si="106"/>
        <v>"%USERPROFILE%\Documents\GitHub\eaglep3\Utilities\RefineRTDCRunTimes.py" --tripid 904-31 --locoid 4008 --swversion DE.1.0.8.0 --startMP 300:23112 --initTime 2017-01-31T15:22:02 --startdatetime 2017-01-31T15:28:42 --delay 6 --endMP 204:640 --enddatetime 2017-01-31T15:37:53 --enforcementcount 0 &gt;&gt;C:\Users\stu\Documents\GitHub\eaglep3-reporting\EC\2017-01-31-refined-times.txt</v>
      </c>
      <c r="AI213" s="108" t="str">
        <f t="shared" si="107"/>
        <v>echo {"issue":{"subject":"","project_id":79,"tracker_id":40,"status_id":1,"priority_id":2,"assigned_to_id":23,"start_date":"2017-01-31","description":"","custom_fields":[{"id":1,"name":"Subdivision","value":"Other"},{"id":4,"name":"Milepost","value":"0.064"},{"id":17,"name":"Train ID","value":"904-31"},{"id":16,"name":"Locomotive ID","value":"4008"},{"id":130,"name":"Impact","value":""},{"id":150,"name":"Time of Event (Mountain Time)","value":"15:37:53"},{"id":151,"name":"Denver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61" t="str">
        <f t="shared" si="108"/>
        <v>start /low /b %USERPROFILE%\Documents\GitHub\eaglep3\Utilities\DownloadLogsFromS3.py --loco 4008 --day 2017-01-31</v>
      </c>
      <c r="AN213" s="170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"%USERPROFILE%\AppData\Local\Temp\OnboardLogs"\RTDC4008\*4008*20170131* | grep -SE "(Enforcement Action)|(\[TIMEOUT)|(CHR.+\|PRM\|1\|D.+(SWITCH|SIGNAL).+UNKNOWN)" - &gt;&gt; 2017-01-31-UncaughtWiMAX.txt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3" t="s">
        <v>674</v>
      </c>
      <c r="B214" s="7">
        <v>4008</v>
      </c>
      <c r="C214" s="21" t="s">
        <v>193</v>
      </c>
      <c r="D214" s="21" t="s">
        <v>863</v>
      </c>
      <c r="E214" s="13">
        <v>42766.797754629632</v>
      </c>
      <c r="F214" s="13">
        <v>25568.708333333332</v>
      </c>
      <c r="G214" s="7">
        <v>1</v>
      </c>
      <c r="H214" s="21" t="s">
        <v>864</v>
      </c>
      <c r="I214" s="13">
        <v>25568.708333333332</v>
      </c>
      <c r="J214" s="7">
        <v>0</v>
      </c>
      <c r="K214" s="98" t="str">
        <f t="shared" si="121"/>
        <v>4007/4008</v>
      </c>
      <c r="L214" s="21" t="str">
        <f>VLOOKUP(A214,'Trips&amp;Operators'!$C$1:$G$99999,5,FALSE)</f>
        <v>HILLS DUSTIN</v>
      </c>
      <c r="M214" s="6">
        <f t="shared" si="122"/>
        <v>0</v>
      </c>
      <c r="N214" s="7">
        <f t="shared" si="132"/>
        <v>0</v>
      </c>
      <c r="O214" s="7"/>
      <c r="P214" s="7"/>
      <c r="Q214" s="22"/>
      <c r="R214" s="22"/>
      <c r="S214" s="31">
        <f t="shared" si="123"/>
        <v>0</v>
      </c>
      <c r="T214" s="46" t="str">
        <f t="shared" si="116"/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3" t="str">
        <f t="shared" si="129"/>
        <v>https://d0f6bd738d7f1b3e5a7ca70fe4ff75f0.us-east-1.aws.found.io/app/kibana#/discover/Steve-Slow-Train-Analysis-(2080s-and-2083s)?_g=(refreshInterval:(display:Off,pause:!f,section:0,value:0),time:(from:'2017-01-31T18:08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194" t="str">
        <f t="shared" si="117"/>
        <v>Y</v>
      </c>
      <c r="X214" s="194">
        <f t="shared" si="128"/>
        <v>2</v>
      </c>
      <c r="Y214" s="62">
        <f t="shared" si="126"/>
        <v>5.8688000000000002</v>
      </c>
      <c r="Z214" s="62">
        <f t="shared" si="124"/>
        <v>2.8791000000000002</v>
      </c>
      <c r="AA214" s="62">
        <f t="shared" si="118"/>
        <v>2.9897</v>
      </c>
      <c r="AB214" s="59" t="e">
        <f>VLOOKUP(A214,Enforcements!$C$7:$K$16,8,0)</f>
        <v>#N/A</v>
      </c>
      <c r="AC214" s="55" t="e">
        <f>VLOOKUP(A214,Enforcements!$C$7:$E$16,3,0)</f>
        <v>#N/A</v>
      </c>
      <c r="AD214" s="56" t="str">
        <f t="shared" si="119"/>
        <v>0906-31</v>
      </c>
      <c r="AE214" s="85" t="str">
        <f t="shared" si="130"/>
        <v>aws s3 cp s3://rtdc.mdm.uploadarchive.raw/RTDC4008/ "%USERPROFILE%\AppData\Local\Temp\OnboardLogs"\RTDC4008\1969-12-31 --exclude "*" --recursive --include "*19691231*" &amp; "%USERPROFILE%\Documents\GitHub\mrs-test-scripts\Headless Mode &amp; Sideloading\WalkAndUnGZ.bat" "%USERPROFILE%\AppData\Local\Temp\OnboardLogs"\RTDC4008\1969-12-31 &amp; aws s3 cp s3://rtdc.mdm.uploadarchive.raw/RTDC4008/ "%USERPROFILE%\AppData\Local\Temp\OnboardLogs"\RTDC4008\1970-01-01 --exclude "*" --recursive --include "*19700101*" &amp; "%USERPROFILE%\Documents\GitHub\mrs-test-scripts\Headless Mode &amp; Sideloading\WalkAndUnGZ.bat" "%USERPROFILE%\AppData\Local\Temp\OnboardLogs"\RTDC4008\1970-01-01</v>
      </c>
      <c r="AF214" s="82" t="str">
        <f t="shared" si="131"/>
        <v>"C:\Program Files (x86)\AstroGrep\AstroGrep.exe" /spath="%USERPROFILE%\AppData\Local\Temp\OnboardLogs" /stypes="app*4008*19700101*" /stext=" 00:.+((SYSTEM_STATE.+slice.+state.+changed )|(ment ac)|(multiple cpu faults)|(system.+state.+changed )|(\[timeout)|(PRM\|1\|D)|(kpr)|(kdp)|(\|lc)|(penalty))" /e /r /s</v>
      </c>
      <c r="AG214" s="1" t="str">
        <f t="shared" si="120"/>
        <v>Other</v>
      </c>
      <c r="AH214" s="86" t="str">
        <f t="shared" si="106"/>
        <v>"%USERPROFILE%\Documents\GitHub\eaglep3\Utilities\RefineRTDCRunTimes.py" --tripid 906-31 --locoid 4008 --swversion DE.1.0.8.0 --startMP 300:58688 --initTime 2017-01-31T19:08:46 --startdatetime 1969-12-31T17:00:00 --delay 1 --endMP 300:28791 --enddatetime 1969-12-31T17:00:00 --enforcementcount 0 &gt;&gt;C:\Users\stu\Documents\GitHub\eaglep3-reporting\EC\2017-01-31-refined-times.txt</v>
      </c>
      <c r="AI214" s="108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{"issue":{"subject":"","project_id":79,"tracker_id":40,"status_id":1,"priority_id":2,"assigned_to_id":23,"start_date":"1969-12-31","description":"","custom_fields":[{"id":1,"name":"Subdivision","value":"Other"},{"id":4,"name":"Milepost","value":"2.8791"},{"id":17,"name":"Train ID","value":"906-31"},{"id":16,"name":"Locomotive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61" t="str">
        <f t="shared" si="108"/>
        <v>start /low /b %USERPROFILE%\Documents\GitHub\eaglep3\Utilities\DownloadLogsFromS3.py --loco 4008 --day 1969-12-31</v>
      </c>
      <c r="AN214" s="170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"%USERPROFILE%\AppData\Local\Temp\OnboardLogs"\RTDC4008\*4008*19700101* | grep -SE "(Enforcement Action)|(\[TIMEOUT)|(CHR.+\|PRM\|1\|D.+(SWITCH|SIGNAL).+UNKNOWN)" - &gt;&gt; 2017-01-31-UncaughtWiMAX.txt</v>
      </c>
    </row>
    <row r="215" spans="1:91" s="20" customFormat="1" x14ac:dyDescent="0.25">
      <c r="A215" s="33" t="s">
        <v>694</v>
      </c>
      <c r="B215" s="7">
        <v>4010</v>
      </c>
      <c r="C215" s="21" t="s">
        <v>193</v>
      </c>
      <c r="D215" s="21" t="s">
        <v>865</v>
      </c>
      <c r="E215" s="13">
        <v>42766.944016203706</v>
      </c>
      <c r="F215" s="13">
        <v>42766.9453125</v>
      </c>
      <c r="G215" s="7">
        <v>1</v>
      </c>
      <c r="H215" s="21" t="s">
        <v>866</v>
      </c>
      <c r="I215" s="13">
        <v>42766.950115740743</v>
      </c>
      <c r="J215" s="7">
        <v>0</v>
      </c>
      <c r="K215" s="98" t="str">
        <f t="shared" si="121"/>
        <v>4009/4010</v>
      </c>
      <c r="L215" s="21" t="str">
        <f>VLOOKUP(A215,'Trips&amp;Operators'!$C$1:$G$99999,5,FALSE)</f>
        <v>HILLS DUSTIN</v>
      </c>
      <c r="M215" s="6">
        <f t="shared" si="122"/>
        <v>4.803240743058268E-3</v>
      </c>
      <c r="N215" s="7">
        <f t="shared" si="132"/>
        <v>6.9166666700039059</v>
      </c>
      <c r="O215" s="7"/>
      <c r="P215" s="7"/>
      <c r="Q215" s="22"/>
      <c r="R215" s="22"/>
      <c r="S215" s="31">
        <f t="shared" si="123"/>
        <v>0</v>
      </c>
      <c r="T215" s="46" t="str">
        <f t="shared" si="116"/>
        <v>Southbound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3" t="str">
        <f t="shared" si="129"/>
        <v>https://d0f6bd738d7f1b3e5a7ca70fe4ff75f0.us-east-1.aws.found.io/app/kibana#/discover/Steve-Slow-Train-Analysis-(2080s-and-2083s)?_g=(refreshInterval:(display:Off,pause:!f,section:0,value:0),time:(from:'2017-01-31T21:39:23-0700',mode:absolute,to:'2017-01-31T23:48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194" t="str">
        <f t="shared" si="117"/>
        <v>Y</v>
      </c>
      <c r="X215" s="194">
        <f t="shared" si="128"/>
        <v>2</v>
      </c>
      <c r="Y215" s="62">
        <f t="shared" si="126"/>
        <v>5.8691000000000004</v>
      </c>
      <c r="Z215" s="62">
        <f t="shared" si="124"/>
        <v>2.1741999999999999</v>
      </c>
      <c r="AA215" s="62">
        <f t="shared" ref="AA215:AA219" si="133">ABS(Z215-Y215)</f>
        <v>3.6949000000000005</v>
      </c>
      <c r="AB215" s="59" t="e">
        <f>VLOOKUP(A215,Enforcements!$C$7:$K$16,8,0)</f>
        <v>#N/A</v>
      </c>
      <c r="AC215" s="55" t="e">
        <f>VLOOKUP(A215,Enforcements!$C$7:$E$16,3,0)</f>
        <v>#N/A</v>
      </c>
      <c r="AD215" s="56" t="str">
        <f t="shared" si="119"/>
        <v>0908-31</v>
      </c>
      <c r="AE215" s="85" t="str">
        <f t="shared" si="130"/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AF215" s="82" t="str">
        <f t="shared" si="131"/>
        <v>"C:\Program Files (x86)\AstroGrep\AstroGrep.exe" /spath="%USERPROFILE%\AppData\Local\Temp\OnboardLogs" /stypes="app*4010*20170201*" /stext=" 05:.+((SYSTEM_STATE.+slice.+state.+changed )|(ment ac)|(multiple cpu faults)|(system.+state.+changed )|(\[timeout)|(PRM\|1\|D)|(kpr)|(kdp)|(\|lc)|(penalty))" /e /r /s</v>
      </c>
      <c r="AG215" s="1" t="str">
        <f t="shared" si="120"/>
        <v>Other</v>
      </c>
      <c r="AH215" s="86" t="str">
        <f t="shared" si="106"/>
        <v>"%USERPROFILE%\Documents\GitHub\eaglep3\Utilities\RefineRTDCRunTimes.py" --tripid 908-31 --locoid 4010 --swversion DE.1.0.8.0 --startMP 300:58691 --initTime 2017-01-31T22:39:23 --startdatetime 2017-01-31T22:41:15 --delay 1 --endMP 300:21742 --enddatetime 2017-01-31T22:48:10 --enforcementcount 0 &gt;&gt;C:\Users\stu\Documents\GitHub\eaglep3-reporting\EC\2017-01-31-refined-times.txt</v>
      </c>
      <c r="AI215" s="108" t="str">
        <f t="shared" si="107"/>
        <v>echo {"issue":{"subject":"","project_id":79,"tracker_id":40,"status_id":1,"priority_id":2,"assigned_to_id":23,"start_date":"2017-01-31","description":"","custom_fields":[{"id":1,"name":"Subdivision","value":"Other"},{"id":4,"name":"Milepost","value":"2.1742"},{"id":17,"name":"Train ID","value":"908-31"},{"id":16,"name":"Locomotive ID","value":"4010"},{"id":130,"name":"Impact","value":""},{"id":150,"name":"Time of Event (Mountain Time)","value":"22:48:10"},{"id":151,"name":"Denver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61" t="str">
        <f t="shared" si="108"/>
        <v>start /low /b %USERPROFILE%\Documents\GitHub\eaglep3\Utilities\DownloadLogsFromS3.py --loco 4010 --day 2017-01-31</v>
      </c>
      <c r="AN215" s="170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"%USERPROFILE%\AppData\Local\Temp\OnboardLogs"\RTDC4010\*4010*20170201* | grep -SE "(Enforcement Action)|(\[TIMEOUT)|(CHR.+\|PRM\|1\|D.+(SWITCH|SIGNAL).+UNKNOWN)" - &gt;&gt; 2017-01-31-UncaughtWiMAX.txt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3" t="s">
        <v>583</v>
      </c>
      <c r="B216" s="7">
        <v>4021</v>
      </c>
      <c r="C216" s="21" t="s">
        <v>193</v>
      </c>
      <c r="D216" s="21" t="s">
        <v>788</v>
      </c>
      <c r="E216" s="13">
        <v>42766.451412037037</v>
      </c>
      <c r="F216" s="13">
        <v>42766.457418981481</v>
      </c>
      <c r="G216" s="7">
        <v>8</v>
      </c>
      <c r="H216" s="21" t="s">
        <v>789</v>
      </c>
      <c r="I216" s="13">
        <v>42766.463622685187</v>
      </c>
      <c r="J216" s="7">
        <v>0</v>
      </c>
      <c r="K216" s="98" t="str">
        <f t="shared" si="121"/>
        <v>4021/4022</v>
      </c>
      <c r="L216" s="21" t="str">
        <f>VLOOKUP(A216,'Trips&amp;Operators'!$C$1:$G$99999,5,FALSE)</f>
        <v>LEVERE CRAIG</v>
      </c>
      <c r="M216" s="6">
        <f t="shared" si="122"/>
        <v>6.2037037059781142E-3</v>
      </c>
      <c r="N216" s="7">
        <f t="shared" si="132"/>
        <v>8.9333333366084844</v>
      </c>
      <c r="O216" s="7"/>
      <c r="P216" s="7"/>
      <c r="Q216" s="22"/>
      <c r="R216" s="22"/>
      <c r="S216" s="31">
        <f t="shared" si="123"/>
        <v>0</v>
      </c>
      <c r="T216" s="46" t="e">
        <f t="shared" si="116"/>
        <v>#VALUE!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3" t="str">
        <f t="shared" si="129"/>
        <v>https://d0f6bd738d7f1b3e5a7ca70fe4ff75f0.us-east-1.aws.found.io/app/kibana#/discover/Steve-Slow-Train-Analysis-(2080s-and-2083s)?_g=(refreshInterval:(display:Off,pause:!f,section:0,value:0),time:(from:'2017-01-31T09:50:02-0700',mode:absolute,to:'2017-01-31T12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6" s="194" t="str">
        <f t="shared" si="117"/>
        <v>Y</v>
      </c>
      <c r="X216" s="194" t="e">
        <f t="shared" si="128"/>
        <v>#VALUE!</v>
      </c>
      <c r="Y216" s="62">
        <f t="shared" si="126"/>
        <v>2.1966999999999999</v>
      </c>
      <c r="Z216" s="62">
        <f t="shared" si="124"/>
        <v>8.8499999999999995E-2</v>
      </c>
      <c r="AA216" s="62">
        <f t="shared" si="133"/>
        <v>2.1082000000000001</v>
      </c>
      <c r="AB216" s="59" t="e">
        <f>VLOOKUP(A216,Enforcements!$C$7:$K$16,8,0)</f>
        <v>#N/A</v>
      </c>
      <c r="AC216" s="55" t="e">
        <f>VLOOKUP(A216,Enforcements!$C$7:$E$16,3,0)</f>
        <v>#N/A</v>
      </c>
      <c r="AD216" s="56" t="str">
        <f t="shared" si="119"/>
        <v>50-31</v>
      </c>
      <c r="AE216" s="85" t="str">
        <f t="shared" si="130"/>
        <v>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 &amp; aws s3 cp s3://rtdc.mdm.uploadarchive.raw/RTDC4021/ "%USERPROFILE%\AppData\Local\Temp\OnboardLogs"\RTDC4021\2017-02-01 --exclude "*" --recursive --include "*20170201*" &amp; "%USERPROFILE%\Documents\GitHub\mrs-test-scripts\Headless Mode &amp; Sideloading\WalkAndUnGZ.bat" "%USERPROFILE%\AppData\Local\Temp\OnboardLogs"\RTDC4021\2017-02-01</v>
      </c>
      <c r="AF216" s="82" t="str">
        <f t="shared" si="131"/>
        <v>"C:\Program Files (x86)\AstroGrep\AstroGrep.exe" /spath="%USERPROFILE%\AppData\Local\Temp\OnboardLogs" /stypes="app*4021*20170131*" /stext=" 18:.+((SYSTEM_STATE.+slice.+state.+changed )|(ment ac)|(multiple cpu faults)|(system.+state.+changed )|(\[timeout)|(PRM\|1\|D)|(kpr)|(kdp)|(\|lc)|(penalty))" /e /r /s</v>
      </c>
      <c r="AG216" s="1" t="str">
        <f t="shared" si="120"/>
        <v>Other</v>
      </c>
      <c r="AH216" s="86" t="str">
        <f t="shared" si="106"/>
        <v>"%USERPROFILE%\Documents\GitHub\eaglep3\Utilities\RefineRTDCRunTimes.py" --tripid 50-31 --locoid 4021 --swversion DE.1.0.8.0 --startMP 300:21967 --initTime 2017-01-31T10:50:02 --startdatetime 2017-01-31T10:58:41 --delay 8 --endMP 204:885 --enddatetime 2017-01-31T11:07:37 --enforcementcount 0 &gt;&gt;C:\Users\stu\Documents\GitHub\eaglep3-reporting\EC\2017-01-31-refined-times.txt</v>
      </c>
      <c r="AI216" s="108" t="str">
        <f t="shared" si="107"/>
        <v>echo {"issue":{"subject":"","project_id":79,"tracker_id":40,"status_id":1,"priority_id":2,"assigned_to_id":23,"start_date":"2017-01-31","description":"","custom_fields":[{"id":1,"name":"Subdivision","value":"Other"},{"id":4,"name":"Milepost","value":"0.0885"},{"id":17,"name":"Train ID","value":"50-31"},{"id":16,"name":"Locomotive ID","value":"4021"},{"id":130,"name":"Impact","value":""},{"id":150,"name":"Time of Event (Mountain Time)","value":"11:07:37"},{"id":151,"name":"Denver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61" t="str">
        <f t="shared" si="108"/>
        <v>start /low /b %USERPROFILE%\Documents\GitHub\eaglep3\Utilities\DownloadLogsFromS3.py --loco 4021 --day 2017-01-31</v>
      </c>
      <c r="AN216" s="170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"%USERPROFILE%\AppData\Local\Temp\OnboardLogs"\RTDC4021\*4021*20170131* | grep -SE "(Enforcement Action)|(\[TIMEOUT)|(CHR.+\|PRM\|1\|D.+(SWITCH|SIGNAL).+UNKNOWN)" - &gt;&gt; 2017-01-31-UncaughtWiMAX.txt</v>
      </c>
    </row>
    <row r="217" spans="1:91" x14ac:dyDescent="0.25">
      <c r="A217" s="33" t="s">
        <v>648</v>
      </c>
      <c r="B217" s="7">
        <v>4021</v>
      </c>
      <c r="C217" s="21" t="s">
        <v>193</v>
      </c>
      <c r="D217" s="21" t="s">
        <v>790</v>
      </c>
      <c r="E217" s="13">
        <v>42766.712858796294</v>
      </c>
      <c r="F217" s="13">
        <v>42766.715115740742</v>
      </c>
      <c r="G217" s="7">
        <v>3</v>
      </c>
      <c r="H217" s="21" t="s">
        <v>249</v>
      </c>
      <c r="I217" s="13">
        <v>42766.721250000002</v>
      </c>
      <c r="J217" s="7">
        <v>0</v>
      </c>
      <c r="K217" s="98" t="str">
        <f t="shared" si="121"/>
        <v>4021/4022</v>
      </c>
      <c r="L217" s="21" t="str">
        <f>VLOOKUP(A217,'Trips&amp;Operators'!$C$1:$G$99999,5,FALSE)</f>
        <v>NEWELL JAMES</v>
      </c>
      <c r="M217" s="6">
        <f t="shared" si="122"/>
        <v>6.1342592598521151E-3</v>
      </c>
      <c r="N217" s="7">
        <f t="shared" si="132"/>
        <v>8.8333333341870457</v>
      </c>
      <c r="O217" s="7"/>
      <c r="P217" s="7"/>
      <c r="Q217" s="22"/>
      <c r="R217" s="22"/>
      <c r="S217" s="31">
        <f t="shared" si="123"/>
        <v>0</v>
      </c>
      <c r="T217" s="46" t="e">
        <f t="shared" si="116"/>
        <v>#VALUE!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3" t="str">
        <f t="shared" si="129"/>
        <v>https://d0f6bd738d7f1b3e5a7ca70fe4ff75f0.us-east-1.aws.found.io/app/kibana#/discover/Steve-Slow-Train-Analysis-(2080s-and-2083s)?_g=(refreshInterval:(display:Off,pause:!f,section:0,value:0),time:(from:'2017-01-31T16:06:31-0700',mode:absolute,to:'2017-01-31T18:18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7" s="194" t="str">
        <f t="shared" si="117"/>
        <v>Y</v>
      </c>
      <c r="X217" s="194" t="e">
        <f t="shared" si="128"/>
        <v>#VALUE!</v>
      </c>
      <c r="Y217" s="62">
        <f t="shared" si="126"/>
        <v>2.3565</v>
      </c>
      <c r="Z217" s="62">
        <f t="shared" si="124"/>
        <v>4.5999999999999999E-2</v>
      </c>
      <c r="AA217" s="62">
        <f t="shared" si="133"/>
        <v>2.3105000000000002</v>
      </c>
      <c r="AB217" s="59" t="e">
        <f>VLOOKUP(A217,Enforcements!$C$7:$K$16,8,0)</f>
        <v>#N/A</v>
      </c>
      <c r="AC217" s="55" t="e">
        <f>VLOOKUP(A217,Enforcements!$C$7:$E$16,3,0)</f>
        <v>#N/A</v>
      </c>
      <c r="AD217" s="56" t="str">
        <f t="shared" si="119"/>
        <v>52-31</v>
      </c>
      <c r="AE217" s="85" t="str">
        <f t="shared" si="130"/>
        <v>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 &amp; aws s3 cp s3://rtdc.mdm.uploadarchive.raw/RTDC4021/ "%USERPROFILE%\AppData\Local\Temp\OnboardLogs"\RTDC4021\2017-02-01 --exclude "*" --recursive --include "*20170201*" &amp; "%USERPROFILE%\Documents\GitHub\mrs-test-scripts\Headless Mode &amp; Sideloading\WalkAndUnGZ.bat" "%USERPROFILE%\AppData\Local\Temp\OnboardLogs"\RTDC4021\2017-02-01</v>
      </c>
      <c r="AF217" s="82" t="str">
        <f t="shared" si="131"/>
        <v>"C:\Program Files (x86)\AstroGrep\AstroGrep.exe" /spath="%USERPROFILE%\AppData\Local\Temp\OnboardLogs" /stypes="app*4021*20170201*" /stext=" 00:.+((SYSTEM_STATE.+slice.+state.+changed )|(ment ac)|(multiple cpu faults)|(system.+state.+changed )|(\[timeout)|(PRM\|1\|D)|(kpr)|(kdp)|(\|lc)|(penalty))" /e /r /s</v>
      </c>
      <c r="AG217" s="1" t="str">
        <f t="shared" si="120"/>
        <v>Other</v>
      </c>
      <c r="AH217" s="86" t="str">
        <f t="shared" ref="AH217:AH219" si="134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52-31 --locoid 4021 --swversion DE.1.0.8.0 --startMP 300:23565 --initTime 2017-01-31T17:06:31 --startdatetime 2017-01-31T17:09:46 --delay 3 --endMP 204:460 --enddatetime 2017-01-31T17:18:36 --enforcementcount 0 &gt;&gt;C:\Users\stu\Documents\GitHub\eaglep3-reporting\EC\2017-01-31-refined-times.txt</v>
      </c>
      <c r="AI217" s="108" t="str">
        <f t="shared" ref="AI217:AI219" si="135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{"issue":{"subject":"","project_id":79,"tracker_id":40,"status_id":1,"priority_id":2,"assigned_to_id":23,"start_date":"2017-01-31","description":"","custom_fields":[{"id":1,"name":"Subdivision","value":"Other"},{"id":4,"name":"Milepost","value":"0.046"},{"id":17,"name":"Train ID","value":"52-31"},{"id":16,"name":"Locomotive ID","value":"4021"},{"id":130,"name":"Impact","value":""},{"id":150,"name":"Time of Event (Mountain Time)","value":"17:18:36"},{"id":151,"name":"Denver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61" t="str">
        <f t="shared" ref="AM217:AM219" si="136">"start /low /b "&amp;dls3logs&amp;" --loco "&amp;B217&amp;" --day "&amp;TEXT(F217,"YYYY-MM-DD")</f>
        <v>start /low /b %USERPROFILE%\Documents\GitHub\eaglep3\Utilities\DownloadLogsFromS3.py --loco 4021 --day 2017-01-31</v>
      </c>
      <c r="AN217" s="170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"%USERPROFILE%\AppData\Local\Temp\OnboardLogs"\RTDC4021\*4021*20170201* | grep -SE "(Enforcement Action)|(\[TIMEOUT)|(CHR.+\|PRM\|1\|D.+(SWITCH|SIGNAL).+UNKNOWN)" - &gt;&gt; 2017-01-31-UncaughtWiMAX.txt</v>
      </c>
    </row>
    <row r="218" spans="1:91" x14ac:dyDescent="0.25">
      <c r="A218" s="33" t="s">
        <v>591</v>
      </c>
      <c r="B218" s="7">
        <v>4022</v>
      </c>
      <c r="C218" s="21" t="s">
        <v>193</v>
      </c>
      <c r="D218" s="21" t="s">
        <v>791</v>
      </c>
      <c r="E218" s="13">
        <v>42766.483773148146</v>
      </c>
      <c r="F218" s="13">
        <v>42766.48778935185</v>
      </c>
      <c r="G218" s="7">
        <v>1</v>
      </c>
      <c r="H218" s="21" t="s">
        <v>792</v>
      </c>
      <c r="I218" s="13">
        <v>42766.494351851848</v>
      </c>
      <c r="J218" s="7">
        <v>0</v>
      </c>
      <c r="K218" s="98" t="str">
        <f t="shared" si="121"/>
        <v>4021/4022</v>
      </c>
      <c r="L218" s="21" t="str">
        <f>VLOOKUP(A218,'Trips&amp;Operators'!$C$1:$G$99999,5,FALSE)</f>
        <v>BONDS REYNALDO</v>
      </c>
      <c r="M218" s="6">
        <f t="shared" si="122"/>
        <v>6.5624999988358468E-3</v>
      </c>
      <c r="N218" s="7">
        <f t="shared" si="132"/>
        <v>9.4499999983236194</v>
      </c>
      <c r="O218" s="7"/>
      <c r="P218" s="7"/>
      <c r="Q218" s="22"/>
      <c r="R218" s="22"/>
      <c r="S218" s="31">
        <f t="shared" si="123"/>
        <v>0</v>
      </c>
      <c r="T218" s="46" t="e">
        <f t="shared" si="116"/>
        <v>#VALUE!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3" t="str">
        <f t="shared" si="129"/>
        <v>https://d0f6bd738d7f1b3e5a7ca70fe4ff75f0.us-east-1.aws.found.io/app/kibana#/discover/Steve-Slow-Train-Analysis-(2080s-and-2083s)?_g=(refreshInterval:(display:Off,pause:!f,section:0,value:0),time:(from:'2017-01-31T10:36:38-0700',mode:absolute,to:'2017-01-31T12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8" s="194" t="str">
        <f t="shared" si="117"/>
        <v>Y</v>
      </c>
      <c r="X218" s="194" t="e">
        <f t="shared" si="128"/>
        <v>#VALUE!</v>
      </c>
      <c r="Y218" s="62">
        <f t="shared" si="126"/>
        <v>0.1192</v>
      </c>
      <c r="Z218" s="62">
        <f t="shared" si="124"/>
        <v>2.4266999999999999</v>
      </c>
      <c r="AA218" s="62">
        <f t="shared" si="133"/>
        <v>2.3074999999999997</v>
      </c>
      <c r="AB218" s="59" t="e">
        <f>VLOOKUP(A218,Enforcements!$C$7:$K$16,8,0)</f>
        <v>#N/A</v>
      </c>
      <c r="AC218" s="55" t="e">
        <f>VLOOKUP(A218,Enforcements!$C$7:$E$16,3,0)</f>
        <v>#N/A</v>
      </c>
      <c r="AD218" s="56" t="str">
        <f t="shared" si="119"/>
        <v>53-31</v>
      </c>
      <c r="AE218" s="85" t="str">
        <f t="shared" si="130"/>
        <v>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 &amp; aws s3 cp s3://rtdc.mdm.uploadarchive.raw/RTDC4022/ "%USERPROFILE%\AppData\Local\Temp\OnboardLogs"\RTDC4022\2017-02-01 --exclude "*" --recursive --include "*20170201*" &amp; "%USERPROFILE%\Documents\GitHub\mrs-test-scripts\Headless Mode &amp; Sideloading\WalkAndUnGZ.bat" "%USERPROFILE%\AppData\Local\Temp\OnboardLogs"\RTDC4022\2017-02-01</v>
      </c>
      <c r="AF218" s="82" t="str">
        <f t="shared" si="131"/>
        <v>"C:\Program Files (x86)\AstroGrep\AstroGrep.exe" /spath="%USERPROFILE%\AppData\Local\Temp\OnboardLogs" /stypes="app*4022*20170131*" /stext=" 18:.+((SYSTEM_STATE.+slice.+state.+changed )|(ment ac)|(multiple cpu faults)|(system.+state.+changed )|(\[timeout)|(PRM\|1\|D)|(kpr)|(kdp)|(\|lc)|(penalty))" /e /r /s</v>
      </c>
      <c r="AG218" s="1" t="str">
        <f t="shared" si="120"/>
        <v>Other</v>
      </c>
      <c r="AH218" s="86" t="str">
        <f t="shared" si="134"/>
        <v>"%USERPROFILE%\Documents\GitHub\eaglep3\Utilities\RefineRTDCRunTimes.py" --tripid 53-31 --locoid 4022 --swversion DE.1.0.8.0 --startMP 204:1192 --initTime 2017-01-31T11:36:38 --startdatetime 2017-01-31T11:42:25 --delay 1 --endMP 300:24267 --enddatetime 2017-01-31T11:51:52 --enforcementcount 0 &gt;&gt;C:\Users\stu\Documents\GitHub\eaglep3-reporting\EC\2017-01-31-refined-times.txt</v>
      </c>
      <c r="AI218" s="108" t="str">
        <f t="shared" si="135"/>
        <v>echo {"issue":{"subject":"","project_id":79,"tracker_id":40,"status_id":1,"priority_id":2,"assigned_to_id":23,"start_date":"2017-01-31","description":"","custom_fields":[{"id":1,"name":"Subdivision","value":"Other"},{"id":4,"name":"Milepost","value":"2.4267"},{"id":17,"name":"Train ID","value":"53-31"},{"id":16,"name":"Locomotive ID","value":"4022"},{"id":130,"name":"Impact","value":""},{"id":150,"name":"Time of Event (Mountain Time)","value":"11:51:52"},{"id":151,"name":"Denver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61" t="str">
        <f t="shared" si="136"/>
        <v>start /low /b %USERPROFILE%\Documents\GitHub\eaglep3\Utilities\DownloadLogsFromS3.py --loco 4022 --day 2017-01-31</v>
      </c>
      <c r="AN218" s="170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"%USERPROFILE%\AppData\Local\Temp\OnboardLogs"\RTDC4022\*4022*20170131* | grep -SE "(Enforcement Action)|(\[TIMEOUT)|(CHR.+\|PRM\|1\|D.+(SWITCH|SIGNAL).+UNKNOWN)" - &gt;&gt; 2017-01-31-UncaughtWiMAX.txt</v>
      </c>
    </row>
    <row r="219" spans="1:91" s="20" customFormat="1" x14ac:dyDescent="0.25">
      <c r="A219" s="33" t="s">
        <v>669</v>
      </c>
      <c r="B219" s="7">
        <v>4017</v>
      </c>
      <c r="C219" s="21" t="s">
        <v>193</v>
      </c>
      <c r="D219" s="21" t="s">
        <v>793</v>
      </c>
      <c r="E219" s="13">
        <v>42766.781631944446</v>
      </c>
      <c r="F219" s="13">
        <v>42766.786238425928</v>
      </c>
      <c r="G219" s="7">
        <v>6</v>
      </c>
      <c r="H219" s="21" t="s">
        <v>794</v>
      </c>
      <c r="I219" s="13">
        <v>42766.792013888888</v>
      </c>
      <c r="J219" s="7">
        <v>0</v>
      </c>
      <c r="K219" s="98" t="str">
        <f t="shared" si="121"/>
        <v>4017/4018</v>
      </c>
      <c r="L219" s="21" t="str">
        <f>VLOOKUP(A219,'Trips&amp;Operators'!$C$1:$G$99999,5,FALSE)</f>
        <v>SAFIEF AEIMEN</v>
      </c>
      <c r="M219" s="6">
        <f t="shared" si="122"/>
        <v>5.7754629597184248E-3</v>
      </c>
      <c r="N219" s="7">
        <f t="shared" si="132"/>
        <v>8.3166666619945318</v>
      </c>
      <c r="O219" s="7"/>
      <c r="P219" s="7"/>
      <c r="Q219" s="22"/>
      <c r="R219" s="22"/>
      <c r="S219" s="31">
        <f t="shared" si="123"/>
        <v>0</v>
      </c>
      <c r="T219" s="46" t="e">
        <f t="shared" si="116"/>
        <v>#VALUE!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129"/>
        <v>https://d0f6bd738d7f1b3e5a7ca70fe4ff75f0.us-east-1.aws.found.io/app/kibana#/discover/Steve-Slow-Train-Analysis-(2080s-and-2083s)?_g=(refreshInterval:(display:Off,pause:!f,section:0,value:0),time:(from:'2017-01-31T17:45:33-0700',mode:absolute,to:'2017-01-31T20:00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9" s="194" t="str">
        <f t="shared" si="117"/>
        <v>Y</v>
      </c>
      <c r="X219" s="194" t="e">
        <f t="shared" si="128"/>
        <v>#VALUE!</v>
      </c>
      <c r="Y219" s="62">
        <f t="shared" si="126"/>
        <v>2.1770999999999998</v>
      </c>
      <c r="Z219" s="62">
        <f t="shared" si="124"/>
        <v>1.46E-2</v>
      </c>
      <c r="AA219" s="62">
        <f t="shared" si="133"/>
        <v>2.1624999999999996</v>
      </c>
      <c r="AB219" s="59" t="e">
        <f>VLOOKUP(A219,Enforcements!$C$7:$K$16,8,0)</f>
        <v>#N/A</v>
      </c>
      <c r="AC219" s="55" t="e">
        <f>VLOOKUP(A219,Enforcements!$C$7:$E$16,3,0)</f>
        <v>#N/A</v>
      </c>
      <c r="AD219" s="56" t="str">
        <f t="shared" si="119"/>
        <v>54-31</v>
      </c>
      <c r="AE219" s="85" t="str">
        <f t="shared" si="130"/>
        <v>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 &amp; aws s3 cp s3://rtdc.mdm.uploadarchive.raw/RTDC4017/ "%USERPROFILE%\AppData\Local\Temp\OnboardLogs"\RTDC4017\2017-02-01 --exclude "*" --recursive --include "*20170201*" &amp; "%USERPROFILE%\Documents\GitHub\mrs-test-scripts\Headless Mode &amp; Sideloading\WalkAndUnGZ.bat" "%USERPROFILE%\AppData\Local\Temp\OnboardLogs"\RTDC4017\2017-02-01</v>
      </c>
      <c r="AF219" s="82" t="str">
        <f t="shared" si="131"/>
        <v>"C:\Program Files (x86)\AstroGrep\AstroGrep.exe" /spath="%USERPROFILE%\AppData\Local\Temp\OnboardLogs" /stypes="app*4017*20170201*" /stext=" 02:.+((SYSTEM_STATE.+slice.+state.+changed )|(ment ac)|(multiple cpu faults)|(system.+state.+changed )|(\[timeout)|(PRM\|1\|D)|(kpr)|(kdp)|(\|lc)|(penalty))" /e /r /s</v>
      </c>
      <c r="AG219" s="1" t="str">
        <f t="shared" si="120"/>
        <v>Other</v>
      </c>
      <c r="AH219" s="86" t="str">
        <f t="shared" si="134"/>
        <v>"%USERPROFILE%\Documents\GitHub\eaglep3\Utilities\RefineRTDCRunTimes.py" --tripid 54-31 --locoid 4017 --swversion DE.1.0.8.0 --startMP 300:21771 --initTime 2017-01-31T18:45:33 --startdatetime 2017-01-31T18:52:11 --delay 6 --endMP 204:146 --enddatetime 2017-01-31T19:00:30 --enforcementcount 0 &gt;&gt;C:\Users\stu\Documents\GitHub\eaglep3-reporting\EC\2017-01-31-refined-times.txt</v>
      </c>
      <c r="AI219" s="108" t="str">
        <f t="shared" si="135"/>
        <v>echo {"issue":{"subject":"","project_id":79,"tracker_id":40,"status_id":1,"priority_id":2,"assigned_to_id":23,"start_date":"2017-01-31","description":"","custom_fields":[{"id":1,"name":"Subdivision","value":"Other"},{"id":4,"name":"Milepost","value":"0.0146"},{"id":17,"name":"Train ID","value":"54-31"},{"id":16,"name":"Locomotive ID","value":"4017"},{"id":130,"name":"Impact","value":""},{"id":150,"name":"Time of Event (Mountain Time)","value":"19:00:30"},{"id":151,"name":"Denver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61" t="str">
        <f t="shared" si="136"/>
        <v>start /low /b %USERPROFILE%\Documents\GitHub\eaglep3\Utilities\DownloadLogsFromS3.py --loco 4017 --day 2017-01-31</v>
      </c>
      <c r="AN219" s="170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"%USERPROFILE%\AppData\Local\Temp\OnboardLogs"\RTDC4017\*4017*20170201* | grep -SE "(Enforcement Action)|(\[TIMEOUT)|(CHR.+\|PRM\|1\|D.+(SWITCH|SIGNAL).+UNKNOWN)" - &gt;&gt; 2017-01-31-UncaughtWiMAX.txt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V220" s="175"/>
      <c r="W220" s="175"/>
      <c r="X220" s="175"/>
      <c r="Y220"/>
      <c r="Z220"/>
      <c r="AA220"/>
      <c r="AB220"/>
      <c r="AC220"/>
      <c r="AD220"/>
      <c r="AE220"/>
      <c r="AF220"/>
      <c r="AH220"/>
      <c r="AI220"/>
      <c r="A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 s="175"/>
      <c r="V221" s="175"/>
      <c r="W221" s="175"/>
      <c r="X221" s="175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V222" s="175"/>
      <c r="W222" s="175"/>
      <c r="X222" s="175"/>
      <c r="Y222"/>
      <c r="Z222"/>
      <c r="AA222"/>
      <c r="AB222"/>
      <c r="AC222"/>
      <c r="AD222"/>
      <c r="AE222"/>
      <c r="AF222"/>
      <c r="AH222"/>
      <c r="AI222"/>
      <c r="A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V223" s="175"/>
      <c r="W223" s="175"/>
      <c r="X223" s="175"/>
      <c r="Y223"/>
      <c r="Z223"/>
      <c r="AA223"/>
      <c r="AB223"/>
      <c r="AC223"/>
      <c r="AD223"/>
      <c r="AE223"/>
      <c r="AF223"/>
      <c r="AH223"/>
      <c r="AI223"/>
      <c r="AM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V224" s="175"/>
      <c r="W224" s="175"/>
      <c r="X224" s="175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V225" s="175"/>
      <c r="W225" s="175"/>
      <c r="X225" s="17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V226" s="175"/>
      <c r="W226" s="175"/>
      <c r="X226" s="175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V227" s="175"/>
      <c r="W227" s="175"/>
      <c r="X227" s="175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V228" s="175"/>
      <c r="W228" s="175"/>
      <c r="X228" s="175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V229" s="175"/>
      <c r="W229" s="175"/>
      <c r="X229" s="175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V230" s="175"/>
      <c r="W230" s="175"/>
      <c r="X230" s="175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V231" s="175"/>
      <c r="W231" s="175"/>
      <c r="X231" s="175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V232" s="175"/>
      <c r="W232" s="175"/>
      <c r="X232" s="175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V233" s="175"/>
      <c r="W233" s="175"/>
      <c r="X233" s="175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V234" s="175"/>
      <c r="W234" s="175"/>
      <c r="X234" s="175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V235" s="175"/>
      <c r="W235" s="175"/>
      <c r="X235" s="17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 s="175"/>
      <c r="W236" s="175"/>
      <c r="X236" s="175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 s="175"/>
      <c r="W237" s="175"/>
      <c r="X237" s="175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 s="175"/>
      <c r="W238" s="175"/>
      <c r="X238" s="175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 s="175"/>
      <c r="W239" s="175"/>
      <c r="X239" s="175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 s="175"/>
      <c r="W240" s="175"/>
      <c r="X240" s="175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V241" s="175"/>
      <c r="W241" s="175"/>
      <c r="X241" s="175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V242" s="175"/>
      <c r="W242" s="175"/>
      <c r="X242" s="175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V243" s="175"/>
      <c r="W243" s="175"/>
      <c r="X243" s="175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V244" s="175"/>
      <c r="W244" s="175"/>
      <c r="X244" s="175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V245" s="175"/>
      <c r="W245" s="175"/>
      <c r="X245" s="17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V246" s="175"/>
      <c r="W246" s="175"/>
      <c r="X246" s="175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 s="175"/>
      <c r="W247" s="175"/>
      <c r="X247" s="175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 s="175"/>
      <c r="W248" s="175"/>
      <c r="X248" s="175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 s="175"/>
      <c r="W249" s="175"/>
      <c r="X249" s="175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 s="175"/>
      <c r="W250" s="175"/>
      <c r="X250" s="175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 s="175"/>
      <c r="W251" s="175"/>
      <c r="X251" s="175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 s="175"/>
      <c r="W252" s="175"/>
      <c r="X252" s="175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 s="175"/>
      <c r="W253" s="175"/>
      <c r="X253" s="175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 s="175"/>
      <c r="W254" s="175"/>
      <c r="X254" s="175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 s="175"/>
      <c r="W255" s="175"/>
      <c r="X255" s="17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 s="175"/>
      <c r="W256" s="175"/>
      <c r="X256" s="175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 s="175"/>
      <c r="W257" s="175"/>
      <c r="X257" s="175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 s="175"/>
      <c r="W258" s="175"/>
      <c r="X258" s="175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 s="175"/>
      <c r="W259" s="175"/>
      <c r="X259" s="175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 s="175"/>
      <c r="W260" s="175"/>
      <c r="X260" s="175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 s="175"/>
      <c r="W261" s="175"/>
      <c r="X261" s="175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V262" s="175"/>
      <c r="W262" s="175"/>
      <c r="X262" s="175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V263" s="175"/>
      <c r="W263" s="175"/>
      <c r="X263" s="175"/>
      <c r="Y263"/>
      <c r="Z263"/>
      <c r="AA263"/>
      <c r="AB263"/>
      <c r="AC263"/>
      <c r="AD263"/>
      <c r="AE263"/>
      <c r="AF263"/>
      <c r="AH263"/>
      <c r="AI263"/>
      <c r="AM263"/>
    </row>
  </sheetData>
  <autoFilter ref="A12:AG249">
    <sortState ref="A13:AG238">
      <sortCondition ref="AG13:AG208"/>
      <sortCondition ref="AD13:AD208"/>
    </sortState>
  </autoFilter>
  <sortState ref="A13:AH200">
    <sortCondition ref="AG13:AG200"/>
    <sortCondition ref="AD13:AD200"/>
  </sortState>
  <mergeCells count="1">
    <mergeCell ref="A11:P11"/>
  </mergeCells>
  <conditionalFormatting sqref="W11:W12 W264:X1048576 W13:X219">
    <cfRule type="cellIs" dxfId="10" priority="356" operator="equal">
      <formula>"Y"</formula>
    </cfRule>
  </conditionalFormatting>
  <conditionalFormatting sqref="X264:X1048576 X13:X219">
    <cfRule type="cellIs" dxfId="9" priority="339" operator="greaterThan">
      <formula>1</formula>
    </cfRule>
  </conditionalFormatting>
  <conditionalFormatting sqref="X264:X1048576 X12:X219">
    <cfRule type="cellIs" dxfId="8" priority="336" operator="equal">
      <formula>0</formula>
    </cfRule>
  </conditionalFormatting>
  <conditionalFormatting sqref="A13:S219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zoomScaleNormal="100" workbookViewId="0">
      <selection activeCell="P23" sqref="P2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8.570312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3.425781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21.42578125" style="44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27" customWidth="1"/>
    <col min="31" max="31" width="9.140625" style="161"/>
  </cols>
  <sheetData>
    <row r="1" spans="1:31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61"/>
    </row>
    <row r="2" spans="1:31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7">
        <f>COUNTIF($O$7:$O$322,"=Y")</f>
        <v>5</v>
      </c>
      <c r="P2" s="122"/>
      <c r="R2" s="83"/>
      <c r="S2" s="90"/>
      <c r="T2" s="80"/>
      <c r="V2" s="44"/>
      <c r="AC2" s="128"/>
      <c r="AE2" s="161"/>
    </row>
    <row r="3" spans="1:31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8">
        <f>COUNTA($O$7:$O$322)-O2</f>
        <v>25</v>
      </c>
      <c r="P3" s="122"/>
      <c r="R3" s="83"/>
      <c r="S3" s="90"/>
      <c r="T3" s="80"/>
      <c r="V3" s="44"/>
      <c r="AC3" s="128"/>
      <c r="AE3" s="161"/>
    </row>
    <row r="4" spans="1:31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61"/>
    </row>
    <row r="5" spans="1:31" s="10" customFormat="1" ht="15" customHeight="1" x14ac:dyDescent="0.25">
      <c r="A5" s="196" t="str">
        <f>"Eagle P3 Braking Events - "&amp;TEXT(Variables!$A$2,"YYYY-mm-dd")</f>
        <v>Eagle P3 Braking Events - 2017-01-31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40"/>
      <c r="R5" s="88"/>
      <c r="S5" s="91"/>
      <c r="T5" s="93"/>
      <c r="V5" s="45"/>
      <c r="AC5" s="129"/>
      <c r="AE5" s="163"/>
    </row>
    <row r="6" spans="1:31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9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201</v>
      </c>
      <c r="AE6" s="162" t="s">
        <v>217</v>
      </c>
    </row>
    <row r="7" spans="1:31" s="1" customFormat="1" x14ac:dyDescent="0.25">
      <c r="A7" s="32">
        <v>42766.893877314818</v>
      </c>
      <c r="B7" s="30" t="s">
        <v>250</v>
      </c>
      <c r="C7" s="30" t="s">
        <v>517</v>
      </c>
      <c r="D7" s="30" t="s">
        <v>98</v>
      </c>
      <c r="E7" s="30" t="s">
        <v>203</v>
      </c>
      <c r="F7" s="43">
        <v>0</v>
      </c>
      <c r="G7" s="43">
        <v>100</v>
      </c>
      <c r="H7" s="43">
        <v>27331</v>
      </c>
      <c r="I7" s="43">
        <v>27233</v>
      </c>
      <c r="J7" s="30" t="s">
        <v>204</v>
      </c>
      <c r="K7" s="43">
        <v>27350</v>
      </c>
      <c r="L7" s="143" t="s">
        <v>51</v>
      </c>
      <c r="M7" s="144">
        <f t="shared" ref="M7:M36" si="0">CONVERT((I7-K7)/10000,"mi","ft")*IF(L7="Increasing Mileposts (1)",-1,1)</f>
        <v>-61.776000000000003</v>
      </c>
      <c r="N7" s="145" t="str">
        <f>VLOOKUP(C7,'Trips&amp;Operators'!$C$1:$G$99999,5,FALSE)</f>
        <v>STORY SAMANTHA</v>
      </c>
      <c r="O7" s="160" t="s">
        <v>185</v>
      </c>
      <c r="P7" s="146" t="s">
        <v>365</v>
      </c>
      <c r="Q7" s="30"/>
      <c r="R7" s="89" t="str">
        <f>VLOOKUP(C7,'Train Runs'!$A$13:$AE$9987,31,0)</f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S7" s="92" t="str">
        <f>VLOOKUP(C7,'Train Runs'!$A$13:$AE$9987,22,0)</f>
        <v>https://d0f6bd738d7f1b3e5a7ca70fe4ff75f0.us-east-1.aws.found.io/app/kibana#/discover/Steve-Slow-Train-Analysis-(2080s-and-2083s)?_g=(refreshInterval:(display:Off,pause:!f,section:0,value:0),time:(from:'2017-01-31T19:42:08-0700',mode:absolute,to:'2017-01-31T22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94" t="str">
        <f t="shared" ref="T7:T3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/stypes="*4039*201702010*" /stext=" 04:.+((SYSTEM_STATE.+slice.+state.+changed )|(ment ac)|(multiple cpu faults)|(system.+state.+changed )|(\[timeout)|(PRM\|1\|D)|(kpr)|(kdp)|(\|lc)|(penalty))" /e /r /s</v>
      </c>
      <c r="U7" s="9" t="str">
        <f t="shared" ref="U7:U36" si="2">MID(B7,13,4)</f>
        <v>4039</v>
      </c>
      <c r="V7" s="32">
        <f t="shared" ref="V7:V36" si="3">A7-utc_offset/24</f>
        <v>42767.185543981483</v>
      </c>
      <c r="W7" s="46" t="str">
        <f t="shared" ref="W7:W36" si="4">IF(VALUE(LEFT(IF(LEN(C7)=6,"0"&amp;C7,C7),2))&lt;=2,"EC",IF(OR(VALUE(LEFT(IF(LEN(C7)=6,"0"&amp;C7,C7),2))=8,VALUE(LEFT(IF(LEN(C7)=6,"0"&amp;C7,C7),2))=18),"NW","Other"))</f>
        <v>EC</v>
      </c>
      <c r="X7" s="46" t="str">
        <f t="shared" ref="X7:X36" si="5">IF(AND(E7="TRACK WARRANT AUTHORITY",G7&lt;10),"OMIT","KEEP")</f>
        <v>KEEP</v>
      </c>
      <c r="Y7" s="108" t="str">
        <f t="shared" ref="Y7:Y3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arrival","project_id":79,"tracker_id":40,"status_id":1,"priority_id":2,"assigned_to_id":23,"start_date":"2017-01-31","description":"","custom_fields":[{"id":1,"name":"Subdivision","value":"EC"},{"id":4,"name":"Milepost","value":"2.735"},{"id":17,"name":"Train ID","value":"226-31"},{"id":16,"name":"Locomotive ID","value":"4039"},{"id":130,"name":"Impact","value":""},{"id":150,"name":"Time of Event (Mountain Time)","value":"21:27:11"},{"id":151,"name":"Denver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6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"%USERPROFILE%\AppData\Local\Temp\OnboardLogs"\RTDC4039\*4039*201702010*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"%USERPROFILE%\AppData\Local\Temp\OnboardLogs"\RTDC4039\*4039*201702010* &gt;&gt; 2017-01-31-SliceDisagreementCheck.txt</v>
      </c>
      <c r="AE7" s="164" t="str">
        <f t="shared" ref="AE7" si="8">"start /low /b "&amp;dls3logs&amp;" --loco "&amp;U7&amp;" --day "&amp;TEXT(V7,"YYYY-MM-DD")</f>
        <v>start /low /b %USERPROFILE%\Documents\GitHub\eaglep3\Utilities\DownloadLogsFromS3.py --loco 4039 --day 2017-02-01</v>
      </c>
    </row>
    <row r="8" spans="1:31" s="1" customFormat="1" x14ac:dyDescent="0.25">
      <c r="A8" s="32">
        <v>42766.455243055556</v>
      </c>
      <c r="B8" s="30" t="s">
        <v>250</v>
      </c>
      <c r="C8" s="30" t="s">
        <v>495</v>
      </c>
      <c r="D8" s="30" t="s">
        <v>49</v>
      </c>
      <c r="E8" s="30" t="s">
        <v>203</v>
      </c>
      <c r="F8" s="43">
        <v>0</v>
      </c>
      <c r="G8" s="43">
        <v>261</v>
      </c>
      <c r="H8" s="43">
        <v>33325</v>
      </c>
      <c r="I8" s="43">
        <v>32919</v>
      </c>
      <c r="J8" s="30" t="s">
        <v>204</v>
      </c>
      <c r="K8" s="43">
        <v>33257</v>
      </c>
      <c r="L8" s="143" t="s">
        <v>51</v>
      </c>
      <c r="M8" s="144">
        <f t="shared" si="0"/>
        <v>-178.46399999999997</v>
      </c>
      <c r="N8" s="145" t="str">
        <f>VLOOKUP(C8,'Trips&amp;Operators'!$C$1:$G$99999,5,FALSE)</f>
        <v>STARKS ANGELINA</v>
      </c>
      <c r="O8" s="160" t="s">
        <v>185</v>
      </c>
      <c r="P8" s="146" t="s">
        <v>365</v>
      </c>
      <c r="Q8" s="30"/>
      <c r="R8" s="89" t="str">
        <f>VLOOKUP(C8,'Train Runs'!$A$13:$AE$9987,31,0)</f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S8" s="92" t="str">
        <f>VLOOKUP(C8,'Train Runs'!$A$13:$AE$9987,22,0)</f>
        <v>https://d0f6bd738d7f1b3e5a7ca70fe4ff75f0.us-east-1.aws.found.io/app/kibana#/discover/Steve-Slow-Train-Analysis-(2080s-and-2083s)?_g=(refreshInterval:(display:Off,pause:!f,section:0,value:0),time:(from:'2017-01-31T09:21:32-0700',mode:absolute,to:'2017-01-31T12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94" t="str">
        <f t="shared" si="1"/>
        <v>"C:\Program Files (x86)\AstroGrep\AstroGrep.exe" /spath="%USERPROFILE%\AppData\Local\Temp\OnboardLogs" /stypes="*4039*201701311*" /stext=" 17:.+((SYSTEM_STATE.+slice.+state.+changed )|(ment ac)|(multiple cpu faults)|(system.+state.+changed )|(\[timeout)|(PRM\|1\|D)|(kpr)|(kdp)|(\|lc)|(penalty))" /e /r /s</v>
      </c>
      <c r="U8" s="9" t="str">
        <f t="shared" si="2"/>
        <v>4039</v>
      </c>
      <c r="V8" s="32">
        <f t="shared" si="3"/>
        <v>42766.74690972222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arrival","project_id":79,"tracker_id":40,"status_id":1,"priority_id":2,"assigned_to_id":23,"start_date":"2017-01-31","description":"","custom_fields":[{"id":1,"name":"Subdivision","value":"EC"},{"id":4,"name":"Milepost","value":"3.3257"},{"id":17,"name":"Train ID","value":"148-31"},{"id":16,"name":"Locomotive ID","value":"4039"},{"id":130,"name":"Impact","value":""},{"id":150,"name":"Time of Event (Mountain Time)","value":"10:55:33"},{"id":151,"name":"Denver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"%USERPROFILE%\AppData\Local\Temp\OnboardLogs"\RTDC4039\*4039*201701311*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"%USERPROFILE%\AppData\Local\Temp\OnboardLogs"\RTDC4039\*4039*201701311* &gt;&gt; 2017-01-31-SliceDisagreementCheck.txt</v>
      </c>
      <c r="AE8" s="164" t="str">
        <f t="shared" ref="AE8:AE36" si="9">"start /low /b "&amp;dls3logs&amp;" --loco "&amp;U8&amp;" --day "&amp;TEXT(V8,"YYYY-MM-DD")</f>
        <v>start /low /b %USERPROFILE%\Documents\GitHub\eaglep3\Utilities\DownloadLogsFromS3.py --loco 4039 --day 2017-01-31</v>
      </c>
    </row>
    <row r="9" spans="1:31" s="1" customFormat="1" x14ac:dyDescent="0.25">
      <c r="A9" s="32">
        <v>42766.64166666667</v>
      </c>
      <c r="B9" s="30" t="s">
        <v>196</v>
      </c>
      <c r="C9" s="30" t="s">
        <v>501</v>
      </c>
      <c r="D9" s="30" t="s">
        <v>49</v>
      </c>
      <c r="E9" s="30" t="s">
        <v>203</v>
      </c>
      <c r="F9" s="43">
        <v>260</v>
      </c>
      <c r="G9" s="43">
        <v>346</v>
      </c>
      <c r="H9" s="43">
        <v>35759</v>
      </c>
      <c r="I9" s="43">
        <v>34836</v>
      </c>
      <c r="J9" s="30" t="s">
        <v>204</v>
      </c>
      <c r="K9" s="43">
        <v>33257</v>
      </c>
      <c r="L9" s="143" t="s">
        <v>51</v>
      </c>
      <c r="M9" s="144">
        <f t="shared" si="0"/>
        <v>833.71199999999999</v>
      </c>
      <c r="N9" s="145" t="str">
        <f>VLOOKUP(C9,'Trips&amp;Operators'!$C$1:$G$99999,5,FALSE)</f>
        <v>ROMERO CHAD</v>
      </c>
      <c r="O9" s="160" t="s">
        <v>185</v>
      </c>
      <c r="P9" s="146" t="s">
        <v>365</v>
      </c>
      <c r="Q9" s="30"/>
      <c r="R9" s="89" t="str">
        <f>VLOOKUP(C9,'Train Runs'!$A$13:$AE$9987,31,0)</f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S9" s="92" t="str">
        <f>VLOOKUP(C9,'Train Runs'!$A$13:$AE$9987,22,0)</f>
        <v>https://d0f6bd738d7f1b3e5a7ca70fe4ff75f0.us-east-1.aws.found.io/app/kibana#/discover/Steve-Slow-Train-Analysis-(2080s-and-2083s)?_g=(refreshInterval:(display:Off,pause:!f,section:0,value:0),time:(from:'2017-01-31T13:39:19-0700',mode:absolute,to:'2017-01-31T16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9" s="94" t="str">
        <f t="shared" si="1"/>
        <v>"C:\Program Files (x86)\AstroGrep\AstroGrep.exe" /spath="%USERPROFILE%\AppData\Local\Temp\OnboardLogs" /stypes="*4012*201701312*" /stext=" 22:.+((SYSTEM_STATE.+slice.+state.+changed )|(ment ac)|(multiple cpu faults)|(system.+state.+changed )|(\[timeout)|(PRM\|1\|D)|(kpr)|(kdp)|(\|lc)|(penalty))" /e /r /s</v>
      </c>
      <c r="U9" s="9" t="str">
        <f t="shared" si="2"/>
        <v>4012</v>
      </c>
      <c r="V9" s="32">
        <f t="shared" si="3"/>
        <v>42766.933333333334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arrival","project_id":79,"tracker_id":40,"status_id":1,"priority_id":2,"assigned_to_id":23,"start_date":"2017-01-31","description":"","custom_fields":[{"id":1,"name":"Subdivision","value":"EC"},{"id":4,"name":"Milepost","value":"3.3257"},{"id":17,"name":"Train ID","value":"184-31"},{"id":16,"name":"Locomotive ID","value":"4012"},{"id":130,"name":"Impact","value":""},{"id":150,"name":"Time of Event (Mountain Time)","value":"15:24:00"},{"id":151,"name":"Denver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"%USERPROFILE%\AppData\Local\Temp\OnboardLogs"\RTDC4012\*4012*201701312*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"%USERPROFILE%\AppData\Local\Temp\OnboardLogs"\RTDC4012\*4012*201701312* &gt;&gt; 2017-01-31-SliceDisagreementCheck.txt</v>
      </c>
      <c r="AE9" s="164" t="str">
        <f t="shared" si="9"/>
        <v>start /low /b %USERPROFILE%\Documents\GitHub\eaglep3\Utilities\DownloadLogsFromS3.py --loco 4012 --day 2017-01-31</v>
      </c>
    </row>
    <row r="10" spans="1:31" s="1" customFormat="1" x14ac:dyDescent="0.25">
      <c r="A10" s="32">
        <v>42766.680115740739</v>
      </c>
      <c r="B10" s="30" t="s">
        <v>192</v>
      </c>
      <c r="C10" s="30" t="s">
        <v>508</v>
      </c>
      <c r="D10" s="30" t="s">
        <v>49</v>
      </c>
      <c r="E10" s="30" t="s">
        <v>221</v>
      </c>
      <c r="F10" s="43">
        <v>550</v>
      </c>
      <c r="G10" s="43">
        <v>782</v>
      </c>
      <c r="H10" s="43">
        <v>218387</v>
      </c>
      <c r="I10" s="43">
        <v>229531</v>
      </c>
      <c r="J10" s="30" t="s">
        <v>222</v>
      </c>
      <c r="K10" s="43">
        <v>222091</v>
      </c>
      <c r="L10" s="143" t="s">
        <v>50</v>
      </c>
      <c r="M10" s="144">
        <f t="shared" si="0"/>
        <v>-3928.32</v>
      </c>
      <c r="N10" s="145" t="str">
        <f>VLOOKUP(C10,'Trips&amp;Operators'!$C$1:$G$99999,5,FALSE)</f>
        <v>ROMERO CHAD</v>
      </c>
      <c r="O10" s="160" t="s">
        <v>223</v>
      </c>
      <c r="P10" s="146" t="s">
        <v>904</v>
      </c>
      <c r="Q10" s="30"/>
      <c r="R10" s="89" t="str">
        <f>VLOOKUP(C10,'Train Runs'!$A$13:$AE$9987,31,0)</f>
        <v>aws s3 cp s3://rtdc.mdm.uploadarchive.raw/RTDC4011/ "%USERPROFILE%\AppData\Local\Temp\OnboardLogs"\RTDC4011\2017-01-31 --exclude "*" --recursive --include "*20170131*" &amp; "%USERPROFILE%\Documents\GitHub\mrs-test-scripts\Headless Mode &amp; Sideloading\WalkAndUnGZ.bat" "%USERPROFILE%\AppData\Local\Temp\OnboardLogs"\RTDC4011\2017-01-31 &amp; aws s3 cp s3://rtdc.mdm.uploadarchive.raw/RTDC4011/ "%USERPROFILE%\AppData\Local\Temp\OnboardLogs"\RTDC4011\2017-02-01 --exclude "*" --recursive --include "*20170201*" &amp; "%USERPROFILE%\Documents\GitHub\mrs-test-scripts\Headless Mode &amp; Sideloading\WalkAndUnGZ.bat" "%USERPROFILE%\AppData\Local\Temp\OnboardLogs"\RTDC4011\2017-02-01</v>
      </c>
      <c r="S10" s="92" t="str">
        <f>VLOOKUP(C10,'Train Runs'!$A$13:$AE$9987,22,0)</f>
        <v>https://d0f6bd738d7f1b3e5a7ca70fe4ff75f0.us-east-1.aws.found.io/app/kibana#/discover/Steve-Slow-Train-Analysis-(2080s-and-2083s)?_g=(refreshInterval:(display:Off,pause:!f,section:0,value:0),time:(from:'2017-01-31T14:38:02-0700',mode:absolute,to:'2017-01-31T17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94" t="str">
        <f t="shared" si="1"/>
        <v>"C:\Program Files (x86)\AstroGrep\AstroGrep.exe" /spath="%USERPROFILE%\AppData\Local\Temp\OnboardLogs" /stypes="*4011*201701312*" /stext=" 23:.+((SYSTEM_STATE.+slice.+state.+changed )|(ment ac)|(multiple cpu faults)|(system.+state.+changed )|(\[timeout)|(PRM\|1\|D)|(kpr)|(kdp)|(\|lc)|(penalty))" /e /r /s</v>
      </c>
      <c r="U10" s="9" t="str">
        <f t="shared" si="2"/>
        <v>4011</v>
      </c>
      <c r="V10" s="32">
        <f t="shared" si="3"/>
        <v>42766.971782407403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{"issue":{"subject":"Banner w/o braking","project_id":79,"tracker_id":40,"status_id":1,"priority_id":2,"assigned_to_id":23,"start_date":"2017-01-31","description":"","custom_fields":[{"id":1,"name":"Subdivision","value":"EC"},{"id":4,"name":"Milepost","value":"22.2091"},{"id":17,"name":"Train ID","value":"197-31"},{"id":16,"name":"Locomotive ID","value":"4011"},{"id":130,"name":"Impact","value":""},{"id":150,"name":"Time of Event (Mountain Time)","value":"16:19:22"},{"id":151,"name":"Denver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"%USERPROFILE%\AppData\Local\Temp\OnboardLogs"\RTDC4011\*4011*201701312*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"%USERPROFILE%\AppData\Local\Temp\OnboardLogs"\RTDC4011\*4011*201701312* &gt;&gt; 2017-01-31-SliceDisagreementCheck.txt</v>
      </c>
      <c r="AE10" s="164" t="str">
        <f t="shared" si="9"/>
        <v>start /low /b %USERPROFILE%\Documents\GitHub\eaglep3\Utilities\DownloadLogsFromS3.py --loco 4011 --day 2017-01-31</v>
      </c>
    </row>
    <row r="11" spans="1:31" s="1" customFormat="1" x14ac:dyDescent="0.25">
      <c r="A11" s="32">
        <v>42766.986967592595</v>
      </c>
      <c r="B11" s="30" t="s">
        <v>302</v>
      </c>
      <c r="C11" s="30" t="s">
        <v>521</v>
      </c>
      <c r="D11" s="30" t="s">
        <v>49</v>
      </c>
      <c r="E11" s="30" t="s">
        <v>186</v>
      </c>
      <c r="F11" s="43">
        <v>0</v>
      </c>
      <c r="G11" s="43">
        <v>483</v>
      </c>
      <c r="H11" s="43">
        <v>48683</v>
      </c>
      <c r="I11" s="43">
        <v>50271</v>
      </c>
      <c r="J11" s="30" t="s">
        <v>187</v>
      </c>
      <c r="K11" s="43">
        <v>50746</v>
      </c>
      <c r="L11" s="143" t="s">
        <v>50</v>
      </c>
      <c r="M11" s="144">
        <f t="shared" si="0"/>
        <v>250.8</v>
      </c>
      <c r="N11" s="145" t="str">
        <f>VLOOKUP(C11,'Trips&amp;Operators'!$C$1:$G$99999,5,FALSE)</f>
        <v>NEWELL JAMES</v>
      </c>
      <c r="O11" s="160" t="s">
        <v>223</v>
      </c>
      <c r="P11" s="146" t="s">
        <v>366</v>
      </c>
      <c r="Q11" s="30"/>
      <c r="R11" s="89" t="str">
        <f>VLOOKUP(C11,'Train Runs'!$A$13:$AE$9987,31,0)</f>
        <v>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 &amp; aws s3 cp s3://rtdc.mdm.uploadarchive.raw/RTDC4002/ "%USERPROFILE%\AppData\Local\Temp\OnboardLogs"\RTDC4002\2017-02-01 --exclude "*" --recursive --include "*20170201*" &amp; "%USERPROFILE%\Documents\GitHub\mrs-test-scripts\Headless Mode &amp; Sideloading\WalkAndUnGZ.bat" "%USERPROFILE%\AppData\Local\Temp\OnboardLogs"\RTDC4002\2017-02-01</v>
      </c>
      <c r="S11" s="92" t="str">
        <f>VLOOKUP(C11,'Train Runs'!$A$13:$AE$9987,22,0)</f>
        <v>https://d0f6bd738d7f1b3e5a7ca70fe4ff75f0.us-east-1.aws.found.io/app/kibana#/discover/Steve-Slow-Train-Analysis-(2080s-and-2083s)?_g=(refreshInterval:(display:Off,pause:!f,section:0,value:0),time:(from:'2017-01-31T22:10:34-0700',mode:absolute,to:'2017-02-01T01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94" t="str">
        <f t="shared" si="1"/>
        <v>"C:\Program Files (x86)\AstroGrep\AstroGrep.exe" /spath="%USERPROFILE%\AppData\Local\Temp\OnboardLogs" /stypes="*4002*201702010*" /stext=" 06:.+((SYSTEM_STATE.+slice.+state.+changed )|(ment ac)|(multiple cpu faults)|(system.+state.+changed )|(\[timeout)|(PRM\|1\|D)|(kpr)|(kdp)|(\|lc)|(penalty))" /e /r /s</v>
      </c>
      <c r="U11" s="9" t="str">
        <f t="shared" si="2"/>
        <v>4002</v>
      </c>
      <c r="V11" s="32">
        <f t="shared" si="3"/>
        <v>42767.278634259259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{"issue":{"subject":"Wi-MAX data drop","project_id":79,"tracker_id":40,"status_id":1,"priority_id":2,"assigned_to_id":23,"start_date":"2017-01-31","description":"http://stevetu21.github.io/eaglep3/load_kml.html?kml=http://rtdc.gmaps-snips.s3.amazonaws.com/4db19c1d-e3f6-4b04-aa4b-6fa41c60b5c3.kml","custom_fields":[{"id":1,"name":"Subdivision","value":"EC"},{"id":4,"name":"Milepost","value":"5.0746"},{"id":17,"name":"Train ID","value":"239-31"},{"id":16,"name":"Locomotive ID","value":"4002"},{"id":130,"name":"Impact","value":"Enforcement"},{"id":150,"name":"Time of Event (Mountain Time)","value":"23:41:14"},{"id":151,"name":"Denver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1" t="s">
        <v>888</v>
      </c>
      <c r="AA11" s="48" t="s">
        <v>124</v>
      </c>
      <c r="AB11" s="48" t="s">
        <v>137</v>
      </c>
      <c r="AC11" s="127" t="str">
        <f t="shared" si="7"/>
        <v>grep -hSE -A400 "Enforcement Action" "%USERPROFILE%\AppData\Local\Temp\OnboardLogs"\RTDC4002\*4002*201702010*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"%USERPROFILE%\AppData\Local\Temp\OnboardLogs"\RTDC4002\*4002*201702010* &gt;&gt; 2017-01-31-SliceDisagreementCheck.txt</v>
      </c>
      <c r="AE11" s="164" t="str">
        <f t="shared" si="9"/>
        <v>start /low /b %USERPROFILE%\Documents\GitHub\eaglep3\Utilities\DownloadLogsFromS3.py --loco 4002 --day 2017-02-01</v>
      </c>
    </row>
    <row r="12" spans="1:31" s="1" customFormat="1" x14ac:dyDescent="0.25">
      <c r="A12" s="32">
        <v>42766.496550925927</v>
      </c>
      <c r="B12" s="30" t="s">
        <v>238</v>
      </c>
      <c r="C12" s="30" t="s">
        <v>498</v>
      </c>
      <c r="D12" s="30" t="s">
        <v>49</v>
      </c>
      <c r="E12" s="30" t="s">
        <v>186</v>
      </c>
      <c r="F12" s="43">
        <v>0</v>
      </c>
      <c r="G12" s="43">
        <v>782</v>
      </c>
      <c r="H12" s="43">
        <v>141705</v>
      </c>
      <c r="I12" s="43">
        <v>145853</v>
      </c>
      <c r="J12" s="30" t="s">
        <v>187</v>
      </c>
      <c r="K12" s="43">
        <v>144300</v>
      </c>
      <c r="L12" s="143" t="s">
        <v>50</v>
      </c>
      <c r="M12" s="144">
        <f t="shared" si="0"/>
        <v>-819.98400000000004</v>
      </c>
      <c r="N12" s="145" t="str">
        <f>VLOOKUP(C12,'Trips&amp;Operators'!$C$1:$G$99999,5,FALSE)</f>
        <v>LEVERE CRAIG</v>
      </c>
      <c r="O12" s="160" t="s">
        <v>223</v>
      </c>
      <c r="P12" s="146" t="s">
        <v>366</v>
      </c>
      <c r="Q12" s="30"/>
      <c r="R12" s="89" t="str">
        <f>VLOOKUP(C12,'Train Runs'!$A$13:$AE$9987,31,0)</f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S12" s="92" t="str">
        <f>VLOOKUP(C12,'Train Runs'!$A$13:$AE$9987,22,0)</f>
        <v>https://d0f6bd738d7f1b3e5a7ca70fe4ff75f0.us-east-1.aws.found.io/app/kibana#/discover/Steve-Slow-Train-Analysis-(2080s-and-2083s)?_g=(refreshInterval:(display:Off,pause:!f,section:0,value:0),time:(from:'2017-01-31T10:24:38-0700',mode:absolute,to:'2017-01-31T13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94" t="str">
        <f t="shared" si="1"/>
        <v>"C:\Program Files (x86)\AstroGrep\AstroGrep.exe" /spath="%USERPROFILE%\AppData\Local\Temp\OnboardLogs" /stypes="*4027*201701311*" /stext=" 18:.+((SYSTEM_STATE.+slice.+state.+changed )|(ment ac)|(multiple cpu faults)|(system.+state.+changed )|(\[timeout)|(PRM\|1\|D)|(kpr)|(kdp)|(\|lc)|(penalty))" /e /r /s</v>
      </c>
      <c r="U12" s="9" t="str">
        <f t="shared" si="2"/>
        <v>4027</v>
      </c>
      <c r="V12" s="32">
        <f t="shared" si="3"/>
        <v>42766.788217592592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{"issue":{"subject":"Wi-MAX data drop","project_id":79,"tracker_id":40,"status_id":1,"priority_id":2,"assigned_to_id":23,"start_date":"2017-01-31","description":"http://stevetu21.github.io/eaglep3/load_kml.html?kml=http://rtdc.gmaps-snips.s3.amazonaws.com/14cf9e87-03a5-49d4-8f37-23ea50de14d8.kml","custom_fields":[{"id":1,"name":"Subdivision","value":"EC"},{"id":4,"name":"Milepost","value":"14.43"},{"id":17,"name":"Train ID","value":"163-31"},{"id":16,"name":"Locomotive ID","value":"4027"},{"id":130,"name":"Impact","value":"Enforcement"},{"id":150,"name":"Time of Event (Mountain Time)","value":"11:55:02"},{"id":151,"name":"Denver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2" t="s">
        <v>889</v>
      </c>
      <c r="AA12" s="48" t="s">
        <v>124</v>
      </c>
      <c r="AB12" s="48" t="s">
        <v>137</v>
      </c>
      <c r="AC12" s="127" t="str">
        <f t="shared" si="7"/>
        <v>grep -hSE -A400 "Enforcement Action" "%USERPROFILE%\AppData\Local\Temp\OnboardLogs"\RTDC4027\*4027*201701311*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"%USERPROFILE%\AppData\Local\Temp\OnboardLogs"\RTDC4027\*4027*201701311* &gt;&gt; 2017-01-31-SliceDisagreementCheck.txt</v>
      </c>
      <c r="AE12" s="164" t="str">
        <f t="shared" si="9"/>
        <v>start /low /b %USERPROFILE%\Documents\GitHub\eaglep3\Utilities\DownloadLogsFromS3.py --loco 4027 --day 2017-01-31</v>
      </c>
    </row>
    <row r="13" spans="1:31" s="1" customFormat="1" x14ac:dyDescent="0.25">
      <c r="A13" s="32">
        <v>42766.715717592589</v>
      </c>
      <c r="B13" s="30" t="s">
        <v>238</v>
      </c>
      <c r="C13" s="30" t="s">
        <v>510</v>
      </c>
      <c r="D13" s="30" t="s">
        <v>49</v>
      </c>
      <c r="E13" s="30" t="s">
        <v>186</v>
      </c>
      <c r="F13" s="43">
        <v>0</v>
      </c>
      <c r="G13" s="43">
        <v>752</v>
      </c>
      <c r="H13" s="43">
        <v>142659</v>
      </c>
      <c r="I13" s="43">
        <v>146334</v>
      </c>
      <c r="J13" s="30" t="s">
        <v>187</v>
      </c>
      <c r="K13" s="43">
        <v>144300</v>
      </c>
      <c r="L13" s="143" t="s">
        <v>50</v>
      </c>
      <c r="M13" s="144">
        <f t="shared" si="0"/>
        <v>-1073.952</v>
      </c>
      <c r="N13" s="145" t="str">
        <f>VLOOKUP(C13,'Trips&amp;Operators'!$C$1:$G$99999,5,FALSE)</f>
        <v>LEVERE CRAIG</v>
      </c>
      <c r="O13" s="160" t="s">
        <v>223</v>
      </c>
      <c r="P13" s="146" t="s">
        <v>366</v>
      </c>
      <c r="Q13" s="30"/>
      <c r="R13" s="89" t="str">
        <f>VLOOKUP(C13,'Train Runs'!$A$13:$AE$9987,31,0)</f>
        <v>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 &amp; aws s3 cp s3://rtdc.mdm.uploadarchive.raw/RTDC4027/ "%USERPROFILE%\AppData\Local\Temp\OnboardLogs"\RTDC4027\2017-02-01 --exclude "*" --recursive --include "*20170201*" &amp; "%USERPROFILE%\Documents\GitHub\mrs-test-scripts\Headless Mode &amp; Sideloading\WalkAndUnGZ.bat" "%USERPROFILE%\AppData\Local\Temp\OnboardLogs"\RTDC4027\2017-02-01</v>
      </c>
      <c r="S13" s="92" t="str">
        <f>VLOOKUP(C13,'Train Runs'!$A$13:$AE$9987,22,0)</f>
        <v>https://d0f6bd738d7f1b3e5a7ca70fe4ff75f0.us-east-1.aws.found.io/app/kibana#/discover/Steve-Slow-Train-Analysis-(2080s-and-2083s)?_g=(refreshInterval:(display:Off,pause:!f,section:0,value:0),time:(from:'2017-01-31T15:40:15-0700',mode:absolute,to:'2017-01-31T18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94" t="str">
        <f t="shared" si="1"/>
        <v>"C:\Program Files (x86)\AstroGrep\AstroGrep.exe" /spath="%USERPROFILE%\AppData\Local\Temp\OnboardLogs" /stypes="*4027*201702010*" /stext=" 00:.+((SYSTEM_STATE.+slice.+state.+changed )|(ment ac)|(multiple cpu faults)|(system.+state.+changed )|(\[timeout)|(PRM\|1\|D)|(kpr)|(kdp)|(\|lc)|(penalty))" /e /r /s</v>
      </c>
      <c r="U13" s="9" t="str">
        <f t="shared" si="2"/>
        <v>4027</v>
      </c>
      <c r="V13" s="32">
        <f t="shared" si="3"/>
        <v>42767.007384259254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{"issue":{"subject":"Wi-MAX data drop","project_id":79,"tracker_id":40,"status_id":1,"priority_id":2,"assigned_to_id":23,"start_date":"2017-01-31","description":"http://stevetu21.github.io/eaglep3/load_kml.html?kml=http://rtdc.gmaps-snips.s3.amazonaws.com/927e39fe-7033-41a2-bc42-a4383a461b08.kml","custom_fields":[{"id":1,"name":"Subdivision","value":"EC"},{"id":4,"name":"Milepost","value":"14.43"},{"id":17,"name":"Train ID","value":"205-31"},{"id":16,"name":"Locomotive ID","value":"4027"},{"id":130,"name":"Impact","value":"Enforcement"},{"id":150,"name":"Time of Event (Mountain Time)","value":"17:10:38"},{"id":151,"name":"Denver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t="s">
        <v>890</v>
      </c>
      <c r="AA13" s="48" t="s">
        <v>124</v>
      </c>
      <c r="AB13" s="48" t="s">
        <v>137</v>
      </c>
      <c r="AC13" s="127" t="str">
        <f t="shared" si="7"/>
        <v>grep -hSE -A400 "Enforcement Action" "%USERPROFILE%\AppData\Local\Temp\OnboardLogs"\RTDC4027\*4027*201702010*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"%USERPROFILE%\AppData\Local\Temp\OnboardLogs"\RTDC4027\*4027*201702010* &gt;&gt; 2017-01-31-SliceDisagreementCheck.txt</v>
      </c>
      <c r="AE13" s="164" t="str">
        <f t="shared" si="9"/>
        <v>start /low /b %USERPROFILE%\Documents\GitHub\eaglep3\Utilities\DownloadLogsFromS3.py --loco 4027 --day 2017-02-01</v>
      </c>
    </row>
    <row r="14" spans="1:31" s="1" customFormat="1" x14ac:dyDescent="0.25">
      <c r="A14" s="32">
        <v>42766.388032407405</v>
      </c>
      <c r="B14" s="30" t="s">
        <v>250</v>
      </c>
      <c r="C14" s="30" t="s">
        <v>492</v>
      </c>
      <c r="D14" s="30" t="s">
        <v>49</v>
      </c>
      <c r="E14" s="30" t="s">
        <v>188</v>
      </c>
      <c r="F14" s="43">
        <v>0</v>
      </c>
      <c r="G14" s="43">
        <v>96</v>
      </c>
      <c r="H14" s="43">
        <v>375</v>
      </c>
      <c r="I14" s="43">
        <v>283</v>
      </c>
      <c r="J14" s="30" t="s">
        <v>189</v>
      </c>
      <c r="K14" s="43">
        <v>1</v>
      </c>
      <c r="L14" s="143" t="s">
        <v>51</v>
      </c>
      <c r="M14" s="144">
        <f t="shared" si="0"/>
        <v>148.89599999999999</v>
      </c>
      <c r="N14" s="145" t="str">
        <f>VLOOKUP(C14,'Trips&amp;Operators'!$C$1:$G$99999,5,FALSE)</f>
        <v>STARKS ANGELINA</v>
      </c>
      <c r="O14" s="160" t="s">
        <v>185</v>
      </c>
      <c r="P14" s="146"/>
      <c r="Q14" s="30"/>
      <c r="R14" s="89" t="str">
        <f>VLOOKUP(C14,'Train Runs'!$A$13:$AE$9987,31,0)</f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S14" s="92" t="str">
        <f>VLOOKUP(C14,'Train Runs'!$A$13:$AE$9987,22,0)</f>
        <v>https://d0f6bd738d7f1b3e5a7ca70fe4ff75f0.us-east-1.aws.found.io/app/kibana#/discover/Steve-Slow-Train-Analysis-(2080s-and-2083s)?_g=(refreshInterval:(display:Off,pause:!f,section:0,value:0),time:(from:'2017-01-31T07:37:09-0700',mode:absolute,to:'2017-01-31T10:18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94" t="str">
        <f t="shared" si="1"/>
        <v>"C:\Program Files (x86)\AstroGrep\AstroGrep.exe" /spath="%USERPROFILE%\AppData\Local\Temp\OnboardLogs" /stypes="*4039*201701311*" /stext=" 16:.+((SYSTEM_STATE.+slice.+state.+changed )|(ment ac)|(multiple cpu faults)|(system.+state.+changed )|(\[timeout)|(PRM\|1\|D)|(kpr)|(kdp)|(\|lc)|(penalty))" /e /r /s</v>
      </c>
      <c r="U14" s="9" t="str">
        <f t="shared" si="2"/>
        <v>4039</v>
      </c>
      <c r="V14" s="32">
        <f t="shared" si="3"/>
        <v>42766.67969907407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{"issue":{"subject":"","project_id":79,"tracker_id":40,"status_id":1,"priority_id":2,"assigned_to_id":23,"start_date":"2017-01-31","description":"","custom_fields":[{"id":1,"name":"Subdivision","value":"EC"},{"id":4,"name":"Milepost","value":"0.0001"},{"id":17,"name":"Train ID","value":"134-31"},{"id":16,"name":"Locomotive ID","value":"4039"},{"id":130,"name":"Impact","value":""},{"id":150,"name":"Time of Event (Mountain Time)","value":"09:18:46"},{"id":151,"name":"Denver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"%USERPROFILE%\AppData\Local\Temp\OnboardLogs"\RTDC4039\*4039*201701311*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"%USERPROFILE%\AppData\Local\Temp\OnboardLogs"\RTDC4039\*4039*201701311* &gt;&gt; 2017-01-31-SliceDisagreementCheck.txt</v>
      </c>
      <c r="AE14" s="164" t="str">
        <f t="shared" si="9"/>
        <v>start /low /b %USERPROFILE%\Documents\GitHub\eaglep3\Utilities\DownloadLogsFromS3.py --loco 4039 --day 2017-01-31</v>
      </c>
    </row>
    <row r="15" spans="1:31" s="1" customFormat="1" x14ac:dyDescent="0.25">
      <c r="A15" s="32">
        <v>42766.400289351855</v>
      </c>
      <c r="B15" s="30" t="s">
        <v>237</v>
      </c>
      <c r="C15" s="30" t="s">
        <v>493</v>
      </c>
      <c r="D15" s="30" t="s">
        <v>49</v>
      </c>
      <c r="E15" s="30" t="s">
        <v>188</v>
      </c>
      <c r="F15" s="43">
        <v>0</v>
      </c>
      <c r="G15" s="43">
        <v>43</v>
      </c>
      <c r="H15" s="43">
        <v>150</v>
      </c>
      <c r="I15" s="43">
        <v>119</v>
      </c>
      <c r="J15" s="30" t="s">
        <v>189</v>
      </c>
      <c r="K15" s="43">
        <v>1</v>
      </c>
      <c r="L15" s="143" t="s">
        <v>51</v>
      </c>
      <c r="M15" s="144">
        <f t="shared" si="0"/>
        <v>62.304000000000002</v>
      </c>
      <c r="N15" s="145" t="str">
        <f>VLOOKUP(C15,'Trips&amp;Operators'!$C$1:$G$99999,5,FALSE)</f>
        <v>BONDS REYNALDO</v>
      </c>
      <c r="O15" s="160" t="s">
        <v>185</v>
      </c>
      <c r="P15" s="146"/>
      <c r="Q15" s="30"/>
      <c r="R15" s="89" t="str">
        <f>VLOOKUP(C15,'Train Runs'!$A$13:$AE$9987,31,0)</f>
        <v>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 &amp; aws s3 cp s3://rtdc.mdm.uploadarchive.raw/RTDC4028/ "%USERPROFILE%\AppData\Local\Temp\OnboardLogs"\RTDC4028\2017-02-01 --exclude "*" --recursive --include "*20170201*" &amp; "%USERPROFILE%\Documents\GitHub\mrs-test-scripts\Headless Mode &amp; Sideloading\WalkAndUnGZ.bat" "%USERPROFILE%\AppData\Local\Temp\OnboardLogs"\RTDC4028\2017-02-01</v>
      </c>
      <c r="S15" s="92" t="str">
        <f>VLOOKUP(C15,'Train Runs'!$A$13:$AE$9987,22,0)</f>
        <v>https://d0f6bd738d7f1b3e5a7ca70fe4ff75f0.us-east-1.aws.found.io/app/kibana#/discover/Steve-Slow-Train-Analysis-(2080s-and-2083s)?_g=(refreshInterval:(display:Off,pause:!f,section:0,value:0),time:(from:'2017-01-31T07:44:26-0700',mode:absolute,to:'2017-01-31T10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94" t="str">
        <f t="shared" si="1"/>
        <v>"C:\Program Files (x86)\AstroGrep\AstroGrep.exe" /spath="%USERPROFILE%\AppData\Local\Temp\OnboardLogs" /stypes="*4028*201701311*" /stext=" 16:.+((SYSTEM_STATE.+slice.+state.+changed )|(ment ac)|(multiple cpu faults)|(system.+state.+changed )|(\[timeout)|(PRM\|1\|D)|(kpr)|(kdp)|(\|lc)|(penalty))" /e /r /s</v>
      </c>
      <c r="U15" s="9" t="str">
        <f t="shared" si="2"/>
        <v>4028</v>
      </c>
      <c r="V15" s="32">
        <f t="shared" si="3"/>
        <v>42766.69195601852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{"issue":{"subject":"","project_id":79,"tracker_id":40,"status_id":1,"priority_id":2,"assigned_to_id":23,"start_date":"2017-01-31","description":"","custom_fields":[{"id":1,"name":"Subdivision","value":"EC"},{"id":4,"name":"Milepost","value":"0.0001"},{"id":17,"name":"Train ID","value":"136-31"},{"id":16,"name":"Locomotive ID","value":"4028"},{"id":130,"name":"Impact","value":""},{"id":150,"name":"Time of Event (Mountain Time)","value":"09:36:25"},{"id":151,"name":"Denver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"%USERPROFILE%\AppData\Local\Temp\OnboardLogs"\RTDC4028\*4028*201701311*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"%USERPROFILE%\AppData\Local\Temp\OnboardLogs"\RTDC4028\*4028*201701311* &gt;&gt; 2017-01-31-SliceDisagreementCheck.txt</v>
      </c>
      <c r="AE15" s="164" t="str">
        <f t="shared" si="9"/>
        <v>start /low /b %USERPROFILE%\Documents\GitHub\eaglep3\Utilities\DownloadLogsFromS3.py --loco 4028 --day 2017-01-31</v>
      </c>
    </row>
    <row r="16" spans="1:31" s="1" customFormat="1" x14ac:dyDescent="0.25">
      <c r="A16" s="32">
        <v>42766.483287037037</v>
      </c>
      <c r="B16" s="30" t="s">
        <v>292</v>
      </c>
      <c r="C16" s="30" t="s">
        <v>496</v>
      </c>
      <c r="D16" s="30" t="s">
        <v>49</v>
      </c>
      <c r="E16" s="30" t="s">
        <v>188</v>
      </c>
      <c r="F16" s="43">
        <v>0</v>
      </c>
      <c r="G16" s="43">
        <v>63</v>
      </c>
      <c r="H16" s="43">
        <v>218</v>
      </c>
      <c r="I16" s="43">
        <v>134</v>
      </c>
      <c r="J16" s="30" t="s">
        <v>189</v>
      </c>
      <c r="K16" s="43">
        <v>1</v>
      </c>
      <c r="L16" s="143" t="s">
        <v>51</v>
      </c>
      <c r="M16" s="144">
        <f t="shared" si="0"/>
        <v>70.224000000000004</v>
      </c>
      <c r="N16" s="145" t="str">
        <f>VLOOKUP(C16,'Trips&amp;Operators'!$C$1:$G$99999,5,FALSE)</f>
        <v>DAVIS WENDY</v>
      </c>
      <c r="O16" s="160" t="s">
        <v>185</v>
      </c>
      <c r="P16" s="146"/>
      <c r="Q16" s="30"/>
      <c r="R16" s="89" t="str">
        <f>VLOOKUP(C16,'Train Runs'!$A$13:$AE$9987,31,0)</f>
        <v>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 &amp; aws s3 cp s3://rtdc.mdm.uploadarchive.raw/RTDC4041/ "%USERPROFILE%\AppData\Local\Temp\OnboardLogs"\RTDC4041\2017-02-01 --exclude "*" --recursive --include "*20170201*" &amp; "%USERPROFILE%\Documents\GitHub\mrs-test-scripts\Headless Mode &amp; Sideloading\WalkAndUnGZ.bat" "%USERPROFILE%\AppData\Local\Temp\OnboardLogs"\RTDC4041\2017-02-01</v>
      </c>
      <c r="S16" s="92" t="str">
        <f>VLOOKUP(C16,'Train Runs'!$A$13:$AE$9987,22,0)</f>
        <v>https://d0f6bd738d7f1b3e5a7ca70fe4ff75f0.us-east-1.aws.found.io/app/kibana#/discover/Steve-Slow-Train-Analysis-(2080s-and-2083s)?_g=(refreshInterval:(display:Off,pause:!f,section:0,value:0),time:(from:'2017-01-31T09:52:45-0700',mode:absolute,to:'2017-01-31T12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94" t="str">
        <f t="shared" si="1"/>
        <v>"C:\Program Files (x86)\AstroGrep\AstroGrep.exe" /spath="%USERPROFILE%\AppData\Local\Temp\OnboardLogs" /stypes="*4041*201701311*" /stext=" 18:.+((SYSTEM_STATE.+slice.+state.+changed )|(ment ac)|(multiple cpu faults)|(system.+state.+changed )|(\[timeout)|(PRM\|1\|D)|(kpr)|(kdp)|(\|lc)|(penalty))" /e /r /s</v>
      </c>
      <c r="U16" s="9" t="str">
        <f t="shared" si="2"/>
        <v>4041</v>
      </c>
      <c r="V16" s="32">
        <f t="shared" si="3"/>
        <v>42766.774953703702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{"issue":{"subject":"","project_id":79,"tracker_id":40,"status_id":1,"priority_id":2,"assigned_to_id":23,"start_date":"2017-01-31","description":"","custom_fields":[{"id":1,"name":"Subdivision","value":"EC"},{"id":4,"name":"Milepost","value":"0.0001"},{"id":17,"name":"Train ID","value":"152-31"},{"id":16,"name":"Locomotive ID","value":"4041"},{"id":130,"name":"Impact","value":""},{"id":150,"name":"Time of Event (Mountain Time)","value":"11:35:56"},{"id":151,"name":"Denver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"%USERPROFILE%\AppData\Local\Temp\OnboardLogs"\RTDC4041\*4041*201701311*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"%USERPROFILE%\AppData\Local\Temp\OnboardLogs"\RTDC4041\*4041*201701311* &gt;&gt; 2017-01-31-SliceDisagreementCheck.txt</v>
      </c>
      <c r="AE16" s="164" t="str">
        <f t="shared" si="9"/>
        <v>start /low /b %USERPROFILE%\Documents\GitHub\eaglep3\Utilities\DownloadLogsFromS3.py --loco 4041 --day 2017-01-31</v>
      </c>
    </row>
    <row r="17" spans="1:32" x14ac:dyDescent="0.25">
      <c r="A17" s="32">
        <v>42766.639178240737</v>
      </c>
      <c r="B17" s="30" t="s">
        <v>301</v>
      </c>
      <c r="C17" s="30" t="s">
        <v>500</v>
      </c>
      <c r="D17" s="30" t="s">
        <v>49</v>
      </c>
      <c r="E17" s="30" t="s">
        <v>188</v>
      </c>
      <c r="F17" s="43">
        <v>0</v>
      </c>
      <c r="G17" s="43">
        <v>74</v>
      </c>
      <c r="H17" s="43">
        <v>280</v>
      </c>
      <c r="I17" s="43">
        <v>119</v>
      </c>
      <c r="J17" s="30" t="s">
        <v>189</v>
      </c>
      <c r="K17" s="43">
        <v>1</v>
      </c>
      <c r="L17" s="143" t="s">
        <v>51</v>
      </c>
      <c r="M17" s="144">
        <f t="shared" si="0"/>
        <v>62.304000000000002</v>
      </c>
      <c r="N17" s="145" t="str">
        <f>VLOOKUP(C17,'Trips&amp;Operators'!$C$1:$G$99999,5,FALSE)</f>
        <v>CRAYTON QUNTRELL</v>
      </c>
      <c r="O17" s="160" t="s">
        <v>223</v>
      </c>
      <c r="P17" s="146" t="s">
        <v>904</v>
      </c>
      <c r="Q17" s="30"/>
      <c r="R17" s="89" t="str">
        <f>VLOOKUP(C17,'Train Runs'!$A$13:$AE$9987,31,0)</f>
        <v>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 &amp; aws s3 cp s3://rtdc.mdm.uploadarchive.raw/RTDC4001/ "%USERPROFILE%\AppData\Local\Temp\OnboardLogs"\RTDC4001\2017-02-01 --exclude "*" --recursive --include "*20170201*" &amp; "%USERPROFILE%\Documents\GitHub\mrs-test-scripts\Headless Mode &amp; Sideloading\WalkAndUnGZ.bat" "%USERPROFILE%\AppData\Local\Temp\OnboardLogs"\RTDC4001\2017-02-01</v>
      </c>
      <c r="S17" s="92" t="str">
        <f>VLOOKUP(C17,'Train Runs'!$A$13:$AE$9987,22,0)</f>
        <v>https://d0f6bd738d7f1b3e5a7ca70fe4ff75f0.us-east-1.aws.found.io/app/kibana#/discover/Steve-Slow-Train-Analysis-(2080s-and-2083s)?_g=(refreshInterval:(display:Off,pause:!f,section:0,value:0),time:(from:'2017-01-31T13:30:31-0700',mode:absolute,to:'2017-01-31T16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94" t="str">
        <f t="shared" si="1"/>
        <v>"C:\Program Files (x86)\AstroGrep\AstroGrep.exe" /spath="%USERPROFILE%\AppData\Local\Temp\OnboardLogs" /stypes="*4001*201701312*" /stext=" 22:.+((SYSTEM_STATE.+slice.+state.+changed )|(ment ac)|(multiple cpu faults)|(system.+state.+changed )|(\[timeout)|(PRM\|1\|D)|(kpr)|(kdp)|(\|lc)|(penalty))" /e /r /s</v>
      </c>
      <c r="U17" s="9" t="str">
        <f t="shared" si="2"/>
        <v>4001</v>
      </c>
      <c r="V17" s="32">
        <f t="shared" si="3"/>
        <v>42766.930844907401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{"issue":{"subject":"Banner w/o braking","project_id":79,"tracker_id":40,"status_id":1,"priority_id":2,"assigned_to_id":23,"start_date":"2017-01-31","description":"","custom_fields":[{"id":1,"name":"Subdivision","value":"EC"},{"id":4,"name":"Milepost","value":"0.0001"},{"id":17,"name":"Train ID","value":"182-31"},{"id":16,"name":"Locomotive ID","value":"4001"},{"id":130,"name":"Impact","value":""},{"id":150,"name":"Time of Event (Mountain Time)","value":"15:20:25"},{"id":151,"name":"Denver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"%USERPROFILE%\AppData\Local\Temp\OnboardLogs"\RTDC4001\*4001*201701312*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"%USERPROFILE%\AppData\Local\Temp\OnboardLogs"\RTDC4001\*4001*201701312* &gt;&gt; 2017-01-31-SliceDisagreementCheck.txt</v>
      </c>
      <c r="AE17" s="164" t="str">
        <f t="shared" si="9"/>
        <v>start /low /b %USERPROFILE%\Documents\GitHub\eaglep3\Utilities\DownloadLogsFromS3.py --loco 4001 --day 2017-01-31</v>
      </c>
      <c r="AF17" s="1"/>
    </row>
    <row r="18" spans="1:32" ht="15" customHeight="1" x14ac:dyDescent="0.25">
      <c r="A18" s="32">
        <v>42766.984525462962</v>
      </c>
      <c r="B18" s="30" t="s">
        <v>250</v>
      </c>
      <c r="C18" s="30" t="s">
        <v>520</v>
      </c>
      <c r="D18" s="30" t="s">
        <v>49</v>
      </c>
      <c r="E18" s="30" t="s">
        <v>188</v>
      </c>
      <c r="F18" s="43">
        <v>0</v>
      </c>
      <c r="G18" s="43">
        <v>84</v>
      </c>
      <c r="H18" s="43">
        <v>314</v>
      </c>
      <c r="I18" s="43">
        <v>223</v>
      </c>
      <c r="J18" s="30" t="s">
        <v>189</v>
      </c>
      <c r="K18" s="43">
        <v>1</v>
      </c>
      <c r="L18" s="143" t="s">
        <v>51</v>
      </c>
      <c r="M18" s="144">
        <f t="shared" si="0"/>
        <v>117.21599999999999</v>
      </c>
      <c r="N18" s="145" t="str">
        <f>VLOOKUP(C18,'Trips&amp;Operators'!$C$1:$G$99999,5,FALSE)</f>
        <v>STORY SAMANTHA</v>
      </c>
      <c r="O18" s="160" t="s">
        <v>185</v>
      </c>
      <c r="P18" s="146"/>
      <c r="Q18" s="30"/>
      <c r="R18" s="89" t="str">
        <f>VLOOKUP(C18,'Train Runs'!$A$13:$AE$9987,31,0)</f>
        <v>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 &amp; aws s3 cp s3://rtdc.mdm.uploadarchive.raw/RTDC4039/ "%USERPROFILE%\AppData\Local\Temp\OnboardLogs"\RTDC4039\2017-02-01 --exclude "*" --recursive --include "*20170201*" &amp; "%USERPROFILE%\Documents\GitHub\mrs-test-scripts\Headless Mode &amp; Sideloading\WalkAndUnGZ.bat" "%USERPROFILE%\AppData\Local\Temp\OnboardLogs"\RTDC4039\2017-02-01</v>
      </c>
      <c r="S18" s="92" t="str">
        <f>VLOOKUP(C18,'Train Runs'!$A$13:$AE$9987,22,0)</f>
        <v>https://d0f6bd738d7f1b3e5a7ca70fe4ff75f0.us-east-1.aws.found.io/app/kibana#/discover/Steve-Slow-Train-Analysis-(2080s-and-2083s)?_g=(refreshInterval:(display:Off,pause:!f,section:0,value:0),time:(from:'2017-01-31T21:42:02-0700',mode:absolute,to:'2017-02-01T00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94" t="str">
        <f t="shared" si="1"/>
        <v>"C:\Program Files (x86)\AstroGrep\AstroGrep.exe" /spath="%USERPROFILE%\AppData\Local\Temp\OnboardLogs" /stypes="*4039*201702010*" /stext=" 06:.+((SYSTEM_STATE.+slice.+state.+changed )|(ment ac)|(multiple cpu faults)|(system.+state.+changed )|(\[timeout)|(PRM\|1\|D)|(kpr)|(kdp)|(\|lc)|(penalty))" /e /r /s</v>
      </c>
      <c r="U18" s="9" t="str">
        <f t="shared" si="2"/>
        <v>4039</v>
      </c>
      <c r="V18" s="32">
        <f t="shared" si="3"/>
        <v>42767.276192129626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{"issue":{"subject":"","project_id":79,"tracker_id":40,"status_id":1,"priority_id":2,"assigned_to_id":23,"start_date":"2017-01-31","description":"","custom_fields":[{"id":1,"name":"Subdivision","value":"EC"},{"id":4,"name":"Milepost","value":"0.0001"},{"id":17,"name":"Train ID","value":"234-31"},{"id":16,"name":"Locomotive ID","value":"4039"},{"id":130,"name":"Impact","value":""},{"id":150,"name":"Time of Event (Mountain Time)","value":"23:37:43"},{"id":151,"name":"Denver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"%USERPROFILE%\AppData\Local\Temp\OnboardLogs"\RTDC4039\*4039*201702010*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"%USERPROFILE%\AppData\Local\Temp\OnboardLogs"\RTDC4039\*4039*201702010* &gt;&gt; 2017-01-31-SliceDisagreementCheck.txt</v>
      </c>
      <c r="AE18" s="164" t="str">
        <f t="shared" si="9"/>
        <v>start /low /b %USERPROFILE%\Documents\GitHub\eaglep3\Utilities\DownloadLogsFromS3.py --loco 4039 --day 2017-02-01</v>
      </c>
      <c r="AF18" s="1"/>
    </row>
    <row r="19" spans="1:32" x14ac:dyDescent="0.25">
      <c r="A19" s="32">
        <v>42766.723564814813</v>
      </c>
      <c r="B19" s="30" t="s">
        <v>196</v>
      </c>
      <c r="C19" s="30" t="s">
        <v>511</v>
      </c>
      <c r="D19" s="30" t="s">
        <v>49</v>
      </c>
      <c r="E19" s="30" t="s">
        <v>188</v>
      </c>
      <c r="F19" s="43">
        <v>0</v>
      </c>
      <c r="G19" s="43">
        <v>107</v>
      </c>
      <c r="H19" s="43">
        <v>1718</v>
      </c>
      <c r="I19" s="43">
        <v>1547</v>
      </c>
      <c r="J19" s="30" t="s">
        <v>189</v>
      </c>
      <c r="K19" s="43">
        <v>839</v>
      </c>
      <c r="L19" s="143" t="s">
        <v>51</v>
      </c>
      <c r="M19" s="144">
        <f t="shared" si="0"/>
        <v>373.82400000000001</v>
      </c>
      <c r="N19" s="145" t="str">
        <f>VLOOKUP(C19,'Trips&amp;Operators'!$C$1:$G$99999,5,FALSE)</f>
        <v>ROMERO CHAD</v>
      </c>
      <c r="O19" s="160" t="s">
        <v>185</v>
      </c>
      <c r="P19" s="146"/>
      <c r="Q19" s="30"/>
      <c r="R19" s="89" t="str">
        <f>VLOOKUP(C19,'Train Runs'!$A$13:$AE$9987,31,0)</f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S19" s="92" t="str">
        <f>VLOOKUP(C19,'Train Runs'!$A$13:$AE$9987,22,0)</f>
        <v>https://d0f6bd738d7f1b3e5a7ca70fe4ff75f0.us-east-1.aws.found.io/app/kibana#/discover/Steve-Slow-Train-Analysis-(2080s-and-2083s)?_g=(refreshInterval:(display:Off,pause:!f,section:0,value:0),time:(from:'2017-01-31T15:26:58-0700',mode:absolute,to:'2017-01-31T18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9" s="94" t="str">
        <f t="shared" si="1"/>
        <v>"C:\Program Files (x86)\AstroGrep\AstroGrep.exe" /spath="%USERPROFILE%\AppData\Local\Temp\OnboardLogs" /stypes="*4012*201702010*" /stext=" 00:.+((SYSTEM_STATE.+slice.+state.+changed )|(ment ac)|(multiple cpu faults)|(system.+state.+changed )|(\[timeout)|(PRM\|1\|D)|(kpr)|(kdp)|(\|lc)|(penalty))" /e /r /s</v>
      </c>
      <c r="U19" s="9" t="str">
        <f t="shared" si="2"/>
        <v>4012</v>
      </c>
      <c r="V19" s="32">
        <f t="shared" si="3"/>
        <v>42767.015231481477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{"issue":{"subject":"","project_id":79,"tracker_id":40,"status_id":1,"priority_id":2,"assigned_to_id":23,"start_date":"2017-01-31","description":"","custom_fields":[{"id":1,"name":"Subdivision","value":"EC"},{"id":4,"name":"Milepost","value":"0.0839"},{"id":17,"name":"Train ID","value":"198-31"},{"id":16,"name":"Locomotive ID","value":"4012"},{"id":130,"name":"Impact","value":""},{"id":150,"name":"Time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"%USERPROFILE%\AppData\Local\Temp\OnboardLogs"\RTDC4012\*4012*201702010*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"%USERPROFILE%\AppData\Local\Temp\OnboardLogs"\RTDC4012\*4012*201702010* &gt;&gt; 2017-01-31-SliceDisagreementCheck.txt</v>
      </c>
      <c r="AE19" s="164" t="str">
        <f t="shared" si="9"/>
        <v>start /low /b %USERPROFILE%\Documents\GitHub\eaglep3\Utilities\DownloadLogsFromS3.py --loco 4012 --day 2017-02-01</v>
      </c>
      <c r="AF19" s="1"/>
    </row>
    <row r="20" spans="1:32" x14ac:dyDescent="0.25">
      <c r="A20" s="32">
        <v>42766.724317129629</v>
      </c>
      <c r="B20" s="30" t="s">
        <v>196</v>
      </c>
      <c r="C20" s="30" t="s">
        <v>511</v>
      </c>
      <c r="D20" s="30" t="s">
        <v>49</v>
      </c>
      <c r="E20" s="30" t="s">
        <v>188</v>
      </c>
      <c r="F20" s="43">
        <v>0</v>
      </c>
      <c r="G20" s="43">
        <v>39</v>
      </c>
      <c r="H20" s="43">
        <v>996</v>
      </c>
      <c r="I20" s="43">
        <v>967</v>
      </c>
      <c r="J20" s="30" t="s">
        <v>189</v>
      </c>
      <c r="K20" s="43">
        <v>839</v>
      </c>
      <c r="L20" s="143" t="s">
        <v>51</v>
      </c>
      <c r="M20" s="144">
        <f t="shared" si="0"/>
        <v>67.584000000000003</v>
      </c>
      <c r="N20" s="145" t="str">
        <f>VLOOKUP(C20,'Trips&amp;Operators'!$C$1:$G$99999,5,FALSE)</f>
        <v>ROMERO CHAD</v>
      </c>
      <c r="O20" s="160" t="s">
        <v>185</v>
      </c>
      <c r="P20" s="146"/>
      <c r="Q20" s="30"/>
      <c r="R20" s="89" t="str">
        <f>VLOOKUP(C20,'Train Runs'!$A$13:$AE$9987,31,0)</f>
        <v>aws s3 cp s3://rtdc.mdm.uploadarchive.raw/RTDC4012/ "%USERPROFILE%\AppData\Local\Temp\OnboardLogs"\RTDC4012\2017-01-31 --exclude "*" --recursive --include "*20170131*" &amp; "%USERPROFILE%\Documents\GitHub\mrs-test-scripts\Headless Mode &amp; Sideloading\WalkAndUnGZ.bat" "%USERPROFILE%\AppData\Local\Temp\OnboardLogs"\RTDC4012\2017-01-31 &amp; aws s3 cp s3://rtdc.mdm.uploadarchive.raw/RTDC4012/ "%USERPROFILE%\AppData\Local\Temp\OnboardLogs"\RTDC4012\2017-02-01 --exclude "*" --recursive --include "*20170201*" &amp; "%USERPROFILE%\Documents\GitHub\mrs-test-scripts\Headless Mode &amp; Sideloading\WalkAndUnGZ.bat" "%USERPROFILE%\AppData\Local\Temp\OnboardLogs"\RTDC4012\2017-02-01</v>
      </c>
      <c r="S20" s="92" t="str">
        <f>VLOOKUP(C20,'Train Runs'!$A$13:$AE$9987,22,0)</f>
        <v>https://d0f6bd738d7f1b3e5a7ca70fe4ff75f0.us-east-1.aws.found.io/app/kibana#/discover/Steve-Slow-Train-Analysis-(2080s-and-2083s)?_g=(refreshInterval:(display:Off,pause:!f,section:0,value:0),time:(from:'2017-01-31T15:26:58-0700',mode:absolute,to:'2017-01-31T18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94" t="str">
        <f t="shared" si="1"/>
        <v>"C:\Program Files (x86)\AstroGrep\AstroGrep.exe" /spath="%USERPROFILE%\AppData\Local\Temp\OnboardLogs" /stypes="*4012*201702010*" /stext=" 00:.+((SYSTEM_STATE.+slice.+state.+changed )|(ment ac)|(multiple cpu faults)|(system.+state.+changed )|(\[timeout)|(PRM\|1\|D)|(kpr)|(kdp)|(\|lc)|(penalty))" /e /r /s</v>
      </c>
      <c r="U20" s="9" t="str">
        <f t="shared" si="2"/>
        <v>4012</v>
      </c>
      <c r="V20" s="32">
        <f t="shared" si="3"/>
        <v>42767.015983796293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{"issue":{"subject":"","project_id":79,"tracker_id":40,"status_id":1,"priority_id":2,"assigned_to_id":23,"start_date":"2017-01-31","description":"","custom_fields":[{"id":1,"name":"Subdivision","value":"EC"},{"id":4,"name":"Milepost","value":"0.0839"},{"id":17,"name":"Train ID","value":"198-31"},{"id":16,"name":"Locomotive ID","value":"4012"},{"id":130,"name":"Impact","value":""},{"id":150,"name":"Time of Event (Mountain Time)","value":"17:23:01"},{"id":151,"name":"Denver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"%USERPROFILE%\AppData\Local\Temp\OnboardLogs"\RTDC4012\*4012*201702010*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"%USERPROFILE%\AppData\Local\Temp\OnboardLogs"\RTDC4012\*4012*201702010* &gt;&gt; 2017-01-31-SliceDisagreementCheck.txt</v>
      </c>
      <c r="AE20" s="164" t="str">
        <f t="shared" si="9"/>
        <v>start /low /b %USERPROFILE%\Documents\GitHub\eaglep3\Utilities\DownloadLogsFromS3.py --loco 4012 --day 2017-02-01</v>
      </c>
      <c r="AF20" s="1"/>
    </row>
    <row r="21" spans="1:32" x14ac:dyDescent="0.25">
      <c r="A21" s="32">
        <v>42766.410752314812</v>
      </c>
      <c r="B21" s="30" t="s">
        <v>254</v>
      </c>
      <c r="C21" s="30" t="s">
        <v>494</v>
      </c>
      <c r="D21" s="30" t="s">
        <v>49</v>
      </c>
      <c r="E21" s="30" t="s">
        <v>188</v>
      </c>
      <c r="F21" s="43">
        <v>0</v>
      </c>
      <c r="G21" s="43">
        <v>39</v>
      </c>
      <c r="H21" s="43">
        <v>233338</v>
      </c>
      <c r="I21" s="43">
        <v>233355</v>
      </c>
      <c r="J21" s="30" t="s">
        <v>189</v>
      </c>
      <c r="K21" s="43">
        <v>233491</v>
      </c>
      <c r="L21" s="143" t="s">
        <v>50</v>
      </c>
      <c r="M21" s="144">
        <f t="shared" si="0"/>
        <v>71.808000000000007</v>
      </c>
      <c r="N21" s="145" t="str">
        <f>VLOOKUP(C21,'Trips&amp;Operators'!$C$1:$G$99999,5,FALSE)</f>
        <v>MAELZER KURT</v>
      </c>
      <c r="O21" s="160" t="s">
        <v>185</v>
      </c>
      <c r="P21" s="146"/>
      <c r="Q21" s="30"/>
      <c r="R21" s="89" t="str">
        <f>VLOOKUP(C21,'Train Runs'!$A$13:$AE$9987,31,0)</f>
        <v>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 &amp; aws s3 cp s3://rtdc.mdm.uploadarchive.raw/RTDC4025/ "%USERPROFILE%\AppData\Local\Temp\OnboardLogs"\RTDC4025\2017-02-01 --exclude "*" --recursive --include "*20170201*" &amp; "%USERPROFILE%\Documents\GitHub\mrs-test-scripts\Headless Mode &amp; Sideloading\WalkAndUnGZ.bat" "%USERPROFILE%\AppData\Local\Temp\OnboardLogs"\RTDC4025\2017-02-01</v>
      </c>
      <c r="S21" s="92" t="str">
        <f>VLOOKUP(C21,'Train Runs'!$A$13:$AE$9987,22,0)</f>
        <v>https://d0f6bd738d7f1b3e5a7ca70fe4ff75f0.us-east-1.aws.found.io/app/kibana#/discover/Steve-Slow-Train-Analysis-(2080s-and-2083s)?_g=(refreshInterval:(display:Off,pause:!f,section:0,value:0),time:(from:'2017-01-31T08:08:35-0700',mode:absolute,to:'2017-01-31T10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1" s="94" t="str">
        <f t="shared" si="1"/>
        <v>"C:\Program Files (x86)\AstroGrep\AstroGrep.exe" /spath="%USERPROFILE%\AppData\Local\Temp\OnboardLogs" /stypes="*4025*201701311*" /stext=" 16:.+((SYSTEM_STATE.+slice.+state.+changed )|(ment ac)|(multiple cpu faults)|(system.+state.+changed )|(\[timeout)|(PRM\|1\|D)|(kpr)|(kdp)|(\|lc)|(penalty))" /e /r /s</v>
      </c>
      <c r="U21" s="9" t="str">
        <f t="shared" si="2"/>
        <v>4025</v>
      </c>
      <c r="V21" s="32">
        <f t="shared" si="3"/>
        <v>42766.702418981477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{"issue":{"subject":"","project_id":79,"tracker_id":40,"status_id":1,"priority_id":2,"assigned_to_id":23,"start_date":"2017-01-31","description":"","custom_fields":[{"id":1,"name":"Subdivision","value":"EC"},{"id":4,"name":"Milepost","value":"23.3491"},{"id":17,"name":"Train ID","value":"145-31"},{"id":16,"name":"Locomotive ID","value":"4025"},{"id":130,"name":"Impact","value":""},{"id":150,"name":"Time of Event (Mountain Time)","value":"09:51:29"},{"id":151,"name":"Denver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"%USERPROFILE%\AppData\Local\Temp\OnboardLogs"\RTDC4025\*4025*201701311*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"%USERPROFILE%\AppData\Local\Temp\OnboardLogs"\RTDC4025\*4025*201701311* &gt;&gt; 2017-01-31-SliceDisagreementCheck.txt</v>
      </c>
      <c r="AE21" s="164" t="str">
        <f t="shared" si="9"/>
        <v>start /low /b %USERPROFILE%\Documents\GitHub\eaglep3\Utilities\DownloadLogsFromS3.py --loco 4025 --day 2017-01-31</v>
      </c>
      <c r="AF21" s="1"/>
    </row>
    <row r="22" spans="1:32" ht="15" customHeight="1" x14ac:dyDescent="0.25">
      <c r="A22" s="32">
        <v>42766.266273148147</v>
      </c>
      <c r="B22" s="30" t="s">
        <v>309</v>
      </c>
      <c r="C22" s="30" t="s">
        <v>491</v>
      </c>
      <c r="D22" s="30" t="s">
        <v>98</v>
      </c>
      <c r="E22" s="30" t="s">
        <v>221</v>
      </c>
      <c r="F22" s="43">
        <v>150</v>
      </c>
      <c r="G22" s="43">
        <v>205</v>
      </c>
      <c r="H22" s="43">
        <v>5291</v>
      </c>
      <c r="I22" s="43">
        <v>5606</v>
      </c>
      <c r="J22" s="30" t="s">
        <v>222</v>
      </c>
      <c r="K22" s="43">
        <v>574</v>
      </c>
      <c r="L22" s="143" t="s">
        <v>50</v>
      </c>
      <c r="M22" s="144">
        <f t="shared" si="0"/>
        <v>-2656.8960000000002</v>
      </c>
      <c r="N22" s="145" t="str">
        <f>VLOOKUP(C22,'Trips&amp;Operators'!$C$1:$G$99999,5,FALSE)</f>
        <v>BROWN JACOB</v>
      </c>
      <c r="O22" s="160" t="s">
        <v>185</v>
      </c>
      <c r="P22" s="146"/>
      <c r="Q22" s="30"/>
      <c r="R22" s="89" t="str">
        <f>VLOOKUP(C22,'Train Runs'!$A$13:$AE$9987,31,0)</f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S22" s="92" t="str">
        <f>VLOOKUP(C22,'Train Runs'!$A$13:$AE$9987,22,0)</f>
        <v>https://d0f6bd738d7f1b3e5a7ca70fe4ff75f0.us-east-1.aws.found.io/app/kibana#/discover/Steve-Slow-Train-Analysis-(2080s-and-2083s)?_g=(refreshInterval:(display:Off,pause:!f,section:0,value:0),time:(from:'2017-01-31T05:17:09-0700',mode:absolute,to:'2017-01-31T07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2" s="94" t="str">
        <f t="shared" si="1"/>
        <v>"C:\Program Files (x86)\AstroGrep\AstroGrep.exe" /spath="%USERPROFILE%\AppData\Local\Temp\OnboardLogs" /stypes="*4051*201701311*" /stext=" 13:.+((SYSTEM_STATE.+slice.+state.+changed )|(ment ac)|(multiple cpu faults)|(system.+state.+changed )|(\[timeout)|(PRM\|1\|D)|(kpr)|(kdp)|(\|lc)|(penalty))" /e /r /s</v>
      </c>
      <c r="U22" s="9" t="str">
        <f t="shared" si="2"/>
        <v>4051</v>
      </c>
      <c r="V22" s="32">
        <f t="shared" si="3"/>
        <v>42766.557939814811</v>
      </c>
      <c r="W22" s="46" t="str">
        <f t="shared" si="4"/>
        <v>NW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{"issue":{"subject":"","project_id":79,"tracker_id":40,"status_id":1,"priority_id":2,"assigned_to_id":23,"start_date":"2017-01-31","description":"","custom_fields":[{"id":1,"name":"Subdivision","value":"NW"},{"id":4,"name":"Milepost","value":"0.0574"},{"id":17,"name":"Train ID","value":"803-31"},{"id":16,"name":"Locomotive ID","value":"4051"},{"id":130,"name":"Impact","value":""},{"id":150,"name":"Time of Event (Mountain Time)","value":"06:23:26"},{"id":151,"name":"Denver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"%USERPROFILE%\AppData\Local\Temp\OnboardLogs"\RTDC4051\*4051*201701311*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"%USERPROFILE%\AppData\Local\Temp\OnboardLogs"\RTDC4051\*4051*201701311* &gt;&gt; 2017-01-31-SliceDisagreementCheck.txt</v>
      </c>
      <c r="AE22" s="164" t="str">
        <f t="shared" si="9"/>
        <v>start /low /b %USERPROFILE%\Documents\GitHub\eaglep3\Utilities\DownloadLogsFromS3.py --loco 4051 --day 2017-01-31</v>
      </c>
      <c r="AF22" s="1"/>
    </row>
    <row r="23" spans="1:32" x14ac:dyDescent="0.25">
      <c r="A23" s="32">
        <v>42766.679502314815</v>
      </c>
      <c r="B23" s="30" t="s">
        <v>506</v>
      </c>
      <c r="C23" s="30" t="s">
        <v>507</v>
      </c>
      <c r="D23" s="30" t="s">
        <v>98</v>
      </c>
      <c r="E23" s="30" t="s">
        <v>221</v>
      </c>
      <c r="F23" s="43">
        <v>600</v>
      </c>
      <c r="G23" s="43">
        <v>651</v>
      </c>
      <c r="H23" s="43">
        <v>31051</v>
      </c>
      <c r="I23" s="43">
        <v>28104</v>
      </c>
      <c r="J23" s="30" t="s">
        <v>222</v>
      </c>
      <c r="K23" s="43">
        <v>36535</v>
      </c>
      <c r="L23" s="143" t="s">
        <v>51</v>
      </c>
      <c r="M23" s="144">
        <f t="shared" si="0"/>
        <v>-4451.5680000000002</v>
      </c>
      <c r="N23" s="145" t="str">
        <f>VLOOKUP(C23,'Trips&amp;Operators'!$C$1:$G$99999,5,FALSE)</f>
        <v>HILLS DUSTIN</v>
      </c>
      <c r="O23" s="160" t="s">
        <v>185</v>
      </c>
      <c r="P23" s="146"/>
      <c r="Q23" s="30"/>
      <c r="R23" s="89" t="str">
        <f>VLOOKUP(C23,'Train Runs'!$A$13:$AE$9987,31,0)</f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S23" s="92" t="str">
        <f>VLOOKUP(C23,'Train Runs'!$A$13:$AE$9987,22,0)</f>
        <v>https://d0f6bd738d7f1b3e5a7ca70fe4ff75f0.us-east-1.aws.found.io/app/kibana#/discover/Steve-Slow-Train-Analysis-(2080s-and-2083s)?_g=(refreshInterval:(display:Off,pause:!f,section:0,value:0),time:(from:'2017-01-31T15:09:09-0700',mode:absolute,to:'2017-01-31T17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94" t="str">
        <f t="shared" si="1"/>
        <v>"C:\Program Files (x86)\AstroGrep\AstroGrep.exe" /spath="%USERPROFILE%\AppData\Local\Temp\OnboardLogs" /stypes="*4008*201701312*" /stext=" 23:.+((SYSTEM_STATE.+slice.+state.+changed )|(ment ac)|(multiple cpu faults)|(system.+state.+changed )|(\[timeout)|(PRM\|1\|D)|(kpr)|(kdp)|(\|lc)|(penalty))" /e /r /s</v>
      </c>
      <c r="U23" s="9" t="str">
        <f t="shared" si="2"/>
        <v>4008</v>
      </c>
      <c r="V23" s="32">
        <f t="shared" si="3"/>
        <v>42766.971168981479</v>
      </c>
      <c r="W23" s="46" t="str">
        <f t="shared" si="4"/>
        <v>NW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{"issue":{"subject":"","project_id":79,"tracker_id":40,"status_id":1,"priority_id":2,"assigned_to_id":23,"start_date":"2017-01-31","description":"","custom_fields":[{"id":1,"name":"Subdivision","value":"NW"},{"id":4,"name":"Milepost","value":"3.6535"},{"id":17,"name":"Train ID","value":"828-31"},{"id":16,"name":"Locomotive ID","value":"4008"},{"id":130,"name":"Impact","value":""},{"id":150,"name":"Time of Event (Mountain Time)","value":"16:18:29"},{"id":151,"name":"Denver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"%USERPROFILE%\AppData\Local\Temp\OnboardLogs"\RTDC4008\*4008*201701312*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"%USERPROFILE%\AppData\Local\Temp\OnboardLogs"\RTDC4008\*4008*201701312* &gt;&gt; 2017-01-31-SliceDisagreementCheck.txt</v>
      </c>
      <c r="AE23" s="164" t="str">
        <f t="shared" si="9"/>
        <v>start /low /b %USERPROFILE%\Documents\GitHub\eaglep3\Utilities\DownloadLogsFromS3.py --loco 4008 --day 2017-01-31</v>
      </c>
      <c r="AF23" s="1"/>
    </row>
    <row r="24" spans="1:32" x14ac:dyDescent="0.25">
      <c r="A24" s="32">
        <v>42766.663101851853</v>
      </c>
      <c r="B24" s="30" t="s">
        <v>251</v>
      </c>
      <c r="C24" s="30" t="s">
        <v>502</v>
      </c>
      <c r="D24" s="30" t="s">
        <v>49</v>
      </c>
      <c r="E24" s="30" t="s">
        <v>503</v>
      </c>
      <c r="F24" s="43">
        <v>100</v>
      </c>
      <c r="G24" s="43">
        <v>151</v>
      </c>
      <c r="H24" s="43">
        <v>10259</v>
      </c>
      <c r="I24" s="43">
        <v>10467</v>
      </c>
      <c r="J24" s="30" t="s">
        <v>204</v>
      </c>
      <c r="K24" s="43">
        <v>10701</v>
      </c>
      <c r="L24" s="143" t="s">
        <v>50</v>
      </c>
      <c r="M24" s="144">
        <f t="shared" si="0"/>
        <v>123.55200000000001</v>
      </c>
      <c r="N24" s="145" t="str">
        <f>VLOOKUP(C24,'Trips&amp;Operators'!$C$1:$G$99999,5,FALSE)</f>
        <v>HILLS DUSTIN</v>
      </c>
      <c r="O24" s="160" t="s">
        <v>185</v>
      </c>
      <c r="P24" s="146"/>
      <c r="Q24" s="30"/>
      <c r="R24" s="89" t="str">
        <f>VLOOKUP(C24,'Train Runs'!$A$13:$AE$9987,31,0)</f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S24" s="92" t="str">
        <f>VLOOKUP(C24,'Train Runs'!$A$13:$AE$9987,22,0)</f>
        <v>https://d0f6bd738d7f1b3e5a7ca70fe4ff75f0.us-east-1.aws.found.io/app/kibana#/discover/Steve-Slow-Train-Analysis-(2080s-and-2083s)?_g=(refreshInterval:(display:Off,pause:!f,section:0,value:0),time:(from:'2017-01-31T14:41:17-0700',mode:absolute,to:'2017-01-31T17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4" s="94" t="str">
        <f t="shared" si="1"/>
        <v>"C:\Program Files (x86)\AstroGrep\AstroGrep.exe" /spath="%USERPROFILE%\AppData\Local\Temp\OnboardLogs" /stypes="*4007*201701312*" /stext=" 22:.+((SYSTEM_STATE.+slice.+state.+changed )|(ment ac)|(multiple cpu faults)|(system.+state.+changed )|(\[timeout)|(PRM\|1\|D)|(kpr)|(kdp)|(\|lc)|(penalty))" /e /r /s</v>
      </c>
      <c r="U24" s="9" t="str">
        <f t="shared" si="2"/>
        <v>4007</v>
      </c>
      <c r="V24" s="32">
        <f t="shared" si="3"/>
        <v>42766.954768518517</v>
      </c>
      <c r="W24" s="46" t="str">
        <f t="shared" si="4"/>
        <v>NW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{"issue":{"subject":"","project_id":79,"tracker_id":40,"status_id":1,"priority_id":2,"assigned_to_id":23,"start_date":"2017-01-31","description":"","custom_fields":[{"id":1,"name":"Subdivision","value":"NW"},{"id":4,"name":"Milepost","value":"1.0701"},{"id":17,"name":"Train ID","value":"827-31"},{"id":16,"name":"Locomotive ID","value":"4007"},{"id":130,"name":"Impact","value":""},{"id":150,"name":"Time of Event (Mountain Time)","value":"15:54:52"},{"id":151,"name":"Denver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"%USERPROFILE%\AppData\Local\Temp\OnboardLogs"\RTDC4007\*4007*201701312*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"%USERPROFILE%\AppData\Local\Temp\OnboardLogs"\RTDC4007\*4007*201701312* &gt;&gt; 2017-01-31-SliceDisagreementCheck.txt</v>
      </c>
      <c r="AE24" s="164" t="str">
        <f t="shared" si="9"/>
        <v>start /low /b %USERPROFILE%\Documents\GitHub\eaglep3\Utilities\DownloadLogsFromS3.py --loco 4007 --day 2017-01-31</v>
      </c>
      <c r="AF24" s="1"/>
    </row>
    <row r="25" spans="1:32" x14ac:dyDescent="0.25">
      <c r="A25" s="32">
        <v>42766.663564814815</v>
      </c>
      <c r="B25" s="30" t="s">
        <v>504</v>
      </c>
      <c r="C25" s="30" t="s">
        <v>505</v>
      </c>
      <c r="D25" s="30" t="s">
        <v>49</v>
      </c>
      <c r="E25" s="30" t="s">
        <v>188</v>
      </c>
      <c r="F25" s="43">
        <v>0</v>
      </c>
      <c r="G25" s="43">
        <v>25</v>
      </c>
      <c r="H25" s="43">
        <v>636</v>
      </c>
      <c r="I25" s="43">
        <v>615</v>
      </c>
      <c r="J25" s="30" t="s">
        <v>189</v>
      </c>
      <c r="K25" s="43">
        <v>575</v>
      </c>
      <c r="L25" s="143" t="s">
        <v>51</v>
      </c>
      <c r="M25" s="144">
        <f t="shared" si="0"/>
        <v>21.12</v>
      </c>
      <c r="N25" s="145" t="str">
        <f>VLOOKUP(C25,'Trips&amp;Operators'!$C$1:$G$99999,5,FALSE)</f>
        <v>LEVIN SCOTT</v>
      </c>
      <c r="O25" s="160" t="s">
        <v>185</v>
      </c>
      <c r="P25" s="146"/>
      <c r="Q25" s="30"/>
      <c r="R25" s="89" t="str">
        <f>VLOOKUP(C25,'Train Runs'!$A$13:$AE$9987,31,0)</f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S25" s="92" t="str">
        <f>VLOOKUP(C25,'Train Runs'!$A$13:$AE$9987,22,0)</f>
        <v>https://d0f6bd738d7f1b3e5a7ca70fe4ff75f0.us-east-1.aws.found.io/app/kibana#/discover/Steve-Slow-Train-Analysis-(2080s-and-2083s)?_g=(refreshInterval:(display:Off,pause:!f,section:0,value:0),time:(from:'2017-01-31T14:36:50-0700',mode:absolute,to:'2017-01-31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94" t="str">
        <f t="shared" si="1"/>
        <v>"C:\Program Files (x86)\AstroGrep\AstroGrep.exe" /spath="%USERPROFILE%\AppData\Local\Temp\OnboardLogs" /stypes="*4010*201701312*" /stext=" 22:.+((SYSTEM_STATE.+slice.+state.+changed )|(ment ac)|(multiple cpu faults)|(system.+state.+changed )|(\[timeout)|(PRM\|1\|D)|(kpr)|(kdp)|(\|lc)|(penalty))" /e /r /s</v>
      </c>
      <c r="U25" s="9" t="str">
        <f t="shared" si="2"/>
        <v>4010</v>
      </c>
      <c r="V25" s="32">
        <f t="shared" si="3"/>
        <v>42766.955231481479</v>
      </c>
      <c r="W25" s="46" t="str">
        <f t="shared" si="4"/>
        <v>NW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{"issue":{"subject":"","project_id":79,"tracker_id":40,"status_id":1,"priority_id":2,"assigned_to_id":23,"start_date":"2017-01-31","description":"","custom_fields":[{"id":1,"name":"Subdivision","value":"NW"},{"id":4,"name":"Milepost","value":"0.0575"},{"id":17,"name":"Train ID","value":"826-31"},{"id":16,"name":"Locomotive ID","value":"4010"},{"id":130,"name":"Impact","value":""},{"id":150,"name":"Time of Event (Mountain Time)","value":"15:55:32"},{"id":151,"name":"Denver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"%USERPROFILE%\AppData\Local\Temp\OnboardLogs"\RTDC4010\*4010*201701312*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"%USERPROFILE%\AppData\Local\Temp\OnboardLogs"\RTDC4010\*4010*201701312* &gt;&gt; 2017-01-31-SliceDisagreementCheck.txt</v>
      </c>
      <c r="AE25" s="164" t="str">
        <f t="shared" si="9"/>
        <v>start /low /b %USERPROFILE%\Documents\GitHub\eaglep3\Utilities\DownloadLogsFromS3.py --loco 4010 --day 2017-01-31</v>
      </c>
      <c r="AF25" s="1"/>
    </row>
    <row r="26" spans="1:32" x14ac:dyDescent="0.25">
      <c r="A26" s="32">
        <v>42766.685046296298</v>
      </c>
      <c r="B26" s="30" t="s">
        <v>506</v>
      </c>
      <c r="C26" s="30" t="s">
        <v>507</v>
      </c>
      <c r="D26" s="30" t="s">
        <v>49</v>
      </c>
      <c r="E26" s="30" t="s">
        <v>188</v>
      </c>
      <c r="F26" s="43">
        <v>0</v>
      </c>
      <c r="G26" s="43">
        <v>57</v>
      </c>
      <c r="H26" s="43">
        <v>724</v>
      </c>
      <c r="I26" s="43">
        <v>682</v>
      </c>
      <c r="J26" s="30" t="s">
        <v>189</v>
      </c>
      <c r="K26" s="43">
        <v>575</v>
      </c>
      <c r="L26" s="143" t="s">
        <v>51</v>
      </c>
      <c r="M26" s="144">
        <f t="shared" si="0"/>
        <v>56.496000000000002</v>
      </c>
      <c r="N26" s="145" t="str">
        <f>VLOOKUP(C26,'Trips&amp;Operators'!$C$1:$G$99999,5,FALSE)</f>
        <v>HILLS DUSTIN</v>
      </c>
      <c r="O26" s="160" t="s">
        <v>185</v>
      </c>
      <c r="P26" s="146"/>
      <c r="Q26" s="30"/>
      <c r="R26" s="89" t="str">
        <f>VLOOKUP(C26,'Train Runs'!$A$13:$AE$9987,31,0)</f>
        <v>aws s3 cp s3://rtdc.mdm.uploadarchive.raw/RTDC4008/ "%USERPROFILE%\AppData\Local\Temp\OnboardLogs"\RTDC4008\2017-01-31 --exclude "*" --recursive --include "*20170131*" &amp; "%USERPROFILE%\Documents\GitHub\mrs-test-scripts\Headless Mode &amp; Sideloading\WalkAndUnGZ.bat" "%USERPROFILE%\AppData\Local\Temp\OnboardLogs"\RTDC4008\2017-01-31 &amp; aws s3 cp s3://rtdc.mdm.uploadarchive.raw/RTDC4008/ "%USERPROFILE%\AppData\Local\Temp\OnboardLogs"\RTDC4008\2017-02-01 --exclude "*" --recursive --include "*20170201*" &amp; "%USERPROFILE%\Documents\GitHub\mrs-test-scripts\Headless Mode &amp; Sideloading\WalkAndUnGZ.bat" "%USERPROFILE%\AppData\Local\Temp\OnboardLogs"\RTDC4008\2017-02-01</v>
      </c>
      <c r="S26" s="92" t="str">
        <f>VLOOKUP(C26,'Train Runs'!$A$13:$AE$9987,22,0)</f>
        <v>https://d0f6bd738d7f1b3e5a7ca70fe4ff75f0.us-east-1.aws.found.io/app/kibana#/discover/Steve-Slow-Train-Analysis-(2080s-and-2083s)?_g=(refreshInterval:(display:Off,pause:!f,section:0,value:0),time:(from:'2017-01-31T15:09:09-0700',mode:absolute,to:'2017-01-31T17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6" s="94" t="str">
        <f t="shared" si="1"/>
        <v>"C:\Program Files (x86)\AstroGrep\AstroGrep.exe" /spath="%USERPROFILE%\AppData\Local\Temp\OnboardLogs" /stypes="*4008*201701312*" /stext=" 23:.+((SYSTEM_STATE.+slice.+state.+changed )|(ment ac)|(multiple cpu faults)|(system.+state.+changed )|(\[timeout)|(PRM\|1\|D)|(kpr)|(kdp)|(\|lc)|(penalty))" /e /r /s</v>
      </c>
      <c r="U26" s="9" t="str">
        <f t="shared" si="2"/>
        <v>4008</v>
      </c>
      <c r="V26" s="32">
        <f t="shared" si="3"/>
        <v>42766.976712962962</v>
      </c>
      <c r="W26" s="46" t="str">
        <f t="shared" si="4"/>
        <v>NW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{"issue":{"subject":"","project_id":79,"tracker_id":40,"status_id":1,"priority_id":2,"assigned_to_id":23,"start_date":"2017-01-31","description":"","custom_fields":[{"id":1,"name":"Subdivision","value":"NW"},{"id":4,"name":"Milepost","value":"0.0575"},{"id":17,"name":"Train ID","value":"828-31"},{"id":16,"name":"Locomotive ID","value":"4008"},{"id":130,"name":"Impact","value":""},{"id":150,"name":"Time of Event (Mountain Time)","value":"16:26:28"},{"id":151,"name":"Denver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"%USERPROFILE%\AppData\Local\Temp\OnboardLogs"\RTDC4008\*4008*201701312*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"%USERPROFILE%\AppData\Local\Temp\OnboardLogs"\RTDC4008\*4008*201701312* &gt;&gt; 2017-01-31-SliceDisagreementCheck.txt</v>
      </c>
      <c r="AE26" s="164" t="str">
        <f t="shared" si="9"/>
        <v>start /low /b %USERPROFILE%\Documents\GitHub\eaglep3\Utilities\DownloadLogsFromS3.py --loco 4008 --day 2017-01-31</v>
      </c>
      <c r="AF26" s="1"/>
    </row>
    <row r="27" spans="1:32" x14ac:dyDescent="0.25">
      <c r="A27" s="32">
        <v>42766.916817129626</v>
      </c>
      <c r="B27" s="30" t="s">
        <v>504</v>
      </c>
      <c r="C27" s="30" t="s">
        <v>519</v>
      </c>
      <c r="D27" s="30" t="s">
        <v>49</v>
      </c>
      <c r="E27" s="30" t="s">
        <v>188</v>
      </c>
      <c r="F27" s="43">
        <v>0</v>
      </c>
      <c r="G27" s="43">
        <v>73</v>
      </c>
      <c r="H27" s="43">
        <v>752</v>
      </c>
      <c r="I27" s="43">
        <v>684</v>
      </c>
      <c r="J27" s="30" t="s">
        <v>189</v>
      </c>
      <c r="K27" s="43">
        <v>575</v>
      </c>
      <c r="L27" s="143" t="s">
        <v>51</v>
      </c>
      <c r="M27" s="144">
        <f t="shared" si="0"/>
        <v>57.552</v>
      </c>
      <c r="N27" s="145" t="str">
        <f>VLOOKUP(C27,'Trips&amp;Operators'!$C$1:$G$99999,5,FALSE)</f>
        <v>HILLS DUSTIN</v>
      </c>
      <c r="O27" s="160" t="s">
        <v>185</v>
      </c>
      <c r="P27" s="146"/>
      <c r="Q27" s="30"/>
      <c r="R27" s="89" t="str">
        <f>VLOOKUP(C27,'Train Runs'!$A$13:$AE$9987,31,0)</f>
        <v>aws s3 cp s3://rtdc.mdm.uploadarchive.raw/RTDC4010/ "%USERPROFILE%\AppData\Local\Temp\OnboardLogs"\RTDC4010\2017-01-31 --exclude "*" --recursive --include "*20170131*" &amp; "%USERPROFILE%\Documents\GitHub\mrs-test-scripts\Headless Mode &amp; Sideloading\WalkAndUnGZ.bat" "%USERPROFILE%\AppData\Local\Temp\OnboardLogs"\RTDC4010\2017-01-31 &amp; aws s3 cp s3://rtdc.mdm.uploadarchive.raw/RTDC4010/ "%USERPROFILE%\AppData\Local\Temp\OnboardLogs"\RTDC4010\2017-02-01 --exclude "*" --recursive --include "*20170201*" &amp; "%USERPROFILE%\Documents\GitHub\mrs-test-scripts\Headless Mode &amp; Sideloading\WalkAndUnGZ.bat" "%USERPROFILE%\AppData\Local\Temp\OnboardLogs"\RTDC4010\2017-02-01</v>
      </c>
      <c r="S27" s="92" t="str">
        <f>VLOOKUP(C27,'Train Runs'!$A$13:$AE$9987,22,0)</f>
        <v>https://d0f6bd738d7f1b3e5a7ca70fe4ff75f0.us-east-1.aws.found.io/app/kibana#/discover/Steve-Slow-Train-Analysis-(2080s-and-2083s)?_g=(refreshInterval:(display:Off,pause:!f,section:0,value:0),time:(from:'2017-01-31T20:41:14-0700',mode:absolute,to:'2017-01-31T23:00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94" t="str">
        <f t="shared" si="1"/>
        <v>"C:\Program Files (x86)\AstroGrep\AstroGrep.exe" /spath="%USERPROFILE%\AppData\Local\Temp\OnboardLogs" /stypes="*4010*201702010*" /stext=" 05:.+((SYSTEM_STATE.+slice.+state.+changed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2">
        <f t="shared" si="3"/>
        <v>42767.20848379629</v>
      </c>
      <c r="W27" s="46" t="str">
        <f t="shared" si="4"/>
        <v>NW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{"issue":{"subject":"","project_id":79,"tracker_id":40,"status_id":1,"priority_id":2,"assigned_to_id":23,"start_date":"2017-01-31","description":"","custom_fields":[{"id":1,"name":"Subdivision","value":"NW"},{"id":4,"name":"Milepost","value":"0.0575"},{"id":17,"name":"Train ID","value":"844-31"},{"id":16,"name":"Locomotive ID","value":"4010"},{"id":130,"name":"Impact","value":""},{"id":150,"name":"Time of Event (Mountain Time)","value":"22:00:13"},{"id":151,"name":"Denver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"%USERPROFILE%\AppData\Local\Temp\OnboardLogs"\RTDC4010\*4010*201702010*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"%USERPROFILE%\AppData\Local\Temp\OnboardLogs"\RTDC4010\*4010*201702010* &gt;&gt; 2017-01-31-SliceDisagreementCheck.txt</v>
      </c>
      <c r="AE27" s="164" t="str">
        <f t="shared" si="9"/>
        <v>start /low /b %USERPROFILE%\Documents\GitHub\eaglep3\Utilities\DownloadLogsFromS3.py --loco 4010 --day 2017-02-01</v>
      </c>
      <c r="AF27" s="1"/>
    </row>
    <row r="28" spans="1:32" x14ac:dyDescent="0.25">
      <c r="A28" s="32">
        <v>42766.488402777781</v>
      </c>
      <c r="B28" s="30" t="s">
        <v>309</v>
      </c>
      <c r="C28" s="30" t="s">
        <v>497</v>
      </c>
      <c r="D28" s="30" t="s">
        <v>49</v>
      </c>
      <c r="E28" s="30" t="s">
        <v>188</v>
      </c>
      <c r="F28" s="43">
        <v>0</v>
      </c>
      <c r="G28" s="43">
        <v>39</v>
      </c>
      <c r="H28" s="43">
        <v>58943</v>
      </c>
      <c r="I28" s="43">
        <v>58976</v>
      </c>
      <c r="J28" s="30" t="s">
        <v>189</v>
      </c>
      <c r="K28" s="43">
        <v>59048</v>
      </c>
      <c r="L28" s="143" t="s">
        <v>50</v>
      </c>
      <c r="M28" s="144">
        <f t="shared" si="0"/>
        <v>38.015999999999998</v>
      </c>
      <c r="N28" s="145" t="str">
        <f>VLOOKUP(C28,'Trips&amp;Operators'!$C$1:$G$99999,5,FALSE)</f>
        <v>BROWN JACOB</v>
      </c>
      <c r="O28" s="160" t="s">
        <v>185</v>
      </c>
      <c r="P28" s="146"/>
      <c r="Q28" s="30"/>
      <c r="R28" s="89" t="str">
        <f>VLOOKUP(C28,'Train Runs'!$A$13:$AE$9987,31,0)</f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S28" s="92" t="str">
        <f>VLOOKUP(C28,'Train Runs'!$A$13:$AE$9987,22,0)</f>
        <v>https://d0f6bd738d7f1b3e5a7ca70fe4ff75f0.us-east-1.aws.found.io/app/kibana#/discover/Steve-Slow-Train-Analysis-(2080s-and-2083s)?_g=(refreshInterval:(display:Off,pause:!f,section:0,value:0),time:(from:'2017-01-31T10:15:36-0700',mode:absolute,to:'2017-01-31T12:43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8" s="94" t="str">
        <f t="shared" si="1"/>
        <v>"C:\Program Files (x86)\AstroGrep\AstroGrep.exe" /spath="%USERPROFILE%\AppData\Local\Temp\OnboardLogs" /stypes="*4051*201701311*" /stext=" 18:.+((SYSTEM_STATE.+slice.+state.+changed )|(ment ac)|(multiple cpu faults)|(system.+state.+changed )|(\[timeout)|(PRM\|1\|D)|(kpr)|(kdp)|(\|lc)|(penalty))" /e /r /s</v>
      </c>
      <c r="U28" s="9" t="str">
        <f t="shared" si="2"/>
        <v>4051</v>
      </c>
      <c r="V28" s="32">
        <f t="shared" si="3"/>
        <v>42766.780069444445</v>
      </c>
      <c r="W28" s="46" t="str">
        <f t="shared" si="4"/>
        <v>NW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{"issue":{"subject":"","project_id":79,"tracker_id":40,"status_id":1,"priority_id":2,"assigned_to_id":23,"start_date":"2017-01-31","description":"","custom_fields":[{"id":1,"name":"Subdivision","value":"NW"},{"id":4,"name":"Milepost","value":"5.9048"},{"id":17,"name":"Train ID","value":"817-31"},{"id":16,"name":"Locomotive ID","value":"4051"},{"id":130,"name":"Impact","value":""},{"id":150,"name":"Time of Event (Mountain Time)","value":"11:43:18"},{"id":151,"name":"Denver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"%USERPROFILE%\AppData\Local\Temp\OnboardLogs"\RTDC4051\*4051*201701311*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"%USERPROFILE%\AppData\Local\Temp\OnboardLogs"\RTDC4051\*4051*201701311* &gt;&gt; 2017-01-31-SliceDisagreementCheck.txt</v>
      </c>
      <c r="AE28" s="164" t="str">
        <f t="shared" si="9"/>
        <v>start /low /b %USERPROFILE%\Documents\GitHub\eaglep3\Utilities\DownloadLogsFromS3.py --loco 4051 --day 2017-01-31</v>
      </c>
      <c r="AF28" s="1"/>
    </row>
    <row r="29" spans="1:32" x14ac:dyDescent="0.25">
      <c r="A29" s="32">
        <v>42766.528287037036</v>
      </c>
      <c r="B29" s="30" t="s">
        <v>309</v>
      </c>
      <c r="C29" s="30" t="s">
        <v>499</v>
      </c>
      <c r="D29" s="30" t="s">
        <v>49</v>
      </c>
      <c r="E29" s="30" t="s">
        <v>188</v>
      </c>
      <c r="F29" s="43">
        <v>0</v>
      </c>
      <c r="G29" s="43">
        <v>43</v>
      </c>
      <c r="H29" s="43">
        <v>58918</v>
      </c>
      <c r="I29" s="43">
        <v>58954</v>
      </c>
      <c r="J29" s="30" t="s">
        <v>189</v>
      </c>
      <c r="K29" s="43">
        <v>59048</v>
      </c>
      <c r="L29" s="143" t="s">
        <v>50</v>
      </c>
      <c r="M29" s="144">
        <f t="shared" si="0"/>
        <v>49.631999999999998</v>
      </c>
      <c r="N29" s="145" t="str">
        <f>VLOOKUP(C29,'Trips&amp;Operators'!$C$1:$G$99999,5,FALSE)</f>
        <v>BROWN JACOB</v>
      </c>
      <c r="O29" s="160" t="s">
        <v>185</v>
      </c>
      <c r="P29" s="146"/>
      <c r="Q29" s="30"/>
      <c r="R29" s="89" t="str">
        <f>VLOOKUP(C29,'Train Runs'!$A$13:$AE$9987,31,0)</f>
        <v>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 &amp; aws s3 cp s3://rtdc.mdm.uploadarchive.raw/RTDC4051/ "%USERPROFILE%\AppData\Local\Temp\OnboardLogs"\RTDC4051\2017-02-01 --exclude "*" --recursive --include "*20170201*" &amp; "%USERPROFILE%\Documents\GitHub\mrs-test-scripts\Headless Mode &amp; Sideloading\WalkAndUnGZ.bat" "%USERPROFILE%\AppData\Local\Temp\OnboardLogs"\RTDC4051\2017-02-01</v>
      </c>
      <c r="S29" s="92" t="str">
        <f>VLOOKUP(C29,'Train Runs'!$A$13:$AE$9987,22,0)</f>
        <v>https://d0f6bd738d7f1b3e5a7ca70fe4ff75f0.us-east-1.aws.found.io/app/kibana#/discover/Steve-Slow-Train-Analysis-(2080s-and-2083s)?_g=(refreshInterval:(display:Off,pause:!f,section:0,value:0),time:(from:'2017-01-31T11:14:38-0700',mode:absolute,to:'2017-01-31T14:00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94" t="str">
        <f t="shared" si="1"/>
        <v>"C:\Program Files (x86)\AstroGrep\AstroGrep.exe" /spath="%USERPROFILE%\AppData\Local\Temp\OnboardLogs" /stypes="*4051*201701311*" /stext=" 19:.+((SYSTEM_STATE.+slice.+state.+changed )|(ment ac)|(multiple cpu faults)|(system.+state.+changed )|(\[timeout)|(PRM\|1\|D)|(kpr)|(kdp)|(\|lc)|(penalty))" /e /r /s</v>
      </c>
      <c r="U29" s="9" t="str">
        <f t="shared" si="2"/>
        <v>4051</v>
      </c>
      <c r="V29" s="32">
        <f t="shared" si="3"/>
        <v>42766.8199537037</v>
      </c>
      <c r="W29" s="46" t="str">
        <f t="shared" si="4"/>
        <v>NW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{"issue":{"subject":"","project_id":79,"tracker_id":40,"status_id":1,"priority_id":2,"assigned_to_id":23,"start_date":"2017-01-31","description":"","custom_fields":[{"id":1,"name":"Subdivision","value":"NW"},{"id":4,"name":"Milepost","value":"5.9048"},{"id":17,"name":"Train ID","value":"819-31"},{"id":16,"name":"Locomotive ID","value":"4051"},{"id":130,"name":"Impact","value":""},{"id":150,"name":"Time of Event (Mountain Time)","value":"12:40:44"},{"id":151,"name":"Denver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"%USERPROFILE%\AppData\Local\Temp\OnboardLogs"\RTDC4051\*4051*201701311*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"%USERPROFILE%\AppData\Local\Temp\OnboardLogs"\RTDC4051\*4051*201701311* &gt;&gt; 2017-01-31-SliceDisagreementCheck.txt</v>
      </c>
      <c r="AE29" s="164" t="str">
        <f t="shared" si="9"/>
        <v>start /low /b %USERPROFILE%\Documents\GitHub\eaglep3\Utilities\DownloadLogsFromS3.py --loco 4051 --day 2017-01-31</v>
      </c>
      <c r="AF29" s="1"/>
    </row>
    <row r="30" spans="1:32" x14ac:dyDescent="0.25">
      <c r="A30" s="32">
        <v>42766.67150462963</v>
      </c>
      <c r="B30" s="30" t="s">
        <v>251</v>
      </c>
      <c r="C30" s="30" t="s">
        <v>502</v>
      </c>
      <c r="D30" s="30" t="s">
        <v>49</v>
      </c>
      <c r="E30" s="30" t="s">
        <v>188</v>
      </c>
      <c r="F30" s="43">
        <v>0</v>
      </c>
      <c r="G30" s="43">
        <v>15</v>
      </c>
      <c r="H30" s="43">
        <v>59025</v>
      </c>
      <c r="I30" s="43">
        <v>59044</v>
      </c>
      <c r="J30" s="30" t="s">
        <v>189</v>
      </c>
      <c r="K30" s="43">
        <v>59048</v>
      </c>
      <c r="L30" s="143" t="s">
        <v>50</v>
      </c>
      <c r="M30" s="144">
        <f t="shared" si="0"/>
        <v>2.1120000000000001</v>
      </c>
      <c r="N30" s="145" t="str">
        <f>VLOOKUP(C30,'Trips&amp;Operators'!$C$1:$G$99999,5,FALSE)</f>
        <v>HILLS DUSTIN</v>
      </c>
      <c r="O30" s="160" t="s">
        <v>185</v>
      </c>
      <c r="P30" s="146"/>
      <c r="Q30" s="30"/>
      <c r="R30" s="89" t="str">
        <f>VLOOKUP(C30,'Train Runs'!$A$13:$AE$9987,31,0)</f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S30" s="92" t="str">
        <f>VLOOKUP(C30,'Train Runs'!$A$13:$AE$9987,22,0)</f>
        <v>https://d0f6bd738d7f1b3e5a7ca70fe4ff75f0.us-east-1.aws.found.io/app/kibana#/discover/Steve-Slow-Train-Analysis-(2080s-and-2083s)?_g=(refreshInterval:(display:Off,pause:!f,section:0,value:0),time:(from:'2017-01-31T14:41:17-0700',mode:absolute,to:'2017-01-31T17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0" s="94" t="str">
        <f t="shared" si="1"/>
        <v>"C:\Program Files (x86)\AstroGrep\AstroGrep.exe" /spath="%USERPROFILE%\AppData\Local\Temp\OnboardLogs" /stypes="*4007*201701312*" /stext=" 23:.+((SYSTEM_STATE.+slice.+state.+changed )|(ment ac)|(multiple cpu faults)|(system.+state.+changed )|(\[timeout)|(PRM\|1\|D)|(kpr)|(kdp)|(\|lc)|(penalty))" /e /r /s</v>
      </c>
      <c r="U30" s="9" t="str">
        <f t="shared" si="2"/>
        <v>4007</v>
      </c>
      <c r="V30" s="32">
        <f t="shared" si="3"/>
        <v>42766.963171296295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{"issue":{"subject":"","project_id":79,"tracker_id":40,"status_id":1,"priority_id":2,"assigned_to_id":23,"start_date":"2017-01-31","description":"","custom_fields":[{"id":1,"name":"Subdivision","value":"NW"},{"id":4,"name":"Milepost","value":"5.9048"},{"id":17,"name":"Train ID","value":"827-31"},{"id":16,"name":"Locomotive ID","value":"4007"},{"id":130,"name":"Impact","value":""},{"id":150,"name":"Time of Event (Mountain Time)","value":"16:06:58"},{"id":151,"name":"Denver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"%USERPROFILE%\AppData\Local\Temp\OnboardLogs"\RTDC4007\*4007*201701312*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"%USERPROFILE%\AppData\Local\Temp\OnboardLogs"\RTDC4007\*4007*201701312* &gt;&gt; 2017-01-31-SliceDisagreementCheck.txt</v>
      </c>
      <c r="AE30" s="164" t="str">
        <f t="shared" si="9"/>
        <v>start /low /b %USERPROFILE%\Documents\GitHub\eaglep3\Utilities\DownloadLogsFromS3.py --loco 4007 --day 2017-01-31</v>
      </c>
      <c r="AF30" s="1"/>
    </row>
    <row r="31" spans="1:32" x14ac:dyDescent="0.25">
      <c r="A31" s="32">
        <v>42766.712905092594</v>
      </c>
      <c r="B31" s="30" t="s">
        <v>251</v>
      </c>
      <c r="C31" s="30" t="s">
        <v>509</v>
      </c>
      <c r="D31" s="30" t="s">
        <v>49</v>
      </c>
      <c r="E31" s="30" t="s">
        <v>188</v>
      </c>
      <c r="F31" s="43">
        <v>0</v>
      </c>
      <c r="G31" s="43">
        <v>27</v>
      </c>
      <c r="H31" s="43">
        <v>59007</v>
      </c>
      <c r="I31" s="43">
        <v>59027</v>
      </c>
      <c r="J31" s="30" t="s">
        <v>189</v>
      </c>
      <c r="K31" s="43">
        <v>59048</v>
      </c>
      <c r="L31" s="143" t="s">
        <v>50</v>
      </c>
      <c r="M31" s="144">
        <f t="shared" si="0"/>
        <v>11.087999999999999</v>
      </c>
      <c r="N31" s="145" t="str">
        <f>VLOOKUP(C31,'Trips&amp;Operators'!$C$1:$G$99999,5,FALSE)</f>
        <v>HILLS DUSTIN</v>
      </c>
      <c r="O31" s="160" t="s">
        <v>185</v>
      </c>
      <c r="P31" s="146"/>
      <c r="Q31" s="30"/>
      <c r="R31" s="89" t="str">
        <f>VLOOKUP(C31,'Train Runs'!$A$13:$AE$9987,31,0)</f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S31" s="92" t="str">
        <f>VLOOKUP(C31,'Train Runs'!$A$13:$AE$9987,22,0)</f>
        <v>https://d0f6bd738d7f1b3e5a7ca70fe4ff75f0.us-east-1.aws.found.io/app/kibana#/discover/Steve-Slow-Train-Analysis-(2080s-and-2083s)?_g=(refreshInterval:(display:Off,pause:!f,section:0,value:0),time:(from:'2017-01-31T15:28:28-0700',mode:absolute,to:'2017-01-31T18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1" s="94" t="str">
        <f t="shared" si="1"/>
        <v>"C:\Program Files (x86)\AstroGrep\AstroGrep.exe" /spath="%USERPROFILE%\AppData\Local\Temp\OnboardLogs" /stypes="*4007*201702010*" /stext=" 00:.+((SYSTEM_STATE.+slice.+state.+changed )|(ment ac)|(multiple cpu faults)|(system.+state.+changed )|(\[timeout)|(PRM\|1\|D)|(kpr)|(kdp)|(\|lc)|(penalty))" /e /r /s</v>
      </c>
      <c r="U31" s="9" t="str">
        <f t="shared" si="2"/>
        <v>4007</v>
      </c>
      <c r="V31" s="32">
        <f t="shared" si="3"/>
        <v>42767.004571759258</v>
      </c>
      <c r="W31" s="46" t="str">
        <f t="shared" si="4"/>
        <v>NW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{"issue":{"subject":"","project_id":79,"tracker_id":40,"status_id":1,"priority_id":2,"assigned_to_id":23,"start_date":"2017-01-31","description":"","custom_fields":[{"id":1,"name":"Subdivision","value":"NW"},{"id":4,"name":"Milepost","value":"5.9048"},{"id":17,"name":"Train ID","value":"831-31"},{"id":16,"name":"Locomotive ID","value":"4007"},{"id":130,"name":"Impact","value":""},{"id":150,"name":"Time of Event (Mountain Time)","value":"17:06:35"},{"id":151,"name":"Denver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"%USERPROFILE%\AppData\Local\Temp\OnboardLogs"\RTDC4007\*4007*201702010*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"%USERPROFILE%\AppData\Local\Temp\OnboardLogs"\RTDC4007\*4007*201702010* &gt;&gt; 2017-01-31-SliceDisagreementCheck.txt</v>
      </c>
      <c r="AE31" s="164" t="str">
        <f t="shared" si="9"/>
        <v>start /low /b %USERPROFILE%\Documents\GitHub\eaglep3\Utilities\DownloadLogsFromS3.py --loco 4007 --day 2017-02-01</v>
      </c>
      <c r="AF31" s="1"/>
    </row>
    <row r="32" spans="1:32" x14ac:dyDescent="0.25">
      <c r="A32" s="32">
        <v>42766.754293981481</v>
      </c>
      <c r="B32" s="30" t="s">
        <v>251</v>
      </c>
      <c r="C32" s="30" t="s">
        <v>512</v>
      </c>
      <c r="D32" s="30" t="s">
        <v>49</v>
      </c>
      <c r="E32" s="30" t="s">
        <v>188</v>
      </c>
      <c r="F32" s="43">
        <v>0</v>
      </c>
      <c r="G32" s="43">
        <v>27</v>
      </c>
      <c r="H32" s="43">
        <v>59001</v>
      </c>
      <c r="I32" s="43">
        <v>59027</v>
      </c>
      <c r="J32" s="30" t="s">
        <v>189</v>
      </c>
      <c r="K32" s="43">
        <v>59048</v>
      </c>
      <c r="L32" s="143" t="s">
        <v>50</v>
      </c>
      <c r="M32" s="144">
        <f t="shared" si="0"/>
        <v>11.087999999999999</v>
      </c>
      <c r="N32" s="145" t="str">
        <f>VLOOKUP(C32,'Trips&amp;Operators'!$C$1:$G$99999,5,FALSE)</f>
        <v>HILLS DUSTIN</v>
      </c>
      <c r="O32" s="160" t="s">
        <v>185</v>
      </c>
      <c r="P32" s="146"/>
      <c r="Q32" s="30"/>
      <c r="R32" s="89" t="str">
        <f>VLOOKUP(C32,'Train Runs'!$A$13:$AE$9987,31,0)</f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S32" s="92" t="str">
        <f>VLOOKUP(C32,'Train Runs'!$A$13:$AE$9987,22,0)</f>
        <v>https://d0f6bd738d7f1b3e5a7ca70fe4ff75f0.us-east-1.aws.found.io/app/kibana#/discover/Steve-Slow-Train-Analysis-(2080s-and-2083s)?_g=(refreshInterval:(display:Off,pause:!f,section:0,value:0),time:(from:'2017-01-31T16:27:01-0700',mode:absolute,to:'2017-01-31T19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2" s="94" t="str">
        <f t="shared" si="1"/>
        <v>"C:\Program Files (x86)\AstroGrep\AstroGrep.exe" /spath="%USERPROFILE%\AppData\Local\Temp\OnboardLogs" /stypes="*4007*201702010*" /stext=" 01:.+((SYSTEM_STATE.+slice.+state.+changed )|(ment ac)|(multiple cpu faults)|(system.+state.+changed )|(\[timeout)|(PRM\|1\|D)|(kpr)|(kdp)|(\|lc)|(penalty))" /e /r /s</v>
      </c>
      <c r="U32" s="9" t="str">
        <f t="shared" si="2"/>
        <v>4007</v>
      </c>
      <c r="V32" s="32">
        <f t="shared" si="3"/>
        <v>42767.045960648145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{"issue":{"subject":"","project_id":79,"tracker_id":40,"status_id":1,"priority_id":2,"assigned_to_id":23,"start_date":"2017-01-31","description":"","custom_fields":[{"id":1,"name":"Subdivision","value":"NW"},{"id":4,"name":"Milepost","value":"5.9048"},{"id":17,"name":"Train ID","value":"835-31"},{"id":16,"name":"Locomotive ID","value":"4007"},{"id":130,"name":"Impact","value":""},{"id":150,"name":"Time of Event (Mountain Time)","value":"18:06:11"},{"id":151,"name":"Denver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"%USERPROFILE%\AppData\Local\Temp\OnboardLogs"\RTDC4007\*4007*201702010*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"%USERPROFILE%\AppData\Local\Temp\OnboardLogs"\RTDC4007\*4007*201702010* &gt;&gt; 2017-01-31-SliceDisagreementCheck.txt</v>
      </c>
      <c r="AE32" s="164" t="str">
        <f t="shared" si="9"/>
        <v>start /low /b %USERPROFILE%\Documents\GitHub\eaglep3\Utilities\DownloadLogsFromS3.py --loco 4007 --day 2017-02-01</v>
      </c>
      <c r="AF32" s="1"/>
    </row>
    <row r="33" spans="1:32" x14ac:dyDescent="0.25">
      <c r="A33" s="32">
        <v>42766.774363425924</v>
      </c>
      <c r="B33" s="30" t="s">
        <v>513</v>
      </c>
      <c r="C33" s="30" t="s">
        <v>514</v>
      </c>
      <c r="D33" s="30" t="s">
        <v>49</v>
      </c>
      <c r="E33" s="30" t="s">
        <v>188</v>
      </c>
      <c r="F33" s="43">
        <v>0</v>
      </c>
      <c r="G33" s="43">
        <v>48</v>
      </c>
      <c r="H33" s="43">
        <v>58918</v>
      </c>
      <c r="I33" s="43">
        <v>58958</v>
      </c>
      <c r="J33" s="30" t="s">
        <v>189</v>
      </c>
      <c r="K33" s="43">
        <v>59048</v>
      </c>
      <c r="L33" s="143" t="s">
        <v>50</v>
      </c>
      <c r="M33" s="144">
        <f t="shared" si="0"/>
        <v>47.52</v>
      </c>
      <c r="N33" s="145" t="str">
        <f>VLOOKUP(C33,'Trips&amp;Operators'!$C$1:$G$99999,5,FALSE)</f>
        <v>LEVIN SCOTT</v>
      </c>
      <c r="O33" s="160" t="s">
        <v>185</v>
      </c>
      <c r="P33" s="146"/>
      <c r="Q33" s="30"/>
      <c r="R33" s="89" t="str">
        <f>VLOOKUP(C33,'Train Runs'!$A$13:$AE$9987,31,0)</f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S33" s="92" t="str">
        <f>VLOOKUP(C33,'Train Runs'!$A$13:$AE$9987,22,0)</f>
        <v>https://d0f6bd738d7f1b3e5a7ca70fe4ff75f0.us-east-1.aws.found.io/app/kibana#/discover/Steve-Slow-Train-Analysis-(2080s-and-2083s)?_g=(refreshInterval:(display:Off,pause:!f,section:0,value:0),time:(from:'2017-01-31T17:10:29-0700',mode:absolute,to:'2017-01-31T19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3" s="94" t="str">
        <f t="shared" si="1"/>
        <v>"C:\Program Files (x86)\AstroGrep\AstroGrep.exe" /spath="%USERPROFILE%\AppData\Local\Temp\OnboardLogs" /stypes="*4009*201702010*" /stext=" 01:.+((SYSTEM_STATE.+slice.+state.+changed )|(ment ac)|(multiple cpu faults)|(system.+state.+changed )|(\[timeout)|(PRM\|1\|D)|(kpr)|(kdp)|(\|lc)|(penalty))" /e /r /s</v>
      </c>
      <c r="U33" s="9" t="str">
        <f t="shared" si="2"/>
        <v>4009</v>
      </c>
      <c r="V33" s="32">
        <f t="shared" si="3"/>
        <v>42767.066030092588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{"issue":{"subject":"","project_id":79,"tracker_id":40,"status_id":1,"priority_id":2,"assigned_to_id":23,"start_date":"2017-01-31","description":"","custom_fields":[{"id":1,"name":"Subdivision","value":"NW"},{"id":4,"name":"Milepost","value":"5.9048"},{"id":17,"name":"Train ID","value":"837-31"},{"id":16,"name":"Locomotive ID","value":"4009"},{"id":130,"name":"Impact","value":""},{"id":150,"name":"Time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"%USERPROFILE%\AppData\Local\Temp\OnboardLogs"\RTDC4009\*4009*201702010*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"%USERPROFILE%\AppData\Local\Temp\OnboardLogs"\RTDC4009\*4009*201702010* &gt;&gt; 2017-01-31-SliceDisagreementCheck.txt</v>
      </c>
      <c r="AE33" s="164" t="str">
        <f t="shared" si="9"/>
        <v>start /low /b %USERPROFILE%\Documents\GitHub\eaglep3\Utilities\DownloadLogsFromS3.py --loco 4009 --day 2017-02-01</v>
      </c>
      <c r="AF33" s="1"/>
    </row>
    <row r="34" spans="1:32" x14ac:dyDescent="0.25">
      <c r="A34" s="32">
        <v>42766.796539351853</v>
      </c>
      <c r="B34" s="30" t="s">
        <v>251</v>
      </c>
      <c r="C34" s="30" t="s">
        <v>515</v>
      </c>
      <c r="D34" s="30" t="s">
        <v>49</v>
      </c>
      <c r="E34" s="30" t="s">
        <v>188</v>
      </c>
      <c r="F34" s="43">
        <v>0</v>
      </c>
      <c r="G34" s="43">
        <v>14</v>
      </c>
      <c r="H34" s="43">
        <v>59024</v>
      </c>
      <c r="I34" s="43">
        <v>59035</v>
      </c>
      <c r="J34" s="30" t="s">
        <v>189</v>
      </c>
      <c r="K34" s="43">
        <v>59048</v>
      </c>
      <c r="L34" s="143" t="s">
        <v>50</v>
      </c>
      <c r="M34" s="144">
        <f t="shared" si="0"/>
        <v>6.8639999999999999</v>
      </c>
      <c r="N34" s="145" t="str">
        <f>VLOOKUP(C34,'Trips&amp;Operators'!$C$1:$G$99999,5,FALSE)</f>
        <v>HILLS DUSTIN</v>
      </c>
      <c r="O34" s="160" t="s">
        <v>185</v>
      </c>
      <c r="P34" s="146"/>
      <c r="Q34" s="30"/>
      <c r="R34" s="89" t="str">
        <f>VLOOKUP(C34,'Train Runs'!$A$13:$AE$9987,31,0)</f>
        <v>aws s3 cp s3://rtdc.mdm.uploadarchive.raw/RTDC4007/ "%USERPROFILE%\AppData\Local\Temp\OnboardLogs"\RTDC4007\2017-01-31 --exclude "*" --recursive --include "*20170131*" &amp; "%USERPROFILE%\Documents\GitHub\mrs-test-scripts\Headless Mode &amp; Sideloading\WalkAndUnGZ.bat" "%USERPROFILE%\AppData\Local\Temp\OnboardLogs"\RTDC4007\2017-01-31 &amp; aws s3 cp s3://rtdc.mdm.uploadarchive.raw/RTDC4007/ "%USERPROFILE%\AppData\Local\Temp\OnboardLogs"\RTDC4007\2017-02-01 --exclude "*" --recursive --include "*20170201*" &amp; "%USERPROFILE%\Documents\GitHub\mrs-test-scripts\Headless Mode &amp; Sideloading\WalkAndUnGZ.bat" "%USERPROFILE%\AppData\Local\Temp\OnboardLogs"\RTDC4007\2017-02-01</v>
      </c>
      <c r="S34" s="92" t="str">
        <f>VLOOKUP(C34,'Train Runs'!$A$13:$AE$9987,22,0)</f>
        <v>https://d0f6bd738d7f1b3e5a7ca70fe4ff75f0.us-east-1.aws.found.io/app/kibana#/discover/Steve-Slow-Train-Analysis-(2080s-and-2083s)?_g=(refreshInterval:(display:Off,pause:!f,section:0,value:0),time:(from:'2017-01-31T17:27:26-0700',mode:absolute,to:'2017-01-31T20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4" s="94" t="str">
        <f t="shared" si="1"/>
        <v>"C:\Program Files (x86)\AstroGrep\AstroGrep.exe" /spath="%USERPROFILE%\AppData\Local\Temp\OnboardLogs" /stypes="*4007*201702010*" /stext=" 02:.+((SYSTEM_STATE.+slice.+state.+changed )|(ment ac)|(multiple cpu faults)|(system.+state.+changed )|(\[timeout)|(PRM\|1\|D)|(kpr)|(kdp)|(\|lc)|(penalty))" /e /r /s</v>
      </c>
      <c r="U34" s="9" t="str">
        <f t="shared" si="2"/>
        <v>4007</v>
      </c>
      <c r="V34" s="32">
        <f t="shared" si="3"/>
        <v>42767.088206018518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{"issue":{"subject":"","project_id":79,"tracker_id":40,"status_id":1,"priority_id":2,"assigned_to_id":23,"start_date":"2017-01-31","description":"","custom_fields":[{"id":1,"name":"Subdivision","value":"NW"},{"id":4,"name":"Milepost","value":"5.9048"},{"id":17,"name":"Train ID","value":"839-31"},{"id":16,"name":"Locomotive ID","value":"4007"},{"id":130,"name":"Impact","value":""},{"id":150,"name":"Time of Event (Mountain Time)","value":"19:07:01"},{"id":151,"name":"Denver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"%USERPROFILE%\AppData\Local\Temp\OnboardLogs"\RTDC4007\*4007*201702010*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"%USERPROFILE%\AppData\Local\Temp\OnboardLogs"\RTDC4007\*4007*201702010* &gt;&gt; 2017-01-31-SliceDisagreementCheck.txt</v>
      </c>
      <c r="AE34" s="164" t="str">
        <f t="shared" si="9"/>
        <v>start /low /b %USERPROFILE%\Documents\GitHub\eaglep3\Utilities\DownloadLogsFromS3.py --loco 4007 --day 2017-02-01</v>
      </c>
      <c r="AF34" s="1"/>
    </row>
    <row r="35" spans="1:32" x14ac:dyDescent="0.25">
      <c r="A35" s="32">
        <v>42766.900034722225</v>
      </c>
      <c r="B35" s="30" t="s">
        <v>513</v>
      </c>
      <c r="C35" s="30" t="s">
        <v>518</v>
      </c>
      <c r="D35" s="30" t="s">
        <v>49</v>
      </c>
      <c r="E35" s="30" t="s">
        <v>188</v>
      </c>
      <c r="F35" s="43">
        <v>0</v>
      </c>
      <c r="G35" s="43">
        <v>25</v>
      </c>
      <c r="H35" s="43">
        <v>59027</v>
      </c>
      <c r="I35" s="43">
        <v>59039</v>
      </c>
      <c r="J35" s="30" t="s">
        <v>189</v>
      </c>
      <c r="K35" s="43">
        <v>59048</v>
      </c>
      <c r="L35" s="143" t="s">
        <v>50</v>
      </c>
      <c r="M35" s="144">
        <f t="shared" si="0"/>
        <v>4.7519999999999998</v>
      </c>
      <c r="N35" s="145" t="str">
        <f>VLOOKUP(C35,'Trips&amp;Operators'!$C$1:$G$99999,5,FALSE)</f>
        <v>HILLS DUSTIN</v>
      </c>
      <c r="O35" s="160" t="s">
        <v>185</v>
      </c>
      <c r="P35" s="146"/>
      <c r="Q35" s="30"/>
      <c r="R35" s="89" t="str">
        <f>VLOOKUP(C35,'Train Runs'!$A$13:$AE$9987,31,0)</f>
        <v>aws s3 cp s3://rtdc.mdm.uploadarchive.raw/RTDC4009/ "%USERPROFILE%\AppData\Local\Temp\OnboardLogs"\RTDC4009\2017-01-31 --exclude "*" --recursive --include "*20170131*" &amp; "%USERPROFILE%\Documents\GitHub\mrs-test-scripts\Headless Mode &amp; Sideloading\WalkAndUnGZ.bat" "%USERPROFILE%\AppData\Local\Temp\OnboardLogs"\RTDC4009\2017-01-31 &amp; aws s3 cp s3://rtdc.mdm.uploadarchive.raw/RTDC4009/ "%USERPROFILE%\AppData\Local\Temp\OnboardLogs"\RTDC4009\2017-02-01 --exclude "*" --recursive --include "*20170201*" &amp; "%USERPROFILE%\Documents\GitHub\mrs-test-scripts\Headless Mode &amp; Sideloading\WalkAndUnGZ.bat" "%USERPROFILE%\AppData\Local\Temp\OnboardLogs"\RTDC4009\2017-02-01</v>
      </c>
      <c r="S35" s="92" t="str">
        <f>VLOOKUP(C35,'Train Runs'!$A$13:$AE$9987,22,0)</f>
        <v>https://d0f6bd738d7f1b3e5a7ca70fe4ff75f0.us-east-1.aws.found.io/app/kibana#/discover/Steve-Slow-Train-Analysis-(2080s-and-2083s)?_g=(refreshInterval:(display:Off,pause:!f,section:0,value:0),time:(from:'2017-01-31T20:13:01-0700',mode:absolute,to:'2017-01-31T22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5" s="94" t="str">
        <f t="shared" si="1"/>
        <v>"C:\Program Files (x86)\AstroGrep\AstroGrep.exe" /spath="%USERPROFILE%\AppData\Local\Temp\OnboardLogs" /stypes="*4009*201702010*" /stext=" 04:.+((SYSTEM_STATE.+slice.+state.+changed )|(ment ac)|(multiple cpu faults)|(system.+state.+changed )|(\[timeout)|(PRM\|1\|D)|(kpr)|(kdp)|(\|lc)|(penalty))" /e /r /s</v>
      </c>
      <c r="U35" s="9" t="str">
        <f t="shared" si="2"/>
        <v>4009</v>
      </c>
      <c r="V35" s="32">
        <f t="shared" si="3"/>
        <v>42767.191701388889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{"issue":{"subject":"","project_id":79,"tracker_id":40,"status_id":1,"priority_id":2,"assigned_to_id":23,"start_date":"2017-01-31","description":"","custom_fields":[{"id":1,"name":"Subdivision","value":"NW"},{"id":4,"name":"Milepost","value":"5.9048"},{"id":17,"name":"Train ID","value":"845-31"},{"id":16,"name":"Locomotive ID","value":"4009"},{"id":130,"name":"Impact","value":""},{"id":150,"name":"Time of Event (Mountain Time)","value":"21:36:03"},{"id":151,"name":"Denver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"%USERPROFILE%\AppData\Local\Temp\OnboardLogs"\RTDC4009\*4009*201702010*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"%USERPROFILE%\AppData\Local\Temp\OnboardLogs"\RTDC4009\*4009*201702010* &gt;&gt; 2017-01-31-SliceDisagreementCheck.txt</v>
      </c>
      <c r="AE35" s="164" t="str">
        <f t="shared" si="9"/>
        <v>start /low /b %USERPROFILE%\Documents\GitHub\eaglep3\Utilities\DownloadLogsFromS3.py --loco 4009 --day 2017-02-01</v>
      </c>
      <c r="AF35" s="1"/>
    </row>
    <row r="36" spans="1:32" x14ac:dyDescent="0.25">
      <c r="A36" s="32">
        <v>42766.816319444442</v>
      </c>
      <c r="B36" s="30" t="s">
        <v>199</v>
      </c>
      <c r="C36" s="30" t="s">
        <v>516</v>
      </c>
      <c r="D36" s="30" t="s">
        <v>98</v>
      </c>
      <c r="E36" s="30" t="s">
        <v>186</v>
      </c>
      <c r="F36" s="43">
        <v>0</v>
      </c>
      <c r="G36" s="43">
        <v>76</v>
      </c>
      <c r="H36" s="43">
        <v>1793</v>
      </c>
      <c r="I36" s="43">
        <v>1904</v>
      </c>
      <c r="J36" s="30" t="s">
        <v>187</v>
      </c>
      <c r="K36" s="43">
        <v>1692</v>
      </c>
      <c r="L36" s="143" t="s">
        <v>50</v>
      </c>
      <c r="M36" s="144">
        <f t="shared" si="0"/>
        <v>-111.93600000000001</v>
      </c>
      <c r="N36" s="145" t="str">
        <f>VLOOKUP(C36,'Trips&amp;Operators'!$C$1:$G$99999,5,FALSE)</f>
        <v>CRAYTON QUNTRELL</v>
      </c>
      <c r="O36" s="160" t="s">
        <v>185</v>
      </c>
      <c r="P36" s="146"/>
      <c r="Q36" s="30"/>
      <c r="R36" s="89" t="str">
        <f>VLOOKUP(C36,'Train Runs'!$A$13:$AE$9987,31,0)</f>
        <v>aws s3 cp s3://rtdc.mdm.uploadarchive.raw/RTDC4038/ "%USERPROFILE%\AppData\Local\Temp\OnboardLogs"\RTDC4038\2017-01-31 --exclude "*" --recursive --include "*20170131*" &amp; "%USERPROFILE%\Documents\GitHub\mrs-test-scripts\Headless Mode &amp; Sideloading\WalkAndUnGZ.bat" "%USERPROFILE%\AppData\Local\Temp\OnboardLogs"\RTDC4038\2017-01-31 &amp; aws s3 cp s3://rtdc.mdm.uploadarchive.raw/RTDC4038/ "%USERPROFILE%\AppData\Local\Temp\OnboardLogs"\RTDC4038\2017-02-01 --exclude "*" --recursive --include "*20170201*" &amp; "%USERPROFILE%\Documents\GitHub\mrs-test-scripts\Headless Mode &amp; Sideloading\WalkAndUnGZ.bat" "%USERPROFILE%\AppData\Local\Temp\OnboardLogs"\RTDC4038\2017-02-01</v>
      </c>
      <c r="S36" s="92" t="str">
        <f>VLOOKUP(C36,'Train Runs'!$A$13:$AE$9987,22,0)</f>
        <v>https://d0f6bd738d7f1b3e5a7ca70fe4ff75f0.us-east-1.aws.found.io/app/kibana#/discover/Steve-Slow-Train-Analysis-(2080s-and-2083s)?_g=(refreshInterval:(display:Off,pause:!f,section:0,value:0),time:(from:'2017-01-31T18:27:55-0700',mode:absolute,to:'2017-01-31T20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6" s="94" t="str">
        <f t="shared" si="1"/>
        <v>"C:\Program Files (x86)\AstroGrep\AstroGrep.exe" /spath="%USERPROFILE%\AppData\Local\Temp\OnboardLogs" /stypes="*4038*201702010*" /stext=" 02:.+((SYSTEM_STATE.+slice.+state.+changed )|(ment ac)|(multiple cpu faults)|(system.+state.+changed )|(\[timeout)|(PRM\|1\|D)|(kpr)|(kdp)|(\|lc)|(penalty))" /e /r /s</v>
      </c>
      <c r="U36" s="9" t="str">
        <f t="shared" si="2"/>
        <v>4038</v>
      </c>
      <c r="V36" s="32">
        <f t="shared" si="3"/>
        <v>42767.107986111107</v>
      </c>
      <c r="W36" s="46" t="str">
        <f t="shared" si="4"/>
        <v>Other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{"issue":{"subject":"","project_id":79,"tracker_id":40,"status_id":1,"priority_id":2,"assigned_to_id":23,"start_date":"2017-01-31","description":"","custom_fields":[{"id":1,"name":"Subdivision","value":"Other"},{"id":4,"name":"Milepost","value":"0.1692"},{"id":17,"name":"Train ID","value":"305-31"},{"id":16,"name":"Locomotive ID","value":"4038"},{"id":130,"name":"Impact","value":""},{"id":150,"name":"Time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"%USERPROFILE%\AppData\Local\Temp\OnboardLogs"\RTDC4038\*4038*201702010*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"%USERPROFILE%\AppData\Local\Temp\OnboardLogs"\RTDC4038\*4038*201702010* &gt;&gt; 2017-01-31-SliceDisagreementCheck.txt</v>
      </c>
      <c r="AE36" s="164" t="str">
        <f t="shared" si="9"/>
        <v>start /low /b %USERPROFILE%\Documents\GitHub\eaglep3\Utilities\DownloadLogsFromS3.py --loco 4038 --day 2017-02-01</v>
      </c>
      <c r="AF36" s="1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36">
    <sortState ref="A7:AC36">
      <sortCondition ref="W7:W36"/>
      <sortCondition ref="E7:E36"/>
      <sortCondition ref="K7:K36"/>
      <sortCondition ref="F7:F36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64:O1048576 O7:O3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6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"/>
    </sheetView>
  </sheetViews>
  <sheetFormatPr defaultRowHeight="15" x14ac:dyDescent="0.25"/>
  <cols>
    <col min="1" max="1" width="9.140625" style="152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52"/>
      <c r="B1" s="197" t="str">
        <f>"Trips that did not appear in PTC Data "&amp;TEXT(Variables!$A$2,"YYYY-mm-dd")</f>
        <v>Trips that did not appear in PTC Data 2017-01-31</v>
      </c>
      <c r="C1" s="197"/>
      <c r="D1" s="197"/>
      <c r="E1" s="197"/>
      <c r="F1" s="197"/>
    </row>
    <row r="2" spans="1:10" s="23" customFormat="1" ht="45" x14ac:dyDescent="0.25">
      <c r="A2" s="155" t="s">
        <v>152</v>
      </c>
      <c r="B2" s="99" t="s">
        <v>58</v>
      </c>
      <c r="C2" s="96" t="s">
        <v>59</v>
      </c>
      <c r="D2" s="17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53"/>
      <c r="B3" s="43" t="str">
        <f>A3&amp;"-"&amp;IF(DAY(Variables!$A$2)&lt;10,0,"")&amp;DAY(Variables!$A$2)</f>
        <v>-31</v>
      </c>
      <c r="C3" s="147"/>
      <c r="D3" s="172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" s="30" t="e">
        <f>VLOOKUP(B3,'Train Runs'!$A$13:$A$99984,1,FALSE)</f>
        <v>#N/A</v>
      </c>
    </row>
    <row r="4" spans="1:10" x14ac:dyDescent="0.25">
      <c r="A4" s="153"/>
      <c r="B4" s="43" t="str">
        <f>A4&amp;"-"&amp;IF(DAY(Variables!$A$2)&lt;10,0,"")&amp;DAY(Variables!$A$2)</f>
        <v>-31</v>
      </c>
      <c r="C4" s="147"/>
      <c r="D4" s="172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" s="30" t="e">
        <f>VLOOKUP(B4,'Train Runs'!$A$13:$A$99984,1,FALSE)</f>
        <v>#N/A</v>
      </c>
    </row>
    <row r="5" spans="1:10" x14ac:dyDescent="0.25">
      <c r="A5" s="153"/>
      <c r="B5" s="43" t="str">
        <f>A5&amp;"-"&amp;IF(DAY(Variables!$A$2)&lt;10,0,"")&amp;DAY(Variables!$A$2)</f>
        <v>-31</v>
      </c>
      <c r="C5" s="147"/>
      <c r="D5" s="172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" s="30" t="e">
        <f>VLOOKUP(B5,'Train Runs'!$A$13:$A$99984,1,FALSE)</f>
        <v>#N/A</v>
      </c>
    </row>
    <row r="6" spans="1:10" x14ac:dyDescent="0.25">
      <c r="A6" s="153"/>
      <c r="B6" s="43" t="str">
        <f>A6&amp;"-"&amp;IF(DAY(Variables!$A$2)&lt;10,0,"")&amp;DAY(Variables!$A$2)</f>
        <v>-31</v>
      </c>
      <c r="C6" s="147"/>
      <c r="D6" s="172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" s="30" t="e">
        <f>VLOOKUP(B6,'Train Runs'!$A$13:$A$99984,1,FALSE)</f>
        <v>#N/A</v>
      </c>
    </row>
    <row r="7" spans="1:10" x14ac:dyDescent="0.25">
      <c r="A7" s="153"/>
      <c r="B7" s="43" t="str">
        <f>A7&amp;"-"&amp;IF(DAY(Variables!$A$2)&lt;10,0,"")&amp;DAY(Variables!$A$2)</f>
        <v>-31</v>
      </c>
      <c r="C7" s="147"/>
      <c r="D7" s="172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" s="30" t="e">
        <f>VLOOKUP(B7,'Train Runs'!$A$13:$A$99984,1,FALSE)</f>
        <v>#N/A</v>
      </c>
    </row>
    <row r="8" spans="1:10" x14ac:dyDescent="0.25">
      <c r="A8" s="153"/>
      <c r="B8" s="43" t="str">
        <f>A8&amp;"-"&amp;IF(DAY(Variables!$A$2)&lt;10,0,"")&amp;DAY(Variables!$A$2)</f>
        <v>-31</v>
      </c>
      <c r="C8" s="147"/>
      <c r="D8" s="172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" s="30" t="e">
        <f>VLOOKUP(B8,'Train Runs'!$A$13:$A$99984,1,FALSE)</f>
        <v>#N/A</v>
      </c>
    </row>
    <row r="9" spans="1:10" x14ac:dyDescent="0.25">
      <c r="A9" s="153"/>
      <c r="B9" s="43" t="str">
        <f>A9&amp;"-"&amp;IF(DAY(Variables!$A$2)&lt;10,0,"")&amp;DAY(Variables!$A$2)</f>
        <v>-31</v>
      </c>
      <c r="C9" s="147"/>
      <c r="D9" s="172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" s="30" t="e">
        <f>VLOOKUP(B9,'Train Runs'!$A$13:$A$99984,1,FALSE)</f>
        <v>#N/A</v>
      </c>
    </row>
    <row r="10" spans="1:10" x14ac:dyDescent="0.25">
      <c r="A10" s="153"/>
      <c r="B10" s="43" t="str">
        <f>A10&amp;"-"&amp;IF(DAY(Variables!$A$2)&lt;10,0,"")&amp;DAY(Variables!$A$2)</f>
        <v>-31</v>
      </c>
      <c r="C10" s="147"/>
      <c r="D10" s="172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" s="30" t="e">
        <f>VLOOKUP(B10,'Train Runs'!$A$13:$A$99984,1,FALSE)</f>
        <v>#N/A</v>
      </c>
    </row>
    <row r="11" spans="1:10" x14ac:dyDescent="0.25">
      <c r="A11" s="153"/>
      <c r="B11" s="43" t="str">
        <f>A11&amp;"-"&amp;IF(DAY(Variables!$A$2)&lt;10,0,"")&amp;DAY(Variables!$A$2)</f>
        <v>-31</v>
      </c>
      <c r="C11" s="147"/>
      <c r="D11" s="172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" s="30" t="e">
        <f>VLOOKUP(B11,'Train Runs'!$A$13:$A$99984,1,FALSE)</f>
        <v>#N/A</v>
      </c>
    </row>
    <row r="12" spans="1:10" x14ac:dyDescent="0.25">
      <c r="A12" s="153"/>
      <c r="B12" s="43" t="str">
        <f>A12&amp;"-"&amp;IF(DAY(Variables!$A$2)&lt;10,0,"")&amp;DAY(Variables!$A$2)</f>
        <v>-31</v>
      </c>
      <c r="C12" s="147"/>
      <c r="D12" s="172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2" s="30" t="e">
        <f>VLOOKUP(B12,'Train Runs'!$A$13:$A$99984,1,FALSE)</f>
        <v>#N/A</v>
      </c>
    </row>
    <row r="13" spans="1:10" x14ac:dyDescent="0.25">
      <c r="A13" s="153"/>
      <c r="B13" s="43" t="str">
        <f>A13&amp;"-"&amp;IF(DAY(Variables!$A$2)&lt;10,0,"")&amp;DAY(Variables!$A$2)</f>
        <v>-31</v>
      </c>
      <c r="C13" s="147"/>
      <c r="D13" s="172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3" s="30" t="e">
        <f>VLOOKUP(B13,'Train Runs'!$A$13:$A$99984,1,FALSE)</f>
        <v>#N/A</v>
      </c>
    </row>
    <row r="14" spans="1:10" x14ac:dyDescent="0.25">
      <c r="A14" s="153"/>
      <c r="B14" s="43" t="str">
        <f>A14&amp;"-"&amp;IF(DAY(Variables!$A$2)&lt;10,0,"")&amp;DAY(Variables!$A$2)</f>
        <v>-31</v>
      </c>
      <c r="C14" s="147"/>
      <c r="D14" s="172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4" s="30" t="e">
        <f>VLOOKUP(B14,'Train Runs'!$A$13:$A$99984,1,FALSE)</f>
        <v>#N/A</v>
      </c>
    </row>
    <row r="15" spans="1:10" x14ac:dyDescent="0.25">
      <c r="A15" s="153"/>
      <c r="B15" s="43" t="str">
        <f>A15&amp;"-"&amp;IF(DAY(Variables!$A$2)&lt;10,0,"")&amp;DAY(Variables!$A$2)</f>
        <v>-31</v>
      </c>
      <c r="C15" s="147"/>
      <c r="D15" s="172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5" s="30" t="e">
        <f>VLOOKUP(B15,'Train Runs'!$A$13:$A$99984,1,FALSE)</f>
        <v>#N/A</v>
      </c>
    </row>
    <row r="16" spans="1:10" x14ac:dyDescent="0.25">
      <c r="A16" s="153"/>
      <c r="B16" s="43" t="str">
        <f>A16&amp;"-"&amp;IF(DAY(Variables!$A$2)&lt;10,0,"")&amp;DAY(Variables!$A$2)</f>
        <v>-31</v>
      </c>
      <c r="C16" s="147"/>
      <c r="D16" s="172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6" s="30" t="e">
        <f>VLOOKUP(B16,'Train Runs'!$A$13:$A$99984,1,FALSE)</f>
        <v>#N/A</v>
      </c>
    </row>
    <row r="17" spans="1:10" x14ac:dyDescent="0.25">
      <c r="A17" s="153"/>
      <c r="B17" s="43" t="str">
        <f>A17&amp;"-"&amp;IF(DAY(Variables!$A$2)&lt;10,0,"")&amp;DAY(Variables!$A$2)</f>
        <v>-31</v>
      </c>
      <c r="C17" s="147"/>
      <c r="D17" s="172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7" s="30" t="e">
        <f>VLOOKUP(B17,'Train Runs'!$A$13:$A$99984,1,FALSE)</f>
        <v>#N/A</v>
      </c>
    </row>
    <row r="18" spans="1:10" x14ac:dyDescent="0.25">
      <c r="A18" s="153"/>
      <c r="B18" s="43" t="str">
        <f>A18&amp;"-"&amp;IF(DAY(Variables!$A$2)&lt;10,0,"")&amp;DAY(Variables!$A$2)</f>
        <v>-31</v>
      </c>
      <c r="C18" s="147"/>
      <c r="D18" s="172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8" s="30" t="e">
        <f>VLOOKUP(B18,'Train Runs'!$A$13:$A$99984,1,FALSE)</f>
        <v>#N/A</v>
      </c>
    </row>
    <row r="19" spans="1:10" x14ac:dyDescent="0.25">
      <c r="A19" s="153"/>
      <c r="B19" s="43" t="str">
        <f>A19&amp;"-"&amp;IF(DAY(Variables!$A$2)&lt;10,0,"")&amp;DAY(Variables!$A$2)</f>
        <v>-31</v>
      </c>
      <c r="C19" s="147"/>
      <c r="D19" s="172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9" s="30" t="e">
        <f>VLOOKUP(B19,'Train Runs'!$A$13:$A$99984,1,FALSE)</f>
        <v>#N/A</v>
      </c>
    </row>
    <row r="20" spans="1:10" x14ac:dyDescent="0.25">
      <c r="A20" s="153"/>
      <c r="B20" s="43" t="str">
        <f>A20&amp;"-"&amp;IF(DAY(Variables!$A$2)&lt;10,0,"")&amp;DAY(Variables!$A$2)</f>
        <v>-31</v>
      </c>
      <c r="C20" s="147"/>
      <c r="D20" s="172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0" s="30" t="e">
        <f>VLOOKUP(B20,'Train Runs'!$A$13:$A$99984,1,FALSE)</f>
        <v>#N/A</v>
      </c>
    </row>
    <row r="21" spans="1:10" x14ac:dyDescent="0.25">
      <c r="A21" s="153"/>
      <c r="B21" s="43" t="str">
        <f>A21&amp;"-"&amp;IF(DAY(Variables!$A$2)&lt;10,0,"")&amp;DAY(Variables!$A$2)</f>
        <v>-31</v>
      </c>
      <c r="C21" s="147"/>
      <c r="D21" s="172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1" s="30" t="e">
        <f>VLOOKUP(B21,'Train Runs'!$A$13:$A$99984,1,FALSE)</f>
        <v>#N/A</v>
      </c>
    </row>
    <row r="22" spans="1:10" x14ac:dyDescent="0.25">
      <c r="A22" s="153"/>
      <c r="B22" s="43" t="str">
        <f>A22&amp;"-"&amp;IF(DAY(Variables!$A$2)&lt;10,0,"")&amp;DAY(Variables!$A$2)</f>
        <v>-31</v>
      </c>
      <c r="C22" s="147"/>
      <c r="D22" s="172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2" s="30" t="e">
        <f>VLOOKUP(B22,'Train Runs'!$A$13:$A$99984,1,FALSE)</f>
        <v>#N/A</v>
      </c>
    </row>
    <row r="23" spans="1:10" x14ac:dyDescent="0.25">
      <c r="A23" s="153"/>
      <c r="B23" s="43" t="str">
        <f>A23&amp;"-"&amp;IF(DAY(Variables!$A$2)&lt;10,0,"")&amp;DAY(Variables!$A$2)</f>
        <v>-31</v>
      </c>
      <c r="C23" s="147"/>
      <c r="D23" s="172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3" s="30" t="e">
        <f>VLOOKUP(B23,'Train Runs'!$A$13:$A$99984,1,FALSE)</f>
        <v>#N/A</v>
      </c>
    </row>
    <row r="24" spans="1:10" x14ac:dyDescent="0.25">
      <c r="A24" s="153"/>
      <c r="B24" s="43" t="str">
        <f>A24&amp;"-"&amp;IF(DAY(Variables!$A$2)&lt;10,0,"")&amp;DAY(Variables!$A$2)</f>
        <v>-31</v>
      </c>
      <c r="C24" s="147"/>
      <c r="D24" s="172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4" s="30" t="e">
        <f>VLOOKUP(B24,'Train Runs'!$A$13:$A$99984,1,FALSE)</f>
        <v>#N/A</v>
      </c>
    </row>
    <row r="25" spans="1:10" x14ac:dyDescent="0.25">
      <c r="A25" s="153"/>
      <c r="B25" s="43" t="str">
        <f>A25&amp;"-"&amp;IF(DAY(Variables!$A$2)&lt;10,0,"")&amp;DAY(Variables!$A$2)</f>
        <v>-31</v>
      </c>
      <c r="C25" s="147"/>
      <c r="D25" s="172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5" s="30" t="e">
        <f>VLOOKUP(B25,'Train Runs'!$A$13:$A$99984,1,FALSE)</f>
        <v>#N/A</v>
      </c>
    </row>
    <row r="26" spans="1:10" x14ac:dyDescent="0.25">
      <c r="A26" s="153"/>
      <c r="B26" s="43" t="str">
        <f>A26&amp;"-"&amp;IF(DAY(Variables!$A$2)&lt;10,0,"")&amp;DAY(Variables!$A$2)</f>
        <v>-31</v>
      </c>
      <c r="C26" s="147"/>
      <c r="D26" s="172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6" s="30" t="e">
        <f>VLOOKUP(B26,'Train Runs'!$A$13:$A$99984,1,FALSE)</f>
        <v>#N/A</v>
      </c>
    </row>
    <row r="27" spans="1:10" x14ac:dyDescent="0.25">
      <c r="A27" s="153"/>
      <c r="B27" s="43" t="str">
        <f>A27&amp;"-"&amp;IF(DAY(Variables!$A$2)&lt;10,0,"")&amp;DAY(Variables!$A$2)</f>
        <v>-31</v>
      </c>
      <c r="C27" s="147"/>
      <c r="D27" s="172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7" s="30" t="e">
        <f>VLOOKUP(B27,'Train Runs'!$A$13:$A$99984,1,FALSE)</f>
        <v>#N/A</v>
      </c>
    </row>
    <row r="28" spans="1:10" x14ac:dyDescent="0.25">
      <c r="A28" s="153"/>
      <c r="B28" s="43" t="str">
        <f>A28&amp;"-"&amp;IF(DAY(Variables!$A$2)&lt;10,0,"")&amp;DAY(Variables!$A$2)</f>
        <v>-31</v>
      </c>
      <c r="C28" s="147"/>
      <c r="D28" s="172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8" s="30" t="e">
        <f>VLOOKUP(B28,'Train Runs'!$A$13:$A$99984,1,FALSE)</f>
        <v>#N/A</v>
      </c>
    </row>
    <row r="29" spans="1:10" x14ac:dyDescent="0.25">
      <c r="A29" s="153"/>
      <c r="B29" s="43" t="str">
        <f>A29&amp;"-"&amp;IF(DAY(Variables!$A$2)&lt;10,0,"")&amp;DAY(Variables!$A$2)</f>
        <v>-31</v>
      </c>
      <c r="C29" s="147"/>
      <c r="D29" s="172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9" s="30" t="e">
        <f>VLOOKUP(B29,'Train Runs'!$A$13:$A$99984,1,FALSE)</f>
        <v>#N/A</v>
      </c>
    </row>
    <row r="30" spans="1:10" x14ac:dyDescent="0.25">
      <c r="A30" s="153"/>
      <c r="B30" s="43" t="str">
        <f>A30&amp;"-"&amp;IF(DAY(Variables!$A$2)&lt;10,0,"")&amp;DAY(Variables!$A$2)</f>
        <v>-31</v>
      </c>
      <c r="C30" s="147"/>
      <c r="D30" s="172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0" s="30" t="e">
        <f>VLOOKUP(B30,'Train Runs'!$A$13:$A$99984,1,FALSE)</f>
        <v>#N/A</v>
      </c>
    </row>
    <row r="31" spans="1:10" x14ac:dyDescent="0.25">
      <c r="A31" s="153"/>
      <c r="B31" s="43" t="str">
        <f>A31&amp;"-"&amp;IF(DAY(Variables!$A$2)&lt;10,0,"")&amp;DAY(Variables!$A$2)</f>
        <v>-31</v>
      </c>
      <c r="C31" s="147"/>
      <c r="D31" s="172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1" s="30" t="e">
        <f>VLOOKUP(B31,'Train Runs'!$A$13:$A$99984,1,FALSE)</f>
        <v>#N/A</v>
      </c>
    </row>
    <row r="32" spans="1:10" x14ac:dyDescent="0.25">
      <c r="A32" s="153"/>
      <c r="B32" s="43" t="str">
        <f>A32&amp;"-"&amp;IF(DAY(Variables!$A$2)&lt;10,0,"")&amp;DAY(Variables!$A$2)</f>
        <v>-31</v>
      </c>
      <c r="C32" s="147"/>
      <c r="D32" s="172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2" s="30" t="e">
        <f>VLOOKUP(B32,'Train Runs'!$A$13:$A$99984,1,FALSE)</f>
        <v>#N/A</v>
      </c>
    </row>
    <row r="33" spans="1:10" x14ac:dyDescent="0.25">
      <c r="A33" s="153"/>
      <c r="B33" s="43" t="str">
        <f>A33&amp;"-"&amp;IF(DAY(Variables!$A$2)&lt;10,0,"")&amp;DAY(Variables!$A$2)</f>
        <v>-31</v>
      </c>
      <c r="C33" s="147"/>
      <c r="D33" s="172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3" s="30" t="e">
        <f>VLOOKUP(B33,'Train Runs'!$A$13:$A$99984,1,FALSE)</f>
        <v>#N/A</v>
      </c>
    </row>
    <row r="34" spans="1:10" x14ac:dyDescent="0.25">
      <c r="A34" s="153"/>
      <c r="B34" s="43" t="str">
        <f>A34&amp;"-"&amp;IF(DAY(Variables!$A$2)&lt;10,0,"")&amp;DAY(Variables!$A$2)</f>
        <v>-31</v>
      </c>
      <c r="C34" s="147"/>
      <c r="D34" s="172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4" s="30" t="e">
        <f>VLOOKUP(B34,'Train Runs'!$A$13:$A$99984,1,FALSE)</f>
        <v>#N/A</v>
      </c>
    </row>
    <row r="35" spans="1:10" x14ac:dyDescent="0.25">
      <c r="A35" s="153"/>
      <c r="B35" s="43" t="str">
        <f>A35&amp;"-"&amp;IF(DAY(Variables!$A$2)&lt;10,0,"")&amp;DAY(Variables!$A$2)</f>
        <v>-31</v>
      </c>
      <c r="C35" s="147"/>
      <c r="D35" s="172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5" s="30" t="e">
        <f>VLOOKUP(B35,'Train Runs'!$A$13:$A$99984,1,FALSE)</f>
        <v>#N/A</v>
      </c>
    </row>
    <row r="36" spans="1:10" x14ac:dyDescent="0.25">
      <c r="A36" s="153"/>
      <c r="B36" s="43" t="str">
        <f>A36&amp;"-"&amp;IF(DAY(Variables!$A$2)&lt;10,0,"")&amp;DAY(Variables!$A$2)</f>
        <v>-31</v>
      </c>
      <c r="C36" s="147"/>
      <c r="D36" s="172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6" s="30" t="e">
        <f>VLOOKUP(B36,'Train Runs'!$A$13:$A$99984,1,FALSE)</f>
        <v>#N/A</v>
      </c>
    </row>
    <row r="37" spans="1:10" x14ac:dyDescent="0.25">
      <c r="A37" s="153"/>
      <c r="B37" s="43" t="str">
        <f>A37&amp;"-"&amp;IF(DAY(Variables!$A$2)&lt;10,0,"")&amp;DAY(Variables!$A$2)</f>
        <v>-31</v>
      </c>
      <c r="C37" s="147"/>
      <c r="D37" s="172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7" s="30" t="e">
        <f>VLOOKUP(B37,'Train Runs'!$A$13:$A$99984,1,FALSE)</f>
        <v>#N/A</v>
      </c>
    </row>
    <row r="38" spans="1:10" x14ac:dyDescent="0.25">
      <c r="A38" s="153"/>
      <c r="B38" s="43" t="str">
        <f>A38&amp;"-"&amp;IF(DAY(Variables!$A$2)&lt;10,0,"")&amp;DAY(Variables!$A$2)</f>
        <v>-31</v>
      </c>
      <c r="C38" s="147"/>
      <c r="D38" s="172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8" s="30" t="e">
        <f>VLOOKUP(B38,'Train Runs'!$A$13:$A$99984,1,FALSE)</f>
        <v>#N/A</v>
      </c>
    </row>
    <row r="39" spans="1:10" x14ac:dyDescent="0.25">
      <c r="A39" s="153"/>
      <c r="B39" s="43" t="str">
        <f>A39&amp;"-"&amp;IF(DAY(Variables!$A$2)&lt;10,0,"")&amp;DAY(Variables!$A$2)</f>
        <v>-31</v>
      </c>
      <c r="C39" s="147"/>
      <c r="D39" s="172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9" s="30" t="e">
        <f>VLOOKUP(B39,'Train Runs'!$A$13:$A$99984,1,FALSE)</f>
        <v>#N/A</v>
      </c>
    </row>
    <row r="40" spans="1:10" x14ac:dyDescent="0.25">
      <c r="A40" s="153"/>
      <c r="B40" s="43" t="str">
        <f>A40&amp;"-"&amp;IF(DAY(Variables!$A$2)&lt;10,0,"")&amp;DAY(Variables!$A$2)</f>
        <v>-31</v>
      </c>
      <c r="C40" s="147"/>
      <c r="D40" s="172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0" s="30" t="e">
        <f>VLOOKUP(B40,'Train Runs'!$A$13:$A$99984,1,FALSE)</f>
        <v>#N/A</v>
      </c>
    </row>
    <row r="41" spans="1:10" x14ac:dyDescent="0.25">
      <c r="A41" s="153"/>
      <c r="B41" s="43" t="str">
        <f>A41&amp;"-"&amp;IF(DAY(Variables!$A$2)&lt;10,0,"")&amp;DAY(Variables!$A$2)</f>
        <v>-31</v>
      </c>
      <c r="C41" s="147"/>
      <c r="D41" s="172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1" s="30" t="e">
        <f>VLOOKUP(B41,'Train Runs'!$A$13:$A$99984,1,FALSE)</f>
        <v>#N/A</v>
      </c>
    </row>
    <row r="42" spans="1:10" x14ac:dyDescent="0.25">
      <c r="A42" s="153"/>
      <c r="B42" s="43" t="str">
        <f>A42&amp;"-"&amp;IF(DAY(Variables!$A$2)&lt;10,0,"")&amp;DAY(Variables!$A$2)</f>
        <v>-31</v>
      </c>
      <c r="C42" s="147"/>
      <c r="D42" s="172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2" s="30" t="e">
        <f>VLOOKUP(B42,'Train Runs'!$A$13:$A$99984,1,FALSE)</f>
        <v>#N/A</v>
      </c>
    </row>
    <row r="43" spans="1:10" x14ac:dyDescent="0.25">
      <c r="A43" s="153"/>
      <c r="B43" s="43" t="str">
        <f>A43&amp;"-"&amp;IF(DAY(Variables!$A$2)&lt;10,0,"")&amp;DAY(Variables!$A$2)</f>
        <v>-31</v>
      </c>
      <c r="C43" s="147"/>
      <c r="D43" s="172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3" s="30" t="e">
        <f>VLOOKUP(B43,'Train Runs'!$A$13:$A$99984,1,FALSE)</f>
        <v>#N/A</v>
      </c>
    </row>
    <row r="44" spans="1:10" x14ac:dyDescent="0.25">
      <c r="A44" s="153"/>
      <c r="B44" s="43" t="str">
        <f>A44&amp;"-"&amp;IF(DAY(Variables!$A$2)&lt;10,0,"")&amp;DAY(Variables!$A$2)</f>
        <v>-31</v>
      </c>
      <c r="C44" s="147"/>
      <c r="D44" s="172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4" s="30" t="e">
        <f>VLOOKUP(B44,'Train Runs'!$A$13:$A$99984,1,FALSE)</f>
        <v>#N/A</v>
      </c>
    </row>
    <row r="45" spans="1:10" x14ac:dyDescent="0.25">
      <c r="A45" s="153"/>
      <c r="B45" s="43" t="str">
        <f>A45&amp;"-"&amp;IF(DAY(Variables!$A$2)&lt;10,0,"")&amp;DAY(Variables!$A$2)</f>
        <v>-31</v>
      </c>
      <c r="C45" s="147"/>
      <c r="D45" s="172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5" s="30" t="e">
        <f>VLOOKUP(B45,'Train Runs'!$A$13:$A$99984,1,FALSE)</f>
        <v>#N/A</v>
      </c>
    </row>
    <row r="46" spans="1:10" x14ac:dyDescent="0.25">
      <c r="A46" s="153"/>
      <c r="B46" s="43" t="str">
        <f>A46&amp;"-"&amp;IF(DAY(Variables!$A$2)&lt;10,0,"")&amp;DAY(Variables!$A$2)</f>
        <v>-31</v>
      </c>
      <c r="C46" s="147"/>
      <c r="D46" s="172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6" s="30" t="e">
        <f>VLOOKUP(B46,'Train Runs'!$A$13:$A$99984,1,FALSE)</f>
        <v>#N/A</v>
      </c>
    </row>
    <row r="47" spans="1:10" x14ac:dyDescent="0.25">
      <c r="A47" s="153"/>
      <c r="B47" s="43" t="str">
        <f>A47&amp;"-"&amp;IF(DAY(Variables!$A$2)&lt;10,0,"")&amp;DAY(Variables!$A$2)</f>
        <v>-31</v>
      </c>
      <c r="C47" s="147"/>
      <c r="D47" s="172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7" s="30" t="e">
        <f>VLOOKUP(B47,'Train Runs'!$A$13:$A$99984,1,FALSE)</f>
        <v>#N/A</v>
      </c>
    </row>
    <row r="48" spans="1:10" x14ac:dyDescent="0.25">
      <c r="A48" s="153"/>
      <c r="B48" s="43" t="str">
        <f>A48&amp;"-"&amp;IF(DAY(Variables!$A$2)&lt;10,0,"")&amp;DAY(Variables!$A$2)</f>
        <v>-31</v>
      </c>
      <c r="C48" s="147"/>
      <c r="D48" s="172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8" s="30" t="e">
        <f>VLOOKUP(B48,'Train Runs'!$A$13:$A$99984,1,FALSE)</f>
        <v>#N/A</v>
      </c>
    </row>
    <row r="49" spans="1:10" x14ac:dyDescent="0.25">
      <c r="A49" s="153"/>
      <c r="B49" s="43" t="str">
        <f>A49&amp;"-"&amp;IF(DAY(Variables!$A$2)&lt;10,0,"")&amp;DAY(Variables!$A$2)</f>
        <v>-31</v>
      </c>
      <c r="C49" s="147"/>
      <c r="D49" s="172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9" s="30" t="e">
        <f>VLOOKUP(B49,'Train Runs'!$A$13:$A$99984,1,FALSE)</f>
        <v>#N/A</v>
      </c>
    </row>
    <row r="50" spans="1:10" x14ac:dyDescent="0.25">
      <c r="A50" s="153"/>
      <c r="B50" s="43" t="str">
        <f>A50&amp;"-"&amp;IF(DAY(Variables!$A$2)&lt;10,0,"")&amp;DAY(Variables!$A$2)</f>
        <v>-31</v>
      </c>
      <c r="C50" s="147"/>
      <c r="D50" s="172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0" s="30" t="e">
        <f>VLOOKUP(B50,'Train Runs'!$A$13:$A$99984,1,FALSE)</f>
        <v>#N/A</v>
      </c>
    </row>
    <row r="51" spans="1:10" x14ac:dyDescent="0.25">
      <c r="A51" s="153"/>
      <c r="B51" s="43" t="str">
        <f>A51&amp;"-"&amp;IF(DAY(Variables!$A$2)&lt;10,0,"")&amp;DAY(Variables!$A$2)</f>
        <v>-31</v>
      </c>
      <c r="C51" s="147"/>
      <c r="D51" s="172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1" s="30" t="e">
        <f>VLOOKUP(B51,'Train Runs'!$A$13:$A$99984,1,FALSE)</f>
        <v>#N/A</v>
      </c>
    </row>
    <row r="52" spans="1:10" x14ac:dyDescent="0.25">
      <c r="A52" s="153"/>
      <c r="B52" s="43" t="str">
        <f>A52&amp;"-"&amp;IF(DAY(Variables!$A$2)&lt;10,0,"")&amp;DAY(Variables!$A$2)</f>
        <v>-31</v>
      </c>
      <c r="C52" s="147"/>
      <c r="D52" s="172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2" s="30" t="e">
        <f>VLOOKUP(B52,'Train Runs'!$A$13:$A$99984,1,FALSE)</f>
        <v>#N/A</v>
      </c>
    </row>
    <row r="53" spans="1:10" x14ac:dyDescent="0.25">
      <c r="A53" s="153"/>
      <c r="B53" s="43" t="str">
        <f>A53&amp;"-"&amp;IF(DAY(Variables!$A$2)&lt;10,0,"")&amp;DAY(Variables!$A$2)</f>
        <v>-31</v>
      </c>
      <c r="C53" s="147"/>
      <c r="D53" s="172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3" s="30" t="e">
        <f>VLOOKUP(B53,'Train Runs'!$A$13:$A$99984,1,FALSE)</f>
        <v>#N/A</v>
      </c>
    </row>
    <row r="54" spans="1:10" x14ac:dyDescent="0.25">
      <c r="A54" s="153"/>
      <c r="B54" s="43" t="str">
        <f>A54&amp;"-"&amp;IF(DAY(Variables!$A$2)&lt;10,0,"")&amp;DAY(Variables!$A$2)</f>
        <v>-31</v>
      </c>
      <c r="C54" s="147"/>
      <c r="D54" s="172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4" s="30" t="e">
        <f>VLOOKUP(B54,'Train Runs'!$A$13:$A$99984,1,FALSE)</f>
        <v>#N/A</v>
      </c>
    </row>
    <row r="55" spans="1:10" x14ac:dyDescent="0.25">
      <c r="A55" s="153"/>
      <c r="B55" s="43" t="str">
        <f>A55&amp;"-"&amp;IF(DAY(Variables!$A$2)&lt;10,0,"")&amp;DAY(Variables!$A$2)</f>
        <v>-31</v>
      </c>
      <c r="C55" s="147"/>
      <c r="D55" s="172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5" s="30" t="e">
        <f>VLOOKUP(B55,'Train Runs'!$A$13:$A$99984,1,FALSE)</f>
        <v>#N/A</v>
      </c>
    </row>
    <row r="56" spans="1:10" x14ac:dyDescent="0.25">
      <c r="A56" s="153"/>
      <c r="B56" s="43" t="str">
        <f>A56&amp;"-"&amp;IF(DAY(Variables!$A$2)&lt;10,0,"")&amp;DAY(Variables!$A$2)</f>
        <v>-31</v>
      </c>
      <c r="C56" s="147"/>
      <c r="D56" s="172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6" s="30" t="e">
        <f>VLOOKUP(B56,'Train Runs'!$A$13:$A$99984,1,FALSE)</f>
        <v>#N/A</v>
      </c>
    </row>
    <row r="57" spans="1:10" x14ac:dyDescent="0.25">
      <c r="A57" s="153"/>
      <c r="B57" s="43" t="str">
        <f>A57&amp;"-"&amp;IF(DAY(Variables!$A$2)&lt;10,0,"")&amp;DAY(Variables!$A$2)</f>
        <v>-31</v>
      </c>
      <c r="C57" s="147"/>
      <c r="D57" s="172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7" s="30" t="e">
        <f>VLOOKUP(B57,'Train Runs'!$A$13:$A$99984,1,FALSE)</f>
        <v>#N/A</v>
      </c>
    </row>
    <row r="58" spans="1:10" x14ac:dyDescent="0.25">
      <c r="A58" s="153"/>
      <c r="B58" s="43" t="str">
        <f>A58&amp;"-"&amp;IF(DAY(Variables!$A$2)&lt;10,0,"")&amp;DAY(Variables!$A$2)</f>
        <v>-31</v>
      </c>
      <c r="C58" s="147"/>
      <c r="D58" s="172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8" s="30" t="e">
        <f>VLOOKUP(B58,'Train Runs'!$A$13:$A$99984,1,FALSE)</f>
        <v>#N/A</v>
      </c>
    </row>
    <row r="59" spans="1:10" x14ac:dyDescent="0.25">
      <c r="A59" s="153"/>
      <c r="B59" s="43" t="str">
        <f>A59&amp;"-"&amp;IF(DAY(Variables!$A$2)&lt;10,0,"")&amp;DAY(Variables!$A$2)</f>
        <v>-31</v>
      </c>
      <c r="C59" s="147"/>
      <c r="D59" s="172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9" s="30" t="e">
        <f>VLOOKUP(B59,'Train Runs'!$A$13:$A$99984,1,FALSE)</f>
        <v>#N/A</v>
      </c>
    </row>
    <row r="60" spans="1:10" x14ac:dyDescent="0.25">
      <c r="A60" s="153"/>
      <c r="B60" s="43" t="str">
        <f>A60&amp;"-"&amp;IF(DAY(Variables!$A$2)&lt;10,0,"")&amp;DAY(Variables!$A$2)</f>
        <v>-31</v>
      </c>
      <c r="C60" s="147"/>
      <c r="D60" s="172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0" s="30" t="e">
        <f>VLOOKUP(B60,'Train Runs'!$A$13:$A$99984,1,FALSE)</f>
        <v>#N/A</v>
      </c>
    </row>
    <row r="61" spans="1:10" x14ac:dyDescent="0.25">
      <c r="A61" s="153"/>
      <c r="B61" s="43" t="str">
        <f>A61&amp;"-"&amp;IF(DAY(Variables!$A$2)&lt;10,0,"")&amp;DAY(Variables!$A$2)</f>
        <v>-31</v>
      </c>
      <c r="C61" s="147"/>
      <c r="D61" s="172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1" s="30" t="e">
        <f>VLOOKUP(B61,'Train Runs'!$A$13:$A$99984,1,FALSE)</f>
        <v>#N/A</v>
      </c>
    </row>
    <row r="62" spans="1:10" x14ac:dyDescent="0.25">
      <c r="A62" s="153"/>
      <c r="B62" s="43" t="str">
        <f>A62&amp;"-"&amp;IF(DAY(Variables!$A$2)&lt;10,0,"")&amp;DAY(Variables!$A$2)</f>
        <v>-31</v>
      </c>
      <c r="C62" s="147"/>
      <c r="D62" s="172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2" s="30" t="e">
        <f>VLOOKUP(B62,'Train Runs'!$A$13:$A$99984,1,FALSE)</f>
        <v>#N/A</v>
      </c>
    </row>
    <row r="63" spans="1:10" x14ac:dyDescent="0.25">
      <c r="A63" s="153"/>
      <c r="B63" s="43" t="str">
        <f>A63&amp;"-"&amp;IF(DAY(Variables!$A$2)&lt;10,0,"")&amp;DAY(Variables!$A$2)</f>
        <v>-31</v>
      </c>
      <c r="C63" s="147"/>
      <c r="D63" s="172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3" s="30" t="e">
        <f>VLOOKUP(B63,'Train Runs'!$A$13:$A$99984,1,FALSE)</f>
        <v>#N/A</v>
      </c>
    </row>
    <row r="64" spans="1:10" x14ac:dyDescent="0.25">
      <c r="A64" s="153"/>
      <c r="B64" s="43" t="str">
        <f>A64&amp;"-"&amp;IF(DAY(Variables!$A$2)&lt;10,0,"")&amp;DAY(Variables!$A$2)</f>
        <v>-31</v>
      </c>
      <c r="C64" s="147"/>
      <c r="D64" s="172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4" s="30" t="e">
        <f>VLOOKUP(B64,'Train Runs'!$A$13:$A$99984,1,FALSE)</f>
        <v>#N/A</v>
      </c>
    </row>
    <row r="65" spans="1:10" x14ac:dyDescent="0.25">
      <c r="A65" s="153"/>
      <c r="B65" s="43" t="str">
        <f>A65&amp;"-"&amp;IF(DAY(Variables!$A$2)&lt;10,0,"")&amp;DAY(Variables!$A$2)</f>
        <v>-31</v>
      </c>
      <c r="C65" s="147"/>
      <c r="D65" s="172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5" s="30" t="e">
        <f>VLOOKUP(B65,'Train Runs'!$A$13:$A$99984,1,FALSE)</f>
        <v>#N/A</v>
      </c>
    </row>
    <row r="66" spans="1:10" x14ac:dyDescent="0.25">
      <c r="A66" s="153"/>
      <c r="B66" s="43" t="str">
        <f>A66&amp;"-"&amp;IF(DAY(Variables!$A$2)&lt;10,0,"")&amp;DAY(Variables!$A$2)</f>
        <v>-31</v>
      </c>
      <c r="C66" s="147"/>
      <c r="D66" s="172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6" s="30" t="e">
        <f>VLOOKUP(B66,'Train Runs'!$A$13:$A$99984,1,FALSE)</f>
        <v>#N/A</v>
      </c>
    </row>
    <row r="67" spans="1:10" x14ac:dyDescent="0.25">
      <c r="A67" s="153"/>
      <c r="B67" s="43" t="str">
        <f>A67&amp;"-"&amp;IF(DAY(Variables!$A$2)&lt;10,0,"")&amp;DAY(Variables!$A$2)</f>
        <v>-31</v>
      </c>
      <c r="C67" s="147"/>
      <c r="D67" s="172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7" s="30" t="e">
        <f>VLOOKUP(B67,'Train Runs'!$A$13:$A$99984,1,FALSE)</f>
        <v>#N/A</v>
      </c>
    </row>
    <row r="68" spans="1:10" x14ac:dyDescent="0.25">
      <c r="A68" s="153"/>
      <c r="B68" s="43" t="str">
        <f>A68&amp;"-"&amp;IF(DAY(Variables!$A$2)&lt;10,0,"")&amp;DAY(Variables!$A$2)</f>
        <v>-31</v>
      </c>
      <c r="C68" s="147"/>
      <c r="D68" s="172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8" s="30" t="e">
        <f>VLOOKUP(B68,'Train Runs'!$A$13:$A$99984,1,FALSE)</f>
        <v>#N/A</v>
      </c>
    </row>
    <row r="69" spans="1:10" x14ac:dyDescent="0.25">
      <c r="A69" s="153"/>
      <c r="B69" s="43" t="str">
        <f>A69&amp;"-"&amp;IF(DAY(Variables!$A$2)&lt;10,0,"")&amp;DAY(Variables!$A$2)</f>
        <v>-31</v>
      </c>
      <c r="C69" s="147"/>
      <c r="D69" s="172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9" s="30" t="e">
        <f>VLOOKUP(B69,'Train Runs'!$A$13:$A$99984,1,FALSE)</f>
        <v>#N/A</v>
      </c>
    </row>
    <row r="70" spans="1:10" x14ac:dyDescent="0.25">
      <c r="A70" s="153"/>
      <c r="B70" s="43" t="str">
        <f>A70&amp;"-"&amp;IF(DAY(Variables!$A$2)&lt;10,0,"")&amp;DAY(Variables!$A$2)</f>
        <v>-31</v>
      </c>
      <c r="C70" s="147"/>
      <c r="D70" s="172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0" s="30" t="e">
        <f>VLOOKUP(B70,'Train Runs'!$A$13:$A$99984,1,FALSE)</f>
        <v>#N/A</v>
      </c>
    </row>
    <row r="71" spans="1:10" x14ac:dyDescent="0.25">
      <c r="A71" s="153"/>
      <c r="B71" s="43" t="str">
        <f>A71&amp;"-"&amp;IF(DAY(Variables!$A$2)&lt;10,0,"")&amp;DAY(Variables!$A$2)</f>
        <v>-31</v>
      </c>
      <c r="C71" s="147"/>
      <c r="D71" s="172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1" s="30" t="e">
        <f>VLOOKUP(B71,'Train Runs'!$A$13:$A$99984,1,FALSE)</f>
        <v>#N/A</v>
      </c>
    </row>
    <row r="72" spans="1:10" x14ac:dyDescent="0.25">
      <c r="A72" s="153"/>
      <c r="B72" s="43" t="str">
        <f>A72&amp;"-"&amp;IF(DAY(Variables!$A$2)&lt;10,0,"")&amp;DAY(Variables!$A$2)</f>
        <v>-31</v>
      </c>
      <c r="C72" s="147"/>
      <c r="D72" s="172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2" s="30" t="e">
        <f>VLOOKUP(B72,'Train Runs'!$A$13:$A$99984,1,FALSE)</f>
        <v>#N/A</v>
      </c>
    </row>
    <row r="73" spans="1:10" x14ac:dyDescent="0.25">
      <c r="A73" s="153"/>
      <c r="B73" s="43" t="str">
        <f>A73&amp;"-"&amp;IF(DAY(Variables!$A$2)&lt;10,0,"")&amp;DAY(Variables!$A$2)</f>
        <v>-31</v>
      </c>
      <c r="C73" s="147"/>
      <c r="D73" s="172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3" s="30" t="e">
        <f>VLOOKUP(B73,'Train Runs'!$A$13:$A$99984,1,FALSE)</f>
        <v>#N/A</v>
      </c>
    </row>
    <row r="74" spans="1:10" x14ac:dyDescent="0.25">
      <c r="A74" s="153"/>
      <c r="B74" s="43" t="str">
        <f>A74&amp;"-"&amp;IF(DAY(Variables!$A$2)&lt;10,0,"")&amp;DAY(Variables!$A$2)</f>
        <v>-31</v>
      </c>
      <c r="C74" s="147"/>
      <c r="D74" s="172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4" s="30" t="e">
        <f>VLOOKUP(B74,'Train Runs'!$A$13:$A$99984,1,FALSE)</f>
        <v>#N/A</v>
      </c>
    </row>
    <row r="75" spans="1:10" x14ac:dyDescent="0.25">
      <c r="A75" s="153"/>
      <c r="B75" s="43" t="str">
        <f>A75&amp;"-"&amp;IF(DAY(Variables!$A$2)&lt;10,0,"")&amp;DAY(Variables!$A$2)</f>
        <v>-31</v>
      </c>
      <c r="C75" s="147"/>
      <c r="D75" s="172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5" s="30" t="e">
        <f>VLOOKUP(B75,'Train Runs'!$A$13:$A$99984,1,FALSE)</f>
        <v>#N/A</v>
      </c>
    </row>
    <row r="76" spans="1:10" x14ac:dyDescent="0.25">
      <c r="A76" s="153"/>
      <c r="B76" s="43" t="str">
        <f>A76&amp;"-"&amp;IF(DAY(Variables!$A$2)&lt;10,0,"")&amp;DAY(Variables!$A$2)</f>
        <v>-31</v>
      </c>
      <c r="C76" s="147"/>
      <c r="D76" s="172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6" s="30" t="e">
        <f>VLOOKUP(B76,'Train Runs'!$A$13:$A$99984,1,FALSE)</f>
        <v>#N/A</v>
      </c>
    </row>
    <row r="77" spans="1:10" x14ac:dyDescent="0.25">
      <c r="A77" s="153"/>
      <c r="B77" s="43" t="str">
        <f>A77&amp;"-"&amp;IF(DAY(Variables!$A$2)&lt;10,0,"")&amp;DAY(Variables!$A$2)</f>
        <v>-31</v>
      </c>
      <c r="C77" s="147"/>
      <c r="D77" s="172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7" s="30" t="e">
        <f>VLOOKUP(B77,'Train Runs'!$A$13:$A$99984,1,FALSE)</f>
        <v>#N/A</v>
      </c>
    </row>
    <row r="78" spans="1:10" x14ac:dyDescent="0.25">
      <c r="A78" s="153"/>
      <c r="B78" s="43" t="str">
        <f>A78&amp;"-"&amp;IF(DAY(Variables!$A$2)&lt;10,0,"")&amp;DAY(Variables!$A$2)</f>
        <v>-31</v>
      </c>
      <c r="C78" s="147"/>
      <c r="D78" s="172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8" s="30" t="e">
        <f>VLOOKUP(B78,'Train Runs'!$A$13:$A$99984,1,FALSE)</f>
        <v>#N/A</v>
      </c>
    </row>
    <row r="79" spans="1:10" x14ac:dyDescent="0.25">
      <c r="A79" s="153"/>
      <c r="B79" s="43" t="str">
        <f>A79&amp;"-"&amp;IF(DAY(Variables!$A$2)&lt;10,0,"")&amp;DAY(Variables!$A$2)</f>
        <v>-31</v>
      </c>
      <c r="C79" s="147"/>
      <c r="D79" s="172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9" s="30" t="e">
        <f>VLOOKUP(B79,'Train Runs'!$A$13:$A$99984,1,FALSE)</f>
        <v>#N/A</v>
      </c>
    </row>
    <row r="80" spans="1:10" x14ac:dyDescent="0.25">
      <c r="A80" s="153"/>
      <c r="B80" s="43" t="str">
        <f>A80&amp;"-"&amp;IF(DAY(Variables!$A$2)&lt;10,0,"")&amp;DAY(Variables!$A$2)</f>
        <v>-31</v>
      </c>
      <c r="C80" s="147"/>
      <c r="D80" s="172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0" s="30" t="e">
        <f>VLOOKUP(B80,'Train Runs'!$A$13:$A$99984,1,FALSE)</f>
        <v>#N/A</v>
      </c>
    </row>
    <row r="81" spans="1:10" x14ac:dyDescent="0.25">
      <c r="A81" s="153"/>
      <c r="B81" s="43" t="str">
        <f>A81&amp;"-"&amp;IF(DAY(Variables!$A$2)&lt;10,0,"")&amp;DAY(Variables!$A$2)</f>
        <v>-31</v>
      </c>
      <c r="C81" s="147"/>
      <c r="D81" s="172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1" s="30" t="e">
        <f>VLOOKUP(B81,'Train Runs'!$A$13:$A$99984,1,FALSE)</f>
        <v>#N/A</v>
      </c>
    </row>
    <row r="82" spans="1:10" x14ac:dyDescent="0.25">
      <c r="A82" s="153"/>
      <c r="B82" s="43" t="str">
        <f>A82&amp;"-"&amp;IF(DAY(Variables!$A$2)&lt;10,0,"")&amp;DAY(Variables!$A$2)</f>
        <v>-31</v>
      </c>
      <c r="C82" s="147"/>
      <c r="D82" s="172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2" s="30" t="e">
        <f>VLOOKUP(B82,'Train Runs'!$A$13:$A$99984,1,FALSE)</f>
        <v>#N/A</v>
      </c>
    </row>
    <row r="83" spans="1:10" x14ac:dyDescent="0.25">
      <c r="A83" s="153"/>
      <c r="B83" s="43" t="str">
        <f>A83&amp;"-"&amp;IF(DAY(Variables!$A$2)&lt;10,0,"")&amp;DAY(Variables!$A$2)</f>
        <v>-31</v>
      </c>
      <c r="C83" s="147"/>
      <c r="D83" s="172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3" s="30" t="e">
        <f>VLOOKUP(B83,'Train Runs'!$A$13:$A$99984,1,FALSE)</f>
        <v>#N/A</v>
      </c>
    </row>
    <row r="84" spans="1:10" x14ac:dyDescent="0.25">
      <c r="A84" s="153"/>
      <c r="B84" s="43" t="str">
        <f>A84&amp;"-"&amp;IF(DAY(Variables!$A$2)&lt;10,0,"")&amp;DAY(Variables!$A$2)</f>
        <v>-31</v>
      </c>
      <c r="C84" s="147"/>
      <c r="D84" s="172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4" s="30" t="e">
        <f>VLOOKUP(B84,'Train Runs'!$A$13:$A$99984,1,FALSE)</f>
        <v>#N/A</v>
      </c>
    </row>
    <row r="85" spans="1:10" x14ac:dyDescent="0.25">
      <c r="A85" s="153"/>
      <c r="B85" s="43" t="str">
        <f>A85&amp;"-"&amp;IF(DAY(Variables!$A$2)&lt;10,0,"")&amp;DAY(Variables!$A$2)</f>
        <v>-31</v>
      </c>
      <c r="C85" s="147"/>
      <c r="D85" s="172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5" s="30" t="e">
        <f>VLOOKUP(B85,'Train Runs'!$A$13:$A$99984,1,FALSE)</f>
        <v>#N/A</v>
      </c>
    </row>
    <row r="86" spans="1:10" x14ac:dyDescent="0.25">
      <c r="A86" s="153"/>
      <c r="B86" s="43" t="str">
        <f>A86&amp;"-"&amp;IF(DAY(Variables!$A$2)&lt;10,0,"")&amp;DAY(Variables!$A$2)</f>
        <v>-31</v>
      </c>
      <c r="C86" s="147"/>
      <c r="D86" s="172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6" s="30" t="e">
        <f>VLOOKUP(B86,'Train Runs'!$A$13:$A$99984,1,FALSE)</f>
        <v>#N/A</v>
      </c>
    </row>
    <row r="87" spans="1:10" x14ac:dyDescent="0.25">
      <c r="A87" s="153"/>
      <c r="B87" s="43" t="str">
        <f>A87&amp;"-"&amp;IF(DAY(Variables!$A$2)&lt;10,0,"")&amp;DAY(Variables!$A$2)</f>
        <v>-31</v>
      </c>
      <c r="C87" s="147"/>
      <c r="D87" s="172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7" s="30" t="e">
        <f>VLOOKUP(B87,'Train Runs'!$A$13:$A$99984,1,FALSE)</f>
        <v>#N/A</v>
      </c>
    </row>
    <row r="88" spans="1:10" x14ac:dyDescent="0.25">
      <c r="A88" s="153"/>
      <c r="B88" s="43" t="str">
        <f>A88&amp;"-"&amp;IF(DAY(Variables!$A$2)&lt;10,0,"")&amp;DAY(Variables!$A$2)</f>
        <v>-31</v>
      </c>
      <c r="C88" s="147"/>
      <c r="D88" s="172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8" s="30" t="e">
        <f>VLOOKUP(B88,'Train Runs'!$A$13:$A$99984,1,FALSE)</f>
        <v>#N/A</v>
      </c>
    </row>
    <row r="89" spans="1:10" x14ac:dyDescent="0.25">
      <c r="A89" s="153"/>
      <c r="B89" s="43" t="str">
        <f>A89&amp;"-"&amp;IF(DAY(Variables!$A$2)&lt;10,0,"")&amp;DAY(Variables!$A$2)</f>
        <v>-31</v>
      </c>
      <c r="C89" s="147"/>
      <c r="D89" s="172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9" s="30" t="e">
        <f>VLOOKUP(B89,'Train Runs'!$A$13:$A$99984,1,FALSE)</f>
        <v>#N/A</v>
      </c>
    </row>
    <row r="90" spans="1:10" x14ac:dyDescent="0.25">
      <c r="A90" s="153"/>
      <c r="B90" s="43" t="str">
        <f>A90&amp;"-"&amp;IF(DAY(Variables!$A$2)&lt;10,0,"")&amp;DAY(Variables!$A$2)</f>
        <v>-31</v>
      </c>
      <c r="C90" s="147"/>
      <c r="D90" s="172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0" s="30" t="e">
        <f>VLOOKUP(B90,'Train Runs'!$A$13:$A$99984,1,FALSE)</f>
        <v>#N/A</v>
      </c>
    </row>
    <row r="91" spans="1:10" x14ac:dyDescent="0.25">
      <c r="A91" s="153"/>
      <c r="B91" s="43" t="str">
        <f>A91&amp;"-"&amp;IF(DAY(Variables!$A$2)&lt;10,0,"")&amp;DAY(Variables!$A$2)</f>
        <v>-31</v>
      </c>
      <c r="C91" s="147"/>
      <c r="D91" s="172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1" s="30" t="e">
        <f>VLOOKUP(B91,'Train Runs'!$A$13:$A$99984,1,FALSE)</f>
        <v>#N/A</v>
      </c>
    </row>
    <row r="92" spans="1:10" x14ac:dyDescent="0.25">
      <c r="A92" s="153"/>
      <c r="B92" s="43" t="str">
        <f>A92&amp;"-"&amp;IF(DAY(Variables!$A$2)&lt;10,0,"")&amp;DAY(Variables!$A$2)</f>
        <v>-31</v>
      </c>
      <c r="C92" s="147"/>
      <c r="D92" s="172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2" s="30" t="e">
        <f>VLOOKUP(B92,'Train Runs'!$A$13:$A$99984,1,FALSE)</f>
        <v>#N/A</v>
      </c>
    </row>
    <row r="93" spans="1:10" x14ac:dyDescent="0.25">
      <c r="A93" s="153"/>
      <c r="B93" s="43" t="str">
        <f>A93&amp;"-"&amp;IF(DAY(Variables!$A$2)&lt;10,0,"")&amp;DAY(Variables!$A$2)</f>
        <v>-31</v>
      </c>
      <c r="C93" s="147"/>
      <c r="D93" s="172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3" s="30" t="e">
        <f>VLOOKUP(B93,'Train Runs'!$A$13:$A$99984,1,FALSE)</f>
        <v>#N/A</v>
      </c>
    </row>
    <row r="94" spans="1:10" x14ac:dyDescent="0.25">
      <c r="A94" s="153"/>
      <c r="B94" s="43" t="str">
        <f>A94&amp;"-"&amp;IF(DAY(Variables!$A$2)&lt;10,0,"")&amp;DAY(Variables!$A$2)</f>
        <v>-31</v>
      </c>
      <c r="C94" s="147"/>
      <c r="D94" s="172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4" s="30" t="e">
        <f>VLOOKUP(B94,'Train Runs'!$A$13:$A$99984,1,FALSE)</f>
        <v>#N/A</v>
      </c>
    </row>
    <row r="95" spans="1:10" x14ac:dyDescent="0.25">
      <c r="A95" s="153"/>
      <c r="B95" s="43" t="str">
        <f>A95&amp;"-"&amp;IF(DAY(Variables!$A$2)&lt;10,0,"")&amp;DAY(Variables!$A$2)</f>
        <v>-31</v>
      </c>
      <c r="C95" s="147"/>
      <c r="D95" s="172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5" s="30" t="e">
        <f>VLOOKUP(B95,'Train Runs'!$A$13:$A$99984,1,FALSE)</f>
        <v>#N/A</v>
      </c>
    </row>
    <row r="96" spans="1:10" x14ac:dyDescent="0.25">
      <c r="A96" s="153"/>
      <c r="B96" s="43" t="str">
        <f>A96&amp;"-"&amp;IF(DAY(Variables!$A$2)&lt;10,0,"")&amp;DAY(Variables!$A$2)</f>
        <v>-31</v>
      </c>
      <c r="C96" s="147"/>
      <c r="D96" s="172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6" s="30" t="e">
        <f>VLOOKUP(B96,'Train Runs'!$A$13:$A$99984,1,FALSE)</f>
        <v>#N/A</v>
      </c>
    </row>
    <row r="97" spans="1:10" x14ac:dyDescent="0.25">
      <c r="A97" s="153"/>
      <c r="B97" s="43" t="str">
        <f>A97&amp;"-"&amp;IF(DAY(Variables!$A$2)&lt;10,0,"")&amp;DAY(Variables!$A$2)</f>
        <v>-31</v>
      </c>
      <c r="C97" s="147"/>
      <c r="D97" s="172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7" s="30" t="e">
        <f>VLOOKUP(B97,'Train Runs'!$A$13:$A$99984,1,FALSE)</f>
        <v>#N/A</v>
      </c>
    </row>
    <row r="98" spans="1:10" x14ac:dyDescent="0.25">
      <c r="A98" s="153"/>
      <c r="B98" s="43" t="str">
        <f>A98&amp;"-"&amp;IF(DAY(Variables!$A$2)&lt;10,0,"")&amp;DAY(Variables!$A$2)</f>
        <v>-31</v>
      </c>
      <c r="C98" s="147"/>
      <c r="D98" s="172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8" s="30" t="e">
        <f>VLOOKUP(B98,'Train Runs'!$A$13:$A$99984,1,FALSE)</f>
        <v>#N/A</v>
      </c>
    </row>
    <row r="99" spans="1:10" x14ac:dyDescent="0.25">
      <c r="A99" s="153"/>
      <c r="B99" s="43" t="str">
        <f>A99&amp;"-"&amp;IF(DAY(Variables!$A$2)&lt;10,0,"")&amp;DAY(Variables!$A$2)</f>
        <v>-31</v>
      </c>
      <c r="C99" s="147"/>
      <c r="D99" s="172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9" s="30" t="e">
        <f>VLOOKUP(B99,'Train Runs'!$A$13:$A$99984,1,FALSE)</f>
        <v>#N/A</v>
      </c>
    </row>
    <row r="100" spans="1:10" x14ac:dyDescent="0.25">
      <c r="A100" s="153"/>
      <c r="B100" s="43" t="str">
        <f>A100&amp;"-"&amp;IF(DAY(Variables!$A$2)&lt;10,0,"")&amp;DAY(Variables!$A$2)</f>
        <v>-31</v>
      </c>
      <c r="C100" s="147"/>
      <c r="D100" s="172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0" s="30" t="e">
        <f>VLOOKUP(B100,'Train Runs'!$A$13:$A$99984,1,FALSE)</f>
        <v>#N/A</v>
      </c>
    </row>
    <row r="101" spans="1:10" x14ac:dyDescent="0.25">
      <c r="A101" s="153"/>
      <c r="B101" s="43" t="str">
        <f>A101&amp;"-"&amp;IF(DAY(Variables!$A$2)&lt;10,0,"")&amp;DAY(Variables!$A$2)</f>
        <v>-31</v>
      </c>
      <c r="C101" s="147"/>
      <c r="D101" s="172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1" s="30" t="e">
        <f>VLOOKUP(B101,'Train Runs'!$A$13:$A$99984,1,FALSE)</f>
        <v>#N/A</v>
      </c>
    </row>
    <row r="102" spans="1:10" x14ac:dyDescent="0.25">
      <c r="A102" s="153"/>
      <c r="B102" s="43" t="str">
        <f>A102&amp;"-"&amp;IF(DAY(Variables!$A$2)&lt;10,0,"")&amp;DAY(Variables!$A$2)</f>
        <v>-31</v>
      </c>
      <c r="C102" s="147"/>
      <c r="D102" s="172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2" s="30" t="e">
        <f>VLOOKUP(B102,'Train Runs'!$A$13:$A$99984,1,FALSE)</f>
        <v>#N/A</v>
      </c>
    </row>
    <row r="103" spans="1:10" x14ac:dyDescent="0.25">
      <c r="A103" s="153"/>
      <c r="B103" s="43" t="str">
        <f>A103&amp;"-"&amp;IF(DAY(Variables!$A$2)&lt;10,0,"")&amp;DAY(Variables!$A$2)</f>
        <v>-31</v>
      </c>
      <c r="C103" s="147"/>
      <c r="D103" s="172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3" s="30" t="e">
        <f>VLOOKUP(B103,'Train Runs'!$A$13:$A$99984,1,FALSE)</f>
        <v>#N/A</v>
      </c>
    </row>
    <row r="104" spans="1:10" x14ac:dyDescent="0.25">
      <c r="A104" s="153"/>
      <c r="B104" s="43" t="str">
        <f>A104&amp;"-"&amp;IF(DAY(Variables!$A$2)&lt;10,0,"")&amp;DAY(Variables!$A$2)</f>
        <v>-31</v>
      </c>
      <c r="C104" s="147"/>
      <c r="D104" s="172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4" s="30" t="e">
        <f>VLOOKUP(B104,'Train Runs'!$A$13:$A$99984,1,FALSE)</f>
        <v>#N/A</v>
      </c>
    </row>
    <row r="105" spans="1:10" x14ac:dyDescent="0.25">
      <c r="A105" s="153"/>
      <c r="B105" s="43" t="str">
        <f>A105&amp;"-"&amp;IF(DAY(Variables!$A$2)&lt;10,0,"")&amp;DAY(Variables!$A$2)</f>
        <v>-31</v>
      </c>
      <c r="C105" s="147"/>
      <c r="D105" s="172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5" s="30" t="e">
        <f>VLOOKUP(B105,'Train Runs'!$A$13:$A$99984,1,FALSE)</f>
        <v>#N/A</v>
      </c>
    </row>
    <row r="106" spans="1:10" x14ac:dyDescent="0.25">
      <c r="A106" s="153"/>
      <c r="B106" s="43" t="str">
        <f>A106&amp;"-"&amp;IF(DAY(Variables!$A$2)&lt;10,0,"")&amp;DAY(Variables!$A$2)</f>
        <v>-31</v>
      </c>
      <c r="C106" s="147"/>
      <c r="D106" s="172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6" s="30" t="e">
        <f>VLOOKUP(B106,'Train Runs'!$A$13:$A$99984,1,FALSE)</f>
        <v>#N/A</v>
      </c>
    </row>
    <row r="107" spans="1:10" x14ac:dyDescent="0.25">
      <c r="A107" s="153"/>
      <c r="B107" s="43" t="str">
        <f>A107&amp;"-"&amp;IF(DAY(Variables!$A$2)&lt;10,0,"")&amp;DAY(Variables!$A$2)</f>
        <v>-31</v>
      </c>
      <c r="C107" s="147"/>
      <c r="D107" s="172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7" s="30" t="e">
        <f>VLOOKUP(B107,'Train Runs'!$A$13:$A$99984,1,FALSE)</f>
        <v>#N/A</v>
      </c>
    </row>
    <row r="108" spans="1:10" x14ac:dyDescent="0.25">
      <c r="A108" s="153"/>
      <c r="B108" s="43" t="str">
        <f>A108&amp;"-"&amp;IF(DAY(Variables!$A$2)&lt;10,0,"")&amp;DAY(Variables!$A$2)</f>
        <v>-31</v>
      </c>
      <c r="C108" s="147"/>
      <c r="D108" s="172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8" s="30" t="e">
        <f>VLOOKUP(B108,'Train Runs'!$A$13:$A$99984,1,FALSE)</f>
        <v>#N/A</v>
      </c>
    </row>
    <row r="109" spans="1:10" x14ac:dyDescent="0.25">
      <c r="A109" s="153"/>
      <c r="B109" s="43" t="str">
        <f>A109&amp;"-"&amp;IF(DAY(Variables!$A$2)&lt;10,0,"")&amp;DAY(Variables!$A$2)</f>
        <v>-31</v>
      </c>
      <c r="C109" s="147"/>
      <c r="D109" s="172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9" s="30" t="e">
        <f>VLOOKUP(B109,'Train Runs'!$A$13:$A$99984,1,FALSE)</f>
        <v>#N/A</v>
      </c>
    </row>
    <row r="110" spans="1:10" x14ac:dyDescent="0.25">
      <c r="A110" s="153"/>
      <c r="B110" s="43" t="str">
        <f>A110&amp;"-"&amp;IF(DAY(Variables!$A$2)&lt;10,0,"")&amp;DAY(Variables!$A$2)</f>
        <v>-31</v>
      </c>
      <c r="C110" s="147"/>
      <c r="D110" s="172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0" s="30" t="e">
        <f>VLOOKUP(B110,'Train Runs'!$A$13:$A$99984,1,FALSE)</f>
        <v>#N/A</v>
      </c>
    </row>
    <row r="111" spans="1:10" x14ac:dyDescent="0.25">
      <c r="A111" s="153"/>
      <c r="B111" s="43" t="str">
        <f>A111&amp;"-"&amp;IF(DAY(Variables!$A$2)&lt;10,0,"")&amp;DAY(Variables!$A$2)</f>
        <v>-31</v>
      </c>
      <c r="C111" s="147"/>
      <c r="D111" s="172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1" s="30" t="e">
        <f>VLOOKUP(B111,'Train Runs'!$A$13:$A$99984,1,FALSE)</f>
        <v>#N/A</v>
      </c>
    </row>
    <row r="112" spans="1:10" x14ac:dyDescent="0.25">
      <c r="A112" s="153"/>
      <c r="B112" s="43" t="str">
        <f>A112&amp;"-"&amp;IF(DAY(Variables!$A$2)&lt;10,0,"")&amp;DAY(Variables!$A$2)</f>
        <v>-31</v>
      </c>
      <c r="C112" s="147"/>
      <c r="D112" s="172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2" s="30" t="e">
        <f>VLOOKUP(B112,'Train Runs'!$A$13:$A$99984,1,FALSE)</f>
        <v>#N/A</v>
      </c>
    </row>
    <row r="113" spans="1:10" x14ac:dyDescent="0.25">
      <c r="A113" s="153"/>
      <c r="B113" s="43" t="str">
        <f>A113&amp;"-"&amp;IF(DAY(Variables!$A$2)&lt;10,0,"")&amp;DAY(Variables!$A$2)</f>
        <v>-31</v>
      </c>
      <c r="C113" s="147"/>
      <c r="D113" s="172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3" s="30" t="e">
        <f>VLOOKUP(B113,'Train Runs'!$A$13:$A$99984,1,FALSE)</f>
        <v>#N/A</v>
      </c>
    </row>
    <row r="114" spans="1:10" x14ac:dyDescent="0.25">
      <c r="A114" s="153"/>
      <c r="B114" s="43" t="str">
        <f>A114&amp;"-"&amp;IF(DAY(Variables!$A$2)&lt;10,0,"")&amp;DAY(Variables!$A$2)</f>
        <v>-31</v>
      </c>
      <c r="C114" s="147"/>
      <c r="D114" s="172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4" s="30" t="e">
        <f>VLOOKUP(B114,'Train Runs'!$A$13:$A$99984,1,FALSE)</f>
        <v>#N/A</v>
      </c>
    </row>
    <row r="115" spans="1:10" x14ac:dyDescent="0.25">
      <c r="A115" s="153"/>
      <c r="B115" s="43" t="str">
        <f>A115&amp;"-"&amp;IF(DAY(Variables!$A$2)&lt;10,0,"")&amp;DAY(Variables!$A$2)</f>
        <v>-31</v>
      </c>
      <c r="C115" s="147"/>
      <c r="D115" s="172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5" s="30" t="e">
        <f>VLOOKUP(B115,'Train Runs'!$A$13:$A$99984,1,FALSE)</f>
        <v>#N/A</v>
      </c>
    </row>
    <row r="116" spans="1:10" x14ac:dyDescent="0.25">
      <c r="A116" s="153"/>
      <c r="B116" s="43" t="str">
        <f>A116&amp;"-"&amp;IF(DAY(Variables!$A$2)&lt;10,0,"")&amp;DAY(Variables!$A$2)</f>
        <v>-31</v>
      </c>
      <c r="C116" s="147"/>
      <c r="D116" s="172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6" s="30" t="e">
        <f>VLOOKUP(B116,'Train Runs'!$A$13:$A$99984,1,FALSE)</f>
        <v>#N/A</v>
      </c>
    </row>
    <row r="117" spans="1:10" x14ac:dyDescent="0.25">
      <c r="A117" s="153"/>
      <c r="B117" s="43" t="str">
        <f>A117&amp;"-"&amp;IF(DAY(Variables!$A$2)&lt;10,0,"")&amp;DAY(Variables!$A$2)</f>
        <v>-31</v>
      </c>
      <c r="C117" s="147"/>
      <c r="D117" s="172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7" s="30" t="e">
        <f>VLOOKUP(B117,'Train Runs'!$A$13:$A$99984,1,FALSE)</f>
        <v>#N/A</v>
      </c>
    </row>
    <row r="118" spans="1:10" x14ac:dyDescent="0.25">
      <c r="A118" s="153"/>
      <c r="B118" s="43" t="str">
        <f>A118&amp;"-"&amp;IF(DAY(Variables!$A$2)&lt;10,0,"")&amp;DAY(Variables!$A$2)</f>
        <v>-31</v>
      </c>
      <c r="C118" s="147"/>
      <c r="D118" s="172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8" s="30" t="e">
        <f>VLOOKUP(B118,'Train Runs'!$A$13:$A$99984,1,FALSE)</f>
        <v>#N/A</v>
      </c>
    </row>
    <row r="119" spans="1:10" x14ac:dyDescent="0.25">
      <c r="A119" s="153"/>
      <c r="B119" s="43" t="str">
        <f>A119&amp;"-"&amp;IF(DAY(Variables!$A$2)&lt;10,0,"")&amp;DAY(Variables!$A$2)</f>
        <v>-31</v>
      </c>
      <c r="C119" s="147"/>
      <c r="D119" s="172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9" s="30" t="e">
        <f>VLOOKUP(B119,'Train Runs'!$A$13:$A$99984,1,FALSE)</f>
        <v>#N/A</v>
      </c>
    </row>
    <row r="120" spans="1:10" x14ac:dyDescent="0.25">
      <c r="A120" s="153"/>
      <c r="B120" s="43" t="str">
        <f>A120&amp;"-"&amp;IF(DAY(Variables!$A$2)&lt;10,0,"")&amp;DAY(Variables!$A$2)</f>
        <v>-31</v>
      </c>
      <c r="C120" s="147"/>
      <c r="D120" s="172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20" s="30" t="e">
        <f>VLOOKUP(B120,'Train Runs'!$A$13:$A$99984,1,FALSE)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1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207</v>
      </c>
      <c r="G1" s="8" t="s">
        <v>206</v>
      </c>
    </row>
    <row r="2" spans="1:7" x14ac:dyDescent="0.25">
      <c r="A2" s="8">
        <v>42766.038217592592</v>
      </c>
      <c r="B2" s="20" t="s">
        <v>243</v>
      </c>
      <c r="C2" s="20" t="s">
        <v>458</v>
      </c>
      <c r="D2" s="150">
        <v>2000000</v>
      </c>
      <c r="E2" s="20" t="s">
        <v>275</v>
      </c>
      <c r="F2" s="20" t="s">
        <v>205</v>
      </c>
      <c r="G2" s="8" t="str">
        <f>E2&amp;" "&amp;F2</f>
        <v>STAMBAUGH JAMES</v>
      </c>
    </row>
    <row r="3" spans="1:7" x14ac:dyDescent="0.25">
      <c r="A3" s="8">
        <v>42766.047789351855</v>
      </c>
      <c r="B3" s="20" t="s">
        <v>300</v>
      </c>
      <c r="C3" s="20" t="s">
        <v>459</v>
      </c>
      <c r="D3" s="150">
        <v>2230000</v>
      </c>
      <c r="E3" s="20" t="s">
        <v>274</v>
      </c>
      <c r="F3" s="20" t="s">
        <v>209</v>
      </c>
      <c r="G3" s="8" t="str">
        <f t="shared" ref="G3:G66" si="0">E3&amp;" "&amp;F3</f>
        <v>SMITH MICHAEL</v>
      </c>
    </row>
    <row r="4" spans="1:7" x14ac:dyDescent="0.25">
      <c r="A4" s="8">
        <v>42766.056655092594</v>
      </c>
      <c r="B4" s="20" t="s">
        <v>216</v>
      </c>
      <c r="C4" s="20" t="s">
        <v>460</v>
      </c>
      <c r="D4" s="150">
        <v>2610000</v>
      </c>
      <c r="E4" s="20" t="s">
        <v>436</v>
      </c>
      <c r="F4" s="20" t="s">
        <v>437</v>
      </c>
      <c r="G4" s="8" t="str">
        <f t="shared" si="0"/>
        <v>MAGEE KENYA</v>
      </c>
    </row>
    <row r="5" spans="1:7" x14ac:dyDescent="0.25">
      <c r="A5" s="8">
        <v>42766.066655092596</v>
      </c>
      <c r="B5" s="20" t="s">
        <v>416</v>
      </c>
      <c r="C5" s="20" t="s">
        <v>461</v>
      </c>
      <c r="D5" s="150">
        <v>2000000</v>
      </c>
      <c r="E5" s="20" t="s">
        <v>275</v>
      </c>
      <c r="F5" s="20" t="s">
        <v>205</v>
      </c>
      <c r="G5" s="8" t="str">
        <f t="shared" si="0"/>
        <v>STAMBAUGH JAMES</v>
      </c>
    </row>
    <row r="6" spans="1:7" x14ac:dyDescent="0.25">
      <c r="A6" s="8">
        <v>42766.234733796293</v>
      </c>
      <c r="B6" s="20" t="s">
        <v>251</v>
      </c>
      <c r="C6" s="20" t="s">
        <v>522</v>
      </c>
      <c r="D6" s="150">
        <v>1760000</v>
      </c>
      <c r="E6" s="20" t="s">
        <v>523</v>
      </c>
      <c r="F6" s="20" t="s">
        <v>524</v>
      </c>
      <c r="G6" s="8" t="str">
        <f t="shared" si="0"/>
        <v>STRICKLAND EVAN</v>
      </c>
    </row>
    <row r="7" spans="1:7" x14ac:dyDescent="0.25">
      <c r="A7" s="8">
        <v>42766.234907407408</v>
      </c>
      <c r="B7" s="20" t="s">
        <v>292</v>
      </c>
      <c r="C7" s="20" t="s">
        <v>525</v>
      </c>
      <c r="D7" s="150">
        <v>1990000</v>
      </c>
      <c r="E7" s="20" t="s">
        <v>337</v>
      </c>
      <c r="F7" s="20" t="s">
        <v>345</v>
      </c>
      <c r="G7" s="8" t="str">
        <f t="shared" si="0"/>
        <v>DAVIS WENDY</v>
      </c>
    </row>
    <row r="8" spans="1:7" x14ac:dyDescent="0.25">
      <c r="A8" s="8">
        <v>42766.236979166664</v>
      </c>
      <c r="B8" s="20" t="s">
        <v>196</v>
      </c>
      <c r="C8" s="20" t="s">
        <v>526</v>
      </c>
      <c r="D8" s="150">
        <v>890000</v>
      </c>
      <c r="E8" s="20" t="s">
        <v>527</v>
      </c>
      <c r="F8" s="20" t="s">
        <v>528</v>
      </c>
      <c r="G8" s="8" t="str">
        <f t="shared" si="0"/>
        <v>LOZA FIDEL</v>
      </c>
    </row>
    <row r="9" spans="1:7" ht="15.75" thickBot="1" x14ac:dyDescent="0.3">
      <c r="A9" s="24">
        <v>42766.239085648151</v>
      </c>
      <c r="B9" s="20" t="s">
        <v>254</v>
      </c>
      <c r="C9" s="20" t="s">
        <v>529</v>
      </c>
      <c r="D9" s="150">
        <v>2010000</v>
      </c>
      <c r="E9" s="20" t="s">
        <v>331</v>
      </c>
      <c r="F9" s="20" t="s">
        <v>332</v>
      </c>
      <c r="G9" s="8" t="str">
        <f t="shared" si="0"/>
        <v>MAELZER KURT</v>
      </c>
    </row>
    <row r="10" spans="1:7" x14ac:dyDescent="0.25">
      <c r="A10" s="8">
        <v>42766.241608796299</v>
      </c>
      <c r="B10" s="20" t="s">
        <v>310</v>
      </c>
      <c r="C10" s="20" t="s">
        <v>530</v>
      </c>
      <c r="D10" s="150">
        <v>2270000</v>
      </c>
      <c r="E10" s="20" t="s">
        <v>252</v>
      </c>
      <c r="F10" s="20" t="s">
        <v>253</v>
      </c>
      <c r="G10" s="8" t="str">
        <f t="shared" si="0"/>
        <v>BROWN JACOB</v>
      </c>
    </row>
    <row r="11" spans="1:7" x14ac:dyDescent="0.25">
      <c r="A11" s="8">
        <v>42766.244652777779</v>
      </c>
      <c r="B11" s="20" t="s">
        <v>254</v>
      </c>
      <c r="C11" s="20" t="s">
        <v>529</v>
      </c>
      <c r="D11" s="150">
        <v>2010000</v>
      </c>
      <c r="E11" s="20" t="s">
        <v>331</v>
      </c>
      <c r="F11" s="20" t="s">
        <v>332</v>
      </c>
      <c r="G11" s="8" t="str">
        <f t="shared" si="0"/>
        <v>MAELZER KURT</v>
      </c>
    </row>
    <row r="12" spans="1:7" x14ac:dyDescent="0.25">
      <c r="A12" s="8">
        <v>42766.246377314812</v>
      </c>
      <c r="B12" s="20" t="s">
        <v>196</v>
      </c>
      <c r="C12" s="20" t="s">
        <v>526</v>
      </c>
      <c r="D12" s="150">
        <v>890000</v>
      </c>
      <c r="E12" s="20" t="s">
        <v>527</v>
      </c>
      <c r="F12" s="20" t="s">
        <v>528</v>
      </c>
      <c r="G12" s="8" t="str">
        <f t="shared" si="0"/>
        <v>LOZA FIDEL</v>
      </c>
    </row>
    <row r="13" spans="1:7" x14ac:dyDescent="0.25">
      <c r="A13" s="8">
        <v>42766.246678240743</v>
      </c>
      <c r="B13" s="20" t="s">
        <v>194</v>
      </c>
      <c r="C13" s="20" t="s">
        <v>531</v>
      </c>
      <c r="D13" s="150">
        <v>1110000</v>
      </c>
      <c r="E13" s="20" t="s">
        <v>421</v>
      </c>
      <c r="F13" s="20" t="s">
        <v>422</v>
      </c>
      <c r="G13" s="8" t="str">
        <f t="shared" si="0"/>
        <v>STARKS ANGELINA</v>
      </c>
    </row>
    <row r="14" spans="1:7" x14ac:dyDescent="0.25">
      <c r="A14" s="8">
        <v>42766.248055555552</v>
      </c>
      <c r="B14" s="20" t="s">
        <v>194</v>
      </c>
      <c r="C14" s="20" t="s">
        <v>531</v>
      </c>
      <c r="D14" s="150">
        <v>1110000</v>
      </c>
      <c r="E14" s="20" t="s">
        <v>421</v>
      </c>
      <c r="F14" s="20" t="s">
        <v>422</v>
      </c>
      <c r="G14" s="8" t="str">
        <f t="shared" si="0"/>
        <v>STARKS ANGELINA</v>
      </c>
    </row>
    <row r="15" spans="1:7" x14ac:dyDescent="0.25">
      <c r="A15" s="8">
        <v>42766.248391203706</v>
      </c>
      <c r="B15" s="20" t="s">
        <v>504</v>
      </c>
      <c r="C15" s="20" t="s">
        <v>532</v>
      </c>
      <c r="D15" s="150">
        <v>2110000</v>
      </c>
      <c r="E15" s="20" t="s">
        <v>333</v>
      </c>
      <c r="F15" s="20" t="s">
        <v>334</v>
      </c>
      <c r="G15" s="8" t="str">
        <f t="shared" si="0"/>
        <v>OUN ZACK</v>
      </c>
    </row>
    <row r="16" spans="1:7" x14ac:dyDescent="0.25">
      <c r="A16" s="8">
        <v>42766.256111111114</v>
      </c>
      <c r="B16" s="20" t="s">
        <v>238</v>
      </c>
      <c r="C16" s="20" t="s">
        <v>533</v>
      </c>
      <c r="D16" s="150">
        <v>940000</v>
      </c>
      <c r="E16" s="20" t="s">
        <v>423</v>
      </c>
      <c r="F16" s="20" t="s">
        <v>424</v>
      </c>
      <c r="G16" s="8" t="str">
        <f t="shared" si="0"/>
        <v>BONDS REYNALDO</v>
      </c>
    </row>
    <row r="17" spans="1:7" x14ac:dyDescent="0.25">
      <c r="A17" s="8">
        <v>42766.256967592592</v>
      </c>
      <c r="B17" s="20" t="s">
        <v>506</v>
      </c>
      <c r="C17" s="20" t="s">
        <v>534</v>
      </c>
      <c r="D17" s="150">
        <v>1760000</v>
      </c>
      <c r="E17" s="20" t="s">
        <v>523</v>
      </c>
      <c r="F17" s="20" t="s">
        <v>524</v>
      </c>
      <c r="G17" s="8" t="str">
        <f t="shared" si="0"/>
        <v>STRICKLAND EVAN</v>
      </c>
    </row>
    <row r="18" spans="1:7" x14ac:dyDescent="0.25">
      <c r="A18" s="8">
        <v>42766.257453703707</v>
      </c>
      <c r="B18" s="20" t="s">
        <v>200</v>
      </c>
      <c r="C18" s="20" t="s">
        <v>535</v>
      </c>
      <c r="D18" s="150">
        <v>900000</v>
      </c>
      <c r="E18" s="20" t="s">
        <v>425</v>
      </c>
      <c r="F18" s="20" t="s">
        <v>426</v>
      </c>
      <c r="G18" s="8" t="str">
        <f t="shared" si="0"/>
        <v>ROCHA YAOTL</v>
      </c>
    </row>
    <row r="19" spans="1:7" x14ac:dyDescent="0.25">
      <c r="A19" s="8">
        <v>42766.262650462966</v>
      </c>
      <c r="B19" s="20" t="s">
        <v>309</v>
      </c>
      <c r="C19" s="20" t="s">
        <v>491</v>
      </c>
      <c r="D19" s="150">
        <v>2270000</v>
      </c>
      <c r="E19" s="20" t="s">
        <v>252</v>
      </c>
      <c r="F19" s="20" t="s">
        <v>253</v>
      </c>
      <c r="G19" s="8" t="str">
        <f t="shared" si="0"/>
        <v>BROWN JACOB</v>
      </c>
    </row>
    <row r="20" spans="1:7" x14ac:dyDescent="0.25">
      <c r="A20" s="8">
        <v>42766.267129629632</v>
      </c>
      <c r="B20" s="20" t="s">
        <v>293</v>
      </c>
      <c r="C20" s="20" t="s">
        <v>536</v>
      </c>
      <c r="D20" s="150">
        <v>1990000</v>
      </c>
      <c r="E20" s="20" t="s">
        <v>337</v>
      </c>
      <c r="F20" s="20" t="s">
        <v>345</v>
      </c>
      <c r="G20" s="8" t="str">
        <f t="shared" si="0"/>
        <v>DAVIS WENDY</v>
      </c>
    </row>
    <row r="21" spans="1:7" x14ac:dyDescent="0.25">
      <c r="A21" s="8">
        <v>42766.271273148152</v>
      </c>
      <c r="B21" s="20" t="s">
        <v>251</v>
      </c>
      <c r="C21" s="20" t="s">
        <v>537</v>
      </c>
      <c r="D21" s="150">
        <v>1760000</v>
      </c>
      <c r="E21" s="20" t="s">
        <v>523</v>
      </c>
      <c r="F21" s="20" t="s">
        <v>524</v>
      </c>
      <c r="G21" s="8" t="str">
        <f t="shared" si="0"/>
        <v>STRICKLAND EVAN</v>
      </c>
    </row>
    <row r="22" spans="1:7" x14ac:dyDescent="0.25">
      <c r="A22" s="26">
        <v>42766.272951388892</v>
      </c>
      <c r="B22" s="20" t="s">
        <v>226</v>
      </c>
      <c r="C22" s="20" t="s">
        <v>538</v>
      </c>
      <c r="D22" s="150">
        <v>2010000</v>
      </c>
      <c r="E22" s="20" t="s">
        <v>331</v>
      </c>
      <c r="F22" s="20" t="s">
        <v>332</v>
      </c>
      <c r="G22" s="8" t="str">
        <f t="shared" si="0"/>
        <v>MAELZER KURT</v>
      </c>
    </row>
    <row r="23" spans="1:7" x14ac:dyDescent="0.25">
      <c r="A23" s="8">
        <v>42766.277719907404</v>
      </c>
      <c r="B23" s="20" t="s">
        <v>310</v>
      </c>
      <c r="C23" s="20" t="s">
        <v>539</v>
      </c>
      <c r="D23" s="150">
        <v>2270000</v>
      </c>
      <c r="E23" s="20" t="s">
        <v>252</v>
      </c>
      <c r="F23" s="20" t="s">
        <v>253</v>
      </c>
      <c r="G23" s="8" t="str">
        <f t="shared" si="0"/>
        <v>BROWN JACOB</v>
      </c>
    </row>
    <row r="24" spans="1:7" x14ac:dyDescent="0.25">
      <c r="A24" s="8">
        <v>42766.27815972222</v>
      </c>
      <c r="B24" s="20" t="s">
        <v>192</v>
      </c>
      <c r="C24" s="20" t="s">
        <v>540</v>
      </c>
      <c r="D24" s="150">
        <v>890000</v>
      </c>
      <c r="E24" s="20" t="s">
        <v>527</v>
      </c>
      <c r="F24" s="20" t="s">
        <v>528</v>
      </c>
      <c r="G24" s="8" t="str">
        <f t="shared" si="0"/>
        <v>LOZA FIDEL</v>
      </c>
    </row>
    <row r="25" spans="1:7" x14ac:dyDescent="0.25">
      <c r="A25" s="8">
        <v>42766.287141203706</v>
      </c>
      <c r="B25" s="20" t="s">
        <v>250</v>
      </c>
      <c r="C25" s="20" t="s">
        <v>541</v>
      </c>
      <c r="D25" s="150">
        <v>1110000</v>
      </c>
      <c r="E25" s="20" t="s">
        <v>421</v>
      </c>
      <c r="F25" s="20" t="s">
        <v>422</v>
      </c>
      <c r="G25" s="8" t="str">
        <f t="shared" si="0"/>
        <v>STARKS ANGELINA</v>
      </c>
    </row>
    <row r="26" spans="1:7" x14ac:dyDescent="0.25">
      <c r="A26" s="8">
        <v>42766.287719907406</v>
      </c>
      <c r="B26" s="20" t="s">
        <v>513</v>
      </c>
      <c r="C26" s="20" t="s">
        <v>542</v>
      </c>
      <c r="D26" s="150">
        <v>2110000</v>
      </c>
      <c r="E26" s="20" t="s">
        <v>333</v>
      </c>
      <c r="F26" s="20" t="s">
        <v>334</v>
      </c>
      <c r="G26" s="8" t="str">
        <f t="shared" si="0"/>
        <v>OUN ZACK</v>
      </c>
    </row>
    <row r="27" spans="1:7" x14ac:dyDescent="0.25">
      <c r="A27" s="8">
        <v>42766.288078703707</v>
      </c>
      <c r="B27" s="20" t="s">
        <v>250</v>
      </c>
      <c r="C27" s="20" t="s">
        <v>541</v>
      </c>
      <c r="D27" s="150">
        <v>1110000</v>
      </c>
      <c r="E27" s="20" t="s">
        <v>421</v>
      </c>
      <c r="F27" s="20" t="s">
        <v>422</v>
      </c>
      <c r="G27" s="8" t="str">
        <f t="shared" si="0"/>
        <v>STARKS ANGELINA</v>
      </c>
    </row>
    <row r="28" spans="1:7" x14ac:dyDescent="0.25">
      <c r="A28" s="8">
        <v>42766.296006944445</v>
      </c>
      <c r="B28" s="20" t="s">
        <v>237</v>
      </c>
      <c r="C28" s="20" t="s">
        <v>543</v>
      </c>
      <c r="D28" s="150">
        <v>940000</v>
      </c>
      <c r="E28" s="20" t="s">
        <v>423</v>
      </c>
      <c r="F28" s="20" t="s">
        <v>424</v>
      </c>
      <c r="G28" s="8" t="str">
        <f t="shared" si="0"/>
        <v>BONDS REYNALDO</v>
      </c>
    </row>
    <row r="29" spans="1:7" x14ac:dyDescent="0.25">
      <c r="A29" s="8">
        <v>42766.298055555555</v>
      </c>
      <c r="B29" s="20" t="s">
        <v>199</v>
      </c>
      <c r="C29" s="20" t="s">
        <v>544</v>
      </c>
      <c r="D29" s="150">
        <v>900000</v>
      </c>
      <c r="E29" s="20" t="s">
        <v>425</v>
      </c>
      <c r="F29" s="20" t="s">
        <v>426</v>
      </c>
      <c r="G29" s="8" t="str">
        <f t="shared" si="0"/>
        <v>ROCHA YAOTL</v>
      </c>
    </row>
    <row r="30" spans="1:7" x14ac:dyDescent="0.25">
      <c r="A30" s="8">
        <v>42766.298078703701</v>
      </c>
      <c r="B30" s="20" t="s">
        <v>506</v>
      </c>
      <c r="C30" s="20" t="s">
        <v>545</v>
      </c>
      <c r="D30" s="150">
        <v>1760000</v>
      </c>
      <c r="E30" s="20" t="s">
        <v>523</v>
      </c>
      <c r="F30" s="20" t="s">
        <v>524</v>
      </c>
      <c r="G30" s="8" t="str">
        <f t="shared" si="0"/>
        <v>STRICKLAND EVAN</v>
      </c>
    </row>
    <row r="31" spans="1:7" x14ac:dyDescent="0.25">
      <c r="A31" s="8">
        <v>42766.303784722222</v>
      </c>
      <c r="B31" s="20" t="s">
        <v>309</v>
      </c>
      <c r="C31" s="20" t="s">
        <v>546</v>
      </c>
      <c r="D31" s="150">
        <v>2270000</v>
      </c>
      <c r="E31" s="20" t="s">
        <v>252</v>
      </c>
      <c r="F31" s="20" t="s">
        <v>253</v>
      </c>
      <c r="G31" s="8" t="str">
        <f t="shared" si="0"/>
        <v>BROWN JACOB</v>
      </c>
    </row>
    <row r="32" spans="1:7" x14ac:dyDescent="0.25">
      <c r="A32" s="8">
        <v>42766.306747685187</v>
      </c>
      <c r="B32" s="20" t="s">
        <v>292</v>
      </c>
      <c r="C32" s="20" t="s">
        <v>547</v>
      </c>
      <c r="D32" s="150">
        <v>1990000</v>
      </c>
      <c r="E32" s="20" t="s">
        <v>337</v>
      </c>
      <c r="F32" s="20" t="s">
        <v>345</v>
      </c>
      <c r="G32" s="8" t="str">
        <f t="shared" si="0"/>
        <v>DAVIS WENDY</v>
      </c>
    </row>
    <row r="33" spans="1:7" x14ac:dyDescent="0.25">
      <c r="A33" s="8">
        <v>42766.308240740742</v>
      </c>
      <c r="B33" s="20" t="s">
        <v>254</v>
      </c>
      <c r="C33" s="20" t="s">
        <v>548</v>
      </c>
      <c r="D33" s="150">
        <v>2010000</v>
      </c>
      <c r="E33" s="20" t="s">
        <v>331</v>
      </c>
      <c r="F33" s="20" t="s">
        <v>332</v>
      </c>
      <c r="G33" s="8" t="str">
        <f t="shared" si="0"/>
        <v>MAELZER KURT</v>
      </c>
    </row>
    <row r="34" spans="1:7" x14ac:dyDescent="0.25">
      <c r="A34" s="8">
        <v>42766.313194444447</v>
      </c>
      <c r="B34" s="20" t="s">
        <v>251</v>
      </c>
      <c r="C34" s="20" t="s">
        <v>549</v>
      </c>
      <c r="D34" s="150">
        <v>1760000</v>
      </c>
      <c r="E34" s="20" t="s">
        <v>523</v>
      </c>
      <c r="F34" s="20" t="s">
        <v>524</v>
      </c>
      <c r="G34" s="8" t="str">
        <f t="shared" si="0"/>
        <v>STRICKLAND EVAN</v>
      </c>
    </row>
    <row r="35" spans="1:7" x14ac:dyDescent="0.25">
      <c r="A35" s="8">
        <v>42766.318518518521</v>
      </c>
      <c r="B35" s="20" t="s">
        <v>196</v>
      </c>
      <c r="C35" s="20" t="s">
        <v>550</v>
      </c>
      <c r="D35" s="150">
        <v>890000</v>
      </c>
      <c r="E35" s="20" t="s">
        <v>527</v>
      </c>
      <c r="F35" s="20" t="s">
        <v>528</v>
      </c>
      <c r="G35" s="8" t="str">
        <f t="shared" si="0"/>
        <v>LOZA FIDEL</v>
      </c>
    </row>
    <row r="36" spans="1:7" x14ac:dyDescent="0.25">
      <c r="A36" s="8">
        <v>42766.318657407406</v>
      </c>
      <c r="B36" s="20" t="s">
        <v>310</v>
      </c>
      <c r="C36" s="20" t="s">
        <v>551</v>
      </c>
      <c r="D36" s="150">
        <v>2270000</v>
      </c>
      <c r="E36" s="20" t="s">
        <v>252</v>
      </c>
      <c r="F36" s="20" t="s">
        <v>253</v>
      </c>
      <c r="G36" s="8" t="str">
        <f t="shared" si="0"/>
        <v>BROWN JACOB</v>
      </c>
    </row>
    <row r="37" spans="1:7" x14ac:dyDescent="0.25">
      <c r="A37" s="8">
        <v>42766.321493055555</v>
      </c>
      <c r="B37" s="20" t="s">
        <v>194</v>
      </c>
      <c r="C37" s="20" t="s">
        <v>552</v>
      </c>
      <c r="D37" s="150">
        <v>1110000</v>
      </c>
      <c r="E37" s="20" t="s">
        <v>421</v>
      </c>
      <c r="F37" s="20" t="s">
        <v>422</v>
      </c>
      <c r="G37" s="8" t="str">
        <f t="shared" si="0"/>
        <v>STARKS ANGELINA</v>
      </c>
    </row>
    <row r="38" spans="1:7" x14ac:dyDescent="0.25">
      <c r="A38" s="8">
        <v>42766.325856481482</v>
      </c>
      <c r="B38" s="20" t="s">
        <v>504</v>
      </c>
      <c r="C38" s="20" t="s">
        <v>553</v>
      </c>
      <c r="D38" s="150">
        <v>2110000</v>
      </c>
      <c r="E38" s="20" t="s">
        <v>333</v>
      </c>
      <c r="F38" s="20" t="s">
        <v>334</v>
      </c>
      <c r="G38" s="8" t="str">
        <f t="shared" si="0"/>
        <v>OUN ZACK</v>
      </c>
    </row>
    <row r="39" spans="1:7" x14ac:dyDescent="0.25">
      <c r="A39" s="8">
        <v>42766.328530092593</v>
      </c>
      <c r="B39" s="20" t="s">
        <v>238</v>
      </c>
      <c r="C39" s="20" t="s">
        <v>554</v>
      </c>
      <c r="D39" s="150">
        <v>940000</v>
      </c>
      <c r="E39" s="20" t="s">
        <v>423</v>
      </c>
      <c r="F39" s="20" t="s">
        <v>424</v>
      </c>
      <c r="G39" s="8" t="str">
        <f t="shared" si="0"/>
        <v>BONDS REYNALDO</v>
      </c>
    </row>
    <row r="40" spans="1:7" x14ac:dyDescent="0.25">
      <c r="A40" s="8">
        <v>42766.339201388888</v>
      </c>
      <c r="B40" s="25" t="s">
        <v>506</v>
      </c>
      <c r="C40" s="20" t="s">
        <v>555</v>
      </c>
      <c r="D40" s="150">
        <v>1760000</v>
      </c>
      <c r="E40" s="20" t="s">
        <v>523</v>
      </c>
      <c r="F40" s="20" t="s">
        <v>524</v>
      </c>
      <c r="G40" s="8" t="str">
        <f t="shared" si="0"/>
        <v>STRICKLAND EVAN</v>
      </c>
    </row>
    <row r="41" spans="1:7" x14ac:dyDescent="0.25">
      <c r="A41" s="8">
        <v>42766.340277777781</v>
      </c>
      <c r="B41" s="20" t="s">
        <v>200</v>
      </c>
      <c r="C41" s="20" t="s">
        <v>556</v>
      </c>
      <c r="D41" s="150">
        <v>900000</v>
      </c>
      <c r="E41" s="20" t="s">
        <v>425</v>
      </c>
      <c r="F41" s="20" t="s">
        <v>426</v>
      </c>
      <c r="G41" s="8" t="str">
        <f t="shared" si="0"/>
        <v>ROCHA YAOTL</v>
      </c>
    </row>
    <row r="42" spans="1:7" x14ac:dyDescent="0.25">
      <c r="A42" s="8">
        <v>42766.340405092589</v>
      </c>
      <c r="B42" s="20" t="s">
        <v>309</v>
      </c>
      <c r="C42" s="20" t="s">
        <v>557</v>
      </c>
      <c r="D42" s="150">
        <v>2270000</v>
      </c>
      <c r="E42" s="20" t="s">
        <v>252</v>
      </c>
      <c r="F42" s="20" t="s">
        <v>253</v>
      </c>
      <c r="G42" s="8" t="str">
        <f t="shared" si="0"/>
        <v>BROWN JACOB</v>
      </c>
    </row>
    <row r="43" spans="1:7" x14ac:dyDescent="0.25">
      <c r="A43" s="8">
        <v>42766.341412037036</v>
      </c>
      <c r="B43" s="20" t="s">
        <v>293</v>
      </c>
      <c r="C43" s="20" t="s">
        <v>558</v>
      </c>
      <c r="D43" s="150">
        <v>1990000</v>
      </c>
      <c r="E43" s="20" t="s">
        <v>337</v>
      </c>
      <c r="F43" s="20" t="s">
        <v>345</v>
      </c>
      <c r="G43" s="8" t="str">
        <f t="shared" si="0"/>
        <v>DAVIS WENDY</v>
      </c>
    </row>
    <row r="44" spans="1:7" x14ac:dyDescent="0.25">
      <c r="A44" s="8">
        <v>42766.348865740743</v>
      </c>
      <c r="B44" s="20" t="s">
        <v>226</v>
      </c>
      <c r="C44" s="20" t="s">
        <v>559</v>
      </c>
      <c r="D44" s="150">
        <v>2010000</v>
      </c>
      <c r="E44" s="20" t="s">
        <v>331</v>
      </c>
      <c r="F44" s="20" t="s">
        <v>332</v>
      </c>
      <c r="G44" s="8" t="str">
        <f t="shared" si="0"/>
        <v>MAELZER KURT</v>
      </c>
    </row>
    <row r="45" spans="1:7" x14ac:dyDescent="0.25">
      <c r="A45" s="8">
        <v>42766.350798611114</v>
      </c>
      <c r="B45" s="20" t="s">
        <v>192</v>
      </c>
      <c r="C45" s="20" t="s">
        <v>560</v>
      </c>
      <c r="D45" s="150">
        <v>310000</v>
      </c>
      <c r="E45" s="20" t="s">
        <v>561</v>
      </c>
      <c r="F45" s="20" t="s">
        <v>562</v>
      </c>
      <c r="G45" s="8" t="str">
        <f t="shared" si="0"/>
        <v>SNYDER PETER</v>
      </c>
    </row>
    <row r="46" spans="1:7" x14ac:dyDescent="0.25">
      <c r="A46" s="8">
        <v>42766.353506944448</v>
      </c>
      <c r="B46" s="20" t="s">
        <v>251</v>
      </c>
      <c r="C46" s="20" t="s">
        <v>563</v>
      </c>
      <c r="D46" s="150">
        <v>1760000</v>
      </c>
      <c r="E46" s="20" t="s">
        <v>523</v>
      </c>
      <c r="F46" s="20" t="s">
        <v>524</v>
      </c>
      <c r="G46" s="8" t="str">
        <f t="shared" si="0"/>
        <v>STRICKLAND EVAN</v>
      </c>
    </row>
    <row r="47" spans="1:7" x14ac:dyDescent="0.25">
      <c r="A47" s="8">
        <v>42766.359525462962</v>
      </c>
      <c r="B47" s="20" t="s">
        <v>310</v>
      </c>
      <c r="C47" s="20" t="s">
        <v>564</v>
      </c>
      <c r="D47" s="150">
        <v>2270000</v>
      </c>
      <c r="E47" s="20" t="s">
        <v>252</v>
      </c>
      <c r="F47" s="20" t="s">
        <v>253</v>
      </c>
      <c r="G47" s="8" t="str">
        <f t="shared" si="0"/>
        <v>BROWN JACOB</v>
      </c>
    </row>
    <row r="48" spans="1:7" x14ac:dyDescent="0.25">
      <c r="A48" s="8">
        <v>42766.359652777777</v>
      </c>
      <c r="B48" s="20" t="s">
        <v>250</v>
      </c>
      <c r="C48" s="20" t="s">
        <v>492</v>
      </c>
      <c r="D48" s="150">
        <v>1110000</v>
      </c>
      <c r="E48" s="20" t="s">
        <v>421</v>
      </c>
      <c r="F48" s="20" t="s">
        <v>422</v>
      </c>
      <c r="G48" s="8" t="str">
        <f t="shared" si="0"/>
        <v>STARKS ANGELINA</v>
      </c>
    </row>
    <row r="49" spans="1:7" x14ac:dyDescent="0.25">
      <c r="A49" s="8">
        <v>42766.360219907408</v>
      </c>
      <c r="B49" s="20" t="s">
        <v>513</v>
      </c>
      <c r="C49" s="20" t="s">
        <v>565</v>
      </c>
      <c r="D49" s="150">
        <v>2110000</v>
      </c>
      <c r="E49" s="20" t="s">
        <v>333</v>
      </c>
      <c r="F49" s="20" t="s">
        <v>334</v>
      </c>
      <c r="G49" s="8" t="str">
        <f t="shared" si="0"/>
        <v>OUN ZACK</v>
      </c>
    </row>
    <row r="50" spans="1:7" x14ac:dyDescent="0.25">
      <c r="A50" s="8">
        <v>42766.364803240744</v>
      </c>
      <c r="B50" s="20" t="s">
        <v>237</v>
      </c>
      <c r="C50" s="20" t="s">
        <v>493</v>
      </c>
      <c r="D50" s="150">
        <v>940000</v>
      </c>
      <c r="E50" s="20" t="s">
        <v>423</v>
      </c>
      <c r="F50" s="20" t="s">
        <v>424</v>
      </c>
      <c r="G50" s="8" t="str">
        <f t="shared" si="0"/>
        <v>BONDS REYNALDO</v>
      </c>
    </row>
    <row r="51" spans="1:7" x14ac:dyDescent="0.25">
      <c r="A51" s="8">
        <v>42766.37394675926</v>
      </c>
      <c r="B51" s="20" t="s">
        <v>199</v>
      </c>
      <c r="C51" s="20" t="s">
        <v>566</v>
      </c>
      <c r="D51" s="150">
        <v>900000</v>
      </c>
      <c r="E51" s="20" t="s">
        <v>425</v>
      </c>
      <c r="F51" s="20" t="s">
        <v>426</v>
      </c>
      <c r="G51" s="8" t="str">
        <f t="shared" si="0"/>
        <v>ROCHA YAOTL</v>
      </c>
    </row>
    <row r="52" spans="1:7" x14ac:dyDescent="0.25">
      <c r="A52" s="8">
        <v>42766.380601851852</v>
      </c>
      <c r="B52" s="20" t="s">
        <v>292</v>
      </c>
      <c r="C52" s="20" t="s">
        <v>567</v>
      </c>
      <c r="D52" s="150">
        <v>1990000</v>
      </c>
      <c r="E52" s="20" t="s">
        <v>337</v>
      </c>
      <c r="F52" s="20" t="s">
        <v>345</v>
      </c>
      <c r="G52" s="8" t="str">
        <f t="shared" si="0"/>
        <v>DAVIS WENDY</v>
      </c>
    </row>
    <row r="53" spans="1:7" x14ac:dyDescent="0.25">
      <c r="A53" s="8">
        <v>42766.381342592591</v>
      </c>
      <c r="B53" s="20" t="s">
        <v>254</v>
      </c>
      <c r="C53" s="20" t="s">
        <v>494</v>
      </c>
      <c r="D53" s="150">
        <v>2010000</v>
      </c>
      <c r="E53" s="20" t="s">
        <v>331</v>
      </c>
      <c r="F53" s="20" t="s">
        <v>332</v>
      </c>
      <c r="G53" s="8" t="str">
        <f t="shared" si="0"/>
        <v>MAELZER KURT</v>
      </c>
    </row>
    <row r="54" spans="1:7" x14ac:dyDescent="0.25">
      <c r="A54" s="8">
        <v>42766.386180555557</v>
      </c>
      <c r="B54" s="20" t="s">
        <v>309</v>
      </c>
      <c r="C54" s="20" t="s">
        <v>568</v>
      </c>
      <c r="D54" s="150">
        <v>2270000</v>
      </c>
      <c r="E54" s="20" t="s">
        <v>252</v>
      </c>
      <c r="F54" s="20" t="s">
        <v>253</v>
      </c>
      <c r="G54" s="8" t="str">
        <f t="shared" si="0"/>
        <v>BROWN JACOB</v>
      </c>
    </row>
    <row r="55" spans="1:7" x14ac:dyDescent="0.25">
      <c r="A55" s="8">
        <v>42766.388368055559</v>
      </c>
      <c r="B55" s="20" t="s">
        <v>196</v>
      </c>
      <c r="C55" s="20" t="s">
        <v>569</v>
      </c>
      <c r="D55" s="150">
        <v>310000</v>
      </c>
      <c r="E55" s="20" t="s">
        <v>561</v>
      </c>
      <c r="F55" s="20" t="s">
        <v>562</v>
      </c>
      <c r="G55" s="8" t="str">
        <f t="shared" si="0"/>
        <v>SNYDER PETER</v>
      </c>
    </row>
    <row r="56" spans="1:7" x14ac:dyDescent="0.25">
      <c r="A56" s="8">
        <v>42766.390844907408</v>
      </c>
      <c r="B56" s="20" t="s">
        <v>194</v>
      </c>
      <c r="C56" s="20" t="s">
        <v>570</v>
      </c>
      <c r="D56" s="150">
        <v>1110000</v>
      </c>
      <c r="E56" s="20" t="s">
        <v>421</v>
      </c>
      <c r="F56" s="20" t="s">
        <v>422</v>
      </c>
      <c r="G56" s="8" t="str">
        <f t="shared" si="0"/>
        <v>STARKS ANGELINA</v>
      </c>
    </row>
    <row r="57" spans="1:7" x14ac:dyDescent="0.25">
      <c r="A57" s="8">
        <v>42766.399768518517</v>
      </c>
      <c r="B57" s="20" t="s">
        <v>504</v>
      </c>
      <c r="C57" s="20" t="s">
        <v>571</v>
      </c>
      <c r="D57" s="150">
        <v>2110000</v>
      </c>
      <c r="E57" s="20" t="s">
        <v>333</v>
      </c>
      <c r="F57" s="20" t="s">
        <v>334</v>
      </c>
      <c r="G57" s="8" t="str">
        <f t="shared" si="0"/>
        <v>OUN ZACK</v>
      </c>
    </row>
    <row r="58" spans="1:7" x14ac:dyDescent="0.25">
      <c r="A58" s="8">
        <v>42766.401770833334</v>
      </c>
      <c r="B58" s="20" t="s">
        <v>310</v>
      </c>
      <c r="C58" s="20" t="s">
        <v>572</v>
      </c>
      <c r="D58" s="150">
        <v>2270000</v>
      </c>
      <c r="E58" s="20" t="s">
        <v>252</v>
      </c>
      <c r="F58" s="20" t="s">
        <v>253</v>
      </c>
      <c r="G58" s="8" t="str">
        <f t="shared" si="0"/>
        <v>BROWN JACOB</v>
      </c>
    </row>
    <row r="59" spans="1:7" x14ac:dyDescent="0.25">
      <c r="A59" s="8">
        <v>42766.403124999997</v>
      </c>
      <c r="B59" s="20" t="s">
        <v>238</v>
      </c>
      <c r="C59" s="20" t="s">
        <v>573</v>
      </c>
      <c r="D59" s="150">
        <v>940000</v>
      </c>
      <c r="E59" s="20" t="s">
        <v>423</v>
      </c>
      <c r="F59" s="20" t="s">
        <v>424</v>
      </c>
      <c r="G59" s="8" t="str">
        <f t="shared" si="0"/>
        <v>BONDS REYNALDO</v>
      </c>
    </row>
    <row r="60" spans="1:7" x14ac:dyDescent="0.25">
      <c r="A60" s="8">
        <v>42766.412222222221</v>
      </c>
      <c r="B60" s="20" t="s">
        <v>200</v>
      </c>
      <c r="C60" s="20" t="s">
        <v>574</v>
      </c>
      <c r="D60" s="150">
        <v>900000</v>
      </c>
      <c r="E60" s="20" t="s">
        <v>425</v>
      </c>
      <c r="F60" s="20" t="s">
        <v>426</v>
      </c>
      <c r="G60" s="8" t="str">
        <f t="shared" si="0"/>
        <v>ROCHA YAOTL</v>
      </c>
    </row>
    <row r="61" spans="1:7" x14ac:dyDescent="0.25">
      <c r="A61" s="8">
        <v>42766.412974537037</v>
      </c>
      <c r="B61" s="20" t="s">
        <v>293</v>
      </c>
      <c r="C61" s="20" t="s">
        <v>575</v>
      </c>
      <c r="D61" s="150">
        <v>1990000</v>
      </c>
      <c r="E61" s="20" t="s">
        <v>337</v>
      </c>
      <c r="F61" s="20" t="s">
        <v>345</v>
      </c>
      <c r="G61" s="8" t="str">
        <f t="shared" si="0"/>
        <v>DAVIS WENDY</v>
      </c>
    </row>
    <row r="62" spans="1:7" x14ac:dyDescent="0.25">
      <c r="A62" s="8">
        <v>42766.420682870368</v>
      </c>
      <c r="B62" s="20" t="s">
        <v>302</v>
      </c>
      <c r="C62" s="20" t="s">
        <v>576</v>
      </c>
      <c r="D62" s="150">
        <v>1090000</v>
      </c>
      <c r="E62" s="20" t="s">
        <v>427</v>
      </c>
      <c r="F62" s="20" t="s">
        <v>209</v>
      </c>
      <c r="G62" s="8" t="str">
        <f t="shared" si="0"/>
        <v>SPECTOR MICHAEL</v>
      </c>
    </row>
    <row r="63" spans="1:7" x14ac:dyDescent="0.25">
      <c r="A63" s="8">
        <v>42766.421712962961</v>
      </c>
      <c r="B63" s="20" t="s">
        <v>226</v>
      </c>
      <c r="C63" s="20" t="s">
        <v>577</v>
      </c>
      <c r="D63" s="150">
        <v>2010000</v>
      </c>
      <c r="E63" s="20" t="s">
        <v>331</v>
      </c>
      <c r="F63" s="20" t="s">
        <v>332</v>
      </c>
      <c r="G63" s="8" t="str">
        <f t="shared" si="0"/>
        <v>MAELZER KURT</v>
      </c>
    </row>
    <row r="64" spans="1:7" x14ac:dyDescent="0.25">
      <c r="A64" s="26">
        <v>42766.422962962963</v>
      </c>
      <c r="B64" s="20" t="s">
        <v>309</v>
      </c>
      <c r="C64" s="20" t="s">
        <v>578</v>
      </c>
      <c r="D64" s="150">
        <v>2270000</v>
      </c>
      <c r="E64" s="20" t="s">
        <v>252</v>
      </c>
      <c r="F64" s="20" t="s">
        <v>253</v>
      </c>
      <c r="G64" s="8" t="str">
        <f t="shared" si="0"/>
        <v>BROWN JACOB</v>
      </c>
    </row>
    <row r="65" spans="1:7" x14ac:dyDescent="0.25">
      <c r="A65" s="8">
        <v>42766.431932870371</v>
      </c>
      <c r="B65" s="20" t="s">
        <v>250</v>
      </c>
      <c r="C65" s="20" t="s">
        <v>495</v>
      </c>
      <c r="D65" s="150">
        <v>1110000</v>
      </c>
      <c r="E65" s="20" t="s">
        <v>421</v>
      </c>
      <c r="F65" s="20" t="s">
        <v>422</v>
      </c>
      <c r="G65" s="8" t="str">
        <f t="shared" si="0"/>
        <v>STARKS ANGELINA</v>
      </c>
    </row>
    <row r="66" spans="1:7" x14ac:dyDescent="0.25">
      <c r="A66" s="8">
        <v>42766.433981481481</v>
      </c>
      <c r="B66" s="20" t="s">
        <v>192</v>
      </c>
      <c r="C66" s="20" t="s">
        <v>579</v>
      </c>
      <c r="D66" s="150">
        <v>1760000</v>
      </c>
      <c r="E66" s="20" t="s">
        <v>523</v>
      </c>
      <c r="F66" s="20" t="s">
        <v>524</v>
      </c>
      <c r="G66" s="8" t="str">
        <f t="shared" si="0"/>
        <v>STRICKLAND EVAN</v>
      </c>
    </row>
    <row r="67" spans="1:7" x14ac:dyDescent="0.25">
      <c r="A67" s="8">
        <v>42766.43546296296</v>
      </c>
      <c r="B67" s="20" t="s">
        <v>192</v>
      </c>
      <c r="C67" s="20" t="s">
        <v>579</v>
      </c>
      <c r="D67" s="150">
        <v>1760000</v>
      </c>
      <c r="E67" s="20" t="s">
        <v>523</v>
      </c>
      <c r="F67" s="20" t="s">
        <v>524</v>
      </c>
      <c r="G67" s="8" t="str">
        <f t="shared" ref="G67:G130" si="1">E67&amp;" "&amp;F67</f>
        <v>STRICKLAND EVAN</v>
      </c>
    </row>
    <row r="68" spans="1:7" x14ac:dyDescent="0.25">
      <c r="A68" s="8">
        <v>42766.441747685189</v>
      </c>
      <c r="B68" s="20" t="s">
        <v>237</v>
      </c>
      <c r="C68" s="20" t="s">
        <v>580</v>
      </c>
      <c r="D68" s="150">
        <v>940000</v>
      </c>
      <c r="E68" s="20" t="s">
        <v>423</v>
      </c>
      <c r="F68" s="20" t="s">
        <v>424</v>
      </c>
      <c r="G68" s="8" t="str">
        <f t="shared" si="1"/>
        <v>BONDS REYNALDO</v>
      </c>
    </row>
    <row r="69" spans="1:7" x14ac:dyDescent="0.25">
      <c r="A69" s="8">
        <v>42766.441967592589</v>
      </c>
      <c r="B69" s="20" t="s">
        <v>199</v>
      </c>
      <c r="C69" s="20" t="s">
        <v>581</v>
      </c>
      <c r="D69" s="150">
        <v>900000</v>
      </c>
      <c r="E69" s="20" t="s">
        <v>425</v>
      </c>
      <c r="F69" s="20" t="s">
        <v>426</v>
      </c>
      <c r="G69" s="8" t="str">
        <f t="shared" si="1"/>
        <v>ROCHA YAOTL</v>
      </c>
    </row>
    <row r="70" spans="1:7" x14ac:dyDescent="0.25">
      <c r="A70" s="8">
        <v>42766.443368055552</v>
      </c>
      <c r="B70" s="20" t="s">
        <v>310</v>
      </c>
      <c r="C70" s="20" t="s">
        <v>582</v>
      </c>
      <c r="D70" s="150">
        <v>2270000</v>
      </c>
      <c r="E70" s="20" t="s">
        <v>252</v>
      </c>
      <c r="F70" s="20" t="s">
        <v>253</v>
      </c>
      <c r="G70" s="8" t="str">
        <f t="shared" si="1"/>
        <v>BROWN JACOB</v>
      </c>
    </row>
    <row r="71" spans="1:7" x14ac:dyDescent="0.25">
      <c r="A71" s="8">
        <v>42766.452291666668</v>
      </c>
      <c r="B71" s="20" t="s">
        <v>235</v>
      </c>
      <c r="C71" s="20" t="s">
        <v>583</v>
      </c>
      <c r="D71" s="150">
        <v>1180000</v>
      </c>
      <c r="E71" s="20" t="s">
        <v>430</v>
      </c>
      <c r="F71" s="20" t="s">
        <v>431</v>
      </c>
      <c r="G71" s="8" t="str">
        <f t="shared" si="1"/>
        <v>LEVERE CRAIG</v>
      </c>
    </row>
    <row r="72" spans="1:7" x14ac:dyDescent="0.25">
      <c r="A72" s="8">
        <v>42766.453692129631</v>
      </c>
      <c r="B72" s="20" t="s">
        <v>292</v>
      </c>
      <c r="C72" s="20" t="s">
        <v>496</v>
      </c>
      <c r="D72" s="150">
        <v>1990000</v>
      </c>
      <c r="E72" s="20" t="s">
        <v>337</v>
      </c>
      <c r="F72" s="20" t="s">
        <v>345</v>
      </c>
      <c r="G72" s="8" t="str">
        <f t="shared" si="1"/>
        <v>DAVIS WENDY</v>
      </c>
    </row>
    <row r="73" spans="1:7" x14ac:dyDescent="0.25">
      <c r="A73" s="8">
        <v>42766.453923611109</v>
      </c>
      <c r="B73" s="20" t="s">
        <v>254</v>
      </c>
      <c r="C73" s="20" t="s">
        <v>584</v>
      </c>
      <c r="D73" s="150">
        <v>2150000</v>
      </c>
      <c r="E73" s="20" t="s">
        <v>585</v>
      </c>
      <c r="F73" s="20" t="s">
        <v>586</v>
      </c>
      <c r="G73" s="8" t="str">
        <f t="shared" si="1"/>
        <v>SWANSON BRYCE</v>
      </c>
    </row>
    <row r="74" spans="1:7" x14ac:dyDescent="0.25">
      <c r="A74" s="8">
        <v>42766.457048611112</v>
      </c>
      <c r="B74" s="20" t="s">
        <v>301</v>
      </c>
      <c r="C74" s="20" t="s">
        <v>587</v>
      </c>
      <c r="D74" s="150">
        <v>1090000</v>
      </c>
      <c r="E74" s="20" t="s">
        <v>427</v>
      </c>
      <c r="F74" s="20" t="s">
        <v>209</v>
      </c>
      <c r="G74" s="8" t="str">
        <f t="shared" si="1"/>
        <v>SPECTOR MICHAEL</v>
      </c>
    </row>
    <row r="75" spans="1:7" x14ac:dyDescent="0.25">
      <c r="A75" s="8">
        <v>42766.464398148149</v>
      </c>
      <c r="B75" s="20" t="s">
        <v>194</v>
      </c>
      <c r="C75" s="20" t="s">
        <v>588</v>
      </c>
      <c r="D75" s="150">
        <v>880000</v>
      </c>
      <c r="E75" s="20" t="s">
        <v>589</v>
      </c>
      <c r="F75" s="20" t="s">
        <v>209</v>
      </c>
      <c r="G75" s="8" t="str">
        <f t="shared" si="1"/>
        <v>STEWART MICHAEL</v>
      </c>
    </row>
    <row r="76" spans="1:7" x14ac:dyDescent="0.25">
      <c r="A76" s="8">
        <v>42766.465474537035</v>
      </c>
      <c r="B76" s="20" t="s">
        <v>196</v>
      </c>
      <c r="C76" s="20" t="s">
        <v>590</v>
      </c>
      <c r="D76" s="150">
        <v>1760000</v>
      </c>
      <c r="E76" s="20" t="s">
        <v>523</v>
      </c>
      <c r="F76" s="20" t="s">
        <v>524</v>
      </c>
      <c r="G76" s="8" t="str">
        <f t="shared" si="1"/>
        <v>STRICKLAND EVAN</v>
      </c>
    </row>
    <row r="77" spans="1:7" x14ac:dyDescent="0.25">
      <c r="A77" s="8">
        <v>42766.46947916667</v>
      </c>
      <c r="B77" s="20" t="s">
        <v>309</v>
      </c>
      <c r="C77" s="20" t="s">
        <v>497</v>
      </c>
      <c r="D77" s="150">
        <v>2270000</v>
      </c>
      <c r="E77" s="20" t="s">
        <v>252</v>
      </c>
      <c r="F77" s="20" t="s">
        <v>253</v>
      </c>
      <c r="G77" s="8" t="str">
        <f t="shared" si="1"/>
        <v>BROWN JACOB</v>
      </c>
    </row>
    <row r="78" spans="1:7" x14ac:dyDescent="0.25">
      <c r="A78" s="8">
        <v>42766.476006944446</v>
      </c>
      <c r="B78" s="20" t="s">
        <v>238</v>
      </c>
      <c r="C78" s="20" t="s">
        <v>498</v>
      </c>
      <c r="D78" s="150">
        <v>1180000</v>
      </c>
      <c r="E78" s="20" t="s">
        <v>430</v>
      </c>
      <c r="F78" s="20" t="s">
        <v>431</v>
      </c>
      <c r="G78" s="8" t="str">
        <f t="shared" si="1"/>
        <v>LEVERE CRAIG</v>
      </c>
    </row>
    <row r="79" spans="1:7" x14ac:dyDescent="0.25">
      <c r="A79" s="8">
        <v>42766.484224537038</v>
      </c>
      <c r="B79" s="20" t="s">
        <v>198</v>
      </c>
      <c r="C79" s="20" t="s">
        <v>591</v>
      </c>
      <c r="D79" s="150">
        <v>940000</v>
      </c>
      <c r="E79" s="20" t="s">
        <v>423</v>
      </c>
      <c r="F79" s="20" t="s">
        <v>424</v>
      </c>
      <c r="G79" s="8" t="str">
        <f t="shared" si="1"/>
        <v>BONDS REYNALDO</v>
      </c>
    </row>
    <row r="80" spans="1:7" x14ac:dyDescent="0.25">
      <c r="A80" s="8">
        <v>42766.485821759263</v>
      </c>
      <c r="B80" s="20" t="s">
        <v>226</v>
      </c>
      <c r="C80" s="20" t="s">
        <v>592</v>
      </c>
      <c r="D80" s="150">
        <v>2150000</v>
      </c>
      <c r="E80" s="20" t="s">
        <v>585</v>
      </c>
      <c r="F80" s="20" t="s">
        <v>586</v>
      </c>
      <c r="G80" s="8" t="str">
        <f t="shared" si="1"/>
        <v>SWANSON BRYCE</v>
      </c>
    </row>
    <row r="81" spans="1:7" x14ac:dyDescent="0.25">
      <c r="A81" s="8">
        <v>42766.486076388886</v>
      </c>
      <c r="B81" s="20" t="s">
        <v>293</v>
      </c>
      <c r="C81" s="20" t="s">
        <v>593</v>
      </c>
      <c r="D81" s="150">
        <v>930000</v>
      </c>
      <c r="E81" s="20" t="s">
        <v>428</v>
      </c>
      <c r="F81" s="20" t="s">
        <v>429</v>
      </c>
      <c r="G81" s="8" t="str">
        <f t="shared" si="1"/>
        <v>CLARK KATHLEEN</v>
      </c>
    </row>
    <row r="82" spans="1:7" x14ac:dyDescent="0.25">
      <c r="A82" s="8">
        <v>42766.487384259257</v>
      </c>
      <c r="B82" s="20" t="s">
        <v>200</v>
      </c>
      <c r="C82" s="20" t="s">
        <v>594</v>
      </c>
      <c r="D82" s="150">
        <v>900000</v>
      </c>
      <c r="E82" s="20" t="s">
        <v>425</v>
      </c>
      <c r="F82" s="20" t="s">
        <v>426</v>
      </c>
      <c r="G82" s="8" t="str">
        <f t="shared" si="1"/>
        <v>ROCHA YAOTL</v>
      </c>
    </row>
    <row r="83" spans="1:7" x14ac:dyDescent="0.25">
      <c r="A83" s="8">
        <v>42766.489768518521</v>
      </c>
      <c r="B83" s="20" t="s">
        <v>310</v>
      </c>
      <c r="C83" s="20" t="s">
        <v>595</v>
      </c>
      <c r="D83" s="150">
        <v>2270000</v>
      </c>
      <c r="E83" s="20" t="s">
        <v>252</v>
      </c>
      <c r="F83" s="20" t="s">
        <v>253</v>
      </c>
      <c r="G83" s="8" t="str">
        <f t="shared" si="1"/>
        <v>BROWN JACOB</v>
      </c>
    </row>
    <row r="84" spans="1:7" x14ac:dyDescent="0.25">
      <c r="A84" s="8">
        <v>42766.495300925926</v>
      </c>
      <c r="B84" s="20" t="s">
        <v>302</v>
      </c>
      <c r="C84" s="20" t="s">
        <v>596</v>
      </c>
      <c r="D84" s="150">
        <v>2250000</v>
      </c>
      <c r="E84" s="20" t="s">
        <v>346</v>
      </c>
      <c r="F84" s="20" t="s">
        <v>347</v>
      </c>
      <c r="G84" s="8" t="str">
        <f t="shared" si="1"/>
        <v>CRAYTON QUNTRELL</v>
      </c>
    </row>
    <row r="85" spans="1:7" x14ac:dyDescent="0.25">
      <c r="A85" s="8">
        <v>42766.502986111111</v>
      </c>
      <c r="B85" s="20" t="s">
        <v>250</v>
      </c>
      <c r="C85" s="20" t="s">
        <v>597</v>
      </c>
      <c r="D85" s="150">
        <v>880000</v>
      </c>
      <c r="E85" s="20" t="s">
        <v>589</v>
      </c>
      <c r="F85" s="20" t="s">
        <v>209</v>
      </c>
      <c r="G85" s="8" t="str">
        <f t="shared" si="1"/>
        <v>STEWART MICHAEL</v>
      </c>
    </row>
    <row r="86" spans="1:7" x14ac:dyDescent="0.25">
      <c r="A86" s="8">
        <v>42766.508194444446</v>
      </c>
      <c r="B86" s="20" t="s">
        <v>192</v>
      </c>
      <c r="C86" s="20" t="s">
        <v>598</v>
      </c>
      <c r="D86" s="150">
        <v>2470000</v>
      </c>
      <c r="E86" s="20" t="s">
        <v>335</v>
      </c>
      <c r="F86" s="20" t="s">
        <v>336</v>
      </c>
      <c r="G86" s="8" t="str">
        <f t="shared" si="1"/>
        <v>ROMERO CHAD</v>
      </c>
    </row>
    <row r="87" spans="1:7" x14ac:dyDescent="0.25">
      <c r="A87" s="8">
        <v>42766.510648148149</v>
      </c>
      <c r="B87" s="20" t="s">
        <v>309</v>
      </c>
      <c r="C87" s="20" t="s">
        <v>499</v>
      </c>
      <c r="D87" s="150">
        <v>2270000</v>
      </c>
      <c r="E87" s="20" t="s">
        <v>252</v>
      </c>
      <c r="F87" s="20" t="s">
        <v>253</v>
      </c>
      <c r="G87" s="8" t="str">
        <f t="shared" si="1"/>
        <v>BROWN JACOB</v>
      </c>
    </row>
    <row r="88" spans="1:7" x14ac:dyDescent="0.25">
      <c r="A88" s="8">
        <v>42766.511342592596</v>
      </c>
      <c r="B88" s="20" t="s">
        <v>237</v>
      </c>
      <c r="C88" s="20" t="s">
        <v>599</v>
      </c>
      <c r="D88" s="150">
        <v>1180000</v>
      </c>
      <c r="E88" s="20" t="s">
        <v>430</v>
      </c>
      <c r="F88" s="20" t="s">
        <v>431</v>
      </c>
      <c r="G88" s="8" t="str">
        <f t="shared" si="1"/>
        <v>LEVERE CRAIG</v>
      </c>
    </row>
    <row r="89" spans="1:7" x14ac:dyDescent="0.25">
      <c r="A89" s="8">
        <v>42766.517245370371</v>
      </c>
      <c r="B89" s="20" t="s">
        <v>199</v>
      </c>
      <c r="C89" s="20" t="s">
        <v>600</v>
      </c>
      <c r="D89" s="150">
        <v>1190000</v>
      </c>
      <c r="E89" s="20" t="s">
        <v>601</v>
      </c>
      <c r="F89" s="20" t="s">
        <v>602</v>
      </c>
      <c r="G89" s="8" t="str">
        <f t="shared" si="1"/>
        <v>BRANNON JEFFREY</v>
      </c>
    </row>
    <row r="90" spans="1:7" x14ac:dyDescent="0.25">
      <c r="A90" s="8">
        <v>42766.523680555554</v>
      </c>
      <c r="B90" s="20" t="s">
        <v>292</v>
      </c>
      <c r="C90" s="20" t="s">
        <v>603</v>
      </c>
      <c r="D90" s="150">
        <v>930000</v>
      </c>
      <c r="E90" s="20" t="s">
        <v>428</v>
      </c>
      <c r="F90" s="20" t="s">
        <v>429</v>
      </c>
      <c r="G90" s="8" t="str">
        <f t="shared" si="1"/>
        <v>CLARK KATHLEEN</v>
      </c>
    </row>
    <row r="91" spans="1:7" x14ac:dyDescent="0.25">
      <c r="A91" s="8">
        <v>42766.527754629627</v>
      </c>
      <c r="B91" s="20" t="s">
        <v>254</v>
      </c>
      <c r="C91" s="20" t="s">
        <v>604</v>
      </c>
      <c r="D91" s="150">
        <v>2150000</v>
      </c>
      <c r="E91" s="20" t="s">
        <v>585</v>
      </c>
      <c r="F91" s="20" t="s">
        <v>586</v>
      </c>
      <c r="G91" s="8" t="str">
        <f t="shared" si="1"/>
        <v>SWANSON BRYCE</v>
      </c>
    </row>
    <row r="92" spans="1:7" x14ac:dyDescent="0.25">
      <c r="A92" s="8">
        <v>42766.529513888891</v>
      </c>
      <c r="B92" s="20" t="s">
        <v>310</v>
      </c>
      <c r="C92" s="20" t="s">
        <v>499</v>
      </c>
      <c r="D92" s="150">
        <v>2270000</v>
      </c>
      <c r="E92" s="20" t="s">
        <v>252</v>
      </c>
      <c r="F92" s="20" t="s">
        <v>253</v>
      </c>
      <c r="G92" s="8" t="str">
        <f t="shared" si="1"/>
        <v>BROWN JACOB</v>
      </c>
    </row>
    <row r="93" spans="1:7" x14ac:dyDescent="0.25">
      <c r="A93" s="8">
        <v>42766.530104166668</v>
      </c>
      <c r="B93" s="20" t="s">
        <v>310</v>
      </c>
      <c r="C93" s="20" t="s">
        <v>605</v>
      </c>
      <c r="D93" s="150">
        <v>2270000</v>
      </c>
      <c r="E93" s="20" t="s">
        <v>252</v>
      </c>
      <c r="F93" s="20" t="s">
        <v>253</v>
      </c>
      <c r="G93" s="8" t="str">
        <f t="shared" si="1"/>
        <v>BROWN JACOB</v>
      </c>
    </row>
    <row r="94" spans="1:7" x14ac:dyDescent="0.25">
      <c r="A94" s="8">
        <v>42766.531111111108</v>
      </c>
      <c r="B94" s="20" t="s">
        <v>310</v>
      </c>
      <c r="C94" s="20" t="s">
        <v>605</v>
      </c>
      <c r="D94" s="150">
        <v>2270000</v>
      </c>
      <c r="E94" s="20" t="s">
        <v>252</v>
      </c>
      <c r="F94" s="20" t="s">
        <v>253</v>
      </c>
      <c r="G94" s="8" t="str">
        <f t="shared" si="1"/>
        <v>BROWN JACOB</v>
      </c>
    </row>
    <row r="95" spans="1:7" x14ac:dyDescent="0.25">
      <c r="A95" s="8">
        <v>42766.532685185186</v>
      </c>
      <c r="B95" s="20" t="s">
        <v>301</v>
      </c>
      <c r="C95" s="20" t="s">
        <v>606</v>
      </c>
      <c r="D95" s="150">
        <v>2250000</v>
      </c>
      <c r="E95" s="20" t="s">
        <v>346</v>
      </c>
      <c r="F95" s="20" t="s">
        <v>347</v>
      </c>
      <c r="G95" s="8" t="str">
        <f t="shared" si="1"/>
        <v>CRAYTON QUNTRELL</v>
      </c>
    </row>
    <row r="96" spans="1:7" x14ac:dyDescent="0.25">
      <c r="A96" s="8">
        <v>42766.538726851853</v>
      </c>
      <c r="B96" s="20" t="s">
        <v>194</v>
      </c>
      <c r="C96" s="20" t="s">
        <v>607</v>
      </c>
      <c r="D96" s="150">
        <v>880000</v>
      </c>
      <c r="E96" s="20" t="s">
        <v>589</v>
      </c>
      <c r="F96" s="20" t="s">
        <v>209</v>
      </c>
      <c r="G96" s="8" t="str">
        <f t="shared" si="1"/>
        <v>STEWART MICHAEL</v>
      </c>
    </row>
    <row r="97" spans="1:7" x14ac:dyDescent="0.25">
      <c r="A97" s="8">
        <v>42766.539409722223</v>
      </c>
      <c r="B97" s="20" t="s">
        <v>196</v>
      </c>
      <c r="C97" s="20" t="s">
        <v>608</v>
      </c>
      <c r="D97" s="150">
        <v>2470000</v>
      </c>
      <c r="E97" s="20" t="s">
        <v>335</v>
      </c>
      <c r="F97" s="20" t="s">
        <v>336</v>
      </c>
      <c r="G97" s="8" t="str">
        <f t="shared" si="1"/>
        <v>ROMERO CHAD</v>
      </c>
    </row>
    <row r="98" spans="1:7" x14ac:dyDescent="0.25">
      <c r="A98" s="8">
        <v>42766.547129629631</v>
      </c>
      <c r="B98" s="20" t="s">
        <v>513</v>
      </c>
      <c r="C98" s="20" t="s">
        <v>609</v>
      </c>
      <c r="D98" s="150">
        <v>1300000</v>
      </c>
      <c r="E98" s="20" t="s">
        <v>610</v>
      </c>
      <c r="F98" s="20" t="s">
        <v>611</v>
      </c>
      <c r="G98" s="8" t="str">
        <f t="shared" si="1"/>
        <v>LEVIN SCOTT</v>
      </c>
    </row>
    <row r="99" spans="1:7" x14ac:dyDescent="0.25">
      <c r="A99" s="8">
        <v>42766.548055555555</v>
      </c>
      <c r="B99" s="20" t="s">
        <v>238</v>
      </c>
      <c r="C99" s="20" t="s">
        <v>612</v>
      </c>
      <c r="D99" s="150">
        <v>1180000</v>
      </c>
      <c r="E99" s="20" t="s">
        <v>430</v>
      </c>
      <c r="F99" s="20" t="s">
        <v>431</v>
      </c>
      <c r="G99" s="8" t="str">
        <f t="shared" si="1"/>
        <v>LEVERE CRAIG</v>
      </c>
    </row>
    <row r="100" spans="1:7" x14ac:dyDescent="0.25">
      <c r="A100" s="8">
        <v>42766.548182870371</v>
      </c>
      <c r="B100" s="20" t="s">
        <v>200</v>
      </c>
      <c r="C100" s="20" t="s">
        <v>613</v>
      </c>
      <c r="D100" s="150">
        <v>1190000</v>
      </c>
      <c r="E100" s="20" t="s">
        <v>601</v>
      </c>
      <c r="F100" s="20" t="s">
        <v>602</v>
      </c>
      <c r="G100" s="8" t="str">
        <f t="shared" si="1"/>
        <v>BRANNON JEFFREY</v>
      </c>
    </row>
    <row r="101" spans="1:7" x14ac:dyDescent="0.25">
      <c r="A101" s="8">
        <v>42766.559942129628</v>
      </c>
      <c r="B101" s="20" t="s">
        <v>293</v>
      </c>
      <c r="C101" s="20" t="s">
        <v>614</v>
      </c>
      <c r="D101" s="150">
        <v>930000</v>
      </c>
      <c r="E101" s="20" t="s">
        <v>428</v>
      </c>
      <c r="F101" s="20" t="s">
        <v>429</v>
      </c>
      <c r="G101" s="8" t="str">
        <f t="shared" si="1"/>
        <v>CLARK KATHLEEN</v>
      </c>
    </row>
    <row r="102" spans="1:7" x14ac:dyDescent="0.25">
      <c r="A102" s="8">
        <v>42766.563194444447</v>
      </c>
      <c r="B102" s="20" t="s">
        <v>226</v>
      </c>
      <c r="C102" s="20" t="s">
        <v>615</v>
      </c>
      <c r="D102" s="150">
        <v>2150000</v>
      </c>
      <c r="E102" s="20" t="s">
        <v>585</v>
      </c>
      <c r="F102" s="20" t="s">
        <v>586</v>
      </c>
      <c r="G102" s="8" t="str">
        <f t="shared" si="1"/>
        <v>SWANSON BRYCE</v>
      </c>
    </row>
    <row r="103" spans="1:7" x14ac:dyDescent="0.25">
      <c r="A103" s="8">
        <v>42766.567928240744</v>
      </c>
      <c r="B103" s="20" t="s">
        <v>504</v>
      </c>
      <c r="C103" s="20" t="s">
        <v>616</v>
      </c>
      <c r="D103" s="150">
        <v>1300000</v>
      </c>
      <c r="E103" s="20" t="s">
        <v>610</v>
      </c>
      <c r="F103" s="20" t="s">
        <v>611</v>
      </c>
      <c r="G103" s="8" t="str">
        <f t="shared" si="1"/>
        <v>LEVIN SCOTT</v>
      </c>
    </row>
    <row r="104" spans="1:7" x14ac:dyDescent="0.25">
      <c r="A104" s="8">
        <v>42766.570254629631</v>
      </c>
      <c r="B104" s="20" t="s">
        <v>302</v>
      </c>
      <c r="C104" s="20" t="s">
        <v>617</v>
      </c>
      <c r="D104" s="150">
        <v>2250000</v>
      </c>
      <c r="E104" s="20" t="s">
        <v>346</v>
      </c>
      <c r="F104" s="20" t="s">
        <v>347</v>
      </c>
      <c r="G104" s="8" t="str">
        <f t="shared" si="1"/>
        <v>CRAYTON QUNTRELL</v>
      </c>
    </row>
    <row r="105" spans="1:7" x14ac:dyDescent="0.25">
      <c r="A105" s="8">
        <v>42766.577060185184</v>
      </c>
      <c r="B105" s="20" t="s">
        <v>250</v>
      </c>
      <c r="C105" s="20" t="s">
        <v>618</v>
      </c>
      <c r="D105" s="150">
        <v>880000</v>
      </c>
      <c r="E105" s="20" t="s">
        <v>589</v>
      </c>
      <c r="F105" s="20" t="s">
        <v>209</v>
      </c>
      <c r="G105" s="8" t="str">
        <f t="shared" si="1"/>
        <v>STEWART MICHAEL</v>
      </c>
    </row>
    <row r="106" spans="1:7" x14ac:dyDescent="0.25">
      <c r="A106" s="8">
        <v>42766.581574074073</v>
      </c>
      <c r="B106" s="20" t="s">
        <v>192</v>
      </c>
      <c r="C106" s="20" t="s">
        <v>619</v>
      </c>
      <c r="D106" s="150">
        <v>2470000</v>
      </c>
      <c r="E106" s="20" t="s">
        <v>335</v>
      </c>
      <c r="F106" s="20" t="s">
        <v>336</v>
      </c>
      <c r="G106" s="8" t="str">
        <f t="shared" si="1"/>
        <v>ROMERO CHAD</v>
      </c>
    </row>
    <row r="107" spans="1:7" x14ac:dyDescent="0.25">
      <c r="A107" s="8">
        <v>42766.584386574075</v>
      </c>
      <c r="B107" s="20" t="s">
        <v>237</v>
      </c>
      <c r="C107" s="20" t="s">
        <v>620</v>
      </c>
      <c r="D107" s="150">
        <v>1180000</v>
      </c>
      <c r="E107" s="20" t="s">
        <v>430</v>
      </c>
      <c r="F107" s="20" t="s">
        <v>431</v>
      </c>
      <c r="G107" s="8" t="str">
        <f t="shared" si="1"/>
        <v>LEVERE CRAIG</v>
      </c>
    </row>
    <row r="108" spans="1:7" x14ac:dyDescent="0.25">
      <c r="A108" s="8">
        <v>42766.589826388888</v>
      </c>
      <c r="B108" s="20" t="s">
        <v>199</v>
      </c>
      <c r="C108" s="20" t="s">
        <v>621</v>
      </c>
      <c r="D108" s="150">
        <v>1190000</v>
      </c>
      <c r="E108" s="20" t="s">
        <v>601</v>
      </c>
      <c r="F108" s="20" t="s">
        <v>602</v>
      </c>
      <c r="G108" s="8" t="str">
        <f t="shared" si="1"/>
        <v>BRANNON JEFFREY</v>
      </c>
    </row>
    <row r="109" spans="1:7" x14ac:dyDescent="0.25">
      <c r="A109" s="8">
        <v>42766.594988425924</v>
      </c>
      <c r="B109" s="20" t="s">
        <v>513</v>
      </c>
      <c r="C109" s="20" t="s">
        <v>622</v>
      </c>
      <c r="D109" s="150">
        <v>1300000</v>
      </c>
      <c r="E109" s="20" t="s">
        <v>610</v>
      </c>
      <c r="F109" s="20" t="s">
        <v>611</v>
      </c>
      <c r="G109" s="8" t="str">
        <f t="shared" si="1"/>
        <v>LEVIN SCOTT</v>
      </c>
    </row>
    <row r="110" spans="1:7" x14ac:dyDescent="0.25">
      <c r="A110" s="8">
        <v>42766.59752314815</v>
      </c>
      <c r="B110" s="20" t="s">
        <v>292</v>
      </c>
      <c r="C110" s="20" t="s">
        <v>623</v>
      </c>
      <c r="D110" s="150">
        <v>930000</v>
      </c>
      <c r="E110" s="20" t="s">
        <v>428</v>
      </c>
      <c r="F110" s="20" t="s">
        <v>429</v>
      </c>
      <c r="G110" s="8" t="str">
        <f t="shared" si="1"/>
        <v>CLARK KATHLEEN</v>
      </c>
    </row>
    <row r="111" spans="1:7" x14ac:dyDescent="0.25">
      <c r="A111" s="8">
        <v>42766.600925925923</v>
      </c>
      <c r="B111" s="20" t="s">
        <v>254</v>
      </c>
      <c r="C111" s="20" t="s">
        <v>624</v>
      </c>
      <c r="D111" s="150">
        <v>2150000</v>
      </c>
      <c r="E111" s="20" t="s">
        <v>585</v>
      </c>
      <c r="F111" s="20" t="s">
        <v>586</v>
      </c>
      <c r="G111" s="8" t="str">
        <f t="shared" si="1"/>
        <v>SWANSON BRYCE</v>
      </c>
    </row>
    <row r="112" spans="1:7" x14ac:dyDescent="0.25">
      <c r="A112" s="8">
        <v>42766.606412037036</v>
      </c>
      <c r="B112" s="20" t="s">
        <v>301</v>
      </c>
      <c r="C112" s="20" t="s">
        <v>500</v>
      </c>
      <c r="D112" s="150">
        <v>2250000</v>
      </c>
      <c r="E112" s="20" t="s">
        <v>346</v>
      </c>
      <c r="F112" s="20" t="s">
        <v>347</v>
      </c>
      <c r="G112" s="8" t="str">
        <f t="shared" si="1"/>
        <v>CRAYTON QUNTRELL</v>
      </c>
    </row>
    <row r="113" spans="1:7" x14ac:dyDescent="0.25">
      <c r="A113" s="8">
        <v>42766.609375</v>
      </c>
      <c r="B113" s="20" t="s">
        <v>504</v>
      </c>
      <c r="C113" s="20" t="s">
        <v>625</v>
      </c>
      <c r="D113" s="150">
        <v>1300000</v>
      </c>
      <c r="E113" s="20" t="s">
        <v>610</v>
      </c>
      <c r="F113" s="20" t="s">
        <v>611</v>
      </c>
      <c r="G113" s="8" t="str">
        <f t="shared" si="1"/>
        <v>LEVIN SCOTT</v>
      </c>
    </row>
    <row r="114" spans="1:7" x14ac:dyDescent="0.25">
      <c r="A114" s="8">
        <v>42766.611087962963</v>
      </c>
      <c r="B114" s="20" t="s">
        <v>196</v>
      </c>
      <c r="C114" s="20" t="s">
        <v>501</v>
      </c>
      <c r="D114" s="150">
        <v>2470000</v>
      </c>
      <c r="E114" s="20" t="s">
        <v>335</v>
      </c>
      <c r="F114" s="20" t="s">
        <v>336</v>
      </c>
      <c r="G114" s="8" t="str">
        <f t="shared" si="1"/>
        <v>ROMERO CHAD</v>
      </c>
    </row>
    <row r="115" spans="1:7" x14ac:dyDescent="0.25">
      <c r="A115" s="8">
        <v>42766.611319444448</v>
      </c>
      <c r="B115" s="20" t="s">
        <v>194</v>
      </c>
      <c r="C115" s="20" t="s">
        <v>626</v>
      </c>
      <c r="D115" s="150">
        <v>880000</v>
      </c>
      <c r="E115" s="20" t="s">
        <v>589</v>
      </c>
      <c r="F115" s="20" t="s">
        <v>209</v>
      </c>
      <c r="G115" s="8" t="str">
        <f t="shared" si="1"/>
        <v>STEWART MICHAEL</v>
      </c>
    </row>
    <row r="116" spans="1:7" x14ac:dyDescent="0.25">
      <c r="A116" s="8">
        <v>42766.62059027778</v>
      </c>
      <c r="B116" s="20" t="s">
        <v>238</v>
      </c>
      <c r="C116" s="20" t="s">
        <v>627</v>
      </c>
      <c r="D116" s="150">
        <v>1180000</v>
      </c>
      <c r="E116" s="20" t="s">
        <v>430</v>
      </c>
      <c r="F116" s="20" t="s">
        <v>431</v>
      </c>
      <c r="G116" s="8" t="str">
        <f t="shared" si="1"/>
        <v>LEVERE CRAIG</v>
      </c>
    </row>
    <row r="117" spans="1:7" x14ac:dyDescent="0.25">
      <c r="A117" s="8">
        <v>42766.629872685182</v>
      </c>
      <c r="B117" s="20" t="s">
        <v>200</v>
      </c>
      <c r="C117" s="20" t="s">
        <v>628</v>
      </c>
      <c r="D117" s="150">
        <v>1190000</v>
      </c>
      <c r="E117" s="20" t="s">
        <v>601</v>
      </c>
      <c r="F117" s="20" t="s">
        <v>602</v>
      </c>
      <c r="G117" s="8" t="str">
        <f t="shared" si="1"/>
        <v>BRANNON JEFFREY</v>
      </c>
    </row>
    <row r="118" spans="1:7" x14ac:dyDescent="0.25">
      <c r="A118" s="8">
        <v>42766.63140046296</v>
      </c>
      <c r="B118" s="20" t="s">
        <v>226</v>
      </c>
      <c r="C118" s="20" t="s">
        <v>629</v>
      </c>
      <c r="D118" s="150">
        <v>2150000</v>
      </c>
      <c r="E118" s="20" t="s">
        <v>585</v>
      </c>
      <c r="F118" s="20" t="s">
        <v>586</v>
      </c>
      <c r="G118" s="8" t="str">
        <f t="shared" si="1"/>
        <v>SWANSON BRYCE</v>
      </c>
    </row>
    <row r="119" spans="1:7" x14ac:dyDescent="0.25">
      <c r="A119" s="8">
        <v>42766.631655092591</v>
      </c>
      <c r="B119" s="20" t="s">
        <v>293</v>
      </c>
      <c r="C119" s="20" t="s">
        <v>630</v>
      </c>
      <c r="D119" s="150">
        <v>930000</v>
      </c>
      <c r="E119" s="20" t="s">
        <v>428</v>
      </c>
      <c r="F119" s="20" t="s">
        <v>429</v>
      </c>
      <c r="G119" s="8" t="str">
        <f t="shared" si="1"/>
        <v>CLARK KATHLEEN</v>
      </c>
    </row>
    <row r="120" spans="1:7" x14ac:dyDescent="0.25">
      <c r="A120" s="8">
        <v>42766.636608796296</v>
      </c>
      <c r="B120" s="20" t="s">
        <v>513</v>
      </c>
      <c r="C120" s="20" t="s">
        <v>631</v>
      </c>
      <c r="D120" s="150">
        <v>1300000</v>
      </c>
      <c r="E120" s="20" t="s">
        <v>610</v>
      </c>
      <c r="F120" s="20" t="s">
        <v>611</v>
      </c>
      <c r="G120" s="8" t="str">
        <f t="shared" si="1"/>
        <v>LEVIN SCOTT</v>
      </c>
    </row>
    <row r="121" spans="1:7" x14ac:dyDescent="0.25">
      <c r="A121" s="8">
        <v>42766.6408912037</v>
      </c>
      <c r="B121" s="20" t="s">
        <v>506</v>
      </c>
      <c r="C121" s="20" t="s">
        <v>632</v>
      </c>
      <c r="D121" s="150">
        <v>2220000</v>
      </c>
      <c r="E121" s="20" t="s">
        <v>231</v>
      </c>
      <c r="F121" s="20" t="s">
        <v>232</v>
      </c>
      <c r="G121" s="8" t="str">
        <f t="shared" si="1"/>
        <v>HILLS DUSTIN</v>
      </c>
    </row>
    <row r="122" spans="1:7" x14ac:dyDescent="0.25">
      <c r="A122" s="8">
        <v>42766.644270833334</v>
      </c>
      <c r="B122" s="25" t="s">
        <v>506</v>
      </c>
      <c r="C122" s="20" t="s">
        <v>632</v>
      </c>
      <c r="D122" s="150">
        <v>2220000</v>
      </c>
      <c r="E122" s="20" t="s">
        <v>231</v>
      </c>
      <c r="F122" s="20" t="s">
        <v>232</v>
      </c>
      <c r="G122" s="8" t="str">
        <f t="shared" si="1"/>
        <v>HILLS DUSTIN</v>
      </c>
    </row>
    <row r="123" spans="1:7" x14ac:dyDescent="0.25">
      <c r="A123" s="8">
        <v>42766.644594907404</v>
      </c>
      <c r="B123" s="20" t="s">
        <v>330</v>
      </c>
      <c r="C123" s="20" t="s">
        <v>633</v>
      </c>
      <c r="D123" s="150">
        <v>2250000</v>
      </c>
      <c r="E123" s="20" t="s">
        <v>346</v>
      </c>
      <c r="F123" s="20" t="s">
        <v>347</v>
      </c>
      <c r="G123" s="8" t="str">
        <f t="shared" si="1"/>
        <v>CRAYTON QUNTRELL</v>
      </c>
    </row>
    <row r="124" spans="1:7" x14ac:dyDescent="0.25">
      <c r="A124" s="8">
        <v>42766.651122685187</v>
      </c>
      <c r="B124" s="20" t="s">
        <v>504</v>
      </c>
      <c r="C124" s="20" t="s">
        <v>505</v>
      </c>
      <c r="D124" s="150">
        <v>1300000</v>
      </c>
      <c r="E124" s="20" t="s">
        <v>610</v>
      </c>
      <c r="F124" s="20" t="s">
        <v>611</v>
      </c>
      <c r="G124" s="8" t="str">
        <f t="shared" si="1"/>
        <v>LEVIN SCOTT</v>
      </c>
    </row>
    <row r="125" spans="1:7" x14ac:dyDescent="0.25">
      <c r="A125" s="8">
        <v>42766.651921296296</v>
      </c>
      <c r="B125" s="20" t="s">
        <v>192</v>
      </c>
      <c r="C125" s="20" t="s">
        <v>508</v>
      </c>
      <c r="D125" s="150">
        <v>2470000</v>
      </c>
      <c r="E125" s="20" t="s">
        <v>335</v>
      </c>
      <c r="F125" s="20" t="s">
        <v>336</v>
      </c>
      <c r="G125" s="8" t="str">
        <f t="shared" si="1"/>
        <v>ROMERO CHAD</v>
      </c>
    </row>
    <row r="126" spans="1:7" x14ac:dyDescent="0.25">
      <c r="A126" s="8">
        <v>42766.65247685185</v>
      </c>
      <c r="B126" s="20" t="s">
        <v>250</v>
      </c>
      <c r="C126" s="20" t="s">
        <v>634</v>
      </c>
      <c r="D126" s="150">
        <v>880000</v>
      </c>
      <c r="E126" s="20" t="s">
        <v>589</v>
      </c>
      <c r="F126" s="20" t="s">
        <v>209</v>
      </c>
      <c r="G126" s="8" t="str">
        <f t="shared" si="1"/>
        <v>STEWART MICHAEL</v>
      </c>
    </row>
    <row r="127" spans="1:7" x14ac:dyDescent="0.25">
      <c r="A127" s="8">
        <v>42766.65421296296</v>
      </c>
      <c r="B127" s="20" t="s">
        <v>251</v>
      </c>
      <c r="C127" s="20" t="s">
        <v>502</v>
      </c>
      <c r="D127" s="150">
        <v>2220000</v>
      </c>
      <c r="E127" s="20" t="s">
        <v>231</v>
      </c>
      <c r="F127" s="20" t="s">
        <v>232</v>
      </c>
      <c r="G127" s="8" t="str">
        <f t="shared" si="1"/>
        <v>HILLS DUSTIN</v>
      </c>
    </row>
    <row r="128" spans="1:7" x14ac:dyDescent="0.25">
      <c r="A128" s="8">
        <v>42766.657638888886</v>
      </c>
      <c r="B128" s="20" t="s">
        <v>237</v>
      </c>
      <c r="C128" s="20" t="s">
        <v>635</v>
      </c>
      <c r="D128" s="150">
        <v>1180000</v>
      </c>
      <c r="E128" s="20" t="s">
        <v>430</v>
      </c>
      <c r="F128" s="20" t="s">
        <v>431</v>
      </c>
      <c r="G128" s="8" t="str">
        <f t="shared" si="1"/>
        <v>LEVERE CRAIG</v>
      </c>
    </row>
    <row r="129" spans="1:7" x14ac:dyDescent="0.25">
      <c r="A129" s="8">
        <v>42766.662939814814</v>
      </c>
      <c r="B129" s="20" t="s">
        <v>199</v>
      </c>
      <c r="C129" s="20" t="s">
        <v>636</v>
      </c>
      <c r="D129" s="150">
        <v>2040000</v>
      </c>
      <c r="E129" s="20" t="s">
        <v>637</v>
      </c>
      <c r="F129" s="20" t="s">
        <v>638</v>
      </c>
      <c r="G129" s="8" t="str">
        <f t="shared" si="1"/>
        <v>MOSES BRADLEY</v>
      </c>
    </row>
    <row r="130" spans="1:7" x14ac:dyDescent="0.25">
      <c r="A130" s="8">
        <v>42766.669270833336</v>
      </c>
      <c r="B130" s="20" t="s">
        <v>292</v>
      </c>
      <c r="C130" s="20" t="s">
        <v>639</v>
      </c>
      <c r="D130" s="150">
        <v>930000</v>
      </c>
      <c r="E130" s="20" t="s">
        <v>428</v>
      </c>
      <c r="F130" s="20" t="s">
        <v>429</v>
      </c>
      <c r="G130" s="8" t="str">
        <f t="shared" si="1"/>
        <v>CLARK KATHLEEN</v>
      </c>
    </row>
    <row r="131" spans="1:7" x14ac:dyDescent="0.25">
      <c r="A131" s="8">
        <v>42766.67292824074</v>
      </c>
      <c r="B131" s="20" t="s">
        <v>254</v>
      </c>
      <c r="C131" s="20" t="s">
        <v>640</v>
      </c>
      <c r="D131" s="150">
        <v>2150000</v>
      </c>
      <c r="E131" s="20" t="s">
        <v>585</v>
      </c>
      <c r="F131" s="20" t="s">
        <v>586</v>
      </c>
      <c r="G131" s="8" t="str">
        <f t="shared" ref="G131:G194" si="2">E131&amp;" "&amp;F131</f>
        <v>SWANSON BRYCE</v>
      </c>
    </row>
    <row r="132" spans="1:7" x14ac:dyDescent="0.25">
      <c r="A132" s="8">
        <v>42766.673761574071</v>
      </c>
      <c r="B132" s="20" t="s">
        <v>506</v>
      </c>
      <c r="C132" s="20" t="s">
        <v>507</v>
      </c>
      <c r="D132" s="150">
        <v>2220000</v>
      </c>
      <c r="E132" s="20" t="s">
        <v>231</v>
      </c>
      <c r="F132" s="20" t="s">
        <v>232</v>
      </c>
      <c r="G132" s="8" t="str">
        <f t="shared" si="2"/>
        <v>HILLS DUSTIN</v>
      </c>
    </row>
    <row r="133" spans="1:7" x14ac:dyDescent="0.25">
      <c r="A133" s="8">
        <v>42766.676921296297</v>
      </c>
      <c r="B133" s="20" t="s">
        <v>344</v>
      </c>
      <c r="C133" s="20" t="s">
        <v>641</v>
      </c>
      <c r="D133" s="150">
        <v>2250000</v>
      </c>
      <c r="E133" s="20" t="s">
        <v>346</v>
      </c>
      <c r="F133" s="20" t="s">
        <v>347</v>
      </c>
      <c r="G133" s="8" t="str">
        <f t="shared" si="2"/>
        <v>CRAYTON QUNTRELL</v>
      </c>
    </row>
    <row r="134" spans="1:7" x14ac:dyDescent="0.25">
      <c r="A134" s="8">
        <v>42766.677187499998</v>
      </c>
      <c r="B134" s="20" t="s">
        <v>513</v>
      </c>
      <c r="C134" s="20" t="s">
        <v>642</v>
      </c>
      <c r="D134" s="150">
        <v>1300000</v>
      </c>
      <c r="E134" s="20" t="s">
        <v>610</v>
      </c>
      <c r="F134" s="20" t="s">
        <v>611</v>
      </c>
      <c r="G134" s="8" t="str">
        <f t="shared" si="2"/>
        <v>LEVIN SCOTT</v>
      </c>
    </row>
    <row r="135" spans="1:7" x14ac:dyDescent="0.25">
      <c r="A135" s="8">
        <v>42766.684212962966</v>
      </c>
      <c r="B135" s="20" t="s">
        <v>194</v>
      </c>
      <c r="C135" s="20" t="s">
        <v>643</v>
      </c>
      <c r="D135" s="150">
        <v>880000</v>
      </c>
      <c r="E135" s="20" t="s">
        <v>589</v>
      </c>
      <c r="F135" s="20" t="s">
        <v>209</v>
      </c>
      <c r="G135" s="8" t="str">
        <f t="shared" si="2"/>
        <v>STEWART MICHAEL</v>
      </c>
    </row>
    <row r="136" spans="1:7" x14ac:dyDescent="0.25">
      <c r="A136" s="8">
        <v>42766.68577546296</v>
      </c>
      <c r="B136" s="20" t="s">
        <v>196</v>
      </c>
      <c r="C136" s="20" t="s">
        <v>511</v>
      </c>
      <c r="D136" s="150">
        <v>2470000</v>
      </c>
      <c r="E136" s="20" t="s">
        <v>335</v>
      </c>
      <c r="F136" s="20" t="s">
        <v>336</v>
      </c>
      <c r="G136" s="8" t="str">
        <f t="shared" si="2"/>
        <v>ROMERO CHAD</v>
      </c>
    </row>
    <row r="137" spans="1:7" x14ac:dyDescent="0.25">
      <c r="A137" s="8">
        <v>42766.686782407407</v>
      </c>
      <c r="B137" s="20" t="s">
        <v>251</v>
      </c>
      <c r="C137" s="20" t="s">
        <v>509</v>
      </c>
      <c r="D137" s="150">
        <v>2220000</v>
      </c>
      <c r="E137" s="20" t="s">
        <v>231</v>
      </c>
      <c r="F137" s="20" t="s">
        <v>232</v>
      </c>
      <c r="G137" s="8" t="str">
        <f t="shared" si="2"/>
        <v>HILLS DUSTIN</v>
      </c>
    </row>
    <row r="138" spans="1:7" x14ac:dyDescent="0.25">
      <c r="A138" s="8">
        <v>42766.69263888889</v>
      </c>
      <c r="B138" s="20" t="s">
        <v>504</v>
      </c>
      <c r="C138" s="20" t="s">
        <v>644</v>
      </c>
      <c r="D138" s="150">
        <v>1300000</v>
      </c>
      <c r="E138" s="20" t="s">
        <v>610</v>
      </c>
      <c r="F138" s="20" t="s">
        <v>611</v>
      </c>
      <c r="G138" s="8" t="str">
        <f t="shared" si="2"/>
        <v>LEVIN SCOTT</v>
      </c>
    </row>
    <row r="139" spans="1:7" x14ac:dyDescent="0.25">
      <c r="A139" s="8">
        <v>42766.695011574076</v>
      </c>
      <c r="B139" s="20" t="s">
        <v>238</v>
      </c>
      <c r="C139" s="20" t="s">
        <v>510</v>
      </c>
      <c r="D139" s="150">
        <v>1180000</v>
      </c>
      <c r="E139" s="20" t="s">
        <v>430</v>
      </c>
      <c r="F139" s="20" t="s">
        <v>431</v>
      </c>
      <c r="G139" s="8" t="str">
        <f t="shared" si="2"/>
        <v>LEVERE CRAIG</v>
      </c>
    </row>
    <row r="140" spans="1:7" x14ac:dyDescent="0.25">
      <c r="A140" s="8">
        <v>42766.701273148145</v>
      </c>
      <c r="B140" s="20" t="s">
        <v>200</v>
      </c>
      <c r="C140" s="20" t="s">
        <v>645</v>
      </c>
      <c r="D140" s="150">
        <v>2040000</v>
      </c>
      <c r="E140" s="20" t="s">
        <v>637</v>
      </c>
      <c r="F140" s="20" t="s">
        <v>638</v>
      </c>
      <c r="G140" s="8" t="str">
        <f t="shared" si="2"/>
        <v>MOSES BRADLEY</v>
      </c>
    </row>
    <row r="141" spans="1:7" x14ac:dyDescent="0.25">
      <c r="A141" s="8">
        <v>42766.704837962963</v>
      </c>
      <c r="B141" s="20" t="s">
        <v>226</v>
      </c>
      <c r="C141" s="20" t="s">
        <v>646</v>
      </c>
      <c r="D141" s="150">
        <v>2150000</v>
      </c>
      <c r="E141" s="20" t="s">
        <v>585</v>
      </c>
      <c r="F141" s="20" t="s">
        <v>586</v>
      </c>
      <c r="G141" s="8" t="str">
        <f t="shared" si="2"/>
        <v>SWANSON BRYCE</v>
      </c>
    </row>
    <row r="142" spans="1:7" x14ac:dyDescent="0.25">
      <c r="A142" s="8">
        <v>42766.705648148149</v>
      </c>
      <c r="B142" s="20" t="s">
        <v>293</v>
      </c>
      <c r="C142" s="20" t="s">
        <v>647</v>
      </c>
      <c r="D142" s="150">
        <v>930000</v>
      </c>
      <c r="E142" s="20" t="s">
        <v>428</v>
      </c>
      <c r="F142" s="20" t="s">
        <v>429</v>
      </c>
      <c r="G142" s="8" t="str">
        <f t="shared" si="2"/>
        <v>CLARK KATHLEEN</v>
      </c>
    </row>
    <row r="143" spans="1:7" x14ac:dyDescent="0.25">
      <c r="A143" s="8">
        <v>42766.713460648149</v>
      </c>
      <c r="B143" s="20" t="s">
        <v>235</v>
      </c>
      <c r="C143" s="20" t="s">
        <v>648</v>
      </c>
      <c r="D143" s="150">
        <v>1810000</v>
      </c>
      <c r="E143" s="20" t="s">
        <v>212</v>
      </c>
      <c r="F143" s="20" t="s">
        <v>205</v>
      </c>
      <c r="G143" s="8" t="str">
        <f t="shared" si="2"/>
        <v>NEWELL JAMES</v>
      </c>
    </row>
    <row r="144" spans="1:7" x14ac:dyDescent="0.25">
      <c r="A144" s="8">
        <v>42766.714305555557</v>
      </c>
      <c r="B144" s="20" t="s">
        <v>506</v>
      </c>
      <c r="C144" s="20" t="s">
        <v>649</v>
      </c>
      <c r="D144" s="150">
        <v>2220000</v>
      </c>
      <c r="E144" s="20" t="s">
        <v>231</v>
      </c>
      <c r="F144" s="20" t="s">
        <v>232</v>
      </c>
      <c r="G144" s="8" t="str">
        <f t="shared" si="2"/>
        <v>HILLS DUSTIN</v>
      </c>
    </row>
    <row r="145" spans="1:7" x14ac:dyDescent="0.25">
      <c r="A145" s="8">
        <v>42766.71738425926</v>
      </c>
      <c r="B145" s="20" t="s">
        <v>330</v>
      </c>
      <c r="C145" s="20" t="s">
        <v>650</v>
      </c>
      <c r="D145" s="150">
        <v>1800000</v>
      </c>
      <c r="E145" s="20" t="s">
        <v>289</v>
      </c>
      <c r="F145" s="20" t="s">
        <v>290</v>
      </c>
      <c r="G145" s="8" t="str">
        <f t="shared" si="2"/>
        <v>CHANDLER KELVIN</v>
      </c>
    </row>
    <row r="146" spans="1:7" x14ac:dyDescent="0.25">
      <c r="A146" s="8">
        <v>42766.719756944447</v>
      </c>
      <c r="B146" s="20" t="s">
        <v>513</v>
      </c>
      <c r="C146" s="20" t="s">
        <v>651</v>
      </c>
      <c r="D146" s="150">
        <v>1300000</v>
      </c>
      <c r="E146" s="20" t="s">
        <v>610</v>
      </c>
      <c r="F146" s="20" t="s">
        <v>611</v>
      </c>
      <c r="G146" s="8" t="str">
        <f t="shared" si="2"/>
        <v>LEVIN SCOTT</v>
      </c>
    </row>
    <row r="147" spans="1:7" x14ac:dyDescent="0.25">
      <c r="A147" s="8">
        <v>42766.724247685182</v>
      </c>
      <c r="B147" s="20" t="s">
        <v>250</v>
      </c>
      <c r="C147" s="20" t="s">
        <v>652</v>
      </c>
      <c r="D147" s="150">
        <v>880000</v>
      </c>
      <c r="E147" s="20" t="s">
        <v>589</v>
      </c>
      <c r="F147" s="20" t="s">
        <v>209</v>
      </c>
      <c r="G147" s="8" t="str">
        <f t="shared" si="2"/>
        <v>STEWART MICHAEL</v>
      </c>
    </row>
    <row r="148" spans="1:7" x14ac:dyDescent="0.25">
      <c r="A148" s="8">
        <v>42766.727523148147</v>
      </c>
      <c r="B148" s="20" t="s">
        <v>251</v>
      </c>
      <c r="C148" s="20" t="s">
        <v>512</v>
      </c>
      <c r="D148" s="150">
        <v>2220000</v>
      </c>
      <c r="E148" s="20" t="s">
        <v>231</v>
      </c>
      <c r="F148" s="20" t="s">
        <v>232</v>
      </c>
      <c r="G148" s="8" t="str">
        <f t="shared" si="2"/>
        <v>HILLS DUSTIN</v>
      </c>
    </row>
    <row r="149" spans="1:7" x14ac:dyDescent="0.25">
      <c r="A149" s="8">
        <v>42766.727673611109</v>
      </c>
      <c r="B149" s="20" t="s">
        <v>302</v>
      </c>
      <c r="C149" s="20" t="s">
        <v>653</v>
      </c>
      <c r="D149" s="150">
        <v>2250000</v>
      </c>
      <c r="E149" s="20" t="s">
        <v>346</v>
      </c>
      <c r="F149" s="20" t="s">
        <v>347</v>
      </c>
      <c r="G149" s="8" t="str">
        <f t="shared" si="2"/>
        <v>CRAYTON QUNTRELL</v>
      </c>
    </row>
    <row r="150" spans="1:7" x14ac:dyDescent="0.25">
      <c r="A150" s="8">
        <v>42766.730370370373</v>
      </c>
      <c r="B150" s="20" t="s">
        <v>237</v>
      </c>
      <c r="C150" s="20" t="s">
        <v>654</v>
      </c>
      <c r="D150" s="150">
        <v>1180000</v>
      </c>
      <c r="E150" s="20" t="s">
        <v>430</v>
      </c>
      <c r="F150" s="20" t="s">
        <v>431</v>
      </c>
      <c r="G150" s="8" t="str">
        <f t="shared" si="2"/>
        <v>LEVERE CRAIG</v>
      </c>
    </row>
    <row r="151" spans="1:7" x14ac:dyDescent="0.25">
      <c r="A151" s="8">
        <v>42766.734351851854</v>
      </c>
      <c r="B151" s="20" t="s">
        <v>504</v>
      </c>
      <c r="C151" s="20" t="s">
        <v>655</v>
      </c>
      <c r="D151" s="150">
        <v>1300000</v>
      </c>
      <c r="E151" s="20" t="s">
        <v>610</v>
      </c>
      <c r="F151" s="20" t="s">
        <v>611</v>
      </c>
      <c r="G151" s="8" t="str">
        <f t="shared" si="2"/>
        <v>LEVIN SCOTT</v>
      </c>
    </row>
    <row r="152" spans="1:7" x14ac:dyDescent="0.25">
      <c r="A152" s="8">
        <v>42766.736342592594</v>
      </c>
      <c r="B152" s="20" t="s">
        <v>199</v>
      </c>
      <c r="C152" s="20" t="s">
        <v>656</v>
      </c>
      <c r="D152" s="150">
        <v>1810000</v>
      </c>
      <c r="E152" s="20" t="s">
        <v>212</v>
      </c>
      <c r="F152" s="20" t="s">
        <v>205</v>
      </c>
      <c r="G152" s="8" t="str">
        <f t="shared" si="2"/>
        <v>NEWELL JAMES</v>
      </c>
    </row>
    <row r="153" spans="1:7" x14ac:dyDescent="0.25">
      <c r="A153" s="8">
        <v>42766.743622685186</v>
      </c>
      <c r="B153" s="20" t="s">
        <v>292</v>
      </c>
      <c r="C153" s="20" t="s">
        <v>657</v>
      </c>
      <c r="D153" s="150">
        <v>930000</v>
      </c>
      <c r="E153" s="20" t="s">
        <v>428</v>
      </c>
      <c r="F153" s="20" t="s">
        <v>429</v>
      </c>
      <c r="G153" s="8" t="str">
        <f t="shared" si="2"/>
        <v>CLARK KATHLEEN</v>
      </c>
    </row>
    <row r="154" spans="1:7" x14ac:dyDescent="0.25">
      <c r="A154" s="8">
        <v>42766.74894675926</v>
      </c>
      <c r="B154" s="20" t="s">
        <v>254</v>
      </c>
      <c r="C154" s="20" t="s">
        <v>658</v>
      </c>
      <c r="D154" s="150">
        <v>2530000</v>
      </c>
      <c r="E154" s="20" t="s">
        <v>434</v>
      </c>
      <c r="F154" s="20" t="s">
        <v>435</v>
      </c>
      <c r="G154" s="8" t="str">
        <f t="shared" si="2"/>
        <v>LALONDE GREGORY</v>
      </c>
    </row>
    <row r="155" spans="1:7" x14ac:dyDescent="0.25">
      <c r="A155" s="8">
        <v>42766.754374999997</v>
      </c>
      <c r="B155" s="20" t="s">
        <v>344</v>
      </c>
      <c r="C155" s="20" t="s">
        <v>659</v>
      </c>
      <c r="D155" s="150">
        <v>1800000</v>
      </c>
      <c r="E155" s="20" t="s">
        <v>289</v>
      </c>
      <c r="F155" s="20" t="s">
        <v>290</v>
      </c>
      <c r="G155" s="8" t="str">
        <f t="shared" si="2"/>
        <v>CHANDLER KELVIN</v>
      </c>
    </row>
    <row r="156" spans="1:7" x14ac:dyDescent="0.25">
      <c r="A156" s="8">
        <v>42766.755925925929</v>
      </c>
      <c r="B156" s="20" t="s">
        <v>506</v>
      </c>
      <c r="C156" s="20" t="s">
        <v>660</v>
      </c>
      <c r="D156" s="150">
        <v>2220000</v>
      </c>
      <c r="E156" s="20" t="s">
        <v>231</v>
      </c>
      <c r="F156" s="20" t="s">
        <v>232</v>
      </c>
      <c r="G156" s="8" t="str">
        <f t="shared" si="2"/>
        <v>HILLS DUSTIN</v>
      </c>
    </row>
    <row r="157" spans="1:7" x14ac:dyDescent="0.25">
      <c r="A157" s="8">
        <v>42766.757627314815</v>
      </c>
      <c r="B157" s="20" t="s">
        <v>513</v>
      </c>
      <c r="C157" s="20" t="s">
        <v>514</v>
      </c>
      <c r="D157" s="150">
        <v>1300000</v>
      </c>
      <c r="E157" s="20" t="s">
        <v>610</v>
      </c>
      <c r="F157" s="20" t="s">
        <v>611</v>
      </c>
      <c r="G157" s="8" t="str">
        <f t="shared" si="2"/>
        <v>LEVIN SCOTT</v>
      </c>
    </row>
    <row r="158" spans="1:7" x14ac:dyDescent="0.25">
      <c r="A158" s="8">
        <v>42766.757824074077</v>
      </c>
      <c r="B158" s="20" t="s">
        <v>194</v>
      </c>
      <c r="C158" s="20" t="s">
        <v>661</v>
      </c>
      <c r="D158" s="150">
        <v>2600000</v>
      </c>
      <c r="E158" s="20" t="s">
        <v>662</v>
      </c>
      <c r="F158" s="20" t="s">
        <v>315</v>
      </c>
      <c r="G158" s="8" t="str">
        <f t="shared" si="2"/>
        <v>DAVIDSON DAVID</v>
      </c>
    </row>
    <row r="159" spans="1:7" x14ac:dyDescent="0.25">
      <c r="A159" s="8">
        <v>42766.764247685183</v>
      </c>
      <c r="B159" s="20" t="s">
        <v>301</v>
      </c>
      <c r="C159" s="20" t="s">
        <v>663</v>
      </c>
      <c r="D159" s="150">
        <v>2250000</v>
      </c>
      <c r="E159" s="20" t="s">
        <v>346</v>
      </c>
      <c r="F159" s="20" t="s">
        <v>347</v>
      </c>
      <c r="G159" s="8" t="str">
        <f t="shared" si="2"/>
        <v>CRAYTON QUNTRELL</v>
      </c>
    </row>
    <row r="160" spans="1:7" x14ac:dyDescent="0.25">
      <c r="A160" s="8">
        <v>42766.769629629627</v>
      </c>
      <c r="B160" s="20" t="s">
        <v>251</v>
      </c>
      <c r="C160" s="20" t="s">
        <v>515</v>
      </c>
      <c r="D160" s="150">
        <v>2220000</v>
      </c>
      <c r="E160" s="20" t="s">
        <v>231</v>
      </c>
      <c r="F160" s="20" t="s">
        <v>232</v>
      </c>
      <c r="G160" s="8" t="str">
        <f t="shared" si="2"/>
        <v>HILLS DUSTIN</v>
      </c>
    </row>
    <row r="161" spans="1:7" x14ac:dyDescent="0.25">
      <c r="A161" s="8">
        <v>42766.769675925927</v>
      </c>
      <c r="B161" s="20" t="s">
        <v>238</v>
      </c>
      <c r="C161" s="20" t="s">
        <v>664</v>
      </c>
      <c r="D161" s="150">
        <v>2000000</v>
      </c>
      <c r="E161" s="20" t="s">
        <v>275</v>
      </c>
      <c r="F161" s="20" t="s">
        <v>205</v>
      </c>
      <c r="G161" s="8" t="str">
        <f t="shared" si="2"/>
        <v>STAMBAUGH JAMES</v>
      </c>
    </row>
    <row r="162" spans="1:7" x14ac:dyDescent="0.25">
      <c r="A162" s="8">
        <v>42766.770914351851</v>
      </c>
      <c r="B162" s="20" t="s">
        <v>200</v>
      </c>
      <c r="C162" s="20" t="s">
        <v>665</v>
      </c>
      <c r="D162" s="150">
        <v>1810000</v>
      </c>
      <c r="E162" s="20" t="s">
        <v>212</v>
      </c>
      <c r="F162" s="20" t="s">
        <v>205</v>
      </c>
      <c r="G162" s="8" t="str">
        <f t="shared" si="2"/>
        <v>NEWELL JAMES</v>
      </c>
    </row>
    <row r="163" spans="1:7" x14ac:dyDescent="0.25">
      <c r="A163" s="8">
        <v>42766.775879629633</v>
      </c>
      <c r="B163" s="20" t="s">
        <v>504</v>
      </c>
      <c r="C163" s="20" t="s">
        <v>666</v>
      </c>
      <c r="D163" s="150">
        <v>1300000</v>
      </c>
      <c r="E163" s="20" t="s">
        <v>610</v>
      </c>
      <c r="F163" s="20" t="s">
        <v>611</v>
      </c>
      <c r="G163" s="8" t="str">
        <f t="shared" si="2"/>
        <v>LEVIN SCOTT</v>
      </c>
    </row>
    <row r="164" spans="1:7" x14ac:dyDescent="0.25">
      <c r="A164" s="8">
        <v>42766.780740740738</v>
      </c>
      <c r="B164" s="20" t="s">
        <v>293</v>
      </c>
      <c r="C164" s="20" t="s">
        <v>667</v>
      </c>
      <c r="D164" s="150">
        <v>930000</v>
      </c>
      <c r="E164" s="20" t="s">
        <v>428</v>
      </c>
      <c r="F164" s="20" t="s">
        <v>429</v>
      </c>
      <c r="G164" s="8" t="str">
        <f t="shared" si="2"/>
        <v>CLARK KATHLEEN</v>
      </c>
    </row>
    <row r="165" spans="1:7" x14ac:dyDescent="0.25">
      <c r="A165" s="8">
        <v>42766.78087962963</v>
      </c>
      <c r="B165" s="20" t="s">
        <v>226</v>
      </c>
      <c r="C165" s="20" t="s">
        <v>668</v>
      </c>
      <c r="D165" s="150">
        <v>2530000</v>
      </c>
      <c r="E165" s="20" t="s">
        <v>434</v>
      </c>
      <c r="F165" s="20" t="s">
        <v>435</v>
      </c>
      <c r="G165" s="8" t="str">
        <f t="shared" si="2"/>
        <v>LALONDE GREGORY</v>
      </c>
    </row>
    <row r="166" spans="1:7" x14ac:dyDescent="0.25">
      <c r="A166" s="8">
        <v>42766.785462962966</v>
      </c>
      <c r="B166" s="20" t="s">
        <v>299</v>
      </c>
      <c r="C166" s="20" t="s">
        <v>669</v>
      </c>
      <c r="D166" s="150">
        <v>2630000</v>
      </c>
      <c r="E166" s="20" t="s">
        <v>670</v>
      </c>
      <c r="F166" s="20" t="s">
        <v>671</v>
      </c>
      <c r="G166" s="8" t="str">
        <f t="shared" si="2"/>
        <v>SAFIEF AEIMEN</v>
      </c>
    </row>
    <row r="167" spans="1:7" x14ac:dyDescent="0.25">
      <c r="A167" s="8">
        <v>42766.791006944448</v>
      </c>
      <c r="B167" s="20" t="s">
        <v>330</v>
      </c>
      <c r="C167" s="20" t="s">
        <v>672</v>
      </c>
      <c r="D167" s="150">
        <v>1800000</v>
      </c>
      <c r="E167" s="20" t="s">
        <v>289</v>
      </c>
      <c r="F167" s="20" t="s">
        <v>290</v>
      </c>
      <c r="G167" s="8" t="str">
        <f t="shared" si="2"/>
        <v>CHANDLER KELVIN</v>
      </c>
    </row>
    <row r="168" spans="1:7" x14ac:dyDescent="0.25">
      <c r="A168" s="8">
        <v>42766.79142361111</v>
      </c>
      <c r="B168" s="20" t="s">
        <v>250</v>
      </c>
      <c r="C168" s="20" t="s">
        <v>673</v>
      </c>
      <c r="D168" s="150">
        <v>2600000</v>
      </c>
      <c r="E168" s="20" t="s">
        <v>662</v>
      </c>
      <c r="F168" s="20" t="s">
        <v>315</v>
      </c>
      <c r="G168" s="8" t="str">
        <f t="shared" si="2"/>
        <v>DAVIDSON DAVID</v>
      </c>
    </row>
    <row r="169" spans="1:7" x14ac:dyDescent="0.25">
      <c r="A169" s="8">
        <v>42766.798101851855</v>
      </c>
      <c r="B169" s="20" t="s">
        <v>506</v>
      </c>
      <c r="C169" s="20" t="s">
        <v>674</v>
      </c>
      <c r="D169" s="150">
        <v>2220000</v>
      </c>
      <c r="E169" s="20" t="s">
        <v>231</v>
      </c>
      <c r="F169" s="20" t="s">
        <v>232</v>
      </c>
      <c r="G169" s="8" t="str">
        <f t="shared" si="2"/>
        <v>HILLS DUSTIN</v>
      </c>
    </row>
    <row r="170" spans="1:7" x14ac:dyDescent="0.25">
      <c r="A170" s="8">
        <v>42766.799733796295</v>
      </c>
      <c r="B170" s="20" t="s">
        <v>237</v>
      </c>
      <c r="C170" s="20" t="s">
        <v>675</v>
      </c>
      <c r="D170" s="150">
        <v>2000000</v>
      </c>
      <c r="E170" s="20" t="s">
        <v>275</v>
      </c>
      <c r="F170" s="20" t="s">
        <v>205</v>
      </c>
      <c r="G170" s="8" t="str">
        <f t="shared" si="2"/>
        <v>STAMBAUGH JAMES</v>
      </c>
    </row>
    <row r="171" spans="1:7" x14ac:dyDescent="0.25">
      <c r="A171" s="8">
        <v>42766.80232638889</v>
      </c>
      <c r="B171" s="20" t="s">
        <v>513</v>
      </c>
      <c r="C171" s="20" t="s">
        <v>676</v>
      </c>
      <c r="D171" s="150">
        <v>1300000</v>
      </c>
      <c r="E171" s="20" t="s">
        <v>610</v>
      </c>
      <c r="F171" s="20" t="s">
        <v>611</v>
      </c>
      <c r="G171" s="8" t="str">
        <f t="shared" si="2"/>
        <v>LEVIN SCOTT</v>
      </c>
    </row>
    <row r="172" spans="1:7" x14ac:dyDescent="0.25">
      <c r="A172" s="8">
        <v>42766.812303240738</v>
      </c>
      <c r="B172" s="20" t="s">
        <v>199</v>
      </c>
      <c r="C172" s="20" t="s">
        <v>516</v>
      </c>
      <c r="D172" s="150">
        <v>2250000</v>
      </c>
      <c r="E172" s="20" t="s">
        <v>346</v>
      </c>
      <c r="F172" s="20" t="s">
        <v>347</v>
      </c>
      <c r="G172" s="8" t="str">
        <f t="shared" si="2"/>
        <v>CRAYTON QUNTRELL</v>
      </c>
    </row>
    <row r="173" spans="1:7" x14ac:dyDescent="0.25">
      <c r="A173" s="8">
        <v>42766.813159722224</v>
      </c>
      <c r="B173" s="20" t="s">
        <v>302</v>
      </c>
      <c r="C173" s="20" t="s">
        <v>677</v>
      </c>
      <c r="D173" s="150">
        <v>1810000</v>
      </c>
      <c r="E173" s="20" t="s">
        <v>212</v>
      </c>
      <c r="F173" s="20" t="s">
        <v>205</v>
      </c>
      <c r="G173" s="8" t="str">
        <f t="shared" si="2"/>
        <v>NEWELL JAMES</v>
      </c>
    </row>
    <row r="174" spans="1:7" x14ac:dyDescent="0.25">
      <c r="A174" s="8">
        <v>42766.817557870374</v>
      </c>
      <c r="B174" s="20" t="s">
        <v>504</v>
      </c>
      <c r="C174" s="20" t="s">
        <v>678</v>
      </c>
      <c r="D174" s="150">
        <v>1300000</v>
      </c>
      <c r="E174" s="20" t="s">
        <v>610</v>
      </c>
      <c r="F174" s="20" t="s">
        <v>611</v>
      </c>
      <c r="G174" s="8" t="str">
        <f t="shared" si="2"/>
        <v>LEVIN SCOTT</v>
      </c>
    </row>
    <row r="175" spans="1:7" x14ac:dyDescent="0.25">
      <c r="A175" s="8">
        <v>42766.817766203705</v>
      </c>
      <c r="B175" s="20" t="s">
        <v>199</v>
      </c>
      <c r="C175" s="20" t="s">
        <v>516</v>
      </c>
      <c r="D175" s="150">
        <v>2250000</v>
      </c>
      <c r="E175" s="20" t="s">
        <v>346</v>
      </c>
      <c r="F175" s="20" t="s">
        <v>347</v>
      </c>
      <c r="G175" s="8" t="str">
        <f t="shared" si="2"/>
        <v>CRAYTON QUNTRELL</v>
      </c>
    </row>
    <row r="176" spans="1:7" x14ac:dyDescent="0.25">
      <c r="A176" s="8">
        <v>42766.817835648151</v>
      </c>
      <c r="B176" s="20" t="s">
        <v>254</v>
      </c>
      <c r="C176" s="20" t="s">
        <v>679</v>
      </c>
      <c r="D176" s="150">
        <v>1190000</v>
      </c>
      <c r="E176" s="20" t="s">
        <v>601</v>
      </c>
      <c r="F176" s="20" t="s">
        <v>602</v>
      </c>
      <c r="G176" s="8" t="str">
        <f t="shared" si="2"/>
        <v>BRANNON JEFFREY</v>
      </c>
    </row>
    <row r="177" spans="1:7" x14ac:dyDescent="0.25">
      <c r="A177" s="8">
        <v>42766.829699074071</v>
      </c>
      <c r="B177" s="20" t="s">
        <v>344</v>
      </c>
      <c r="C177" s="20" t="s">
        <v>680</v>
      </c>
      <c r="D177" s="150">
        <v>1800000</v>
      </c>
      <c r="E177" s="20" t="s">
        <v>289</v>
      </c>
      <c r="F177" s="20" t="s">
        <v>290</v>
      </c>
      <c r="G177" s="8" t="str">
        <f t="shared" si="2"/>
        <v>CHANDLER KELVIN</v>
      </c>
    </row>
    <row r="178" spans="1:7" x14ac:dyDescent="0.25">
      <c r="A178" s="8">
        <v>42766.830613425926</v>
      </c>
      <c r="B178" s="20" t="s">
        <v>194</v>
      </c>
      <c r="C178" s="20" t="s">
        <v>681</v>
      </c>
      <c r="D178" s="150">
        <v>1740000</v>
      </c>
      <c r="E178" s="20" t="s">
        <v>247</v>
      </c>
      <c r="F178" s="20" t="s">
        <v>248</v>
      </c>
      <c r="G178" s="8" t="str">
        <f t="shared" si="2"/>
        <v>STORY SAMANTHA</v>
      </c>
    </row>
    <row r="179" spans="1:7" x14ac:dyDescent="0.25">
      <c r="A179" s="8">
        <v>42766.838819444441</v>
      </c>
      <c r="B179" s="20" t="s">
        <v>238</v>
      </c>
      <c r="C179" s="20" t="s">
        <v>682</v>
      </c>
      <c r="D179" s="150">
        <v>2000000</v>
      </c>
      <c r="E179" s="20" t="s">
        <v>275</v>
      </c>
      <c r="F179" s="20" t="s">
        <v>205</v>
      </c>
      <c r="G179" s="8" t="str">
        <f t="shared" si="2"/>
        <v>STAMBAUGH JAMES</v>
      </c>
    </row>
    <row r="180" spans="1:7" x14ac:dyDescent="0.25">
      <c r="A180" s="8">
        <v>42766.844780092593</v>
      </c>
      <c r="B180" s="20" t="s">
        <v>301</v>
      </c>
      <c r="C180" s="20" t="s">
        <v>683</v>
      </c>
      <c r="D180" s="150">
        <v>1810000</v>
      </c>
      <c r="E180" s="20" t="s">
        <v>212</v>
      </c>
      <c r="F180" s="20" t="s">
        <v>205</v>
      </c>
      <c r="G180" s="8" t="str">
        <f t="shared" si="2"/>
        <v>NEWELL JAMES</v>
      </c>
    </row>
    <row r="181" spans="1:7" x14ac:dyDescent="0.25">
      <c r="A181" s="8">
        <v>42766.845277777778</v>
      </c>
      <c r="B181" s="20" t="s">
        <v>513</v>
      </c>
      <c r="C181" s="20" t="s">
        <v>684</v>
      </c>
      <c r="D181" s="150">
        <v>1300000</v>
      </c>
      <c r="E181" s="20" t="s">
        <v>610</v>
      </c>
      <c r="F181" s="20" t="s">
        <v>611</v>
      </c>
      <c r="G181" s="8" t="str">
        <f t="shared" si="2"/>
        <v>LEVIN SCOTT</v>
      </c>
    </row>
    <row r="182" spans="1:7" x14ac:dyDescent="0.25">
      <c r="A182" s="8">
        <v>42766.859236111108</v>
      </c>
      <c r="B182" s="20" t="s">
        <v>504</v>
      </c>
      <c r="C182" s="20" t="s">
        <v>685</v>
      </c>
      <c r="D182" s="150">
        <v>1300000</v>
      </c>
      <c r="E182" s="20" t="s">
        <v>610</v>
      </c>
      <c r="F182" s="20" t="s">
        <v>611</v>
      </c>
      <c r="G182" s="8" t="str">
        <f t="shared" si="2"/>
        <v>LEVIN SCOTT</v>
      </c>
    </row>
    <row r="183" spans="1:7" x14ac:dyDescent="0.25">
      <c r="A183" s="8">
        <v>42766.863043981481</v>
      </c>
      <c r="B183" s="20" t="s">
        <v>250</v>
      </c>
      <c r="C183" s="20" t="s">
        <v>517</v>
      </c>
      <c r="D183" s="150">
        <v>1740000</v>
      </c>
      <c r="E183" s="20" t="s">
        <v>247</v>
      </c>
      <c r="F183" s="20" t="s">
        <v>248</v>
      </c>
      <c r="G183" s="8" t="str">
        <f t="shared" si="2"/>
        <v>STORY SAMANTHA</v>
      </c>
    </row>
    <row r="184" spans="1:7" x14ac:dyDescent="0.25">
      <c r="A184" s="8">
        <v>42766.873576388891</v>
      </c>
      <c r="B184" s="20" t="s">
        <v>330</v>
      </c>
      <c r="C184" s="20" t="s">
        <v>686</v>
      </c>
      <c r="D184" s="150">
        <v>1800000</v>
      </c>
      <c r="E184" s="20" t="s">
        <v>289</v>
      </c>
      <c r="F184" s="20" t="s">
        <v>290</v>
      </c>
      <c r="G184" s="8" t="str">
        <f t="shared" si="2"/>
        <v>CHANDLER KELVIN</v>
      </c>
    </row>
    <row r="185" spans="1:7" x14ac:dyDescent="0.25">
      <c r="A185" s="8">
        <v>42766.884583333333</v>
      </c>
      <c r="B185" s="20" t="s">
        <v>513</v>
      </c>
      <c r="C185" s="20" t="s">
        <v>518</v>
      </c>
      <c r="D185" s="150">
        <v>2220000</v>
      </c>
      <c r="E185" s="20" t="s">
        <v>231</v>
      </c>
      <c r="F185" s="20" t="s">
        <v>232</v>
      </c>
      <c r="G185" s="8" t="str">
        <f t="shared" si="2"/>
        <v>HILLS DUSTIN</v>
      </c>
    </row>
    <row r="186" spans="1:7" x14ac:dyDescent="0.25">
      <c r="A186" s="8">
        <v>42766.885787037034</v>
      </c>
      <c r="B186" s="20" t="s">
        <v>237</v>
      </c>
      <c r="C186" s="20" t="s">
        <v>687</v>
      </c>
      <c r="D186" s="150">
        <v>2000000</v>
      </c>
      <c r="E186" s="20" t="s">
        <v>275</v>
      </c>
      <c r="F186" s="20" t="s">
        <v>205</v>
      </c>
      <c r="G186" s="8" t="str">
        <f t="shared" si="2"/>
        <v>STAMBAUGH JAMES</v>
      </c>
    </row>
    <row r="187" spans="1:7" x14ac:dyDescent="0.25">
      <c r="A187" s="8">
        <v>42766.890775462962</v>
      </c>
      <c r="B187" s="20" t="s">
        <v>302</v>
      </c>
      <c r="C187" s="20" t="s">
        <v>688</v>
      </c>
      <c r="D187" s="150">
        <v>1810000</v>
      </c>
      <c r="E187" s="20" t="s">
        <v>212</v>
      </c>
      <c r="F187" s="20" t="s">
        <v>205</v>
      </c>
      <c r="G187" s="8" t="str">
        <f t="shared" si="2"/>
        <v>NEWELL JAMES</v>
      </c>
    </row>
    <row r="188" spans="1:7" x14ac:dyDescent="0.25">
      <c r="A188" s="8">
        <v>42766.902395833335</v>
      </c>
      <c r="B188" s="20" t="s">
        <v>504</v>
      </c>
      <c r="C188" s="20" t="s">
        <v>519</v>
      </c>
      <c r="D188" s="150">
        <v>2220000</v>
      </c>
      <c r="E188" s="20" t="s">
        <v>231</v>
      </c>
      <c r="F188" s="20" t="s">
        <v>232</v>
      </c>
      <c r="G188" s="8" t="str">
        <f t="shared" si="2"/>
        <v>HILLS DUSTIN</v>
      </c>
    </row>
    <row r="189" spans="1:7" x14ac:dyDescent="0.25">
      <c r="A189" s="8">
        <v>42766.904039351852</v>
      </c>
      <c r="B189" s="20" t="s">
        <v>504</v>
      </c>
      <c r="C189" s="20" t="s">
        <v>519</v>
      </c>
      <c r="D189" s="150">
        <v>2220000</v>
      </c>
      <c r="E189" s="20" t="s">
        <v>231</v>
      </c>
      <c r="F189" s="20" t="s">
        <v>232</v>
      </c>
      <c r="G189" s="8" t="str">
        <f t="shared" si="2"/>
        <v>HILLS DUSTIN</v>
      </c>
    </row>
    <row r="190" spans="1:7" x14ac:dyDescent="0.25">
      <c r="A190" s="8">
        <v>42766.905266203707</v>
      </c>
      <c r="B190" s="20" t="s">
        <v>194</v>
      </c>
      <c r="C190" s="20" t="s">
        <v>689</v>
      </c>
      <c r="D190" s="150">
        <v>1740000</v>
      </c>
      <c r="E190" s="20" t="s">
        <v>247</v>
      </c>
      <c r="F190" s="20" t="s">
        <v>248</v>
      </c>
      <c r="G190" s="8" t="str">
        <f t="shared" si="2"/>
        <v>STORY SAMANTHA</v>
      </c>
    </row>
    <row r="191" spans="1:7" x14ac:dyDescent="0.25">
      <c r="A191" s="8">
        <v>42766.906388888892</v>
      </c>
      <c r="B191" s="20" t="s">
        <v>504</v>
      </c>
      <c r="C191" s="20" t="s">
        <v>519</v>
      </c>
      <c r="D191" s="150">
        <v>2220000</v>
      </c>
      <c r="E191" s="20" t="s">
        <v>231</v>
      </c>
      <c r="F191" s="20" t="s">
        <v>232</v>
      </c>
      <c r="G191" s="8" t="str">
        <f t="shared" si="2"/>
        <v>HILLS DUSTIN</v>
      </c>
    </row>
    <row r="192" spans="1:7" x14ac:dyDescent="0.25">
      <c r="A192" s="8">
        <v>42766.913148148145</v>
      </c>
      <c r="B192" s="20" t="s">
        <v>344</v>
      </c>
      <c r="C192" s="20" t="s">
        <v>690</v>
      </c>
      <c r="D192" s="150">
        <v>1800000</v>
      </c>
      <c r="E192" s="20" t="s">
        <v>289</v>
      </c>
      <c r="F192" s="20" t="s">
        <v>290</v>
      </c>
      <c r="G192" s="8" t="str">
        <f t="shared" si="2"/>
        <v>CHANDLER KELVIN</v>
      </c>
    </row>
    <row r="193" spans="1:7" x14ac:dyDescent="0.25">
      <c r="A193" s="8">
        <v>42766.918333333335</v>
      </c>
      <c r="B193" s="20" t="s">
        <v>513</v>
      </c>
      <c r="C193" s="20" t="s">
        <v>691</v>
      </c>
      <c r="D193" s="150">
        <v>2220000</v>
      </c>
      <c r="E193" s="20" t="s">
        <v>231</v>
      </c>
      <c r="F193" s="20" t="s">
        <v>232</v>
      </c>
      <c r="G193" s="8" t="str">
        <f t="shared" si="2"/>
        <v>HILLS DUSTIN</v>
      </c>
    </row>
    <row r="194" spans="1:7" x14ac:dyDescent="0.25">
      <c r="A194" s="8">
        <v>42766.926030092596</v>
      </c>
      <c r="B194" s="20" t="s">
        <v>238</v>
      </c>
      <c r="C194" s="20" t="s">
        <v>692</v>
      </c>
      <c r="D194" s="150">
        <v>2000000</v>
      </c>
      <c r="E194" s="20" t="s">
        <v>275</v>
      </c>
      <c r="F194" s="20" t="s">
        <v>205</v>
      </c>
      <c r="G194" s="8" t="str">
        <f t="shared" si="2"/>
        <v>STAMBAUGH JAMES</v>
      </c>
    </row>
    <row r="195" spans="1:7" x14ac:dyDescent="0.25">
      <c r="A195" s="8">
        <v>42766.932060185187</v>
      </c>
      <c r="B195" s="20" t="s">
        <v>301</v>
      </c>
      <c r="C195" s="20" t="s">
        <v>693</v>
      </c>
      <c r="D195" s="150">
        <v>1810000</v>
      </c>
      <c r="E195" s="20" t="s">
        <v>212</v>
      </c>
      <c r="F195" s="20" t="s">
        <v>205</v>
      </c>
      <c r="G195" s="8" t="str">
        <f t="shared" ref="G195:G258" si="3">E195&amp;" "&amp;F195</f>
        <v>NEWELL JAMES</v>
      </c>
    </row>
    <row r="196" spans="1:7" x14ac:dyDescent="0.25">
      <c r="A196" s="8">
        <v>42766.944421296299</v>
      </c>
      <c r="B196" s="20" t="s">
        <v>504</v>
      </c>
      <c r="C196" s="20" t="s">
        <v>694</v>
      </c>
      <c r="D196" s="150">
        <v>2220000</v>
      </c>
      <c r="E196" s="20" t="s">
        <v>231</v>
      </c>
      <c r="F196" s="20" t="s">
        <v>232</v>
      </c>
      <c r="G196" s="8" t="str">
        <f t="shared" si="3"/>
        <v>HILLS DUSTIN</v>
      </c>
    </row>
    <row r="197" spans="1:7" x14ac:dyDescent="0.25">
      <c r="A197" s="8">
        <v>42766.946331018517</v>
      </c>
      <c r="B197" s="20" t="s">
        <v>250</v>
      </c>
      <c r="C197" s="20" t="s">
        <v>520</v>
      </c>
      <c r="D197" s="150">
        <v>1740000</v>
      </c>
      <c r="E197" s="20" t="s">
        <v>247</v>
      </c>
      <c r="F197" s="20" t="s">
        <v>248</v>
      </c>
      <c r="G197" s="8" t="str">
        <f t="shared" si="3"/>
        <v>STORY SAMANTHA</v>
      </c>
    </row>
    <row r="198" spans="1:7" x14ac:dyDescent="0.25">
      <c r="A198" s="8">
        <v>42766.955104166664</v>
      </c>
      <c r="B198" s="20" t="s">
        <v>330</v>
      </c>
      <c r="C198" s="20" t="s">
        <v>695</v>
      </c>
      <c r="D198" s="150">
        <v>1800000</v>
      </c>
      <c r="E198" s="20" t="s">
        <v>289</v>
      </c>
      <c r="F198" s="20" t="s">
        <v>290</v>
      </c>
      <c r="G198" s="8" t="str">
        <f t="shared" si="3"/>
        <v>CHANDLER KELVIN</v>
      </c>
    </row>
    <row r="199" spans="1:7" x14ac:dyDescent="0.25">
      <c r="A199" s="8">
        <v>42766.965949074074</v>
      </c>
      <c r="B199" s="20" t="s">
        <v>302</v>
      </c>
      <c r="C199" s="20" t="s">
        <v>521</v>
      </c>
      <c r="D199" s="150">
        <v>1810000</v>
      </c>
      <c r="E199" s="20" t="s">
        <v>212</v>
      </c>
      <c r="F199" s="20" t="s">
        <v>205</v>
      </c>
      <c r="G199" s="8" t="str">
        <f t="shared" si="3"/>
        <v>NEWELL JAMES</v>
      </c>
    </row>
    <row r="200" spans="1:7" x14ac:dyDescent="0.25">
      <c r="A200" s="8">
        <v>42766.972962962966</v>
      </c>
      <c r="B200" s="20" t="s">
        <v>237</v>
      </c>
      <c r="C200" s="20" t="s">
        <v>696</v>
      </c>
      <c r="D200" s="150">
        <v>2000000</v>
      </c>
      <c r="E200" s="20" t="s">
        <v>275</v>
      </c>
      <c r="F200" s="20" t="s">
        <v>205</v>
      </c>
      <c r="G200" s="8" t="str">
        <f t="shared" si="3"/>
        <v>STAMBAUGH JAMES</v>
      </c>
    </row>
    <row r="201" spans="1:7" x14ac:dyDescent="0.25">
      <c r="A201" s="8">
        <v>42766.991990740738</v>
      </c>
      <c r="B201" s="20" t="s">
        <v>194</v>
      </c>
      <c r="C201" s="20" t="s">
        <v>697</v>
      </c>
      <c r="D201" s="150">
        <v>1740000</v>
      </c>
      <c r="E201" s="20" t="s">
        <v>247</v>
      </c>
      <c r="F201" s="20" t="s">
        <v>248</v>
      </c>
      <c r="G201" s="8" t="str">
        <f t="shared" si="3"/>
        <v>STORY SAMANTHA</v>
      </c>
    </row>
    <row r="202" spans="1:7" x14ac:dyDescent="0.25">
      <c r="A202" s="26">
        <v>42766.99590277778</v>
      </c>
      <c r="B202" s="20" t="s">
        <v>344</v>
      </c>
      <c r="C202" s="20" t="s">
        <v>698</v>
      </c>
      <c r="D202" s="150">
        <v>1800000</v>
      </c>
      <c r="E202" s="20" t="s">
        <v>289</v>
      </c>
      <c r="F202" s="20" t="s">
        <v>290</v>
      </c>
      <c r="G202" s="8" t="str">
        <f t="shared" si="3"/>
        <v>CHANDLER KELVIN</v>
      </c>
    </row>
    <row r="203" spans="1:7" x14ac:dyDescent="0.25">
      <c r="A203" s="8">
        <v>42767.005266203705</v>
      </c>
      <c r="B203" s="20" t="s">
        <v>238</v>
      </c>
      <c r="C203" s="20" t="s">
        <v>699</v>
      </c>
      <c r="D203" s="150">
        <v>2000000</v>
      </c>
      <c r="E203" s="20" t="s">
        <v>275</v>
      </c>
      <c r="F203" s="20" t="s">
        <v>205</v>
      </c>
      <c r="G203" s="8" t="str">
        <f t="shared" si="3"/>
        <v>STAMBAUGH JAMES</v>
      </c>
    </row>
    <row r="204" spans="1:7" x14ac:dyDescent="0.25">
      <c r="A204" s="8">
        <v>42767.015324074076</v>
      </c>
      <c r="B204" s="20" t="s">
        <v>301</v>
      </c>
      <c r="C204" s="20" t="s">
        <v>700</v>
      </c>
      <c r="D204" s="150">
        <v>1810000</v>
      </c>
      <c r="E204" s="20" t="s">
        <v>212</v>
      </c>
      <c r="F204" s="20" t="s">
        <v>205</v>
      </c>
      <c r="G204" s="8" t="str">
        <f t="shared" si="3"/>
        <v>NEWELL JAMES</v>
      </c>
    </row>
    <row r="205" spans="1:7" x14ac:dyDescent="0.25">
      <c r="A205" s="8">
        <v>42767.028124999997</v>
      </c>
      <c r="B205" s="20" t="s">
        <v>330</v>
      </c>
      <c r="C205" s="20" t="s">
        <v>701</v>
      </c>
      <c r="D205" s="150">
        <v>1800000</v>
      </c>
      <c r="E205" s="20" t="s">
        <v>289</v>
      </c>
      <c r="F205" s="20" t="s">
        <v>290</v>
      </c>
      <c r="G205" s="8" t="str">
        <f t="shared" si="3"/>
        <v>CHANDLER KELVIN</v>
      </c>
    </row>
    <row r="206" spans="1:7" x14ac:dyDescent="0.25">
      <c r="A206" s="8">
        <v>42767.036620370367</v>
      </c>
      <c r="B206" s="20" t="s">
        <v>250</v>
      </c>
      <c r="C206" s="20" t="s">
        <v>702</v>
      </c>
      <c r="D206" s="150">
        <v>1740000</v>
      </c>
      <c r="E206" s="20" t="s">
        <v>247</v>
      </c>
      <c r="F206" s="20" t="s">
        <v>248</v>
      </c>
      <c r="G206" s="8" t="str">
        <f t="shared" si="3"/>
        <v>STORY SAMANTHA</v>
      </c>
    </row>
    <row r="207" spans="1:7" x14ac:dyDescent="0.25">
      <c r="A207" s="8">
        <v>42767.048784722225</v>
      </c>
      <c r="B207" s="20" t="s">
        <v>302</v>
      </c>
      <c r="C207" s="20" t="s">
        <v>703</v>
      </c>
      <c r="D207" s="150">
        <v>1810000</v>
      </c>
      <c r="E207" s="20" t="s">
        <v>212</v>
      </c>
      <c r="F207" s="20" t="s">
        <v>205</v>
      </c>
      <c r="G207" s="8" t="str">
        <f t="shared" si="3"/>
        <v>NEWELL JAMES</v>
      </c>
    </row>
    <row r="208" spans="1:7" x14ac:dyDescent="0.25">
      <c r="A208" s="8">
        <v>42767.059282407405</v>
      </c>
      <c r="B208" s="20" t="s">
        <v>237</v>
      </c>
      <c r="C208" s="20" t="s">
        <v>704</v>
      </c>
      <c r="D208" s="150">
        <v>2000000</v>
      </c>
      <c r="E208" s="20" t="s">
        <v>275</v>
      </c>
      <c r="F208" s="20" t="s">
        <v>205</v>
      </c>
      <c r="G208" s="8" t="str">
        <f t="shared" si="3"/>
        <v>STAMBAUGH JAMES</v>
      </c>
    </row>
    <row r="209" spans="1:7" x14ac:dyDescent="0.25">
      <c r="A209" s="8">
        <v>42767.067557870374</v>
      </c>
      <c r="B209" s="20" t="s">
        <v>194</v>
      </c>
      <c r="C209" s="20" t="s">
        <v>705</v>
      </c>
      <c r="D209" s="150">
        <v>1740000</v>
      </c>
      <c r="E209" s="20" t="s">
        <v>247</v>
      </c>
      <c r="F209" s="20" t="s">
        <v>248</v>
      </c>
      <c r="G209" s="8" t="str">
        <f t="shared" si="3"/>
        <v>STORY SAMANTHA</v>
      </c>
    </row>
    <row r="210" spans="1:7" x14ac:dyDescent="0.25">
      <c r="A210" s="8">
        <v>42767.087870370371</v>
      </c>
      <c r="B210" s="20" t="s">
        <v>238</v>
      </c>
      <c r="C210" s="20" t="s">
        <v>706</v>
      </c>
      <c r="D210" s="150">
        <v>2000000</v>
      </c>
      <c r="E210" s="20" t="s">
        <v>275</v>
      </c>
      <c r="F210" s="20" t="s">
        <v>205</v>
      </c>
      <c r="G210" s="8" t="str">
        <f t="shared" si="3"/>
        <v>STAMBAUGH JAMES</v>
      </c>
    </row>
    <row r="211" spans="1:7" x14ac:dyDescent="0.25">
      <c r="A211" s="8">
        <v>42767.092199074075</v>
      </c>
      <c r="B211" s="20" t="s">
        <v>238</v>
      </c>
      <c r="C211" s="20" t="s">
        <v>706</v>
      </c>
      <c r="D211" s="150">
        <v>2000000</v>
      </c>
      <c r="E211" s="20" t="s">
        <v>275</v>
      </c>
      <c r="F211" s="20" t="s">
        <v>205</v>
      </c>
      <c r="G211" s="8" t="str">
        <f t="shared" si="3"/>
        <v>STAMBAUGH JAMES</v>
      </c>
    </row>
    <row r="212" spans="1:7" x14ac:dyDescent="0.25">
      <c r="A212" s="8">
        <v>42765.845983796295</v>
      </c>
      <c r="B212" s="20" t="s">
        <v>233</v>
      </c>
      <c r="C212" s="20" t="s">
        <v>438</v>
      </c>
      <c r="D212" s="150">
        <v>2560000</v>
      </c>
      <c r="E212" s="20" t="s">
        <v>432</v>
      </c>
      <c r="F212" s="20" t="s">
        <v>433</v>
      </c>
      <c r="G212" s="8" t="str">
        <f t="shared" si="3"/>
        <v>MACDONALD THOMAS</v>
      </c>
    </row>
    <row r="213" spans="1:7" x14ac:dyDescent="0.25">
      <c r="A213" s="8">
        <v>42765.849652777775</v>
      </c>
      <c r="B213" s="20" t="s">
        <v>244</v>
      </c>
      <c r="C213" s="20" t="s">
        <v>439</v>
      </c>
      <c r="D213" s="150">
        <v>2610000</v>
      </c>
      <c r="E213" s="20" t="s">
        <v>436</v>
      </c>
      <c r="F213" s="20" t="s">
        <v>437</v>
      </c>
      <c r="G213" s="8" t="str">
        <f t="shared" si="3"/>
        <v>MAGEE KENYA</v>
      </c>
    </row>
    <row r="214" spans="1:7" x14ac:dyDescent="0.25">
      <c r="A214" s="8">
        <v>42765.859652777777</v>
      </c>
      <c r="B214" s="20" t="s">
        <v>234</v>
      </c>
      <c r="C214" s="20" t="s">
        <v>417</v>
      </c>
      <c r="D214" s="150">
        <v>2560000</v>
      </c>
      <c r="E214" s="20" t="s">
        <v>432</v>
      </c>
      <c r="F214" s="20" t="s">
        <v>433</v>
      </c>
      <c r="G214" s="8" t="str">
        <f t="shared" si="3"/>
        <v>MACDONALD THOMAS</v>
      </c>
    </row>
    <row r="215" spans="1:7" x14ac:dyDescent="0.25">
      <c r="A215" s="8">
        <v>42765.864027777781</v>
      </c>
      <c r="B215" s="20" t="s">
        <v>243</v>
      </c>
      <c r="C215" s="20" t="s">
        <v>440</v>
      </c>
      <c r="D215" s="150">
        <v>2000000</v>
      </c>
      <c r="E215" s="20" t="s">
        <v>275</v>
      </c>
      <c r="F215" s="20" t="s">
        <v>205</v>
      </c>
      <c r="G215" s="8" t="str">
        <f t="shared" si="3"/>
        <v>STAMBAUGH JAMES</v>
      </c>
    </row>
    <row r="216" spans="1:7" x14ac:dyDescent="0.25">
      <c r="A216" s="8">
        <v>42765.864259259259</v>
      </c>
      <c r="B216" s="20" t="s">
        <v>234</v>
      </c>
      <c r="C216" s="20" t="s">
        <v>417</v>
      </c>
      <c r="D216" s="150">
        <v>2560000</v>
      </c>
      <c r="E216" s="20" t="s">
        <v>432</v>
      </c>
      <c r="F216" s="20" t="s">
        <v>433</v>
      </c>
      <c r="G216" s="8" t="str">
        <f t="shared" si="3"/>
        <v>MACDONALD THOMAS</v>
      </c>
    </row>
    <row r="217" spans="1:7" x14ac:dyDescent="0.25">
      <c r="A217" s="8">
        <v>42765.874120370368</v>
      </c>
      <c r="B217" s="20" t="s">
        <v>273</v>
      </c>
      <c r="C217" s="20" t="s">
        <v>441</v>
      </c>
      <c r="D217" s="150">
        <v>1800000</v>
      </c>
      <c r="E217" s="20" t="s">
        <v>289</v>
      </c>
      <c r="F217" s="20" t="s">
        <v>290</v>
      </c>
      <c r="G217" s="8" t="str">
        <f t="shared" si="3"/>
        <v>CHANDLER KELVIN</v>
      </c>
    </row>
    <row r="218" spans="1:7" x14ac:dyDescent="0.25">
      <c r="A218" s="8">
        <v>42765.887974537036</v>
      </c>
      <c r="B218" s="20" t="s">
        <v>300</v>
      </c>
      <c r="C218" s="20" t="s">
        <v>442</v>
      </c>
      <c r="D218" s="150">
        <v>2230000</v>
      </c>
      <c r="E218" s="20" t="s">
        <v>274</v>
      </c>
      <c r="F218" s="20" t="s">
        <v>209</v>
      </c>
      <c r="G218" s="8" t="str">
        <f t="shared" si="3"/>
        <v>SMITH MICHAEL</v>
      </c>
    </row>
    <row r="219" spans="1:7" x14ac:dyDescent="0.25">
      <c r="A219" s="8">
        <v>42765.887986111113</v>
      </c>
      <c r="B219" s="20" t="s">
        <v>233</v>
      </c>
      <c r="C219" s="20" t="s">
        <v>443</v>
      </c>
      <c r="D219" s="150">
        <v>1810000</v>
      </c>
      <c r="E219" s="20" t="s">
        <v>212</v>
      </c>
      <c r="F219" s="20" t="s">
        <v>205</v>
      </c>
      <c r="G219" s="8" t="str">
        <f t="shared" si="3"/>
        <v>NEWELL JAMES</v>
      </c>
    </row>
    <row r="220" spans="1:7" x14ac:dyDescent="0.25">
      <c r="A220" s="8">
        <v>42765.890949074077</v>
      </c>
      <c r="B220" s="20" t="s">
        <v>216</v>
      </c>
      <c r="C220" s="20" t="s">
        <v>444</v>
      </c>
      <c r="D220" s="150">
        <v>2610000</v>
      </c>
      <c r="E220" s="20" t="s">
        <v>436</v>
      </c>
      <c r="F220" s="20" t="s">
        <v>437</v>
      </c>
      <c r="G220" s="8" t="str">
        <f t="shared" si="3"/>
        <v>MAGEE KENYA</v>
      </c>
    </row>
    <row r="221" spans="1:7" x14ac:dyDescent="0.25">
      <c r="A221" s="8">
        <v>42765.901226851849</v>
      </c>
      <c r="B221" s="20" t="s">
        <v>234</v>
      </c>
      <c r="C221" s="20" t="s">
        <v>418</v>
      </c>
      <c r="D221" s="150">
        <v>1810000</v>
      </c>
      <c r="E221" s="20" t="s">
        <v>212</v>
      </c>
      <c r="F221" s="20" t="s">
        <v>205</v>
      </c>
      <c r="G221" s="8" t="str">
        <f t="shared" si="3"/>
        <v>NEWELL JAMES</v>
      </c>
    </row>
    <row r="222" spans="1:7" x14ac:dyDescent="0.25">
      <c r="A222" s="8">
        <v>42765.904537037037</v>
      </c>
      <c r="B222" s="20" t="s">
        <v>416</v>
      </c>
      <c r="C222" s="20" t="s">
        <v>445</v>
      </c>
      <c r="D222" s="150">
        <v>2000000</v>
      </c>
      <c r="E222" s="20" t="s">
        <v>275</v>
      </c>
      <c r="F222" s="20" t="s">
        <v>205</v>
      </c>
      <c r="G222" s="8" t="str">
        <f t="shared" si="3"/>
        <v>STAMBAUGH JAMES</v>
      </c>
    </row>
    <row r="223" spans="1:7" x14ac:dyDescent="0.25">
      <c r="A223" s="8">
        <v>42765.911817129629</v>
      </c>
      <c r="B223" s="20" t="s">
        <v>272</v>
      </c>
      <c r="C223" s="20" t="s">
        <v>446</v>
      </c>
      <c r="D223" s="150">
        <v>1800000</v>
      </c>
      <c r="E223" s="20" t="s">
        <v>289</v>
      </c>
      <c r="F223" s="20" t="s">
        <v>290</v>
      </c>
      <c r="G223" s="8" t="str">
        <f t="shared" si="3"/>
        <v>CHANDLER KELVIN</v>
      </c>
    </row>
    <row r="224" spans="1:7" x14ac:dyDescent="0.25">
      <c r="A224" s="8">
        <v>42765.917048611111</v>
      </c>
      <c r="B224" t="s">
        <v>233</v>
      </c>
      <c r="C224" t="s">
        <v>447</v>
      </c>
      <c r="D224" s="150">
        <v>1810000</v>
      </c>
      <c r="E224" t="s">
        <v>212</v>
      </c>
      <c r="F224" s="20" t="s">
        <v>205</v>
      </c>
      <c r="G224" s="8" t="str">
        <f t="shared" si="3"/>
        <v>NEWELL JAMES</v>
      </c>
    </row>
    <row r="225" spans="1:7" x14ac:dyDescent="0.25">
      <c r="A225" s="8">
        <v>42765.928229166668</v>
      </c>
      <c r="B225" t="s">
        <v>299</v>
      </c>
      <c r="C225" t="s">
        <v>448</v>
      </c>
      <c r="D225" s="150">
        <v>2230000</v>
      </c>
      <c r="E225" t="s">
        <v>274</v>
      </c>
      <c r="F225" s="20" t="s">
        <v>209</v>
      </c>
      <c r="G225" s="8" t="str">
        <f t="shared" si="3"/>
        <v>SMITH MICHAEL</v>
      </c>
    </row>
    <row r="226" spans="1:7" x14ac:dyDescent="0.25">
      <c r="A226" s="8">
        <v>42765.931168981479</v>
      </c>
      <c r="B226" t="s">
        <v>244</v>
      </c>
      <c r="C226" t="s">
        <v>449</v>
      </c>
      <c r="D226" s="150">
        <v>2610000</v>
      </c>
      <c r="E226" t="s">
        <v>436</v>
      </c>
      <c r="F226" s="20" t="s">
        <v>437</v>
      </c>
      <c r="G226" s="8" t="str">
        <f t="shared" si="3"/>
        <v>MAGEE KENYA</v>
      </c>
    </row>
    <row r="227" spans="1:7" x14ac:dyDescent="0.25">
      <c r="A227" s="8">
        <v>42765.94427083333</v>
      </c>
      <c r="B227" t="s">
        <v>234</v>
      </c>
      <c r="C227" t="s">
        <v>450</v>
      </c>
      <c r="D227" s="150">
        <v>1810000</v>
      </c>
      <c r="E227" t="s">
        <v>212</v>
      </c>
      <c r="F227" s="20" t="s">
        <v>205</v>
      </c>
      <c r="G227" s="8" t="str">
        <f t="shared" si="3"/>
        <v>NEWELL JAMES</v>
      </c>
    </row>
    <row r="228" spans="1:7" x14ac:dyDescent="0.25">
      <c r="A228" s="8">
        <v>42765.954629629632</v>
      </c>
      <c r="B228" t="s">
        <v>243</v>
      </c>
      <c r="C228" t="s">
        <v>451</v>
      </c>
      <c r="D228" s="150">
        <v>2000000</v>
      </c>
      <c r="E228" t="s">
        <v>275</v>
      </c>
      <c r="F228" s="20" t="s">
        <v>205</v>
      </c>
      <c r="G228" s="8" t="str">
        <f t="shared" si="3"/>
        <v>STAMBAUGH JAMES</v>
      </c>
    </row>
    <row r="229" spans="1:7" x14ac:dyDescent="0.25">
      <c r="A229" s="8">
        <v>42765.957037037035</v>
      </c>
      <c r="B229" t="s">
        <v>273</v>
      </c>
      <c r="C229" t="s">
        <v>452</v>
      </c>
      <c r="D229" s="150">
        <v>1800000</v>
      </c>
      <c r="E229" t="s">
        <v>289</v>
      </c>
      <c r="F229" s="20" t="s">
        <v>290</v>
      </c>
      <c r="G229" s="8" t="str">
        <f t="shared" si="3"/>
        <v>CHANDLER KELVIN</v>
      </c>
    </row>
    <row r="230" spans="1:7" x14ac:dyDescent="0.25">
      <c r="A230" s="8">
        <v>42765.966180555559</v>
      </c>
      <c r="B230" t="s">
        <v>300</v>
      </c>
      <c r="C230" t="s">
        <v>453</v>
      </c>
      <c r="D230" s="150">
        <v>2230000</v>
      </c>
      <c r="E230" t="s">
        <v>274</v>
      </c>
      <c r="F230" s="20" t="s">
        <v>209</v>
      </c>
      <c r="G230" s="8" t="str">
        <f t="shared" si="3"/>
        <v>SMITH MICHAEL</v>
      </c>
    </row>
    <row r="231" spans="1:7" x14ac:dyDescent="0.25">
      <c r="A231" s="8">
        <v>42765.970185185186</v>
      </c>
      <c r="B231" t="s">
        <v>216</v>
      </c>
      <c r="C231" t="s">
        <v>420</v>
      </c>
      <c r="D231" s="150">
        <v>2610000</v>
      </c>
      <c r="E231" t="s">
        <v>436</v>
      </c>
      <c r="F231" s="20" t="s">
        <v>437</v>
      </c>
      <c r="G231" s="8" t="str">
        <f t="shared" si="3"/>
        <v>MAGEE KENYA</v>
      </c>
    </row>
    <row r="232" spans="1:7" x14ac:dyDescent="0.25">
      <c r="A232" s="8">
        <v>42765.983969907407</v>
      </c>
      <c r="B232" t="s">
        <v>416</v>
      </c>
      <c r="C232" t="s">
        <v>419</v>
      </c>
      <c r="D232" s="150">
        <v>2000000</v>
      </c>
      <c r="E232" t="s">
        <v>275</v>
      </c>
      <c r="F232" s="20" t="s">
        <v>205</v>
      </c>
      <c r="G232" s="8" t="str">
        <f t="shared" si="3"/>
        <v>STAMBAUGH JAMES</v>
      </c>
    </row>
    <row r="233" spans="1:7" x14ac:dyDescent="0.25">
      <c r="A233" s="8">
        <v>42765.996678240743</v>
      </c>
      <c r="B233" t="s">
        <v>272</v>
      </c>
      <c r="C233" t="s">
        <v>454</v>
      </c>
      <c r="D233" s="150">
        <v>1800000</v>
      </c>
      <c r="E233" t="s">
        <v>289</v>
      </c>
      <c r="F233" s="20" t="s">
        <v>290</v>
      </c>
      <c r="G233" s="8" t="str">
        <f t="shared" si="3"/>
        <v>CHANDLER KELVIN</v>
      </c>
    </row>
    <row r="234" spans="1:7" x14ac:dyDescent="0.25">
      <c r="A234" s="8">
        <v>42766.009571759256</v>
      </c>
      <c r="B234" t="s">
        <v>299</v>
      </c>
      <c r="C234" t="s">
        <v>455</v>
      </c>
      <c r="D234" s="150">
        <v>2230000</v>
      </c>
      <c r="E234" t="s">
        <v>274</v>
      </c>
      <c r="F234" s="20" t="s">
        <v>209</v>
      </c>
      <c r="G234" s="8" t="str">
        <f t="shared" si="3"/>
        <v>SMITH MICHAEL</v>
      </c>
    </row>
    <row r="235" spans="1:7" x14ac:dyDescent="0.25">
      <c r="A235" s="8">
        <v>42766.017465277779</v>
      </c>
      <c r="B235" t="s">
        <v>244</v>
      </c>
      <c r="C235" t="s">
        <v>456</v>
      </c>
      <c r="D235" s="150">
        <v>2610000</v>
      </c>
      <c r="E235" t="s">
        <v>436</v>
      </c>
      <c r="F235" s="20" t="s">
        <v>437</v>
      </c>
      <c r="G235" s="8" t="str">
        <f t="shared" si="3"/>
        <v>MAGEE KENYA</v>
      </c>
    </row>
    <row r="236" spans="1:7" x14ac:dyDescent="0.25">
      <c r="A236" s="8">
        <v>42766.02815972222</v>
      </c>
      <c r="B236" t="s">
        <v>273</v>
      </c>
      <c r="C236" t="s">
        <v>457</v>
      </c>
      <c r="D236" s="150">
        <v>1800000</v>
      </c>
      <c r="E236" t="s">
        <v>289</v>
      </c>
      <c r="F236" s="20" t="s">
        <v>290</v>
      </c>
      <c r="G236" s="8" t="str">
        <f t="shared" si="3"/>
        <v>CHANDLER KELVIN</v>
      </c>
    </row>
    <row r="237" spans="1:7" x14ac:dyDescent="0.25">
      <c r="A237" s="8">
        <v>42766.038217592592</v>
      </c>
      <c r="B237" t="s">
        <v>243</v>
      </c>
      <c r="C237" t="s">
        <v>458</v>
      </c>
      <c r="D237" s="150">
        <v>2000000</v>
      </c>
      <c r="E237" t="s">
        <v>275</v>
      </c>
      <c r="F237" s="20" t="s">
        <v>205</v>
      </c>
      <c r="G237" s="8" t="str">
        <f t="shared" si="3"/>
        <v>STAMBAUGH JAMES</v>
      </c>
    </row>
    <row r="238" spans="1:7" x14ac:dyDescent="0.25">
      <c r="A238" s="8">
        <v>42766.047789351855</v>
      </c>
      <c r="B238" t="s">
        <v>300</v>
      </c>
      <c r="C238" t="s">
        <v>459</v>
      </c>
      <c r="D238" s="150">
        <v>2230000</v>
      </c>
      <c r="E238" t="s">
        <v>274</v>
      </c>
      <c r="F238" s="20" t="s">
        <v>209</v>
      </c>
      <c r="G238" s="8" t="str">
        <f t="shared" si="3"/>
        <v>SMITH MICHAEL</v>
      </c>
    </row>
    <row r="239" spans="1:7" x14ac:dyDescent="0.25">
      <c r="A239" s="8">
        <v>42766.056655092594</v>
      </c>
      <c r="B239" t="s">
        <v>216</v>
      </c>
      <c r="C239" t="s">
        <v>460</v>
      </c>
      <c r="D239" s="150">
        <v>2610000</v>
      </c>
      <c r="E239" t="s">
        <v>436</v>
      </c>
      <c r="F239" s="20" t="s">
        <v>437</v>
      </c>
      <c r="G239" s="8" t="str">
        <f t="shared" si="3"/>
        <v>MAGEE KENYA</v>
      </c>
    </row>
    <row r="240" spans="1:7" x14ac:dyDescent="0.25">
      <c r="A240" s="8">
        <v>42766.066655092596</v>
      </c>
      <c r="B240" t="s">
        <v>416</v>
      </c>
      <c r="C240" t="s">
        <v>461</v>
      </c>
      <c r="D240" s="150">
        <v>2000000</v>
      </c>
      <c r="E240" t="s">
        <v>275</v>
      </c>
      <c r="F240" s="20" t="s">
        <v>205</v>
      </c>
      <c r="G240" s="8" t="str">
        <f t="shared" si="3"/>
        <v>STAMBAUGH JAMES</v>
      </c>
    </row>
    <row r="241" spans="1:7" x14ac:dyDescent="0.25">
      <c r="A241" s="8">
        <v>42761.952407407407</v>
      </c>
      <c r="B241" t="s">
        <v>273</v>
      </c>
      <c r="C241" t="s">
        <v>311</v>
      </c>
      <c r="D241" s="150">
        <v>1740000</v>
      </c>
      <c r="E241" t="s">
        <v>247</v>
      </c>
      <c r="F241" s="20" t="s">
        <v>248</v>
      </c>
      <c r="G241" s="8" t="str">
        <f t="shared" si="3"/>
        <v>STORY SAMANTHA</v>
      </c>
    </row>
    <row r="242" spans="1:7" x14ac:dyDescent="0.25">
      <c r="A242" s="8">
        <v>42761.955081018517</v>
      </c>
      <c r="B242" t="s">
        <v>233</v>
      </c>
      <c r="C242" t="s">
        <v>312</v>
      </c>
      <c r="D242" s="150">
        <v>1800000</v>
      </c>
      <c r="E242" t="s">
        <v>289</v>
      </c>
      <c r="F242" s="20" t="s">
        <v>290</v>
      </c>
      <c r="G242" s="8" t="str">
        <f t="shared" si="3"/>
        <v>CHANDLER KELVIN</v>
      </c>
    </row>
    <row r="243" spans="1:7" x14ac:dyDescent="0.25">
      <c r="A243" s="8">
        <v>42761.964039351849</v>
      </c>
      <c r="B243" t="s">
        <v>292</v>
      </c>
      <c r="C243" t="s">
        <v>316</v>
      </c>
      <c r="D243" s="150">
        <v>2220000</v>
      </c>
      <c r="E243" t="s">
        <v>231</v>
      </c>
      <c r="F243" s="20" t="s">
        <v>232</v>
      </c>
      <c r="G243" s="8" t="str">
        <f t="shared" si="3"/>
        <v>HILLS DUSTIN</v>
      </c>
    </row>
    <row r="244" spans="1:7" x14ac:dyDescent="0.25">
      <c r="A244" s="8">
        <v>42761.974421296298</v>
      </c>
      <c r="B244" t="s">
        <v>309</v>
      </c>
      <c r="C244" t="s">
        <v>317</v>
      </c>
      <c r="D244" s="150">
        <v>1810000</v>
      </c>
      <c r="E244" t="s">
        <v>212</v>
      </c>
      <c r="F244" s="20" t="s">
        <v>205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287</v>
      </c>
      <c r="C245" t="s">
        <v>313</v>
      </c>
      <c r="D245" s="150">
        <v>2270000</v>
      </c>
      <c r="E245" t="s">
        <v>252</v>
      </c>
      <c r="F245" s="20" t="s">
        <v>253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234</v>
      </c>
      <c r="C246" t="s">
        <v>318</v>
      </c>
      <c r="D246" s="150">
        <v>1800000</v>
      </c>
      <c r="E246" t="s">
        <v>289</v>
      </c>
      <c r="F246" s="20" t="s">
        <v>290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293</v>
      </c>
      <c r="C247" t="s">
        <v>319</v>
      </c>
      <c r="D247" s="150">
        <v>2220000</v>
      </c>
      <c r="E247" t="s">
        <v>231</v>
      </c>
      <c r="F247" s="20" t="s">
        <v>232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310</v>
      </c>
      <c r="C248" t="s">
        <v>320</v>
      </c>
      <c r="D248" s="150">
        <v>1810000</v>
      </c>
      <c r="E248" t="s">
        <v>212</v>
      </c>
      <c r="F248" s="20" t="s">
        <v>205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233</v>
      </c>
      <c r="C249" t="s">
        <v>321</v>
      </c>
      <c r="D249" s="150">
        <v>1800000</v>
      </c>
      <c r="E249" t="s">
        <v>289</v>
      </c>
      <c r="F249" s="20" t="s">
        <v>290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288</v>
      </c>
      <c r="C250" t="s">
        <v>314</v>
      </c>
      <c r="D250" s="150">
        <v>2270000</v>
      </c>
      <c r="E250" t="s">
        <v>252</v>
      </c>
      <c r="F250" s="20" t="s">
        <v>253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309</v>
      </c>
      <c r="C251" t="s">
        <v>322</v>
      </c>
      <c r="D251" s="150">
        <v>1810000</v>
      </c>
      <c r="E251" t="s">
        <v>212</v>
      </c>
      <c r="F251" s="20" t="s">
        <v>205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292</v>
      </c>
      <c r="C252" t="s">
        <v>323</v>
      </c>
      <c r="D252" s="150">
        <v>2220000</v>
      </c>
      <c r="E252" t="s">
        <v>231</v>
      </c>
      <c r="F252" s="20" t="s">
        <v>232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292</v>
      </c>
      <c r="C253" t="s">
        <v>323</v>
      </c>
      <c r="D253" s="150">
        <v>2220000</v>
      </c>
      <c r="E253" t="s">
        <v>231</v>
      </c>
      <c r="F253" s="20" t="s">
        <v>232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287</v>
      </c>
      <c r="C254" t="s">
        <v>324</v>
      </c>
      <c r="D254" s="150">
        <v>2270000</v>
      </c>
      <c r="E254" t="s">
        <v>252</v>
      </c>
      <c r="F254" s="20" t="s">
        <v>253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293</v>
      </c>
      <c r="C255" t="s">
        <v>325</v>
      </c>
      <c r="D255" s="150">
        <v>2220000</v>
      </c>
      <c r="E255" t="s">
        <v>231</v>
      </c>
      <c r="F255" s="20" t="s">
        <v>232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216</v>
      </c>
      <c r="C256" t="s">
        <v>276</v>
      </c>
      <c r="D256" s="150">
        <v>2220000</v>
      </c>
      <c r="E256" t="s">
        <v>231</v>
      </c>
      <c r="F256" s="20" t="s">
        <v>232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199</v>
      </c>
      <c r="C257" t="s">
        <v>277</v>
      </c>
      <c r="D257" s="150">
        <v>2000000</v>
      </c>
      <c r="E257" t="s">
        <v>275</v>
      </c>
      <c r="F257" s="20" t="s">
        <v>205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244</v>
      </c>
      <c r="C258" t="s">
        <v>278</v>
      </c>
      <c r="D258" s="150">
        <v>2220000</v>
      </c>
      <c r="E258" t="s">
        <v>231</v>
      </c>
      <c r="F258" s="20" t="s">
        <v>232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272</v>
      </c>
      <c r="C259" t="s">
        <v>279</v>
      </c>
      <c r="D259" s="150">
        <v>1360000</v>
      </c>
      <c r="E259" t="s">
        <v>280</v>
      </c>
      <c r="F259" s="20" t="s">
        <v>281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254</v>
      </c>
      <c r="C260" t="s">
        <v>260</v>
      </c>
      <c r="D260" s="150">
        <v>2450000</v>
      </c>
      <c r="E260" t="s">
        <v>256</v>
      </c>
      <c r="F260" s="20" t="s">
        <v>257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237</v>
      </c>
      <c r="C261" t="s">
        <v>267</v>
      </c>
      <c r="D261" s="150">
        <v>1810000</v>
      </c>
      <c r="E261" t="s">
        <v>212</v>
      </c>
      <c r="F261" s="20" t="s">
        <v>205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261</v>
      </c>
      <c r="C262" t="s">
        <v>265</v>
      </c>
      <c r="D262" s="150">
        <v>2670000</v>
      </c>
      <c r="E262" t="s">
        <v>263</v>
      </c>
      <c r="F262" s="20" t="s">
        <v>264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233</v>
      </c>
      <c r="C263" t="s">
        <v>259</v>
      </c>
      <c r="D263" s="150">
        <v>2540000</v>
      </c>
      <c r="E263" t="s">
        <v>239</v>
      </c>
      <c r="F263" s="20" t="s">
        <v>240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226</v>
      </c>
      <c r="C264" t="s">
        <v>255</v>
      </c>
      <c r="D264" s="150">
        <v>2450000</v>
      </c>
      <c r="E264" t="s">
        <v>256</v>
      </c>
      <c r="F264" s="20" t="s">
        <v>257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251</v>
      </c>
      <c r="C265" t="s">
        <v>268</v>
      </c>
      <c r="D265" s="150">
        <v>2270000</v>
      </c>
      <c r="E265" t="s">
        <v>252</v>
      </c>
      <c r="F265" s="20" t="s">
        <v>253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234</v>
      </c>
      <c r="C266" t="s">
        <v>258</v>
      </c>
      <c r="D266" s="150">
        <v>2540000</v>
      </c>
      <c r="E266" t="s">
        <v>239</v>
      </c>
      <c r="F266" s="20" t="s">
        <v>240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254</v>
      </c>
      <c r="C267" t="s">
        <v>260</v>
      </c>
      <c r="D267" s="150">
        <v>2450000</v>
      </c>
      <c r="E267" t="s">
        <v>256</v>
      </c>
      <c r="F267" s="20" t="s">
        <v>257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251</v>
      </c>
      <c r="C268" t="s">
        <v>268</v>
      </c>
      <c r="D268" s="150">
        <v>2270000</v>
      </c>
      <c r="E268" t="s">
        <v>252</v>
      </c>
      <c r="F268" s="20" t="s">
        <v>253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233</v>
      </c>
      <c r="C269" t="s">
        <v>259</v>
      </c>
      <c r="D269" s="150">
        <v>2540000</v>
      </c>
      <c r="E269" t="s">
        <v>239</v>
      </c>
      <c r="F269" s="20" t="s">
        <v>240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238</v>
      </c>
      <c r="C270" t="s">
        <v>269</v>
      </c>
      <c r="D270" s="150">
        <v>1810000</v>
      </c>
      <c r="E270" t="s">
        <v>212</v>
      </c>
      <c r="F270" s="20" t="s">
        <v>205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266</v>
      </c>
      <c r="C271" t="s">
        <v>262</v>
      </c>
      <c r="D271" s="150">
        <v>2670000</v>
      </c>
      <c r="E271" t="s">
        <v>263</v>
      </c>
      <c r="F271" s="20" t="s">
        <v>264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226</v>
      </c>
      <c r="C272" t="s">
        <v>255</v>
      </c>
      <c r="D272" s="150">
        <v>2450000</v>
      </c>
      <c r="E272" t="s">
        <v>256</v>
      </c>
      <c r="F272" s="20" t="s">
        <v>257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234</v>
      </c>
      <c r="C273" t="s">
        <v>258</v>
      </c>
      <c r="D273" s="150">
        <v>2540000</v>
      </c>
      <c r="E273" t="s">
        <v>239</v>
      </c>
      <c r="F273" s="20" t="s">
        <v>240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4" customWidth="1"/>
    <col min="2" max="2" width="8.42578125" style="154" bestFit="1" customWidth="1"/>
    <col min="3" max="3" width="12.5703125" style="154" bestFit="1" customWidth="1"/>
    <col min="4" max="4" width="18.5703125" style="142" bestFit="1" customWidth="1"/>
    <col min="5" max="5" width="9.85546875" style="154" bestFit="1" customWidth="1"/>
    <col min="6" max="6" width="9" style="154" bestFit="1" customWidth="1"/>
    <col min="7" max="7" width="8.85546875" style="154" bestFit="1" customWidth="1"/>
    <col min="8" max="8" width="14" style="154" bestFit="1" customWidth="1"/>
    <col min="9" max="9" width="21.140625" style="154" bestFit="1" customWidth="1"/>
    <col min="10" max="10" width="8.7109375" style="154" bestFit="1" customWidth="1"/>
    <col min="11" max="11" width="11.28515625" style="154" bestFit="1" customWidth="1"/>
    <col min="12" max="12" width="11" style="154" bestFit="1" customWidth="1"/>
    <col min="13" max="13" width="11.28515625" style="154" bestFit="1" customWidth="1"/>
    <col min="14" max="14" width="13.7109375" style="154" bestFit="1" customWidth="1"/>
    <col min="15" max="15" width="14.85546875" style="154" bestFit="1" customWidth="1"/>
    <col min="16" max="16" width="16.7109375" style="154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56" t="s">
        <v>162</v>
      </c>
      <c r="B1" s="156" t="s">
        <v>165</v>
      </c>
      <c r="C1" s="156" t="s">
        <v>158</v>
      </c>
      <c r="D1" s="148" t="s">
        <v>170</v>
      </c>
      <c r="E1" s="156" t="s">
        <v>159</v>
      </c>
      <c r="F1" s="156" t="s">
        <v>157</v>
      </c>
      <c r="G1" s="156" t="s">
        <v>155</v>
      </c>
      <c r="H1" s="156" t="s">
        <v>168</v>
      </c>
      <c r="I1" s="156" t="s">
        <v>169</v>
      </c>
      <c r="J1" s="156" t="s">
        <v>163</v>
      </c>
      <c r="K1" s="156" t="s">
        <v>161</v>
      </c>
      <c r="L1" s="156" t="s">
        <v>156</v>
      </c>
      <c r="M1" s="156" t="s">
        <v>166</v>
      </c>
      <c r="N1" s="156" t="s">
        <v>160</v>
      </c>
      <c r="O1" s="156" t="s">
        <v>167</v>
      </c>
      <c r="P1" s="156" t="s">
        <v>164</v>
      </c>
      <c r="Q1"/>
      <c r="R1"/>
    </row>
    <row r="2" spans="1:18" x14ac:dyDescent="0.25">
      <c r="A2" s="152">
        <v>40.92</v>
      </c>
      <c r="B2" s="152">
        <v>0.67</v>
      </c>
      <c r="C2" s="152">
        <v>16.46</v>
      </c>
      <c r="D2" s="8">
        <v>42766</v>
      </c>
      <c r="E2" s="152">
        <v>0.34</v>
      </c>
      <c r="F2" s="152" t="s">
        <v>282</v>
      </c>
      <c r="G2" s="152">
        <v>311.77999999999997</v>
      </c>
      <c r="H2" s="152">
        <v>0</v>
      </c>
      <c r="I2" s="152">
        <v>0</v>
      </c>
      <c r="J2" s="152">
        <v>1015.79</v>
      </c>
      <c r="K2" s="152" t="s">
        <v>462</v>
      </c>
      <c r="L2" s="152">
        <v>43.02</v>
      </c>
      <c r="M2" s="152">
        <v>1485846000</v>
      </c>
      <c r="N2" s="152">
        <v>6.63</v>
      </c>
      <c r="O2" s="152">
        <v>255</v>
      </c>
      <c r="P2" s="152">
        <v>3.87</v>
      </c>
      <c r="Q2"/>
      <c r="R2"/>
    </row>
    <row r="3" spans="1:18" x14ac:dyDescent="0.25">
      <c r="A3" s="152">
        <v>40.119999999999997</v>
      </c>
      <c r="B3" s="152">
        <v>0.59</v>
      </c>
      <c r="C3" s="152">
        <v>17.440000000000001</v>
      </c>
      <c r="D3" s="8">
        <v>42766.041666666664</v>
      </c>
      <c r="E3" s="152">
        <v>0.37</v>
      </c>
      <c r="F3" s="152" t="s">
        <v>282</v>
      </c>
      <c r="G3" s="152">
        <v>310.75</v>
      </c>
      <c r="H3" s="152">
        <v>0</v>
      </c>
      <c r="I3" s="152">
        <v>0</v>
      </c>
      <c r="J3" s="152">
        <v>1016.28</v>
      </c>
      <c r="K3" s="152" t="s">
        <v>284</v>
      </c>
      <c r="L3" s="152">
        <v>41.97</v>
      </c>
      <c r="M3" s="152">
        <v>1485849600</v>
      </c>
      <c r="N3" s="152">
        <v>6.49</v>
      </c>
      <c r="O3" s="152">
        <v>257</v>
      </c>
      <c r="P3" s="152">
        <v>3.45</v>
      </c>
      <c r="Q3"/>
      <c r="R3"/>
    </row>
    <row r="4" spans="1:18" x14ac:dyDescent="0.25">
      <c r="A4" s="152">
        <v>38.06</v>
      </c>
      <c r="B4" s="152">
        <v>0.52</v>
      </c>
      <c r="C4" s="152">
        <v>17.29</v>
      </c>
      <c r="D4" s="8">
        <v>42766.083333333336</v>
      </c>
      <c r="E4" s="152">
        <v>0.39</v>
      </c>
      <c r="F4" s="152" t="s">
        <v>282</v>
      </c>
      <c r="G4" s="152">
        <v>309.72000000000003</v>
      </c>
      <c r="H4" s="152">
        <v>0</v>
      </c>
      <c r="I4" s="152">
        <v>0</v>
      </c>
      <c r="J4" s="152">
        <v>1016.93</v>
      </c>
      <c r="K4" s="152" t="s">
        <v>284</v>
      </c>
      <c r="L4" s="152">
        <v>40.58</v>
      </c>
      <c r="M4" s="152">
        <v>1485853200</v>
      </c>
      <c r="N4" s="152">
        <v>10</v>
      </c>
      <c r="O4" s="152">
        <v>235</v>
      </c>
      <c r="P4" s="152">
        <v>3.92</v>
      </c>
      <c r="Q4"/>
      <c r="R4"/>
    </row>
    <row r="5" spans="1:18" x14ac:dyDescent="0.25">
      <c r="A5" s="152">
        <v>35.049999999999997</v>
      </c>
      <c r="B5" s="152">
        <v>0.56999999999999995</v>
      </c>
      <c r="C5" s="152">
        <v>16.260000000000002</v>
      </c>
      <c r="D5" s="8">
        <v>42766.125</v>
      </c>
      <c r="E5" s="152">
        <v>0.39</v>
      </c>
      <c r="F5" s="152" t="s">
        <v>282</v>
      </c>
      <c r="G5" s="152">
        <v>310.31</v>
      </c>
      <c r="H5" s="152">
        <v>0</v>
      </c>
      <c r="I5" s="152">
        <v>0</v>
      </c>
      <c r="J5" s="152">
        <v>1016.24</v>
      </c>
      <c r="K5" s="152" t="s">
        <v>284</v>
      </c>
      <c r="L5" s="152">
        <v>38.94</v>
      </c>
      <c r="M5" s="152">
        <v>1485856800</v>
      </c>
      <c r="N5" s="152">
        <v>10</v>
      </c>
      <c r="O5" s="152">
        <v>227</v>
      </c>
      <c r="P5" s="152">
        <v>5.23</v>
      </c>
      <c r="Q5"/>
      <c r="R5"/>
    </row>
    <row r="6" spans="1:18" x14ac:dyDescent="0.25">
      <c r="A6" s="152">
        <v>37.6</v>
      </c>
      <c r="B6" s="152">
        <v>0.63</v>
      </c>
      <c r="C6" s="152">
        <v>16.66</v>
      </c>
      <c r="D6" s="8">
        <v>42766.166666666664</v>
      </c>
      <c r="E6" s="152">
        <v>0.42</v>
      </c>
      <c r="F6" s="152" t="s">
        <v>282</v>
      </c>
      <c r="G6" s="152">
        <v>311.51</v>
      </c>
      <c r="H6" s="152">
        <v>0</v>
      </c>
      <c r="I6" s="152">
        <v>0</v>
      </c>
      <c r="J6" s="152">
        <v>1015.18</v>
      </c>
      <c r="K6" s="152" t="s">
        <v>462</v>
      </c>
      <c r="L6" s="152">
        <v>37.6</v>
      </c>
      <c r="M6" s="152">
        <v>1485860400</v>
      </c>
      <c r="N6" s="152">
        <v>5.83</v>
      </c>
      <c r="O6" s="152">
        <v>249</v>
      </c>
      <c r="P6" s="152">
        <v>1.8</v>
      </c>
      <c r="Q6"/>
      <c r="R6"/>
    </row>
    <row r="7" spans="1:18" x14ac:dyDescent="0.25">
      <c r="A7" s="152">
        <v>38.18</v>
      </c>
      <c r="B7" s="152">
        <v>0.69</v>
      </c>
      <c r="C7" s="152">
        <v>18.5</v>
      </c>
      <c r="D7" s="8">
        <v>42766.208333333336</v>
      </c>
      <c r="E7" s="152">
        <v>0.45</v>
      </c>
      <c r="F7" s="152" t="s">
        <v>282</v>
      </c>
      <c r="G7" s="152">
        <v>312.13</v>
      </c>
      <c r="H7" s="152">
        <v>0</v>
      </c>
      <c r="I7" s="152">
        <v>0</v>
      </c>
      <c r="J7" s="152">
        <v>1014.6</v>
      </c>
      <c r="K7" s="152" t="s">
        <v>462</v>
      </c>
      <c r="L7" s="152">
        <v>38.18</v>
      </c>
      <c r="M7" s="152">
        <v>1485864000</v>
      </c>
      <c r="N7" s="152">
        <v>6.7</v>
      </c>
      <c r="O7" s="152">
        <v>233</v>
      </c>
      <c r="P7" s="152">
        <v>1.29</v>
      </c>
      <c r="Q7"/>
      <c r="R7"/>
    </row>
    <row r="8" spans="1:18" x14ac:dyDescent="0.25">
      <c r="A8" s="152">
        <v>36.840000000000003</v>
      </c>
      <c r="B8" s="152">
        <v>0.67</v>
      </c>
      <c r="C8" s="152">
        <v>17.98</v>
      </c>
      <c r="D8" s="8">
        <v>42766.25</v>
      </c>
      <c r="E8" s="152">
        <v>0.46</v>
      </c>
      <c r="F8" s="152" t="s">
        <v>282</v>
      </c>
      <c r="G8" s="152">
        <v>311.89</v>
      </c>
      <c r="H8" s="152">
        <v>0</v>
      </c>
      <c r="I8" s="152">
        <v>0</v>
      </c>
      <c r="J8" s="152">
        <v>1014.86</v>
      </c>
      <c r="K8" s="152" t="s">
        <v>462</v>
      </c>
      <c r="L8" s="152">
        <v>36.840000000000003</v>
      </c>
      <c r="M8" s="152">
        <v>1485867600</v>
      </c>
      <c r="N8" s="152">
        <v>7.12</v>
      </c>
      <c r="O8" s="152">
        <v>241</v>
      </c>
      <c r="P8" s="152">
        <v>1.53</v>
      </c>
      <c r="Q8"/>
      <c r="R8"/>
    </row>
    <row r="9" spans="1:18" x14ac:dyDescent="0.25">
      <c r="A9" s="152">
        <v>36.18</v>
      </c>
      <c r="B9" s="152">
        <v>0.61</v>
      </c>
      <c r="C9" s="152">
        <v>17.41</v>
      </c>
      <c r="D9" s="8">
        <v>42766.291666666664</v>
      </c>
      <c r="E9" s="152">
        <v>0.46</v>
      </c>
      <c r="F9" s="152" t="s">
        <v>282</v>
      </c>
      <c r="G9" s="152">
        <v>311.07</v>
      </c>
      <c r="H9" s="152">
        <v>0</v>
      </c>
      <c r="I9" s="152">
        <v>0</v>
      </c>
      <c r="J9" s="152">
        <v>1015.52</v>
      </c>
      <c r="K9" s="152" t="s">
        <v>462</v>
      </c>
      <c r="L9" s="152">
        <v>36.18</v>
      </c>
      <c r="M9" s="152">
        <v>1485871200</v>
      </c>
      <c r="N9" s="152">
        <v>6.07</v>
      </c>
      <c r="O9" s="152">
        <v>246</v>
      </c>
      <c r="P9" s="152">
        <v>1.43</v>
      </c>
      <c r="Q9"/>
      <c r="R9"/>
    </row>
    <row r="10" spans="1:18" x14ac:dyDescent="0.25">
      <c r="A10" s="152">
        <v>36.43</v>
      </c>
      <c r="B10" s="152">
        <v>0.61</v>
      </c>
      <c r="C10" s="152">
        <v>17.54</v>
      </c>
      <c r="D10" s="8">
        <v>42766.333333333336</v>
      </c>
      <c r="E10" s="152">
        <v>0.46</v>
      </c>
      <c r="F10" s="152" t="s">
        <v>283</v>
      </c>
      <c r="G10" s="152">
        <v>309.26</v>
      </c>
      <c r="H10" s="152">
        <v>0</v>
      </c>
      <c r="I10" s="152">
        <v>0</v>
      </c>
      <c r="J10" s="152">
        <v>1015.77</v>
      </c>
      <c r="K10" s="152" t="s">
        <v>462</v>
      </c>
      <c r="L10" s="152">
        <v>36.43</v>
      </c>
      <c r="M10" s="152">
        <v>1485874800</v>
      </c>
      <c r="N10" s="152">
        <v>5.54</v>
      </c>
      <c r="O10" s="152">
        <v>253</v>
      </c>
      <c r="P10" s="152">
        <v>2.25</v>
      </c>
      <c r="Q10"/>
      <c r="R10"/>
    </row>
    <row r="11" spans="1:18" x14ac:dyDescent="0.25">
      <c r="A11" s="152">
        <v>40.06</v>
      </c>
      <c r="B11" s="152">
        <v>0.6</v>
      </c>
      <c r="C11" s="152">
        <v>18.899999999999999</v>
      </c>
      <c r="D11" s="8">
        <v>42766.375</v>
      </c>
      <c r="E11" s="152">
        <v>0.42</v>
      </c>
      <c r="F11" s="152" t="s">
        <v>283</v>
      </c>
      <c r="G11" s="152">
        <v>305.66000000000003</v>
      </c>
      <c r="H11" s="152">
        <v>0</v>
      </c>
      <c r="I11" s="152">
        <v>0</v>
      </c>
      <c r="J11" s="152">
        <v>1014.23</v>
      </c>
      <c r="K11" s="152" t="s">
        <v>462</v>
      </c>
      <c r="L11" s="152">
        <v>40.06</v>
      </c>
      <c r="M11" s="152">
        <v>1485878400</v>
      </c>
      <c r="N11" s="152">
        <v>10</v>
      </c>
      <c r="O11" s="152">
        <v>244</v>
      </c>
      <c r="P11" s="152">
        <v>1.67</v>
      </c>
      <c r="Q11"/>
      <c r="R11"/>
    </row>
    <row r="12" spans="1:18" x14ac:dyDescent="0.25">
      <c r="A12" s="152">
        <v>46.81</v>
      </c>
      <c r="B12" s="152">
        <v>0.65</v>
      </c>
      <c r="C12" s="152">
        <v>20.190000000000001</v>
      </c>
      <c r="D12" s="8">
        <v>42766.416666666664</v>
      </c>
      <c r="E12" s="152">
        <v>0.34</v>
      </c>
      <c r="F12" s="152" t="s">
        <v>283</v>
      </c>
      <c r="G12" s="152">
        <v>301.08</v>
      </c>
      <c r="H12" s="152">
        <v>0</v>
      </c>
      <c r="I12" s="152">
        <v>0</v>
      </c>
      <c r="J12" s="152">
        <v>1012.17</v>
      </c>
      <c r="K12" s="152" t="s">
        <v>462</v>
      </c>
      <c r="L12" s="152">
        <v>46.81</v>
      </c>
      <c r="M12" s="152">
        <v>1485882000</v>
      </c>
      <c r="N12" s="152">
        <v>5.23</v>
      </c>
      <c r="O12" s="152">
        <v>257</v>
      </c>
      <c r="P12" s="152">
        <v>1.51</v>
      </c>
      <c r="Q12"/>
      <c r="R12"/>
    </row>
    <row r="13" spans="1:18" x14ac:dyDescent="0.25">
      <c r="A13" s="152">
        <v>52.11</v>
      </c>
      <c r="B13" s="152">
        <v>0.68</v>
      </c>
      <c r="C13" s="152">
        <v>16.27</v>
      </c>
      <c r="D13" s="8">
        <v>42766.458333333336</v>
      </c>
      <c r="E13" s="152">
        <v>0.24</v>
      </c>
      <c r="F13" s="152" t="s">
        <v>283</v>
      </c>
      <c r="G13" s="152">
        <v>297.55</v>
      </c>
      <c r="H13" s="152">
        <v>0</v>
      </c>
      <c r="I13" s="152">
        <v>0</v>
      </c>
      <c r="J13" s="152">
        <v>1010.4</v>
      </c>
      <c r="K13" s="152" t="s">
        <v>462</v>
      </c>
      <c r="L13" s="152">
        <v>52.11</v>
      </c>
      <c r="M13" s="152">
        <v>1485885600</v>
      </c>
      <c r="N13" s="152">
        <v>10</v>
      </c>
      <c r="O13" s="152">
        <v>278</v>
      </c>
      <c r="P13" s="152">
        <v>0.45</v>
      </c>
      <c r="Q13"/>
      <c r="R13"/>
    </row>
    <row r="14" spans="1:18" x14ac:dyDescent="0.25">
      <c r="A14" s="152">
        <v>55.25</v>
      </c>
      <c r="B14" s="152">
        <v>0.62</v>
      </c>
      <c r="C14" s="152">
        <v>16.89</v>
      </c>
      <c r="D14" s="8">
        <v>42766.5</v>
      </c>
      <c r="E14" s="152">
        <v>0.22</v>
      </c>
      <c r="F14" s="152" t="s">
        <v>283</v>
      </c>
      <c r="G14" s="152">
        <v>296.02999999999997</v>
      </c>
      <c r="H14" s="152">
        <v>0</v>
      </c>
      <c r="I14" s="152">
        <v>0</v>
      </c>
      <c r="J14" s="152">
        <v>1009.43</v>
      </c>
      <c r="K14" s="152" t="s">
        <v>462</v>
      </c>
      <c r="L14" s="152">
        <v>55.25</v>
      </c>
      <c r="M14" s="152">
        <v>1485889200</v>
      </c>
      <c r="N14" s="152">
        <v>5.22</v>
      </c>
      <c r="O14" s="152">
        <v>338</v>
      </c>
      <c r="P14" s="152">
        <v>1.4</v>
      </c>
      <c r="Q14"/>
      <c r="R14"/>
    </row>
    <row r="15" spans="1:18" x14ac:dyDescent="0.25">
      <c r="A15" s="152">
        <v>56.46</v>
      </c>
      <c r="B15" s="152">
        <v>0.5</v>
      </c>
      <c r="C15" s="152">
        <v>10.59</v>
      </c>
      <c r="D15" s="8">
        <v>42766.541666666664</v>
      </c>
      <c r="E15" s="152">
        <v>0.16</v>
      </c>
      <c r="F15" s="152" t="s">
        <v>283</v>
      </c>
      <c r="G15" s="152">
        <v>295.57</v>
      </c>
      <c r="H15" s="152">
        <v>0</v>
      </c>
      <c r="I15" s="152">
        <v>0</v>
      </c>
      <c r="J15" s="152">
        <v>1008.65</v>
      </c>
      <c r="K15" s="152" t="s">
        <v>284</v>
      </c>
      <c r="L15" s="152">
        <v>56.46</v>
      </c>
      <c r="M15" s="152">
        <v>1485892800</v>
      </c>
      <c r="N15" s="152">
        <v>5.3</v>
      </c>
      <c r="O15" s="152">
        <v>308</v>
      </c>
      <c r="P15" s="152">
        <v>2.39</v>
      </c>
      <c r="Q15"/>
      <c r="R15"/>
    </row>
    <row r="16" spans="1:18" x14ac:dyDescent="0.25">
      <c r="A16" s="152">
        <v>59.49</v>
      </c>
      <c r="B16" s="152">
        <v>0.44</v>
      </c>
      <c r="C16" s="152">
        <v>11.06</v>
      </c>
      <c r="D16" s="8">
        <v>42766.583333333336</v>
      </c>
      <c r="E16" s="152">
        <v>0.14000000000000001</v>
      </c>
      <c r="F16" s="152" t="s">
        <v>283</v>
      </c>
      <c r="G16" s="152">
        <v>295.35000000000002</v>
      </c>
      <c r="H16" s="152">
        <v>0</v>
      </c>
      <c r="I16" s="152">
        <v>0</v>
      </c>
      <c r="J16" s="152">
        <v>1008.19</v>
      </c>
      <c r="K16" s="152" t="s">
        <v>284</v>
      </c>
      <c r="L16" s="152">
        <v>59.49</v>
      </c>
      <c r="M16" s="152">
        <v>1485896400</v>
      </c>
      <c r="N16" s="152">
        <v>5.23</v>
      </c>
      <c r="O16" s="152">
        <v>336</v>
      </c>
      <c r="P16" s="152">
        <v>2.73</v>
      </c>
      <c r="Q16"/>
      <c r="R16"/>
    </row>
    <row r="17" spans="1:18" x14ac:dyDescent="0.25">
      <c r="A17" s="152">
        <v>58.68</v>
      </c>
      <c r="B17" s="152">
        <v>0.46</v>
      </c>
      <c r="C17" s="152">
        <v>11.53</v>
      </c>
      <c r="D17" s="8">
        <v>42766.625</v>
      </c>
      <c r="E17" s="152">
        <v>0.15</v>
      </c>
      <c r="F17" s="152" t="s">
        <v>283</v>
      </c>
      <c r="G17" s="152">
        <v>295.39999999999998</v>
      </c>
      <c r="H17" s="152">
        <v>0</v>
      </c>
      <c r="I17" s="152">
        <v>0</v>
      </c>
      <c r="J17" s="152">
        <v>1008.08</v>
      </c>
      <c r="K17" s="152" t="s">
        <v>284</v>
      </c>
      <c r="L17" s="152">
        <v>58.68</v>
      </c>
      <c r="M17" s="152">
        <v>1485900000</v>
      </c>
      <c r="N17" s="152">
        <v>5.33</v>
      </c>
      <c r="O17" s="152">
        <v>282</v>
      </c>
      <c r="P17" s="152">
        <v>2.0699999999999998</v>
      </c>
      <c r="Q17"/>
      <c r="R17"/>
    </row>
    <row r="18" spans="1:18" x14ac:dyDescent="0.25">
      <c r="A18" s="152">
        <v>56.94</v>
      </c>
      <c r="B18" s="152">
        <v>0.56000000000000005</v>
      </c>
      <c r="C18" s="152">
        <v>9.66</v>
      </c>
      <c r="D18" s="8">
        <v>42766.666666666664</v>
      </c>
      <c r="E18" s="152">
        <v>0.15</v>
      </c>
      <c r="F18" s="152" t="s">
        <v>283</v>
      </c>
      <c r="G18" s="152">
        <v>295.7</v>
      </c>
      <c r="H18" s="152">
        <v>0</v>
      </c>
      <c r="I18" s="152">
        <v>0</v>
      </c>
      <c r="J18" s="152">
        <v>1008.42</v>
      </c>
      <c r="K18" s="152" t="s">
        <v>284</v>
      </c>
      <c r="L18" s="152">
        <v>56.94</v>
      </c>
      <c r="M18" s="152">
        <v>1485903600</v>
      </c>
      <c r="N18" s="152">
        <v>5.57</v>
      </c>
      <c r="O18" s="152">
        <v>309</v>
      </c>
      <c r="P18" s="152">
        <v>1.31</v>
      </c>
      <c r="Q18"/>
      <c r="R18"/>
    </row>
    <row r="19" spans="1:18" x14ac:dyDescent="0.25">
      <c r="A19" s="152">
        <v>54.41</v>
      </c>
      <c r="B19" s="152">
        <v>0.43</v>
      </c>
      <c r="C19" s="152">
        <v>10.27</v>
      </c>
      <c r="D19" s="8">
        <v>42766.708333333336</v>
      </c>
      <c r="E19" s="152">
        <v>0.17</v>
      </c>
      <c r="F19" s="152" t="s">
        <v>283</v>
      </c>
      <c r="G19" s="152">
        <v>295.45</v>
      </c>
      <c r="H19" s="152">
        <v>0</v>
      </c>
      <c r="I19" s="152">
        <v>0</v>
      </c>
      <c r="J19" s="152">
        <v>1009.25</v>
      </c>
      <c r="K19" s="152" t="s">
        <v>284</v>
      </c>
      <c r="L19" s="152">
        <v>54.41</v>
      </c>
      <c r="M19" s="152">
        <v>1485907200</v>
      </c>
      <c r="N19" s="152">
        <v>6.04</v>
      </c>
      <c r="O19" s="152">
        <v>73</v>
      </c>
      <c r="P19" s="152">
        <v>1.81</v>
      </c>
      <c r="Q19"/>
      <c r="R19"/>
    </row>
    <row r="20" spans="1:18" x14ac:dyDescent="0.25">
      <c r="A20" s="152">
        <v>53.21</v>
      </c>
      <c r="B20" s="152">
        <v>0.55000000000000004</v>
      </c>
      <c r="C20" s="152">
        <v>13.94</v>
      </c>
      <c r="D20" s="8">
        <v>42766.75</v>
      </c>
      <c r="E20" s="152">
        <v>0.21</v>
      </c>
      <c r="F20" s="152" t="s">
        <v>282</v>
      </c>
      <c r="G20" s="152">
        <v>294.17</v>
      </c>
      <c r="H20" s="152">
        <v>0</v>
      </c>
      <c r="I20" s="152">
        <v>0</v>
      </c>
      <c r="J20" s="152">
        <v>1010.05</v>
      </c>
      <c r="K20" s="152" t="s">
        <v>284</v>
      </c>
      <c r="L20" s="152">
        <v>53.21</v>
      </c>
      <c r="M20" s="152">
        <v>1485910800</v>
      </c>
      <c r="N20" s="152">
        <v>6.89</v>
      </c>
      <c r="O20" s="152">
        <v>357</v>
      </c>
      <c r="P20" s="152">
        <v>1.1000000000000001</v>
      </c>
      <c r="Q20"/>
      <c r="R20"/>
    </row>
    <row r="21" spans="1:18" x14ac:dyDescent="0.25">
      <c r="A21" s="152">
        <v>50.46</v>
      </c>
      <c r="B21" s="152">
        <v>0.38</v>
      </c>
      <c r="C21" s="152">
        <v>15.27</v>
      </c>
      <c r="D21" s="8">
        <v>42766.791666666664</v>
      </c>
      <c r="E21" s="152">
        <v>0.24</v>
      </c>
      <c r="F21" s="152" t="s">
        <v>282</v>
      </c>
      <c r="G21" s="152">
        <v>292.33</v>
      </c>
      <c r="H21" s="152">
        <v>0</v>
      </c>
      <c r="I21" s="152">
        <v>0</v>
      </c>
      <c r="J21" s="152">
        <v>1011.47</v>
      </c>
      <c r="K21" s="152" t="s">
        <v>284</v>
      </c>
      <c r="L21" s="152">
        <v>50.46</v>
      </c>
      <c r="M21" s="152">
        <v>1485914400</v>
      </c>
      <c r="N21" s="152">
        <v>7.23</v>
      </c>
      <c r="O21" s="152">
        <v>335</v>
      </c>
      <c r="P21" s="152">
        <v>1.74</v>
      </c>
      <c r="Q21"/>
      <c r="R21"/>
    </row>
    <row r="22" spans="1:18" x14ac:dyDescent="0.25">
      <c r="A22" s="152">
        <v>47.99</v>
      </c>
      <c r="B22" s="152">
        <v>0.3</v>
      </c>
      <c r="C22" s="152">
        <v>13.03</v>
      </c>
      <c r="D22" s="8">
        <v>42766.833333333336</v>
      </c>
      <c r="E22" s="152">
        <v>0.24</v>
      </c>
      <c r="F22" s="152" t="s">
        <v>282</v>
      </c>
      <c r="G22" s="152">
        <v>290.66000000000003</v>
      </c>
      <c r="H22" s="152">
        <v>0</v>
      </c>
      <c r="I22" s="152">
        <v>0</v>
      </c>
      <c r="J22" s="152">
        <v>1012.88</v>
      </c>
      <c r="K22" s="152" t="s">
        <v>284</v>
      </c>
      <c r="L22" s="152">
        <v>47.99</v>
      </c>
      <c r="M22" s="152">
        <v>1485918000</v>
      </c>
      <c r="N22" s="152">
        <v>6.11</v>
      </c>
      <c r="O22" s="152">
        <v>260</v>
      </c>
      <c r="P22" s="152">
        <v>1.62</v>
      </c>
      <c r="Q22"/>
      <c r="R22"/>
    </row>
    <row r="23" spans="1:18" x14ac:dyDescent="0.25">
      <c r="A23" s="152">
        <v>46.89</v>
      </c>
      <c r="B23" s="152">
        <v>0.39</v>
      </c>
      <c r="C23" s="152">
        <v>16.350000000000001</v>
      </c>
      <c r="D23" s="8">
        <v>42766.875</v>
      </c>
      <c r="E23" s="152">
        <v>0.28999999999999998</v>
      </c>
      <c r="F23" s="152" t="s">
        <v>282</v>
      </c>
      <c r="G23" s="152">
        <v>289.36</v>
      </c>
      <c r="H23" s="152">
        <v>0</v>
      </c>
      <c r="I23" s="152">
        <v>0</v>
      </c>
      <c r="J23" s="152">
        <v>1013.65</v>
      </c>
      <c r="K23" s="152" t="s">
        <v>284</v>
      </c>
      <c r="L23" s="152">
        <v>46.89</v>
      </c>
      <c r="M23" s="152">
        <v>1485921600</v>
      </c>
      <c r="N23" s="152">
        <v>5.43</v>
      </c>
      <c r="O23" s="152">
        <v>235</v>
      </c>
      <c r="P23" s="152">
        <v>1.65</v>
      </c>
      <c r="Q23"/>
      <c r="R23"/>
    </row>
    <row r="24" spans="1:18" x14ac:dyDescent="0.25">
      <c r="A24" s="152">
        <v>45.69</v>
      </c>
      <c r="B24" s="152">
        <v>0.51</v>
      </c>
      <c r="C24" s="152">
        <v>17.02</v>
      </c>
      <c r="D24" s="8">
        <v>42766.916666666664</v>
      </c>
      <c r="E24" s="152">
        <v>0.31</v>
      </c>
      <c r="F24" s="152" t="s">
        <v>282</v>
      </c>
      <c r="G24" s="152">
        <v>288.23</v>
      </c>
      <c r="H24" s="152">
        <v>0</v>
      </c>
      <c r="I24" s="152">
        <v>0</v>
      </c>
      <c r="J24" s="152">
        <v>1014.08</v>
      </c>
      <c r="K24" s="152" t="s">
        <v>284</v>
      </c>
      <c r="L24" s="152">
        <v>45.69</v>
      </c>
      <c r="M24" s="152">
        <v>1485925200</v>
      </c>
      <c r="N24" s="152">
        <v>5.34</v>
      </c>
      <c r="O24" s="152">
        <v>271</v>
      </c>
      <c r="P24" s="152">
        <v>1.06</v>
      </c>
      <c r="Q24"/>
      <c r="R24"/>
    </row>
    <row r="25" spans="1:18" x14ac:dyDescent="0.25">
      <c r="A25" s="152">
        <v>43.85</v>
      </c>
      <c r="B25" s="152">
        <v>0.5</v>
      </c>
      <c r="C25" s="152">
        <v>16.62</v>
      </c>
      <c r="D25" s="8">
        <v>42766.958333333336</v>
      </c>
      <c r="E25" s="152">
        <v>0.33</v>
      </c>
      <c r="F25" s="152" t="s">
        <v>282</v>
      </c>
      <c r="G25" s="152">
        <v>287.32</v>
      </c>
      <c r="H25" s="152">
        <v>0</v>
      </c>
      <c r="I25" s="152">
        <v>0</v>
      </c>
      <c r="J25" s="152">
        <v>1014.69</v>
      </c>
      <c r="K25" s="152" t="s">
        <v>284</v>
      </c>
      <c r="L25" s="152">
        <v>43.85</v>
      </c>
      <c r="M25" s="152">
        <v>1485928800</v>
      </c>
      <c r="N25" s="152">
        <v>10</v>
      </c>
      <c r="O25" s="152">
        <v>2</v>
      </c>
      <c r="P25" s="152">
        <v>1.75</v>
      </c>
      <c r="Q25"/>
      <c r="R25"/>
    </row>
    <row r="26" spans="1:18" x14ac:dyDescent="0.25">
      <c r="A26" s="152">
        <v>40.53</v>
      </c>
      <c r="B26" s="152">
        <v>0.56000000000000005</v>
      </c>
      <c r="C26" s="152">
        <v>14.87</v>
      </c>
      <c r="D26" s="8">
        <v>42767</v>
      </c>
      <c r="E26" s="152">
        <v>0.35</v>
      </c>
      <c r="F26" s="152" t="s">
        <v>282</v>
      </c>
      <c r="G26" s="152">
        <v>286.89999999999998</v>
      </c>
      <c r="H26" s="152">
        <v>0</v>
      </c>
      <c r="I26" s="152">
        <v>0</v>
      </c>
      <c r="J26" s="152">
        <v>1016.09</v>
      </c>
      <c r="K26" s="152" t="s">
        <v>284</v>
      </c>
      <c r="L26" s="152">
        <v>40.53</v>
      </c>
      <c r="M26" s="152">
        <v>1485932400</v>
      </c>
      <c r="N26" s="152">
        <v>5.88</v>
      </c>
      <c r="O26" s="152">
        <v>12</v>
      </c>
      <c r="P26" s="152">
        <v>2.64</v>
      </c>
      <c r="Q26"/>
      <c r="R26"/>
    </row>
    <row r="27" spans="1:18" x14ac:dyDescent="0.25">
      <c r="A27" s="152">
        <v>31.73</v>
      </c>
      <c r="B27" s="152">
        <v>0.62</v>
      </c>
      <c r="C27" s="152">
        <v>19.77</v>
      </c>
      <c r="D27" s="8">
        <v>42767.041666666664</v>
      </c>
      <c r="E27" s="152">
        <v>0.5</v>
      </c>
      <c r="F27" s="152" t="s">
        <v>282</v>
      </c>
      <c r="G27" s="152">
        <v>286.49</v>
      </c>
      <c r="H27" s="152">
        <v>0</v>
      </c>
      <c r="I27" s="152">
        <v>0</v>
      </c>
      <c r="J27" s="152">
        <v>1017.32</v>
      </c>
      <c r="K27" s="152" t="s">
        <v>462</v>
      </c>
      <c r="L27" s="152">
        <v>36.72</v>
      </c>
      <c r="M27" s="152">
        <v>1485936000</v>
      </c>
      <c r="N27" s="152">
        <v>5.72</v>
      </c>
      <c r="O27" s="152">
        <v>357</v>
      </c>
      <c r="P27" s="152">
        <v>6.16</v>
      </c>
      <c r="Q27"/>
      <c r="R27"/>
    </row>
    <row r="28" spans="1:18" x14ac:dyDescent="0.25">
      <c r="A28" s="152">
        <v>29.68</v>
      </c>
      <c r="B28" s="152">
        <v>0.51</v>
      </c>
      <c r="C28" s="152">
        <v>20.77</v>
      </c>
      <c r="D28" s="8">
        <v>42767.083333333336</v>
      </c>
      <c r="E28" s="152">
        <v>0.56999999999999995</v>
      </c>
      <c r="F28" s="152" t="s">
        <v>282</v>
      </c>
      <c r="G28" s="152">
        <v>286.07</v>
      </c>
      <c r="H28" s="152">
        <v>0</v>
      </c>
      <c r="I28" s="152">
        <v>0</v>
      </c>
      <c r="J28" s="152">
        <v>1018.54</v>
      </c>
      <c r="K28" s="152" t="s">
        <v>284</v>
      </c>
      <c r="L28" s="152">
        <v>34.5</v>
      </c>
      <c r="M28" s="152">
        <v>1485939600</v>
      </c>
      <c r="N28" s="152">
        <v>3.97</v>
      </c>
      <c r="O28" s="152">
        <v>354</v>
      </c>
      <c r="P28" s="152">
        <v>5.39</v>
      </c>
      <c r="Q28"/>
      <c r="R28"/>
    </row>
    <row r="29" spans="1:18" x14ac:dyDescent="0.25">
      <c r="A29" s="152">
        <v>22.46</v>
      </c>
      <c r="B29" s="152">
        <v>0.5</v>
      </c>
      <c r="C29" s="152">
        <v>15.17</v>
      </c>
      <c r="D29" s="8">
        <v>42767.125</v>
      </c>
      <c r="E29" s="152">
        <v>0.59</v>
      </c>
      <c r="F29" s="152" t="s">
        <v>282</v>
      </c>
      <c r="G29" s="152">
        <v>285.73</v>
      </c>
      <c r="H29" s="152">
        <v>0</v>
      </c>
      <c r="I29" s="152">
        <v>0</v>
      </c>
      <c r="J29" s="152">
        <v>1019.15</v>
      </c>
      <c r="K29" s="152" t="s">
        <v>284</v>
      </c>
      <c r="L29" s="152">
        <v>27.55</v>
      </c>
      <c r="M29" s="152">
        <v>1485943200</v>
      </c>
      <c r="N29" s="152">
        <v>6.44</v>
      </c>
      <c r="O29" s="152">
        <v>6</v>
      </c>
      <c r="P29" s="152">
        <v>4.41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4" t="s">
        <v>190</v>
      </c>
    </row>
    <row r="33" spans="1:1" x14ac:dyDescent="0.25">
      <c r="A33" s="15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7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5" t="s">
        <v>101</v>
      </c>
      <c r="K1" s="165" t="s">
        <v>66</v>
      </c>
      <c r="L1" s="165" t="s">
        <v>67</v>
      </c>
      <c r="O1" s="166" t="s">
        <v>102</v>
      </c>
    </row>
    <row r="2" spans="1:16" ht="15.75" thickBot="1" x14ac:dyDescent="0.3">
      <c r="A2" s="12">
        <v>42766</v>
      </c>
      <c r="B2" s="4"/>
      <c r="C2" s="133">
        <v>50</v>
      </c>
      <c r="D2" s="134">
        <v>25</v>
      </c>
      <c r="F2" t="s">
        <v>113</v>
      </c>
      <c r="J2" s="165"/>
      <c r="K2" s="165" t="s">
        <v>66</v>
      </c>
      <c r="L2" s="165" t="s">
        <v>67</v>
      </c>
    </row>
    <row r="3" spans="1:16" x14ac:dyDescent="0.25">
      <c r="C3" s="64"/>
      <c r="F3" t="s">
        <v>52</v>
      </c>
      <c r="J3" s="167" t="s">
        <v>68</v>
      </c>
      <c r="K3" s="168">
        <v>2.7052</v>
      </c>
      <c r="L3" s="168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7" t="s">
        <v>69</v>
      </c>
      <c r="K4" s="168">
        <v>3.0830000000000002</v>
      </c>
      <c r="L4" s="168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7" t="s">
        <v>70</v>
      </c>
      <c r="K5" s="168">
        <v>3.3136000000000001</v>
      </c>
      <c r="L5" s="168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7" t="s">
        <v>71</v>
      </c>
      <c r="K6" s="168">
        <v>4.2778999999999998</v>
      </c>
      <c r="L6" s="168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7" t="s">
        <v>72</v>
      </c>
      <c r="K7" s="168">
        <v>4.7865000000000002</v>
      </c>
      <c r="L7" s="168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7" t="s">
        <v>73</v>
      </c>
      <c r="K8" s="168">
        <v>5.3155000000000001</v>
      </c>
      <c r="L8" s="168">
        <v>5.3277000000000001</v>
      </c>
      <c r="M8" s="152">
        <f t="shared" si="0"/>
        <v>5.3216000000000001</v>
      </c>
    </row>
    <row r="9" spans="1:16" x14ac:dyDescent="0.25">
      <c r="C9" s="64"/>
      <c r="J9" s="167" t="s">
        <v>74</v>
      </c>
      <c r="K9" s="168">
        <v>5.8117000000000001</v>
      </c>
      <c r="L9" s="168">
        <v>5.8300999999999998</v>
      </c>
      <c r="M9" s="152">
        <f t="shared" si="0"/>
        <v>5.8209</v>
      </c>
    </row>
    <row r="10" spans="1:16" x14ac:dyDescent="0.25">
      <c r="C10" s="64"/>
      <c r="J10" s="167" t="s">
        <v>75</v>
      </c>
      <c r="K10" s="168">
        <v>5.8783000000000003</v>
      </c>
      <c r="L10" s="168">
        <v>5.8903999999999996</v>
      </c>
      <c r="M10" s="152">
        <f t="shared" si="0"/>
        <v>5.8843499999999995</v>
      </c>
    </row>
    <row r="11" spans="1:16" x14ac:dyDescent="0.25">
      <c r="C11" s="64"/>
      <c r="J11" s="167" t="s">
        <v>76</v>
      </c>
      <c r="K11" s="168">
        <v>6.3068</v>
      </c>
      <c r="L11" s="168">
        <v>6.3308999999999997</v>
      </c>
      <c r="M11" s="152">
        <f t="shared" si="0"/>
        <v>6.3188499999999994</v>
      </c>
    </row>
    <row r="12" spans="1:16" x14ac:dyDescent="0.25">
      <c r="C12" s="64"/>
      <c r="J12" s="167" t="s">
        <v>77</v>
      </c>
      <c r="K12" s="168">
        <v>7.8349000000000002</v>
      </c>
      <c r="L12" s="168">
        <v>7.8468999999999998</v>
      </c>
      <c r="M12" s="152">
        <f t="shared" si="0"/>
        <v>7.8408999999999995</v>
      </c>
    </row>
    <row r="13" spans="1:16" x14ac:dyDescent="0.25">
      <c r="C13" s="64"/>
      <c r="J13" s="167" t="s">
        <v>78</v>
      </c>
      <c r="K13" s="168">
        <v>10.373799999999999</v>
      </c>
      <c r="L13" s="168">
        <v>10.38</v>
      </c>
      <c r="M13" s="152">
        <f t="shared" si="0"/>
        <v>10.376899999999999</v>
      </c>
    </row>
    <row r="14" spans="1:16" x14ac:dyDescent="0.25">
      <c r="C14" s="64"/>
      <c r="J14" s="167" t="s">
        <v>79</v>
      </c>
      <c r="K14" s="168">
        <v>10.8954</v>
      </c>
      <c r="L14" s="168">
        <v>10.913500000000001</v>
      </c>
      <c r="M14" s="152">
        <f t="shared" si="0"/>
        <v>10.904450000000001</v>
      </c>
    </row>
    <row r="15" spans="1:16" x14ac:dyDescent="0.25">
      <c r="C15" s="64"/>
      <c r="J15" s="167"/>
      <c r="K15" s="168"/>
      <c r="L15" s="168"/>
    </row>
    <row r="16" spans="1:16" x14ac:dyDescent="0.25">
      <c r="C16" s="64"/>
      <c r="J16" s="167"/>
      <c r="K16" s="168"/>
      <c r="L16" s="168"/>
    </row>
    <row r="17" spans="3:13" x14ac:dyDescent="0.25">
      <c r="C17" s="149" t="s">
        <v>191</v>
      </c>
      <c r="J17" s="167"/>
      <c r="K17" s="168"/>
      <c r="L17" s="168"/>
    </row>
    <row r="18" spans="3:13" x14ac:dyDescent="0.25">
      <c r="C18" t="s">
        <v>867</v>
      </c>
      <c r="J18" s="167" t="s">
        <v>85</v>
      </c>
      <c r="K18" s="168"/>
      <c r="L18" s="168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868</v>
      </c>
      <c r="J19" s="167" t="s">
        <v>86</v>
      </c>
      <c r="K19" s="168"/>
      <c r="L19" s="168"/>
      <c r="M19" s="152" t="s">
        <v>112</v>
      </c>
    </row>
    <row r="20" spans="3:13" x14ac:dyDescent="0.25">
      <c r="C20" t="s">
        <v>869</v>
      </c>
      <c r="J20" s="152" t="s">
        <v>87</v>
      </c>
      <c r="M20" s="152" t="s">
        <v>220</v>
      </c>
    </row>
    <row r="21" spans="3:13" x14ac:dyDescent="0.25">
      <c r="C21" t="s">
        <v>870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871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872</v>
      </c>
      <c r="J23" s="169" t="s">
        <v>95</v>
      </c>
      <c r="M23" s="152" t="str">
        <f>"-07"</f>
        <v>-07</v>
      </c>
    </row>
    <row r="24" spans="3:13" x14ac:dyDescent="0.25">
      <c r="C24" t="s">
        <v>873</v>
      </c>
      <c r="J24" s="152" t="s">
        <v>108</v>
      </c>
      <c r="M24" s="152" t="s">
        <v>110</v>
      </c>
    </row>
    <row r="25" spans="3:13" x14ac:dyDescent="0.25">
      <c r="C25" t="s">
        <v>874</v>
      </c>
      <c r="J25" s="152" t="s">
        <v>150</v>
      </c>
      <c r="M25" s="152" t="b">
        <v>1</v>
      </c>
    </row>
    <row r="26" spans="3:13" x14ac:dyDescent="0.25">
      <c r="C26" t="s">
        <v>875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C:\Users\stu\Documents\GitHub\eaglep3-reporting\EC\2017-01-31-refined-times.txt</v>
      </c>
    </row>
    <row r="27" spans="3:13" x14ac:dyDescent="0.25">
      <c r="C27" t="s">
        <v>490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C:\Users\stu\Documents\GitHub\eaglep3-reporting\EC\2017-01-31-Enforcements.txt</v>
      </c>
    </row>
    <row r="28" spans="3:13" x14ac:dyDescent="0.25">
      <c r="C28" t="s">
        <v>876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C:\Users\stu\Documents\GitHub\eaglep3-reporting\EC\2017-01-31-Runs-refined.txt</v>
      </c>
    </row>
    <row r="29" spans="3:13" x14ac:dyDescent="0.25">
      <c r="C29" t="s">
        <v>877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C:\Users\stu\Documents\GitHub\eaglep3-reporting\EC\2017-01-31-Trips.txt</v>
      </c>
    </row>
    <row r="30" spans="3:13" x14ac:dyDescent="0.25">
      <c r="C30" t="s">
        <v>878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C:\Users\stu\Documents\GitHub\eaglep3-reporting\EC\2017-01-31-Weather.txt</v>
      </c>
    </row>
    <row r="31" spans="3:13" x14ac:dyDescent="0.25">
      <c r="C31" t="s">
        <v>879</v>
      </c>
      <c r="J31" s="152" t="s">
        <v>218</v>
      </c>
      <c r="M31" s="152" t="s">
        <v>219</v>
      </c>
    </row>
    <row r="32" spans="3:13" x14ac:dyDescent="0.25">
      <c r="C32" t="s">
        <v>880</v>
      </c>
    </row>
    <row r="33" spans="3:3" x14ac:dyDescent="0.25">
      <c r="C33" t="s">
        <v>881</v>
      </c>
    </row>
    <row r="34" spans="3:3" x14ac:dyDescent="0.25">
      <c r="C34" t="s">
        <v>882</v>
      </c>
    </row>
    <row r="35" spans="3:3" x14ac:dyDescent="0.25">
      <c r="C35" t="s">
        <v>883</v>
      </c>
    </row>
    <row r="36" spans="3:3" x14ac:dyDescent="0.25">
      <c r="C36" t="s">
        <v>884</v>
      </c>
    </row>
    <row r="37" spans="3:3" x14ac:dyDescent="0.25">
      <c r="C37" t="s">
        <v>885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367</v>
      </c>
      <c r="B1" t="str">
        <f t="shared" ref="B1:B30" si="0">MID(A1,6,23)</f>
        <v>2017/01/29 11:52:55.843</v>
      </c>
      <c r="C1" t="e">
        <f>ABS(B1-#REF!)</f>
        <v>#REF!</v>
      </c>
    </row>
    <row r="2" spans="1:3" x14ac:dyDescent="0.25">
      <c r="A2" t="s">
        <v>368</v>
      </c>
      <c r="B2" s="20" t="str">
        <f t="shared" si="0"/>
        <v>2017/01/29 11:52:56.113</v>
      </c>
      <c r="C2">
        <f>ABS(B2-B1)</f>
        <v>3.1250019674189389E-6</v>
      </c>
    </row>
    <row r="3" spans="1:3" x14ac:dyDescent="0.25">
      <c r="A3" t="s">
        <v>369</v>
      </c>
      <c r="B3" s="20" t="str">
        <f t="shared" si="0"/>
        <v>2017/01/29 12:42:13.436</v>
      </c>
      <c r="C3" s="20">
        <f t="shared" ref="C3:C30" si="1">ABS(B3-B2)</f>
        <v>3.4228275464556646E-2</v>
      </c>
    </row>
    <row r="4" spans="1:3" x14ac:dyDescent="0.25">
      <c r="A4" t="s">
        <v>370</v>
      </c>
      <c r="B4" s="20" t="str">
        <f t="shared" si="0"/>
        <v>2017/01/29 12:42:13.472</v>
      </c>
      <c r="C4" s="20">
        <f t="shared" si="1"/>
        <v>4.1666498873382807E-7</v>
      </c>
    </row>
    <row r="5" spans="1:3" x14ac:dyDescent="0.25">
      <c r="A5" t="s">
        <v>371</v>
      </c>
      <c r="B5" s="20" t="str">
        <f t="shared" si="0"/>
        <v>2017/01/29 14:58:32.149</v>
      </c>
      <c r="C5" s="20">
        <f t="shared" si="1"/>
        <v>9.4660613423911855E-2</v>
      </c>
    </row>
    <row r="6" spans="1:3" x14ac:dyDescent="0.25">
      <c r="A6" t="s">
        <v>372</v>
      </c>
      <c r="B6" s="20" t="str">
        <f t="shared" si="0"/>
        <v>2017/01/29 14:58:32.233</v>
      </c>
      <c r="C6" s="20">
        <f t="shared" si="1"/>
        <v>9.7222073236480355E-7</v>
      </c>
    </row>
    <row r="7" spans="1:3" x14ac:dyDescent="0.25">
      <c r="A7" t="s">
        <v>373</v>
      </c>
      <c r="B7" s="20" t="str">
        <f t="shared" si="0"/>
        <v>2017/01/29 14:58:32.369</v>
      </c>
      <c r="C7" s="20">
        <f t="shared" si="1"/>
        <v>1.5740806702524424E-6</v>
      </c>
    </row>
    <row r="8" spans="1:3" x14ac:dyDescent="0.25">
      <c r="A8" t="s">
        <v>374</v>
      </c>
      <c r="B8" s="20" t="str">
        <f t="shared" si="0"/>
        <v>2017/01/29 16:02:55.866</v>
      </c>
      <c r="C8" s="20">
        <f t="shared" si="1"/>
        <v>4.4716400458128192E-2</v>
      </c>
    </row>
    <row r="9" spans="1:3" x14ac:dyDescent="0.25">
      <c r="A9" t="s">
        <v>375</v>
      </c>
      <c r="B9" s="20" t="str">
        <f t="shared" si="0"/>
        <v>2017/01/29 16:02:56.266</v>
      </c>
      <c r="C9" s="20">
        <f t="shared" si="1"/>
        <v>4.6296336222440004E-6</v>
      </c>
    </row>
    <row r="10" spans="1:3" x14ac:dyDescent="0.25">
      <c r="A10" t="s">
        <v>376</v>
      </c>
      <c r="B10" s="20" t="str">
        <f t="shared" si="0"/>
        <v>2017/01/29 16:02:56.298</v>
      </c>
      <c r="C10" s="20">
        <f t="shared" si="1"/>
        <v>3.7036807043477893E-7</v>
      </c>
    </row>
    <row r="11" spans="1:3" x14ac:dyDescent="0.25">
      <c r="A11" t="s">
        <v>377</v>
      </c>
      <c r="B11" s="20" t="str">
        <f t="shared" si="0"/>
        <v>2017/01/29 16:43:14.325</v>
      </c>
      <c r="C11" s="20">
        <f t="shared" si="1"/>
        <v>2.7986423614493106E-2</v>
      </c>
    </row>
    <row r="12" spans="1:3" x14ac:dyDescent="0.25">
      <c r="A12" t="s">
        <v>378</v>
      </c>
      <c r="B12" s="20" t="str">
        <f t="shared" si="0"/>
        <v>2017/01/29 16:43:14.387</v>
      </c>
      <c r="C12" s="20">
        <f t="shared" si="1"/>
        <v>7.1759131969884038E-7</v>
      </c>
    </row>
    <row r="13" spans="1:3" x14ac:dyDescent="0.25">
      <c r="A13" t="s">
        <v>379</v>
      </c>
      <c r="B13" s="20" t="str">
        <f t="shared" si="0"/>
        <v>2017/01/29 16:43:14.760</v>
      </c>
      <c r="C13" s="20">
        <f t="shared" si="1"/>
        <v>4.3171312427148223E-6</v>
      </c>
    </row>
    <row r="14" spans="1:3" x14ac:dyDescent="0.25">
      <c r="A14" t="s">
        <v>380</v>
      </c>
      <c r="B14" s="20" t="str">
        <f t="shared" si="0"/>
        <v>2017/01/29 18:54:46.753</v>
      </c>
      <c r="C14" s="20">
        <f t="shared" si="1"/>
        <v>9.1342511572293006E-2</v>
      </c>
    </row>
    <row r="15" spans="1:3" x14ac:dyDescent="0.25">
      <c r="A15" t="s">
        <v>381</v>
      </c>
      <c r="B15" s="20" t="str">
        <f t="shared" si="0"/>
        <v>2017/01/29 18:54:47.734</v>
      </c>
      <c r="C15" s="20">
        <f t="shared" si="1"/>
        <v>1.1354168236721307E-5</v>
      </c>
    </row>
    <row r="16" spans="1:3" x14ac:dyDescent="0.25">
      <c r="A16" t="s">
        <v>382</v>
      </c>
      <c r="B16" s="20" t="str">
        <f t="shared" si="0"/>
        <v>2017/01/29 18:54:48.270</v>
      </c>
      <c r="C16" s="20">
        <f t="shared" si="1"/>
        <v>6.2036997405812144E-6</v>
      </c>
    </row>
    <row r="17" spans="1:3" x14ac:dyDescent="0.25">
      <c r="A17" t="s">
        <v>383</v>
      </c>
      <c r="B17" s="20" t="str">
        <f t="shared" si="0"/>
        <v>2017/01/29 19:21:47.723</v>
      </c>
      <c r="C17" s="20">
        <f t="shared" si="1"/>
        <v>1.8743668981187511E-2</v>
      </c>
    </row>
    <row r="18" spans="1:3" x14ac:dyDescent="0.25">
      <c r="A18" t="s">
        <v>384</v>
      </c>
      <c r="B18" s="20" t="str">
        <f t="shared" si="0"/>
        <v>2017/01/29 19:21:47.922</v>
      </c>
      <c r="C18" s="20">
        <f t="shared" si="1"/>
        <v>2.3032407625578344E-6</v>
      </c>
    </row>
    <row r="19" spans="1:3" x14ac:dyDescent="0.25">
      <c r="A19" t="s">
        <v>385</v>
      </c>
      <c r="B19" s="20" t="str">
        <f t="shared" si="0"/>
        <v>2017/01/29 19:21:48.269</v>
      </c>
      <c r="C19" s="20">
        <f t="shared" si="1"/>
        <v>4.01620491174981E-6</v>
      </c>
    </row>
    <row r="20" spans="1:3" x14ac:dyDescent="0.25">
      <c r="A20" t="s">
        <v>386</v>
      </c>
      <c r="B20" s="20" t="str">
        <f t="shared" si="0"/>
        <v>2017/01/29 19:34:20.151</v>
      </c>
      <c r="C20" s="20">
        <f t="shared" si="1"/>
        <v>8.7023379601305351E-3</v>
      </c>
    </row>
    <row r="21" spans="1:3" x14ac:dyDescent="0.25">
      <c r="A21" t="s">
        <v>387</v>
      </c>
      <c r="B21" s="20" t="str">
        <f t="shared" si="0"/>
        <v>2017/01/29 19:34:20.190</v>
      </c>
      <c r="C21" s="20">
        <f t="shared" si="1"/>
        <v>4.5139313442632556E-7</v>
      </c>
    </row>
    <row r="22" spans="1:3" x14ac:dyDescent="0.25">
      <c r="A22" t="s">
        <v>388</v>
      </c>
      <c r="B22" s="20" t="str">
        <f t="shared" si="0"/>
        <v>2017/01/29 19:34:20.228</v>
      </c>
      <c r="C22" s="20">
        <f t="shared" si="1"/>
        <v>4.3980980990454555E-7</v>
      </c>
    </row>
    <row r="23" spans="1:3" x14ac:dyDescent="0.25">
      <c r="A23" t="s">
        <v>389</v>
      </c>
      <c r="B23" s="20" t="str">
        <f t="shared" si="0"/>
        <v>2017/01/29 21:05:06.278</v>
      </c>
      <c r="C23" s="20">
        <f t="shared" si="1"/>
        <v>6.303298611601349E-2</v>
      </c>
    </row>
    <row r="24" spans="1:3" x14ac:dyDescent="0.25">
      <c r="A24" t="s">
        <v>390</v>
      </c>
      <c r="B24" s="20" t="str">
        <f t="shared" si="0"/>
        <v>2017/01/29 21:05:06.594</v>
      </c>
      <c r="C24" s="20">
        <f t="shared" si="1"/>
        <v>3.6574056139215827E-6</v>
      </c>
    </row>
    <row r="25" spans="1:3" x14ac:dyDescent="0.25">
      <c r="A25" t="s">
        <v>391</v>
      </c>
      <c r="B25" s="20" t="str">
        <f t="shared" si="0"/>
        <v>2017/01/29 21:05:06.739</v>
      </c>
      <c r="C25" s="20">
        <f t="shared" si="1"/>
        <v>1.6782432794570923E-6</v>
      </c>
    </row>
    <row r="26" spans="1:3" x14ac:dyDescent="0.25">
      <c r="A26" t="s">
        <v>392</v>
      </c>
      <c r="B26" s="20" t="str">
        <f t="shared" si="0"/>
        <v>2017/01/29 21:18:51.743</v>
      </c>
      <c r="C26" s="20">
        <f t="shared" si="1"/>
        <v>9.5486574064125307E-3</v>
      </c>
    </row>
    <row r="27" spans="1:3" x14ac:dyDescent="0.25">
      <c r="A27" t="s">
        <v>393</v>
      </c>
      <c r="B27" s="20" t="str">
        <f t="shared" si="0"/>
        <v>2017/01/29 21:18:51.983</v>
      </c>
      <c r="C27" s="20">
        <f t="shared" si="1"/>
        <v>2.7777787181548774E-6</v>
      </c>
    </row>
    <row r="28" spans="1:3" x14ac:dyDescent="0.25">
      <c r="A28" t="s">
        <v>394</v>
      </c>
      <c r="B28" s="20" t="str">
        <f t="shared" si="0"/>
        <v>2017/01/29 21:19:37.539</v>
      </c>
      <c r="C28" s="20">
        <f t="shared" si="1"/>
        <v>5.2726851572515443E-4</v>
      </c>
    </row>
    <row r="29" spans="1:3" x14ac:dyDescent="0.25">
      <c r="A29" t="s">
        <v>395</v>
      </c>
      <c r="B29" s="20" t="str">
        <f t="shared" si="0"/>
        <v>2017/01/29 21:19:37.747</v>
      </c>
      <c r="C29" s="20">
        <f t="shared" si="1"/>
        <v>2.4074106477200985E-6</v>
      </c>
    </row>
    <row r="30" spans="1:3" x14ac:dyDescent="0.25">
      <c r="A30" t="s">
        <v>396</v>
      </c>
      <c r="B30" s="20" t="str">
        <f t="shared" si="0"/>
        <v>2017/01/29 21:19:37.982</v>
      </c>
      <c r="C30" s="20">
        <f t="shared" si="1"/>
        <v>2.7199057512916625E-6</v>
      </c>
    </row>
    <row r="31" spans="1:3" x14ac:dyDescent="0.25">
      <c r="A31" t="s">
        <v>397</v>
      </c>
      <c r="B31" s="20" t="str">
        <f t="shared" ref="B31:B32" si="2">MID(A31,6,23)</f>
        <v>2017/01/29 23:36:00.229</v>
      </c>
      <c r="C31" s="20">
        <f t="shared" ref="C31:C32" si="3">ABS(B31-B30)</f>
        <v>9.4701932866882998E-2</v>
      </c>
    </row>
    <row r="32" spans="1:3" x14ac:dyDescent="0.25">
      <c r="A32" t="s">
        <v>398</v>
      </c>
      <c r="B32" s="20" t="str">
        <f t="shared" si="2"/>
        <v>2017/01/29 23:36:01.156</v>
      </c>
      <c r="C32" s="20">
        <f t="shared" si="3"/>
        <v>1.0729170753620565E-5</v>
      </c>
    </row>
    <row r="33" spans="1:3" x14ac:dyDescent="0.25">
      <c r="A33" t="s">
        <v>399</v>
      </c>
      <c r="B33" s="20" t="str">
        <f t="shared" ref="B33:B49" si="4">MID(A33,6,23)</f>
        <v>2017/01/30 00:11:47.292</v>
      </c>
      <c r="C33" s="20">
        <f t="shared" ref="C33:C49" si="5">ABS(B33-B32)</f>
        <v>2.4839537036314141E-2</v>
      </c>
    </row>
    <row r="34" spans="1:3" x14ac:dyDescent="0.25">
      <c r="A34" t="s">
        <v>400</v>
      </c>
      <c r="B34" s="20" t="str">
        <f t="shared" si="4"/>
        <v>2017/01/30 00:11:47.608</v>
      </c>
      <c r="C34" s="20">
        <f t="shared" si="5"/>
        <v>3.6574056139215827E-6</v>
      </c>
    </row>
    <row r="35" spans="1:3" x14ac:dyDescent="0.25">
      <c r="A35" t="s">
        <v>401</v>
      </c>
      <c r="B35" s="20" t="str">
        <f t="shared" si="4"/>
        <v>2017/01/30 00:11:47.734</v>
      </c>
      <c r="C35" s="20">
        <f t="shared" si="5"/>
        <v>1.4583347365260124E-6</v>
      </c>
    </row>
    <row r="36" spans="1:3" x14ac:dyDescent="0.25">
      <c r="A36" t="s">
        <v>402</v>
      </c>
      <c r="B36" s="20" t="str">
        <f t="shared" si="4"/>
        <v>2017/01/30 02:35:27.420</v>
      </c>
      <c r="C36" s="20">
        <f t="shared" si="5"/>
        <v>9.9764884260366671E-2</v>
      </c>
    </row>
    <row r="37" spans="1:3" x14ac:dyDescent="0.25">
      <c r="A37" t="s">
        <v>403</v>
      </c>
      <c r="B37" s="20" t="str">
        <f t="shared" si="4"/>
        <v>2017/01/30 02:35:27.463</v>
      </c>
      <c r="C37" s="20">
        <f t="shared" si="5"/>
        <v>4.9768277676776052E-7</v>
      </c>
    </row>
    <row r="38" spans="1:3" x14ac:dyDescent="0.25">
      <c r="A38" t="s">
        <v>404</v>
      </c>
      <c r="B38" s="20" t="str">
        <f t="shared" si="4"/>
        <v>2017/01/30 02:35:27.688</v>
      </c>
      <c r="C38" s="20">
        <f t="shared" si="5"/>
        <v>2.6041670935228467E-6</v>
      </c>
    </row>
    <row r="39" spans="1:3" x14ac:dyDescent="0.25">
      <c r="A39" t="s">
        <v>405</v>
      </c>
      <c r="B39" s="20" t="str">
        <f t="shared" si="4"/>
        <v>2017/01/30 06:34:10.889</v>
      </c>
      <c r="C39" s="20">
        <f t="shared" si="5"/>
        <v>0.16577778934879461</v>
      </c>
    </row>
    <row r="40" spans="1:3" x14ac:dyDescent="0.25">
      <c r="A40" t="s">
        <v>406</v>
      </c>
      <c r="B40" s="20" t="str">
        <f t="shared" si="4"/>
        <v>2017/01/30 06:34:10.895</v>
      </c>
      <c r="C40" s="20">
        <f t="shared" si="5"/>
        <v>6.94490154273808E-8</v>
      </c>
    </row>
    <row r="41" spans="1:3" x14ac:dyDescent="0.25">
      <c r="A41" t="s">
        <v>407</v>
      </c>
      <c r="B41" s="20" t="str">
        <f t="shared" si="4"/>
        <v>2017/01/30 06:34:11.200</v>
      </c>
      <c r="C41" s="20">
        <f t="shared" si="5"/>
        <v>3.5300909075886011E-6</v>
      </c>
    </row>
    <row r="42" spans="1:3" x14ac:dyDescent="0.25">
      <c r="A42" t="s">
        <v>408</v>
      </c>
      <c r="B42" s="20" t="str">
        <f t="shared" si="4"/>
        <v>2017/01/30 06:34:11.205</v>
      </c>
      <c r="C42" s="20">
        <f t="shared" si="5"/>
        <v>5.787296686321497E-8</v>
      </c>
    </row>
    <row r="43" spans="1:3" x14ac:dyDescent="0.25">
      <c r="A43" t="s">
        <v>409</v>
      </c>
      <c r="B43" s="20" t="str">
        <f t="shared" si="4"/>
        <v>2017/01/30 06:34:11.721</v>
      </c>
      <c r="C43" s="20">
        <f t="shared" si="5"/>
        <v>5.9722224250435829E-6</v>
      </c>
    </row>
    <row r="44" spans="1:3" x14ac:dyDescent="0.25">
      <c r="A44" t="s">
        <v>410</v>
      </c>
      <c r="B44" s="20" t="str">
        <f t="shared" si="4"/>
        <v>2017/01/30 06:34:11.726</v>
      </c>
      <c r="C44" s="20">
        <f t="shared" si="5"/>
        <v>5.7865690905600786E-8</v>
      </c>
    </row>
    <row r="45" spans="1:3" x14ac:dyDescent="0.25">
      <c r="A45" t="s">
        <v>411</v>
      </c>
      <c r="B45" s="20" t="str">
        <f t="shared" si="4"/>
        <v>2017/01/30 07:03:19.939</v>
      </c>
      <c r="C45" s="20">
        <f t="shared" si="5"/>
        <v>2.0233946765074506E-2</v>
      </c>
    </row>
    <row r="46" spans="1:3" x14ac:dyDescent="0.25">
      <c r="A46" t="s">
        <v>412</v>
      </c>
      <c r="B46" s="20" t="str">
        <f t="shared" si="4"/>
        <v>2017/01/30 07:03:20.106</v>
      </c>
      <c r="C46" s="20">
        <f t="shared" si="5"/>
        <v>1.9328654161654413E-6</v>
      </c>
    </row>
    <row r="47" spans="1:3" x14ac:dyDescent="0.25">
      <c r="A47" t="s">
        <v>413</v>
      </c>
      <c r="B47" s="20" t="str">
        <f t="shared" si="4"/>
        <v>2017/01/30 07:37:18.262</v>
      </c>
      <c r="C47" s="20">
        <f t="shared" si="5"/>
        <v>2.3589768519741483E-2</v>
      </c>
    </row>
    <row r="48" spans="1:3" x14ac:dyDescent="0.25">
      <c r="A48" t="s">
        <v>414</v>
      </c>
      <c r="B48" s="20" t="str">
        <f t="shared" si="4"/>
        <v>2017/01/30 07:37:18.483</v>
      </c>
      <c r="C48" s="20">
        <f t="shared" si="5"/>
        <v>2.5578701752237976E-6</v>
      </c>
    </row>
    <row r="49" spans="1:3" x14ac:dyDescent="0.25">
      <c r="A49" t="s">
        <v>415</v>
      </c>
      <c r="B49" s="20" t="str">
        <f t="shared" si="4"/>
        <v>2017/01/30 07:37:18.794</v>
      </c>
      <c r="C49" s="20">
        <f t="shared" si="5"/>
        <v>3.5995399230159819E-6</v>
      </c>
    </row>
    <row r="50" spans="1:3" x14ac:dyDescent="0.25">
      <c r="B50" s="20"/>
      <c r="C50" s="20"/>
    </row>
    <row r="51" spans="1:3" x14ac:dyDescent="0.25">
      <c r="B51" s="20"/>
      <c r="C51" s="20"/>
    </row>
    <row r="52" spans="1:3" x14ac:dyDescent="0.25">
      <c r="B52" s="20"/>
      <c r="C52" s="20"/>
    </row>
    <row r="53" spans="1:3" x14ac:dyDescent="0.25">
      <c r="B53" s="20"/>
      <c r="C53" s="20"/>
    </row>
    <row r="54" spans="1:3" x14ac:dyDescent="0.25">
      <c r="B54" s="20"/>
      <c r="C54" s="20"/>
    </row>
    <row r="55" spans="1:3" x14ac:dyDescent="0.25">
      <c r="B55" s="20"/>
      <c r="C55" s="20"/>
    </row>
    <row r="56" spans="1:3" x14ac:dyDescent="0.25">
      <c r="B56" s="20"/>
      <c r="C56" s="20"/>
    </row>
    <row r="57" spans="1:3" x14ac:dyDescent="0.25">
      <c r="B57" s="20"/>
      <c r="C57" s="20"/>
    </row>
    <row r="58" spans="1:3" x14ac:dyDescent="0.25">
      <c r="B58" s="20"/>
      <c r="C58" s="20"/>
    </row>
    <row r="59" spans="1:3" x14ac:dyDescent="0.25">
      <c r="B59" s="20"/>
      <c r="C59" s="20"/>
    </row>
    <row r="60" spans="1:3" x14ac:dyDescent="0.25">
      <c r="B60" s="20"/>
      <c r="C60" s="20"/>
    </row>
    <row r="61" spans="1:3" x14ac:dyDescent="0.25">
      <c r="B61" s="20"/>
      <c r="C61" s="20"/>
    </row>
    <row r="62" spans="1:3" x14ac:dyDescent="0.25">
      <c r="B62" s="20"/>
      <c r="C62" s="20"/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2017-02-01T20:16:38Z</dcterms:modified>
</cp:coreProperties>
</file>