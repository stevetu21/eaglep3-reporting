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Enforcements!$A$6:$AC$71</definedName>
    <definedName name="_xlnm._FilterDatabase" localSheetId="2" hidden="1">'Missing Trips'!$A$2:$J$85</definedName>
    <definedName name="_xlnm._FilterDatabase" localSheetId="0" hidden="1">'Train Runs'!$A$12:$AG$259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3" i="1" l="1"/>
  <c r="X52" i="1"/>
  <c r="X53" i="1"/>
  <c r="X54" i="1"/>
  <c r="X55" i="1"/>
  <c r="X56" i="1"/>
  <c r="X57" i="1"/>
  <c r="X58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S17" i="3" s="1"/>
  <c r="Y31" i="1"/>
  <c r="Z31" i="1"/>
  <c r="AB31" i="1"/>
  <c r="AC31" i="1"/>
  <c r="AD31" i="1"/>
  <c r="AG31" i="1" s="1"/>
  <c r="AE31" i="1"/>
  <c r="R17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S14" i="3" s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S15" i="3" s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13" i="3" s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A59" i="1" s="1"/>
  <c r="AB59" i="1"/>
  <c r="AC59" i="1"/>
  <c r="AD59" i="1"/>
  <c r="AG59" i="1" s="1"/>
  <c r="AE59" i="1"/>
  <c r="R11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W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S8" i="3" s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K71" i="1"/>
  <c r="L71" i="1"/>
  <c r="M71" i="1"/>
  <c r="N71" i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W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A163" i="1" s="1"/>
  <c r="AB163" i="1"/>
  <c r="AC163" i="1"/>
  <c r="AD163" i="1"/>
  <c r="AG163" i="1" s="1"/>
  <c r="AE163" i="1"/>
  <c r="AF163" i="1"/>
  <c r="AH99" i="1"/>
  <c r="AM99" i="1"/>
  <c r="AN99" i="1"/>
  <c r="K164" i="1"/>
  <c r="L164" i="1"/>
  <c r="M164" i="1"/>
  <c r="N164" i="1" s="1"/>
  <c r="T164" i="1"/>
  <c r="V164" i="1"/>
  <c r="Y164" i="1"/>
  <c r="Z164" i="1"/>
  <c r="AB164" i="1"/>
  <c r="AC164" i="1"/>
  <c r="AD164" i="1"/>
  <c r="AG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3" i="1"/>
  <c r="AM103" i="1"/>
  <c r="AN103" i="1"/>
  <c r="K94" i="1"/>
  <c r="L94" i="1"/>
  <c r="M94" i="1"/>
  <c r="N94" i="1" s="1"/>
  <c r="V94" i="1"/>
  <c r="X94" i="1"/>
  <c r="Y94" i="1"/>
  <c r="Z94" i="1"/>
  <c r="AB94" i="1"/>
  <c r="AC94" i="1"/>
  <c r="AD94" i="1"/>
  <c r="AG94" i="1" s="1"/>
  <c r="AE94" i="1"/>
  <c r="AF94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AA172" i="1" s="1"/>
  <c r="Z172" i="1"/>
  <c r="AB172" i="1"/>
  <c r="AC172" i="1"/>
  <c r="AD172" i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95" i="1"/>
  <c r="L95" i="1"/>
  <c r="M95" i="1"/>
  <c r="N95" i="1" s="1"/>
  <c r="V95" i="1"/>
  <c r="S19" i="3" s="1"/>
  <c r="Y95" i="1"/>
  <c r="Z95" i="1"/>
  <c r="AB95" i="1"/>
  <c r="AC95" i="1"/>
  <c r="AD95" i="1"/>
  <c r="T95" i="1" s="1"/>
  <c r="AE95" i="1"/>
  <c r="AF95" i="1"/>
  <c r="AH115" i="1"/>
  <c r="AM115" i="1"/>
  <c r="AN115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/>
  <c r="V186" i="1"/>
  <c r="Y186" i="1"/>
  <c r="AA186" i="1" s="1"/>
  <c r="Z186" i="1"/>
  <c r="AB186" i="1"/>
  <c r="AC186" i="1"/>
  <c r="AD186" i="1"/>
  <c r="T186" i="1" s="1"/>
  <c r="AE186" i="1"/>
  <c r="AF186" i="1"/>
  <c r="AH124" i="1"/>
  <c r="AM124" i="1"/>
  <c r="AN12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26" i="1"/>
  <c r="AM126" i="1"/>
  <c r="AN126" i="1"/>
  <c r="K188" i="1"/>
  <c r="L188" i="1"/>
  <c r="M188" i="1"/>
  <c r="N188" i="1" s="1"/>
  <c r="V188" i="1"/>
  <c r="Y188" i="1"/>
  <c r="Z188" i="1"/>
  <c r="AI188" i="1" s="1"/>
  <c r="AB188" i="1"/>
  <c r="AC188" i="1"/>
  <c r="AD188" i="1"/>
  <c r="T188" i="1" s="1"/>
  <c r="AE188" i="1"/>
  <c r="AF188" i="1"/>
  <c r="AG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K97" i="1"/>
  <c r="L97" i="1"/>
  <c r="M97" i="1"/>
  <c r="N97" i="1" s="1"/>
  <c r="V97" i="1"/>
  <c r="Y97" i="1"/>
  <c r="Z97" i="1"/>
  <c r="AA97" i="1" s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S23" i="3" s="1"/>
  <c r="Y98" i="1"/>
  <c r="Z98" i="1"/>
  <c r="AA98" i="1" s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7" i="1"/>
  <c r="AM137" i="1"/>
  <c r="AN13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8" i="1"/>
  <c r="AM138" i="1"/>
  <c r="AN138" i="1"/>
  <c r="K205" i="1"/>
  <c r="L205" i="1"/>
  <c r="M205" i="1"/>
  <c r="N205" i="1" s="1"/>
  <c r="V205" i="1"/>
  <c r="Y205" i="1"/>
  <c r="Z205" i="1"/>
  <c r="AB205" i="1"/>
  <c r="AC205" i="1"/>
  <c r="AD205" i="1"/>
  <c r="AG205" i="1" s="1"/>
  <c r="AI205" i="1" s="1"/>
  <c r="AE205" i="1"/>
  <c r="AF205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AA109" i="1" s="1"/>
  <c r="Z109" i="1"/>
  <c r="AB109" i="1"/>
  <c r="AC109" i="1"/>
  <c r="AD109" i="1"/>
  <c r="AG109" i="1" s="1"/>
  <c r="AI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G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S20" i="3" s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A121" i="1" s="1"/>
  <c r="W121" i="1" s="1"/>
  <c r="AB121" i="1"/>
  <c r="AC121" i="1"/>
  <c r="AD121" i="1"/>
  <c r="AG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AM167" i="1"/>
  <c r="AN167" i="1"/>
  <c r="K133" i="1"/>
  <c r="L133" i="1"/>
  <c r="M133" i="1"/>
  <c r="V133" i="1"/>
  <c r="Y133" i="1"/>
  <c r="Z133" i="1"/>
  <c r="AB133" i="1"/>
  <c r="AC133" i="1"/>
  <c r="AD133" i="1"/>
  <c r="AG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/>
  <c r="V136" i="1"/>
  <c r="Y136" i="1"/>
  <c r="Z136" i="1"/>
  <c r="AB136" i="1"/>
  <c r="AC136" i="1"/>
  <c r="AD136" i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5" i="1"/>
  <c r="AM175" i="1"/>
  <c r="AN175" i="1"/>
  <c r="K141" i="1"/>
  <c r="L141" i="1"/>
  <c r="M141" i="1"/>
  <c r="N141" i="1" s="1"/>
  <c r="V141" i="1"/>
  <c r="S21" i="3" s="1"/>
  <c r="Y141" i="1"/>
  <c r="Z141" i="1"/>
  <c r="AB141" i="1"/>
  <c r="AC141" i="1"/>
  <c r="AD141" i="1"/>
  <c r="AG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A149" i="1" s="1"/>
  <c r="W149" i="1" s="1"/>
  <c r="AB149" i="1"/>
  <c r="AC149" i="1"/>
  <c r="AD149" i="1"/>
  <c r="AG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AA150" i="1" s="1"/>
  <c r="Z150" i="1"/>
  <c r="AB150" i="1"/>
  <c r="AC150" i="1"/>
  <c r="AD150" i="1"/>
  <c r="X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AB151" i="1"/>
  <c r="AC151" i="1"/>
  <c r="AD151" i="1"/>
  <c r="X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AM187" i="1"/>
  <c r="AN187" i="1"/>
  <c r="K153" i="1"/>
  <c r="L153" i="1"/>
  <c r="M153" i="1"/>
  <c r="N153" i="1" s="1"/>
  <c r="V153" i="1"/>
  <c r="S7" i="3" s="1"/>
  <c r="Y153" i="1"/>
  <c r="Z153" i="1"/>
  <c r="AB153" i="1"/>
  <c r="AC153" i="1"/>
  <c r="AD153" i="1"/>
  <c r="AG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92" i="1"/>
  <c r="AM192" i="1"/>
  <c r="AN192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A194" i="1" s="1"/>
  <c r="W194" i="1" s="1"/>
  <c r="AB194" i="1"/>
  <c r="AC194" i="1"/>
  <c r="AD194" i="1"/>
  <c r="AG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S25" i="3" s="1"/>
  <c r="Y199" i="1"/>
  <c r="Z199" i="1"/>
  <c r="AB199" i="1"/>
  <c r="AC199" i="1"/>
  <c r="AD199" i="1"/>
  <c r="AG199" i="1" s="1"/>
  <c r="AE199" i="1"/>
  <c r="R25" i="3" s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AA202" i="1" s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S27" i="3" s="1"/>
  <c r="Y210" i="1"/>
  <c r="Z210" i="1"/>
  <c r="AB210" i="1"/>
  <c r="AC210" i="1"/>
  <c r="AD210" i="1"/>
  <c r="X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R27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T214" i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T217" i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M27" i="3"/>
  <c r="U27" i="3"/>
  <c r="T27" i="3" s="1"/>
  <c r="V27" i="3"/>
  <c r="W27" i="3"/>
  <c r="Y27" i="3" s="1"/>
  <c r="X27" i="3"/>
  <c r="M17" i="3"/>
  <c r="U17" i="3"/>
  <c r="T17" i="3" s="1"/>
  <c r="V17" i="3"/>
  <c r="W17" i="3"/>
  <c r="X17" i="3"/>
  <c r="AC17" i="3"/>
  <c r="M14" i="3"/>
  <c r="R14" i="3"/>
  <c r="U14" i="3"/>
  <c r="AC14" i="3" s="1"/>
  <c r="V14" i="3"/>
  <c r="W14" i="3"/>
  <c r="Y14" i="3" s="1"/>
  <c r="X14" i="3"/>
  <c r="M15" i="3"/>
  <c r="R15" i="3"/>
  <c r="U15" i="3"/>
  <c r="AC15" i="3" s="1"/>
  <c r="V15" i="3"/>
  <c r="W15" i="3"/>
  <c r="X15" i="3"/>
  <c r="M13" i="3"/>
  <c r="R13" i="3"/>
  <c r="U13" i="3"/>
  <c r="AC13" i="3" s="1"/>
  <c r="V13" i="3"/>
  <c r="W13" i="3"/>
  <c r="Y13" i="3" s="1"/>
  <c r="X13" i="3"/>
  <c r="M11" i="3"/>
  <c r="U11" i="3"/>
  <c r="AD13" i="3" s="1"/>
  <c r="V11" i="3"/>
  <c r="W11" i="3"/>
  <c r="X11" i="3"/>
  <c r="AC11" i="3"/>
  <c r="M8" i="3"/>
  <c r="R8" i="3"/>
  <c r="U8" i="3"/>
  <c r="AC8" i="3" s="1"/>
  <c r="V8" i="3"/>
  <c r="W8" i="3"/>
  <c r="X8" i="3"/>
  <c r="M16" i="3"/>
  <c r="R16" i="3"/>
  <c r="S16" i="3"/>
  <c r="U16" i="3"/>
  <c r="AC16" i="3" s="1"/>
  <c r="V16" i="3"/>
  <c r="AE16" i="3" s="1"/>
  <c r="W16" i="3"/>
  <c r="X16" i="3"/>
  <c r="M12" i="3"/>
  <c r="R12" i="3"/>
  <c r="S12" i="3"/>
  <c r="U12" i="3"/>
  <c r="AC12" i="3" s="1"/>
  <c r="V12" i="3"/>
  <c r="W12" i="3"/>
  <c r="X12" i="3"/>
  <c r="M18" i="3"/>
  <c r="R18" i="3"/>
  <c r="S18" i="3"/>
  <c r="U18" i="3"/>
  <c r="V18" i="3"/>
  <c r="W18" i="3"/>
  <c r="X18" i="3"/>
  <c r="AC18" i="3"/>
  <c r="M22" i="3"/>
  <c r="R22" i="3"/>
  <c r="S22" i="3"/>
  <c r="U22" i="3"/>
  <c r="V22" i="3"/>
  <c r="W22" i="3"/>
  <c r="X22" i="3"/>
  <c r="M23" i="3"/>
  <c r="R23" i="3"/>
  <c r="U23" i="3"/>
  <c r="AC23" i="3" s="1"/>
  <c r="V23" i="3"/>
  <c r="W23" i="3"/>
  <c r="X23" i="3"/>
  <c r="M19" i="3"/>
  <c r="R19" i="3"/>
  <c r="U19" i="3"/>
  <c r="AC19" i="3" s="1"/>
  <c r="V19" i="3"/>
  <c r="W19" i="3"/>
  <c r="X19" i="3"/>
  <c r="M9" i="3"/>
  <c r="R9" i="3"/>
  <c r="S9" i="3"/>
  <c r="U9" i="3"/>
  <c r="T9" i="3" s="1"/>
  <c r="V9" i="3"/>
  <c r="W9" i="3"/>
  <c r="X9" i="3"/>
  <c r="AC9" i="3"/>
  <c r="M20" i="3"/>
  <c r="R20" i="3"/>
  <c r="U20" i="3"/>
  <c r="AD22" i="3" s="1"/>
  <c r="V20" i="3"/>
  <c r="W20" i="3"/>
  <c r="Y20" i="3" s="1"/>
  <c r="X20" i="3"/>
  <c r="AC20" i="3"/>
  <c r="M10" i="3"/>
  <c r="R10" i="3"/>
  <c r="S10" i="3"/>
  <c r="U10" i="3"/>
  <c r="AC10" i="3" s="1"/>
  <c r="V10" i="3"/>
  <c r="W10" i="3"/>
  <c r="Y10" i="3" s="1"/>
  <c r="X10" i="3"/>
  <c r="M21" i="3"/>
  <c r="R21" i="3"/>
  <c r="T21" i="3"/>
  <c r="U21" i="3"/>
  <c r="AC21" i="3" s="1"/>
  <c r="V21" i="3"/>
  <c r="W21" i="3"/>
  <c r="Y21" i="3" s="1"/>
  <c r="X21" i="3"/>
  <c r="M7" i="3"/>
  <c r="R7" i="3"/>
  <c r="U7" i="3"/>
  <c r="T7" i="3" s="1"/>
  <c r="V7" i="3"/>
  <c r="W7" i="3"/>
  <c r="X7" i="3"/>
  <c r="AC7" i="3"/>
  <c r="M24" i="3"/>
  <c r="R24" i="3"/>
  <c r="S24" i="3"/>
  <c r="U24" i="3"/>
  <c r="V24" i="3"/>
  <c r="W24" i="3"/>
  <c r="X24" i="3"/>
  <c r="M25" i="3"/>
  <c r="U25" i="3"/>
  <c r="AC25" i="3" s="1"/>
  <c r="V25" i="3"/>
  <c r="W25" i="3"/>
  <c r="Y25" i="3" s="1"/>
  <c r="X25" i="3"/>
  <c r="AI117" i="1" l="1"/>
  <c r="AA113" i="1"/>
  <c r="AA183" i="1"/>
  <c r="AA93" i="1"/>
  <c r="X64" i="1"/>
  <c r="X47" i="1"/>
  <c r="X34" i="1"/>
  <c r="AA23" i="1"/>
  <c r="X159" i="1"/>
  <c r="Y19" i="3"/>
  <c r="AD16" i="3"/>
  <c r="Y8" i="3"/>
  <c r="AA217" i="1"/>
  <c r="W217" i="1" s="1"/>
  <c r="T210" i="1"/>
  <c r="AA199" i="1"/>
  <c r="T151" i="1"/>
  <c r="AA142" i="1"/>
  <c r="X122" i="1"/>
  <c r="X190" i="1"/>
  <c r="T84" i="1"/>
  <c r="AA82" i="1"/>
  <c r="X71" i="1"/>
  <c r="AA69" i="1"/>
  <c r="AA54" i="1"/>
  <c r="W54" i="1" s="1"/>
  <c r="AA52" i="1"/>
  <c r="AI46" i="1"/>
  <c r="AA15" i="1"/>
  <c r="X162" i="1"/>
  <c r="X158" i="1"/>
  <c r="X161" i="1"/>
  <c r="X157" i="1"/>
  <c r="AG210" i="1"/>
  <c r="AA203" i="1"/>
  <c r="AG200" i="1"/>
  <c r="AI200" i="1" s="1"/>
  <c r="X200" i="1"/>
  <c r="AG151" i="1"/>
  <c r="AA130" i="1"/>
  <c r="W130" i="1" s="1"/>
  <c r="AG127" i="1"/>
  <c r="AG118" i="1"/>
  <c r="AA190" i="1"/>
  <c r="AG176" i="1"/>
  <c r="AI176" i="1" s="1"/>
  <c r="X176" i="1"/>
  <c r="AG173" i="1"/>
  <c r="AI173" i="1" s="1"/>
  <c r="X173" i="1"/>
  <c r="AA165" i="1"/>
  <c r="X160" i="1"/>
  <c r="Y23" i="3"/>
  <c r="W199" i="1"/>
  <c r="X118" i="1"/>
  <c r="X110" i="1"/>
  <c r="T109" i="1"/>
  <c r="U109" i="1" s="1"/>
  <c r="S109" i="1" s="1"/>
  <c r="X88" i="1"/>
  <c r="T72" i="1"/>
  <c r="T47" i="1"/>
  <c r="X26" i="1"/>
  <c r="Y15" i="3"/>
  <c r="AD17" i="3"/>
  <c r="AE12" i="3"/>
  <c r="AA208" i="1"/>
  <c r="X203" i="1"/>
  <c r="AG196" i="1"/>
  <c r="AI196" i="1" s="1"/>
  <c r="X196" i="1"/>
  <c r="AG195" i="1"/>
  <c r="W195" i="1" s="1"/>
  <c r="X195" i="1"/>
  <c r="AG143" i="1"/>
  <c r="X143" i="1"/>
  <c r="AA137" i="1"/>
  <c r="W137" i="1" s="1"/>
  <c r="AA125" i="1"/>
  <c r="AA122" i="1"/>
  <c r="AA120" i="1"/>
  <c r="AA114" i="1"/>
  <c r="AA112" i="1"/>
  <c r="AG180" i="1"/>
  <c r="AI180" i="1" s="1"/>
  <c r="AA171" i="1"/>
  <c r="W171" i="1" s="1"/>
  <c r="AA92" i="1"/>
  <c r="W92" i="1" s="1"/>
  <c r="AA76" i="1"/>
  <c r="AG65" i="1"/>
  <c r="AA53" i="1"/>
  <c r="AA49" i="1"/>
  <c r="W49" i="1" s="1"/>
  <c r="AG41" i="1"/>
  <c r="AI41" i="1" s="1"/>
  <c r="AA37" i="1"/>
  <c r="T31" i="1"/>
  <c r="U31" i="1" s="1"/>
  <c r="S31" i="1" s="1"/>
  <c r="AG21" i="1"/>
  <c r="U21" i="1" s="1"/>
  <c r="S21" i="1" s="1"/>
  <c r="AA20" i="1"/>
  <c r="Y22" i="3"/>
  <c r="Y16" i="3"/>
  <c r="X214" i="1"/>
  <c r="AG209" i="1"/>
  <c r="AI209" i="1" s="1"/>
  <c r="X209" i="1"/>
  <c r="AA207" i="1"/>
  <c r="AG155" i="1"/>
  <c r="U155" i="1" s="1"/>
  <c r="S155" i="1" s="1"/>
  <c r="X155" i="1"/>
  <c r="AA153" i="1"/>
  <c r="W153" i="1" s="1"/>
  <c r="AG150" i="1"/>
  <c r="AI150" i="1" s="1"/>
  <c r="AA148" i="1"/>
  <c r="AA146" i="1"/>
  <c r="W146" i="1" s="1"/>
  <c r="AA138" i="1"/>
  <c r="W138" i="1" s="1"/>
  <c r="AI133" i="1"/>
  <c r="X131" i="1"/>
  <c r="AA129" i="1"/>
  <c r="W129" i="1" s="1"/>
  <c r="X127" i="1"/>
  <c r="AA103" i="1"/>
  <c r="W103" i="1" s="1"/>
  <c r="AA182" i="1"/>
  <c r="AA95" i="1"/>
  <c r="AA175" i="1"/>
  <c r="AA164" i="1"/>
  <c r="W164" i="1" s="1"/>
  <c r="AA159" i="1"/>
  <c r="W159" i="1" s="1"/>
  <c r="AA84" i="1"/>
  <c r="W84" i="1" s="1"/>
  <c r="AA80" i="1"/>
  <c r="W80" i="1" s="1"/>
  <c r="AG77" i="1"/>
  <c r="AI77" i="1" s="1"/>
  <c r="X77" i="1"/>
  <c r="AA60" i="1"/>
  <c r="AG57" i="1"/>
  <c r="U57" i="1" s="1"/>
  <c r="AA48" i="1"/>
  <c r="T46" i="1"/>
  <c r="U46" i="1" s="1"/>
  <c r="S46" i="1" s="1"/>
  <c r="AA45" i="1"/>
  <c r="AA31" i="1"/>
  <c r="W31" i="1" s="1"/>
  <c r="AA21" i="1"/>
  <c r="AA30" i="1"/>
  <c r="X30" i="1"/>
  <c r="AA29" i="1"/>
  <c r="AG29" i="1"/>
  <c r="AI29" i="1" s="1"/>
  <c r="AA201" i="1"/>
  <c r="T199" i="1"/>
  <c r="X199" i="1"/>
  <c r="AA156" i="1"/>
  <c r="T147" i="1"/>
  <c r="AG147" i="1"/>
  <c r="AI147" i="1" s="1"/>
  <c r="AG125" i="1"/>
  <c r="AI125" i="1" s="1"/>
  <c r="T125" i="1"/>
  <c r="T106" i="1"/>
  <c r="X106" i="1"/>
  <c r="AG106" i="1"/>
  <c r="U106" i="1" s="1"/>
  <c r="AA67" i="1"/>
  <c r="W67" i="1" s="1"/>
  <c r="AI67" i="1"/>
  <c r="U217" i="1"/>
  <c r="S217" i="1" s="1"/>
  <c r="AG218" i="1"/>
  <c r="AI218" i="1" s="1"/>
  <c r="X218" i="1"/>
  <c r="T142" i="1"/>
  <c r="X142" i="1"/>
  <c r="AG142" i="1"/>
  <c r="W142" i="1" s="1"/>
  <c r="T191" i="1"/>
  <c r="X191" i="1"/>
  <c r="AG191" i="1"/>
  <c r="U191" i="1" s="1"/>
  <c r="S191" i="1" s="1"/>
  <c r="T27" i="1"/>
  <c r="AG27" i="1"/>
  <c r="T203" i="1"/>
  <c r="U203" i="1" s="1"/>
  <c r="S203" i="1" s="1"/>
  <c r="AG203" i="1"/>
  <c r="W202" i="1"/>
  <c r="T126" i="1"/>
  <c r="X126" i="1"/>
  <c r="AG126" i="1"/>
  <c r="T119" i="1"/>
  <c r="AG119" i="1"/>
  <c r="T111" i="1"/>
  <c r="U111" i="1" s="1"/>
  <c r="S111" i="1" s="1"/>
  <c r="AG111" i="1"/>
  <c r="T172" i="1"/>
  <c r="AG172" i="1"/>
  <c r="AI172" i="1" s="1"/>
  <c r="W172" i="1"/>
  <c r="AA218" i="1"/>
  <c r="AG215" i="1"/>
  <c r="AI215" i="1" s="1"/>
  <c r="AG206" i="1"/>
  <c r="X206" i="1"/>
  <c r="AA198" i="1"/>
  <c r="W198" i="1" s="1"/>
  <c r="X154" i="1"/>
  <c r="AG154" i="1"/>
  <c r="AA154" i="1"/>
  <c r="W154" i="1" s="1"/>
  <c r="AG134" i="1"/>
  <c r="X134" i="1"/>
  <c r="AA117" i="1"/>
  <c r="W117" i="1" s="1"/>
  <c r="AA102" i="1"/>
  <c r="T81" i="1"/>
  <c r="X81" i="1"/>
  <c r="AG81" i="1"/>
  <c r="T68" i="1"/>
  <c r="X68" i="1"/>
  <c r="AG68" i="1"/>
  <c r="AI141" i="1"/>
  <c r="AA141" i="1"/>
  <c r="W141" i="1" s="1"/>
  <c r="AI137" i="1"/>
  <c r="AI129" i="1"/>
  <c r="AA168" i="1"/>
  <c r="AA89" i="1"/>
  <c r="W89" i="1" s="1"/>
  <c r="AA64" i="1"/>
  <c r="AA56" i="1"/>
  <c r="AI45" i="1"/>
  <c r="AA215" i="1"/>
  <c r="W215" i="1" s="1"/>
  <c r="AA209" i="1"/>
  <c r="W209" i="1" s="1"/>
  <c r="AA152" i="1"/>
  <c r="AI146" i="1"/>
  <c r="X139" i="1"/>
  <c r="X138" i="1"/>
  <c r="X135" i="1"/>
  <c r="AA133" i="1"/>
  <c r="W133" i="1" s="1"/>
  <c r="AA127" i="1"/>
  <c r="W127" i="1" s="1"/>
  <c r="AI121" i="1"/>
  <c r="T117" i="1"/>
  <c r="AI113" i="1"/>
  <c r="AA105" i="1"/>
  <c r="AG190" i="1"/>
  <c r="W190" i="1" s="1"/>
  <c r="AA188" i="1"/>
  <c r="AA187" i="1"/>
  <c r="W187" i="1" s="1"/>
  <c r="X183" i="1"/>
  <c r="AA173" i="1"/>
  <c r="W173" i="1" s="1"/>
  <c r="AA94" i="1"/>
  <c r="T94" i="1"/>
  <c r="AA167" i="1"/>
  <c r="W167" i="1" s="1"/>
  <c r="AA161" i="1"/>
  <c r="X92" i="1"/>
  <c r="AA88" i="1"/>
  <c r="T88" i="1"/>
  <c r="U88" i="1" s="1"/>
  <c r="S88" i="1" s="1"/>
  <c r="AA87" i="1"/>
  <c r="W87" i="1" s="1"/>
  <c r="AG72" i="1"/>
  <c r="AI71" i="1"/>
  <c r="AA63" i="1"/>
  <c r="W63" i="1" s="1"/>
  <c r="AG61" i="1"/>
  <c r="U61" i="1" s="1"/>
  <c r="S61" i="1" s="1"/>
  <c r="AA57" i="1"/>
  <c r="AA55" i="1"/>
  <c r="AG51" i="1"/>
  <c r="AG48" i="1"/>
  <c r="X48" i="1"/>
  <c r="AG47" i="1"/>
  <c r="U47" i="1" s="1"/>
  <c r="S47" i="1" s="1"/>
  <c r="AA44" i="1"/>
  <c r="AA39" i="1"/>
  <c r="AA33" i="1"/>
  <c r="AA26" i="1"/>
  <c r="AA25" i="1"/>
  <c r="AG19" i="1"/>
  <c r="U19" i="1" s="1"/>
  <c r="S19" i="1" s="1"/>
  <c r="AA17" i="1"/>
  <c r="W150" i="1"/>
  <c r="AA147" i="1"/>
  <c r="AA144" i="1"/>
  <c r="AA134" i="1"/>
  <c r="W134" i="1" s="1"/>
  <c r="X130" i="1"/>
  <c r="AA128" i="1"/>
  <c r="AA119" i="1"/>
  <c r="W119" i="1" s="1"/>
  <c r="AA111" i="1"/>
  <c r="W111" i="1" s="1"/>
  <c r="AA106" i="1"/>
  <c r="AA99" i="1"/>
  <c r="W99" i="1" s="1"/>
  <c r="AA189" i="1"/>
  <c r="X184" i="1"/>
  <c r="AA179" i="1"/>
  <c r="AA160" i="1"/>
  <c r="AA91" i="1"/>
  <c r="AA78" i="1"/>
  <c r="W76" i="1"/>
  <c r="AA66" i="1"/>
  <c r="X60" i="1"/>
  <c r="AA58" i="1"/>
  <c r="W58" i="1" s="1"/>
  <c r="AI43" i="1"/>
  <c r="AA35" i="1"/>
  <c r="W35" i="1" s="1"/>
  <c r="AA18" i="1"/>
  <c r="AI217" i="1"/>
  <c r="AG219" i="1"/>
  <c r="AG214" i="1"/>
  <c r="AI214" i="1" s="1"/>
  <c r="AG213" i="1"/>
  <c r="U209" i="1"/>
  <c r="S209" i="1" s="1"/>
  <c r="W183" i="1"/>
  <c r="AA219" i="1"/>
  <c r="AA214" i="1"/>
  <c r="AA213" i="1"/>
  <c r="AG211" i="1"/>
  <c r="AI211" i="1" s="1"/>
  <c r="X211" i="1"/>
  <c r="W179" i="1"/>
  <c r="U199" i="1"/>
  <c r="S199" i="1" s="1"/>
  <c r="AA197" i="1"/>
  <c r="U195" i="1"/>
  <c r="S195" i="1" s="1"/>
  <c r="X147" i="1"/>
  <c r="X146" i="1"/>
  <c r="T138" i="1"/>
  <c r="U138" i="1" s="1"/>
  <c r="S138" i="1" s="1"/>
  <c r="T134" i="1"/>
  <c r="U134" i="1" s="1"/>
  <c r="S134" i="1" s="1"/>
  <c r="X103" i="1"/>
  <c r="X99" i="1"/>
  <c r="W97" i="1"/>
  <c r="W188" i="1"/>
  <c r="X187" i="1"/>
  <c r="T183" i="1"/>
  <c r="U183" i="1" s="1"/>
  <c r="S183" i="1" s="1"/>
  <c r="AA181" i="1"/>
  <c r="X179" i="1"/>
  <c r="AA177" i="1"/>
  <c r="AA176" i="1"/>
  <c r="AA174" i="1"/>
  <c r="X172" i="1"/>
  <c r="AA170" i="1"/>
  <c r="X164" i="1"/>
  <c r="T161" i="1"/>
  <c r="AG161" i="1"/>
  <c r="AI161" i="1" s="1"/>
  <c r="T92" i="1"/>
  <c r="X84" i="1"/>
  <c r="AG79" i="1"/>
  <c r="W79" i="1" s="1"/>
  <c r="X80" i="1"/>
  <c r="T73" i="1"/>
  <c r="X73" i="1"/>
  <c r="AG73" i="1"/>
  <c r="AI73" i="1" s="1"/>
  <c r="AA50" i="1"/>
  <c r="W50" i="1" s="1"/>
  <c r="AI50" i="1"/>
  <c r="W39" i="1"/>
  <c r="AG36" i="1"/>
  <c r="T36" i="1"/>
  <c r="T33" i="1"/>
  <c r="AG33" i="1"/>
  <c r="AI33" i="1" s="1"/>
  <c r="T15" i="1"/>
  <c r="AG15" i="1"/>
  <c r="W15" i="1" s="1"/>
  <c r="U206" i="1"/>
  <c r="AA193" i="1"/>
  <c r="T192" i="1"/>
  <c r="T154" i="1"/>
  <c r="T150" i="1"/>
  <c r="U143" i="1"/>
  <c r="AA140" i="1"/>
  <c r="T139" i="1"/>
  <c r="AA136" i="1"/>
  <c r="T135" i="1"/>
  <c r="AA132" i="1"/>
  <c r="AA131" i="1"/>
  <c r="T130" i="1"/>
  <c r="T129" i="1"/>
  <c r="AA126" i="1"/>
  <c r="W126" i="1" s="1"/>
  <c r="AA124" i="1"/>
  <c r="AA123" i="1"/>
  <c r="T122" i="1"/>
  <c r="T121" i="1"/>
  <c r="U121" i="1" s="1"/>
  <c r="S121" i="1" s="1"/>
  <c r="AG115" i="1"/>
  <c r="AG114" i="1"/>
  <c r="X114" i="1"/>
  <c r="AA110" i="1"/>
  <c r="W110" i="1" s="1"/>
  <c r="AA108" i="1"/>
  <c r="AA107" i="1"/>
  <c r="AG105" i="1"/>
  <c r="U105" i="1" s="1"/>
  <c r="S105" i="1" s="1"/>
  <c r="AG204" i="1"/>
  <c r="X204" i="1"/>
  <c r="AG100" i="1"/>
  <c r="X100" i="1"/>
  <c r="AG96" i="1"/>
  <c r="AI96" i="1" s="1"/>
  <c r="X96" i="1"/>
  <c r="AA184" i="1"/>
  <c r="T184" i="1"/>
  <c r="X180" i="1"/>
  <c r="X177" i="1"/>
  <c r="AG177" i="1"/>
  <c r="AI177" i="1" s="1"/>
  <c r="X165" i="1"/>
  <c r="AG165" i="1"/>
  <c r="AI165" i="1" s="1"/>
  <c r="T165" i="1"/>
  <c r="T160" i="1"/>
  <c r="X85" i="1"/>
  <c r="AG85" i="1"/>
  <c r="W85" i="1" s="1"/>
  <c r="T85" i="1"/>
  <c r="AI39" i="1"/>
  <c r="U154" i="1"/>
  <c r="S154" i="1" s="1"/>
  <c r="T146" i="1"/>
  <c r="T131" i="1"/>
  <c r="AI154" i="1"/>
  <c r="T103" i="1"/>
  <c r="U103" i="1" s="1"/>
  <c r="S103" i="1" s="1"/>
  <c r="T99" i="1"/>
  <c r="U99" i="1" s="1"/>
  <c r="S99" i="1" s="1"/>
  <c r="T187" i="1"/>
  <c r="U187" i="1" s="1"/>
  <c r="S187" i="1" s="1"/>
  <c r="T179" i="1"/>
  <c r="U179" i="1" s="1"/>
  <c r="S179" i="1" s="1"/>
  <c r="U176" i="1"/>
  <c r="S176" i="1" s="1"/>
  <c r="T168" i="1"/>
  <c r="X168" i="1"/>
  <c r="AG168" i="1"/>
  <c r="AI168" i="1" s="1"/>
  <c r="T89" i="1"/>
  <c r="U89" i="1" s="1"/>
  <c r="S89" i="1" s="1"/>
  <c r="X89" i="1"/>
  <c r="AG89" i="1"/>
  <c r="W45" i="1"/>
  <c r="AI35" i="1"/>
  <c r="X15" i="1"/>
  <c r="T14" i="1"/>
  <c r="AA212" i="1"/>
  <c r="AG192" i="1"/>
  <c r="AI192" i="1" s="1"/>
  <c r="AG139" i="1"/>
  <c r="U139" i="1" s="1"/>
  <c r="S139" i="1" s="1"/>
  <c r="AG135" i="1"/>
  <c r="AI135" i="1" s="1"/>
  <c r="AG131" i="1"/>
  <c r="AG123" i="1"/>
  <c r="U123" i="1" s="1"/>
  <c r="S123" i="1" s="1"/>
  <c r="AG122" i="1"/>
  <c r="W122" i="1" s="1"/>
  <c r="AA118" i="1"/>
  <c r="W118" i="1" s="1"/>
  <c r="AA116" i="1"/>
  <c r="AA115" i="1"/>
  <c r="T113" i="1"/>
  <c r="U113" i="1" s="1"/>
  <c r="S113" i="1" s="1"/>
  <c r="AG107" i="1"/>
  <c r="U107" i="1" s="1"/>
  <c r="S107" i="1" s="1"/>
  <c r="AA104" i="1"/>
  <c r="AA205" i="1"/>
  <c r="AA101" i="1"/>
  <c r="W101" i="1" s="1"/>
  <c r="AA96" i="1"/>
  <c r="AG184" i="1"/>
  <c r="AI184" i="1" s="1"/>
  <c r="AA180" i="1"/>
  <c r="W180" i="1" s="1"/>
  <c r="T177" i="1"/>
  <c r="U177" i="1" s="1"/>
  <c r="S177" i="1" s="1"/>
  <c r="X93" i="1"/>
  <c r="AG93" i="1"/>
  <c r="W93" i="1" s="1"/>
  <c r="T93" i="1"/>
  <c r="U93" i="1" s="1"/>
  <c r="S93" i="1" s="1"/>
  <c r="AG75" i="1"/>
  <c r="AI75" i="1" s="1"/>
  <c r="T75" i="1"/>
  <c r="U75" i="1" s="1"/>
  <c r="S75" i="1" s="1"/>
  <c r="X76" i="1"/>
  <c r="AG40" i="1"/>
  <c r="X40" i="1"/>
  <c r="T17" i="1"/>
  <c r="X18" i="1"/>
  <c r="AG17" i="1"/>
  <c r="AA166" i="1"/>
  <c r="AA158" i="1"/>
  <c r="AA86" i="1"/>
  <c r="AA72" i="1"/>
  <c r="W72" i="1" s="1"/>
  <c r="AA68" i="1"/>
  <c r="T67" i="1"/>
  <c r="U67" i="1" s="1"/>
  <c r="S67" i="1" s="1"/>
  <c r="T64" i="1"/>
  <c r="T63" i="1"/>
  <c r="T60" i="1"/>
  <c r="T59" i="1"/>
  <c r="U59" i="1" s="1"/>
  <c r="S59" i="1" s="1"/>
  <c r="T56" i="1"/>
  <c r="T55" i="1"/>
  <c r="T53" i="1"/>
  <c r="AA51" i="1"/>
  <c r="W51" i="1" s="1"/>
  <c r="AA47" i="1"/>
  <c r="AA46" i="1"/>
  <c r="W46" i="1" s="1"/>
  <c r="AA42" i="1"/>
  <c r="T42" i="1"/>
  <c r="U41" i="1"/>
  <c r="S41" i="1" s="1"/>
  <c r="T39" i="1"/>
  <c r="U39" i="1" s="1"/>
  <c r="S39" i="1" s="1"/>
  <c r="AA38" i="1"/>
  <c r="AA32" i="1"/>
  <c r="W32" i="1" s="1"/>
  <c r="AA28" i="1"/>
  <c r="AA24" i="1"/>
  <c r="T23" i="1"/>
  <c r="U23" i="1" s="1"/>
  <c r="AA22" i="1"/>
  <c r="AA19" i="1"/>
  <c r="W19" i="1" s="1"/>
  <c r="X19" i="1"/>
  <c r="T71" i="1"/>
  <c r="U71" i="1" s="1"/>
  <c r="S71" i="1" s="1"/>
  <c r="W57" i="1"/>
  <c r="T52" i="1"/>
  <c r="U51" i="1"/>
  <c r="AI49" i="1"/>
  <c r="T35" i="1"/>
  <c r="U35" i="1" s="1"/>
  <c r="S35" i="1" s="1"/>
  <c r="X23" i="1"/>
  <c r="AA169" i="1"/>
  <c r="AA162" i="1"/>
  <c r="AA90" i="1"/>
  <c r="AA81" i="1"/>
  <c r="W81" i="1" s="1"/>
  <c r="T80" i="1"/>
  <c r="U80" i="1" s="1"/>
  <c r="S80" i="1" s="1"/>
  <c r="AA77" i="1"/>
  <c r="W77" i="1" s="1"/>
  <c r="T76" i="1"/>
  <c r="AA74" i="1"/>
  <c r="AA73" i="1"/>
  <c r="U65" i="1"/>
  <c r="S65" i="1" s="1"/>
  <c r="AG64" i="1"/>
  <c r="AI64" i="1" s="1"/>
  <c r="AG60" i="1"/>
  <c r="W60" i="1" s="1"/>
  <c r="AG56" i="1"/>
  <c r="W56" i="1" s="1"/>
  <c r="AG53" i="1"/>
  <c r="W53" i="1" s="1"/>
  <c r="AA43" i="1"/>
  <c r="W43" i="1" s="1"/>
  <c r="AA40" i="1"/>
  <c r="AG37" i="1"/>
  <c r="U37" i="1" s="1"/>
  <c r="S37" i="1" s="1"/>
  <c r="AA36" i="1"/>
  <c r="X28" i="1"/>
  <c r="AA27" i="1"/>
  <c r="X27" i="1"/>
  <c r="AG25" i="1"/>
  <c r="W25" i="1" s="1"/>
  <c r="X22" i="1"/>
  <c r="AA16" i="1"/>
  <c r="AA14" i="1"/>
  <c r="X217" i="1"/>
  <c r="X213" i="1"/>
  <c r="AI210" i="1"/>
  <c r="T207" i="1"/>
  <c r="X207" i="1"/>
  <c r="AG207" i="1"/>
  <c r="AI202" i="1"/>
  <c r="AA192" i="1"/>
  <c r="W192" i="1" s="1"/>
  <c r="T156" i="1"/>
  <c r="AG156" i="1"/>
  <c r="AA143" i="1"/>
  <c r="T140" i="1"/>
  <c r="X140" i="1"/>
  <c r="AG140" i="1"/>
  <c r="AI149" i="1"/>
  <c r="W109" i="1"/>
  <c r="U219" i="1"/>
  <c r="S219" i="1" s="1"/>
  <c r="S206" i="1"/>
  <c r="AI206" i="1"/>
  <c r="AA196" i="1"/>
  <c r="T193" i="1"/>
  <c r="X193" i="1"/>
  <c r="AG193" i="1"/>
  <c r="T144" i="1"/>
  <c r="X144" i="1"/>
  <c r="AG144" i="1"/>
  <c r="AI160" i="1"/>
  <c r="AI145" i="1"/>
  <c r="X219" i="1"/>
  <c r="AG216" i="1"/>
  <c r="X215" i="1"/>
  <c r="AG212" i="1"/>
  <c r="AA210" i="1"/>
  <c r="W210" i="1" s="1"/>
  <c r="U210" i="1"/>
  <c r="S210" i="1" s="1"/>
  <c r="AG208" i="1"/>
  <c r="T208" i="1"/>
  <c r="X208" i="1"/>
  <c r="AA200" i="1"/>
  <c r="W200" i="1" s="1"/>
  <c r="U200" i="1"/>
  <c r="S200" i="1" s="1"/>
  <c r="T197" i="1"/>
  <c r="X197" i="1"/>
  <c r="AG197" i="1"/>
  <c r="AI197" i="1" s="1"/>
  <c r="AI194" i="1"/>
  <c r="AA151" i="1"/>
  <c r="W151" i="1" s="1"/>
  <c r="U151" i="1"/>
  <c r="S151" i="1" s="1"/>
  <c r="T148" i="1"/>
  <c r="X148" i="1"/>
  <c r="AG148" i="1"/>
  <c r="U146" i="1"/>
  <c r="S146" i="1" s="1"/>
  <c r="S143" i="1"/>
  <c r="AA135" i="1"/>
  <c r="T132" i="1"/>
  <c r="X132" i="1"/>
  <c r="AG132" i="1"/>
  <c r="U130" i="1"/>
  <c r="S130" i="1" s="1"/>
  <c r="U129" i="1"/>
  <c r="S129" i="1" s="1"/>
  <c r="AI164" i="1"/>
  <c r="AI157" i="1"/>
  <c r="AI219" i="1"/>
  <c r="X216" i="1"/>
  <c r="X212" i="1"/>
  <c r="AA211" i="1"/>
  <c r="W211" i="1" s="1"/>
  <c r="AA206" i="1"/>
  <c r="W206" i="1" s="1"/>
  <c r="T201" i="1"/>
  <c r="X201" i="1"/>
  <c r="AG201" i="1"/>
  <c r="AI201" i="1" s="1"/>
  <c r="AI198" i="1"/>
  <c r="AA155" i="1"/>
  <c r="W155" i="1" s="1"/>
  <c r="T152" i="1"/>
  <c r="X152" i="1"/>
  <c r="AG152" i="1"/>
  <c r="W152" i="1" s="1"/>
  <c r="AA139" i="1"/>
  <c r="W139" i="1" s="1"/>
  <c r="T136" i="1"/>
  <c r="X136" i="1"/>
  <c r="AG136" i="1"/>
  <c r="U117" i="1"/>
  <c r="S117" i="1" s="1"/>
  <c r="AI153" i="1"/>
  <c r="W113" i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T157" i="1"/>
  <c r="U157" i="1" s="1"/>
  <c r="S157" i="1" s="1"/>
  <c r="X153" i="1"/>
  <c r="T153" i="1"/>
  <c r="U153" i="1" s="1"/>
  <c r="S153" i="1" s="1"/>
  <c r="X149" i="1"/>
  <c r="T149" i="1"/>
  <c r="U149" i="1" s="1"/>
  <c r="S149" i="1" s="1"/>
  <c r="X145" i="1"/>
  <c r="T145" i="1"/>
  <c r="U145" i="1" s="1"/>
  <c r="S145" i="1" s="1"/>
  <c r="X141" i="1"/>
  <c r="T141" i="1"/>
  <c r="U141" i="1" s="1"/>
  <c r="S141" i="1" s="1"/>
  <c r="X137" i="1"/>
  <c r="T137" i="1"/>
  <c r="U137" i="1" s="1"/>
  <c r="S137" i="1" s="1"/>
  <c r="X133" i="1"/>
  <c r="T133" i="1"/>
  <c r="U133" i="1" s="1"/>
  <c r="S133" i="1" s="1"/>
  <c r="X129" i="1"/>
  <c r="U126" i="1"/>
  <c r="S126" i="1" s="1"/>
  <c r="X125" i="1"/>
  <c r="X121" i="1"/>
  <c r="U118" i="1"/>
  <c r="S118" i="1" s="1"/>
  <c r="X117" i="1"/>
  <c r="U114" i="1"/>
  <c r="S114" i="1" s="1"/>
  <c r="X113" i="1"/>
  <c r="U110" i="1"/>
  <c r="S110" i="1" s="1"/>
  <c r="X109" i="1"/>
  <c r="T205" i="1"/>
  <c r="U205" i="1" s="1"/>
  <c r="S205" i="1" s="1"/>
  <c r="X205" i="1"/>
  <c r="AA204" i="1"/>
  <c r="T102" i="1"/>
  <c r="X102" i="1"/>
  <c r="AG102" i="1"/>
  <c r="AI130" i="1"/>
  <c r="U127" i="1"/>
  <c r="S127" i="1" s="1"/>
  <c r="U115" i="1"/>
  <c r="S115" i="1" s="1"/>
  <c r="T104" i="1"/>
  <c r="X104" i="1"/>
  <c r="AG104" i="1"/>
  <c r="AI104" i="1" s="1"/>
  <c r="AI134" i="1"/>
  <c r="AG128" i="1"/>
  <c r="W128" i="1" s="1"/>
  <c r="AG124" i="1"/>
  <c r="X123" i="1"/>
  <c r="AG120" i="1"/>
  <c r="X119" i="1"/>
  <c r="AG116" i="1"/>
  <c r="X115" i="1"/>
  <c r="AG112" i="1"/>
  <c r="X111" i="1"/>
  <c r="AG108" i="1"/>
  <c r="AI108" i="1" s="1"/>
  <c r="X107" i="1"/>
  <c r="AI138" i="1"/>
  <c r="T97" i="1"/>
  <c r="U97" i="1" s="1"/>
  <c r="S97" i="1" s="1"/>
  <c r="X97" i="1"/>
  <c r="AA191" i="1"/>
  <c r="T189" i="1"/>
  <c r="X189" i="1"/>
  <c r="AG189" i="1"/>
  <c r="AI189" i="1" s="1"/>
  <c r="X128" i="1"/>
  <c r="X124" i="1"/>
  <c r="X120" i="1"/>
  <c r="AI155" i="1"/>
  <c r="X116" i="1"/>
  <c r="AI151" i="1"/>
  <c r="X112" i="1"/>
  <c r="X108" i="1"/>
  <c r="AI143" i="1"/>
  <c r="S106" i="1"/>
  <c r="X105" i="1"/>
  <c r="W205" i="1"/>
  <c r="T101" i="1"/>
  <c r="U101" i="1" s="1"/>
  <c r="S101" i="1" s="1"/>
  <c r="X101" i="1"/>
  <c r="AA100" i="1"/>
  <c r="W100" i="1" s="1"/>
  <c r="U100" i="1"/>
  <c r="S100" i="1" s="1"/>
  <c r="T98" i="1"/>
  <c r="X98" i="1"/>
  <c r="AG98" i="1"/>
  <c r="AI131" i="1"/>
  <c r="U180" i="1"/>
  <c r="S180" i="1" s="1"/>
  <c r="U173" i="1"/>
  <c r="S173" i="1" s="1"/>
  <c r="AI105" i="1"/>
  <c r="U94" i="1"/>
  <c r="S94" i="1" s="1"/>
  <c r="AI99" i="1"/>
  <c r="U160" i="1"/>
  <c r="S160" i="1" s="1"/>
  <c r="AI91" i="1"/>
  <c r="AI88" i="1"/>
  <c r="AI79" i="1"/>
  <c r="U188" i="1"/>
  <c r="S188" i="1" s="1"/>
  <c r="AG185" i="1"/>
  <c r="AI185" i="1" s="1"/>
  <c r="AG181" i="1"/>
  <c r="AI181" i="1" s="1"/>
  <c r="AG95" i="1"/>
  <c r="W95" i="1" s="1"/>
  <c r="AG174" i="1"/>
  <c r="W174" i="1" s="1"/>
  <c r="T171" i="1"/>
  <c r="U171" i="1" s="1"/>
  <c r="S171" i="1" s="1"/>
  <c r="AG170" i="1"/>
  <c r="AI170" i="1" s="1"/>
  <c r="T170" i="1"/>
  <c r="X170" i="1"/>
  <c r="X188" i="1"/>
  <c r="AI126" i="1"/>
  <c r="AG186" i="1"/>
  <c r="AI186" i="1" s="1"/>
  <c r="X185" i="1"/>
  <c r="AI122" i="1"/>
  <c r="AG182" i="1"/>
  <c r="W182" i="1" s="1"/>
  <c r="X181" i="1"/>
  <c r="AI118" i="1"/>
  <c r="AG178" i="1"/>
  <c r="AI178" i="1" s="1"/>
  <c r="X95" i="1"/>
  <c r="AI114" i="1"/>
  <c r="AG175" i="1"/>
  <c r="X174" i="1"/>
  <c r="AI110" i="1"/>
  <c r="X171" i="1"/>
  <c r="AI103" i="1"/>
  <c r="AI100" i="1"/>
  <c r="U164" i="1"/>
  <c r="S164" i="1" s="1"/>
  <c r="AI92" i="1"/>
  <c r="U92" i="1"/>
  <c r="S92" i="1" s="1"/>
  <c r="AI87" i="1"/>
  <c r="AI84" i="1"/>
  <c r="U84" i="1"/>
  <c r="S84" i="1" s="1"/>
  <c r="AI127" i="1"/>
  <c r="X186" i="1"/>
  <c r="X182" i="1"/>
  <c r="X178" i="1"/>
  <c r="X175" i="1"/>
  <c r="T169" i="1"/>
  <c r="X169" i="1"/>
  <c r="AG169" i="1"/>
  <c r="AI169" i="1" s="1"/>
  <c r="W168" i="1"/>
  <c r="W94" i="1"/>
  <c r="W163" i="1"/>
  <c r="W160" i="1"/>
  <c r="W91" i="1"/>
  <c r="W88" i="1"/>
  <c r="AI83" i="1"/>
  <c r="AI80" i="1"/>
  <c r="AI76" i="1"/>
  <c r="U76" i="1"/>
  <c r="S76" i="1" s="1"/>
  <c r="W75" i="1"/>
  <c r="X167" i="1"/>
  <c r="T167" i="1"/>
  <c r="U167" i="1" s="1"/>
  <c r="S167" i="1" s="1"/>
  <c r="X163" i="1"/>
  <c r="T163" i="1"/>
  <c r="U163" i="1" s="1"/>
  <c r="S163" i="1" s="1"/>
  <c r="T159" i="1"/>
  <c r="U159" i="1" s="1"/>
  <c r="S159" i="1" s="1"/>
  <c r="X91" i="1"/>
  <c r="T91" i="1"/>
  <c r="U91" i="1" s="1"/>
  <c r="S91" i="1" s="1"/>
  <c r="X87" i="1"/>
  <c r="T87" i="1"/>
  <c r="U87" i="1" s="1"/>
  <c r="S87" i="1" s="1"/>
  <c r="X83" i="1"/>
  <c r="T83" i="1"/>
  <c r="U83" i="1" s="1"/>
  <c r="S83" i="1" s="1"/>
  <c r="X79" i="1"/>
  <c r="T79" i="1"/>
  <c r="X75" i="1"/>
  <c r="AI72" i="1"/>
  <c r="W69" i="1"/>
  <c r="U85" i="1"/>
  <c r="S85" i="1" s="1"/>
  <c r="U81" i="1"/>
  <c r="S81" i="1" s="1"/>
  <c r="U77" i="1"/>
  <c r="S77" i="1" s="1"/>
  <c r="T69" i="1"/>
  <c r="X69" i="1"/>
  <c r="AA65" i="1"/>
  <c r="W65" i="1" s="1"/>
  <c r="W59" i="1"/>
  <c r="W55" i="1"/>
  <c r="W52" i="1"/>
  <c r="AG166" i="1"/>
  <c r="W166" i="1" s="1"/>
  <c r="AG162" i="1"/>
  <c r="AI162" i="1" s="1"/>
  <c r="AG158" i="1"/>
  <c r="AI158" i="1" s="1"/>
  <c r="AG90" i="1"/>
  <c r="W90" i="1" s="1"/>
  <c r="AG86" i="1"/>
  <c r="AG82" i="1"/>
  <c r="AG78" i="1"/>
  <c r="AG74" i="1"/>
  <c r="W74" i="1" s="1"/>
  <c r="U72" i="1"/>
  <c r="S72" i="1" s="1"/>
  <c r="AG70" i="1"/>
  <c r="T70" i="1"/>
  <c r="X70" i="1"/>
  <c r="AI69" i="1"/>
  <c r="AG66" i="1"/>
  <c r="X67" i="1"/>
  <c r="T66" i="1"/>
  <c r="X66" i="1"/>
  <c r="AI63" i="1"/>
  <c r="U63" i="1"/>
  <c r="S63" i="1" s="1"/>
  <c r="AI59" i="1"/>
  <c r="AI55" i="1"/>
  <c r="U55" i="1"/>
  <c r="S55" i="1" s="1"/>
  <c r="AI52" i="1"/>
  <c r="U52" i="1"/>
  <c r="S52" i="1" s="1"/>
  <c r="X166" i="1"/>
  <c r="AI101" i="1"/>
  <c r="AI97" i="1"/>
  <c r="AI93" i="1"/>
  <c r="X90" i="1"/>
  <c r="AI89" i="1"/>
  <c r="X86" i="1"/>
  <c r="AI85" i="1"/>
  <c r="X82" i="1"/>
  <c r="AI81" i="1"/>
  <c r="X78" i="1"/>
  <c r="X74" i="1"/>
  <c r="U69" i="1"/>
  <c r="S69" i="1" s="1"/>
  <c r="AI65" i="1"/>
  <c r="AI62" i="1"/>
  <c r="AI58" i="1"/>
  <c r="AI54" i="1"/>
  <c r="X62" i="1"/>
  <c r="T62" i="1"/>
  <c r="U62" i="1" s="1"/>
  <c r="S62" i="1" s="1"/>
  <c r="T58" i="1"/>
  <c r="U58" i="1" s="1"/>
  <c r="S58" i="1" s="1"/>
  <c r="AI57" i="1"/>
  <c r="S57" i="1"/>
  <c r="T54" i="1"/>
  <c r="U54" i="1" s="1"/>
  <c r="S54" i="1" s="1"/>
  <c r="AI51" i="1"/>
  <c r="S51" i="1"/>
  <c r="X50" i="1"/>
  <c r="T49" i="1"/>
  <c r="U49" i="1" s="1"/>
  <c r="S49" i="1" s="1"/>
  <c r="X49" i="1"/>
  <c r="W44" i="1"/>
  <c r="T44" i="1"/>
  <c r="U43" i="1"/>
  <c r="S43" i="1" s="1"/>
  <c r="AI40" i="1"/>
  <c r="AI37" i="1"/>
  <c r="X36" i="1"/>
  <c r="AI31" i="1"/>
  <c r="X31" i="1"/>
  <c r="AG30" i="1"/>
  <c r="W28" i="1"/>
  <c r="T28" i="1"/>
  <c r="U28" i="1" s="1"/>
  <c r="S28" i="1" s="1"/>
  <c r="AG24" i="1"/>
  <c r="T24" i="1"/>
  <c r="X24" i="1"/>
  <c r="W23" i="1"/>
  <c r="AG20" i="1"/>
  <c r="T20" i="1"/>
  <c r="X20" i="1"/>
  <c r="AG16" i="1"/>
  <c r="T16" i="1"/>
  <c r="X16" i="1"/>
  <c r="X63" i="1"/>
  <c r="X59" i="1"/>
  <c r="AI48" i="1"/>
  <c r="U44" i="1"/>
  <c r="S44" i="1" s="1"/>
  <c r="AI44" i="1"/>
  <c r="X35" i="1"/>
  <c r="AG34" i="1"/>
  <c r="T32" i="1"/>
  <c r="U32" i="1" s="1"/>
  <c r="S32" i="1" s="1"/>
  <c r="AI28" i="1"/>
  <c r="S23" i="1"/>
  <c r="AI23" i="1"/>
  <c r="AI19" i="1"/>
  <c r="X44" i="1"/>
  <c r="X39" i="1"/>
  <c r="AG38" i="1"/>
  <c r="AI32" i="1"/>
  <c r="X65" i="1"/>
  <c r="X61" i="1"/>
  <c r="AI56" i="1"/>
  <c r="AI53" i="1"/>
  <c r="X51" i="1"/>
  <c r="T50" i="1"/>
  <c r="U50" i="1" s="1"/>
  <c r="S50" i="1" s="1"/>
  <c r="U48" i="1"/>
  <c r="S48" i="1" s="1"/>
  <c r="X46" i="1"/>
  <c r="T45" i="1"/>
  <c r="U45" i="1" s="1"/>
  <c r="S45" i="1" s="1"/>
  <c r="X45" i="1"/>
  <c r="X43" i="1"/>
  <c r="AG42" i="1"/>
  <c r="W40" i="1"/>
  <c r="T40" i="1"/>
  <c r="U40" i="1" s="1"/>
  <c r="S40" i="1" s="1"/>
  <c r="X38" i="1"/>
  <c r="AI36" i="1"/>
  <c r="X32" i="1"/>
  <c r="T30" i="1"/>
  <c r="AI27" i="1"/>
  <c r="W24" i="1"/>
  <c r="W20" i="1"/>
  <c r="W14" i="1"/>
  <c r="X41" i="1"/>
  <c r="X37" i="1"/>
  <c r="X33" i="1"/>
  <c r="X29" i="1"/>
  <c r="AG26" i="1"/>
  <c r="X25" i="1"/>
  <c r="AG22" i="1"/>
  <c r="X21" i="1"/>
  <c r="AG18" i="1"/>
  <c r="X17" i="1"/>
  <c r="AG14" i="1"/>
  <c r="Y24" i="3"/>
  <c r="AD24" i="3"/>
  <c r="AD21" i="3"/>
  <c r="AE21" i="3"/>
  <c r="AD18" i="3"/>
  <c r="T12" i="3"/>
  <c r="T13" i="3"/>
  <c r="Y17" i="3"/>
  <c r="AE24" i="3"/>
  <c r="AD20" i="3"/>
  <c r="AD12" i="3"/>
  <c r="AD8" i="3"/>
  <c r="AD25" i="3"/>
  <c r="AE25" i="3"/>
  <c r="Y9" i="3"/>
  <c r="AE20" i="3"/>
  <c r="AC22" i="3"/>
  <c r="T18" i="3"/>
  <c r="Y12" i="3"/>
  <c r="T11" i="3"/>
  <c r="AE11" i="3"/>
  <c r="AD9" i="3"/>
  <c r="AE9" i="3"/>
  <c r="Y18" i="3"/>
  <c r="Y11" i="3"/>
  <c r="AC24" i="3"/>
  <c r="T19" i="3"/>
  <c r="AE17" i="3"/>
  <c r="AE13" i="3"/>
  <c r="T15" i="3"/>
  <c r="Y7" i="3"/>
  <c r="T10" i="3"/>
  <c r="AE19" i="3"/>
  <c r="T23" i="3"/>
  <c r="AE23" i="3"/>
  <c r="AE15" i="3"/>
  <c r="T16" i="3"/>
  <c r="AD27" i="3"/>
  <c r="T24" i="3"/>
  <c r="AD23" i="3"/>
  <c r="AE22" i="3"/>
  <c r="T20" i="3"/>
  <c r="AD19" i="3"/>
  <c r="AE18" i="3"/>
  <c r="T22" i="3"/>
  <c r="AD15" i="3"/>
  <c r="AE14" i="3"/>
  <c r="T8" i="3"/>
  <c r="AD11" i="3"/>
  <c r="AE10" i="3"/>
  <c r="T14" i="3"/>
  <c r="AC27" i="3"/>
  <c r="AE27" i="3"/>
  <c r="T25" i="3"/>
  <c r="AD14" i="3"/>
  <c r="AD10" i="3"/>
  <c r="AE8" i="3"/>
  <c r="M26" i="3"/>
  <c r="R26" i="3"/>
  <c r="S26" i="3"/>
  <c r="U26" i="3"/>
  <c r="AD26" i="3" s="1"/>
  <c r="V26" i="3"/>
  <c r="W26" i="3"/>
  <c r="X26" i="3"/>
  <c r="AC26" i="3"/>
  <c r="U73" i="1" l="1"/>
  <c r="S73" i="1" s="1"/>
  <c r="AI142" i="1"/>
  <c r="U218" i="1"/>
  <c r="S218" i="1" s="1"/>
  <c r="W36" i="1"/>
  <c r="AI21" i="1"/>
  <c r="W21" i="1"/>
  <c r="W48" i="1"/>
  <c r="W207" i="1"/>
  <c r="W30" i="1"/>
  <c r="W82" i="1"/>
  <c r="U165" i="1"/>
  <c r="S165" i="1" s="1"/>
  <c r="U79" i="1"/>
  <c r="S79" i="1" s="1"/>
  <c r="U96" i="1"/>
  <c r="S96" i="1" s="1"/>
  <c r="W73" i="1"/>
  <c r="W114" i="1"/>
  <c r="W176" i="1"/>
  <c r="U68" i="1"/>
  <c r="S68" i="1" s="1"/>
  <c r="U172" i="1"/>
  <c r="S172" i="1" s="1"/>
  <c r="U119" i="1"/>
  <c r="S119" i="1" s="1"/>
  <c r="U142" i="1"/>
  <c r="S142" i="1" s="1"/>
  <c r="W41" i="1"/>
  <c r="W156" i="1"/>
  <c r="U36" i="1"/>
  <c r="S36" i="1" s="1"/>
  <c r="W218" i="1"/>
  <c r="W203" i="1"/>
  <c r="U27" i="1"/>
  <c r="S27" i="1" s="1"/>
  <c r="W22" i="1"/>
  <c r="AI61" i="1"/>
  <c r="U168" i="1"/>
  <c r="S168" i="1" s="1"/>
  <c r="U135" i="1"/>
  <c r="S135" i="1" s="1"/>
  <c r="U215" i="1"/>
  <c r="S215" i="1" s="1"/>
  <c r="U214" i="1"/>
  <c r="S214" i="1" s="1"/>
  <c r="W27" i="1"/>
  <c r="W61" i="1"/>
  <c r="W17" i="1"/>
  <c r="U150" i="1"/>
  <c r="S150" i="1" s="1"/>
  <c r="U196" i="1"/>
  <c r="S196" i="1" s="1"/>
  <c r="W106" i="1"/>
  <c r="U147" i="1"/>
  <c r="S147" i="1" s="1"/>
  <c r="Y26" i="3"/>
  <c r="AI47" i="1"/>
  <c r="AI68" i="1"/>
  <c r="W191" i="1"/>
  <c r="AI139" i="1"/>
  <c r="U122" i="1"/>
  <c r="S122" i="1" s="1"/>
  <c r="U211" i="1"/>
  <c r="S211" i="1" s="1"/>
  <c r="W135" i="1"/>
  <c r="U125" i="1"/>
  <c r="S125" i="1" s="1"/>
  <c r="AI190" i="1"/>
  <c r="W196" i="1"/>
  <c r="W125" i="1"/>
  <c r="W143" i="1"/>
  <c r="W64" i="1"/>
  <c r="W47" i="1"/>
  <c r="W219" i="1"/>
  <c r="W147" i="1"/>
  <c r="AI15" i="1"/>
  <c r="U53" i="1"/>
  <c r="S53" i="1" s="1"/>
  <c r="W68" i="1"/>
  <c r="W213" i="1"/>
  <c r="W29" i="1"/>
  <c r="U29" i="1"/>
  <c r="W115" i="1"/>
  <c r="W140" i="1"/>
  <c r="U190" i="1"/>
  <c r="S190" i="1" s="1"/>
  <c r="W169" i="1"/>
  <c r="W37" i="1"/>
  <c r="U56" i="1"/>
  <c r="S56" i="1" s="1"/>
  <c r="U64" i="1"/>
  <c r="S64" i="1" s="1"/>
  <c r="AI182" i="1"/>
  <c r="W16" i="1"/>
  <c r="W107" i="1"/>
  <c r="W177" i="1"/>
  <c r="AI60" i="1"/>
  <c r="U60" i="1"/>
  <c r="S60" i="1" s="1"/>
  <c r="U161" i="1"/>
  <c r="S161" i="1" s="1"/>
  <c r="AI95" i="1"/>
  <c r="U184" i="1"/>
  <c r="S184" i="1" s="1"/>
  <c r="U17" i="1"/>
  <c r="S17" i="1" s="1"/>
  <c r="AI17" i="1"/>
  <c r="W131" i="1"/>
  <c r="W33" i="1"/>
  <c r="W161" i="1"/>
  <c r="W214" i="1"/>
  <c r="U213" i="1"/>
  <c r="S213" i="1" s="1"/>
  <c r="AI213" i="1"/>
  <c r="W193" i="1"/>
  <c r="AI193" i="1"/>
  <c r="U204" i="1"/>
  <c r="S204" i="1" s="1"/>
  <c r="AI204" i="1"/>
  <c r="U33" i="1"/>
  <c r="S33" i="1" s="1"/>
  <c r="AI166" i="1"/>
  <c r="AI174" i="1"/>
  <c r="W96" i="1"/>
  <c r="U131" i="1"/>
  <c r="S131" i="1" s="1"/>
  <c r="U192" i="1"/>
  <c r="S192" i="1" s="1"/>
  <c r="U15" i="1"/>
  <c r="S15" i="1" s="1"/>
  <c r="W105" i="1"/>
  <c r="W86" i="1"/>
  <c r="W204" i="1"/>
  <c r="U25" i="1"/>
  <c r="S25" i="1" s="1"/>
  <c r="AI25" i="1"/>
  <c r="W165" i="1"/>
  <c r="W184" i="1"/>
  <c r="W123" i="1"/>
  <c r="AI38" i="1"/>
  <c r="U38" i="1"/>
  <c r="S38" i="1" s="1"/>
  <c r="AI34" i="1"/>
  <c r="U34" i="1"/>
  <c r="S34" i="1" s="1"/>
  <c r="U66" i="1"/>
  <c r="S66" i="1" s="1"/>
  <c r="AI66" i="1"/>
  <c r="U78" i="1"/>
  <c r="S78" i="1" s="1"/>
  <c r="AI78" i="1"/>
  <c r="U158" i="1"/>
  <c r="S158" i="1" s="1"/>
  <c r="AI94" i="1"/>
  <c r="U178" i="1"/>
  <c r="S178" i="1" s="1"/>
  <c r="AI116" i="1"/>
  <c r="U170" i="1"/>
  <c r="S170" i="1" s="1"/>
  <c r="AI107" i="1"/>
  <c r="AI119" i="1"/>
  <c r="U181" i="1"/>
  <c r="S181" i="1" s="1"/>
  <c r="U98" i="1"/>
  <c r="S98" i="1" s="1"/>
  <c r="AI132" i="1"/>
  <c r="W98" i="1"/>
  <c r="U108" i="1"/>
  <c r="S108" i="1" s="1"/>
  <c r="AI144" i="1"/>
  <c r="U116" i="1"/>
  <c r="S116" i="1"/>
  <c r="AI152" i="1"/>
  <c r="U124" i="1"/>
  <c r="S124" i="1" s="1"/>
  <c r="AI159" i="1"/>
  <c r="U104" i="1"/>
  <c r="S104" i="1" s="1"/>
  <c r="AI140" i="1"/>
  <c r="U201" i="1"/>
  <c r="S201" i="1" s="1"/>
  <c r="AI203" i="1"/>
  <c r="U148" i="1"/>
  <c r="S148" i="1" s="1"/>
  <c r="AI183" i="1"/>
  <c r="U216" i="1"/>
  <c r="S216" i="1" s="1"/>
  <c r="AI216" i="1"/>
  <c r="U156" i="1"/>
  <c r="S156" i="1" s="1"/>
  <c r="AI191" i="1"/>
  <c r="W216" i="1"/>
  <c r="AI14" i="1"/>
  <c r="U14" i="1"/>
  <c r="S14" i="1" s="1"/>
  <c r="U16" i="1"/>
  <c r="S16" i="1" s="1"/>
  <c r="AI16" i="1"/>
  <c r="U20" i="1"/>
  <c r="S20" i="1" s="1"/>
  <c r="AI20" i="1"/>
  <c r="U24" i="1"/>
  <c r="S24" i="1" s="1"/>
  <c r="AI24" i="1"/>
  <c r="U70" i="1"/>
  <c r="S70" i="1" s="1"/>
  <c r="AI70" i="1"/>
  <c r="U82" i="1"/>
  <c r="S82" i="1" s="1"/>
  <c r="AI82" i="1"/>
  <c r="U162" i="1"/>
  <c r="S162" i="1" s="1"/>
  <c r="AI98" i="1"/>
  <c r="U175" i="1"/>
  <c r="S175" i="1" s="1"/>
  <c r="AI112" i="1"/>
  <c r="AI123" i="1"/>
  <c r="U185" i="1"/>
  <c r="S185" i="1" s="1"/>
  <c r="W178" i="1"/>
  <c r="U189" i="1"/>
  <c r="S189" i="1" s="1"/>
  <c r="AI128" i="1"/>
  <c r="U128" i="1"/>
  <c r="S128" i="1" s="1"/>
  <c r="AI163" i="1"/>
  <c r="U102" i="1"/>
  <c r="S102" i="1" s="1"/>
  <c r="W102" i="1"/>
  <c r="AI136" i="1"/>
  <c r="U132" i="1"/>
  <c r="S132" i="1" s="1"/>
  <c r="AI167" i="1"/>
  <c r="U212" i="1"/>
  <c r="S212" i="1" s="1"/>
  <c r="AI212" i="1"/>
  <c r="W124" i="1"/>
  <c r="W132" i="1"/>
  <c r="W148" i="1"/>
  <c r="U207" i="1"/>
  <c r="S207" i="1" s="1"/>
  <c r="AI207" i="1"/>
  <c r="AI18" i="1"/>
  <c r="U18" i="1"/>
  <c r="S18" i="1" s="1"/>
  <c r="AI26" i="1"/>
  <c r="U26" i="1"/>
  <c r="S26" i="1" s="1"/>
  <c r="AI22" i="1"/>
  <c r="U22" i="1"/>
  <c r="S22" i="1" s="1"/>
  <c r="AI42" i="1"/>
  <c r="U42" i="1"/>
  <c r="S42" i="1" s="1"/>
  <c r="W18" i="1"/>
  <c r="W26" i="1"/>
  <c r="W42" i="1"/>
  <c r="W38" i="1"/>
  <c r="AI30" i="1"/>
  <c r="U30" i="1"/>
  <c r="S30" i="1" s="1"/>
  <c r="W34" i="1"/>
  <c r="U86" i="1"/>
  <c r="S86" i="1" s="1"/>
  <c r="AI86" i="1"/>
  <c r="U166" i="1"/>
  <c r="S166" i="1" s="1"/>
  <c r="AI102" i="1"/>
  <c r="W66" i="1"/>
  <c r="W162" i="1"/>
  <c r="U186" i="1"/>
  <c r="S186" i="1" s="1"/>
  <c r="AI124" i="1"/>
  <c r="AI111" i="1"/>
  <c r="U174" i="1"/>
  <c r="S174" i="1" s="1"/>
  <c r="W185" i="1"/>
  <c r="U112" i="1"/>
  <c r="S112" i="1" s="1"/>
  <c r="AI148" i="1"/>
  <c r="U120" i="1"/>
  <c r="S120" i="1" s="1"/>
  <c r="AI156" i="1"/>
  <c r="W175" i="1"/>
  <c r="W189" i="1"/>
  <c r="W116" i="1"/>
  <c r="U136" i="1"/>
  <c r="S136" i="1" s="1"/>
  <c r="AI171" i="1"/>
  <c r="W136" i="1"/>
  <c r="U197" i="1"/>
  <c r="S197" i="1" s="1"/>
  <c r="AI199" i="1"/>
  <c r="U208" i="1"/>
  <c r="S208" i="1" s="1"/>
  <c r="AI208" i="1"/>
  <c r="W208" i="1"/>
  <c r="U144" i="1"/>
  <c r="S144" i="1" s="1"/>
  <c r="AI179" i="1"/>
  <c r="U193" i="1"/>
  <c r="S193" i="1" s="1"/>
  <c r="AI195" i="1"/>
  <c r="W197" i="1"/>
  <c r="W212" i="1"/>
  <c r="U74" i="1"/>
  <c r="S74" i="1" s="1"/>
  <c r="AI74" i="1"/>
  <c r="U90" i="1"/>
  <c r="S90" i="1" s="1"/>
  <c r="AI90" i="1"/>
  <c r="U169" i="1"/>
  <c r="S169" i="1" s="1"/>
  <c r="AI106" i="1"/>
  <c r="W78" i="1"/>
  <c r="U182" i="1"/>
  <c r="S182" i="1" s="1"/>
  <c r="AI120" i="1"/>
  <c r="W158" i="1"/>
  <c r="AI115" i="1"/>
  <c r="U95" i="1"/>
  <c r="S95" i="1" s="1"/>
  <c r="W70" i="1"/>
  <c r="W170" i="1"/>
  <c r="W186" i="1"/>
  <c r="W181" i="1"/>
  <c r="W104" i="1"/>
  <c r="U152" i="1"/>
  <c r="S152" i="1" s="1"/>
  <c r="AI187" i="1"/>
  <c r="W120" i="1"/>
  <c r="W201" i="1"/>
  <c r="W108" i="1"/>
  <c r="W112" i="1"/>
  <c r="U140" i="1"/>
  <c r="S140" i="1" s="1"/>
  <c r="AI175" i="1"/>
  <c r="W144" i="1"/>
  <c r="AE26" i="3"/>
  <c r="T26" i="3"/>
  <c r="B3" i="6" l="1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27" i="3" s="1"/>
  <c r="G42" i="4"/>
  <c r="G43" i="4"/>
  <c r="G44" i="4"/>
  <c r="G45" i="4"/>
  <c r="G46" i="4"/>
  <c r="G47" i="4"/>
  <c r="G48" i="4"/>
  <c r="G49" i="4"/>
  <c r="N17" i="3" s="1"/>
  <c r="G50" i="4"/>
  <c r="G51" i="4"/>
  <c r="G52" i="4"/>
  <c r="G53" i="4"/>
  <c r="G54" i="4"/>
  <c r="N14" i="3" s="1"/>
  <c r="G55" i="4"/>
  <c r="G56" i="4"/>
  <c r="N15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13" i="3" s="1"/>
  <c r="G75" i="4"/>
  <c r="G76" i="4"/>
  <c r="G77" i="4"/>
  <c r="G78" i="4"/>
  <c r="G79" i="4"/>
  <c r="G80" i="4"/>
  <c r="G81" i="4"/>
  <c r="G82" i="4"/>
  <c r="G83" i="4"/>
  <c r="G84" i="4"/>
  <c r="N11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2" i="3" s="1"/>
  <c r="G112" i="4"/>
  <c r="G113" i="4"/>
  <c r="G114" i="4"/>
  <c r="G115" i="4"/>
  <c r="G116" i="4"/>
  <c r="G117" i="4"/>
  <c r="G118" i="4"/>
  <c r="G119" i="4"/>
  <c r="G120" i="4"/>
  <c r="G121" i="4"/>
  <c r="G122" i="4"/>
  <c r="N18" i="3" s="1"/>
  <c r="G123" i="4"/>
  <c r="G124" i="4"/>
  <c r="G125" i="4"/>
  <c r="G126" i="4"/>
  <c r="G127" i="4"/>
  <c r="G128" i="4"/>
  <c r="N22" i="3" s="1"/>
  <c r="G129" i="4"/>
  <c r="G130" i="4"/>
  <c r="N23" i="3" s="1"/>
  <c r="G131" i="4"/>
  <c r="G132" i="4"/>
  <c r="G133" i="4"/>
  <c r="G134" i="4"/>
  <c r="N19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9" i="3" s="1"/>
  <c r="G149" i="4"/>
  <c r="G150" i="4"/>
  <c r="G151" i="4"/>
  <c r="G152" i="4"/>
  <c r="G153" i="4"/>
  <c r="G154" i="4"/>
  <c r="G155" i="4"/>
  <c r="G156" i="4"/>
  <c r="G157" i="4"/>
  <c r="N20" i="3" s="1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N10" i="3" s="1"/>
  <c r="G191" i="4"/>
  <c r="G192" i="4"/>
  <c r="G193" i="4"/>
  <c r="G194" i="4"/>
  <c r="G195" i="4"/>
  <c r="G196" i="4"/>
  <c r="G197" i="4"/>
  <c r="N21" i="3" s="1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N24" i="3" s="1"/>
  <c r="G214" i="4"/>
  <c r="N7" i="3" s="1"/>
  <c r="G215" i="4"/>
  <c r="G216" i="4"/>
  <c r="N25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6" i="3" l="1"/>
  <c r="N8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<sst xmlns="http://schemas.openxmlformats.org/spreadsheetml/2006/main" count="2728" uniqueCount="1020">
  <si>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</si>
  <si>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</si>
  <si>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</si>
  <si>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</si>
  <si>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</si>
  <si>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</si>
  <si>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</si>
  <si>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</si>
  <si>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</si>
  <si>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</si>
  <si>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</si>
  <si>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</si>
  <si>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</si>
  <si>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</si>
  <si>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</si>
  <si>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</si>
  <si>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</si>
  <si>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</si>
  <si>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</si>
  <si>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</si>
  <si>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</si>
  <si>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</si>
  <si>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</si>
  <si>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</si>
  <si>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</si>
  <si>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</si>
  <si>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</si>
  <si>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</si>
  <si>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</si>
  <si>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</si>
  <si>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</si>
  <si>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</si>
  <si>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</si>
  <si>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</si>
  <si>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</si>
  <si>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</si>
  <si>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</si>
  <si>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</si>
  <si>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</si>
  <si>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</si>
  <si>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</si>
  <si>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</si>
  <si>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</si>
  <si>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</si>
  <si>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</si>
  <si>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</si>
  <si>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</si>
  <si>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</si>
  <si>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</si>
  <si>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</si>
  <si>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</si>
  <si>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</si>
  <si>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</si>
  <si>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</si>
  <si>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</si>
  <si>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</si>
  <si>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</si>
  <si>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</si>
  <si>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</si>
  <si>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</si>
  <si>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</si>
  <si>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</si>
  <si>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</si>
  <si>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</si>
  <si>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</si>
  <si>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</si>
  <si>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</si>
  <si>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</si>
  <si>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</si>
  <si>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</si>
  <si>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</si>
  <si>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</si>
  <si>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</si>
  <si>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</si>
  <si>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</si>
  <si>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</si>
  <si>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</si>
  <si>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</si>
  <si>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</si>
  <si>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</si>
  <si>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</si>
  <si>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</si>
  <si>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</si>
  <si>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</si>
  <si>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</si>
  <si>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</si>
  <si>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</si>
  <si>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</si>
  <si>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</si>
  <si>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</si>
  <si>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</si>
  <si>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</si>
  <si>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</si>
  <si>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</si>
  <si>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</si>
  <si>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</si>
  <si>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</si>
  <si>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</si>
  <si>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</si>
  <si>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</si>
  <si>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</si>
  <si>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</si>
  <si>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</si>
  <si>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</si>
  <si>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</si>
  <si>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</si>
  <si>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</si>
  <si>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</si>
  <si>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</si>
  <si>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</si>
  <si>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</si>
  <si>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</si>
  <si>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</si>
  <si>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</si>
  <si>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</si>
  <si>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</si>
  <si>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</si>
  <si>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</si>
  <si>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</si>
  <si>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</si>
  <si>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</si>
  <si>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</si>
  <si>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</si>
  <si>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</si>
  <si>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</si>
  <si>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</si>
  <si>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</si>
  <si>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</si>
  <si>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</si>
  <si>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</si>
  <si>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</si>
  <si>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</si>
  <si>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</si>
  <si>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</si>
  <si>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</si>
  <si>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</si>
  <si>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</si>
  <si>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</si>
  <si>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</si>
  <si>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</si>
  <si>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</si>
  <si>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</si>
  <si>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</si>
  <si>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</si>
  <si>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</si>
  <si>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</si>
  <si>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</si>
  <si>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</si>
  <si>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</si>
  <si>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</si>
  <si>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</si>
  <si>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</si>
  <si>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</si>
  <si>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</si>
  <si>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</si>
  <si>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</si>
  <si>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</si>
  <si>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</si>
  <si>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</si>
  <si>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</si>
  <si>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</si>
  <si>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</si>
  <si>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</si>
  <si>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</si>
  <si>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</si>
  <si>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</si>
  <si>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</si>
  <si>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</si>
  <si>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</si>
  <si>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</si>
  <si>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</si>
  <si>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</si>
  <si>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</si>
  <si>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</si>
  <si>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</si>
  <si>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</si>
  <si>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</si>
  <si>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</si>
  <si>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</si>
  <si>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</si>
  <si>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</si>
  <si>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</si>
  <si>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</si>
  <si>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</si>
  <si>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</si>
  <si>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</si>
  <si>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</si>
  <si>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</si>
  <si>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</si>
  <si>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</si>
  <si>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</si>
  <si>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</si>
  <si>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</si>
  <si>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</si>
  <si>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</si>
  <si>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</si>
  <si>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</si>
  <si>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</si>
  <si>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</si>
  <si>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</si>
  <si>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</si>
  <si>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</si>
  <si>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</si>
  <si>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</si>
  <si>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</si>
  <si>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</si>
  <si>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</si>
  <si>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</si>
  <si>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</si>
  <si>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</si>
  <si>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</si>
  <si>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</si>
  <si>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</si>
  <si>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</si>
  <si>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</si>
  <si>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</si>
  <si>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</si>
  <si>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</si>
  <si>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</si>
  <si>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</si>
  <si>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</si>
  <si>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</si>
  <si>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</si>
  <si>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</si>
  <si>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</si>
  <si>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</si>
  <si>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</si>
  <si>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</si>
  <si>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</si>
  <si>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</si>
  <si>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</si>
  <si>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</si>
  <si>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</si>
  <si>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</si>
  <si>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</si>
  <si>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</si>
  <si>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</si>
  <si>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</si>
  <si>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</si>
  <si>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</si>
  <si>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</si>
  <si>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</si>
  <si>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</si>
  <si>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</si>
  <si>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</si>
  <si>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</si>
  <si>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</si>
  <si>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</si>
  <si>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</si>
  <si>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</si>
  <si>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</si>
  <si>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</si>
  <si>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</si>
  <si>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</si>
  <si>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</si>
  <si>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</si>
  <si>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</si>
  <si>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</si>
  <si>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</si>
  <si>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</si>
  <si>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</si>
  <si>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</si>
  <si>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</si>
  <si>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</si>
  <si>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</si>
  <si>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</si>
  <si>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</si>
  <si>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</si>
  <si>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</si>
  <si>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</si>
  <si>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</si>
  <si>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</si>
  <si>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</si>
  <si>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</si>
  <si>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</si>
  <si>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</si>
  <si>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</si>
  <si>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</si>
  <si>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</si>
  <si>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</si>
  <si>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</si>
  <si>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</si>
  <si>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</si>
  <si>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</si>
  <si>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</si>
  <si>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</si>
  <si>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</si>
  <si>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</si>
  <si>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</si>
  <si>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</si>
  <si>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</si>
  <si>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</si>
  <si>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</si>
  <si>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</si>
  <si>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</si>
  <si>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</si>
  <si>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</si>
  <si>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</si>
  <si>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</si>
  <si>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</si>
  <si>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</si>
  <si>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</si>
  <si>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</si>
  <si>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</si>
  <si>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</si>
  <si>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</si>
  <si>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</si>
  <si>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</si>
  <si>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</si>
  <si>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</si>
  <si>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</si>
  <si>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</si>
  <si>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</si>
  <si>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</si>
  <si>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</si>
  <si>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</si>
  <si>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</si>
  <si>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</si>
  <si>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</si>
  <si>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</si>
  <si>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</si>
  <si>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</si>
  <si>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</si>
  <si>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</si>
  <si>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</si>
  <si>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</si>
  <si>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</si>
  <si>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</si>
  <si>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</si>
  <si>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</si>
  <si>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</si>
  <si>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</si>
  <si>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</si>
  <si>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</si>
  <si>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</si>
  <si>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</si>
  <si>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</si>
  <si>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</si>
  <si>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</si>
  <si>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</si>
  <si>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</si>
  <si>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</si>
  <si>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</si>
  <si>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</si>
  <si>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</si>
  <si>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</si>
  <si>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</si>
  <si>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</si>
  <si>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</si>
  <si>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</si>
  <si>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</si>
  <si>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</si>
  <si>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</si>
  <si>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</si>
  <si>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</si>
  <si>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</si>
  <si>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</si>
  <si>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</si>
  <si>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</si>
  <si>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</si>
  <si>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</si>
  <si>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</si>
  <si>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</si>
  <si>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</si>
  <si>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</si>
  <si>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</si>
  <si>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</si>
  <si>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</si>
  <si>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</si>
  <si>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</si>
  <si>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</si>
  <si>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</si>
  <si>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</si>
  <si>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</si>
  <si>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</si>
  <si>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</si>
  <si>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</si>
  <si>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</si>
  <si>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</si>
  <si>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</si>
  <si>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</si>
  <si>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</si>
  <si>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</si>
  <si>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</si>
  <si>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</si>
  <si>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</si>
  <si>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</si>
  <si>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</si>
  <si>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</si>
  <si>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</si>
  <si>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</si>
  <si>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</si>
  <si>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</si>
  <si>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</si>
  <si>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</si>
  <si>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</si>
  <si>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</si>
  <si>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</si>
  <si>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</si>
  <si>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</si>
  <si>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</si>
  <si>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</si>
  <si>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</si>
  <si>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</si>
  <si>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</si>
  <si>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</si>
  <si>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</si>
  <si>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</si>
  <si>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204:232993</t>
  </si>
  <si>
    <t>204:232989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</si>
  <si>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</si>
  <si>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</si>
  <si>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</si>
  <si>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</si>
  <si>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</si>
  <si>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</si>
  <si>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</si>
  <si>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</si>
  <si>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</si>
  <si>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</si>
  <si>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</si>
  <si>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</si>
  <si>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</si>
  <si>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</si>
  <si>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</si>
  <si>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</si>
  <si>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</si>
  <si>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</si>
  <si>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</si>
  <si>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</si>
  <si>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</si>
  <si>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</si>
  <si>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</si>
  <si>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</si>
  <si>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</si>
  <si>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</si>
  <si>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</si>
  <si>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</si>
  <si>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</si>
  <si>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</si>
  <si>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</si>
  <si>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</si>
  <si>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</si>
  <si>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</si>
  <si>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</si>
  <si>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</si>
  <si>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</si>
  <si>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</si>
  <si>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</si>
  <si>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</si>
  <si>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JOHN</t>
  </si>
  <si>
    <t>SULLIVAN</t>
  </si>
  <si>
    <t>BRANDON</t>
  </si>
  <si>
    <t>WHITED</t>
  </si>
  <si>
    <t>DUSTIN</t>
  </si>
  <si>
    <t>Clear</t>
  </si>
  <si>
    <t>clear-night</t>
  </si>
  <si>
    <t>204:233306</t>
  </si>
  <si>
    <t>204:467</t>
  </si>
  <si>
    <t>204:233291</t>
  </si>
  <si>
    <t>204:233002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</si>
  <si>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</si>
  <si>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</si>
  <si>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</si>
  <si>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</si>
  <si>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</si>
  <si>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</si>
  <si>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</si>
  <si>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</si>
  <si>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</si>
  <si>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</si>
  <si>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</si>
  <si>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</si>
  <si>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</si>
  <si>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</si>
  <si>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SAFIEF</t>
  </si>
  <si>
    <t>AEIMEN</t>
  </si>
  <si>
    <t>rtdc.l.rtdc.4040:itc</t>
  </si>
  <si>
    <t>204:150</t>
  </si>
  <si>
    <t>300:58943</t>
  </si>
  <si>
    <t>204:447</t>
  </si>
  <si>
    <t>204:473</t>
  </si>
  <si>
    <t>rtdc.l.rtdc.4006:itc</t>
  </si>
  <si>
    <t>rtdc.l.rtdc.4018:itc</t>
  </si>
  <si>
    <t>FORTUNATO</t>
  </si>
  <si>
    <t>FRANK</t>
  </si>
  <si>
    <t>244-10</t>
  </si>
  <si>
    <t>311-10</t>
  </si>
  <si>
    <t>313-10</t>
  </si>
  <si>
    <t>partly-cloudy-night</t>
  </si>
  <si>
    <t>204:233303</t>
  </si>
  <si>
    <t>204:149</t>
  </si>
  <si>
    <t>204:232998</t>
  </si>
  <si>
    <t>204:143</t>
  </si>
  <si>
    <t>204:232996</t>
  </si>
  <si>
    <t>204:475</t>
  </si>
  <si>
    <t>300:58611</t>
  </si>
  <si>
    <t>s</t>
  </si>
  <si>
    <t>rtdc.l.rtdc.4011:itc</t>
  </si>
  <si>
    <t>242-11</t>
  </si>
  <si>
    <t>315-11</t>
  </si>
  <si>
    <t>309-11</t>
  </si>
  <si>
    <t>244-11</t>
  </si>
  <si>
    <t>311-11</t>
  </si>
  <si>
    <t>204:442</t>
  </si>
  <si>
    <t>204:233301</t>
  </si>
  <si>
    <t>204:435</t>
  </si>
  <si>
    <t>204:440</t>
  </si>
  <si>
    <t>204:233310</t>
  </si>
  <si>
    <t>204:232986</t>
  </si>
  <si>
    <t>204:232961</t>
  </si>
  <si>
    <t>204:232994</t>
  </si>
  <si>
    <t>300:23346</t>
  </si>
  <si>
    <t>204:1027</t>
  </si>
  <si>
    <t>300:58630</t>
  </si>
  <si>
    <t>300:58941</t>
  </si>
  <si>
    <t>rtdc.l.rtdc.4007:itc</t>
  </si>
  <si>
    <t>BADERTSCHER</t>
  </si>
  <si>
    <t>DIANE</t>
  </si>
  <si>
    <t>DELGADO</t>
  </si>
  <si>
    <t>DIANAH</t>
  </si>
  <si>
    <t>rtdc.l.rtdc.4008:itc</t>
  </si>
  <si>
    <t>ARVIDSON</t>
  </si>
  <si>
    <t>DANIEL</t>
  </si>
  <si>
    <t>204:748</t>
  </si>
  <si>
    <t>204:139</t>
  </si>
  <si>
    <t>204:232982</t>
  </si>
  <si>
    <t>204:233298</t>
  </si>
  <si>
    <t>204:232967</t>
  </si>
  <si>
    <t>204:233288</t>
  </si>
  <si>
    <t>204:232983</t>
  </si>
  <si>
    <t>204:123</t>
  </si>
  <si>
    <t>204:232971</t>
  </si>
  <si>
    <t>204:163</t>
  </si>
  <si>
    <t>300:58626</t>
  </si>
  <si>
    <t>300:58937</t>
  </si>
  <si>
    <t>rtdc.l.rtdc.4026:itc</t>
  </si>
  <si>
    <t>rtdc.l.rtdc.4051:itc</t>
  </si>
  <si>
    <t>rtdc.l.rtdc.4025:itc</t>
  </si>
  <si>
    <t>rtdc.l.rtdc.4005:itc</t>
  </si>
  <si>
    <t>rtdc.l.rtdc.4052:itc</t>
  </si>
  <si>
    <t>238-13</t>
  </si>
  <si>
    <t>240-13</t>
  </si>
  <si>
    <t>Y</t>
  </si>
  <si>
    <t>ROBINSON</t>
  </si>
  <si>
    <t>KADDIBA</t>
  </si>
  <si>
    <t>SHOOK</t>
  </si>
  <si>
    <t>BRANDNER</t>
  </si>
  <si>
    <t>MELINDA</t>
  </si>
  <si>
    <t>BRUDER</t>
  </si>
  <si>
    <t>RICHARD</t>
  </si>
  <si>
    <t>241-13</t>
  </si>
  <si>
    <t>243-13</t>
  </si>
  <si>
    <t>315-13</t>
  </si>
  <si>
    <t>242-13</t>
  </si>
  <si>
    <t>309-13</t>
  </si>
  <si>
    <t>244-13</t>
  </si>
  <si>
    <t>precipType</t>
  </si>
  <si>
    <t>partly-cloudy-day</t>
  </si>
  <si>
    <t>rain</t>
  </si>
  <si>
    <t>204:466</t>
  </si>
  <si>
    <t>204:233315</t>
  </si>
  <si>
    <t>204:156</t>
  </si>
  <si>
    <t>204:233021</t>
  </si>
  <si>
    <t>204:233001</t>
  </si>
  <si>
    <t>204:429</t>
  </si>
  <si>
    <t>300:58619</t>
  </si>
  <si>
    <t>rtdc.l.rtdc.4039:itc</t>
  </si>
  <si>
    <t>DAVIS</t>
  </si>
  <si>
    <t>WENDY</t>
  </si>
  <si>
    <t>SANTIZO</t>
  </si>
  <si>
    <t>D. EDY</t>
  </si>
  <si>
    <t>HAUSER</t>
  </si>
  <si>
    <t>GEBRETEKLE</t>
  </si>
  <si>
    <t>DAGNEW</t>
  </si>
  <si>
    <t>STEWART</t>
  </si>
  <si>
    <t>LEVIN</t>
  </si>
  <si>
    <t>SCOTT</t>
  </si>
  <si>
    <t>LALONDE</t>
  </si>
  <si>
    <t>GREGORY</t>
  </si>
  <si>
    <t>HELVIE</t>
  </si>
  <si>
    <t>ADAM</t>
  </si>
  <si>
    <t>DAVIDSON</t>
  </si>
  <si>
    <t>DAVID</t>
  </si>
  <si>
    <t>242-15</t>
  </si>
  <si>
    <t>245-15</t>
  </si>
  <si>
    <t>309-15</t>
  </si>
  <si>
    <t>244-15</t>
  </si>
  <si>
    <t>311-15</t>
  </si>
  <si>
    <t>246-15</t>
  </si>
  <si>
    <t>313-15</t>
  </si>
  <si>
    <t>315-15</t>
  </si>
  <si>
    <t>204:724</t>
  </si>
  <si>
    <t>204:233317</t>
  </si>
  <si>
    <t>204:754</t>
  </si>
  <si>
    <t>204:1165</t>
  </si>
  <si>
    <t>204:233289</t>
  </si>
  <si>
    <t>204:437</t>
  </si>
  <si>
    <t>204:477</t>
  </si>
  <si>
    <t>204:484</t>
  </si>
  <si>
    <t>204:233321</t>
  </si>
  <si>
    <t>204:129</t>
  </si>
  <si>
    <t>204:233331</t>
  </si>
  <si>
    <t>204:134</t>
  </si>
  <si>
    <t>204:444</t>
  </si>
  <si>
    <t>204:233349</t>
  </si>
  <si>
    <t>204:233051</t>
  </si>
  <si>
    <t>204:233299</t>
  </si>
  <si>
    <t>204:232987</t>
  </si>
  <si>
    <t>204:136</t>
  </si>
  <si>
    <t>204:233278</t>
  </si>
  <si>
    <t>204:232966</t>
  </si>
  <si>
    <t>204:116</t>
  </si>
  <si>
    <t>204:232976</t>
  </si>
  <si>
    <t>204:161</t>
  </si>
  <si>
    <t>204:433</t>
  </si>
  <si>
    <t>204:769</t>
  </si>
  <si>
    <t>204:1028</t>
  </si>
  <si>
    <t>204:729</t>
  </si>
  <si>
    <t>204:1025</t>
  </si>
  <si>
    <t>204:1018</t>
  </si>
  <si>
    <t>204:747</t>
  </si>
  <si>
    <t>300:58623</t>
  </si>
  <si>
    <t>300:58946</t>
  </si>
  <si>
    <t>204:1041</t>
  </si>
  <si>
    <t>300:58939</t>
  </si>
  <si>
    <t>300:58621</t>
  </si>
  <si>
    <t>204:1039</t>
  </si>
  <si>
    <t>204:233000</t>
  </si>
  <si>
    <t>204:233091</t>
  </si>
  <si>
    <t>204:232992</t>
  </si>
  <si>
    <t>204:233322</t>
  </si>
  <si>
    <t>204:232979</t>
  </si>
  <si>
    <t>204:233027</t>
  </si>
  <si>
    <t>204:174</t>
  </si>
  <si>
    <t>204:233004</t>
  </si>
  <si>
    <t>204:169</t>
  </si>
  <si>
    <t>300:23308</t>
  </si>
  <si>
    <t>204:488</t>
  </si>
  <si>
    <t>300:23316</t>
  </si>
  <si>
    <t>rtdc.l.rtdc.4015:itc</t>
  </si>
  <si>
    <t>302-16</t>
  </si>
  <si>
    <t>53-16</t>
  </si>
  <si>
    <t>118-16</t>
  </si>
  <si>
    <t>122-16</t>
  </si>
  <si>
    <t>124-16</t>
  </si>
  <si>
    <t>138-16</t>
  </si>
  <si>
    <t>146-16</t>
  </si>
  <si>
    <t>rtdc.l.rtdc.4016:itc</t>
  </si>
  <si>
    <t>155-16</t>
  </si>
  <si>
    <t>SWITCH UNKNOWN</t>
  </si>
  <si>
    <t>Track device (7)</t>
  </si>
  <si>
    <t>164-16</t>
  </si>
  <si>
    <t>172-16</t>
  </si>
  <si>
    <t>183-16</t>
  </si>
  <si>
    <t>185-16</t>
  </si>
  <si>
    <t>182-16</t>
  </si>
  <si>
    <t>199-16</t>
  </si>
  <si>
    <t>200-16</t>
  </si>
  <si>
    <t>224-16</t>
  </si>
  <si>
    <t>228-16</t>
  </si>
  <si>
    <t>240-16</t>
  </si>
  <si>
    <t>243-16</t>
  </si>
  <si>
    <t>309-16</t>
  </si>
  <si>
    <t>101-16</t>
  </si>
  <si>
    <t>304-16</t>
  </si>
  <si>
    <t>103-16</t>
  </si>
  <si>
    <t>306-16</t>
  </si>
  <si>
    <t>102-16</t>
  </si>
  <si>
    <t>105-16</t>
  </si>
  <si>
    <t>308-16</t>
  </si>
  <si>
    <t>310-16</t>
  </si>
  <si>
    <t>107-16</t>
  </si>
  <si>
    <t>104-16</t>
  </si>
  <si>
    <t>109-16</t>
  </si>
  <si>
    <t>113-16</t>
  </si>
  <si>
    <t>111-16</t>
  </si>
  <si>
    <t>106-16</t>
  </si>
  <si>
    <t>108-16</t>
  </si>
  <si>
    <t>1901-16</t>
  </si>
  <si>
    <t>YORK</t>
  </si>
  <si>
    <t>EDGAR</t>
  </si>
  <si>
    <t>115-16</t>
  </si>
  <si>
    <t>1800-16</t>
  </si>
  <si>
    <t>51-16</t>
  </si>
  <si>
    <t>MAYBERRY</t>
  </si>
  <si>
    <t>BILL</t>
  </si>
  <si>
    <t>110-16</t>
  </si>
  <si>
    <t>117-16</t>
  </si>
  <si>
    <t>112-16</t>
  </si>
  <si>
    <t>114-16</t>
  </si>
  <si>
    <t>1801-16</t>
  </si>
  <si>
    <t>119-16</t>
  </si>
  <si>
    <t>55-16</t>
  </si>
  <si>
    <t>MOSES</t>
  </si>
  <si>
    <t>BRADLEY</t>
  </si>
  <si>
    <t>121-16</t>
  </si>
  <si>
    <t>116-16</t>
  </si>
  <si>
    <t>123-16</t>
  </si>
  <si>
    <t>rtdc.l.rtdc.4023:itc</t>
  </si>
  <si>
    <t>50-16</t>
  </si>
  <si>
    <t>1802-16</t>
  </si>
  <si>
    <t>125-16</t>
  </si>
  <si>
    <t>120-16</t>
  </si>
  <si>
    <t>127-16</t>
  </si>
  <si>
    <t>PELLITIER</t>
  </si>
  <si>
    <t>GEORGE</t>
  </si>
  <si>
    <t>1803-16</t>
  </si>
  <si>
    <t>129-16</t>
  </si>
  <si>
    <t>131-16</t>
  </si>
  <si>
    <t>126-16</t>
  </si>
  <si>
    <t>1804-16</t>
  </si>
  <si>
    <t>133-16</t>
  </si>
  <si>
    <t>128-16</t>
  </si>
  <si>
    <t>135-16</t>
  </si>
  <si>
    <t>130-16</t>
  </si>
  <si>
    <t>1805-16</t>
  </si>
  <si>
    <t>137-16</t>
  </si>
  <si>
    <t>139-16</t>
  </si>
  <si>
    <t>132-16</t>
  </si>
  <si>
    <t>1806-16</t>
  </si>
  <si>
    <t>134-16</t>
  </si>
  <si>
    <t>141-16</t>
  </si>
  <si>
    <t>136-16</t>
  </si>
  <si>
    <t>143-16</t>
  </si>
  <si>
    <t>1807-16</t>
  </si>
  <si>
    <t>145-16</t>
  </si>
  <si>
    <t>140-16</t>
  </si>
  <si>
    <t>142-16</t>
  </si>
  <si>
    <t>147-16</t>
  </si>
  <si>
    <t>1808-16</t>
  </si>
  <si>
    <t>149-16</t>
  </si>
  <si>
    <t>144-16</t>
  </si>
  <si>
    <t>151-16</t>
  </si>
  <si>
    <t>1809-16</t>
  </si>
  <si>
    <t>153-16</t>
  </si>
  <si>
    <t>rtdc.l.rtdc.4024:itc</t>
  </si>
  <si>
    <t>57-16</t>
  </si>
  <si>
    <t>148-16</t>
  </si>
  <si>
    <t>ROMERO</t>
  </si>
  <si>
    <t>CHAD</t>
  </si>
  <si>
    <t>1810-16</t>
  </si>
  <si>
    <t>150-16</t>
  </si>
  <si>
    <t>157-16</t>
  </si>
  <si>
    <t>152-16</t>
  </si>
  <si>
    <t>1811-16</t>
  </si>
  <si>
    <t>159-16</t>
  </si>
  <si>
    <t>154-16</t>
  </si>
  <si>
    <t>156-16</t>
  </si>
  <si>
    <t>161-16</t>
  </si>
  <si>
    <t>163-16</t>
  </si>
  <si>
    <t>158-16</t>
  </si>
  <si>
    <t>1812-16</t>
  </si>
  <si>
    <t>165-16</t>
  </si>
  <si>
    <t>61-16</t>
  </si>
  <si>
    <t>160-16</t>
  </si>
  <si>
    <t>167-16</t>
  </si>
  <si>
    <t>MCREYNOLDS</t>
  </si>
  <si>
    <t>KYLE</t>
  </si>
  <si>
    <t>169-16</t>
  </si>
  <si>
    <t>162-16</t>
  </si>
  <si>
    <t>63-16</t>
  </si>
  <si>
    <t>1813-16</t>
  </si>
  <si>
    <t>171-16</t>
  </si>
  <si>
    <t>166-16</t>
  </si>
  <si>
    <t>1814-16</t>
  </si>
  <si>
    <t>173-16</t>
  </si>
  <si>
    <t>168-16</t>
  </si>
  <si>
    <t>175-16</t>
  </si>
  <si>
    <t>1815-16</t>
  </si>
  <si>
    <t>170-16</t>
  </si>
  <si>
    <t>177-16</t>
  </si>
  <si>
    <t>179-16</t>
  </si>
  <si>
    <t>1816-16</t>
  </si>
  <si>
    <t>174-16</t>
  </si>
  <si>
    <t>181-16</t>
  </si>
  <si>
    <t>176-16</t>
  </si>
  <si>
    <t>178-16</t>
  </si>
  <si>
    <t>1817-16</t>
  </si>
  <si>
    <t>180-16</t>
  </si>
  <si>
    <t>187-16</t>
  </si>
  <si>
    <t>184-16</t>
  </si>
  <si>
    <t>1818-16</t>
  </si>
  <si>
    <t>189-16</t>
  </si>
  <si>
    <t>191-16</t>
  </si>
  <si>
    <t>186-16</t>
  </si>
  <si>
    <t>193-16</t>
  </si>
  <si>
    <t>1819-16</t>
  </si>
  <si>
    <t>195-16</t>
  </si>
  <si>
    <t>188-16</t>
  </si>
  <si>
    <t>1820-16</t>
  </si>
  <si>
    <t>197-16</t>
  </si>
  <si>
    <t>190-16</t>
  </si>
  <si>
    <t>192-16</t>
  </si>
  <si>
    <t>194-16</t>
  </si>
  <si>
    <t>201-16</t>
  </si>
  <si>
    <t>1821-16</t>
  </si>
  <si>
    <t>196-16</t>
  </si>
  <si>
    <t>203-16</t>
  </si>
  <si>
    <t>198-16</t>
  </si>
  <si>
    <t>1822-16</t>
  </si>
  <si>
    <t>205-16</t>
  </si>
  <si>
    <t>207-16</t>
  </si>
  <si>
    <t>67-16</t>
  </si>
  <si>
    <t>202-16</t>
  </si>
  <si>
    <t>209-16</t>
  </si>
  <si>
    <t>1823-16</t>
  </si>
  <si>
    <t>211-16</t>
  </si>
  <si>
    <t>204-16</t>
  </si>
  <si>
    <t>1824-16</t>
  </si>
  <si>
    <t>206-16</t>
  </si>
  <si>
    <t>213-16</t>
  </si>
  <si>
    <t>52-16</t>
  </si>
  <si>
    <t>MAGEE</t>
  </si>
  <si>
    <t>KENYA</t>
  </si>
  <si>
    <t>208-16</t>
  </si>
  <si>
    <t>215-16</t>
  </si>
  <si>
    <t>210-16</t>
  </si>
  <si>
    <t>217-16</t>
  </si>
  <si>
    <t>1825-16</t>
  </si>
  <si>
    <t>212-16</t>
  </si>
  <si>
    <t>219-16</t>
  </si>
  <si>
    <t>214-16</t>
  </si>
  <si>
    <t>1826-16</t>
  </si>
  <si>
    <t>303-16</t>
  </si>
  <si>
    <t>216-16</t>
  </si>
  <si>
    <t>218-16</t>
  </si>
  <si>
    <t>221-16</t>
  </si>
  <si>
    <t>305-16</t>
  </si>
  <si>
    <t>1827-16</t>
  </si>
  <si>
    <t>220-16</t>
  </si>
  <si>
    <t>223-16</t>
  </si>
  <si>
    <t>1828-16</t>
  </si>
  <si>
    <t>307-16</t>
  </si>
  <si>
    <t>225-16</t>
  </si>
  <si>
    <t>222-16</t>
  </si>
  <si>
    <t>227-16</t>
  </si>
  <si>
    <t>1829-16</t>
  </si>
  <si>
    <t>1830-16</t>
  </si>
  <si>
    <t>226-16</t>
  </si>
  <si>
    <t>229-16</t>
  </si>
  <si>
    <t>1831-16</t>
  </si>
  <si>
    <t>231-16</t>
  </si>
  <si>
    <t>1832-16</t>
  </si>
  <si>
    <t>233-16</t>
  </si>
  <si>
    <t>230-16</t>
  </si>
  <si>
    <t>235-16</t>
  </si>
  <si>
    <t>1833-16</t>
  </si>
  <si>
    <t>232-16</t>
  </si>
  <si>
    <t>1902-16</t>
  </si>
  <si>
    <t>234-16</t>
  </si>
  <si>
    <t>237-16</t>
  </si>
  <si>
    <t>236-16</t>
  </si>
  <si>
    <t>239-16</t>
  </si>
  <si>
    <t>241-16</t>
  </si>
  <si>
    <t>238-16</t>
  </si>
  <si>
    <t>242-16</t>
  </si>
  <si>
    <t>244-16</t>
  </si>
  <si>
    <t>311-16</t>
  </si>
  <si>
    <t>51-17</t>
  </si>
  <si>
    <t>313-16</t>
  </si>
  <si>
    <t>50-17</t>
  </si>
  <si>
    <t>204:763</t>
  </si>
  <si>
    <t>204:232689</t>
  </si>
  <si>
    <t>204:708</t>
  </si>
  <si>
    <t>204:233304</t>
  </si>
  <si>
    <t>204:232666</t>
  </si>
  <si>
    <t>204:770</t>
  </si>
  <si>
    <t>204:233312</t>
  </si>
  <si>
    <t>204:232670</t>
  </si>
  <si>
    <t>204:233343</t>
  </si>
  <si>
    <t>204:768</t>
  </si>
  <si>
    <t>204:167</t>
  </si>
  <si>
    <t>204:1164</t>
  </si>
  <si>
    <t>204:766</t>
  </si>
  <si>
    <t>204:404</t>
  </si>
  <si>
    <t>204:795</t>
  </si>
  <si>
    <t>204:233286</t>
  </si>
  <si>
    <t>204:232984</t>
  </si>
  <si>
    <t>204:233323</t>
  </si>
  <si>
    <t>204:233013</t>
  </si>
  <si>
    <t>204:232970</t>
  </si>
  <si>
    <t>204:233302</t>
  </si>
  <si>
    <t>204:1672</t>
  </si>
  <si>
    <t>204:233011</t>
  </si>
  <si>
    <t>204:364</t>
  </si>
  <si>
    <t>204:358</t>
  </si>
  <si>
    <t>204:342</t>
  </si>
  <si>
    <t>204:344</t>
  </si>
  <si>
    <t>204:349</t>
  </si>
  <si>
    <t>204:233355</t>
  </si>
  <si>
    <t>204:1154</t>
  </si>
  <si>
    <t>204:233300</t>
  </si>
  <si>
    <t>204:657</t>
  </si>
  <si>
    <t>204:699</t>
  </si>
  <si>
    <t>204:679</t>
  </si>
  <si>
    <t>204:233326</t>
  </si>
  <si>
    <t>204:232990</t>
  </si>
  <si>
    <t>204:233415</t>
  </si>
  <si>
    <t>204:130</t>
  </si>
  <si>
    <t>204:480</t>
  </si>
  <si>
    <t>204:232991</t>
  </si>
  <si>
    <t>204:233280</t>
  </si>
  <si>
    <t>204:233353</t>
  </si>
  <si>
    <t>204:233305</t>
  </si>
  <si>
    <t>204:752</t>
  </si>
  <si>
    <t>300:58617</t>
  </si>
  <si>
    <t>204:734</t>
  </si>
  <si>
    <t>204:741</t>
  </si>
  <si>
    <t>300:58948</t>
  </si>
  <si>
    <t>300:58628</t>
  </si>
  <si>
    <t>204:733</t>
  </si>
  <si>
    <t>300:58933</t>
  </si>
  <si>
    <t>204:233287</t>
  </si>
  <si>
    <t>204:759</t>
  </si>
  <si>
    <t>204:1034</t>
  </si>
  <si>
    <t>300:58613</t>
  </si>
  <si>
    <t>300:58615</t>
  </si>
  <si>
    <t>204:745</t>
  </si>
  <si>
    <t>300:58924</t>
  </si>
  <si>
    <t>204:808</t>
  </si>
  <si>
    <t>204:1104</t>
  </si>
  <si>
    <t>300:58954</t>
  </si>
  <si>
    <t>300:58643</t>
  </si>
  <si>
    <t>204:743</t>
  </si>
  <si>
    <t>300:58950</t>
  </si>
  <si>
    <t>204:273</t>
  </si>
  <si>
    <t>204:1063</t>
  </si>
  <si>
    <t>300:58960</t>
  </si>
  <si>
    <t>300:58632</t>
  </si>
  <si>
    <t>204:1048</t>
  </si>
  <si>
    <t>204:999</t>
  </si>
  <si>
    <t>204:762</t>
  </si>
  <si>
    <t>204:1055</t>
  </si>
  <si>
    <t>204:233403</t>
  </si>
  <si>
    <t>204:1037</t>
  </si>
  <si>
    <t>204:233088</t>
  </si>
  <si>
    <t>204:233227</t>
  </si>
  <si>
    <t>204:232913</t>
  </si>
  <si>
    <t>300:29915</t>
  </si>
  <si>
    <t>300:21757</t>
  </si>
  <si>
    <t>204:420</t>
  </si>
  <si>
    <t>204:571</t>
  </si>
  <si>
    <t>204:233374</t>
  </si>
  <si>
    <t>204:233068</t>
  </si>
  <si>
    <t>204:233382</t>
  </si>
  <si>
    <t>204:233094</t>
  </si>
  <si>
    <t>204:211</t>
  </si>
  <si>
    <t>204:233274</t>
  </si>
  <si>
    <t>204:233010</t>
  </si>
  <si>
    <t>204:60008</t>
  </si>
  <si>
    <t>204:232969</t>
  </si>
  <si>
    <t>204:233212</t>
  </si>
  <si>
    <t>204:509</t>
  </si>
  <si>
    <t>204:233327</t>
  </si>
  <si>
    <t>204:233345</t>
  </si>
  <si>
    <t>204:233063</t>
  </si>
  <si>
    <t>204:60931</t>
  </si>
  <si>
    <t>204:180</t>
  </si>
  <si>
    <t>204:233325</t>
  </si>
  <si>
    <t>204:1148</t>
  </si>
  <si>
    <t>204:233400</t>
  </si>
  <si>
    <t>204:233087</t>
  </si>
  <si>
    <t>204:1224</t>
  </si>
  <si>
    <t>204:232974</t>
  </si>
  <si>
    <t>204:233329</t>
  </si>
  <si>
    <t>204:438</t>
  </si>
  <si>
    <t>204:233351</t>
  </si>
  <si>
    <t>204:107</t>
  </si>
  <si>
    <t>204:372</t>
  </si>
  <si>
    <t>204:231761</t>
  </si>
  <si>
    <t>300:19645</t>
  </si>
  <si>
    <t>300:23310</t>
  </si>
  <si>
    <t>300:22832</t>
  </si>
  <si>
    <t>300:23304</t>
  </si>
  <si>
    <t>300:22908</t>
  </si>
  <si>
    <t>300:23020</t>
  </si>
  <si>
    <t>300:23618</t>
  </si>
  <si>
    <t>204:688</t>
  </si>
  <si>
    <t>300:23612</t>
  </si>
  <si>
    <t>204:482</t>
  </si>
  <si>
    <t>300:23172</t>
  </si>
  <si>
    <t>300:21962</t>
  </si>
  <si>
    <t>204:1158</t>
  </si>
  <si>
    <t>204:106949</t>
  </si>
  <si>
    <t>300:22132</t>
  </si>
  <si>
    <t>204:1875</t>
  </si>
  <si>
    <t>204:3207</t>
  </si>
  <si>
    <t>204:928</t>
  </si>
  <si>
    <t>204:3524</t>
  </si>
  <si>
    <t>204:1171</t>
  </si>
  <si>
    <t>300:23193</t>
  </si>
  <si>
    <t>204:3577</t>
  </si>
  <si>
    <t>204:1492</t>
  </si>
  <si>
    <t>204:3881</t>
  </si>
  <si>
    <t>204:3251</t>
  </si>
  <si>
    <t>204:1056</t>
  </si>
  <si>
    <t>204:356</t>
  </si>
  <si>
    <t>204:3574</t>
  </si>
  <si>
    <t>204:3217</t>
  </si>
  <si>
    <t>204:333</t>
  </si>
  <si>
    <t>204:3548</t>
  </si>
  <si>
    <t>204:1483</t>
  </si>
  <si>
    <t>start /low /b %USERPROFILE%\Documents\GitHub\eaglep3\Utilities\DownloadLogsFromS3.py --loco 4022 --day 2017-04-16</t>
  </si>
  <si>
    <t>start /low /b %USERPROFILE%\Documents\GitHub\eaglep3\Utilities\DownloadLogsFromS3.py --loco 4039 --day 2017-04-16</t>
  </si>
  <si>
    <t>start /low /b %USERPROFILE%\Documents\GitHub\eaglep3\Utilities\DownloadLogsFromS3.py --loco 4005 --day 2017-04-16</t>
  </si>
  <si>
    <t>start /low /b %USERPROFILE%\Documents\GitHub\eaglep3\Utilities\DownloadLogsFromS3.py --loco 4019 --day 2017-04-17</t>
  </si>
  <si>
    <t>start /low /b %USERPROFILE%\Documents\GitHub\eaglep3\Utilities\DownloadLogsFromS3.py --loco 4016 --day 2017-04-16</t>
  </si>
  <si>
    <t>start /low /b %USERPROFILE%\Documents\GitHub\eaglep3\Utilities\DownloadLogsFromS3.py --loco 4020 --day 2017-04-16</t>
  </si>
  <si>
    <t>start /low /b %USERPROFILE%\Documents\GitHub\eaglep3\Utilities\DownloadLogsFromS3.py --loco 4043 --day 2017-04-16</t>
  </si>
  <si>
    <t>start /low /b %USERPROFILE%\Documents\GitHub\eaglep3\Utilities\DownloadLogsFromS3.py --loco 4025 --day 2017-04-16</t>
  </si>
  <si>
    <t>start /low /b %USERPROFILE%\Documents\GitHub\eaglep3\Utilities\DownloadLogsFromS3.py --loco 4019 --day 2017-04-16</t>
  </si>
  <si>
    <t>start /low /b %USERPROFILE%\Documents\GitHub\eaglep3\Utilities\DownloadLogsFromS3.py --loco 4013 --day 2017-04-17</t>
  </si>
  <si>
    <t>start /low /b %USERPROFILE%\Documents\GitHub\eaglep3\Utilities\DownloadLogsFromS3.py --loco 4006 --day 2017-04-17</t>
  </si>
  <si>
    <t>Train swap per VM</t>
  </si>
  <si>
    <t>Onboard in-route failure</t>
  </si>
  <si>
    <t>Delayed by ELXS failure at CP Bright</t>
  </si>
  <si>
    <t>Early arrival</t>
  </si>
  <si>
    <t>Wi-MAX data drop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</si>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</sst>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tabSelected="1" zoomScaleNormal="100" workbookViewId="0">
      <selection activeCell="S151" sqref="S15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497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42841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COUNTIFS($N$13:$N$9324,"&gt;0",$AG$13:$AG$9324,I1)</f>
        <v>143</v>
      </c>
      <c r="K5" s="40"/>
      <c r="L5" s="40"/>
      <c r="M5" s="41">
        <f>AVERAGEIFS($N$13:$N$9324,$AG$13:$AG$9324,I1)</f>
        <v>37.894172494607439</v>
      </c>
      <c r="N5" s="39">
        <f t="array" ref="N5">MIN(IF($AG$13:$AG$9324=I1,IF(ISNUMBER($N$13:$N$9324),IF($N$13:$N$9324&gt;0,$N$13:$N$9324))))</f>
        <v>34.68333333148621</v>
      </c>
      <c r="O5" s="3">
        <f t="array" ref="O5">MAX(IF($AG$13:$AG$9324=I1,IF(ISNUMBER($N$13:$N$9324),IF($N$13:$N$9324&gt;0,$N$13:$N$9324))))</f>
        <v>54.100000000325963</v>
      </c>
      <c r="P5" s="2"/>
      <c r="R5" s="74" t="s">
        <v>17</v>
      </c>
      <c r="S5" s="50">
        <f>COUNTIFS($N$13:$N$9324,"&gt;0",$AG$13:$AG$9324,R1)</f>
        <v>34</v>
      </c>
      <c r="T5" s="40"/>
      <c r="U5" s="173"/>
      <c r="V5" s="170">
        <f>AVERAGEIFS($N$13:$N$9324,$AG$13:$AG$9324,R1)</f>
        <v>12.939215685781914</v>
      </c>
      <c r="W5" s="171">
        <f t="array" ref="W5">MIN(IF($AG$13:$AG$9324=R1,IF(ISNUMBER($N$13:$N$9324),IF($N$13:$N$9324&gt;0,$N$13:$N$9324))))</f>
        <v>11.783333332277834</v>
      </c>
      <c r="X5" s="172">
        <f t="array" ref="X5">MAX(IF($AG$13:$AG$9324=R1,IF(ISNUMBER($N$13:$N$9324),IF($N$13:$N$9324&gt;0,$N$13:$N$9324))))</f>
        <v>16.383333328412846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3"/>
      <c r="V6" s="170">
        <f>IFERROR(AVERAGE($O$13:$O$111),0)</f>
        <v>0</v>
      </c>
      <c r="W6" s="171">
        <f>MIN($O$13:$O$111)</f>
        <v>0</v>
      </c>
      <c r="X6" s="172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COUNTIFS($P$13:$P$9324,"&gt;0",$AG$13:$AG$9324,I1)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COUNTIFS($P$13:$P$9324,"&gt;0",$AG$13:$AG$9324,R1)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37.894172494607439</v>
      </c>
      <c r="N8" s="39">
        <f>N5</f>
        <v>34.68333333148621</v>
      </c>
      <c r="O8" s="3">
        <f>O5</f>
        <v>54.100000000325963</v>
      </c>
      <c r="P8" s="2"/>
      <c r="R8" s="74" t="s">
        <v>16</v>
      </c>
      <c r="S8" s="50">
        <f>S5</f>
        <v>34</v>
      </c>
      <c r="T8" s="40"/>
      <c r="U8" s="173"/>
      <c r="V8" s="170">
        <f>V5</f>
        <v>12.939215685781914</v>
      </c>
      <c r="W8" s="171">
        <f>W5</f>
        <v>11.783333332277834</v>
      </c>
      <c r="X8" s="172">
        <f>X5</f>
        <v>16.383333328412846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- 2017-04-16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AVERAGE(S13:S83)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664</v>
      </c>
      <c r="B13" s="7">
        <v>4040</v>
      </c>
      <c r="C13" s="21" t="s">
        <v>214</v>
      </c>
      <c r="D13" s="21" t="s">
        <v>862</v>
      </c>
      <c r="E13" s="13">
        <v>42841.129953703705</v>
      </c>
      <c r="F13" s="13">
        <v>42841.135648148149</v>
      </c>
      <c r="G13" s="7">
        <v>1</v>
      </c>
      <c r="H13" s="21" t="s">
        <v>600</v>
      </c>
      <c r="I13" s="13">
        <v>42841.160717592589</v>
      </c>
      <c r="J13" s="7">
        <v>0</v>
      </c>
      <c r="K13" s="97" t="str">
        <f t="shared" ref="K13:K76" si="0">IF(ISEVEN(B13),(B13-1)&amp;"/"&amp;B13,B13&amp;"/"&amp;(B13+1))</f>
        <v>4039/4040</v>
      </c>
      <c r="L13" s="21" t="str">
        <f>VLOOKUP(A13,'Trips&amp;Operators'!$C$1:$G$99999,5,FALSE)</f>
        <v>SANTIZO D. EDY</v>
      </c>
      <c r="M13" s="6">
        <f t="shared" ref="M13:M76" si="1">I13-F13</f>
        <v>2.5069444440305233E-2</v>
      </c>
      <c r="N13" s="7">
        <f t="shared" ref="N13:N28" si="2">24*60*SUM($M13:$M13)</f>
        <v>36.099999994039536</v>
      </c>
      <c r="O13" s="7"/>
      <c r="P13" s="7"/>
      <c r="Q13" s="22"/>
      <c r="R13" s="22"/>
      <c r="S13" s="31">
        <f t="shared" ref="S13:S28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-16T02:07:08-0600',mode:absolute,to:'2017-04-16T04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83" t="str">
        <f t="shared" ref="W13:W76" si="6">IF(AA13&lt;IF(AG13="EC",23,5.65),"Y","N")</f>
        <v>N</v>
      </c>
      <c r="X13" s="183" t="e">
        <f t="shared" ref="X13:X51" si="7">VALUE(LEFT(AD13,4))-VALUE(LEFT(AD12,4))</f>
        <v>#VALUE!</v>
      </c>
      <c r="Y13" s="62">
        <f t="shared" ref="Y13:Y76" si="8">RIGHT(D13,LEN(D13)-4)/10000</f>
        <v>7.6300000000000007E-2</v>
      </c>
      <c r="Z13" s="62">
        <f t="shared" ref="Z13:Z44" si="9">RIGHT(H13,LEN(H13)-4)/10000</f>
        <v>23.332100000000001</v>
      </c>
      <c r="AA13" s="62">
        <f t="shared" ref="AA13:AA76" si="10">ABS(Z13-Y13)</f>
        <v>23.255800000000001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/stypes="app*4040*20170416*"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4040 --swversion DE.1.0.9.0 --startMP 204:763 --initTime 2017-04-16T03:07:08 --startdatetime 2017-04-16T03:15:20 --delay 1 --endMP 204:233321 --enddatetime 2017-04-16T03:51:26 --enforcementcount 0 &gt;&gt;C:\Users\stu\Documents\GitHub\eaglep3-reporting\EC\2017-04-16-refined-times.txt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{"issue":{"subject":"","project_id":79,"tracker_id":40,"status_id":1,"priority_id":2,"assigned_to_id":23,"start_date":"2017-04-16","description":"","custom_fields":[{"id":1,"name":"Subdivision","value":"EC"},{"id":4,"name":"Milepost","value":"23.3321"},{"id":17,"name":"Train ID","value":"101-16"},{"id":16,"name":"Locomotive ID","value":"4040"},{"id":130,"name":"Impact","value":""},{"id":150,"name":"Time of Event (Mountain Time)","value":"03:51:26"},{"id":151,"name":"Denver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4040 --day 2017-04-16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09:51:26"},{"id":29,"name":"Sharepoint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668</v>
      </c>
      <c r="B14" s="7">
        <v>4015</v>
      </c>
      <c r="C14" s="21" t="s">
        <v>214</v>
      </c>
      <c r="D14" s="21" t="s">
        <v>863</v>
      </c>
      <c r="E14" s="13">
        <v>42841.162673611114</v>
      </c>
      <c r="F14" s="13">
        <v>42841.174571759257</v>
      </c>
      <c r="G14" s="7">
        <v>1</v>
      </c>
      <c r="H14" s="21" t="s">
        <v>493</v>
      </c>
      <c r="I14" s="13">
        <v>42841.201493055552</v>
      </c>
      <c r="J14" s="7">
        <v>0</v>
      </c>
      <c r="K14" s="97" t="str">
        <f t="shared" si="0"/>
        <v>4015/4016</v>
      </c>
      <c r="L14" s="21" t="str">
        <f>VLOOKUP(A14,'Trips&amp;Operators'!$C$1:$G$99999,5,FALSE)</f>
        <v>SANTIZO D. EDY</v>
      </c>
      <c r="M14" s="6">
        <f t="shared" si="1"/>
        <v>2.6921296295768116E-2</v>
      </c>
      <c r="N14" s="7">
        <f t="shared" si="2"/>
        <v>38.766666665906087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-16T02:54:15-0600',mode:absolute,to:'2017-04-16T05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23.268899999999999</v>
      </c>
      <c r="Z14" s="62">
        <f t="shared" si="9"/>
        <v>1.43E-2</v>
      </c>
      <c r="AA14" s="62">
        <f t="shared" si="10"/>
        <v>23.2546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0102-16</v>
      </c>
      <c r="AE14" s="85" t="str">
        <f t="shared" si="12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14" s="82" t="str">
        <f t="shared" si="13"/>
        <v>"C:\Program Files (x86)\AstroGrep\AstroGrep.exe" /e /r /s /spath="%USERPROFILE%\AppData\Local\Temp\OnboardLogs" /stypes="app*4015*20170416*"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4015 --swversion DE.1.0.9.0 --startMP 204:232689 --initTime 2017-04-16T03:54:15 --startdatetime 2017-04-16T04:11:23 --delay 1 --endMP 204:143 --enddatetime 2017-04-16T04:50:09 --enforcementcount 0 &gt;&gt;C:\Users\stu\Documents\GitHub\eaglep3-reporting\EC\2017-04-16-refined-times.txt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{"issue":{"subject":"","project_id":79,"tracker_id":40,"status_id":1,"priority_id":2,"assigned_to_id":23,"start_date":"2017-04-16","description":"","custom_fields":[{"id":1,"name":"Subdivision","value":"EC"},{"id":4,"name":"Milepost","value":"0.0143"},{"id":17,"name":"Train ID","value":"102-16"},{"id":16,"name":"Locomotive ID","value":"4015"},{"id":130,"name":"Impact","value":""},{"id":150,"name":"Time of Event (Mountain Time)","value":"04:50:09"},{"id":151,"name":"Denver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4015 --day 2017-04-16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666</v>
      </c>
      <c r="B15" s="7">
        <v>4022</v>
      </c>
      <c r="C15" s="21" t="s">
        <v>214</v>
      </c>
      <c r="D15" s="21" t="s">
        <v>864</v>
      </c>
      <c r="E15" s="13">
        <v>42841.153483796297</v>
      </c>
      <c r="F15" s="13">
        <v>42841.156550925924</v>
      </c>
      <c r="G15" s="7">
        <v>1</v>
      </c>
      <c r="H15" s="21" t="s">
        <v>865</v>
      </c>
      <c r="I15" s="13">
        <v>42841.182766203703</v>
      </c>
      <c r="J15" s="7">
        <v>0</v>
      </c>
      <c r="K15" s="97" t="str">
        <f t="shared" si="0"/>
        <v>4021/4022</v>
      </c>
      <c r="L15" s="21" t="str">
        <f>VLOOKUP(A15,'Trips&amp;Operators'!$C$1:$G$99999,5,FALSE)</f>
        <v>ARVIDSON DANIEL</v>
      </c>
      <c r="M15" s="6">
        <f t="shared" si="1"/>
        <v>2.6215277779556345E-2</v>
      </c>
      <c r="N15" s="7">
        <f t="shared" si="2"/>
        <v>37.750000002561137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-16T02:41:01-0600',mode:absolute,to:'2017-04-16T05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7.0800000000000002E-2</v>
      </c>
      <c r="Z15" s="62">
        <f t="shared" si="9"/>
        <v>23.330400000000001</v>
      </c>
      <c r="AA15" s="62">
        <f t="shared" si="10"/>
        <v>23.259600000000002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0103-16</v>
      </c>
      <c r="AE15" s="85" t="str">
        <f t="shared" si="12"/>
        <v>aws s3 cp s3://rtdc.mdm.uploadarchive.raw/RTDC4022/ "%USERPROFILE%\AppData\Local\Temp\OnboardLogs"\RTDC4022\2017-04-16 --exclude "*" --recursive --include "*20170416*" &amp; "%USERPROFILE%\Documents\GitHub\mrs-test-scripts\Headless Mode &amp; Sideloading\WalkAndUnGZ.bat" "%USERPROFILE%\AppData\Local\Temp\OnboardLogs"\RTDC4022\2017-04-16 &amp; aws s3 cp s3://rtdc.mdm.uploadarchive.raw/RTDC4022/ "%USERPROFILE%\AppData\Local\Temp\OnboardLogs"\RTDC4022\2017-04-17 --exclude "*" --recursive --include "*20170417*" &amp; "%USERPROFILE%\Documents\GitHub\mrs-test-scripts\Headless Mode &amp; Sideloading\WalkAndUnGZ.bat" "%USERPROFILE%\AppData\Local\Temp\OnboardLogs"\RTDC4022\2017-04-17</v>
      </c>
      <c r="AF15" s="82" t="str">
        <f t="shared" si="13"/>
        <v>"C:\Program Files (x86)\AstroGrep\AstroGrep.exe" /e /r /s /spath="%USERPROFILE%\AppData\Local\Temp\OnboardLogs" /stypes="app*4022*20170416*"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103-16 --locoid 4022 --swversion DE.1.0.9.0 --startMP 204:708 --initTime 2017-04-16T03:41:01 --startdatetime 2017-04-16T03:45:26 --delay 1 --endMP 204:233304 --enddatetime 2017-04-16T04:23:11 --enforcementcount 0 &gt;&gt;C:\Users\stu\Documents\GitHub\eaglep3-reporting\EC\2017-04-16-refined-times.txt</v>
      </c>
      <c r="AI1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{"issue":{"subject":"","project_id":79,"tracker_id":40,"status_id":1,"priority_id":2,"assigned_to_id":23,"start_date":"2017-04-16","description":"","custom_fields":[{"id":1,"name":"Subdivision","value":"EC"},{"id":4,"name":"Milepost","value":"23.3304"},{"id":17,"name":"Train ID","value":"103-16"},{"id":16,"name":"Locomotive ID","value":"4022"},{"id":130,"name":"Impact","value":""},{"id":150,"name":"Time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4022 --day 2017-04-16</v>
      </c>
      <c r="AN1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673</v>
      </c>
      <c r="B16" s="7">
        <v>4043</v>
      </c>
      <c r="C16" s="21" t="s">
        <v>214</v>
      </c>
      <c r="D16" s="21" t="s">
        <v>866</v>
      </c>
      <c r="E16" s="13">
        <v>42841.190613425926</v>
      </c>
      <c r="F16" s="13">
        <v>42841.195462962962</v>
      </c>
      <c r="G16" s="7">
        <v>1</v>
      </c>
      <c r="H16" s="21" t="s">
        <v>609</v>
      </c>
      <c r="I16" s="13">
        <v>42841.224803240744</v>
      </c>
      <c r="J16" s="7">
        <v>0</v>
      </c>
      <c r="K16" s="97" t="str">
        <f t="shared" si="0"/>
        <v>4043/4044</v>
      </c>
      <c r="L16" s="21" t="str">
        <f>VLOOKUP(A16,'Trips&amp;Operators'!$C$1:$G$99999,5,FALSE)</f>
        <v>ARVIDSON DANIEL</v>
      </c>
      <c r="M16" s="6">
        <f t="shared" si="1"/>
        <v>2.9340277782466728E-2</v>
      </c>
      <c r="N16" s="7">
        <f t="shared" si="2"/>
        <v>42.250000006752089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-16T03:34:29-0600',mode:absolute,to:'2017-04-16T06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23.2666</v>
      </c>
      <c r="Z16" s="62">
        <f t="shared" si="9"/>
        <v>1.3599999999999999E-2</v>
      </c>
      <c r="AA16" s="62">
        <f t="shared" si="10"/>
        <v>23.253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0104-16</v>
      </c>
      <c r="AE16" s="85" t="str">
        <f t="shared" si="12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16" s="82" t="str">
        <f t="shared" si="13"/>
        <v>"C:\Program Files (x86)\AstroGrep\AstroGrep.exe" /e /r /s /spath="%USERPROFILE%\AppData\Local\Temp\OnboardLogs" /stypes="app*4043*20170416*"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104-16 --locoid 4043 --swversion DE.1.0.9.0 --startMP 204:232666 --initTime 2017-04-16T04:34:29 --startdatetime 2017-04-16T04:41:28 --delay 1 --endMP 204:136 --enddatetime 2017-04-16T05:23:43 --enforcementcount 0 &gt;&gt;C:\Users\stu\Documents\GitHub\eaglep3-reporting\EC\2017-04-16-refined-times.txt</v>
      </c>
      <c r="AI1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{"issue":{"subject":"","project_id":79,"tracker_id":40,"status_id":1,"priority_id":2,"assigned_to_id":23,"start_date":"2017-04-16","description":"","custom_fields":[{"id":1,"name":"Subdivision","value":"EC"},{"id":4,"name":"Milepost","value":"0.0136"},{"id":17,"name":"Train ID","value":"104-16"},{"id":16,"name":"Locomotive ID","value":"4043"},{"id":130,"name":"Impact","value":""},{"id":150,"name":"Time of Event (Mountain Time)","value":"05:23:43"},{"id":151,"name":"Denver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4043 --day 2017-04-16</v>
      </c>
      <c r="AN1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669</v>
      </c>
      <c r="B17" s="7">
        <v>4042</v>
      </c>
      <c r="C17" s="21" t="s">
        <v>214</v>
      </c>
      <c r="D17" s="21" t="s">
        <v>867</v>
      </c>
      <c r="E17" s="13">
        <v>42841.169456018521</v>
      </c>
      <c r="F17" s="13">
        <v>42841.177268518521</v>
      </c>
      <c r="G17" s="7">
        <v>1</v>
      </c>
      <c r="H17" s="21" t="s">
        <v>868</v>
      </c>
      <c r="I17" s="13">
        <v>42841.203703703701</v>
      </c>
      <c r="J17" s="7">
        <v>0</v>
      </c>
      <c r="K17" s="97" t="str">
        <f t="shared" si="0"/>
        <v>4041/4042</v>
      </c>
      <c r="L17" s="21" t="str">
        <f>VLOOKUP(A17,'Trips&amp;Operators'!$C$1:$G$99999,5,FALSE)</f>
        <v>BADERTSCHER DIANE</v>
      </c>
      <c r="M17" s="6">
        <f t="shared" si="1"/>
        <v>2.643518518016208E-2</v>
      </c>
      <c r="N17" s="7">
        <f t="shared" si="2"/>
        <v>38.066666659433395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-16T03:04:01-0600',mode:absolute,to:'2017-04-16T05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7.6999999999999999E-2</v>
      </c>
      <c r="Z17" s="62">
        <f t="shared" si="9"/>
        <v>23.331199999999999</v>
      </c>
      <c r="AA17" s="62">
        <f t="shared" si="10"/>
        <v>23.254199999999997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0105-16</v>
      </c>
      <c r="AE17" s="85" t="str">
        <f t="shared" si="12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7" s="82" t="str">
        <f t="shared" si="13"/>
        <v>"C:\Program Files (x86)\AstroGrep\AstroGrep.exe" /e /r /s /spath="%USERPROFILE%\AppData\Local\Temp\OnboardLogs" /stypes="app*4042*20170416*"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105-16 --locoid 4042 --swversion DE.1.0.9.0 --startMP 204:770 --initTime 2017-04-16T04:04:01 --startdatetime 2017-04-16T04:15:16 --delay 1 --endMP 204:233312 --enddatetime 2017-04-16T04:53:20 --enforcementcount 0 &gt;&gt;C:\Users\stu\Documents\GitHub\eaglep3-reporting\EC\2017-04-16-refined-times.txt</v>
      </c>
      <c r="AI1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{"issue":{"subject":"","project_id":79,"tracker_id":40,"status_id":1,"priority_id":2,"assigned_to_id":23,"start_date":"2017-04-16","description":"","custom_fields":[{"id":1,"name":"Subdivision","value":"EC"},{"id":4,"name":"Milepost","value":"23.3312"},{"id":17,"name":"Train ID","value":"105-16"},{"id":16,"name":"Locomotive ID","value":"4042"},{"id":130,"name":"Impact","value":""},{"id":150,"name":"Time of Event (Mountain Time)","value":"04:53:20"},{"id":151,"name":"Denver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4042 --day 2017-04-16</v>
      </c>
      <c r="AN1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677</v>
      </c>
      <c r="B18" s="7">
        <v>4019</v>
      </c>
      <c r="C18" s="21" t="s">
        <v>214</v>
      </c>
      <c r="D18" s="21" t="s">
        <v>869</v>
      </c>
      <c r="E18" s="13">
        <v>42841.211493055554</v>
      </c>
      <c r="F18" s="13">
        <v>42841.216157407405</v>
      </c>
      <c r="G18" s="7">
        <v>1</v>
      </c>
      <c r="H18" s="21" t="s">
        <v>197</v>
      </c>
      <c r="I18" s="13">
        <v>42841.244699074072</v>
      </c>
      <c r="J18" s="7">
        <v>0</v>
      </c>
      <c r="K18" s="97" t="str">
        <f t="shared" si="0"/>
        <v>4019/4020</v>
      </c>
      <c r="L18" s="21" t="str">
        <f>VLOOKUP(A18,'Trips&amp;Operators'!$C$1:$G$99999,5,FALSE)</f>
        <v>BADERTSCHER DIANE</v>
      </c>
      <c r="M18" s="6">
        <f t="shared" si="1"/>
        <v>2.8541666666569654E-2</v>
      </c>
      <c r="N18" s="7">
        <f t="shared" si="2"/>
        <v>41.099999999860302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-16T04:04:33-0600',mode:absolute,to:'2017-04-16T06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23.266999999999999</v>
      </c>
      <c r="Z18" s="62">
        <f t="shared" si="9"/>
        <v>1.52E-2</v>
      </c>
      <c r="AA18" s="62">
        <f t="shared" si="10"/>
        <v>23.251799999999999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0106-16</v>
      </c>
      <c r="AE18" s="85" t="str">
        <f t="shared" si="12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8" s="82" t="str">
        <f t="shared" si="13"/>
        <v>"C:\Program Files (x86)\AstroGrep\AstroGrep.exe" /e /r /s /spath="%USERPROFILE%\AppData\Local\Temp\OnboardLogs" /stypes="app*4019*20170416*"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106-16 --locoid 4019 --swversion DE.1.0.9.0 --startMP 204:232670 --initTime 2017-04-16T05:04:33 --startdatetime 2017-04-16T05:11:16 --delay 1 --endMP 204:152 --enddatetime 2017-04-16T05:52:22 --enforcementcount 0 &gt;&gt;C:\Users\stu\Documents\GitHub\eaglep3-reporting\EC\2017-04-16-refined-times.txt</v>
      </c>
      <c r="AI1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{"issue":{"subject":"","project_id":79,"tracker_id":40,"status_id":1,"priority_id":2,"assigned_to_id":23,"start_date":"2017-04-16","description":"","custom_fields":[{"id":1,"name":"Subdivision","value":"EC"},{"id":4,"name":"Milepost","value":"0.0152"},{"id":17,"name":"Train ID","value":"106-16"},{"id":16,"name":"Locomotive ID","value":"4019"},{"id":130,"name":"Impact","value":""},{"id":150,"name":"Time of Event (Mountain Time)","value":"05:52:22"},{"id":151,"name":"Denver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4019 --day 2017-04-16</v>
      </c>
      <c r="AN1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672</v>
      </c>
      <c r="B19" s="7">
        <v>4006</v>
      </c>
      <c r="C19" s="21" t="s">
        <v>214</v>
      </c>
      <c r="D19" s="21" t="s">
        <v>560</v>
      </c>
      <c r="E19" s="13">
        <v>42841.188217592593</v>
      </c>
      <c r="F19" s="13">
        <v>42841.189930555556</v>
      </c>
      <c r="G19" s="7">
        <v>1</v>
      </c>
      <c r="H19" s="21" t="s">
        <v>870</v>
      </c>
      <c r="I19" s="13">
        <v>42841.214016203703</v>
      </c>
      <c r="J19" s="7">
        <v>0</v>
      </c>
      <c r="K19" s="97" t="str">
        <f t="shared" si="0"/>
        <v>4005/4006</v>
      </c>
      <c r="L19" s="21" t="str">
        <f>VLOOKUP(A19,'Trips&amp;Operators'!$C$1:$G$99999,5,FALSE)</f>
        <v>DELGADO DIANAH</v>
      </c>
      <c r="M19" s="6">
        <f t="shared" si="1"/>
        <v>2.4085648146865424E-2</v>
      </c>
      <c r="N19" s="7">
        <f t="shared" si="2"/>
        <v>34.68333333148621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-16T03:31:02-0600',mode:absolute,to:'2017-04-16T06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4.6600000000000003E-2</v>
      </c>
      <c r="Z19" s="62">
        <f t="shared" si="9"/>
        <v>23.334299999999999</v>
      </c>
      <c r="AA19" s="62">
        <f t="shared" si="10"/>
        <v>23.287699999999997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0107-16</v>
      </c>
      <c r="AE19" s="85" t="str">
        <f t="shared" si="12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19" s="82" t="str">
        <f t="shared" si="13"/>
        <v>"C:\Program Files (x86)\AstroGrep\AstroGrep.exe" /e /r /s /spath="%USERPROFILE%\AppData\Local\Temp\OnboardLogs" /stypes="app*4006*20170416*"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107-16 --locoid 4006 --swversion DE.1.0.9.0 --startMP 204:466 --initTime 2017-04-16T04:31:02 --startdatetime 2017-04-16T04:33:30 --delay 1 --endMP 204:233343 --enddatetime 2017-04-16T05:08:11 --enforcementcount 0 &gt;&gt;C:\Users\stu\Documents\GitHub\eaglep3-reporting\EC\2017-04-16-refined-times.txt</v>
      </c>
      <c r="AI1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{"issue":{"subject":"","project_id":79,"tracker_id":40,"status_id":1,"priority_id":2,"assigned_to_id":23,"start_date":"2017-04-16","description":"","custom_fields":[{"id":1,"name":"Subdivision","value":"EC"},{"id":4,"name":"Milepost","value":"23.3343"},{"id":17,"name":"Train ID","value":"107-16"},{"id":16,"name":"Locomotive ID","value":"4006"},{"id":130,"name":"Impact","value":""},{"id":150,"name":"Time of Event (Mountain Time)","value":"05:08:11"},{"id":151,"name":"Denver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4006 --day 2017-04-16</v>
      </c>
      <c r="AN1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678</v>
      </c>
      <c r="B20" s="7">
        <v>4005</v>
      </c>
      <c r="C20" s="21" t="s">
        <v>214</v>
      </c>
      <c r="D20" s="21" t="s">
        <v>563</v>
      </c>
      <c r="E20" s="13">
        <v>42841.21875</v>
      </c>
      <c r="F20" s="13">
        <v>42841.226550925923</v>
      </c>
      <c r="G20" s="7">
        <v>1</v>
      </c>
      <c r="H20" s="21" t="s">
        <v>478</v>
      </c>
      <c r="I20" s="13">
        <v>42841.253564814811</v>
      </c>
      <c r="J20" s="7">
        <v>0</v>
      </c>
      <c r="K20" s="97" t="str">
        <f t="shared" si="0"/>
        <v>4005/4006</v>
      </c>
      <c r="L20" s="21" t="str">
        <f>VLOOKUP(A20,'Trips&amp;Operators'!$C$1:$G$99999,5,FALSE)</f>
        <v>DELGADO DIANAH</v>
      </c>
      <c r="M20" s="6">
        <f t="shared" si="1"/>
        <v>2.7013888888177462E-2</v>
      </c>
      <c r="N20" s="7">
        <f t="shared" si="2"/>
        <v>38.899999998975545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-16T04:15:00-0600',mode:absolute,to:'2017-04-16T07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23.302099999999999</v>
      </c>
      <c r="Z20" s="62">
        <f t="shared" si="9"/>
        <v>1.4999999999999999E-2</v>
      </c>
      <c r="AA20" s="62">
        <f t="shared" si="10"/>
        <v>23.287099999999999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0108-16</v>
      </c>
      <c r="AE20" s="85" t="str">
        <f t="shared" si="12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20" s="82" t="str">
        <f t="shared" si="13"/>
        <v>"C:\Program Files (x86)\AstroGrep\AstroGrep.exe" /e /r /s /spath="%USERPROFILE%\AppData\Local\Temp\OnboardLogs" /stypes="app*4005*20170416*"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108-16 --locoid 4005 --swversion DE.1.0.9.0 --startMP 204:233021 --initTime 2017-04-16T05:15:00 --startdatetime 2017-04-16T05:26:14 --delay 1 --endMP 204:150 --enddatetime 2017-04-16T06:05:08 --enforcementcount 0 &gt;&gt;C:\Users\stu\Documents\GitHub\eaglep3-reporting\EC\2017-04-16-refined-times.txt</v>
      </c>
      <c r="AI20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{"issue":{"subject":"","project_id":79,"tracker_id":40,"status_id":1,"priority_id":2,"assigned_to_id":23,"start_date":"2017-04-16","description":"","custom_fields":[{"id":1,"name":"Subdivision","value":"EC"},{"id":4,"name":"Milepost","value":"0.015"},{"id":17,"name":"Train ID","value":"108-16"},{"id":16,"name":"Locomotive ID","value":"4005"},{"id":130,"name":"Impact","value":""},{"id":150,"name":"Time of Event (Mountain Time)","value":"06:05:08"},{"id":151,"name":"Denver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4005 --day 2017-04-16</v>
      </c>
      <c r="AN20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674</v>
      </c>
      <c r="B21" s="7">
        <v>4026</v>
      </c>
      <c r="C21" s="21" t="s">
        <v>214</v>
      </c>
      <c r="D21" s="21" t="s">
        <v>205</v>
      </c>
      <c r="E21" s="13">
        <v>42841.194745370369</v>
      </c>
      <c r="F21" s="13">
        <v>42841.198067129626</v>
      </c>
      <c r="G21" s="7">
        <v>1</v>
      </c>
      <c r="H21" s="21" t="s">
        <v>508</v>
      </c>
      <c r="I21" s="13">
        <v>42841.223414351851</v>
      </c>
      <c r="J21" s="7">
        <v>0</v>
      </c>
      <c r="K21" s="97" t="str">
        <f t="shared" si="0"/>
        <v>4025/4026</v>
      </c>
      <c r="L21" s="21" t="str">
        <f>VLOOKUP(A21,'Trips&amp;Operators'!$C$1:$G$99999,5,FALSE)</f>
        <v>ROBINSON KADDIBA</v>
      </c>
      <c r="M21" s="6">
        <f t="shared" si="1"/>
        <v>2.5347222224809229E-2</v>
      </c>
      <c r="N21" s="7">
        <f t="shared" si="2"/>
        <v>36.50000000372529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-16T03:40:26-0600',mode:absolute,to:'2017-04-16T06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4.5699999999999998E-2</v>
      </c>
      <c r="Z21" s="62">
        <f t="shared" si="9"/>
        <v>23.331</v>
      </c>
      <c r="AA21" s="62">
        <f t="shared" si="10"/>
        <v>23.285299999999999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0109-16</v>
      </c>
      <c r="AE21" s="85" t="str">
        <f t="shared" si="12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21" s="82" t="str">
        <f t="shared" si="13"/>
        <v>"C:\Program Files (x86)\AstroGrep\AstroGrep.exe" /e /r /s /spath="%USERPROFILE%\AppData\Local\Temp\OnboardLogs" /stypes="app*4026*20170416*"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109-16 --locoid 4026 --swversion DE.1.0.9.0 --startMP 204:457 --initTime 2017-04-16T04:40:26 --startdatetime 2017-04-16T04:45:13 --delay 1 --endMP 204:233310 --enddatetime 2017-04-16T05:21:43 --enforcementcount 0 &gt;&gt;C:\Users\stu\Documents\GitHub\eaglep3-reporting\EC\2017-04-16-refined-times.txt</v>
      </c>
      <c r="AI2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{"issue":{"subject":"","project_id":79,"tracker_id":40,"status_id":1,"priority_id":2,"assigned_to_id":23,"start_date":"2017-04-16","description":"","custom_fields":[{"id":1,"name":"Subdivision","value":"EC"},{"id":4,"name":"Milepost","value":"23.331"},{"id":17,"name":"Train ID","value":"109-16"},{"id":16,"name":"Locomotive ID","value":"4026"},{"id":130,"name":"Impact","value":""},{"id":150,"name":"Time of Event (Mountain Time)","value":"05:21:43"},{"id":151,"name":"Denver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4026 --day 2017-04-16</v>
      </c>
      <c r="AN2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687</v>
      </c>
      <c r="B22" s="7">
        <v>4025</v>
      </c>
      <c r="C22" s="21" t="s">
        <v>214</v>
      </c>
      <c r="D22" s="21" t="s">
        <v>494</v>
      </c>
      <c r="E22" s="13">
        <v>42841.233391203707</v>
      </c>
      <c r="F22" s="13">
        <v>42841.236967592595</v>
      </c>
      <c r="G22" s="7">
        <v>1</v>
      </c>
      <c r="H22" s="21" t="s">
        <v>211</v>
      </c>
      <c r="I22" s="13">
        <v>42841.264305555553</v>
      </c>
      <c r="J22" s="7">
        <v>0</v>
      </c>
      <c r="K22" s="97" t="str">
        <f t="shared" si="0"/>
        <v>4025/4026</v>
      </c>
      <c r="L22" s="21" t="str">
        <f>VLOOKUP(A22,'Trips&amp;Operators'!$C$1:$G$99999,5,FALSE)</f>
        <v>ROBINSON KADDIBA</v>
      </c>
      <c r="M22" s="6">
        <f t="shared" si="1"/>
        <v>2.7337962957972195E-2</v>
      </c>
      <c r="N22" s="7">
        <f t="shared" si="2"/>
        <v>39.366666659479961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-16T04:36:05-0600',mode:absolute,to:'2017-04-16T07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23.299600000000002</v>
      </c>
      <c r="Z22" s="62">
        <f t="shared" si="9"/>
        <v>1.47E-2</v>
      </c>
      <c r="AA22" s="62">
        <f t="shared" si="10"/>
        <v>23.2849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0110-16</v>
      </c>
      <c r="AE22" s="85" t="str">
        <f t="shared" si="12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22" s="82" t="str">
        <f t="shared" si="13"/>
        <v>"C:\Program Files (x86)\AstroGrep\AstroGrep.exe" /e /r /s /spath="%USERPROFILE%\AppData\Local\Temp\OnboardLogs" /stypes="app*4025*20170416*"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110-16 --locoid 4025 --swversion DE.1.0.9.0 --startMP 204:232996 --initTime 2017-04-16T05:36:05 --startdatetime 2017-04-16T05:41:14 --delay 1 --endMP 204:147 --enddatetime 2017-04-16T06:20:36 --enforcementcount 0 &gt;&gt;C:\Users\stu\Documents\GitHub\eaglep3-reporting\EC\2017-04-16-refined-times.txt</v>
      </c>
      <c r="AI2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{"issue":{"subject":"","project_id":79,"tracker_id":40,"status_id":1,"priority_id":2,"assigned_to_id":23,"start_date":"2017-04-16","description":"","custom_fields":[{"id":1,"name":"Subdivision","value":"EC"},{"id":4,"name":"Milepost","value":"0.0147"},{"id":17,"name":"Train ID","value":"110-16"},{"id":16,"name":"Locomotive ID","value":"4025"},{"id":130,"name":"Impact","value":""},{"id":150,"name":"Time of Event (Mountain Time)","value":"06:20:36"},{"id":151,"name":"Denver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4025 --day 2017-04-16</v>
      </c>
      <c r="AN2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676</v>
      </c>
      <c r="B23" s="7">
        <v>4040</v>
      </c>
      <c r="C23" s="21" t="s">
        <v>214</v>
      </c>
      <c r="D23" s="21" t="s">
        <v>871</v>
      </c>
      <c r="E23" s="13">
        <v>42841.204618055555</v>
      </c>
      <c r="F23" s="13">
        <v>42841.20853009259</v>
      </c>
      <c r="G23" s="7">
        <v>1</v>
      </c>
      <c r="H23" s="21" t="s">
        <v>505</v>
      </c>
      <c r="I23" s="13">
        <v>42841.23300925926</v>
      </c>
      <c r="J23" s="7">
        <v>0</v>
      </c>
      <c r="K23" s="97" t="str">
        <f t="shared" si="0"/>
        <v>4039/4040</v>
      </c>
      <c r="L23" s="21" t="str">
        <f>VLOOKUP(A23,'Trips&amp;Operators'!$C$1:$G$99999,5,FALSE)</f>
        <v>GEBRETEKLE DAGNEW</v>
      </c>
      <c r="M23" s="6">
        <f t="shared" si="1"/>
        <v>2.4479166670062114E-2</v>
      </c>
      <c r="N23" s="7">
        <f t="shared" si="2"/>
        <v>35.250000004889444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-16T03:54:39-0600',mode:absolute,to:'2017-04-16T06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7.6799999999999993E-2</v>
      </c>
      <c r="Z23" s="62">
        <f t="shared" si="9"/>
        <v>23.330100000000002</v>
      </c>
      <c r="AA23" s="62">
        <f t="shared" si="10"/>
        <v>23.253300000000003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0111-16</v>
      </c>
      <c r="AE23" s="85" t="str">
        <f t="shared" si="12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23" s="82" t="str">
        <f t="shared" si="13"/>
        <v>"C:\Program Files (x86)\AstroGrep\AstroGrep.exe" /e /r /s /spath="%USERPROFILE%\AppData\Local\Temp\OnboardLogs" /stypes="app*4040*20170416*"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111-16 --locoid 4040 --swversion DE.1.0.9.0 --startMP 204:768 --initTime 2017-04-16T04:54:39 --startdatetime 2017-04-16T05:00:17 --delay 1 --endMP 204:233301 --enddatetime 2017-04-16T05:35:32 --enforcementcount 0 &gt;&gt;C:\Users\stu\Documents\GitHub\eaglep3-reporting\EC\2017-04-16-refined-times.txt</v>
      </c>
      <c r="AI23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{"issue":{"subject":"","project_id":79,"tracker_id":40,"status_id":1,"priority_id":2,"assigned_to_id":23,"start_date":"2017-04-16","description":"","custom_fields":[{"id":1,"name":"Subdivision","value":"EC"},{"id":4,"name":"Milepost","value":"23.3301"},{"id":17,"name":"Train ID","value":"111-16"},{"id":16,"name":"Locomotive ID","value":"4040"},{"id":130,"name":"Impact","value":""},{"id":150,"name":"Time of Event (Mountain Time)","value":"05:35:32"},{"id":151,"name":"Denver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4040 --day 2017-04-16</v>
      </c>
      <c r="AN23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689</v>
      </c>
      <c r="B24" s="7">
        <v>4039</v>
      </c>
      <c r="C24" s="21" t="s">
        <v>214</v>
      </c>
      <c r="D24" s="21" t="s">
        <v>511</v>
      </c>
      <c r="E24" s="13">
        <v>42841.243379629632</v>
      </c>
      <c r="F24" s="13">
        <v>42841.247499999998</v>
      </c>
      <c r="G24" s="7">
        <v>2</v>
      </c>
      <c r="H24" s="21" t="s">
        <v>872</v>
      </c>
      <c r="I24" s="13">
        <v>42841.273518518516</v>
      </c>
      <c r="J24" s="7">
        <v>0</v>
      </c>
      <c r="K24" s="97" t="str">
        <f t="shared" si="0"/>
        <v>4039/4040</v>
      </c>
      <c r="L24" s="21" t="str">
        <f>VLOOKUP(A24,'Trips&amp;Operators'!$C$1:$G$99999,5,FALSE)</f>
        <v>GEBRETEKLE DAGNEW</v>
      </c>
      <c r="M24" s="6">
        <f t="shared" si="1"/>
        <v>2.6018518517958E-2</v>
      </c>
      <c r="N24" s="7">
        <f t="shared" si="2"/>
        <v>37.46666666585952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-16T04:50:28-0600',mode:absolute,to:'2017-04-16T07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23.299399999999999</v>
      </c>
      <c r="Z24" s="62">
        <f t="shared" si="9"/>
        <v>1.67E-2</v>
      </c>
      <c r="AA24" s="62">
        <f t="shared" si="10"/>
        <v>23.282699999999998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0112-16</v>
      </c>
      <c r="AE24" s="85" t="str">
        <f t="shared" si="12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24" s="82" t="str">
        <f t="shared" si="13"/>
        <v>"C:\Program Files (x86)\AstroGrep\AstroGrep.exe" /e /r /s /spath="%USERPROFILE%\AppData\Local\Temp\OnboardLogs" /stypes="app*4039*20170416*"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112-16 --locoid 4039 --swversion DE.1.0.9.0 --startMP 204:232994 --initTime 2017-04-16T05:50:28 --startdatetime 2017-04-16T05:56:24 --delay 2 --endMP 204:167 --enddatetime 2017-04-16T06:33:52 --enforcementcount 0 &gt;&gt;C:\Users\stu\Documents\GitHub\eaglep3-reporting\EC\2017-04-16-refined-times.txt</v>
      </c>
      <c r="AI2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{"issue":{"subject":"","project_id":79,"tracker_id":40,"status_id":1,"priority_id":2,"assigned_to_id":23,"start_date":"2017-04-16","description":"","custom_fields":[{"id":1,"name":"Subdivision","value":"EC"},{"id":4,"name":"Milepost","value":"0.0167"},{"id":17,"name":"Train ID","value":"112-16"},{"id":16,"name":"Locomotive ID","value":"4039"},{"id":130,"name":"Impact","value":""},{"id":150,"name":"Time of Event (Mountain Time)","value":"06:33:52"},{"id":151,"name":"Denver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4039 --day 2017-04-16</v>
      </c>
      <c r="AN2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675</v>
      </c>
      <c r="B25" s="7">
        <v>4016</v>
      </c>
      <c r="C25" s="21" t="s">
        <v>214</v>
      </c>
      <c r="D25" s="21" t="s">
        <v>480</v>
      </c>
      <c r="E25" s="13">
        <v>42841.204571759263</v>
      </c>
      <c r="F25" s="13">
        <v>42841.218912037039</v>
      </c>
      <c r="G25" s="7">
        <v>1</v>
      </c>
      <c r="H25" s="21" t="s">
        <v>865</v>
      </c>
      <c r="I25" s="13">
        <v>42841.243935185186</v>
      </c>
      <c r="J25" s="7">
        <v>0</v>
      </c>
      <c r="K25" s="97" t="str">
        <f t="shared" si="0"/>
        <v>4015/4016</v>
      </c>
      <c r="L25" s="21" t="str">
        <f>VLOOKUP(A25,'Trips&amp;Operators'!$C$1:$G$99999,5,FALSE)</f>
        <v>SANTIZO D. EDY</v>
      </c>
      <c r="M25" s="6">
        <f t="shared" si="1"/>
        <v>2.5023148147738539E-2</v>
      </c>
      <c r="N25" s="7">
        <f t="shared" si="2"/>
        <v>36.033333332743496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-16T03:54:35-0600',mode:absolute,to:'2017-04-16T06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4.4699999999999997E-2</v>
      </c>
      <c r="Z25" s="62">
        <f t="shared" si="9"/>
        <v>23.330400000000001</v>
      </c>
      <c r="AA25" s="62">
        <f t="shared" si="10"/>
        <v>23.285700000000002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0113-16</v>
      </c>
      <c r="AE25" s="85" t="str">
        <f t="shared" si="12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25" s="82" t="str">
        <f t="shared" si="13"/>
        <v>"C:\Program Files (x86)\AstroGrep\AstroGrep.exe" /e /r /s /spath="%USERPROFILE%\AppData\Local\Temp\OnboardLogs" /stypes="app*4016*20170416*"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113-16 --locoid 4016 --swversion DE.1.0.9.0 --startMP 204:447 --initTime 2017-04-16T04:54:35 --startdatetime 2017-04-16T05:15:14 --delay 1 --endMP 204:233304 --enddatetime 2017-04-16T05:51:16 --enforcementcount 0 &gt;&gt;C:\Users\stu\Documents\GitHub\eaglep3-reporting\EC\2017-04-16-refined-times.txt</v>
      </c>
      <c r="AI2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{"issue":{"subject":"","project_id":79,"tracker_id":40,"status_id":1,"priority_id":2,"assigned_to_id":23,"start_date":"2017-04-16","description":"","custom_fields":[{"id":1,"name":"Subdivision","value":"EC"},{"id":4,"name":"Milepost","value":"23.3304"},{"id":17,"name":"Train ID","value":"113-16"},{"id":16,"name":"Locomotive ID","value":"4016"},{"id":130,"name":"Impact","value":""},{"id":150,"name":"Time of Event (Mountain Time)","value":"05:51:16"},{"id":151,"name":"Denver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4016 --day 2017-04-16</v>
      </c>
      <c r="AN2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690</v>
      </c>
      <c r="B26" s="7">
        <v>4015</v>
      </c>
      <c r="C26" s="21" t="s">
        <v>214</v>
      </c>
      <c r="D26" s="21" t="s">
        <v>511</v>
      </c>
      <c r="E26" s="13">
        <v>42841.24486111111</v>
      </c>
      <c r="F26" s="13">
        <v>42841.257847222223</v>
      </c>
      <c r="G26" s="7">
        <v>1</v>
      </c>
      <c r="H26" s="21" t="s">
        <v>197</v>
      </c>
      <c r="I26" s="13">
        <v>42841.283784722225</v>
      </c>
      <c r="J26" s="7">
        <v>0</v>
      </c>
      <c r="K26" s="97" t="str">
        <f t="shared" si="0"/>
        <v>4015/4016</v>
      </c>
      <c r="L26" s="21" t="str">
        <f>VLOOKUP(A26,'Trips&amp;Operators'!$C$1:$G$99999,5,FALSE)</f>
        <v>SANTIZO D. EDY</v>
      </c>
      <c r="M26" s="6">
        <f t="shared" si="1"/>
        <v>2.5937500002328306E-2</v>
      </c>
      <c r="N26" s="7">
        <f t="shared" si="2"/>
        <v>37.350000003352761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-16T04:52:36-0600',mode:absolute,to:'2017-04-16T07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23.299399999999999</v>
      </c>
      <c r="Z26" s="62">
        <f t="shared" si="9"/>
        <v>1.52E-2</v>
      </c>
      <c r="AA26" s="62">
        <f t="shared" si="10"/>
        <v>23.284199999999998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0114-16</v>
      </c>
      <c r="AE26" s="85" t="str">
        <f t="shared" si="12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26" s="82" t="str">
        <f t="shared" si="13"/>
        <v>"C:\Program Files (x86)\AstroGrep\AstroGrep.exe" /e /r /s /spath="%USERPROFILE%\AppData\Local\Temp\OnboardLogs" /stypes="app*4015*20170416*"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114-16 --locoid 4015 --swversion DE.1.0.9.0 --startMP 204:232994 --initTime 2017-04-16T05:52:36 --startdatetime 2017-04-16T06:11:18 --delay 1 --endMP 204:152 --enddatetime 2017-04-16T06:48:39 --enforcementcount 0 &gt;&gt;C:\Users\stu\Documents\GitHub\eaglep3-reporting\EC\2017-04-16-refined-times.txt</v>
      </c>
      <c r="AI2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{"issue":{"subject":"","project_id":79,"tracker_id":40,"status_id":1,"priority_id":2,"assigned_to_id":23,"start_date":"2017-04-16","description":"","custom_fields":[{"id":1,"name":"Subdivision","value":"EC"},{"id":4,"name":"Milepost","value":"0.0152"},{"id":17,"name":"Train ID","value":"114-16"},{"id":16,"name":"Locomotive ID","value":"4015"},{"id":130,"name":"Impact","value":""},{"id":150,"name":"Time of Event (Mountain Time)","value":"06:48:39"},{"id":151,"name":"Denver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4015 --day 2017-04-16</v>
      </c>
      <c r="AN2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682</v>
      </c>
      <c r="B27" s="7">
        <v>4028</v>
      </c>
      <c r="C27" s="21" t="s">
        <v>214</v>
      </c>
      <c r="D27" s="21" t="s">
        <v>873</v>
      </c>
      <c r="E27" s="13">
        <v>42841.222511574073</v>
      </c>
      <c r="F27" s="13">
        <v>42841.229363425926</v>
      </c>
      <c r="G27" s="7">
        <v>2</v>
      </c>
      <c r="H27" s="21" t="s">
        <v>490</v>
      </c>
      <c r="I27" s="13">
        <v>42841.255162037036</v>
      </c>
      <c r="J27" s="7">
        <v>0</v>
      </c>
      <c r="K27" s="97" t="str">
        <f t="shared" si="0"/>
        <v>4027/4028</v>
      </c>
      <c r="L27" s="21" t="str">
        <f>VLOOKUP(A27,'Trips&amp;Operators'!$C$1:$G$99999,5,FALSE)</f>
        <v>SHOOK JOHN</v>
      </c>
      <c r="M27" s="6">
        <f t="shared" si="1"/>
        <v>2.5798611110076308E-2</v>
      </c>
      <c r="N27" s="7">
        <f t="shared" si="2"/>
        <v>37.149999998509884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-16T04:20:25-0600',mode:absolute,to:'2017-04-16T07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0.1164</v>
      </c>
      <c r="Z27" s="62">
        <f t="shared" si="9"/>
        <v>23.330300000000001</v>
      </c>
      <c r="AA27" s="62">
        <f t="shared" si="10"/>
        <v>23.213900000000002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0115-16</v>
      </c>
      <c r="AE27" s="85" t="str">
        <f t="shared" si="12"/>
        <v>aws s3 cp s3://rtdc.mdm.uploadarchive.raw/RTDC4028/ "%USERPROFILE%\AppData\Local\Temp\OnboardLogs"\RTDC4028\2017-04-16 --exclude "*" --recursive --include "*20170416*" &amp; "%USERPROFILE%\Documents\GitHub\mrs-test-scripts\Headless Mode &amp; Sideloading\WalkAndUnGZ.bat" "%USERPROFILE%\AppData\Local\Temp\OnboardLogs"\RTDC4028\2017-04-16 &amp; 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</v>
      </c>
      <c r="AF27" s="82" t="str">
        <f t="shared" si="13"/>
        <v>"C:\Program Files (x86)\AstroGrep\AstroGrep.exe" /e /r /s /spath="%USERPROFILE%\AppData\Local\Temp\OnboardLogs" /stypes="app*4028*20170416*"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115-16 --locoid 4028 --swversion DE.1.0.9.0 --startMP 204:1164 --initTime 2017-04-16T05:20:25 --startdatetime 2017-04-16T05:30:17 --delay 2 --endMP 204:233303 --enddatetime 2017-04-16T06:07:26 --enforcementcount 0 &gt;&gt;C:\Users\stu\Documents\GitHub\eaglep3-reporting\EC\2017-04-16-refined-times.txt</v>
      </c>
      <c r="AI2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{"issue":{"subject":"","project_id":79,"tracker_id":40,"status_id":1,"priority_id":2,"assigned_to_id":23,"start_date":"2017-04-16","description":"","custom_fields":[{"id":1,"name":"Subdivision","value":"EC"},{"id":4,"name":"Milepost","value":"23.3303"},{"id":17,"name":"Train ID","value":"115-16"},{"id":16,"name":"Locomotive ID","value":"4028"},{"id":130,"name":"Impact","value":""},{"id":150,"name":"Time of Event (Mountain Time)","value":"06:07:26"},{"id":151,"name":"Denver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4028 --day 2017-04-16</v>
      </c>
      <c r="AN2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697</v>
      </c>
      <c r="B28" s="7">
        <v>4027</v>
      </c>
      <c r="C28" s="21" t="s">
        <v>214</v>
      </c>
      <c r="D28" s="21" t="s">
        <v>492</v>
      </c>
      <c r="E28" s="13">
        <v>42841.256874999999</v>
      </c>
      <c r="F28" s="13">
        <v>42841.268240740741</v>
      </c>
      <c r="G28" s="7">
        <v>1</v>
      </c>
      <c r="H28" s="21" t="s">
        <v>614</v>
      </c>
      <c r="I28" s="13">
        <v>42841.297083333331</v>
      </c>
      <c r="J28" s="7">
        <v>0</v>
      </c>
      <c r="K28" s="97" t="str">
        <f t="shared" si="0"/>
        <v>4027/4028</v>
      </c>
      <c r="L28" s="21" t="str">
        <f>VLOOKUP(A28,'Trips&amp;Operators'!$C$1:$G$99999,5,FALSE)</f>
        <v>SHOOK JOHN</v>
      </c>
      <c r="M28" s="6">
        <f t="shared" si="1"/>
        <v>2.884259259008104E-2</v>
      </c>
      <c r="N28" s="7">
        <f t="shared" si="2"/>
        <v>41.533333329716697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-16T05:09:54-0600',mode:absolute,to:'2017-04-16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23.299800000000001</v>
      </c>
      <c r="Z28" s="62">
        <f t="shared" si="9"/>
        <v>1.61E-2</v>
      </c>
      <c r="AA28" s="62">
        <f t="shared" si="10"/>
        <v>23.2837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0116-16</v>
      </c>
      <c r="AE28" s="85" t="str">
        <f t="shared" si="12"/>
        <v>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 &amp; 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</v>
      </c>
      <c r="AF28" s="82" t="str">
        <f t="shared" si="13"/>
        <v>"C:\Program Files (x86)\AstroGrep\AstroGrep.exe" /e /r /s /spath="%USERPROFILE%\AppData\Local\Temp\OnboardLogs" /stypes="app*4027*20170416*"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116-16 --locoid 4027 --swversion DE.1.0.9.0 --startMP 204:232998 --initTime 2017-04-16T06:09:54 --startdatetime 2017-04-16T06:26:16 --delay 1 --endMP 204:161 --enddatetime 2017-04-16T07:07:48 --enforcementcount 0 &gt;&gt;C:\Users\stu\Documents\GitHub\eaglep3-reporting\EC\2017-04-16-refined-times.txt</v>
      </c>
      <c r="AI2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{"issue":{"subject":"","project_id":79,"tracker_id":40,"status_id":1,"priority_id":2,"assigned_to_id":23,"start_date":"2017-04-16","description":"","custom_fields":[{"id":1,"name":"Subdivision","value":"EC"},{"id":4,"name":"Milepost","value":"0.0161"},{"id":17,"name":"Train ID","value":"116-16"},{"id":16,"name":"Locomotive ID","value":"4027"},{"id":130,"name":"Impact","value":""},{"id":150,"name":"Time of Event (Mountain Time)","value":"07:07:48"},{"id":151,"name":"Denver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4027 --day 2017-04-16</v>
      </c>
      <c r="AN2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688</v>
      </c>
      <c r="B29" s="7">
        <v>4022</v>
      </c>
      <c r="C29" s="21" t="s">
        <v>214</v>
      </c>
      <c r="D29" s="21" t="s">
        <v>874</v>
      </c>
      <c r="E29" s="13">
        <v>42841.233761574076</v>
      </c>
      <c r="F29" s="13">
        <v>42841.234722222223</v>
      </c>
      <c r="G29" s="7">
        <v>1</v>
      </c>
      <c r="H29" s="21" t="s">
        <v>592</v>
      </c>
      <c r="I29" s="13">
        <v>42841.242349537039</v>
      </c>
      <c r="J29" s="7">
        <v>0</v>
      </c>
      <c r="K29" s="97" t="str">
        <f t="shared" si="0"/>
        <v>4021/4022</v>
      </c>
      <c r="L29" s="21" t="str">
        <f>VLOOKUP(A29,'Trips&amp;Operators'!$C$1:$G$99999,5,FALSE)</f>
        <v>ARVIDSON DANIEL</v>
      </c>
      <c r="M29" s="6">
        <f t="shared" si="1"/>
        <v>7.6273148151813075E-3</v>
      </c>
      <c r="N29" s="7"/>
      <c r="O29" s="7"/>
      <c r="P29" s="7"/>
      <c r="Q29" s="22"/>
      <c r="R29" s="22"/>
      <c r="S29" s="31"/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-16T04:36:37-0600',mode:absolute,to:'2017-04-16T06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183" t="str">
        <f t="shared" si="6"/>
        <v>Y</v>
      </c>
      <c r="X29" s="183">
        <f t="shared" si="7"/>
        <v>1</v>
      </c>
      <c r="Y29" s="62">
        <f t="shared" si="8"/>
        <v>7.6600000000000001E-2</v>
      </c>
      <c r="Z29" s="62">
        <f t="shared" si="9"/>
        <v>7.2400000000000006E-2</v>
      </c>
      <c r="AA29" s="62">
        <f t="shared" si="10"/>
        <v>4.1999999999999954E-3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0117-16</v>
      </c>
      <c r="AE29" s="85" t="str">
        <f t="shared" si="12"/>
        <v>aws s3 cp s3://rtdc.mdm.uploadarchive.raw/RTDC4022/ "%USERPROFILE%\AppData\Local\Temp\OnboardLogs"\RTDC4022\2017-04-16 --exclude "*" --recursive --include "*20170416*" &amp; "%USERPROFILE%\Documents\GitHub\mrs-test-scripts\Headless Mode &amp; Sideloading\WalkAndUnGZ.bat" "%USERPROFILE%\AppData\Local\Temp\OnboardLogs"\RTDC4022\2017-04-16 &amp; aws s3 cp s3://rtdc.mdm.uploadarchive.raw/RTDC4022/ "%USERPROFILE%\AppData\Local\Temp\OnboardLogs"\RTDC4022\2017-04-17 --exclude "*" --recursive --include "*20170417*" &amp; "%USERPROFILE%\Documents\GitHub\mrs-test-scripts\Headless Mode &amp; Sideloading\WalkAndUnGZ.bat" "%USERPROFILE%\AppData\Local\Temp\OnboardLogs"\RTDC4022\2017-04-17</v>
      </c>
      <c r="AF29" s="82" t="str">
        <f t="shared" si="13"/>
        <v>"C:\Program Files (x86)\AstroGrep\AstroGrep.exe" /e /r /s /spath="%USERPROFILE%\AppData\Local\Temp\OnboardLogs" /stypes="app*4022*20170416*" /stext=" 11:.+((SYSTEM_STATE.+slice.+state.+changed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117-16 --locoid 4022 --swversion DE.1.0.9.0 --startMP 204:766 --initTime 2017-04-16T05:36:37 --startdatetime 2017-04-16T05:38:00 --delay 1 --endMP 204:724 --enddatetime 2017-04-16T05:48:59 --enforcementcount 0 &gt;&gt;C:\Users\stu\Documents\GitHub\eaglep3-reporting\EC\2017-04-16-refined-times.txt</v>
      </c>
      <c r="AI2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{"issue":{"subject":"","project_id":79,"tracker_id":40,"status_id":1,"priority_id":2,"assigned_to_id":23,"start_date":"2017-04-16","description":"","custom_fields":[{"id":1,"name":"Subdivision","value":"EC"},{"id":4,"name":"Milepost","value":"0.0724"},{"id":17,"name":"Train ID","value":"117-16"},{"id":16,"name":"Locomotive ID","value":"4022"},{"id":130,"name":"Impact","value":""},{"id":150,"name":"Time of Event (Mountain Time)","value":"05:48:59"},{"id":151,"name":"Denver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4022 --day 2017-04-16</v>
      </c>
      <c r="AN2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688</v>
      </c>
      <c r="B30" s="7">
        <v>4044</v>
      </c>
      <c r="C30" s="21" t="s">
        <v>214</v>
      </c>
      <c r="D30" s="21" t="s">
        <v>875</v>
      </c>
      <c r="E30" s="13">
        <v>42841.243032407408</v>
      </c>
      <c r="F30" s="13">
        <v>42841.243761574071</v>
      </c>
      <c r="G30" s="7">
        <v>1</v>
      </c>
      <c r="H30" s="21" t="s">
        <v>868</v>
      </c>
      <c r="I30" s="13">
        <v>42841.2733912037</v>
      </c>
      <c r="J30" s="7">
        <v>0</v>
      </c>
      <c r="K30" s="97" t="str">
        <f t="shared" si="0"/>
        <v>4043/4044</v>
      </c>
      <c r="L30" s="21" t="str">
        <f>VLOOKUP(A30,'Trips&amp;Operators'!$C$1:$G$99999,5,FALSE)</f>
        <v>ARVIDSON DANIEL</v>
      </c>
      <c r="M30" s="6">
        <f t="shared" si="1"/>
        <v>2.9629629629198462E-2</v>
      </c>
      <c r="N30" s="7">
        <f t="shared" ref="N30:N61" si="23">24*60*SUM($M30:$M30)</f>
        <v>42.666666666045785</v>
      </c>
      <c r="O30" s="7"/>
      <c r="P30" s="7"/>
      <c r="Q30" s="22"/>
      <c r="R30" s="22" t="s">
        <v>1014</v>
      </c>
      <c r="S30" s="31">
        <f t="shared" ref="S30:S61" si="24">SUM(U30:U30)/IF(AG30="EC",12,1)</f>
        <v>1</v>
      </c>
      <c r="T30" s="46" t="str">
        <f t="shared" si="4"/>
        <v>NorthBound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-16T04:49:58-0600',mode:absolute,to:'2017-04-16T07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0" s="183" t="str">
        <f t="shared" si="6"/>
        <v>N</v>
      </c>
      <c r="X30" s="183">
        <f t="shared" si="7"/>
        <v>0</v>
      </c>
      <c r="Y30" s="62">
        <f t="shared" si="8"/>
        <v>4.0399999999999998E-2</v>
      </c>
      <c r="Z30" s="62">
        <f t="shared" si="9"/>
        <v>23.331199999999999</v>
      </c>
      <c r="AA30" s="62">
        <f t="shared" si="10"/>
        <v>23.290799999999997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0117-16</v>
      </c>
      <c r="AE30" s="85" t="str">
        <f t="shared" si="12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30" s="82" t="str">
        <f t="shared" si="13"/>
        <v>"C:\Program Files (x86)\AstroGrep\AstroGrep.exe" /e /r /s /spath="%USERPROFILE%\AppData\Local\Temp\OnboardLogs" /stypes="app*4044*20170416*" /stext=" 12:.+((SYSTEM_STATE.+slice.+state.+changed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117-16 --locoid 4044 --swversion DE.1.0.9.0 --startMP 204:404 --initTime 2017-04-16T05:49:58 --startdatetime 2017-04-16T05:51:01 --delay 1 --endMP 204:233312 --enddatetime 2017-04-16T06:33:41 --enforcementcount 0 &gt;&gt;C:\Users\stu\Documents\GitHub\eaglep3-reporting\EC\2017-04-16-refined-times.txt</v>
      </c>
      <c r="AI30" s="104" t="str">
        <f t="shared" si="20"/>
        <v>echo {"issue":{"subject":"Train swap per VM","project_id":79,"tracker_id":40,"status_id":1,"priority_id":2,"assigned_to_id":23,"start_date":"2017-04-16","description":"","custom_fields":[{"id":1,"name":"Subdivision","value":"EC"},{"id":4,"name":"Milepost","value":"23.3312"},{"id":17,"name":"Train ID","value":"117-16"},{"id":16,"name":"Locomotive ID","value":"4044"},{"id":130,"name":"Impact","value":""},{"id":150,"name":"Time of Event (Mountain Time)","value":"06:33:41"},{"id":151,"name":"Denver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4044 --day 2017-04-16</v>
      </c>
      <c r="AN30" s="159" t="str">
        <f t="shared" si="22"/>
        <v>echo {"issue":{"subject":"Train swap per VM","project_id":30,"tracker_id":4,"status_id":1,"priority_id":1,"assigned_to_id":10,"start_date":"2017-04-16","description":"","custom_fields":[{"id":30,"name":"Category","value":"Issue"},{"id":3,"name":"Functional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643</v>
      </c>
      <c r="B31" s="7">
        <v>4043</v>
      </c>
      <c r="C31" s="21" t="s">
        <v>214</v>
      </c>
      <c r="D31" s="21" t="s">
        <v>608</v>
      </c>
      <c r="E31" s="13">
        <v>42841.275381944448</v>
      </c>
      <c r="F31" s="13">
        <v>42841.278819444444</v>
      </c>
      <c r="G31" s="7">
        <v>2</v>
      </c>
      <c r="H31" s="21" t="s">
        <v>416</v>
      </c>
      <c r="I31" s="13">
        <v>42841.306516203702</v>
      </c>
      <c r="J31" s="7">
        <v>0</v>
      </c>
      <c r="K31" s="97" t="str">
        <f t="shared" si="0"/>
        <v>4043/4044</v>
      </c>
      <c r="L31" s="21" t="str">
        <f>VLOOKUP(A31,'Trips&amp;Operators'!$C$1:$G$99999,5,FALSE)</f>
        <v>MAYBERRY BILL</v>
      </c>
      <c r="M31" s="6">
        <f t="shared" si="1"/>
        <v>2.7696759258105885E-2</v>
      </c>
      <c r="N31" s="7">
        <f t="shared" si="23"/>
        <v>39.883333331672475</v>
      </c>
      <c r="O31" s="7"/>
      <c r="P31" s="7"/>
      <c r="Q31" s="22"/>
      <c r="R31" s="22"/>
      <c r="S31" s="31">
        <f t="shared" si="24"/>
        <v>1</v>
      </c>
      <c r="T31" s="46" t="str">
        <f t="shared" si="4"/>
        <v>Southbound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-16T05:36:33-0600',mode:absolute,to:'2017-04-16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23.2987</v>
      </c>
      <c r="Z31" s="62">
        <f t="shared" si="9"/>
        <v>1.6E-2</v>
      </c>
      <c r="AA31" s="62">
        <f t="shared" si="10"/>
        <v>23.282700000000002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0118-16</v>
      </c>
      <c r="AE31" s="85" t="str">
        <f t="shared" si="12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31" s="82" t="str">
        <f t="shared" si="13"/>
        <v>"C:\Program Files (x86)\AstroGrep\AstroGrep.exe" /e /r /s /spath="%USERPROFILE%\AppData\Local\Temp\OnboardLogs" /stypes="app*4043*20170416*"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118-16 --locoid 4043 --swversion DE.1.0.9.0 --startMP 204:232987 --initTime 2017-04-16T06:36:33 --startdatetime 2017-04-16T06:41:30 --delay 2 --endMP 204:160 --enddatetime 2017-04-16T07:21:23 --enforcementcount 0 &gt;&gt;C:\Users\stu\Documents\GitHub\eaglep3-reporting\EC\2017-04-16-refined-times.txt</v>
      </c>
      <c r="AI3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{"issue":{"subject":"","project_id":79,"tracker_id":40,"status_id":1,"priority_id":2,"assigned_to_id":23,"start_date":"2017-04-16","description":"","custom_fields":[{"id":1,"name":"Subdivision","value":"EC"},{"id":4,"name":"Milepost","value":"0.016"},{"id":17,"name":"Train ID","value":"118-16"},{"id":16,"name":"Locomotive ID","value":"4043"},{"id":130,"name":"Impact","value":""},{"id":150,"name":"Time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4043 --day 2017-04-16</v>
      </c>
      <c r="AN3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692</v>
      </c>
      <c r="B32" s="7">
        <v>4042</v>
      </c>
      <c r="C32" s="21" t="s">
        <v>214</v>
      </c>
      <c r="D32" s="21" t="s">
        <v>876</v>
      </c>
      <c r="E32" s="13">
        <v>42841.247604166667</v>
      </c>
      <c r="F32" s="13">
        <v>42841.250787037039</v>
      </c>
      <c r="G32" s="7">
        <v>1</v>
      </c>
      <c r="H32" s="21" t="s">
        <v>877</v>
      </c>
      <c r="I32" s="13">
        <v>42841.276689814818</v>
      </c>
      <c r="J32" s="7">
        <v>0</v>
      </c>
      <c r="K32" s="97" t="str">
        <f t="shared" si="0"/>
        <v>4041/4042</v>
      </c>
      <c r="L32" s="21" t="str">
        <f>VLOOKUP(A32,'Trips&amp;Operators'!$C$1:$G$99999,5,FALSE)</f>
        <v>BADERTSCHER DIANE</v>
      </c>
      <c r="M32" s="6">
        <f t="shared" si="1"/>
        <v>2.5902777779265307E-2</v>
      </c>
      <c r="N32" s="7">
        <f t="shared" si="23"/>
        <v>37.300000002142042</v>
      </c>
      <c r="O32" s="7"/>
      <c r="P32" s="7"/>
      <c r="Q32" s="22"/>
      <c r="R32" s="22"/>
      <c r="S32" s="31">
        <f t="shared" si="24"/>
        <v>1</v>
      </c>
      <c r="T32" s="46" t="str">
        <f t="shared" si="4"/>
        <v>NorthBound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-16T04:56:33-0600',mode:absolute,to:'2017-04-16T07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7.9500000000000001E-2</v>
      </c>
      <c r="Z32" s="62">
        <f t="shared" si="9"/>
        <v>23.328600000000002</v>
      </c>
      <c r="AA32" s="62">
        <f t="shared" si="10"/>
        <v>23.249100000000002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0119-16</v>
      </c>
      <c r="AE32" s="85" t="str">
        <f t="shared" si="12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32" s="82" t="str">
        <f t="shared" si="13"/>
        <v>"C:\Program Files (x86)\AstroGrep\AstroGrep.exe" /e /r /s /spath="%USERPROFILE%\AppData\Local\Temp\OnboardLogs" /stypes="app*4042*20170416*" /stext=" 12:.+((SYSTEM_STATE.+slice.+state.+changed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119-16 --locoid 4042 --swversion DE.1.0.9.0 --startMP 204:795 --initTime 2017-04-16T05:56:33 --startdatetime 2017-04-16T06:01:08 --delay 1 --endMP 204:233286 --enddatetime 2017-04-16T06:38:26 --enforcementcount 0 &gt;&gt;C:\Users\stu\Documents\GitHub\eaglep3-reporting\EC\2017-04-16-refined-times.txt</v>
      </c>
      <c r="AI3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{"issue":{"subject":"","project_id":79,"tracker_id":40,"status_id":1,"priority_id":2,"assigned_to_id":23,"start_date":"2017-04-16","description":"","custom_fields":[{"id":1,"name":"Subdivision","value":"EC"},{"id":4,"name":"Milepost","value":"23.3286"},{"id":17,"name":"Train ID","value":"119-16"},{"id":16,"name":"Locomotive ID","value":"4042"},{"id":130,"name":"Impact","value":""},{"id":150,"name":"Time of Event (Mountain Time)","value":"06:38:26"},{"id":151,"name":"Denver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4042 --day 2017-04-16</v>
      </c>
      <c r="AN3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703</v>
      </c>
      <c r="B33" s="7">
        <v>4041</v>
      </c>
      <c r="C33" s="21" t="s">
        <v>214</v>
      </c>
      <c r="D33" s="21" t="s">
        <v>510</v>
      </c>
      <c r="E33" s="13">
        <v>42841.284386574072</v>
      </c>
      <c r="F33" s="13">
        <v>42841.289050925923</v>
      </c>
      <c r="G33" s="7">
        <v>1</v>
      </c>
      <c r="H33" s="21" t="s">
        <v>198</v>
      </c>
      <c r="I33" s="13">
        <v>42841.316284722219</v>
      </c>
      <c r="J33" s="7">
        <v>0</v>
      </c>
      <c r="K33" s="97" t="str">
        <f t="shared" si="0"/>
        <v>4041/4042</v>
      </c>
      <c r="L33" s="21" t="str">
        <f>VLOOKUP(A33,'Trips&amp;Operators'!$C$1:$G$99999,5,FALSE)</f>
        <v>BADERTSCHER DIANE</v>
      </c>
      <c r="M33" s="6">
        <f t="shared" si="1"/>
        <v>2.7233796296059154E-2</v>
      </c>
      <c r="N33" s="7">
        <f t="shared" si="23"/>
        <v>39.216666666325182</v>
      </c>
      <c r="O33" s="7"/>
      <c r="P33" s="7"/>
      <c r="Q33" s="22"/>
      <c r="R33" s="22"/>
      <c r="S33" s="31">
        <f t="shared" si="24"/>
        <v>1</v>
      </c>
      <c r="T33" s="46" t="str">
        <f t="shared" si="4"/>
        <v>Southbound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-16T05:49:31-0600',mode:absolute,to:'2017-04-16T08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23.296099999999999</v>
      </c>
      <c r="Z33" s="62">
        <f t="shared" si="9"/>
        <v>1.5800000000000002E-2</v>
      </c>
      <c r="AA33" s="62">
        <f t="shared" si="10"/>
        <v>23.2803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0120-16</v>
      </c>
      <c r="AE33" s="85" t="str">
        <f t="shared" si="12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33" s="82" t="str">
        <f t="shared" si="13"/>
        <v>"C:\Program Files (x86)\AstroGrep\AstroGrep.exe" /e /r /s /spath="%USERPROFILE%\AppData\Local\Temp\OnboardLogs" /stypes="app*4041*20170416*"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120-16 --locoid 4041 --swversion DE.1.0.9.0 --startMP 204:232961 --initTime 2017-04-16T06:49:31 --startdatetime 2017-04-16T06:56:14 --delay 1 --endMP 204:158 --enddatetime 2017-04-16T07:35:27 --enforcementcount 0 &gt;&gt;C:\Users\stu\Documents\GitHub\eaglep3-reporting\EC\2017-04-16-refined-times.txt</v>
      </c>
      <c r="AI33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{"issue":{"subject":"","project_id":79,"tracker_id":40,"status_id":1,"priority_id":2,"assigned_to_id":23,"start_date":"2017-04-16","description":"","custom_fields":[{"id":1,"name":"Subdivision","value":"EC"},{"id":4,"name":"Milepost","value":"0.0158"},{"id":17,"name":"Train ID","value":"120-16"},{"id":16,"name":"Locomotive ID","value":"4041"},{"id":130,"name":"Impact","value":""},{"id":150,"name":"Time of Event (Mountain Time)","value":"07:35:27"},{"id":151,"name":"Denver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4041 --day 2017-04-16</v>
      </c>
      <c r="AN33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696</v>
      </c>
      <c r="B34" s="7">
        <v>4006</v>
      </c>
      <c r="C34" s="21" t="s">
        <v>214</v>
      </c>
      <c r="D34" s="21" t="s">
        <v>210</v>
      </c>
      <c r="E34" s="13">
        <v>42841.25540509259</v>
      </c>
      <c r="F34" s="13">
        <v>42841.260601851849</v>
      </c>
      <c r="G34" s="7">
        <v>1</v>
      </c>
      <c r="H34" s="21" t="s">
        <v>561</v>
      </c>
      <c r="I34" s="13">
        <v>42841.286631944444</v>
      </c>
      <c r="J34" s="7">
        <v>0</v>
      </c>
      <c r="K34" s="97" t="str">
        <f t="shared" si="0"/>
        <v>4005/4006</v>
      </c>
      <c r="L34" s="21" t="str">
        <f>VLOOKUP(A34,'Trips&amp;Operators'!$C$1:$G$99999,5,FALSE)</f>
        <v>DAVIS WENDY</v>
      </c>
      <c r="M34" s="6">
        <f t="shared" si="1"/>
        <v>2.6030092594737653E-2</v>
      </c>
      <c r="N34" s="7">
        <f t="shared" si="23"/>
        <v>37.48333333642222</v>
      </c>
      <c r="O34" s="7"/>
      <c r="P34" s="7"/>
      <c r="Q34" s="22"/>
      <c r="R34" s="22"/>
      <c r="S34" s="31">
        <f t="shared" si="24"/>
        <v>1</v>
      </c>
      <c r="T34" s="46" t="str">
        <f t="shared" si="4"/>
        <v>NorthBound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-16T05:07:47-0600',mode:absolute,to:'2017-04-16T07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4.5499999999999999E-2</v>
      </c>
      <c r="Z34" s="62">
        <f t="shared" si="9"/>
        <v>23.331499999999998</v>
      </c>
      <c r="AA34" s="62">
        <f t="shared" si="10"/>
        <v>23.285999999999998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0121-16</v>
      </c>
      <c r="AE34" s="85" t="str">
        <f t="shared" si="12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34" s="82" t="str">
        <f t="shared" si="13"/>
        <v>"C:\Program Files (x86)\AstroGrep\AstroGrep.exe" /e /r /s /spath="%USERPROFILE%\AppData\Local\Temp\OnboardLogs" /stypes="app*4006*20170416*" /stext=" 12:.+((SYSTEM_STATE.+slice.+state.+changed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121-16 --locoid 4006 --swversion DE.1.0.9.0 --startMP 204:455 --initTime 2017-04-16T06:07:47 --startdatetime 2017-04-16T06:15:16 --delay 1 --endMP 204:233315 --enddatetime 2017-04-16T06:52:45 --enforcementcount 0 &gt;&gt;C:\Users\stu\Documents\GitHub\eaglep3-reporting\EC\2017-04-16-refined-times.txt</v>
      </c>
      <c r="AI3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{"issue":{"subject":"","project_id":79,"tracker_id":40,"status_id":1,"priority_id":2,"assigned_to_id":23,"start_date":"2017-04-16","description":"","custom_fields":[{"id":1,"name":"Subdivision","value":"EC"},{"id":4,"name":"Milepost","value":"23.3315"},{"id":17,"name":"Train ID","value":"121-16"},{"id":16,"name":"Locomotive ID","value":"4006"},{"id":130,"name":"Impact","value":""},{"id":150,"name":"Time of Event (Mountain Time)","value":"06:52:45"},{"id":151,"name":"Denver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4006 --day 2017-04-16</v>
      </c>
      <c r="AN3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644</v>
      </c>
      <c r="B35" s="7">
        <v>4005</v>
      </c>
      <c r="C35" s="21" t="s">
        <v>214</v>
      </c>
      <c r="D35" s="21" t="s">
        <v>408</v>
      </c>
      <c r="E35" s="13">
        <v>42841.2965625</v>
      </c>
      <c r="F35" s="13">
        <v>42841.299456018518</v>
      </c>
      <c r="G35" s="7">
        <v>1</v>
      </c>
      <c r="H35" s="21" t="s">
        <v>562</v>
      </c>
      <c r="I35" s="13">
        <v>42841.327245370368</v>
      </c>
      <c r="J35" s="7">
        <v>0</v>
      </c>
      <c r="K35" s="97" t="str">
        <f t="shared" si="0"/>
        <v>4005/4006</v>
      </c>
      <c r="L35" s="21" t="str">
        <f>VLOOKUP(A35,'Trips&amp;Operators'!$C$1:$G$99999,5,FALSE)</f>
        <v>DAVIS WENDY</v>
      </c>
      <c r="M35" s="6">
        <f t="shared" si="1"/>
        <v>2.7789351850515231E-2</v>
      </c>
      <c r="N35" s="7">
        <f t="shared" si="23"/>
        <v>40.016666664741933</v>
      </c>
      <c r="O35" s="7"/>
      <c r="P35" s="7"/>
      <c r="Q35" s="22"/>
      <c r="R35" s="22"/>
      <c r="S35" s="31">
        <f t="shared" si="24"/>
        <v>1</v>
      </c>
      <c r="T35" s="46" t="str">
        <f t="shared" si="4"/>
        <v>Southbound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-16T06:07:03-0600',mode:absolute,to:'2017-04-16T08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23.299299999999999</v>
      </c>
      <c r="Z35" s="62">
        <f t="shared" si="9"/>
        <v>1.5599999999999999E-2</v>
      </c>
      <c r="AA35" s="62">
        <f t="shared" si="10"/>
        <v>23.2837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0122-16</v>
      </c>
      <c r="AE35" s="85" t="str">
        <f t="shared" si="12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35" s="82" t="str">
        <f t="shared" si="13"/>
        <v>"C:\Program Files (x86)\AstroGrep\AstroGrep.exe" /e /r /s /spath="%USERPROFILE%\AppData\Local\Temp\OnboardLogs" /stypes="app*4005*20170416*"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122-16 --locoid 4005 --swversion DE.1.0.9.0 --startMP 204:232993 --initTime 2017-04-16T07:07:03 --startdatetime 2017-04-16T07:11:13 --delay 1 --endMP 204:156 --enddatetime 2017-04-16T07:51:14 --enforcementcount 0 &gt;&gt;C:\Users\stu\Documents\GitHub\eaglep3-reporting\EC\2017-04-16-refined-times.txt</v>
      </c>
      <c r="AI3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ID","value":"122-16"},{"id":16,"name":"Locomotive ID","value":"4005"},{"id":130,"name":"Impact","value":""},{"id":150,"name":"Time of Event (Mountain Time)","value":"07:51:14"},{"id":151,"name":"Denver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4005 --day 2017-04-16</v>
      </c>
      <c r="AN3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698</v>
      </c>
      <c r="B36" s="7">
        <v>4026</v>
      </c>
      <c r="C36" s="21" t="s">
        <v>214</v>
      </c>
      <c r="D36" s="21" t="s">
        <v>410</v>
      </c>
      <c r="E36" s="13">
        <v>42841.266203703701</v>
      </c>
      <c r="F36" s="13">
        <v>42841.270972222221</v>
      </c>
      <c r="G36" s="7">
        <v>1</v>
      </c>
      <c r="H36" s="21" t="s">
        <v>400</v>
      </c>
      <c r="I36" s="13">
        <v>42841.295937499999</v>
      </c>
      <c r="J36" s="7">
        <v>0</v>
      </c>
      <c r="K36" s="97" t="str">
        <f t="shared" si="0"/>
        <v>4025/4026</v>
      </c>
      <c r="L36" s="21" t="str">
        <f>VLOOKUP(A36,'Trips&amp;Operators'!$C$1:$G$99999,5,FALSE)</f>
        <v>ROBINSON KADDIBA</v>
      </c>
      <c r="M36" s="6">
        <f t="shared" si="1"/>
        <v>2.4965277778392192E-2</v>
      </c>
      <c r="N36" s="7">
        <f t="shared" si="23"/>
        <v>35.950000000884756</v>
      </c>
      <c r="O36" s="7"/>
      <c r="P36" s="7"/>
      <c r="Q36" s="22"/>
      <c r="R36" s="22"/>
      <c r="S36" s="31">
        <f t="shared" si="24"/>
        <v>1</v>
      </c>
      <c r="T36" s="46" t="str">
        <f t="shared" si="4"/>
        <v>NorthBound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-16T05:23:20-0600',mode:absolute,to:'2017-04-16T08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4.4600000000000001E-2</v>
      </c>
      <c r="Z36" s="62">
        <f t="shared" si="9"/>
        <v>23.329499999999999</v>
      </c>
      <c r="AA36" s="62">
        <f t="shared" si="10"/>
        <v>23.2849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0123-16</v>
      </c>
      <c r="AE36" s="85" t="str">
        <f t="shared" si="12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36" s="82" t="str">
        <f t="shared" si="13"/>
        <v>"C:\Program Files (x86)\AstroGrep\AstroGrep.exe" /e /r /s /spath="%USERPROFILE%\AppData\Local\Temp\OnboardLogs" /stypes="app*4026*20170416*" /stext=" 13:.+((SYSTEM_STATE.+slice.+state.+changed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123-16 --locoid 4026 --swversion DE.1.0.9.0 --startMP 204:446 --initTime 2017-04-16T06:23:20 --startdatetime 2017-04-16T06:30:12 --delay 1 --endMP 204:233295 --enddatetime 2017-04-16T07:06:09 --enforcementcount 0 &gt;&gt;C:\Users\stu\Documents\GitHub\eaglep3-reporting\EC\2017-04-16-refined-times.txt</v>
      </c>
      <c r="AI3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{"issue":{"subject":"","project_id":79,"tracker_id":40,"status_id":1,"priority_id":2,"assigned_to_id":23,"start_date":"2017-04-16","description":"","custom_fields":[{"id":1,"name":"Subdivision","value":"EC"},{"id":4,"name":"Milepost","value":"23.3295"},{"id":17,"name":"Train ID","value":"123-16"},{"id":16,"name":"Locomotive ID","value":"4026"},{"id":130,"name":"Impact","value":""},{"id":150,"name":"Time of Event (Mountain Time)","value":"07:06:09"},{"id":151,"name":"Denver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4026 --day 2017-04-16</v>
      </c>
      <c r="AN3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645</v>
      </c>
      <c r="B37" s="7">
        <v>4025</v>
      </c>
      <c r="C37" s="21" t="s">
        <v>214</v>
      </c>
      <c r="D37" s="21" t="s">
        <v>526</v>
      </c>
      <c r="E37" s="13">
        <v>42841.303969907407</v>
      </c>
      <c r="F37" s="13">
        <v>42841.309895833336</v>
      </c>
      <c r="G37" s="7">
        <v>1</v>
      </c>
      <c r="H37" s="21" t="s">
        <v>197</v>
      </c>
      <c r="I37" s="13">
        <v>42841.33798611111</v>
      </c>
      <c r="J37" s="7">
        <v>0</v>
      </c>
      <c r="K37" s="97" t="str">
        <f t="shared" si="0"/>
        <v>4025/4026</v>
      </c>
      <c r="L37" s="21" t="str">
        <f>VLOOKUP(A37,'Trips&amp;Operators'!$C$1:$G$99999,5,FALSE)</f>
        <v>ROBINSON KADDIBA</v>
      </c>
      <c r="M37" s="6">
        <f t="shared" si="1"/>
        <v>2.8090277774026617E-2</v>
      </c>
      <c r="N37" s="7">
        <f t="shared" si="23"/>
        <v>40.449999994598329</v>
      </c>
      <c r="O37" s="7"/>
      <c r="P37" s="7"/>
      <c r="Q37" s="22"/>
      <c r="R37" s="22"/>
      <c r="S37" s="31">
        <f t="shared" si="24"/>
        <v>1</v>
      </c>
      <c r="T37" s="46" t="str">
        <f t="shared" si="4"/>
        <v>Southbound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-16T06:17:43-0600',mode:absolute,to:'2017-04-16T09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23.298200000000001</v>
      </c>
      <c r="Z37" s="62">
        <f t="shared" si="9"/>
        <v>1.52E-2</v>
      </c>
      <c r="AA37" s="62">
        <f t="shared" si="10"/>
        <v>23.283000000000001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0124-16</v>
      </c>
      <c r="AE37" s="85" t="str">
        <f t="shared" si="12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37" s="82" t="str">
        <f t="shared" si="13"/>
        <v>"C:\Program Files (x86)\AstroGrep\AstroGrep.exe" /e /r /s /spath="%USERPROFILE%\AppData\Local\Temp\OnboardLogs" /stypes="app*4025*20170416*"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124-16 --locoid 4025 --swversion DE.1.0.9.0 --startMP 204:232982 --initTime 2017-04-16T07:17:43 --startdatetime 2017-04-16T07:26:15 --delay 1 --endMP 204:152 --enddatetime 2017-04-16T08:06:42 --enforcementcount 0 &gt;&gt;C:\Users\stu\Documents\GitHub\eaglep3-reporting\EC\2017-04-16-refined-times.txt</v>
      </c>
      <c r="AI3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{"issue":{"subject":"","project_id":79,"tracker_id":40,"status_id":1,"priority_id":2,"assigned_to_id":23,"start_date":"2017-04-16","description":"","custom_fields":[{"id":1,"name":"Subdivision","value":"EC"},{"id":4,"name":"Milepost","value":"0.0152"},{"id":17,"name":"Train ID","value":"124-16"},{"id":16,"name":"Locomotive ID","value":"4025"},{"id":130,"name":"Impact","value":""},{"id":150,"name":"Time of Event (Mountain Time)","value":"08:06:42"},{"id":151,"name":"Denver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4025 --day 2017-04-16</v>
      </c>
      <c r="AN3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702</v>
      </c>
      <c r="B38" s="7">
        <v>4040</v>
      </c>
      <c r="C38" s="21" t="s">
        <v>214</v>
      </c>
      <c r="D38" s="21" t="s">
        <v>206</v>
      </c>
      <c r="E38" s="13">
        <v>42841.274861111109</v>
      </c>
      <c r="F38" s="13">
        <v>42841.281435185185</v>
      </c>
      <c r="G38" s="7">
        <v>1</v>
      </c>
      <c r="H38" s="21" t="s">
        <v>457</v>
      </c>
      <c r="I38" s="13">
        <v>42841.306180555555</v>
      </c>
      <c r="J38" s="7">
        <v>0</v>
      </c>
      <c r="K38" s="97" t="str">
        <f t="shared" si="0"/>
        <v>4039/4040</v>
      </c>
      <c r="L38" s="21" t="str">
        <f>VLOOKUP(A38,'Trips&amp;Operators'!$C$1:$G$99999,5,FALSE)</f>
        <v>GEBRETEKLE DAGNEW</v>
      </c>
      <c r="M38" s="6">
        <f t="shared" si="1"/>
        <v>2.47453703705105E-2</v>
      </c>
      <c r="N38" s="7">
        <f t="shared" si="23"/>
        <v>35.63333333353512</v>
      </c>
      <c r="O38" s="7"/>
      <c r="P38" s="7"/>
      <c r="Q38" s="22"/>
      <c r="R38" s="22"/>
      <c r="S38" s="31">
        <f t="shared" si="24"/>
        <v>1</v>
      </c>
      <c r="T38" s="46" t="str">
        <f t="shared" si="4"/>
        <v>NorthBound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-16T05:35:48-0600',mode:absolute,to:'2017-04-16T08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4.5999999999999999E-2</v>
      </c>
      <c r="Z38" s="62">
        <f t="shared" si="9"/>
        <v>23.3306</v>
      </c>
      <c r="AA38" s="62">
        <f t="shared" si="10"/>
        <v>23.284600000000001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0125-16</v>
      </c>
      <c r="AE38" s="85" t="str">
        <f t="shared" si="12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38" s="82" t="str">
        <f t="shared" si="13"/>
        <v>"C:\Program Files (x86)\AstroGrep\AstroGrep.exe" /e /r /s /spath="%USERPROFILE%\AppData\Local\Temp\OnboardLogs" /stypes="app*4040*20170416*" /stext=" 13:.+((SYSTEM_STATE.+slice.+state.+changed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125-16 --locoid 4040 --swversion DE.1.0.9.0 --startMP 204:460 --initTime 2017-04-16T06:35:48 --startdatetime 2017-04-16T06:45:16 --delay 1 --endMP 204:233306 --enddatetime 2017-04-16T07:20:54 --enforcementcount 0 &gt;&gt;C:\Users\stu\Documents\GitHub\eaglep3-reporting\EC\2017-04-16-refined-times.txt</v>
      </c>
      <c r="AI3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{"issue":{"subject":"","project_id":79,"tracker_id":40,"status_id":1,"priority_id":2,"assigned_to_id":23,"start_date":"2017-04-16","description":"","custom_fields":[{"id":1,"name":"Subdivision","value":"EC"},{"id":4,"name":"Milepost","value":"23.3306"},{"id":17,"name":"Train ID","value":"125-16"},{"id":16,"name":"Locomotive ID","value":"4040"},{"id":130,"name":"Impact","value":""},{"id":150,"name":"Time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4040 --day 2017-04-16</v>
      </c>
      <c r="AN3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710</v>
      </c>
      <c r="B39" s="7">
        <v>4039</v>
      </c>
      <c r="C39" s="21" t="s">
        <v>214</v>
      </c>
      <c r="D39" s="21" t="s">
        <v>530</v>
      </c>
      <c r="E39" s="13">
        <v>42841.315706018519</v>
      </c>
      <c r="F39" s="13">
        <v>42841.320324074077</v>
      </c>
      <c r="G39" s="7">
        <v>1</v>
      </c>
      <c r="H39" s="21" t="s">
        <v>415</v>
      </c>
      <c r="I39" s="13">
        <v>42841.34611111111</v>
      </c>
      <c r="J39" s="7">
        <v>0</v>
      </c>
      <c r="K39" s="97" t="str">
        <f t="shared" si="0"/>
        <v>4039/4040</v>
      </c>
      <c r="L39" s="21" t="str">
        <f>VLOOKUP(A39,'Trips&amp;Operators'!$C$1:$G$99999,5,FALSE)</f>
        <v>GEBRETEKLE DAGNEW</v>
      </c>
      <c r="M39" s="6">
        <f t="shared" si="1"/>
        <v>2.5787037033296656E-2</v>
      </c>
      <c r="N39" s="7">
        <f t="shared" si="23"/>
        <v>37.133333327947184</v>
      </c>
      <c r="O39" s="7"/>
      <c r="P39" s="7"/>
      <c r="Q39" s="22"/>
      <c r="R39" s="22"/>
      <c r="S39" s="31">
        <f t="shared" si="24"/>
        <v>1</v>
      </c>
      <c r="T39" s="46" t="str">
        <f t="shared" si="4"/>
        <v>Southbound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-16T06:34:37-0600',mode:absolute,to:'2017-04-16T09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23.298300000000001</v>
      </c>
      <c r="Z39" s="62">
        <f t="shared" si="9"/>
        <v>1.4500000000000001E-2</v>
      </c>
      <c r="AA39" s="62">
        <f t="shared" si="10"/>
        <v>23.283799999999999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0126-16</v>
      </c>
      <c r="AE39" s="85" t="str">
        <f t="shared" si="12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39" s="82" t="str">
        <f t="shared" si="13"/>
        <v>"C:\Program Files (x86)\AstroGrep\AstroGrep.exe" /e /r /s /spath="%USERPROFILE%\AppData\Local\Temp\OnboardLogs" /stypes="app*4039*20170416*"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126-16 --locoid 4039 --swversion DE.1.0.9.0 --startMP 204:232983 --initTime 2017-04-16T07:34:37 --startdatetime 2017-04-16T07:41:16 --delay 1 --endMP 204:145 --enddatetime 2017-04-16T08:18:24 --enforcementcount 0 &gt;&gt;C:\Users\stu\Documents\GitHub\eaglep3-reporting\EC\2017-04-16-refined-times.txt</v>
      </c>
      <c r="AI3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{"issue":{"subject":"","project_id":79,"tracker_id":40,"status_id":1,"priority_id":2,"assigned_to_id":23,"start_date":"2017-04-16","description":"","custom_fields":[{"id":1,"name":"Subdivision","value":"EC"},{"id":4,"name":"Milepost","value":"0.0145"},{"id":17,"name":"Train ID","value":"126-16"},{"id":16,"name":"Locomotive ID","value":"4039"},{"id":130,"name":"Impact","value":""},{"id":150,"name":"Time of Event (Mountain Time)","value":"08:18:24"},{"id":151,"name":"Denver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4039 --day 2017-04-16</v>
      </c>
      <c r="AN3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704</v>
      </c>
      <c r="B40" s="7">
        <v>4016</v>
      </c>
      <c r="C40" s="21" t="s">
        <v>214</v>
      </c>
      <c r="D40" s="21" t="s">
        <v>210</v>
      </c>
      <c r="E40" s="13">
        <v>42841.286666666667</v>
      </c>
      <c r="F40" s="13">
        <v>42841.292083333334</v>
      </c>
      <c r="G40" s="7">
        <v>2</v>
      </c>
      <c r="H40" s="21" t="s">
        <v>473</v>
      </c>
      <c r="I40" s="13">
        <v>42841.317870370367</v>
      </c>
      <c r="J40" s="7">
        <v>0</v>
      </c>
      <c r="K40" s="97" t="str">
        <f t="shared" si="0"/>
        <v>4015/4016</v>
      </c>
      <c r="L40" s="21" t="str">
        <f>VLOOKUP(A40,'Trips&amp;Operators'!$C$1:$G$99999,5,FALSE)</f>
        <v>PELLITIER GEORGE</v>
      </c>
      <c r="M40" s="6">
        <f t="shared" si="1"/>
        <v>2.5787037033296656E-2</v>
      </c>
      <c r="N40" s="7">
        <f t="shared" si="23"/>
        <v>37.133333327947184</v>
      </c>
      <c r="O40" s="7"/>
      <c r="P40" s="7"/>
      <c r="Q40" s="22"/>
      <c r="R40" s="22"/>
      <c r="S40" s="31">
        <f t="shared" si="24"/>
        <v>1</v>
      </c>
      <c r="T40" s="46" t="str">
        <f t="shared" si="4"/>
        <v>NorthBound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-16T05:52:48-0600',mode:absolute,to:'2017-04-16T08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4.5499999999999999E-2</v>
      </c>
      <c r="Z40" s="62">
        <f t="shared" si="9"/>
        <v>23.3293</v>
      </c>
      <c r="AA40" s="62">
        <f t="shared" si="10"/>
        <v>23.283799999999999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0127-16</v>
      </c>
      <c r="AE40" s="85" t="str">
        <f t="shared" si="12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40" s="82" t="str">
        <f t="shared" si="13"/>
        <v>"C:\Program Files (x86)\AstroGrep\AstroGrep.exe" /e /r /s /spath="%USERPROFILE%\AppData\Local\Temp\OnboardLogs" /stypes="app*4016*20170416*"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127-16 --locoid 4016 --swversion DE.1.0.9.0 --startMP 204:455 --initTime 2017-04-16T06:52:48 --startdatetime 2017-04-16T07:00:36 --delay 2 --endMP 204:233293 --enddatetime 2017-04-16T07:37:44 --enforcementcount 0 &gt;&gt;C:\Users\stu\Documents\GitHub\eaglep3-reporting\EC\2017-04-16-refined-times.txt</v>
      </c>
      <c r="AI40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{"issue":{"subject":"","project_id":79,"tracker_id":40,"status_id":1,"priority_id":2,"assigned_to_id":23,"start_date":"2017-04-16","description":"","custom_fields":[{"id":1,"name":"Subdivision","value":"EC"},{"id":4,"name":"Milepost","value":"23.3293"},{"id":17,"name":"Train ID","value":"127-16"},{"id":16,"name":"Locomotive ID","value":"4016"},{"id":130,"name":"Impact","value":""},{"id":150,"name":"Time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4016 --day 2017-04-16</v>
      </c>
      <c r="AN40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713</v>
      </c>
      <c r="B41" s="7">
        <v>4015</v>
      </c>
      <c r="C41" s="21" t="s">
        <v>214</v>
      </c>
      <c r="D41" s="21" t="s">
        <v>878</v>
      </c>
      <c r="E41" s="13">
        <v>42841.319872685184</v>
      </c>
      <c r="F41" s="13">
        <v>42841.330983796295</v>
      </c>
      <c r="G41" s="7">
        <v>1</v>
      </c>
      <c r="H41" s="21" t="s">
        <v>203</v>
      </c>
      <c r="I41" s="13">
        <v>42841.358483796299</v>
      </c>
      <c r="J41" s="7">
        <v>0</v>
      </c>
      <c r="K41" s="97" t="str">
        <f t="shared" si="0"/>
        <v>4015/4016</v>
      </c>
      <c r="L41" s="21" t="str">
        <f>VLOOKUP(A41,'Trips&amp;Operators'!$C$1:$G$99999,5,FALSE)</f>
        <v>PELLITIER GEORGE</v>
      </c>
      <c r="M41" s="6">
        <f t="shared" si="1"/>
        <v>2.7500000003783498E-2</v>
      </c>
      <c r="N41" s="7">
        <f t="shared" si="23"/>
        <v>39.600000005448237</v>
      </c>
      <c r="O41" s="7"/>
      <c r="P41" s="7"/>
      <c r="Q41" s="22"/>
      <c r="R41" s="22"/>
      <c r="S41" s="31">
        <f t="shared" si="24"/>
        <v>1</v>
      </c>
      <c r="T41" s="46" t="str">
        <f t="shared" si="4"/>
        <v>Southbound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-16T06:40:37-0600',mode:absolute,to:'2017-04-16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23.298400000000001</v>
      </c>
      <c r="Z41" s="62">
        <f t="shared" si="9"/>
        <v>1.54E-2</v>
      </c>
      <c r="AA41" s="62">
        <f t="shared" si="10"/>
        <v>23.283000000000001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0128-16</v>
      </c>
      <c r="AE41" s="85" t="str">
        <f t="shared" si="12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41" s="82" t="str">
        <f t="shared" si="13"/>
        <v>"C:\Program Files (x86)\AstroGrep\AstroGrep.exe" /e /r /s /spath="%USERPROFILE%\AppData\Local\Temp\OnboardLogs" /stypes="app*4015*20170416*"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128-16 --locoid 4015 --swversion DE.1.0.9.0 --startMP 204:232984 --initTime 2017-04-16T07:40:37 --startdatetime 2017-04-16T07:56:37 --delay 1 --endMP 204:154 --enddatetime 2017-04-16T08:36:13 --enforcementcount 0 &gt;&gt;C:\Users\stu\Documents\GitHub\eaglep3-reporting\EC\2017-04-16-refined-times.txt</v>
      </c>
      <c r="AI4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{"issue":{"subject":"","project_id":79,"tracker_id":40,"status_id":1,"priority_id":2,"assigned_to_id":23,"start_date":"2017-04-16","description":"","custom_fields":[{"id":1,"name":"Subdivision","value":"EC"},{"id":4,"name":"Milepost","value":"0.0154"},{"id":17,"name":"Train ID","value":"128-16"},{"id":16,"name":"Locomotive ID","value":"4015"},{"id":130,"name":"Impact","value":""},{"id":150,"name":"Time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4015 --day 2017-04-16</v>
      </c>
      <c r="AN4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708</v>
      </c>
      <c r="B42" s="7">
        <v>4028</v>
      </c>
      <c r="C42" s="21" t="s">
        <v>214</v>
      </c>
      <c r="D42" s="21" t="s">
        <v>599</v>
      </c>
      <c r="E42" s="13">
        <v>42841.29892361111</v>
      </c>
      <c r="F42" s="13">
        <v>42841.302256944444</v>
      </c>
      <c r="G42" s="7">
        <v>1</v>
      </c>
      <c r="H42" s="21" t="s">
        <v>879</v>
      </c>
      <c r="I42" s="13">
        <v>42841.3278125</v>
      </c>
      <c r="J42" s="7">
        <v>0</v>
      </c>
      <c r="K42" s="97" t="str">
        <f t="shared" si="0"/>
        <v>4027/4028</v>
      </c>
      <c r="L42" s="21" t="str">
        <f>VLOOKUP(A42,'Trips&amp;Operators'!$C$1:$G$99999,5,FALSE)</f>
        <v>SHOOK JOHN</v>
      </c>
      <c r="M42" s="6">
        <f t="shared" si="1"/>
        <v>2.5555555555911269E-2</v>
      </c>
      <c r="N42" s="7">
        <f t="shared" si="23"/>
        <v>36.800000000512227</v>
      </c>
      <c r="O42" s="7"/>
      <c r="P42" s="7"/>
      <c r="Q42" s="22"/>
      <c r="R42" s="22"/>
      <c r="S42" s="31">
        <f t="shared" si="24"/>
        <v>1</v>
      </c>
      <c r="T42" s="46" t="str">
        <f t="shared" si="4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-16T06:10:27-0600',mode:absolute,to:'2017-04-16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4.8399999999999999E-2</v>
      </c>
      <c r="Z42" s="62">
        <f t="shared" si="9"/>
        <v>23.3323</v>
      </c>
      <c r="AA42" s="62">
        <f t="shared" si="10"/>
        <v>23.283899999999999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0129-16</v>
      </c>
      <c r="AE42" s="85" t="str">
        <f t="shared" si="12"/>
        <v>aws s3 cp s3://rtdc.mdm.uploadarchive.raw/RTDC4028/ "%USERPROFILE%\AppData\Local\Temp\OnboardLogs"\RTDC4028\2017-04-16 --exclude "*" --recursive --include "*20170416*" &amp; "%USERPROFILE%\Documents\GitHub\mrs-test-scripts\Headless Mode &amp; Sideloading\WalkAndUnGZ.bat" "%USERPROFILE%\AppData\Local\Temp\OnboardLogs"\RTDC4028\2017-04-16 &amp; 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</v>
      </c>
      <c r="AF42" s="82" t="str">
        <f t="shared" si="13"/>
        <v>"C:\Program Files (x86)\AstroGrep\AstroGrep.exe" /e /r /s /spath="%USERPROFILE%\AppData\Local\Temp\OnboardLogs" /stypes="app*4028*20170416*"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129-16 --locoid 4028 --swversion DE.1.0.9.0 --startMP 204:484 --initTime 2017-04-16T07:10:27 --startdatetime 2017-04-16T07:15:15 --delay 1 --endMP 204:233323 --enddatetime 2017-04-16T07:52:03 --enforcementcount 0 &gt;&gt;C:\Users\stu\Documents\GitHub\eaglep3-reporting\EC\2017-04-16-refined-times.txt</v>
      </c>
      <c r="AI4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{"issue":{"subject":"","project_id":79,"tracker_id":40,"status_id":1,"priority_id":2,"assigned_to_id":23,"start_date":"2017-04-16","description":"","custom_fields":[{"id":1,"name":"Subdivision","value":"EC"},{"id":4,"name":"Milepost","value":"23.3323"},{"id":17,"name":"Train ID","value":"129-16"},{"id":16,"name":"Locomotive ID","value":"4028"},{"id":130,"name":"Impact","value":""},{"id":150,"name":"Time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4028 --day 2017-04-16</v>
      </c>
      <c r="AN4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715</v>
      </c>
      <c r="B43" s="7">
        <v>4027</v>
      </c>
      <c r="C43" s="21" t="s">
        <v>214</v>
      </c>
      <c r="D43" s="21" t="s">
        <v>880</v>
      </c>
      <c r="E43" s="13">
        <v>42841.329664351855</v>
      </c>
      <c r="F43" s="13">
        <v>42841.341157407405</v>
      </c>
      <c r="G43" s="7">
        <v>1</v>
      </c>
      <c r="H43" s="21" t="s">
        <v>197</v>
      </c>
      <c r="I43" s="13">
        <v>42841.368587962963</v>
      </c>
      <c r="J43" s="7">
        <v>0</v>
      </c>
      <c r="K43" s="97" t="str">
        <f t="shared" si="0"/>
        <v>4027/4028</v>
      </c>
      <c r="L43" s="21" t="str">
        <f>VLOOKUP(A43,'Trips&amp;Operators'!$C$1:$G$99999,5,FALSE)</f>
        <v>SHOOK JOHN</v>
      </c>
      <c r="M43" s="6">
        <f t="shared" si="1"/>
        <v>2.7430555557657499E-2</v>
      </c>
      <c r="N43" s="7">
        <f t="shared" si="23"/>
        <v>39.500000003026798</v>
      </c>
      <c r="O43" s="7"/>
      <c r="P43" s="7"/>
      <c r="Q43" s="22"/>
      <c r="R43" s="22"/>
      <c r="S43" s="31">
        <f t="shared" si="24"/>
        <v>1</v>
      </c>
      <c r="T43" s="46" t="str">
        <f t="shared" si="4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-16T06:54:43-0600',mode:absolute,to:'2017-04-16T09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23.301300000000001</v>
      </c>
      <c r="Z43" s="62">
        <f t="shared" si="9"/>
        <v>1.52E-2</v>
      </c>
      <c r="AA43" s="62">
        <f t="shared" si="10"/>
        <v>23.286100000000001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0130-16</v>
      </c>
      <c r="AE43" s="85" t="str">
        <f t="shared" si="12"/>
        <v>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 &amp; 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</v>
      </c>
      <c r="AF43" s="82" t="str">
        <f t="shared" si="13"/>
        <v>"C:\Program Files (x86)\AstroGrep\AstroGrep.exe" /e /r /s /spath="%USERPROFILE%\AppData\Local\Temp\OnboardLogs" /stypes="app*4027*20170416*"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130-16 --locoid 4027 --swversion DE.1.0.9.0 --startMP 204:233013 --initTime 2017-04-16T07:54:43 --startdatetime 2017-04-16T08:11:16 --delay 1 --endMP 204:152 --enddatetime 2017-04-16T08:50:46 --enforcementcount 0 &gt;&gt;C:\Users\stu\Documents\GitHub\eaglep3-reporting\EC\2017-04-16-refined-times.txt</v>
      </c>
      <c r="AI43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{"issue":{"subject":"","project_id":79,"tracker_id":40,"status_id":1,"priority_id":2,"assigned_to_id":23,"start_date":"2017-04-16","description":"","custom_fields":[{"id":1,"name":"Subdivision","value":"EC"},{"id":4,"name":"Milepost","value":"0.0152"},{"id":17,"name":"Train ID","value":"130-16"},{"id":16,"name":"Locomotive ID","value":"4027"},{"id":130,"name":"Impact","value":""},{"id":150,"name":"Time of Event (Mountain Time)","value":"08:50:46"},{"id":151,"name":"Denver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4027 --day 2017-04-16</v>
      </c>
      <c r="AN43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709</v>
      </c>
      <c r="B44" s="7">
        <v>4044</v>
      </c>
      <c r="C44" s="21" t="s">
        <v>214</v>
      </c>
      <c r="D44" s="21" t="s">
        <v>419</v>
      </c>
      <c r="E44" s="13">
        <v>42841.309224537035</v>
      </c>
      <c r="F44" s="13">
        <v>42841.312685185185</v>
      </c>
      <c r="G44" s="7">
        <v>1</v>
      </c>
      <c r="H44" s="21" t="s">
        <v>877</v>
      </c>
      <c r="I44" s="13">
        <v>42841.337569444448</v>
      </c>
      <c r="J44" s="7">
        <v>0</v>
      </c>
      <c r="K44" s="97" t="str">
        <f t="shared" si="0"/>
        <v>4043/4044</v>
      </c>
      <c r="L44" s="21" t="str">
        <f>VLOOKUP(A44,'Trips&amp;Operators'!$C$1:$G$99999,5,FALSE)</f>
        <v>ARVIDSON DANIEL</v>
      </c>
      <c r="M44" s="6">
        <f t="shared" si="1"/>
        <v>2.4884259262762498E-2</v>
      </c>
      <c r="N44" s="7">
        <f t="shared" si="23"/>
        <v>35.833333338377997</v>
      </c>
      <c r="O44" s="7"/>
      <c r="P44" s="7"/>
      <c r="Q44" s="22"/>
      <c r="R44" s="22"/>
      <c r="S44" s="31">
        <f t="shared" si="24"/>
        <v>1</v>
      </c>
      <c r="T44" s="46" t="str">
        <f t="shared" si="4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-16T06:25:17-0600',mode:absolute,to:'2017-04-16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4.58E-2</v>
      </c>
      <c r="Z44" s="62">
        <f t="shared" si="9"/>
        <v>23.328600000000002</v>
      </c>
      <c r="AA44" s="62">
        <f t="shared" si="10"/>
        <v>23.282800000000002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0131-16</v>
      </c>
      <c r="AE44" s="85" t="str">
        <f t="shared" si="12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44" s="82" t="str">
        <f t="shared" si="13"/>
        <v>"C:\Program Files (x86)\AstroGrep\AstroGrep.exe" /e /r /s /spath="%USERPROFILE%\AppData\Local\Temp\OnboardLogs" /stypes="app*4044*20170416*"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131-16 --locoid 4044 --swversion DE.1.0.9.0 --startMP 204:458 --initTime 2017-04-16T07:25:17 --startdatetime 2017-04-16T07:30:16 --delay 1 --endMP 204:233286 --enddatetime 2017-04-16T08:06:06 --enforcementcount 0 &gt;&gt;C:\Users\stu\Documents\GitHub\eaglep3-reporting\EC\2017-04-16-refined-times.txt</v>
      </c>
      <c r="AI4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{"issue":{"subject":"","project_id":79,"tracker_id":40,"status_id":1,"priority_id":2,"assigned_to_id":23,"start_date":"2017-04-16","description":"","custom_fields":[{"id":1,"name":"Subdivision","value":"EC"},{"id":4,"name":"Milepost","value":"23.3286"},{"id":17,"name":"Train ID","value":"131-16"},{"id":16,"name":"Locomotive ID","value":"4044"},{"id":130,"name":"Impact","value":""},{"id":150,"name":"Time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4044 --day 2017-04-16</v>
      </c>
      <c r="AN4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719</v>
      </c>
      <c r="B45" s="7">
        <v>4043</v>
      </c>
      <c r="C45" s="21" t="s">
        <v>214</v>
      </c>
      <c r="D45" s="21" t="s">
        <v>492</v>
      </c>
      <c r="E45" s="13">
        <v>42841.347777777781</v>
      </c>
      <c r="F45" s="13">
        <v>42841.351620370369</v>
      </c>
      <c r="G45" s="7">
        <v>1</v>
      </c>
      <c r="H45" s="21" t="s">
        <v>401</v>
      </c>
      <c r="I45" s="13">
        <v>42841.379814814813</v>
      </c>
      <c r="J45" s="7">
        <v>0</v>
      </c>
      <c r="K45" s="97" t="str">
        <f t="shared" si="0"/>
        <v>4043/4044</v>
      </c>
      <c r="L45" s="21" t="str">
        <f>VLOOKUP(A45,'Trips&amp;Operators'!$C$1:$G$99999,5,FALSE)</f>
        <v>ARVIDSON DANIEL</v>
      </c>
      <c r="M45" s="6">
        <f t="shared" si="1"/>
        <v>2.8194444443215616E-2</v>
      </c>
      <c r="N45" s="7">
        <f t="shared" si="23"/>
        <v>40.599999998230487</v>
      </c>
      <c r="O45" s="7"/>
      <c r="P45" s="7"/>
      <c r="Q45" s="22"/>
      <c r="R45" s="22"/>
      <c r="S45" s="31">
        <f t="shared" si="24"/>
        <v>1</v>
      </c>
      <c r="T45" s="46" t="str">
        <f t="shared" si="4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-16T07:20:48-0600',mode:absolute,to:'2017-04-16T10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5" s="183" t="str">
        <f t="shared" si="6"/>
        <v>N</v>
      </c>
      <c r="X45" s="183">
        <f t="shared" si="7"/>
        <v>1</v>
      </c>
      <c r="Y45" s="62">
        <f t="shared" si="8"/>
        <v>23.299800000000001</v>
      </c>
      <c r="Z45" s="62">
        <f t="shared" ref="Z45:Z76" si="25">RIGHT(H45,LEN(H45)-4)/10000</f>
        <v>1.38E-2</v>
      </c>
      <c r="AA45" s="62">
        <f t="shared" si="10"/>
        <v>23.286000000000001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0132-16</v>
      </c>
      <c r="AE45" s="85" t="str">
        <f t="shared" si="12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45" s="82" t="str">
        <f t="shared" si="13"/>
        <v>"C:\Program Files (x86)\AstroGrep\AstroGrep.exe" /e /r /s /spath="%USERPROFILE%\AppData\Local\Temp\OnboardLogs" /stypes="app*4043*20170416*"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132-16 --locoid 4043 --swversion DE.1.0.9.0 --startMP 204:232998 --initTime 2017-04-16T08:20:48 --startdatetime 2017-04-16T08:26:20 --delay 1 --endMP 204:138 --enddatetime 2017-04-16T09:06:56 --enforcementcount 0 &gt;&gt;C:\Users\stu\Documents\GitHub\eaglep3-reporting\EC\2017-04-16-refined-times.txt</v>
      </c>
      <c r="AI4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{"issue":{"subject":"","project_id":79,"tracker_id":40,"status_id":1,"priority_id":2,"assigned_to_id":23,"start_date":"2017-04-16","description":"","custom_fields":[{"id":1,"name":"Subdivision","value":"EC"},{"id":4,"name":"Milepost","value":"0.0138"},{"id":17,"name":"Train ID","value":"132-16"},{"id":16,"name":"Locomotive ID","value":"4043"},{"id":130,"name":"Impact","value":""},{"id":150,"name":"Time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4043 --day 2017-04-16</v>
      </c>
      <c r="AN4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712</v>
      </c>
      <c r="B46" s="7">
        <v>4042</v>
      </c>
      <c r="C46" s="21" t="s">
        <v>214</v>
      </c>
      <c r="D46" s="21" t="s">
        <v>458</v>
      </c>
      <c r="E46" s="13">
        <v>42841.317928240744</v>
      </c>
      <c r="F46" s="13">
        <v>42841.323148148149</v>
      </c>
      <c r="G46" s="7">
        <v>2</v>
      </c>
      <c r="H46" s="21" t="s">
        <v>527</v>
      </c>
      <c r="I46" s="13">
        <v>42841.348356481481</v>
      </c>
      <c r="J46" s="7">
        <v>0</v>
      </c>
      <c r="K46" s="97" t="str">
        <f t="shared" si="0"/>
        <v>4041/4042</v>
      </c>
      <c r="L46" s="21" t="str">
        <f>VLOOKUP(A46,'Trips&amp;Operators'!$C$1:$G$99999,5,FALSE)</f>
        <v>MOSES BRADLEY</v>
      </c>
      <c r="M46" s="6">
        <f t="shared" si="1"/>
        <v>2.5208333332557231E-2</v>
      </c>
      <c r="N46" s="7">
        <f t="shared" si="23"/>
        <v>36.299999998882413</v>
      </c>
      <c r="O46" s="7"/>
      <c r="P46" s="7"/>
      <c r="Q46" s="22"/>
      <c r="R46" s="22"/>
      <c r="S46" s="31">
        <f t="shared" si="24"/>
        <v>1</v>
      </c>
      <c r="T46" s="46" t="str">
        <f t="shared" si="4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-16T06:37:49-0600',mode:absolute,to:'2017-04-16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4.6699999999999998E-2</v>
      </c>
      <c r="Z46" s="62">
        <f t="shared" si="25"/>
        <v>23.329799999999999</v>
      </c>
      <c r="AA46" s="62">
        <f t="shared" si="10"/>
        <v>23.283099999999997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0133-16</v>
      </c>
      <c r="AE46" s="85" t="str">
        <f t="shared" si="12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46" s="82" t="str">
        <f t="shared" si="13"/>
        <v>"C:\Program Files (x86)\AstroGrep\AstroGrep.exe" /e /r /s /spath="%USERPROFILE%\AppData\Local\Temp\OnboardLogs" /stypes="app*4042*20170416*"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133-16 --locoid 4042 --swversion DE.1.0.9.0 --startMP 204:467 --initTime 2017-04-16T07:37:49 --startdatetime 2017-04-16T07:45:20 --delay 2 --endMP 204:233298 --enddatetime 2017-04-16T08:21:38 --enforcementcount 0 &gt;&gt;C:\Users\stu\Documents\GitHub\eaglep3-reporting\EC\2017-04-16-refined-times.txt</v>
      </c>
      <c r="AI4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{"issue":{"subject":"","project_id":79,"tracker_id":40,"status_id":1,"priority_id":2,"assigned_to_id":23,"start_date":"2017-04-16","description":"","custom_fields":[{"id":1,"name":"Subdivision","value":"EC"},{"id":4,"name":"Milepost","value":"23.3298"},{"id":17,"name":"Train ID","value":"133-16"},{"id":16,"name":"Locomotive ID","value":"4042"},{"id":130,"name":"Impact","value":""},{"id":150,"name":"Time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4042 --day 2017-04-16</v>
      </c>
      <c r="AN4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721</v>
      </c>
      <c r="B47" s="7">
        <v>4041</v>
      </c>
      <c r="C47" s="21" t="s">
        <v>214</v>
      </c>
      <c r="D47" s="21" t="s">
        <v>881</v>
      </c>
      <c r="E47" s="13">
        <v>42841.359247685185</v>
      </c>
      <c r="F47" s="13">
        <v>42841.362025462964</v>
      </c>
      <c r="G47" s="7">
        <v>1</v>
      </c>
      <c r="H47" s="21" t="s">
        <v>211</v>
      </c>
      <c r="I47" s="13">
        <v>42841.389108796298</v>
      </c>
      <c r="J47" s="7">
        <v>0</v>
      </c>
      <c r="K47" s="97" t="str">
        <f t="shared" si="0"/>
        <v>4041/4042</v>
      </c>
      <c r="L47" s="21" t="str">
        <f>VLOOKUP(A47,'Trips&amp;Operators'!$C$1:$G$99999,5,FALSE)</f>
        <v>MOSES BRADLEY</v>
      </c>
      <c r="M47" s="6">
        <f t="shared" si="1"/>
        <v>2.7083333334303461E-2</v>
      </c>
      <c r="N47" s="7">
        <f t="shared" si="23"/>
        <v>39.000000001396984</v>
      </c>
      <c r="O47" s="7"/>
      <c r="P47" s="7"/>
      <c r="Q47" s="22"/>
      <c r="R47" s="22"/>
      <c r="S47" s="31">
        <f t="shared" si="24"/>
        <v>1</v>
      </c>
      <c r="T47" s="46" t="str">
        <f t="shared" si="4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-16T07:37:19-0600',mode:absolute,to:'2017-04-16T10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23.297000000000001</v>
      </c>
      <c r="Z47" s="62">
        <f t="shared" si="25"/>
        <v>1.47E-2</v>
      </c>
      <c r="AA47" s="62">
        <f t="shared" si="10"/>
        <v>23.282299999999999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0134-16</v>
      </c>
      <c r="AE47" s="85" t="str">
        <f t="shared" si="12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47" s="82" t="str">
        <f t="shared" si="13"/>
        <v>"C:\Program Files (x86)\AstroGrep\AstroGrep.exe" /e /r /s /spath="%USERPROFILE%\AppData\Local\Temp\OnboardLogs" /stypes="app*4041*20170416*"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134-16 --locoid 4041 --swversion DE.1.0.9.0 --startMP 204:232970 --initTime 2017-04-16T08:37:19 --startdatetime 2017-04-16T08:41:19 --delay 1 --endMP 204:147 --enddatetime 2017-04-16T09:20:19 --enforcementcount 0 &gt;&gt;C:\Users\stu\Documents\GitHub\eaglep3-reporting\EC\2017-04-16-refined-times.txt</v>
      </c>
      <c r="AI4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{"issue":{"subject":"","project_id":79,"tracker_id":40,"status_id":1,"priority_id":2,"assigned_to_id":23,"start_date":"2017-04-16","description":"","custom_fields":[{"id":1,"name":"Subdivision","value":"EC"},{"id":4,"name":"Milepost","value":"0.0147"},{"id":17,"name":"Train ID","value":"134-16"},{"id":16,"name":"Locomotive ID","value":"4041"},{"id":130,"name":"Impact","value":""},{"id":150,"name":"Time of Event (Mountain Time)","value":"09:20:19"},{"id":151,"name":"Denver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4041 --day 2017-04-16</v>
      </c>
      <c r="AN4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714</v>
      </c>
      <c r="B48" s="7">
        <v>4006</v>
      </c>
      <c r="C48" s="21" t="s">
        <v>214</v>
      </c>
      <c r="D48" s="21" t="s">
        <v>560</v>
      </c>
      <c r="E48" s="13">
        <v>42841.329108796293</v>
      </c>
      <c r="F48" s="13">
        <v>42841.333657407406</v>
      </c>
      <c r="G48" s="7">
        <v>1</v>
      </c>
      <c r="H48" s="21" t="s">
        <v>505</v>
      </c>
      <c r="I48" s="13">
        <v>42841.359166666669</v>
      </c>
      <c r="J48" s="7">
        <v>0</v>
      </c>
      <c r="K48" s="97" t="str">
        <f t="shared" si="0"/>
        <v>4005/4006</v>
      </c>
      <c r="L48" s="21" t="str">
        <f>VLOOKUP(A48,'Trips&amp;Operators'!$C$1:$G$99999,5,FALSE)</f>
        <v>DAVIS WENDY</v>
      </c>
      <c r="M48" s="6">
        <f t="shared" si="1"/>
        <v>2.5509259263344575E-2</v>
      </c>
      <c r="N48" s="7">
        <f t="shared" si="23"/>
        <v>36.733333339216188</v>
      </c>
      <c r="O48" s="7"/>
      <c r="P48" s="7"/>
      <c r="Q48" s="22"/>
      <c r="R48" s="22"/>
      <c r="S48" s="31">
        <f t="shared" si="24"/>
        <v>1</v>
      </c>
      <c r="T48" s="46" t="str">
        <f t="shared" si="4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-16T06:53:55-0600',mode:absolute,to:'2017-04-16T09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4.6600000000000003E-2</v>
      </c>
      <c r="Z48" s="62">
        <f t="shared" si="25"/>
        <v>23.330100000000002</v>
      </c>
      <c r="AA48" s="62">
        <f t="shared" si="10"/>
        <v>23.2835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0135-16</v>
      </c>
      <c r="AE48" s="85" t="str">
        <f t="shared" si="12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48" s="82" t="str">
        <f t="shared" si="13"/>
        <v>"C:\Program Files (x86)\AstroGrep\AstroGrep.exe" /e /r /s /spath="%USERPROFILE%\AppData\Local\Temp\OnboardLogs" /stypes="app*4006*20170416*"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135-16 --locoid 4006 --swversion DE.1.0.9.0 --startMP 204:466 --initTime 2017-04-16T07:53:55 --startdatetime 2017-04-16T08:00:28 --delay 1 --endMP 204:233301 --enddatetime 2017-04-16T08:37:12 --enforcementcount 0 &gt;&gt;C:\Users\stu\Documents\GitHub\eaglep3-reporting\EC\2017-04-16-refined-times.txt</v>
      </c>
      <c r="AI4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{"issue":{"subject":"","project_id":79,"tracker_id":40,"status_id":1,"priority_id":2,"assigned_to_id":23,"start_date":"2017-04-16","description":"","custom_fields":[{"id":1,"name":"Subdivision","value":"EC"},{"id":4,"name":"Milepost","value":"23.3301"},{"id":17,"name":"Train ID","value":"135-16"},{"id":16,"name":"Locomotive ID","value":"4006"},{"id":130,"name":"Impact","value":""},{"id":150,"name":"Time of Event (Mountain Time)","value":"08:37:12"},{"id":151,"name":"Denver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4006 --day 2017-04-16</v>
      </c>
      <c r="AN4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723</v>
      </c>
      <c r="B49" s="7">
        <v>4005</v>
      </c>
      <c r="C49" s="21" t="s">
        <v>214</v>
      </c>
      <c r="D49" s="21" t="s">
        <v>532</v>
      </c>
      <c r="E49" s="13">
        <v>42841.369652777779</v>
      </c>
      <c r="F49" s="13">
        <v>42841.372407407405</v>
      </c>
      <c r="G49" s="7">
        <v>1</v>
      </c>
      <c r="H49" s="21" t="s">
        <v>493</v>
      </c>
      <c r="I49" s="13">
        <v>42841.400300925925</v>
      </c>
      <c r="J49" s="7">
        <v>0</v>
      </c>
      <c r="K49" s="97" t="str">
        <f t="shared" si="0"/>
        <v>4005/4006</v>
      </c>
      <c r="L49" s="21" t="str">
        <f>VLOOKUP(A49,'Trips&amp;Operators'!$C$1:$G$99999,5,FALSE)</f>
        <v>DAVIS WENDY</v>
      </c>
      <c r="M49" s="6">
        <f t="shared" si="1"/>
        <v>2.789351851970423E-2</v>
      </c>
      <c r="N49" s="7">
        <f t="shared" si="23"/>
        <v>40.166666668374091</v>
      </c>
      <c r="O49" s="7"/>
      <c r="P49" s="7"/>
      <c r="Q49" s="22"/>
      <c r="R49" s="22"/>
      <c r="S49" s="31">
        <f t="shared" si="24"/>
        <v>1</v>
      </c>
      <c r="T49" s="46" t="str">
        <f t="shared" si="4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-16T07:52:18-0600',mode:absolute,to:'2017-04-16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23.2971</v>
      </c>
      <c r="Z49" s="62">
        <f t="shared" si="25"/>
        <v>1.43E-2</v>
      </c>
      <c r="AA49" s="62">
        <f t="shared" si="10"/>
        <v>23.282800000000002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0136-16</v>
      </c>
      <c r="AE49" s="85" t="str">
        <f t="shared" si="12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49" s="82" t="str">
        <f t="shared" si="13"/>
        <v>"C:\Program Files (x86)\AstroGrep\AstroGrep.exe" /e /r /s /spath="%USERPROFILE%\AppData\Local\Temp\OnboardLogs" /stypes="app*4005*20170416*"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136-16 --locoid 4005 --swversion DE.1.0.9.0 --startMP 204:232971 --initTime 2017-04-16T08:52:18 --startdatetime 2017-04-16T08:56:16 --delay 1 --endMP 204:143 --enddatetime 2017-04-16T09:36:26 --enforcementcount 0 &gt;&gt;C:\Users\stu\Documents\GitHub\eaglep3-reporting\EC\2017-04-16-refined-times.txt</v>
      </c>
      <c r="AI4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{"issue":{"subject":"","project_id":79,"tracker_id":40,"status_id":1,"priority_id":2,"assigned_to_id":23,"start_date":"2017-04-16","description":"","custom_fields":[{"id":1,"name":"Subdivision","value":"EC"},{"id":4,"name":"Milepost","value":"0.0143"},{"id":17,"name":"Train ID","value":"136-16"},{"id":16,"name":"Locomotive ID","value":"4005"},{"id":130,"name":"Impact","value":""},{"id":150,"name":"Time of Event (Mountain Time)","value":"09:36:26"},{"id":151,"name":"Denver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4005 --day 2017-04-16</v>
      </c>
      <c r="AN4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717</v>
      </c>
      <c r="B50" s="7">
        <v>4026</v>
      </c>
      <c r="C50" s="21" t="s">
        <v>214</v>
      </c>
      <c r="D50" s="21" t="s">
        <v>413</v>
      </c>
      <c r="E50" s="13">
        <v>42841.342083333337</v>
      </c>
      <c r="F50" s="13">
        <v>42841.343912037039</v>
      </c>
      <c r="G50" s="7">
        <v>1</v>
      </c>
      <c r="H50" s="21" t="s">
        <v>868</v>
      </c>
      <c r="I50" s="13">
        <v>42841.369097222225</v>
      </c>
      <c r="J50" s="7">
        <v>0</v>
      </c>
      <c r="K50" s="97" t="str">
        <f t="shared" si="0"/>
        <v>4025/4026</v>
      </c>
      <c r="L50" s="21" t="str">
        <f>VLOOKUP(A50,'Trips&amp;Operators'!$C$1:$G$99999,5,FALSE)</f>
        <v>ROBINSON KADDIBA</v>
      </c>
      <c r="M50" s="6">
        <f t="shared" si="1"/>
        <v>2.5185185186273884E-2</v>
      </c>
      <c r="N50" s="7">
        <f t="shared" si="23"/>
        <v>36.266666668234393</v>
      </c>
      <c r="O50" s="7"/>
      <c r="P50" s="7"/>
      <c r="Q50" s="22"/>
      <c r="R50" s="22"/>
      <c r="S50" s="31">
        <f t="shared" si="24"/>
        <v>1</v>
      </c>
      <c r="T50" s="46" t="str">
        <f t="shared" si="4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-16T07:12:36-0600',mode:absolute,to:'2017-04-16T09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4.7100000000000003E-2</v>
      </c>
      <c r="Z50" s="62">
        <f t="shared" si="25"/>
        <v>23.331199999999999</v>
      </c>
      <c r="AA50" s="62">
        <f t="shared" si="10"/>
        <v>23.284099999999999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0137-16</v>
      </c>
      <c r="AE50" s="85" t="str">
        <f t="shared" si="12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50" s="82" t="str">
        <f t="shared" si="13"/>
        <v>"C:\Program Files (x86)\AstroGrep\AstroGrep.exe" /e /r /s /spath="%USERPROFILE%\AppData\Local\Temp\OnboardLogs" /stypes="app*4026*20170416*"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137-16 --locoid 4026 --swversion DE.1.0.9.0 --startMP 204:471 --initTime 2017-04-16T08:12:36 --startdatetime 2017-04-16T08:15:14 --delay 1 --endMP 204:233312 --enddatetime 2017-04-16T08:51:30 --enforcementcount 0 &gt;&gt;C:\Users\stu\Documents\GitHub\eaglep3-reporting\EC\2017-04-16-refined-times.txt</v>
      </c>
      <c r="AI50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{"issue":{"subject":"","project_id":79,"tracker_id":40,"status_id":1,"priority_id":2,"assigned_to_id":23,"start_date":"2017-04-16","description":"","custom_fields":[{"id":1,"name":"Subdivision","value":"EC"},{"id":4,"name":"Milepost","value":"23.3312"},{"id":17,"name":"Train ID","value":"137-16"},{"id":16,"name":"Locomotive ID","value":"4026"},{"id":130,"name":"Impact","value":""},{"id":150,"name":"Time of Event (Mountain Time)","value":"08:51:30"},{"id":151,"name":"Denver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4026 --day 2017-04-16</v>
      </c>
      <c r="AN50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646</v>
      </c>
      <c r="B51" s="7">
        <v>4025</v>
      </c>
      <c r="C51" s="21" t="s">
        <v>214</v>
      </c>
      <c r="D51" s="21" t="s">
        <v>511</v>
      </c>
      <c r="E51" s="13">
        <v>42841.379861111112</v>
      </c>
      <c r="F51" s="13">
        <v>42841.382824074077</v>
      </c>
      <c r="G51" s="7">
        <v>1</v>
      </c>
      <c r="H51" s="21" t="s">
        <v>562</v>
      </c>
      <c r="I51" s="13">
        <v>42841.410520833335</v>
      </c>
      <c r="J51" s="7">
        <v>0</v>
      </c>
      <c r="K51" s="97" t="str">
        <f t="shared" si="0"/>
        <v>4025/4026</v>
      </c>
      <c r="L51" s="21" t="str">
        <f>VLOOKUP(A51,'Trips&amp;Operators'!$C$1:$G$99999,5,FALSE)</f>
        <v>ROBINSON KADDIBA</v>
      </c>
      <c r="M51" s="6">
        <f t="shared" si="1"/>
        <v>2.7696759258105885E-2</v>
      </c>
      <c r="N51" s="7">
        <f t="shared" si="23"/>
        <v>39.883333331672475</v>
      </c>
      <c r="O51" s="7"/>
      <c r="P51" s="7"/>
      <c r="Q51" s="22"/>
      <c r="R51" s="22"/>
      <c r="S51" s="31">
        <f t="shared" si="24"/>
        <v>1</v>
      </c>
      <c r="T51" s="46" t="str">
        <f t="shared" si="4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-16T08:07:00-0600',mode:absolute,to:'2017-04-16T10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23.299399999999999</v>
      </c>
      <c r="Z51" s="62">
        <f t="shared" si="25"/>
        <v>1.5599999999999999E-2</v>
      </c>
      <c r="AA51" s="62">
        <f t="shared" si="10"/>
        <v>23.283799999999999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11"/>
        <v>0138-16</v>
      </c>
      <c r="AE51" s="85" t="str">
        <f t="shared" si="12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51" s="82" t="str">
        <f t="shared" si="13"/>
        <v>"C:\Program Files (x86)\AstroGrep\AstroGrep.exe" /e /r /s /spath="%USERPROFILE%\AppData\Local\Temp\OnboardLogs" /stypes="app*4025*20170416*"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138-16 --locoid 4025 --swversion DE.1.0.9.0 --startMP 204:232994 --initTime 2017-04-16T09:07:00 --startdatetime 2017-04-16T09:11:16 --delay 1 --endMP 204:156 --enddatetime 2017-04-16T09:51:09 --enforcementcount 0 &gt;&gt;C:\Users\stu\Documents\GitHub\eaglep3-reporting\EC\2017-04-16-refined-times.txt</v>
      </c>
      <c r="AI5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ID","value":"138-16"},{"id":16,"name":"Locomotive ID","value":"4025"},{"id":130,"name":"Impact","value":""},{"id":150,"name":"Time of Event (Mountain Time)","value":"09:51:09"},{"id":151,"name":"Denver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4025 --day 2017-04-16</v>
      </c>
      <c r="AN5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718</v>
      </c>
      <c r="B52" s="7">
        <v>4040</v>
      </c>
      <c r="C52" s="21" t="s">
        <v>214</v>
      </c>
      <c r="D52" s="21" t="s">
        <v>495</v>
      </c>
      <c r="E52" s="13">
        <v>42841.347650462965</v>
      </c>
      <c r="F52" s="13">
        <v>42841.35434027778</v>
      </c>
      <c r="G52" s="7">
        <v>1</v>
      </c>
      <c r="H52" s="21" t="s">
        <v>607</v>
      </c>
      <c r="I52" s="13">
        <v>42841.378692129627</v>
      </c>
      <c r="J52" s="7">
        <v>0</v>
      </c>
      <c r="K52" s="97" t="str">
        <f t="shared" si="0"/>
        <v>4039/4040</v>
      </c>
      <c r="L52" s="21" t="str">
        <f>VLOOKUP(A52,'Trips&amp;Operators'!$C$1:$G$99999,5,FALSE)</f>
        <v>GEBRETEKLE DAGNEW</v>
      </c>
      <c r="M52" s="6">
        <f t="shared" si="1"/>
        <v>2.435185184731381E-2</v>
      </c>
      <c r="N52" s="7">
        <f t="shared" si="23"/>
        <v>35.066666660131887</v>
      </c>
      <c r="O52" s="7"/>
      <c r="P52" s="7"/>
      <c r="Q52" s="22"/>
      <c r="R52" s="22"/>
      <c r="S52" s="31">
        <f t="shared" si="24"/>
        <v>1</v>
      </c>
      <c r="T52" s="46" t="str">
        <f t="shared" si="4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-16T07:20:37-0600',mode:absolute,to:'2017-04-16T10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2" s="183" t="str">
        <f t="shared" si="6"/>
        <v>N</v>
      </c>
      <c r="X52" s="183">
        <f t="shared" ref="X52:X58" si="26">VALUE(LEFT(AD52,4))-VALUE(LEFT(AD51,4))</f>
        <v>1</v>
      </c>
      <c r="Y52" s="62">
        <f t="shared" si="8"/>
        <v>4.7500000000000001E-2</v>
      </c>
      <c r="Z52" s="62">
        <f t="shared" si="25"/>
        <v>23.329899999999999</v>
      </c>
      <c r="AA52" s="62">
        <f t="shared" si="10"/>
        <v>23.282399999999999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0139-16</v>
      </c>
      <c r="AE52" s="85" t="str">
        <f t="shared" si="12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52" s="82" t="str">
        <f t="shared" si="13"/>
        <v>"C:\Program Files (x86)\AstroGrep\AstroGrep.exe" /e /r /s /spath="%USERPROFILE%\AppData\Local\Temp\OnboardLogs" /stypes="app*4040*20170416*"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139-16 --locoid 4040 --swversion DE.1.0.9.0 --startMP 204:475 --initTime 2017-04-16T08:20:37 --startdatetime 2017-04-16T08:30:15 --delay 1 --endMP 204:233299 --enddatetime 2017-04-16T09:05:19 --enforcementcount 0 &gt;&gt;C:\Users\stu\Documents\GitHub\eaglep3-reporting\EC\2017-04-16-refined-times.txt</v>
      </c>
      <c r="AI5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{"issue":{"subject":"","project_id":79,"tracker_id":40,"status_id":1,"priority_id":2,"assigned_to_id":23,"start_date":"2017-04-16","description":"","custom_fields":[{"id":1,"name":"Subdivision","value":"EC"},{"id":4,"name":"Milepost","value":"23.3299"},{"id":17,"name":"Train ID","value":"139-16"},{"id":16,"name":"Locomotive ID","value":"4040"},{"id":130,"name":"Impact","value":""},{"id":150,"name":"Time of Event (Mountain Time)","value":"09:05:19"},{"id":151,"name":"Denver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4040 --day 2017-04-16</v>
      </c>
      <c r="AN5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727</v>
      </c>
      <c r="B53" s="7">
        <v>4039</v>
      </c>
      <c r="C53" s="21" t="s">
        <v>214</v>
      </c>
      <c r="D53" s="21" t="s">
        <v>532</v>
      </c>
      <c r="E53" s="13">
        <v>42841.387233796297</v>
      </c>
      <c r="F53" s="13">
        <v>42841.393229166664</v>
      </c>
      <c r="G53" s="7">
        <v>2</v>
      </c>
      <c r="H53" s="21" t="s">
        <v>478</v>
      </c>
      <c r="I53" s="13">
        <v>42841.419236111113</v>
      </c>
      <c r="J53" s="7">
        <v>0</v>
      </c>
      <c r="K53" s="97" t="str">
        <f t="shared" si="0"/>
        <v>4039/4040</v>
      </c>
      <c r="L53" s="21" t="str">
        <f>VLOOKUP(A53,'Trips&amp;Operators'!$C$1:$G$99999,5,FALSE)</f>
        <v>GEBRETEKLE DAGNEW</v>
      </c>
      <c r="M53" s="6">
        <f t="shared" si="1"/>
        <v>2.6006944448454306E-2</v>
      </c>
      <c r="N53" s="7">
        <f t="shared" si="23"/>
        <v>37.4500000057742</v>
      </c>
      <c r="O53" s="7"/>
      <c r="P53" s="7"/>
      <c r="Q53" s="22"/>
      <c r="R53" s="22"/>
      <c r="S53" s="31">
        <f t="shared" si="24"/>
        <v>1</v>
      </c>
      <c r="T53" s="46" t="str">
        <f t="shared" si="4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-16T08:17:37-0600',mode:absolute,to:'2017-04-16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3" s="183" t="str">
        <f t="shared" si="6"/>
        <v>N</v>
      </c>
      <c r="X53" s="183">
        <f t="shared" si="26"/>
        <v>1</v>
      </c>
      <c r="Y53" s="62">
        <f t="shared" si="8"/>
        <v>23.2971</v>
      </c>
      <c r="Z53" s="62">
        <f t="shared" si="25"/>
        <v>1.4999999999999999E-2</v>
      </c>
      <c r="AA53" s="62">
        <f t="shared" si="10"/>
        <v>23.2821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0140-16</v>
      </c>
      <c r="AE53" s="85" t="str">
        <f t="shared" si="12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53" s="82" t="str">
        <f t="shared" si="13"/>
        <v>"C:\Program Files (x86)\AstroGrep\AstroGrep.exe" /e /r /s /spath="%USERPROFILE%\AppData\Local\Temp\OnboardLogs" /stypes="app*4039*20170416*"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140-16 --locoid 4039 --swversion DE.1.0.9.0 --startMP 204:232971 --initTime 2017-04-16T09:17:37 --startdatetime 2017-04-16T09:26:15 --delay 2 --endMP 204:150 --enddatetime 2017-04-16T10:03:42 --enforcementcount 0 &gt;&gt;C:\Users\stu\Documents\GitHub\eaglep3-reporting\EC\2017-04-16-refined-times.txt</v>
      </c>
      <c r="AI53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{"issue":{"subject":"","project_id":79,"tracker_id":40,"status_id":1,"priority_id":2,"assigned_to_id":23,"start_date":"2017-04-16","description":"","custom_fields":[{"id":1,"name":"Subdivision","value":"EC"},{"id":4,"name":"Milepost","value":"0.015"},{"id":17,"name":"Train ID","value":"140-16"},{"id":16,"name":"Locomotive ID","value":"4039"},{"id":130,"name":"Impact","value":""},{"id":150,"name":"Time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4039 --day 2017-04-16</v>
      </c>
      <c r="AN53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722</v>
      </c>
      <c r="B54" s="7">
        <v>4016</v>
      </c>
      <c r="C54" s="21" t="s">
        <v>214</v>
      </c>
      <c r="D54" s="21" t="s">
        <v>458</v>
      </c>
      <c r="E54" s="13">
        <v>42841.3594212963</v>
      </c>
      <c r="F54" s="13">
        <v>42841.36478009259</v>
      </c>
      <c r="G54" s="7">
        <v>1</v>
      </c>
      <c r="H54" s="21" t="s">
        <v>882</v>
      </c>
      <c r="I54" s="13">
        <v>42841.389722222222</v>
      </c>
      <c r="J54" s="7">
        <v>0</v>
      </c>
      <c r="K54" s="97" t="str">
        <f t="shared" si="0"/>
        <v>4015/4016</v>
      </c>
      <c r="L54" s="21" t="str">
        <f>VLOOKUP(A54,'Trips&amp;Operators'!$C$1:$G$99999,5,FALSE)</f>
        <v>SANTIZO D. EDY</v>
      </c>
      <c r="M54" s="6">
        <f t="shared" si="1"/>
        <v>2.4942129632108845E-2</v>
      </c>
      <c r="N54" s="7">
        <f t="shared" si="23"/>
        <v>35.916666670236737</v>
      </c>
      <c r="O54" s="7"/>
      <c r="P54" s="7"/>
      <c r="Q54" s="22"/>
      <c r="R54" s="22"/>
      <c r="S54" s="31">
        <f t="shared" si="24"/>
        <v>1</v>
      </c>
      <c r="T54" s="46" t="str">
        <f t="shared" si="4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-16T07:37:34-0600',mode:absolute,to:'2017-04-16T10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4" s="183" t="str">
        <f t="shared" si="6"/>
        <v>N</v>
      </c>
      <c r="X54" s="183">
        <f t="shared" si="26"/>
        <v>1</v>
      </c>
      <c r="Y54" s="62">
        <f t="shared" si="8"/>
        <v>4.6699999999999998E-2</v>
      </c>
      <c r="Z54" s="62">
        <f t="shared" si="25"/>
        <v>23.330200000000001</v>
      </c>
      <c r="AA54" s="62">
        <f t="shared" si="10"/>
        <v>23.2835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0141-16</v>
      </c>
      <c r="AE54" s="85" t="str">
        <f t="shared" si="12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54" s="82" t="str">
        <f t="shared" si="13"/>
        <v>"C:\Program Files (x86)\AstroGrep\AstroGrep.exe" /e /r /s /spath="%USERPROFILE%\AppData\Local\Temp\OnboardLogs" /stypes="app*4016*20170416*"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141-16 --locoid 4016 --swversion DE.1.0.9.0 --startMP 204:467 --initTime 2017-04-16T08:37:34 --startdatetime 2017-04-16T08:45:17 --delay 1 --endMP 204:233302 --enddatetime 2017-04-16T09:21:12 --enforcementcount 0 &gt;&gt;C:\Users\stu\Documents\GitHub\eaglep3-reporting\EC\2017-04-16-refined-times.txt</v>
      </c>
      <c r="AI5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{"issue":{"subject":"","project_id":79,"tracker_id":40,"status_id":1,"priority_id":2,"assigned_to_id":23,"start_date":"2017-04-16","description":"","custom_fields":[{"id":1,"name":"Subdivision","value":"EC"},{"id":4,"name":"Milepost","value":"23.3302"},{"id":17,"name":"Train ID","value":"141-16"},{"id":16,"name":"Locomotive ID","value":"4016"},{"id":130,"name":"Impact","value":""},{"id":150,"name":"Time of Event (Mountain Time)","value":"09:21:12"},{"id":151,"name":"Denver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4016 --day 2017-04-16</v>
      </c>
      <c r="AN5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728</v>
      </c>
      <c r="B55" s="7">
        <v>4015</v>
      </c>
      <c r="C55" s="21" t="s">
        <v>214</v>
      </c>
      <c r="D55" s="21" t="s">
        <v>608</v>
      </c>
      <c r="E55" s="13">
        <v>42841.390856481485</v>
      </c>
      <c r="F55" s="13">
        <v>42841.403749999998</v>
      </c>
      <c r="G55" s="7">
        <v>1</v>
      </c>
      <c r="H55" s="21" t="s">
        <v>203</v>
      </c>
      <c r="I55" s="13">
        <v>42841.429849537039</v>
      </c>
      <c r="J55" s="7">
        <v>0</v>
      </c>
      <c r="K55" s="97" t="str">
        <f t="shared" si="0"/>
        <v>4015/4016</v>
      </c>
      <c r="L55" s="21" t="str">
        <f>VLOOKUP(A55,'Trips&amp;Operators'!$C$1:$G$99999,5,FALSE)</f>
        <v>SANTIZO D. EDY</v>
      </c>
      <c r="M55" s="6">
        <f t="shared" si="1"/>
        <v>2.6099537040863652E-2</v>
      </c>
      <c r="N55" s="7">
        <f t="shared" si="23"/>
        <v>37.583333338843659</v>
      </c>
      <c r="O55" s="7"/>
      <c r="P55" s="7"/>
      <c r="Q55" s="22"/>
      <c r="R55" s="22"/>
      <c r="S55" s="31">
        <f t="shared" si="24"/>
        <v>1</v>
      </c>
      <c r="T55" s="46" t="str">
        <f t="shared" si="4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-16T08:22:50-0600',mode:absolute,to:'2017-04-16T11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183" t="str">
        <f t="shared" si="6"/>
        <v>N</v>
      </c>
      <c r="X55" s="183">
        <f t="shared" si="26"/>
        <v>1</v>
      </c>
      <c r="Y55" s="62">
        <f t="shared" si="8"/>
        <v>23.2987</v>
      </c>
      <c r="Z55" s="62">
        <f t="shared" si="25"/>
        <v>1.54E-2</v>
      </c>
      <c r="AA55" s="62">
        <f t="shared" si="10"/>
        <v>23.283300000000001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0142-16</v>
      </c>
      <c r="AE55" s="85" t="str">
        <f t="shared" si="12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55" s="82" t="str">
        <f t="shared" si="13"/>
        <v>"C:\Program Files (x86)\AstroGrep\AstroGrep.exe" /e /r /s /spath="%USERPROFILE%\AppData\Local\Temp\OnboardLogs" /stypes="app*4015*20170416*"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142-16 --locoid 4015 --swversion DE.1.0.9.0 --startMP 204:232987 --initTime 2017-04-16T09:22:50 --startdatetime 2017-04-16T09:41:24 --delay 1 --endMP 204:154 --enddatetime 2017-04-16T10:18:59 --enforcementcount 0 &gt;&gt;C:\Users\stu\Documents\GitHub\eaglep3-reporting\EC\2017-04-16-refined-times.txt</v>
      </c>
      <c r="AI5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{"issue":{"subject":"","project_id":79,"tracker_id":40,"status_id":1,"priority_id":2,"assigned_to_id":23,"start_date":"2017-04-16","description":"","custom_fields":[{"id":1,"name":"Subdivision","value":"EC"},{"id":4,"name":"Milepost","value":"0.0154"},{"id":17,"name":"Train ID","value":"142-16"},{"id":16,"name":"Locomotive ID","value":"4015"},{"id":130,"name":"Impact","value":""},{"id":150,"name":"Time of Event (Mountain Time)","value":"10:18:59"},{"id":151,"name":"Denver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4015 --day 2017-04-16</v>
      </c>
      <c r="AN5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724</v>
      </c>
      <c r="B56" s="7">
        <v>4028</v>
      </c>
      <c r="C56" s="21" t="s">
        <v>214</v>
      </c>
      <c r="D56" s="21" t="s">
        <v>391</v>
      </c>
      <c r="E56" s="13">
        <v>42841.370347222219</v>
      </c>
      <c r="F56" s="13">
        <v>42841.375173611108</v>
      </c>
      <c r="G56" s="7">
        <v>1</v>
      </c>
      <c r="H56" s="21" t="s">
        <v>490</v>
      </c>
      <c r="I56" s="13">
        <v>42841.400578703702</v>
      </c>
      <c r="J56" s="7">
        <v>0</v>
      </c>
      <c r="K56" s="97" t="str">
        <f t="shared" si="0"/>
        <v>4027/4028</v>
      </c>
      <c r="L56" s="21" t="str">
        <f>VLOOKUP(A56,'Trips&amp;Operators'!$C$1:$G$99999,5,FALSE)</f>
        <v>SHOOK JOHN</v>
      </c>
      <c r="M56" s="6">
        <f t="shared" si="1"/>
        <v>2.5405092594155576E-2</v>
      </c>
      <c r="N56" s="7">
        <f t="shared" si="23"/>
        <v>36.58333333558403</v>
      </c>
      <c r="O56" s="7"/>
      <c r="P56" s="7"/>
      <c r="Q56" s="22"/>
      <c r="R56" s="22"/>
      <c r="S56" s="31">
        <f t="shared" si="24"/>
        <v>1</v>
      </c>
      <c r="T56" s="46" t="str">
        <f t="shared" si="4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-16T07:53:18-0600',mode:absolute,to:'2017-04-16T10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183" t="str">
        <f t="shared" si="6"/>
        <v>N</v>
      </c>
      <c r="X56" s="183">
        <f t="shared" si="26"/>
        <v>1</v>
      </c>
      <c r="Y56" s="62">
        <f t="shared" si="8"/>
        <v>4.4900000000000002E-2</v>
      </c>
      <c r="Z56" s="62">
        <f t="shared" si="25"/>
        <v>23.330300000000001</v>
      </c>
      <c r="AA56" s="62">
        <f t="shared" si="10"/>
        <v>23.285400000000003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0143-16</v>
      </c>
      <c r="AE56" s="85" t="str">
        <f t="shared" si="12"/>
        <v>aws s3 cp s3://rtdc.mdm.uploadarchive.raw/RTDC4028/ "%USERPROFILE%\AppData\Local\Temp\OnboardLogs"\RTDC4028\2017-04-16 --exclude "*" --recursive --include "*20170416*" &amp; "%USERPROFILE%\Documents\GitHub\mrs-test-scripts\Headless Mode &amp; Sideloading\WalkAndUnGZ.bat" "%USERPROFILE%\AppData\Local\Temp\OnboardLogs"\RTDC4028\2017-04-16 &amp; 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</v>
      </c>
      <c r="AF56" s="82" t="str">
        <f t="shared" si="13"/>
        <v>"C:\Program Files (x86)\AstroGrep\AstroGrep.exe" /e /r /s /spath="%USERPROFILE%\AppData\Local\Temp\OnboardLogs" /stypes="app*4028*20170416*"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143-16 --locoid 4028 --swversion DE.1.0.9.0 --startMP 204:449 --initTime 2017-04-16T08:53:18 --startdatetime 2017-04-16T09:00:15 --delay 1 --endMP 204:233303 --enddatetime 2017-04-16T09:36:50 --enforcementcount 0 &gt;&gt;C:\Users\stu\Documents\GitHub\eaglep3-reporting\EC\2017-04-16-refined-times.txt</v>
      </c>
      <c r="AI5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{"issue":{"subject":"","project_id":79,"tracker_id":40,"status_id":1,"priority_id":2,"assigned_to_id":23,"start_date":"2017-04-16","description":"","custom_fields":[{"id":1,"name":"Subdivision","value":"EC"},{"id":4,"name":"Milepost","value":"23.3303"},{"id":17,"name":"Train ID","value":"143-16"},{"id":16,"name":"Locomotive ID","value":"4028"},{"id":130,"name":"Impact","value":""},{"id":150,"name":"Time of Event (Mountain Time)","value":"09:36:50"},{"id":151,"name":"Denver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4028 --day 2017-04-16</v>
      </c>
      <c r="AN5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732</v>
      </c>
      <c r="B57" s="7">
        <v>4027</v>
      </c>
      <c r="C57" s="21" t="s">
        <v>214</v>
      </c>
      <c r="D57" s="21" t="s">
        <v>509</v>
      </c>
      <c r="E57" s="13">
        <v>42841.402569444443</v>
      </c>
      <c r="F57" s="13">
        <v>42841.4140625</v>
      </c>
      <c r="G57" s="7">
        <v>1</v>
      </c>
      <c r="H57" s="21" t="s">
        <v>883</v>
      </c>
      <c r="I57" s="13">
        <v>42841.445057870369</v>
      </c>
      <c r="J57" s="7">
        <v>0</v>
      </c>
      <c r="K57" s="97" t="str">
        <f t="shared" si="0"/>
        <v>4027/4028</v>
      </c>
      <c r="L57" s="21" t="str">
        <f>VLOOKUP(A57,'Trips&amp;Operators'!$C$1:$G$99999,5,FALSE)</f>
        <v>SHOOK JOHN</v>
      </c>
      <c r="M57" s="6">
        <f t="shared" si="1"/>
        <v>3.0995370369055308E-2</v>
      </c>
      <c r="N57" s="7">
        <f t="shared" si="23"/>
        <v>44.633333331439644</v>
      </c>
      <c r="O57" s="7"/>
      <c r="P57" s="7"/>
      <c r="Q57" s="22"/>
      <c r="R57" s="22"/>
      <c r="S57" s="31">
        <f t="shared" si="24"/>
        <v>1</v>
      </c>
      <c r="T57" s="46" t="str">
        <f t="shared" si="4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-16T08:39:42-0600',mode:absolute,to:'2017-04-16T11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183" t="str">
        <f t="shared" si="6"/>
        <v>N</v>
      </c>
      <c r="X57" s="183">
        <f t="shared" si="26"/>
        <v>1</v>
      </c>
      <c r="Y57" s="62">
        <f t="shared" si="8"/>
        <v>23.2986</v>
      </c>
      <c r="Z57" s="62">
        <f t="shared" si="25"/>
        <v>0.16719999999999999</v>
      </c>
      <c r="AA57" s="62">
        <f t="shared" si="10"/>
        <v>23.131399999999999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0144-16</v>
      </c>
      <c r="AE57" s="85" t="str">
        <f t="shared" si="12"/>
        <v>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 &amp; 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</v>
      </c>
      <c r="AF57" s="82" t="str">
        <f t="shared" si="13"/>
        <v>"C:\Program Files (x86)\AstroGrep\AstroGrep.exe" /e /r /s /spath="%USERPROFILE%\AppData\Local\Temp\OnboardLogs" /stypes="app*4027*20170416*"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144-16 --locoid 4027 --swversion DE.1.0.9.0 --startMP 204:232986 --initTime 2017-04-16T09:39:42 --startdatetime 2017-04-16T09:56:15 --delay 1 --endMP 204:1672 --enddatetime 2017-04-16T10:40:53 --enforcementcount 0 &gt;&gt;C:\Users\stu\Documents\GitHub\eaglep3-reporting\EC\2017-04-16-refined-times.txt</v>
      </c>
      <c r="AI5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{"issue":{"subject":"","project_id":79,"tracker_id":40,"status_id":1,"priority_id":2,"assigned_to_id":23,"start_date":"2017-04-16","description":"","custom_fields":[{"id":1,"name":"Subdivision","value":"EC"},{"id":4,"name":"Milepost","value":"0.1672"},{"id":17,"name":"Train ID","value":"144-16"},{"id":16,"name":"Locomotive ID","value":"4027"},{"id":130,"name":"Impact","value":""},{"id":150,"name":"Time of Event (Mountain Time)","value":"10:40:53"},{"id":151,"name":"Denver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4027 --day 2017-04-16</v>
      </c>
      <c r="AN5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726</v>
      </c>
      <c r="B58" s="7">
        <v>4044</v>
      </c>
      <c r="C58" s="21" t="s">
        <v>214</v>
      </c>
      <c r="D58" s="21" t="s">
        <v>507</v>
      </c>
      <c r="E58" s="13">
        <v>42841.382997685185</v>
      </c>
      <c r="F58" s="13">
        <v>42841.385729166665</v>
      </c>
      <c r="G58" s="7">
        <v>1</v>
      </c>
      <c r="H58" s="21" t="s">
        <v>561</v>
      </c>
      <c r="I58" s="13">
        <v>42841.411377314813</v>
      </c>
      <c r="J58" s="7">
        <v>0</v>
      </c>
      <c r="K58" s="97" t="str">
        <f t="shared" si="0"/>
        <v>4043/4044</v>
      </c>
      <c r="L58" s="21" t="str">
        <f>VLOOKUP(A58,'Trips&amp;Operators'!$C$1:$G$99999,5,FALSE)</f>
        <v>ARVIDSON DANIEL</v>
      </c>
      <c r="M58" s="6">
        <f t="shared" si="1"/>
        <v>2.5648148148320615E-2</v>
      </c>
      <c r="N58" s="7">
        <f t="shared" si="23"/>
        <v>36.933333333581686</v>
      </c>
      <c r="O58" s="7"/>
      <c r="P58" s="7"/>
      <c r="Q58" s="22"/>
      <c r="R58" s="22"/>
      <c r="S58" s="31">
        <f t="shared" si="24"/>
        <v>1</v>
      </c>
      <c r="T58" s="46" t="str">
        <f t="shared" si="4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-16T08:11:31-0600',mode:absolute,to:'2017-04-16T10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8" s="183" t="str">
        <f t="shared" si="6"/>
        <v>N</v>
      </c>
      <c r="X58" s="183">
        <f t="shared" si="26"/>
        <v>1</v>
      </c>
      <c r="Y58" s="62">
        <f t="shared" si="8"/>
        <v>4.3999999999999997E-2</v>
      </c>
      <c r="Z58" s="62">
        <f t="shared" si="25"/>
        <v>23.331499999999998</v>
      </c>
      <c r="AA58" s="62">
        <f t="shared" si="10"/>
        <v>23.287499999999998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0145-16</v>
      </c>
      <c r="AE58" s="85" t="str">
        <f t="shared" si="12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58" s="82" t="str">
        <f t="shared" si="13"/>
        <v>"C:\Program Files (x86)\AstroGrep\AstroGrep.exe" /e /r /s /spath="%USERPROFILE%\AppData\Local\Temp\OnboardLogs" /stypes="app*4044*20170416*"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145-16 --locoid 4044 --swversion DE.1.0.9.0 --startMP 204:440 --initTime 2017-04-16T09:11:31 --startdatetime 2017-04-16T09:15:27 --delay 1 --endMP 204:233315 --enddatetime 2017-04-16T09:52:23 --enforcementcount 0 &gt;&gt;C:\Users\stu\Documents\GitHub\eaglep3-reporting\EC\2017-04-16-refined-times.txt</v>
      </c>
      <c r="AI5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{"issue":{"subject":"","project_id":79,"tracker_id":40,"status_id":1,"priority_id":2,"assigned_to_id":23,"start_date":"2017-04-16","description":"","custom_fields":[{"id":1,"name":"Subdivision","value":"EC"},{"id":4,"name":"Milepost","value":"23.3315"},{"id":17,"name":"Train ID","value":"145-16"},{"id":16,"name":"Locomotive ID","value":"4044"},{"id":130,"name":"Impact","value":""},{"id":150,"name":"Time of Event (Mountain Time)","value":"09:52:23"},{"id":151,"name":"Denver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4044 --day 2017-04-16</v>
      </c>
      <c r="AN5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647</v>
      </c>
      <c r="B59" s="7">
        <v>4043</v>
      </c>
      <c r="C59" s="21" t="s">
        <v>214</v>
      </c>
      <c r="D59" s="21" t="s">
        <v>884</v>
      </c>
      <c r="E59" s="13">
        <v>42841.421041666668</v>
      </c>
      <c r="F59" s="13">
        <v>42841.42465277778</v>
      </c>
      <c r="G59" s="7">
        <v>1</v>
      </c>
      <c r="H59" s="21" t="s">
        <v>885</v>
      </c>
      <c r="I59" s="13">
        <v>42841.453564814816</v>
      </c>
      <c r="J59" s="7">
        <v>0</v>
      </c>
      <c r="K59" s="97" t="str">
        <f t="shared" si="0"/>
        <v>4043/4044</v>
      </c>
      <c r="L59" s="21" t="str">
        <f>VLOOKUP(A59,'Trips&amp;Operators'!$C$1:$G$99999,5,FALSE)</f>
        <v>ARVIDSON DANIEL</v>
      </c>
      <c r="M59" s="6">
        <f t="shared" si="1"/>
        <v>2.8912037036207039E-2</v>
      </c>
      <c r="N59" s="7">
        <f t="shared" si="23"/>
        <v>41.633333332138136</v>
      </c>
      <c r="O59" s="7"/>
      <c r="P59" s="7"/>
      <c r="Q59" s="22"/>
      <c r="R59" s="22"/>
      <c r="S59" s="31">
        <f t="shared" si="24"/>
        <v>1</v>
      </c>
      <c r="T59" s="46" t="str">
        <f t="shared" si="4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-16T09:06:18-0600',mode:absolute,to:'2017-04-16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9" s="183" t="str">
        <f t="shared" si="6"/>
        <v>N</v>
      </c>
      <c r="X59" s="183">
        <f t="shared" ref="X59:X90" si="27">VALUE(LEFT(AD59,4))-VALUE(LEFT(AD58,4))</f>
        <v>1</v>
      </c>
      <c r="Y59" s="62">
        <f t="shared" si="8"/>
        <v>23.301100000000002</v>
      </c>
      <c r="Z59" s="62">
        <f t="shared" si="25"/>
        <v>3.6400000000000002E-2</v>
      </c>
      <c r="AA59" s="62">
        <f t="shared" si="10"/>
        <v>23.264700000000001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1"/>
        <v>0146-16</v>
      </c>
      <c r="AE59" s="85" t="str">
        <f t="shared" si="12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59" s="82" t="str">
        <f t="shared" si="13"/>
        <v>"C:\Program Files (x86)\AstroGrep\AstroGrep.exe" /e /r /s /spath="%USERPROFILE%\AppData\Local\Temp\OnboardLogs" /stypes="app*4043*20170416*"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146-16 --locoid 4043 --swversion DE.1.0.9.0 --startMP 204:233011 --initTime 2017-04-16T10:06:18 --startdatetime 2017-04-16T10:11:30 --delay 1 --endMP 204:364 --enddatetime 2017-04-16T10:53:08 --enforcementcount 0 &gt;&gt;C:\Users\stu\Documents\GitHub\eaglep3-reporting\EC\2017-04-16-refined-times.txt</v>
      </c>
      <c r="AI5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{"issue":{"subject":"","project_id":79,"tracker_id":40,"status_id":1,"priority_id":2,"assigned_to_id":23,"start_date":"2017-04-16","description":"","custom_fields":[{"id":1,"name":"Subdivision","value":"EC"},{"id":4,"name":"Milepost","value":"0.0364"},{"id":17,"name":"Train ID","value":"146-16"},{"id":16,"name":"Locomotive ID","value":"4043"},{"id":130,"name":"Impact","value":""},{"id":150,"name":"Time of Event (Mountain Time)","value":"10:53:08"},{"id":151,"name":"Denver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4043 --day 2017-04-16</v>
      </c>
      <c r="AN5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729</v>
      </c>
      <c r="B60" s="7">
        <v>4042</v>
      </c>
      <c r="C60" s="21" t="s">
        <v>214</v>
      </c>
      <c r="D60" s="21" t="s">
        <v>410</v>
      </c>
      <c r="E60" s="13">
        <v>42841.390879629631</v>
      </c>
      <c r="F60" s="13">
        <v>42841.396273148152</v>
      </c>
      <c r="G60" s="7">
        <v>1</v>
      </c>
      <c r="H60" s="21" t="s">
        <v>596</v>
      </c>
      <c r="I60" s="13">
        <v>42841.420995370368</v>
      </c>
      <c r="J60" s="7">
        <v>0</v>
      </c>
      <c r="K60" s="97" t="str">
        <f t="shared" si="0"/>
        <v>4041/4042</v>
      </c>
      <c r="L60" s="21" t="str">
        <f>VLOOKUP(A60,'Trips&amp;Operators'!$C$1:$G$99999,5,FALSE)</f>
        <v>BADERTSCHER DIANE</v>
      </c>
      <c r="M60" s="6">
        <f t="shared" si="1"/>
        <v>2.4722222216951195E-2</v>
      </c>
      <c r="N60" s="7">
        <f t="shared" si="23"/>
        <v>35.599999992409721</v>
      </c>
      <c r="O60" s="7"/>
      <c r="P60" s="7"/>
      <c r="Q60" s="22"/>
      <c r="R60" s="22"/>
      <c r="S60" s="31">
        <f t="shared" si="24"/>
        <v>1</v>
      </c>
      <c r="T60" s="46" t="str">
        <f t="shared" si="4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-16T08:22:52-0600',mode:absolute,to:'2017-04-16T11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83" t="str">
        <f t="shared" si="6"/>
        <v>N</v>
      </c>
      <c r="X60" s="183">
        <f t="shared" si="27"/>
        <v>1</v>
      </c>
      <c r="Y60" s="62">
        <f t="shared" si="8"/>
        <v>4.4600000000000001E-2</v>
      </c>
      <c r="Z60" s="62">
        <f t="shared" si="25"/>
        <v>23.328900000000001</v>
      </c>
      <c r="AA60" s="62">
        <f t="shared" si="10"/>
        <v>23.284300000000002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0147-16</v>
      </c>
      <c r="AE60" s="85" t="str">
        <f t="shared" si="12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60" s="82" t="str">
        <f t="shared" si="13"/>
        <v>"C:\Program Files (x86)\AstroGrep\AstroGrep.exe" /e /r /s /spath="%USERPROFILE%\AppData\Local\Temp\OnboardLogs" /stypes="app*4042*20170416*"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147-16 --locoid 4042 --swversion DE.1.0.9.0 --startMP 204:446 --initTime 2017-04-16T09:22:52 --startdatetime 2017-04-16T09:30:38 --delay 1 --endMP 204:233289 --enddatetime 2017-04-16T10:06:14 --enforcementcount 0 &gt;&gt;C:\Users\stu\Documents\GitHub\eaglep3-reporting\EC\2017-04-16-refined-times.txt</v>
      </c>
      <c r="AI60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{"issue":{"subject":"","project_id":79,"tracker_id":40,"status_id":1,"priority_id":2,"assigned_to_id":23,"start_date":"2017-04-16","description":"","custom_fields":[{"id":1,"name":"Subdivision","value":"EC"},{"id":4,"name":"Milepost","value":"23.3289"},{"id":17,"name":"Train ID","value":"147-16"},{"id":16,"name":"Locomotive ID","value":"4042"},{"id":130,"name":"Impact","value":""},{"id":150,"name":"Time of Event (Mountain Time)","value":"10:06:14"},{"id":151,"name":"Denver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4042 --day 2017-04-16</v>
      </c>
      <c r="AN60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738</v>
      </c>
      <c r="B61" s="7">
        <v>4041</v>
      </c>
      <c r="C61" s="21" t="s">
        <v>214</v>
      </c>
      <c r="D61" s="21" t="s">
        <v>528</v>
      </c>
      <c r="E61" s="13">
        <v>42841.430150462962</v>
      </c>
      <c r="F61" s="13">
        <v>42841.434884259259</v>
      </c>
      <c r="G61" s="7">
        <v>1</v>
      </c>
      <c r="H61" s="21" t="s">
        <v>886</v>
      </c>
      <c r="I61" s="13">
        <v>42841.462708333333</v>
      </c>
      <c r="J61" s="7">
        <v>0</v>
      </c>
      <c r="K61" s="97" t="str">
        <f t="shared" si="0"/>
        <v>4041/4042</v>
      </c>
      <c r="L61" s="21" t="str">
        <f>VLOOKUP(A61,'Trips&amp;Operators'!$C$1:$G$99999,5,FALSE)</f>
        <v>BADERTSCHER DIANE</v>
      </c>
      <c r="M61" s="6">
        <f t="shared" si="1"/>
        <v>2.7824074073578231E-2</v>
      </c>
      <c r="N61" s="7">
        <f t="shared" si="23"/>
        <v>40.066666665952653</v>
      </c>
      <c r="O61" s="7"/>
      <c r="P61" s="7"/>
      <c r="Q61" s="22"/>
      <c r="R61" s="22"/>
      <c r="S61" s="31">
        <f t="shared" si="24"/>
        <v>1</v>
      </c>
      <c r="T61" s="46" t="str">
        <f t="shared" si="4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-16T09:19:25-0600',mode:absolute,to:'2017-04-16T12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183" t="str">
        <f t="shared" si="6"/>
        <v>N</v>
      </c>
      <c r="X61" s="183">
        <f t="shared" si="27"/>
        <v>1</v>
      </c>
      <c r="Y61" s="62">
        <f t="shared" si="8"/>
        <v>23.296700000000001</v>
      </c>
      <c r="Z61" s="62">
        <f t="shared" si="25"/>
        <v>3.5799999999999998E-2</v>
      </c>
      <c r="AA61" s="62">
        <f t="shared" si="10"/>
        <v>23.260900000000003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0148-16</v>
      </c>
      <c r="AE61" s="85" t="str">
        <f t="shared" si="12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61" s="82" t="str">
        <f t="shared" si="13"/>
        <v>"C:\Program Files (x86)\AstroGrep\AstroGrep.exe" /e /r /s /spath="%USERPROFILE%\AppData\Local\Temp\OnboardLogs" /stypes="app*4041*20170416*"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148-16 --locoid 4041 --swversion DE.1.0.9.0 --startMP 204:232967 --initTime 2017-04-16T10:19:25 --startdatetime 2017-04-16T10:26:14 --delay 1 --endMP 204:358 --enddatetime 2017-04-16T11:06:18 --enforcementcount 0 &gt;&gt;C:\Users\stu\Documents\GitHub\eaglep3-reporting\EC\2017-04-16-refined-times.txt</v>
      </c>
      <c r="AI6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{"issue":{"subject":"","project_id":79,"tracker_id":40,"status_id":1,"priority_id":2,"assigned_to_id":23,"start_date":"2017-04-16","description":"","custom_fields":[{"id":1,"name":"Subdivision","value":"EC"},{"id":4,"name":"Milepost","value":"0.0358"},{"id":17,"name":"Train ID","value":"148-16"},{"id":16,"name":"Locomotive ID","value":"4041"},{"id":130,"name":"Impact","value":""},{"id":150,"name":"Time of Event (Mountain Time)","value":"11:06:18"},{"id":151,"name":"Denver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4041 --day 2017-04-16</v>
      </c>
      <c r="AN6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731</v>
      </c>
      <c r="B62" s="7">
        <v>4006</v>
      </c>
      <c r="C62" s="21" t="s">
        <v>214</v>
      </c>
      <c r="D62" s="21" t="s">
        <v>480</v>
      </c>
      <c r="E62" s="13">
        <v>42841.401921296296</v>
      </c>
      <c r="F62" s="13">
        <v>42841.406481481485</v>
      </c>
      <c r="G62" s="7">
        <v>0</v>
      </c>
      <c r="H62" s="21" t="s">
        <v>868</v>
      </c>
      <c r="I62" s="13">
        <v>42841.432766203703</v>
      </c>
      <c r="J62" s="7">
        <v>0</v>
      </c>
      <c r="K62" s="97" t="str">
        <f t="shared" si="0"/>
        <v>4005/4006</v>
      </c>
      <c r="L62" s="21" t="str">
        <f>VLOOKUP(A62,'Trips&amp;Operators'!$C$1:$G$99999,5,FALSE)</f>
        <v>DAVIS WENDY</v>
      </c>
      <c r="M62" s="6">
        <f t="shared" si="1"/>
        <v>2.6284722218406387E-2</v>
      </c>
      <c r="N62" s="7">
        <f t="shared" ref="N62:N93" si="28">24*60*SUM($M62:$M62)</f>
        <v>37.849999994505197</v>
      </c>
      <c r="O62" s="7"/>
      <c r="P62" s="7"/>
      <c r="Q62" s="22"/>
      <c r="R62" s="22"/>
      <c r="S62" s="31">
        <f t="shared" ref="S62:S93" si="29">SUM(U62:U62)/IF(AG62="EC",12,1)</f>
        <v>1</v>
      </c>
      <c r="T62" s="46" t="str">
        <f t="shared" si="4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-16T08:38:46-0600',mode:absolute,to:'2017-04-16T11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2" s="183" t="str">
        <f t="shared" si="6"/>
        <v>N</v>
      </c>
      <c r="X62" s="183">
        <f t="shared" si="27"/>
        <v>1</v>
      </c>
      <c r="Y62" s="62">
        <f t="shared" si="8"/>
        <v>4.4699999999999997E-2</v>
      </c>
      <c r="Z62" s="62">
        <f t="shared" si="25"/>
        <v>23.331199999999999</v>
      </c>
      <c r="AA62" s="62">
        <f t="shared" si="10"/>
        <v>23.2865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0149-16</v>
      </c>
      <c r="AE62" s="85" t="str">
        <f t="shared" si="12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62" s="82" t="str">
        <f t="shared" si="13"/>
        <v>"C:\Program Files (x86)\AstroGrep\AstroGrep.exe" /e /r /s /spath="%USERPROFILE%\AppData\Local\Temp\OnboardLogs" /stypes="app*4006*20170416*"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149-16 --locoid 4006 --swversion DE.1.0.9.0 --startMP 204:447 --initTime 2017-04-16T09:38:46 --startdatetime 2017-04-16T09:45:20 --delay 0 --endMP 204:233312 --enddatetime 2017-04-16T10:23:11 --enforcementcount 0 &gt;&gt;C:\Users\stu\Documents\GitHub\eaglep3-reporting\EC\2017-04-16-refined-times.txt</v>
      </c>
      <c r="AI6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{"issue":{"subject":"","project_id":79,"tracker_id":40,"status_id":1,"priority_id":2,"assigned_to_id":23,"start_date":"2017-04-16","description":"","custom_fields":[{"id":1,"name":"Subdivision","value":"EC"},{"id":4,"name":"Milepost","value":"23.3312"},{"id":17,"name":"Train ID","value":"149-16"},{"id":16,"name":"Locomotive ID","value":"4006"},{"id":130,"name":"Impact","value":""},{"id":150,"name":"Time of Event (Mountain Time)","value":"10:23:11"},{"id":151,"name":"Denver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4006 --day 2017-04-16</v>
      </c>
      <c r="AN6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742</v>
      </c>
      <c r="B63" s="7">
        <v>4005</v>
      </c>
      <c r="C63" s="21" t="s">
        <v>214</v>
      </c>
      <c r="D63" s="21" t="s">
        <v>408</v>
      </c>
      <c r="E63" s="13">
        <v>42841.442824074074</v>
      </c>
      <c r="F63" s="13">
        <v>42841.445289351854</v>
      </c>
      <c r="G63" s="7">
        <v>1</v>
      </c>
      <c r="H63" s="21" t="s">
        <v>887</v>
      </c>
      <c r="I63" s="13">
        <v>42841.47415509259</v>
      </c>
      <c r="J63" s="7">
        <v>0</v>
      </c>
      <c r="K63" s="97" t="str">
        <f t="shared" si="0"/>
        <v>4005/4006</v>
      </c>
      <c r="L63" s="21" t="str">
        <f>VLOOKUP(A63,'Trips&amp;Operators'!$C$1:$G$99999,5,FALSE)</f>
        <v>DAVIS WENDY</v>
      </c>
      <c r="M63" s="6">
        <f t="shared" si="1"/>
        <v>2.8865740736364387E-2</v>
      </c>
      <c r="N63" s="7">
        <f t="shared" si="28"/>
        <v>41.566666660364717</v>
      </c>
      <c r="O63" s="7"/>
      <c r="P63" s="7"/>
      <c r="Q63" s="22"/>
      <c r="R63" s="22" t="s">
        <v>1019</v>
      </c>
      <c r="S63" s="31">
        <f t="shared" si="29"/>
        <v>1</v>
      </c>
      <c r="T63" s="46" t="str">
        <f t="shared" si="4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-16T09:37:40-0600',mode:absolute,to:'2017-04-16T12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3" s="183" t="str">
        <f t="shared" si="6"/>
        <v>N</v>
      </c>
      <c r="X63" s="183">
        <f t="shared" si="27"/>
        <v>1</v>
      </c>
      <c r="Y63" s="62">
        <f t="shared" si="8"/>
        <v>23.299299999999999</v>
      </c>
      <c r="Z63" s="62">
        <f t="shared" si="25"/>
        <v>3.4200000000000001E-2</v>
      </c>
      <c r="AA63" s="62">
        <f t="shared" si="10"/>
        <v>23.2651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0150-16</v>
      </c>
      <c r="AE63" s="85" t="str">
        <f t="shared" si="12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63" s="82" t="str">
        <f t="shared" si="13"/>
        <v>"C:\Program Files (x86)\AstroGrep\AstroGrep.exe" /e /r /s /spath="%USERPROFILE%\AppData\Local\Temp\OnboardLogs" /stypes="app*4005*20170416*"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150-16 --locoid 4005 --swversion DE.1.0.9.0 --startMP 204:232993 --initTime 2017-04-16T10:37:40 --startdatetime 2017-04-16T10:41:13 --delay 1 --endMP 204:342 --enddatetime 2017-04-16T11:22:47 --enforcementcount 0 &gt;&gt;C:\Users\stu\Documents\GitHub\eaglep3-reporting\EC\2017-04-16-refined-times.txt</v>
      </c>
      <c r="AI63" s="104" t="str">
        <f t="shared" si="20"/>
        <v>echo {"issue":{"subject":"Unhealthy at Chambers due to train stop","project_id":79,"tracker_id":40,"status_id":1,"priority_id":2,"assigned_to_id":23,"start_date":"2017-04-16","description":"","custom_fields":[{"id":1,"name":"Subdivision","value":"EC"},{"id":4,"name":"Milepost","value":"0.0342"},{"id":17,"name":"Train ID","value":"150-16"},{"id":16,"name":"Locomotive ID","value":"4005"},{"id":130,"name":"Impact","value":""},{"id":150,"name":"Time of Event (Mountain Time)","value":"11:22:47"},{"id":151,"name":"Denver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4005 --day 2017-04-16</v>
      </c>
      <c r="AN63" s="159" t="str">
        <f t="shared" si="22"/>
        <v>echo {"issue":{"subject":"Unhealthy at Chambers due to train stop","project_id":30,"tracker_id":4,"status_id":1,"priority_id":1,"assigned_to_id":10,"start_date":"2017-04-16","description":"","custom_fields":[{"id":30,"name":"Category","value":"Issue"},{"id":3,"name":"Functional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733</v>
      </c>
      <c r="B64" s="7">
        <v>4026</v>
      </c>
      <c r="C64" s="21" t="s">
        <v>214</v>
      </c>
      <c r="D64" s="21" t="s">
        <v>410</v>
      </c>
      <c r="E64" s="13">
        <v>42841.411736111113</v>
      </c>
      <c r="F64" s="13">
        <v>42841.416851851849</v>
      </c>
      <c r="G64" s="7">
        <v>1</v>
      </c>
      <c r="H64" s="21" t="s">
        <v>459</v>
      </c>
      <c r="I64" s="13">
        <v>42841.441678240742</v>
      </c>
      <c r="J64" s="7">
        <v>0</v>
      </c>
      <c r="K64" s="97" t="str">
        <f t="shared" si="0"/>
        <v>4025/4026</v>
      </c>
      <c r="L64" s="21" t="str">
        <f>VLOOKUP(A64,'Trips&amp;Operators'!$C$1:$G$99999,5,FALSE)</f>
        <v>ROBINSON KADDIBA</v>
      </c>
      <c r="M64" s="6">
        <f t="shared" si="1"/>
        <v>2.4826388893416151E-2</v>
      </c>
      <c r="N64" s="7">
        <f t="shared" si="28"/>
        <v>35.750000006519258</v>
      </c>
      <c r="O64" s="7"/>
      <c r="P64" s="7"/>
      <c r="Q64" s="22"/>
      <c r="R64" s="22"/>
      <c r="S64" s="31">
        <f t="shared" si="29"/>
        <v>1</v>
      </c>
      <c r="T64" s="46" t="str">
        <f t="shared" si="4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-16T08:52:54-0600',mode:absolute,to:'2017-04-16T11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83" t="str">
        <f t="shared" si="6"/>
        <v>N</v>
      </c>
      <c r="X64" s="183">
        <f t="shared" si="27"/>
        <v>1</v>
      </c>
      <c r="Y64" s="62">
        <f t="shared" si="8"/>
        <v>4.4600000000000001E-2</v>
      </c>
      <c r="Z64" s="62">
        <f t="shared" si="25"/>
        <v>23.3291</v>
      </c>
      <c r="AA64" s="62">
        <f t="shared" si="10"/>
        <v>23.284500000000001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0151-16</v>
      </c>
      <c r="AE64" s="85" t="str">
        <f t="shared" si="12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64" s="82" t="str">
        <f t="shared" si="13"/>
        <v>"C:\Program Files (x86)\AstroGrep\AstroGrep.exe" /e /r /s /spath="%USERPROFILE%\AppData\Local\Temp\OnboardLogs" /stypes="app*4026*20170416*"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151-16 --locoid 4026 --swversion DE.1.0.9.0 --startMP 204:446 --initTime 2017-04-16T09:52:54 --startdatetime 2017-04-16T10:00:16 --delay 1 --endMP 204:233291 --enddatetime 2017-04-16T10:36:01 --enforcementcount 0 &gt;&gt;C:\Users\stu\Documents\GitHub\eaglep3-reporting\EC\2017-04-16-refined-times.txt</v>
      </c>
      <c r="AI6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{"issue":{"subject":"","project_id":79,"tracker_id":40,"status_id":1,"priority_id":2,"assigned_to_id":23,"start_date":"2017-04-16","description":"","custom_fields":[{"id":1,"name":"Subdivision","value":"EC"},{"id":4,"name":"Milepost","value":"23.3291"},{"id":17,"name":"Train ID","value":"151-16"},{"id":16,"name":"Locomotive ID","value":"4026"},{"id":130,"name":"Impact","value":""},{"id":150,"name":"Time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4026 --day 2017-04-16</v>
      </c>
      <c r="AN6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744</v>
      </c>
      <c r="B65" s="7">
        <v>4025</v>
      </c>
      <c r="C65" s="21" t="s">
        <v>214</v>
      </c>
      <c r="D65" s="21" t="s">
        <v>474</v>
      </c>
      <c r="E65" s="13">
        <v>42841.453090277777</v>
      </c>
      <c r="F65" s="13">
        <v>42841.45585648148</v>
      </c>
      <c r="G65" s="7">
        <v>1</v>
      </c>
      <c r="H65" s="21" t="s">
        <v>888</v>
      </c>
      <c r="I65" s="13">
        <v>42841.48505787037</v>
      </c>
      <c r="J65" s="7">
        <v>0</v>
      </c>
      <c r="K65" s="97" t="str">
        <f t="shared" si="0"/>
        <v>4025/4026</v>
      </c>
      <c r="L65" s="21" t="str">
        <f>VLOOKUP(A65,'Trips&amp;Operators'!$C$1:$G$99999,5,FALSE)</f>
        <v>ROBINSON KADDIBA</v>
      </c>
      <c r="M65" s="6">
        <f t="shared" si="1"/>
        <v>2.920138889021473E-2</v>
      </c>
      <c r="N65" s="7">
        <f t="shared" si="28"/>
        <v>42.050000001909211</v>
      </c>
      <c r="O65" s="7"/>
      <c r="P65" s="7"/>
      <c r="Q65" s="22"/>
      <c r="R65" s="22"/>
      <c r="S65" s="31">
        <f t="shared" si="29"/>
        <v>1</v>
      </c>
      <c r="T65" s="46" t="str">
        <f t="shared" si="4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-16T09:52:27-0600',mode:absolute,to:'2017-04-16T12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183" t="str">
        <f t="shared" si="6"/>
        <v>N</v>
      </c>
      <c r="X65" s="183">
        <f t="shared" si="27"/>
        <v>1</v>
      </c>
      <c r="Y65" s="62">
        <f t="shared" si="8"/>
        <v>23.2973</v>
      </c>
      <c r="Z65" s="62">
        <f t="shared" si="25"/>
        <v>3.44E-2</v>
      </c>
      <c r="AA65" s="62">
        <f t="shared" si="10"/>
        <v>23.262899999999998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0152-16</v>
      </c>
      <c r="AE65" s="85" t="str">
        <f t="shared" si="12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65" s="82" t="str">
        <f t="shared" si="13"/>
        <v>"C:\Program Files (x86)\AstroGrep\AstroGrep.exe" /e /r /s /spath="%USERPROFILE%\AppData\Local\Temp\OnboardLogs" /stypes="app*4025*20170416*"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152-16 --locoid 4025 --swversion DE.1.0.9.0 --startMP 204:232973 --initTime 2017-04-16T10:52:27 --startdatetime 2017-04-16T10:56:26 --delay 1 --endMP 204:344 --enddatetime 2017-04-16T11:38:29 --enforcementcount 0 &gt;&gt;C:\Users\stu\Documents\GitHub\eaglep3-reporting\EC\2017-04-16-refined-times.txt</v>
      </c>
      <c r="AI6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{"issue":{"subject":"","project_id":79,"tracker_id":40,"status_id":1,"priority_id":2,"assigned_to_id":23,"start_date":"2017-04-16","description":"","custom_fields":[{"id":1,"name":"Subdivision","value":"EC"},{"id":4,"name":"Milepost","value":"0.0344"},{"id":17,"name":"Train ID","value":"152-16"},{"id":16,"name":"Locomotive ID","value":"4025"},{"id":130,"name":"Impact","value":""},{"id":150,"name":"Time of Event (Mountain Time)","value":"11:38:29"},{"id":151,"name":"Denver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4025 --day 2017-04-16</v>
      </c>
      <c r="AN6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735</v>
      </c>
      <c r="B66" s="7">
        <v>4040</v>
      </c>
      <c r="C66" s="21" t="s">
        <v>214</v>
      </c>
      <c r="D66" s="21" t="s">
        <v>481</v>
      </c>
      <c r="E66" s="13">
        <v>42841.421377314815</v>
      </c>
      <c r="F66" s="13">
        <v>42841.42728009259</v>
      </c>
      <c r="G66" s="7">
        <v>1</v>
      </c>
      <c r="H66" s="21" t="s">
        <v>882</v>
      </c>
      <c r="I66" s="13">
        <v>42841.451990740738</v>
      </c>
      <c r="J66" s="7">
        <v>0</v>
      </c>
      <c r="K66" s="97" t="str">
        <f t="shared" si="0"/>
        <v>4039/4040</v>
      </c>
      <c r="L66" s="21" t="str">
        <f>VLOOKUP(A66,'Trips&amp;Operators'!$C$1:$G$99999,5,FALSE)</f>
        <v>GEBRETEKLE DAGNEW</v>
      </c>
      <c r="M66" s="6">
        <f t="shared" si="1"/>
        <v>2.47106481474475E-2</v>
      </c>
      <c r="N66" s="7">
        <f t="shared" si="28"/>
        <v>35.583333332324401</v>
      </c>
      <c r="O66" s="7"/>
      <c r="P66" s="7"/>
      <c r="Q66" s="22"/>
      <c r="R66" s="22"/>
      <c r="S66" s="31">
        <f t="shared" si="29"/>
        <v>1</v>
      </c>
      <c r="T66" s="46" t="str">
        <f t="shared" si="4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-16T09:06:47-0600',mode:absolute,to:'2017-04-16T11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6" s="183" t="str">
        <f t="shared" si="6"/>
        <v>N</v>
      </c>
      <c r="X66" s="183">
        <f t="shared" si="27"/>
        <v>1</v>
      </c>
      <c r="Y66" s="62">
        <f t="shared" si="8"/>
        <v>4.7300000000000002E-2</v>
      </c>
      <c r="Z66" s="62">
        <f t="shared" si="25"/>
        <v>23.330200000000001</v>
      </c>
      <c r="AA66" s="62">
        <f t="shared" si="10"/>
        <v>23.282900000000001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0153-16</v>
      </c>
      <c r="AE66" s="85" t="str">
        <f t="shared" si="12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66" s="82" t="str">
        <f t="shared" si="13"/>
        <v>"C:\Program Files (x86)\AstroGrep\AstroGrep.exe" /e /r /s /spath="%USERPROFILE%\AppData\Local\Temp\OnboardLogs" /stypes="app*4040*20170416*"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153-16 --locoid 4040 --swversion DE.1.0.9.0 --startMP 204:473 --initTime 2017-04-16T10:06:47 --startdatetime 2017-04-16T10:15:17 --delay 1 --endMP 204:233302 --enddatetime 2017-04-16T10:50:52 --enforcementcount 0 &gt;&gt;C:\Users\stu\Documents\GitHub\eaglep3-reporting\EC\2017-04-16-refined-times.txt</v>
      </c>
      <c r="AI6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{"issue":{"subject":"","project_id":79,"tracker_id":40,"status_id":1,"priority_id":2,"assigned_to_id":23,"start_date":"2017-04-16","description":"","custom_fields":[{"id":1,"name":"Subdivision","value":"EC"},{"id":4,"name":"Milepost","value":"23.3302"},{"id":17,"name":"Train ID","value":"153-16"},{"id":16,"name":"Locomotive ID","value":"4040"},{"id":130,"name":"Impact","value":""},{"id":150,"name":"Time of Event (Mountain Time)","value":"10:50:52"},{"id":151,"name":"Denver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4040 --day 2017-04-16</v>
      </c>
      <c r="AN6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747</v>
      </c>
      <c r="B67" s="7">
        <v>4039</v>
      </c>
      <c r="C67" s="21" t="s">
        <v>214</v>
      </c>
      <c r="D67" s="21" t="s">
        <v>409</v>
      </c>
      <c r="E67" s="13">
        <v>42841.462523148148</v>
      </c>
      <c r="F67" s="13">
        <v>42841.466238425928</v>
      </c>
      <c r="G67" s="7">
        <v>1</v>
      </c>
      <c r="H67" s="21" t="s">
        <v>889</v>
      </c>
      <c r="I67" s="13">
        <v>42841.493587962963</v>
      </c>
      <c r="J67" s="7">
        <v>0</v>
      </c>
      <c r="K67" s="97" t="str">
        <f t="shared" si="0"/>
        <v>4039/4040</v>
      </c>
      <c r="L67" s="21" t="str">
        <f>VLOOKUP(A67,'Trips&amp;Operators'!$C$1:$G$99999,5,FALSE)</f>
        <v>GEBRETEKLE DAGNEW</v>
      </c>
      <c r="M67" s="6">
        <f t="shared" si="1"/>
        <v>2.7349537034751847E-2</v>
      </c>
      <c r="N67" s="7">
        <f t="shared" si="28"/>
        <v>39.38333333004266</v>
      </c>
      <c r="O67" s="7"/>
      <c r="P67" s="7"/>
      <c r="Q67" s="22"/>
      <c r="R67" s="22"/>
      <c r="S67" s="31">
        <f t="shared" si="29"/>
        <v>1</v>
      </c>
      <c r="T67" s="46" t="str">
        <f t="shared" si="4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-16T10:06:02-0600',mode:absolute,to:'2017-04-16T12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7" s="183" t="str">
        <f t="shared" si="6"/>
        <v>N</v>
      </c>
      <c r="X67" s="183">
        <f t="shared" si="27"/>
        <v>1</v>
      </c>
      <c r="Y67" s="62">
        <f t="shared" si="8"/>
        <v>23.2989</v>
      </c>
      <c r="Z67" s="62">
        <f t="shared" si="25"/>
        <v>3.49E-2</v>
      </c>
      <c r="AA67" s="62">
        <f t="shared" si="10"/>
        <v>23.263999999999999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0154-16</v>
      </c>
      <c r="AE67" s="85" t="str">
        <f t="shared" si="12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67" s="82" t="str">
        <f t="shared" si="13"/>
        <v>"C:\Program Files (x86)\AstroGrep\AstroGrep.exe" /e /r /s /spath="%USERPROFILE%\AppData\Local\Temp\OnboardLogs" /stypes="app*4039*20170416*"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154-16 --locoid 4039 --swversion DE.1.0.9.0 --startMP 204:232989 --initTime 2017-04-16T11:06:02 --startdatetime 2017-04-16T11:11:23 --delay 1 --endMP 204:349 --enddatetime 2017-04-16T11:50:46 --enforcementcount 0 &gt;&gt;C:\Users\stu\Documents\GitHub\eaglep3-reporting\EC\2017-04-16-refined-times.txt</v>
      </c>
      <c r="AI67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{"issue":{"subject":"","project_id":79,"tracker_id":40,"status_id":1,"priority_id":2,"assigned_to_id":23,"start_date":"2017-04-16","description":"","custom_fields":[{"id":1,"name":"Subdivision","value":"EC"},{"id":4,"name":"Milepost","value":"0.0349"},{"id":17,"name":"Train ID","value":"154-16"},{"id":16,"name":"Locomotive ID","value":"4039"},{"id":130,"name":"Impact","value":""},{"id":150,"name":"Time of Event (Mountain Time)","value":"11:50:46"},{"id":151,"name":"Denver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4039 --day 2017-04-16</v>
      </c>
      <c r="AN67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649</v>
      </c>
      <c r="B68" s="7">
        <v>4016</v>
      </c>
      <c r="C68" s="21" t="s">
        <v>214</v>
      </c>
      <c r="D68" s="21" t="s">
        <v>204</v>
      </c>
      <c r="E68" s="13">
        <v>42841.431631944448</v>
      </c>
      <c r="F68" s="13">
        <v>42841.437662037039</v>
      </c>
      <c r="G68" s="7">
        <v>2</v>
      </c>
      <c r="H68" s="21" t="s">
        <v>890</v>
      </c>
      <c r="I68" s="13">
        <v>42841.462719907409</v>
      </c>
      <c r="J68" s="7">
        <v>0</v>
      </c>
      <c r="K68" s="97" t="str">
        <f t="shared" si="0"/>
        <v>4015/4016</v>
      </c>
      <c r="L68" s="21" t="str">
        <f>VLOOKUP(A68,'Trips&amp;Operators'!$C$1:$G$99999,5,FALSE)</f>
        <v>ROMERO CHAD</v>
      </c>
      <c r="M68" s="6">
        <f t="shared" si="1"/>
        <v>2.5057870370801538E-2</v>
      </c>
      <c r="N68" s="7">
        <f t="shared" si="28"/>
        <v>36.083333333954215</v>
      </c>
      <c r="O68" s="7"/>
      <c r="P68" s="7"/>
      <c r="Q68" s="22"/>
      <c r="R68" s="22"/>
      <c r="S68" s="31">
        <f t="shared" si="29"/>
        <v>1</v>
      </c>
      <c r="T68" s="46" t="str">
        <f t="shared" si="4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-16T09:21:33-0600',mode:absolute,to:'2017-04-16T12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183" t="str">
        <f t="shared" si="6"/>
        <v>N</v>
      </c>
      <c r="X68" s="183">
        <f t="shared" si="27"/>
        <v>1</v>
      </c>
      <c r="Y68" s="62">
        <f t="shared" si="8"/>
        <v>4.5100000000000001E-2</v>
      </c>
      <c r="Z68" s="62">
        <f t="shared" si="25"/>
        <v>23.3355</v>
      </c>
      <c r="AA68" s="62">
        <f t="shared" si="10"/>
        <v>23.290399999999998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11"/>
        <v>0155-16</v>
      </c>
      <c r="AE68" s="85" t="str">
        <f t="shared" si="12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68" s="82" t="str">
        <f t="shared" si="13"/>
        <v>"C:\Program Files (x86)\AstroGrep\AstroGrep.exe" /e /r /s /spath="%USERPROFILE%\AppData\Local\Temp\OnboardLogs" /stypes="app*4016*20170416*"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155-16 --locoid 4016 --swversion DE.1.0.9.0 --startMP 204:451 --initTime 2017-04-16T10:21:33 --startdatetime 2017-04-16T10:30:14 --delay 2 --endMP 204:233355 --enddatetime 2017-04-16T11:06:19 --enforcementcount 0 &gt;&gt;C:\Users\stu\Documents\GitHub\eaglep3-reporting\EC\2017-04-16-refined-times.txt</v>
      </c>
      <c r="AI68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{"issue":{"subject":"","project_id":79,"tracker_id":40,"status_id":1,"priority_id":2,"assigned_to_id":23,"start_date":"2017-04-16","description":"","custom_fields":[{"id":1,"name":"Subdivision","value":"EC"},{"id":4,"name":"Milepost","value":"23.3355"},{"id":17,"name":"Train ID","value":"155-16"},{"id":16,"name":"Locomotive ID","value":"4016"},{"id":130,"name":"Impact","value":""},{"id":150,"name":"Time of Event (Mountain Time)","value":"11:06:19"},{"id":151,"name":"Denver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4016 --day 2017-04-16</v>
      </c>
      <c r="AN68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748</v>
      </c>
      <c r="B69" s="7">
        <v>4015</v>
      </c>
      <c r="C69" s="21" t="s">
        <v>214</v>
      </c>
      <c r="D69" s="21" t="s">
        <v>606</v>
      </c>
      <c r="E69" s="13">
        <v>42841.464583333334</v>
      </c>
      <c r="F69" s="13">
        <v>42841.476550925923</v>
      </c>
      <c r="G69" s="7">
        <v>1</v>
      </c>
      <c r="H69" s="21" t="s">
        <v>402</v>
      </c>
      <c r="I69" s="13">
        <v>42841.502581018518</v>
      </c>
      <c r="J69" s="7">
        <v>0</v>
      </c>
      <c r="K69" s="97" t="str">
        <f t="shared" si="0"/>
        <v>4015/4016</v>
      </c>
      <c r="L69" s="21" t="str">
        <f>VLOOKUP(A69,'Trips&amp;Operators'!$C$1:$G$99999,5,FALSE)</f>
        <v>ROMERO CHAD</v>
      </c>
      <c r="M69" s="6">
        <f t="shared" si="1"/>
        <v>2.6030092594737653E-2</v>
      </c>
      <c r="N69" s="7">
        <f t="shared" si="28"/>
        <v>37.48333333642222</v>
      </c>
      <c r="O69" s="7"/>
      <c r="P69" s="7"/>
      <c r="Q69" s="22"/>
      <c r="R69" s="22"/>
      <c r="S69" s="31">
        <f t="shared" si="29"/>
        <v>1</v>
      </c>
      <c r="T69" s="46" t="str">
        <f t="shared" si="4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-16T10:09:00-0600',mode:absolute,to:'2017-04-16T13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183" t="str">
        <f t="shared" si="6"/>
        <v>N</v>
      </c>
      <c r="X69" s="183">
        <f t="shared" si="27"/>
        <v>1</v>
      </c>
      <c r="Y69" s="62">
        <f t="shared" si="8"/>
        <v>23.305099999999999</v>
      </c>
      <c r="Z69" s="62">
        <f t="shared" si="25"/>
        <v>1.41E-2</v>
      </c>
      <c r="AA69" s="62">
        <f t="shared" si="10"/>
        <v>23.291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0156-16</v>
      </c>
      <c r="AE69" s="85" t="str">
        <f t="shared" si="12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69" s="82" t="str">
        <f t="shared" si="13"/>
        <v>"C:\Program Files (x86)\AstroGrep\AstroGrep.exe" /e /r /s /spath="%USERPROFILE%\AppData\Local\Temp\OnboardLogs" /stypes="app*4015*20170416*"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156-16 --locoid 4015 --swversion DE.1.0.9.0 --startMP 204:233051 --initTime 2017-04-16T11:09:00 --startdatetime 2017-04-16T11:26:14 --delay 1 --endMP 204:141 --enddatetime 2017-04-16T12:03:43 --enforcementcount 0 &gt;&gt;C:\Users\stu\Documents\GitHub\eaglep3-reporting\EC\2017-04-16-refined-times.txt</v>
      </c>
      <c r="AI69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{"issue":{"subject":"","project_id":79,"tracker_id":40,"status_id":1,"priority_id":2,"assigned_to_id":23,"start_date":"2017-04-16","description":"","custom_fields":[{"id":1,"name":"Subdivision","value":"EC"},{"id":4,"name":"Milepost","value":"0.0141"},{"id":17,"name":"Train ID","value":"156-16"},{"id":16,"name":"Locomotive ID","value":"4015"},{"id":130,"name":"Impact","value":""},{"id":150,"name":"Time of Event (Mountain Time)","value":"12:03:43"},{"id":151,"name":"Denver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4015 --day 2017-04-16</v>
      </c>
      <c r="AN69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743</v>
      </c>
      <c r="B70" s="7">
        <v>4020</v>
      </c>
      <c r="C70" s="21" t="s">
        <v>214</v>
      </c>
      <c r="D70" s="21" t="s">
        <v>891</v>
      </c>
      <c r="E70" s="13">
        <v>42841.444398148145</v>
      </c>
      <c r="F70" s="13">
        <v>42841.450231481482</v>
      </c>
      <c r="G70" s="7">
        <v>2</v>
      </c>
      <c r="H70" s="21" t="s">
        <v>892</v>
      </c>
      <c r="I70" s="13">
        <v>42841.475497685184</v>
      </c>
      <c r="J70" s="7">
        <v>0</v>
      </c>
      <c r="K70" s="97" t="str">
        <f t="shared" si="0"/>
        <v>4019/4020</v>
      </c>
      <c r="L70" s="21" t="str">
        <f>VLOOKUP(A70,'Trips&amp;Operators'!$C$1:$G$99999,5,FALSE)</f>
        <v>SHOOK JOHN</v>
      </c>
      <c r="M70" s="6">
        <f t="shared" si="1"/>
        <v>2.5266203701903578E-2</v>
      </c>
      <c r="N70" s="7">
        <f t="shared" si="28"/>
        <v>36.383333330741152</v>
      </c>
      <c r="O70" s="7"/>
      <c r="P70" s="7"/>
      <c r="Q70" s="22"/>
      <c r="R70" s="22"/>
      <c r="S70" s="31">
        <f t="shared" si="29"/>
        <v>1</v>
      </c>
      <c r="T70" s="46" t="str">
        <f t="shared" si="4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-16T09:39:56-0600',mode:absolute,to:'2017-04-16T12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183" t="str">
        <f t="shared" si="6"/>
        <v>N</v>
      </c>
      <c r="X70" s="183">
        <f t="shared" si="27"/>
        <v>1</v>
      </c>
      <c r="Y70" s="62">
        <f t="shared" si="8"/>
        <v>0.1154</v>
      </c>
      <c r="Z70" s="62">
        <f t="shared" si="25"/>
        <v>23.33</v>
      </c>
      <c r="AA70" s="62">
        <f t="shared" si="10"/>
        <v>23.214599999999997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0157-16</v>
      </c>
      <c r="AE70" s="85" t="str">
        <f t="shared" si="12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70" s="82" t="str">
        <f t="shared" si="13"/>
        <v>"C:\Program Files (x86)\AstroGrep\AstroGrep.exe" /e /r /s /spath="%USERPROFILE%\AppData\Local\Temp\OnboardLogs" /stypes="app*4020*20170416*"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157-16 --locoid 4020 --swversion DE.1.0.9.0 --startMP 204:1154 --initTime 2017-04-16T10:39:56 --startdatetime 2017-04-16T10:48:20 --delay 2 --endMP 204:233300 --enddatetime 2017-04-16T11:24:43 --enforcementcount 0 &gt;&gt;C:\Users\stu\Documents\GitHub\eaglep3-reporting\EC\2017-04-16-refined-times.txt</v>
      </c>
      <c r="AI70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{"issue":{"subject":"","project_id":79,"tracker_id":40,"status_id":1,"priority_id":2,"assigned_to_id":23,"start_date":"2017-04-16","description":"","custom_fields":[{"id":1,"name":"Subdivision","value":"EC"},{"id":4,"name":"Milepost","value":"23.33"},{"id":17,"name":"Train ID","value":"157-16"},{"id":16,"name":"Locomotive ID","value":"4020"},{"id":130,"name":"Impact","value":""},{"id":150,"name":"Time of Event (Mountain Time)","value":"11:24:43"},{"id":151,"name":"Denver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4020 --day 2017-04-16</v>
      </c>
      <c r="AN70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751</v>
      </c>
      <c r="B71" s="7">
        <v>4019</v>
      </c>
      <c r="C71" s="21" t="s">
        <v>214</v>
      </c>
      <c r="D71" s="21" t="s">
        <v>460</v>
      </c>
      <c r="E71" s="13">
        <v>42841.477754629632</v>
      </c>
      <c r="F71" s="13">
        <v>42841.486979166664</v>
      </c>
      <c r="G71" s="7">
        <v>1</v>
      </c>
      <c r="H71" s="21" t="s">
        <v>562</v>
      </c>
      <c r="I71" s="13">
        <v>42841.517731481479</v>
      </c>
      <c r="J71" s="7">
        <v>0</v>
      </c>
      <c r="K71" s="97" t="str">
        <f t="shared" si="0"/>
        <v>4019/4020</v>
      </c>
      <c r="L71" s="21" t="str">
        <f>VLOOKUP(A71,'Trips&amp;Operators'!$C$1:$G$99999,5,FALSE)</f>
        <v>SHOOK JOHN</v>
      </c>
      <c r="M71" s="6">
        <f t="shared" si="1"/>
        <v>3.0752314814890269E-2</v>
      </c>
      <c r="N71" s="7">
        <f t="shared" si="28"/>
        <v>44.283333333441988</v>
      </c>
      <c r="O71" s="7"/>
      <c r="P71" s="7"/>
      <c r="Q71" s="22"/>
      <c r="R71" s="22"/>
      <c r="S71" s="31">
        <f t="shared" si="29"/>
        <v>1</v>
      </c>
      <c r="T71" s="46" t="str">
        <f t="shared" si="4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-16T10:27:58-0600',mode:absolute,to:'2017-04-16T13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183" t="str">
        <f t="shared" si="6"/>
        <v>N</v>
      </c>
      <c r="X71" s="183">
        <f t="shared" si="27"/>
        <v>1</v>
      </c>
      <c r="Y71" s="62">
        <f t="shared" si="8"/>
        <v>23.3002</v>
      </c>
      <c r="Z71" s="62">
        <f t="shared" si="25"/>
        <v>1.5599999999999999E-2</v>
      </c>
      <c r="AA71" s="62">
        <f t="shared" si="10"/>
        <v>23.284600000000001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0158-16</v>
      </c>
      <c r="AE71" s="85" t="str">
        <f t="shared" si="12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71" s="82" t="str">
        <f t="shared" si="13"/>
        <v>"C:\Program Files (x86)\AstroGrep\AstroGrep.exe" /e /r /s /spath="%USERPROFILE%\AppData\Local\Temp\OnboardLogs" /stypes="app*4019*20170416*"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158-16 --locoid 4019 --swversion DE.1.0.9.0 --startMP 204:233002 --initTime 2017-04-16T11:27:58 --startdatetime 2017-04-16T11:41:15 --delay 1 --endMP 204:156 --enddatetime 2017-04-16T12:25:32 --enforcementcount 0 &gt;&gt;C:\Users\stu\Documents\GitHub\eaglep3-reporting\EC\2017-04-16-refined-times.txt</v>
      </c>
      <c r="AI71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ID","value":"158-16"},{"id":16,"name":"Locomotive ID","value":"4019"},{"id":130,"name":"Impact","value":""},{"id":150,"name":"Time of Event (Mountain Time)","value":"12:25:32"},{"id":151,"name":"Denver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4019 --day 2017-04-16</v>
      </c>
      <c r="AN71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746</v>
      </c>
      <c r="B72" s="7">
        <v>4044</v>
      </c>
      <c r="C72" s="21" t="s">
        <v>214</v>
      </c>
      <c r="D72" s="21" t="s">
        <v>893</v>
      </c>
      <c r="E72" s="13">
        <v>42841.455381944441</v>
      </c>
      <c r="F72" s="13">
        <v>42841.458541666667</v>
      </c>
      <c r="G72" s="7">
        <v>2</v>
      </c>
      <c r="H72" s="21" t="s">
        <v>529</v>
      </c>
      <c r="I72" s="13">
        <v>42841.483032407406</v>
      </c>
      <c r="J72" s="7">
        <v>0</v>
      </c>
      <c r="K72" s="97" t="str">
        <f t="shared" si="0"/>
        <v>4043/4044</v>
      </c>
      <c r="L72" s="21" t="str">
        <f>VLOOKUP(A72,'Trips&amp;Operators'!$C$1:$G$99999,5,FALSE)</f>
        <v>STEWART MICHAEL</v>
      </c>
      <c r="M72" s="6">
        <f t="shared" si="1"/>
        <v>2.4490740739565808E-2</v>
      </c>
      <c r="N72" s="7">
        <f t="shared" si="28"/>
        <v>35.266666664974764</v>
      </c>
      <c r="O72" s="7"/>
      <c r="P72" s="7"/>
      <c r="Q72" s="22"/>
      <c r="R72" s="22"/>
      <c r="S72" s="31">
        <f t="shared" si="29"/>
        <v>1</v>
      </c>
      <c r="T72" s="46" t="str">
        <f t="shared" si="4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-16T09:55:45-0600',mode:absolute,to:'2017-04-16T12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2" s="183" t="str">
        <f t="shared" si="6"/>
        <v>N</v>
      </c>
      <c r="X72" s="183">
        <f t="shared" si="27"/>
        <v>1</v>
      </c>
      <c r="Y72" s="62">
        <f t="shared" si="8"/>
        <v>6.5699999999999995E-2</v>
      </c>
      <c r="Z72" s="62">
        <f t="shared" si="25"/>
        <v>23.328800000000001</v>
      </c>
      <c r="AA72" s="62">
        <f t="shared" si="10"/>
        <v>23.263100000000001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0159-16</v>
      </c>
      <c r="AE72" s="85" t="str">
        <f t="shared" si="12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72" s="82" t="str">
        <f t="shared" si="13"/>
        <v>"C:\Program Files (x86)\AstroGrep\AstroGrep.exe" /e /r /s /spath="%USERPROFILE%\AppData\Local\Temp\OnboardLogs" /stypes="app*4044*20170416*"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159-16 --locoid 4044 --swversion DE.1.0.9.0 --startMP 204:657 --initTime 2017-04-16T10:55:45 --startdatetime 2017-04-16T11:00:18 --delay 2 --endMP 204:233288 --enddatetime 2017-04-16T11:35:34 --enforcementcount 0 &gt;&gt;C:\Users\stu\Documents\GitHub\eaglep3-reporting\EC\2017-04-16-refined-times.txt</v>
      </c>
      <c r="AI72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{"issue":{"subject":"","project_id":79,"tracker_id":40,"status_id":1,"priority_id":2,"assigned_to_id":23,"start_date":"2017-04-16","description":"","custom_fields":[{"id":1,"name":"Subdivision","value":"EC"},{"id":4,"name":"Milepost","value":"23.3288"},{"id":17,"name":"Train ID","value":"159-16"},{"id":16,"name":"Locomotive ID","value":"4044"},{"id":130,"name":"Impact","value":""},{"id":150,"name":"Time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4044 --day 2017-04-16</v>
      </c>
      <c r="AN72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755</v>
      </c>
      <c r="B73" s="7">
        <v>4043</v>
      </c>
      <c r="C73" s="21" t="s">
        <v>214</v>
      </c>
      <c r="D73" s="21" t="s">
        <v>532</v>
      </c>
      <c r="E73" s="13">
        <v>42841.495300925926</v>
      </c>
      <c r="F73" s="13">
        <v>42841.49759259259</v>
      </c>
      <c r="G73" s="7">
        <v>2</v>
      </c>
      <c r="H73" s="21" t="s">
        <v>478</v>
      </c>
      <c r="I73" s="13">
        <v>42841.524768518517</v>
      </c>
      <c r="J73" s="7">
        <v>0</v>
      </c>
      <c r="K73" s="97" t="str">
        <f t="shared" si="0"/>
        <v>4043/4044</v>
      </c>
      <c r="L73" s="21" t="str">
        <f>VLOOKUP(A73,'Trips&amp;Operators'!$C$1:$G$99999,5,FALSE)</f>
        <v>STEWART MICHAEL</v>
      </c>
      <c r="M73" s="6">
        <f t="shared" si="1"/>
        <v>2.7175925926712807E-2</v>
      </c>
      <c r="N73" s="7">
        <f t="shared" si="28"/>
        <v>39.133333334466442</v>
      </c>
      <c r="O73" s="7"/>
      <c r="P73" s="7"/>
      <c r="Q73" s="22"/>
      <c r="R73" s="22"/>
      <c r="S73" s="31">
        <f t="shared" si="29"/>
        <v>1</v>
      </c>
      <c r="T73" s="46" t="str">
        <f t="shared" si="4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-16T10:53:14-0600',mode:absolute,to:'2017-04-16T13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3" s="183" t="str">
        <f t="shared" si="6"/>
        <v>N</v>
      </c>
      <c r="X73" s="183">
        <f t="shared" si="27"/>
        <v>1</v>
      </c>
      <c r="Y73" s="62">
        <f t="shared" si="8"/>
        <v>23.2971</v>
      </c>
      <c r="Z73" s="62">
        <f t="shared" si="25"/>
        <v>1.4999999999999999E-2</v>
      </c>
      <c r="AA73" s="62">
        <f t="shared" si="10"/>
        <v>23.2821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0160-16</v>
      </c>
      <c r="AE73" s="85" t="str">
        <f t="shared" si="12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73" s="82" t="str">
        <f t="shared" si="13"/>
        <v>"C:\Program Files (x86)\AstroGrep\AstroGrep.exe" /e /r /s /spath="%USERPROFILE%\AppData\Local\Temp\OnboardLogs" /stypes="app*4043*20170416*"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160-16 --locoid 4043 --swversion DE.1.0.9.0 --startMP 204:232971 --initTime 2017-04-16T11:53:14 --startdatetime 2017-04-16T11:56:32 --delay 2 --endMP 204:150 --enddatetime 2017-04-16T12:35:40 --enforcementcount 0 &gt;&gt;C:\Users\stu\Documents\GitHub\eaglep3-reporting\EC\2017-04-16-refined-times.txt</v>
      </c>
      <c r="AI73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{"issue":{"subject":"","project_id":79,"tracker_id":40,"status_id":1,"priority_id":2,"assigned_to_id":23,"start_date":"2017-04-16","description":"","custom_fields":[{"id":1,"name":"Subdivision","value":"EC"},{"id":4,"name":"Milepost","value":"0.015"},{"id":17,"name":"Train ID","value":"160-16"},{"id":16,"name":"Locomotive ID","value":"4043"},{"id":130,"name":"Impact","value":""},{"id":150,"name":"Time of Event (Mountain Time)","value":"12:35:40"},{"id":151,"name":"Denver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4043 --day 2017-04-16</v>
      </c>
      <c r="AN73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749</v>
      </c>
      <c r="B74" s="7">
        <v>4042</v>
      </c>
      <c r="C74" s="21" t="s">
        <v>214</v>
      </c>
      <c r="D74" s="21" t="s">
        <v>894</v>
      </c>
      <c r="E74" s="13">
        <v>42841.465648148151</v>
      </c>
      <c r="F74" s="13">
        <v>42841.469155092593</v>
      </c>
      <c r="G74" s="7">
        <v>2</v>
      </c>
      <c r="H74" s="21" t="s">
        <v>561</v>
      </c>
      <c r="I74" s="13">
        <v>42841.496435185189</v>
      </c>
      <c r="J74" s="7">
        <v>0</v>
      </c>
      <c r="K74" s="97" t="str">
        <f t="shared" si="0"/>
        <v>4041/4042</v>
      </c>
      <c r="L74" s="21" t="str">
        <f>VLOOKUP(A74,'Trips&amp;Operators'!$C$1:$G$99999,5,FALSE)</f>
        <v>DAVIS MICHAEL</v>
      </c>
      <c r="M74" s="6">
        <f t="shared" si="1"/>
        <v>2.7280092595901806E-2</v>
      </c>
      <c r="N74" s="7">
        <f t="shared" si="28"/>
        <v>39.283333338098601</v>
      </c>
      <c r="O74" s="7"/>
      <c r="P74" s="7"/>
      <c r="Q74" s="22"/>
      <c r="R74" s="22"/>
      <c r="S74" s="31">
        <f t="shared" si="29"/>
        <v>1</v>
      </c>
      <c r="T74" s="46" t="str">
        <f t="shared" si="4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-16T10:10:32-0600',mode:absolute,to:'2017-04-16T12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183" t="str">
        <f t="shared" si="6"/>
        <v>N</v>
      </c>
      <c r="X74" s="183">
        <f t="shared" si="27"/>
        <v>1</v>
      </c>
      <c r="Y74" s="62">
        <f t="shared" si="8"/>
        <v>6.9900000000000004E-2</v>
      </c>
      <c r="Z74" s="62">
        <f t="shared" si="25"/>
        <v>23.331499999999998</v>
      </c>
      <c r="AA74" s="62">
        <f t="shared" si="10"/>
        <v>23.261599999999998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0161-16</v>
      </c>
      <c r="AE74" s="85" t="str">
        <f t="shared" si="12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74" s="82" t="str">
        <f t="shared" si="13"/>
        <v>"C:\Program Files (x86)\AstroGrep\AstroGrep.exe" /e /r /s /spath="%USERPROFILE%\AppData\Local\Temp\OnboardLogs" /stypes="app*4042*20170416*"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161-16 --locoid 4042 --swversion DE.1.0.9.0 --startMP 204:699 --initTime 2017-04-16T11:10:32 --startdatetime 2017-04-16T11:15:35 --delay 2 --endMP 204:233315 --enddatetime 2017-04-16T11:54:52 --enforcementcount 0 &gt;&gt;C:\Users\stu\Documents\GitHub\eaglep3-reporting\EC\2017-04-16-refined-times.txt</v>
      </c>
      <c r="AI74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{"issue":{"subject":"","project_id":79,"tracker_id":40,"status_id":1,"priority_id":2,"assigned_to_id":23,"start_date":"2017-04-16","description":"","custom_fields":[{"id":1,"name":"Subdivision","value":"EC"},{"id":4,"name":"Milepost","value":"23.3315"},{"id":17,"name":"Train ID","value":"161-16"},{"id":16,"name":"Locomotive ID","value":"4042"},{"id":130,"name":"Impact","value":""},{"id":150,"name":"Time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4042 --day 2017-04-16</v>
      </c>
      <c r="AN74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760</v>
      </c>
      <c r="B75" s="7">
        <v>4041</v>
      </c>
      <c r="C75" s="21" t="s">
        <v>214</v>
      </c>
      <c r="D75" s="21" t="s">
        <v>608</v>
      </c>
      <c r="E75" s="13">
        <v>42841.505254629628</v>
      </c>
      <c r="F75" s="13">
        <v>42841.50818287037</v>
      </c>
      <c r="G75" s="7">
        <v>1</v>
      </c>
      <c r="H75" s="21" t="s">
        <v>401</v>
      </c>
      <c r="I75" s="13">
        <v>42841.536574074074</v>
      </c>
      <c r="J75" s="7">
        <v>0</v>
      </c>
      <c r="K75" s="97" t="str">
        <f t="shared" si="0"/>
        <v>4041/4042</v>
      </c>
      <c r="L75" s="21" t="str">
        <f>VLOOKUP(A75,'Trips&amp;Operators'!$C$1:$G$99999,5,FALSE)</f>
        <v>DAVIS MICHAEL</v>
      </c>
      <c r="M75" s="6">
        <f t="shared" si="1"/>
        <v>2.8391203704813961E-2</v>
      </c>
      <c r="N75" s="7">
        <f t="shared" si="28"/>
        <v>40.883333334932104</v>
      </c>
      <c r="O75" s="7"/>
      <c r="P75" s="7"/>
      <c r="Q75" s="22"/>
      <c r="R75" s="22"/>
      <c r="S75" s="31">
        <f t="shared" si="29"/>
        <v>1</v>
      </c>
      <c r="T75" s="46" t="str">
        <f t="shared" si="4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-16T11:07:34-0600',mode:absolute,to:'2017-04-16T13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183" t="str">
        <f t="shared" si="6"/>
        <v>N</v>
      </c>
      <c r="X75" s="183">
        <f t="shared" si="27"/>
        <v>1</v>
      </c>
      <c r="Y75" s="62">
        <f t="shared" si="8"/>
        <v>23.2987</v>
      </c>
      <c r="Z75" s="62">
        <f t="shared" si="25"/>
        <v>1.38E-2</v>
      </c>
      <c r="AA75" s="62">
        <f t="shared" si="10"/>
        <v>23.2849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0162-16</v>
      </c>
      <c r="AE75" s="85" t="str">
        <f t="shared" si="12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75" s="82" t="str">
        <f t="shared" si="13"/>
        <v>"C:\Program Files (x86)\AstroGrep\AstroGrep.exe" /e /r /s /spath="%USERPROFILE%\AppData\Local\Temp\OnboardLogs" /stypes="app*4041*20170416*"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162-16 --locoid 4041 --swversion DE.1.0.9.0 --startMP 204:232987 --initTime 2017-04-16T12:07:34 --startdatetime 2017-04-16T12:11:47 --delay 1 --endMP 204:138 --enddatetime 2017-04-16T12:52:40 --enforcementcount 0 &gt;&gt;C:\Users\stu\Documents\GitHub\eaglep3-reporting\EC\2017-04-16-refined-times.txt</v>
      </c>
      <c r="AI75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{"issue":{"subject":"","project_id":79,"tracker_id":40,"status_id":1,"priority_id":2,"assigned_to_id":23,"start_date":"2017-04-16","description":"","custom_fields":[{"id":1,"name":"Subdivision","value":"EC"},{"id":4,"name":"Milepost","value":"0.0138"},{"id":17,"name":"Train ID","value":"162-16"},{"id":16,"name":"Locomotive ID","value":"4041"},{"id":130,"name":"Impact","value":""},{"id":150,"name":"Time of Event (Mountain Time)","value":"12:52:40"},{"id":151,"name":"Denver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4041 --day 2017-04-16</v>
      </c>
      <c r="AN75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750</v>
      </c>
      <c r="B76" s="7">
        <v>4006</v>
      </c>
      <c r="C76" s="21" t="s">
        <v>214</v>
      </c>
      <c r="D76" s="21" t="s">
        <v>895</v>
      </c>
      <c r="E76" s="13">
        <v>42841.475902777776</v>
      </c>
      <c r="F76" s="13">
        <v>42841.479351851849</v>
      </c>
      <c r="G76" s="7">
        <v>2</v>
      </c>
      <c r="H76" s="21" t="s">
        <v>896</v>
      </c>
      <c r="I76" s="13">
        <v>42841.504050925927</v>
      </c>
      <c r="J76" s="7">
        <v>0</v>
      </c>
      <c r="K76" s="97" t="str">
        <f t="shared" si="0"/>
        <v>4005/4006</v>
      </c>
      <c r="L76" s="21" t="str">
        <f>VLOOKUP(A76,'Trips&amp;Operators'!$C$1:$G$99999,5,FALSE)</f>
        <v>LEVIN SCOTT</v>
      </c>
      <c r="M76" s="6">
        <f t="shared" si="1"/>
        <v>2.4699074077943806E-2</v>
      </c>
      <c r="N76" s="7">
        <f t="shared" si="28"/>
        <v>35.56666667223908</v>
      </c>
      <c r="O76" s="7"/>
      <c r="P76" s="7"/>
      <c r="Q76" s="22"/>
      <c r="R76" s="22"/>
      <c r="S76" s="31">
        <f t="shared" si="29"/>
        <v>1</v>
      </c>
      <c r="T76" s="46" t="str">
        <f t="shared" si="4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-16T10:25:18-0600',mode:absolute,to:'2017-04-16T13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6" s="183" t="str">
        <f t="shared" si="6"/>
        <v>N</v>
      </c>
      <c r="X76" s="183">
        <f t="shared" si="27"/>
        <v>1</v>
      </c>
      <c r="Y76" s="62">
        <f t="shared" si="8"/>
        <v>6.7900000000000002E-2</v>
      </c>
      <c r="Z76" s="62">
        <f t="shared" si="25"/>
        <v>23.332599999999999</v>
      </c>
      <c r="AA76" s="62">
        <f t="shared" si="10"/>
        <v>23.264699999999998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0163-16</v>
      </c>
      <c r="AE76" s="85" t="str">
        <f t="shared" si="12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76" s="82" t="str">
        <f t="shared" si="13"/>
        <v>"C:\Program Files (x86)\AstroGrep\AstroGrep.exe" /e /r /s /spath="%USERPROFILE%\AppData\Local\Temp\OnboardLogs" /stypes="app*4006*20170416*"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163-16 --locoid 4006 --swversion DE.1.0.9.0 --startMP 204:679 --initTime 2017-04-16T11:25:18 --startdatetime 2017-04-16T11:30:16 --delay 2 --endMP 204:233326 --enddatetime 2017-04-16T12:05:50 --enforcementcount 0 &gt;&gt;C:\Users\stu\Documents\GitHub\eaglep3-reporting\EC\2017-04-16-refined-times.txt</v>
      </c>
      <c r="AI76" s="104" t="str">
        <f t="shared" si="20"/>
        <v>echo {"issue":{"subject":"","project_id":79,"tracker_id":40,"status_id":1,"priority_id":2,"assigned_to_id":23,"start_date":"2017-04-16","description":"","custom_fields":[{"id":1,"name":"Subdivision","value":"EC"},{"id":4,"name":"Milepost","value":"23.3326"},{"id":17,"name":"Train ID","value":"163-16"},{"id":16,"name":"Locomotive ID","value":"4006"},{"id":130,"name":"Impact","value":""},{"id":150,"name":"Time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4006 --day 2017-04-16</v>
      </c>
      <c r="AN76" s="159" t="str">
        <f t="shared" si="2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652</v>
      </c>
      <c r="B77" s="7">
        <v>4005</v>
      </c>
      <c r="C77" s="21" t="s">
        <v>214</v>
      </c>
      <c r="D77" s="21" t="s">
        <v>897</v>
      </c>
      <c r="E77" s="13">
        <v>42841.512743055559</v>
      </c>
      <c r="F77" s="13">
        <v>42841.518240740741</v>
      </c>
      <c r="G77" s="7">
        <v>1</v>
      </c>
      <c r="H77" s="21" t="s">
        <v>609</v>
      </c>
      <c r="I77" s="13">
        <v>42841.544999999998</v>
      </c>
      <c r="J77" s="7">
        <v>0</v>
      </c>
      <c r="K77" s="97" t="str">
        <f t="shared" ref="K77:K140" si="30">IF(ISEVEN(B77),(B77-1)&amp;"/"&amp;B77,B77&amp;"/"&amp;(B77+1))</f>
        <v>4005/4006</v>
      </c>
      <c r="L77" s="21" t="str">
        <f>VLOOKUP(A77,'Trips&amp;Operators'!$C$1:$G$99999,5,FALSE)</f>
        <v>LEVIN SCOTT</v>
      </c>
      <c r="M77" s="6">
        <f t="shared" ref="M77:M140" si="31">I77-F77</f>
        <v>2.675925925723277E-2</v>
      </c>
      <c r="N77" s="7">
        <f t="shared" si="28"/>
        <v>38.533333330415189</v>
      </c>
      <c r="O77" s="7"/>
      <c r="P77" s="7"/>
      <c r="Q77" s="22"/>
      <c r="R77" s="22"/>
      <c r="S77" s="31">
        <f t="shared" si="29"/>
        <v>1</v>
      </c>
      <c r="T77" s="46" t="str">
        <f t="shared" ref="T77:T140" si="32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-16T11:18:21-0600',mode:absolute,to:'2017-04-16T14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7" s="183" t="str">
        <f t="shared" ref="W77:W140" si="34">IF(AA77&lt;IF(AG77="EC",23,5.65),"Y","N")</f>
        <v>N</v>
      </c>
      <c r="X77" s="183">
        <f t="shared" si="27"/>
        <v>1</v>
      </c>
      <c r="Y77" s="62">
        <f t="shared" ref="Y77:Y140" si="35">RIGHT(D77,LEN(D77)-4)/10000</f>
        <v>23.298999999999999</v>
      </c>
      <c r="Z77" s="62">
        <f t="shared" ref="Z77:Z108" si="36">RIGHT(H77,LEN(H77)-4)/10000</f>
        <v>1.3599999999999999E-2</v>
      </c>
      <c r="AA77" s="62">
        <f t="shared" ref="AA77:AA140" si="37">ABS(Z77-Y77)</f>
        <v>23.285399999999999</v>
      </c>
      <c r="AB77" s="59" t="str">
        <f>VLOOKUP(A77,Enforcements!$C$7:$K$13,8,0)</f>
        <v>Bulletin (2)</v>
      </c>
      <c r="AC77" s="55" t="str">
        <f>VLOOKUP(A77,Enforcements!$C$7:$E$13,3,0)</f>
        <v>GRADE CROSSING</v>
      </c>
      <c r="AD77" s="56" t="str">
        <f t="shared" ref="AD77:AD140" si="38">IF(LEN(A77)=6,"0"&amp;A77,A77)</f>
        <v>0164-16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/stypes="app*4005*20170416*" /stext=" 19:.+((SYSTEM_STATE.+slice.+state.+changed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ref="AH77:AH140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164-16 --locoid 4005 --swversion DE.1.0.9.0 --startMP 204:232990 --initTime 2017-04-16T12:18:21 --startdatetime 2017-04-16T12:26:16 --delay 1 --endMP 204:136 --enddatetime 2017-04-16T13:04:48 --enforcementcount 0 &gt;&gt;C:\Users\stu\Documents\GitHub\eaglep3-reporting\EC\2017-04-16-refined-times.txt</v>
      </c>
      <c r="AI77" s="104" t="str">
        <f t="shared" ref="AI77:AI140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{"issue":{"subject":"","project_id":79,"tracker_id":40,"status_id":1,"priority_id":2,"assigned_to_id":23,"start_date":"2017-04-16","description":"","custom_fields":[{"id":1,"name":"Subdivision","value":"EC"},{"id":4,"name":"Milepost","value":"0.0136"},{"id":17,"name":"Train ID","value":"164-16"},{"id":16,"name":"Locomotive ID","value":"4005"},{"id":130,"name":"Impact","value":""},{"id":150,"name":"Time of Event (Mountain Time)","value":"13:04:48"},{"id":151,"name":"Denver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0" si="44">"start /low /b "&amp;dls3logs&amp;" --loco "&amp;B77&amp;" --day "&amp;TEXT(F77,"YYYY-MM-DD")</f>
        <v>start /low /b %USERPROFILE%\Documents\GitHub\eaglep3\Utilities\DownloadLogsFromS3.py --loco 4005 --day 2017-04-16</v>
      </c>
      <c r="AN77" s="159" t="str">
        <f t="shared" ref="AN77:AN140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753</v>
      </c>
      <c r="B78" s="7">
        <v>4026</v>
      </c>
      <c r="C78" s="21" t="s">
        <v>214</v>
      </c>
      <c r="D78" s="21" t="s">
        <v>895</v>
      </c>
      <c r="E78" s="13">
        <v>42841.487581018519</v>
      </c>
      <c r="F78" s="13">
        <v>42841.489768518521</v>
      </c>
      <c r="G78" s="7">
        <v>1</v>
      </c>
      <c r="H78" s="21" t="s">
        <v>561</v>
      </c>
      <c r="I78" s="13">
        <v>42841.514560185184</v>
      </c>
      <c r="J78" s="7">
        <v>0</v>
      </c>
      <c r="K78" s="97" t="str">
        <f t="shared" si="30"/>
        <v>4025/4026</v>
      </c>
      <c r="L78" s="21" t="str">
        <f>VLOOKUP(A78,'Trips&amp;Operators'!$C$1:$G$99999,5,FALSE)</f>
        <v>BRUDER RICHARD</v>
      </c>
      <c r="M78" s="6">
        <f t="shared" si="31"/>
        <v>2.4791666663077194E-2</v>
      </c>
      <c r="N78" s="7">
        <f t="shared" si="28"/>
        <v>35.69999999483116</v>
      </c>
      <c r="O78" s="7"/>
      <c r="P78" s="7"/>
      <c r="Q78" s="22"/>
      <c r="R78" s="22"/>
      <c r="S78" s="31">
        <f t="shared" si="29"/>
        <v>1</v>
      </c>
      <c r="T78" s="46" t="str">
        <f t="shared" si="32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3"/>
        <v>https://d0f6bd738d7f1b3e5a7ca70fe4ff75f0.us-east-1.aws.found.io/app/kibana#/discover/Steve-Slow-Train-Analysis-(2080s-and-2083s)?_g=(refreshInterval:(display:Off,pause:!f,section:0,value:0),time:(from:'2017-04-16T10:42:07-0600',mode:absolute,to:'2017-04-16T13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83" t="str">
        <f t="shared" si="34"/>
        <v>N</v>
      </c>
      <c r="X78" s="183">
        <f t="shared" si="27"/>
        <v>1</v>
      </c>
      <c r="Y78" s="62">
        <f t="shared" si="35"/>
        <v>6.7900000000000002E-2</v>
      </c>
      <c r="Z78" s="62">
        <f t="shared" si="36"/>
        <v>23.331499999999998</v>
      </c>
      <c r="AA78" s="62">
        <f t="shared" si="37"/>
        <v>23.263599999999997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0165-16</v>
      </c>
      <c r="AE78" s="85" t="str">
        <f t="shared" si="39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78" s="82" t="str">
        <f t="shared" si="40"/>
        <v>"C:\Program Files (x86)\AstroGrep\AstroGrep.exe" /e /r /s /spath="%USERPROFILE%\AppData\Local\Temp\OnboardLogs" /stypes="app*4026*20170416*" /stext=" 18:.+((SYSTEM_STATE.+slice.+state.+changed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si="42"/>
        <v>"%USERPROFILE%\Documents\GitHub\eaglep3\Utilities\RefineRTDCRunTimes.py" --tripid 165-16 --locoid 4026 --swversion DE.1.0.9.0 --startMP 204:679 --initTime 2017-04-16T11:42:07 --startdatetime 2017-04-16T11:45:16 --delay 1 --endMP 204:233315 --enddatetime 2017-04-16T12:20:58 --enforcementcount 0 &gt;&gt;C:\Users\stu\Documents\GitHub\eaglep3-reporting\EC\2017-04-16-refined-times.txt</v>
      </c>
      <c r="AI7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{"issue":{"subject":"","project_id":79,"tracker_id":40,"status_id":1,"priority_id":2,"assigned_to_id":23,"start_date":"2017-04-16","description":"","custom_fields":[{"id":1,"name":"Subdivision","value":"EC"},{"id":4,"name":"Milepost","value":"23.3315"},{"id":17,"name":"Train ID","value":"165-16"},{"id":16,"name":"Locomotive ID","value":"4026"},{"id":130,"name":"Impact","value":""},{"id":150,"name":"Time of Event (Mountain Time)","value":"12:20:58"},{"id":151,"name":"Denver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si="44"/>
        <v>start /low /b %USERPROFILE%\Documents\GitHub\eaglep3\Utilities\DownloadLogsFromS3.py --loco 4026 --day 2017-04-16</v>
      </c>
      <c r="AN78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764</v>
      </c>
      <c r="B79" s="7">
        <v>4025</v>
      </c>
      <c r="C79" s="21" t="s">
        <v>214</v>
      </c>
      <c r="D79" s="21" t="s">
        <v>628</v>
      </c>
      <c r="E79" s="13">
        <v>42841.5237037037</v>
      </c>
      <c r="F79" s="13">
        <v>42841.528657407405</v>
      </c>
      <c r="G79" s="7">
        <v>2</v>
      </c>
      <c r="H79" s="21" t="s">
        <v>211</v>
      </c>
      <c r="I79" s="13">
        <v>42841.555358796293</v>
      </c>
      <c r="J79" s="7">
        <v>0</v>
      </c>
      <c r="K79" s="97" t="str">
        <f t="shared" si="30"/>
        <v>4025/4026</v>
      </c>
      <c r="L79" s="21" t="str">
        <f>VLOOKUP(A79,'Trips&amp;Operators'!$C$1:$G$99999,5,FALSE)</f>
        <v>BRUDER RICHARD</v>
      </c>
      <c r="M79" s="6">
        <f t="shared" si="31"/>
        <v>2.6701388887886424E-2</v>
      </c>
      <c r="N79" s="7">
        <f t="shared" si="28"/>
        <v>38.44999999855645</v>
      </c>
      <c r="O79" s="7"/>
      <c r="P79" s="7"/>
      <c r="Q79" s="22"/>
      <c r="R79" s="22"/>
      <c r="S79" s="31">
        <f t="shared" si="29"/>
        <v>1</v>
      </c>
      <c r="T79" s="46" t="str">
        <f t="shared" si="32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3"/>
        <v>https://d0f6bd738d7f1b3e5a7ca70fe4ff75f0.us-east-1.aws.found.io/app/kibana#/discover/Steve-Slow-Train-Analysis-(2080s-and-2083s)?_g=(refreshInterval:(display:Off,pause:!f,section:0,value:0),time:(from:'2017-04-16T11:34:08-0600',mode:absolute,to:'2017-04-16T14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183" t="str">
        <f t="shared" si="34"/>
        <v>N</v>
      </c>
      <c r="X79" s="183">
        <f t="shared" si="27"/>
        <v>1</v>
      </c>
      <c r="Y79" s="62">
        <f t="shared" si="35"/>
        <v>23.3</v>
      </c>
      <c r="Z79" s="62">
        <f t="shared" si="36"/>
        <v>1.47E-2</v>
      </c>
      <c r="AA79" s="62">
        <f t="shared" si="37"/>
        <v>23.285299999999999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0166-16</v>
      </c>
      <c r="AE79" s="85" t="str">
        <f t="shared" si="39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79" s="82" t="str">
        <f t="shared" si="40"/>
        <v>"C:\Program Files (x86)\AstroGrep\AstroGrep.exe" /e /r /s /spath="%USERPROFILE%\AppData\Local\Temp\OnboardLogs" /stypes="app*4025*20170416*" /stext=" 19:.+((SYSTEM_STATE.+slice.+state.+changed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166-16 --locoid 4025 --swversion DE.1.0.9.0 --startMP 204:233000 --initTime 2017-04-16T12:34:08 --startdatetime 2017-04-16T12:41:16 --delay 2 --endMP 204:147 --enddatetime 2017-04-16T13:19:43 --enforcementcount 0 &gt;&gt;C:\Users\stu\Documents\GitHub\eaglep3-reporting\EC\2017-04-16-refined-times.txt</v>
      </c>
      <c r="AI7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{"issue":{"subject":"","project_id":79,"tracker_id":40,"status_id":1,"priority_id":2,"assigned_to_id":23,"start_date":"2017-04-16","description":"","custom_fields":[{"id":1,"name":"Subdivision","value":"EC"},{"id":4,"name":"Milepost","value":"0.0147"},{"id":17,"name":"Train ID","value":"166-16"},{"id":16,"name":"Locomotive ID","value":"4025"},{"id":130,"name":"Impact","value":""},{"id":150,"name":"Time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4"/>
        <v>start /low /b %USERPROFILE%\Documents\GitHub\eaglep3\Utilities\DownloadLogsFromS3.py --loco 4025 --day 2017-04-16</v>
      </c>
      <c r="AN79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756</v>
      </c>
      <c r="B80" s="7">
        <v>4040</v>
      </c>
      <c r="C80" s="21" t="s">
        <v>214</v>
      </c>
      <c r="D80" s="21" t="s">
        <v>895</v>
      </c>
      <c r="E80" s="13">
        <v>42841.495983796296</v>
      </c>
      <c r="F80" s="13">
        <v>42841.500243055554</v>
      </c>
      <c r="G80" s="7">
        <v>1</v>
      </c>
      <c r="H80" s="21" t="s">
        <v>631</v>
      </c>
      <c r="I80" s="13">
        <v>42841.524733796294</v>
      </c>
      <c r="J80" s="7">
        <v>0</v>
      </c>
      <c r="K80" s="97" t="str">
        <f t="shared" si="30"/>
        <v>4039/4040</v>
      </c>
      <c r="L80" s="21" t="str">
        <f>VLOOKUP(A80,'Trips&amp;Operators'!$C$1:$G$99999,5,FALSE)</f>
        <v>MCREYNOLDS KYLE</v>
      </c>
      <c r="M80" s="6">
        <f t="shared" si="31"/>
        <v>2.4490740739565808E-2</v>
      </c>
      <c r="N80" s="7">
        <f t="shared" si="28"/>
        <v>35.266666664974764</v>
      </c>
      <c r="O80" s="7"/>
      <c r="P80" s="7"/>
      <c r="Q80" s="22"/>
      <c r="R80" s="22"/>
      <c r="S80" s="31">
        <f t="shared" si="29"/>
        <v>1</v>
      </c>
      <c r="T80" s="46" t="str">
        <f t="shared" si="32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3"/>
        <v>https://d0f6bd738d7f1b3e5a7ca70fe4ff75f0.us-east-1.aws.found.io/app/kibana#/discover/Steve-Slow-Train-Analysis-(2080s-and-2083s)?_g=(refreshInterval:(display:Off,pause:!f,section:0,value:0),time:(from:'2017-04-16T10:54:13-0600',mode:absolute,to:'2017-04-16T13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0" s="183" t="str">
        <f t="shared" si="34"/>
        <v>N</v>
      </c>
      <c r="X80" s="183">
        <f t="shared" si="27"/>
        <v>1</v>
      </c>
      <c r="Y80" s="62">
        <f t="shared" si="35"/>
        <v>6.7900000000000002E-2</v>
      </c>
      <c r="Z80" s="62">
        <f t="shared" si="36"/>
        <v>23.3322</v>
      </c>
      <c r="AA80" s="62">
        <f t="shared" si="37"/>
        <v>23.264299999999999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0167-16</v>
      </c>
      <c r="AE80" s="85" t="str">
        <f t="shared" si="39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80" s="82" t="str">
        <f t="shared" si="40"/>
        <v>"C:\Program Files (x86)\AstroGrep\AstroGrep.exe" /e /r /s /spath="%USERPROFILE%\AppData\Local\Temp\OnboardLogs" /stypes="app*4040*20170416*" /stext=" 18:.+((SYSTEM_STATE.+slice.+state.+changed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167-16 --locoid 4040 --swversion DE.1.0.9.0 --startMP 204:679 --initTime 2017-04-16T11:54:13 --startdatetime 2017-04-16T12:00:21 --delay 1 --endMP 204:233322 --enddatetime 2017-04-16T12:35:37 --enforcementcount 0 &gt;&gt;C:\Users\stu\Documents\GitHub\eaglep3-reporting\EC\2017-04-16-refined-times.txt</v>
      </c>
      <c r="AI8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{"issue":{"subject":"","project_id":79,"tracker_id":40,"status_id":1,"priority_id":2,"assigned_to_id":23,"start_date":"2017-04-16","description":"","custom_fields":[{"id":1,"name":"Subdivision","value":"EC"},{"id":4,"name":"Milepost","value":"23.3322"},{"id":17,"name":"Train ID","value":"167-16"},{"id":16,"name":"Locomotive ID","value":"4040"},{"id":130,"name":"Impact","value":""},{"id":150,"name":"Time of Event (Mountain Time)","value":"12:35:37"},{"id":151,"name":"Denver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4040 --day 2017-04-16</v>
      </c>
      <c r="AN80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767</v>
      </c>
      <c r="B81" s="7">
        <v>4039</v>
      </c>
      <c r="C81" s="21" t="s">
        <v>214</v>
      </c>
      <c r="D81" s="21" t="s">
        <v>564</v>
      </c>
      <c r="E81" s="13">
        <v>42841.532488425924</v>
      </c>
      <c r="F81" s="13">
        <v>42841.539097222223</v>
      </c>
      <c r="G81" s="7">
        <v>1</v>
      </c>
      <c r="H81" s="21" t="s">
        <v>198</v>
      </c>
      <c r="I81" s="13">
        <v>42841.566435185188</v>
      </c>
      <c r="J81" s="7">
        <v>0</v>
      </c>
      <c r="K81" s="97" t="str">
        <f t="shared" si="30"/>
        <v>4039/4040</v>
      </c>
      <c r="L81" s="21" t="str">
        <f>VLOOKUP(A81,'Trips&amp;Operators'!$C$1:$G$99999,5,FALSE)</f>
        <v>MCREYNOLDS KYLE</v>
      </c>
      <c r="M81" s="6">
        <f t="shared" si="31"/>
        <v>2.7337962965248153E-2</v>
      </c>
      <c r="N81" s="7">
        <f t="shared" si="28"/>
        <v>39.36666666995734</v>
      </c>
      <c r="O81" s="7"/>
      <c r="P81" s="7"/>
      <c r="Q81" s="22"/>
      <c r="R81" s="22"/>
      <c r="S81" s="31">
        <f t="shared" si="29"/>
        <v>1</v>
      </c>
      <c r="T81" s="46" t="str">
        <f t="shared" si="32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3"/>
        <v>https://d0f6bd738d7f1b3e5a7ca70fe4ff75f0.us-east-1.aws.found.io/app/kibana#/discover/Steve-Slow-Train-Analysis-(2080s-and-2083s)?_g=(refreshInterval:(display:Off,pause:!f,section:0,value:0),time:(from:'2017-04-16T11:46:47-0600',mode:absolute,to:'2017-04-16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1" s="183" t="str">
        <f t="shared" si="34"/>
        <v>N</v>
      </c>
      <c r="X81" s="183">
        <f t="shared" si="27"/>
        <v>1</v>
      </c>
      <c r="Y81" s="62">
        <f t="shared" si="35"/>
        <v>23.3001</v>
      </c>
      <c r="Z81" s="62">
        <f t="shared" si="36"/>
        <v>1.5800000000000002E-2</v>
      </c>
      <c r="AA81" s="62">
        <f t="shared" si="37"/>
        <v>23.284300000000002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0168-16</v>
      </c>
      <c r="AE81" s="85" t="str">
        <f t="shared" si="39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81" s="82" t="str">
        <f t="shared" si="40"/>
        <v>"C:\Program Files (x86)\AstroGrep\AstroGrep.exe" /e /r /s /spath="%USERPROFILE%\AppData\Local\Temp\OnboardLogs" /stypes="app*4039*20170416*" /stext=" 19:.+((SYSTEM_STATE.+slice.+state.+changed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168-16 --locoid 4039 --swversion DE.1.0.9.0 --startMP 204:233001 --initTime 2017-04-16T12:46:47 --startdatetime 2017-04-16T12:56:18 --delay 1 --endMP 204:158 --enddatetime 2017-04-16T13:35:40 --enforcementcount 0 &gt;&gt;C:\Users\stu\Documents\GitHub\eaglep3-reporting\EC\2017-04-16-refined-times.txt</v>
      </c>
      <c r="AI8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{"issue":{"subject":"","project_id":79,"tracker_id":40,"status_id":1,"priority_id":2,"assigned_to_id":23,"start_date":"2017-04-16","description":"","custom_fields":[{"id":1,"name":"Subdivision","value":"EC"},{"id":4,"name":"Milepost","value":"0.0158"},{"id":17,"name":"Train ID","value":"168-16"},{"id":16,"name":"Locomotive ID","value":"4039"},{"id":130,"name":"Impact","value":""},{"id":150,"name":"Time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4039 --day 2017-04-16</v>
      </c>
      <c r="AN81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759</v>
      </c>
      <c r="B82" s="7">
        <v>4016</v>
      </c>
      <c r="C82" s="21" t="s">
        <v>214</v>
      </c>
      <c r="D82" s="21" t="s">
        <v>604</v>
      </c>
      <c r="E82" s="13">
        <v>42841.504502314812</v>
      </c>
      <c r="F82" s="13">
        <v>42841.510567129626</v>
      </c>
      <c r="G82" s="7">
        <v>1</v>
      </c>
      <c r="H82" s="21" t="s">
        <v>898</v>
      </c>
      <c r="I82" s="13">
        <v>42841.535254629627</v>
      </c>
      <c r="J82" s="7">
        <v>0</v>
      </c>
      <c r="K82" s="97" t="str">
        <f t="shared" si="30"/>
        <v>4015/4016</v>
      </c>
      <c r="L82" s="21" t="str">
        <f>VLOOKUP(A82,'Trips&amp;Operators'!$C$1:$G$99999,5,FALSE)</f>
        <v>ROMERO CHAD</v>
      </c>
      <c r="M82" s="6">
        <f t="shared" si="31"/>
        <v>2.4687500001164153E-2</v>
      </c>
      <c r="N82" s="7">
        <f t="shared" si="28"/>
        <v>35.550000001676381</v>
      </c>
      <c r="O82" s="7"/>
      <c r="P82" s="7"/>
      <c r="Q82" s="22"/>
      <c r="R82" s="22"/>
      <c r="S82" s="31">
        <f t="shared" si="29"/>
        <v>1</v>
      </c>
      <c r="T82" s="46" t="str">
        <f t="shared" si="32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3"/>
        <v>https://d0f6bd738d7f1b3e5a7ca70fe4ff75f0.us-east-1.aws.found.io/app/kibana#/discover/Steve-Slow-Train-Analysis-(2080s-and-2083s)?_g=(refreshInterval:(display:Off,pause:!f,section:0,value:0),time:(from:'2017-04-16T11:06:29-0600',mode:absolute,to:'2017-04-16T13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183" t="str">
        <f t="shared" si="34"/>
        <v>N</v>
      </c>
      <c r="X82" s="183">
        <f t="shared" si="27"/>
        <v>1</v>
      </c>
      <c r="Y82" s="62">
        <f t="shared" si="35"/>
        <v>4.4400000000000002E-2</v>
      </c>
      <c r="Z82" s="62">
        <f t="shared" si="36"/>
        <v>23.3415</v>
      </c>
      <c r="AA82" s="62">
        <f t="shared" si="37"/>
        <v>23.2971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0169-16</v>
      </c>
      <c r="AE82" s="85" t="str">
        <f t="shared" si="39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82" s="82" t="str">
        <f t="shared" si="40"/>
        <v>"C:\Program Files (x86)\AstroGrep\AstroGrep.exe" /e /r /s /spath="%USERPROFILE%\AppData\Local\Temp\OnboardLogs" /stypes="app*4016*20170416*" /stext=" 18:.+((SYSTEM_STATE.+slice.+state.+changed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169-16 --locoid 4016 --swversion DE.1.0.9.0 --startMP 204:444 --initTime 2017-04-16T12:06:29 --startdatetime 2017-04-16T12:15:13 --delay 1 --endMP 204:233415 --enddatetime 2017-04-16T12:50:46 --enforcementcount 0 &gt;&gt;C:\Users\stu\Documents\GitHub\eaglep3-reporting\EC\2017-04-16-refined-times.txt</v>
      </c>
      <c r="AI8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{"issue":{"subject":"","project_id":79,"tracker_id":40,"status_id":1,"priority_id":2,"assigned_to_id":23,"start_date":"2017-04-16","description":"","custom_fields":[{"id":1,"name":"Subdivision","value":"EC"},{"id":4,"name":"Milepost","value":"23.3415"},{"id":17,"name":"Train ID","value":"169-16"},{"id":16,"name":"Locomotive ID","value":"4016"},{"id":130,"name":"Impact","value":""},{"id":150,"name":"Time of Event (Mountain Time)","value":"12:50:46"},{"id":151,"name":"Denver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4016 --day 2017-04-16</v>
      </c>
      <c r="AN82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770</v>
      </c>
      <c r="B83" s="7">
        <v>4015</v>
      </c>
      <c r="C83" s="21" t="s">
        <v>214</v>
      </c>
      <c r="D83" s="21" t="s">
        <v>629</v>
      </c>
      <c r="E83" s="13">
        <v>42841.545740740738</v>
      </c>
      <c r="F83" s="13">
        <v>42841.549641203703</v>
      </c>
      <c r="G83" s="7">
        <v>1</v>
      </c>
      <c r="H83" s="21" t="s">
        <v>493</v>
      </c>
      <c r="I83" s="13">
        <v>42841.575254629628</v>
      </c>
      <c r="J83" s="7">
        <v>0</v>
      </c>
      <c r="K83" s="97" t="str">
        <f t="shared" si="30"/>
        <v>4015/4016</v>
      </c>
      <c r="L83" s="21" t="str">
        <f>VLOOKUP(A83,'Trips&amp;Operators'!$C$1:$G$99999,5,FALSE)</f>
        <v>ROMERO CHAD</v>
      </c>
      <c r="M83" s="6">
        <f t="shared" si="31"/>
        <v>2.5613425925257616E-2</v>
      </c>
      <c r="N83" s="7">
        <f t="shared" si="28"/>
        <v>36.883333332370967</v>
      </c>
      <c r="O83" s="7"/>
      <c r="P83" s="7"/>
      <c r="Q83" s="22"/>
      <c r="R83" s="22"/>
      <c r="S83" s="31">
        <f t="shared" si="29"/>
        <v>1</v>
      </c>
      <c r="T83" s="46" t="str">
        <f t="shared" si="32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3"/>
        <v>https://d0f6bd738d7f1b3e5a7ca70fe4ff75f0.us-east-1.aws.found.io/app/kibana#/discover/Steve-Slow-Train-Analysis-(2080s-and-2083s)?_g=(refreshInterval:(display:Off,pause:!f,section:0,value:0),time:(from:'2017-04-16T12:05:52-0600',mode:absolute,to:'2017-04-16T14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183" t="str">
        <f t="shared" si="34"/>
        <v>N</v>
      </c>
      <c r="X83" s="183">
        <f t="shared" si="27"/>
        <v>1</v>
      </c>
      <c r="Y83" s="62">
        <f t="shared" si="35"/>
        <v>23.309100000000001</v>
      </c>
      <c r="Z83" s="62">
        <f t="shared" si="36"/>
        <v>1.43E-2</v>
      </c>
      <c r="AA83" s="62">
        <f t="shared" si="37"/>
        <v>23.294800000000002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0170-16</v>
      </c>
      <c r="AE83" s="85" t="str">
        <f t="shared" si="39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83" s="82" t="str">
        <f t="shared" si="40"/>
        <v>"C:\Program Files (x86)\AstroGrep\AstroGrep.exe" /e /r /s /spath="%USERPROFILE%\AppData\Local\Temp\OnboardLogs" /stypes="app*4015*20170416*"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170-16 --locoid 4015 --swversion DE.1.0.9.0 --startMP 204:233091 --initTime 2017-04-16T13:05:52 --startdatetime 2017-04-16T13:11:29 --delay 1 --endMP 204:143 --enddatetime 2017-04-16T13:48:22 --enforcementcount 0 &gt;&gt;C:\Users\stu\Documents\GitHub\eaglep3-reporting\EC\2017-04-16-refined-times.txt</v>
      </c>
      <c r="AI83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{"issue":{"subject":"","project_id":79,"tracker_id":40,"status_id":1,"priority_id":2,"assigned_to_id":23,"start_date":"2017-04-16","description":"","custom_fields":[{"id":1,"name":"Subdivision","value":"EC"},{"id":4,"name":"Milepost","value":"0.0143"},{"id":17,"name":"Train ID","value":"170-16"},{"id":16,"name":"Locomotive ID","value":"4015"},{"id":130,"name":"Impact","value":""},{"id":150,"name":"Time of Event (Mountain Time)","value":"13:48:22"},{"id":151,"name":"Denver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4"/>
        <v>start /low /b %USERPROFILE%\Documents\GitHub\eaglep3\Utilities\DownloadLogsFromS3.py --loco 4015 --day 2017-04-16</v>
      </c>
      <c r="AN83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763</v>
      </c>
      <c r="B84" s="7">
        <v>4020</v>
      </c>
      <c r="C84" s="21" t="s">
        <v>214</v>
      </c>
      <c r="D84" s="21" t="s">
        <v>419</v>
      </c>
      <c r="E84" s="13">
        <v>42841.519236111111</v>
      </c>
      <c r="F84" s="13">
        <v>42841.52202546296</v>
      </c>
      <c r="G84" s="7">
        <v>2</v>
      </c>
      <c r="H84" s="21" t="s">
        <v>607</v>
      </c>
      <c r="I84" s="13">
        <v>42841.547349537039</v>
      </c>
      <c r="J84" s="7">
        <v>0</v>
      </c>
      <c r="K84" s="97" t="str">
        <f t="shared" si="30"/>
        <v>4019/4020</v>
      </c>
      <c r="L84" s="21" t="str">
        <f>VLOOKUP(A84,'Trips&amp;Operators'!$C$1:$G$99999,5,FALSE)</f>
        <v>BRANDNER MELINDA</v>
      </c>
      <c r="M84" s="6">
        <f t="shared" si="31"/>
        <v>2.5324074078525882E-2</v>
      </c>
      <c r="N84" s="7">
        <f t="shared" si="28"/>
        <v>36.46666667307727</v>
      </c>
      <c r="O84" s="7"/>
      <c r="P84" s="7"/>
      <c r="Q84" s="22"/>
      <c r="R84" s="22"/>
      <c r="S84" s="31">
        <f t="shared" si="29"/>
        <v>1</v>
      </c>
      <c r="T84" s="46" t="str">
        <f t="shared" si="32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3"/>
        <v>https://d0f6bd738d7f1b3e5a7ca70fe4ff75f0.us-east-1.aws.found.io/app/kibana#/discover/Steve-Slow-Train-Analysis-(2080s-and-2083s)?_g=(refreshInterval:(display:Off,pause:!f,section:0,value:0),time:(from:'2017-04-16T11:27:42-0600',mode:absolute,to:'2017-04-16T14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183" t="str">
        <f t="shared" si="34"/>
        <v>N</v>
      </c>
      <c r="X84" s="183">
        <f t="shared" si="27"/>
        <v>1</v>
      </c>
      <c r="Y84" s="62">
        <f t="shared" si="35"/>
        <v>4.58E-2</v>
      </c>
      <c r="Z84" s="62">
        <f t="shared" si="36"/>
        <v>23.329899999999999</v>
      </c>
      <c r="AA84" s="62">
        <f t="shared" si="37"/>
        <v>23.284099999999999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0171-16</v>
      </c>
      <c r="AE84" s="85" t="str">
        <f t="shared" si="39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84" s="82" t="str">
        <f t="shared" si="40"/>
        <v>"C:\Program Files (x86)\AstroGrep\AstroGrep.exe" /e /r /s /spath="%USERPROFILE%\AppData\Local\Temp\OnboardLogs" /stypes="app*4020*20170416*" /stext=" 19:.+((SYSTEM_STATE.+slice.+state.+changed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171-16 --locoid 4020 --swversion DE.1.0.9.0 --startMP 204:458 --initTime 2017-04-16T12:27:42 --startdatetime 2017-04-16T12:31:43 --delay 2 --endMP 204:233299 --enddatetime 2017-04-16T13:08:11 --enforcementcount 0 &gt;&gt;C:\Users\stu\Documents\GitHub\eaglep3-reporting\EC\2017-04-16-refined-times.txt</v>
      </c>
      <c r="AI8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{"issue":{"subject":"","project_id":79,"tracker_id":40,"status_id":1,"priority_id":2,"assigned_to_id":23,"start_date":"2017-04-16","description":"","custom_fields":[{"id":1,"name":"Subdivision","value":"EC"},{"id":4,"name":"Milepost","value":"23.3299"},{"id":17,"name":"Train ID","value":"171-16"},{"id":16,"name":"Locomotive ID","value":"4020"},{"id":130,"name":"Impact","value":""},{"id":150,"name":"Time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4020 --day 2017-04-16</v>
      </c>
      <c r="AN84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653</v>
      </c>
      <c r="B85" s="7">
        <v>4019</v>
      </c>
      <c r="C85" s="21" t="s">
        <v>214</v>
      </c>
      <c r="D85" s="21" t="s">
        <v>397</v>
      </c>
      <c r="E85" s="13">
        <v>42841.556064814817</v>
      </c>
      <c r="F85" s="13">
        <v>42841.559942129628</v>
      </c>
      <c r="G85" s="7">
        <v>1</v>
      </c>
      <c r="H85" s="21" t="s">
        <v>899</v>
      </c>
      <c r="I85" s="13">
        <v>42841.587361111109</v>
      </c>
      <c r="J85" s="7">
        <v>0</v>
      </c>
      <c r="K85" s="97" t="str">
        <f t="shared" si="30"/>
        <v>4019/4020</v>
      </c>
      <c r="L85" s="21" t="str">
        <f>VLOOKUP(A85,'Trips&amp;Operators'!$C$1:$G$99999,5,FALSE)</f>
        <v>BRANDNER MELINDA</v>
      </c>
      <c r="M85" s="6">
        <f t="shared" si="31"/>
        <v>2.7418981480877846E-2</v>
      </c>
      <c r="N85" s="7">
        <f t="shared" si="28"/>
        <v>39.483333332464099</v>
      </c>
      <c r="O85" s="7"/>
      <c r="P85" s="7"/>
      <c r="Q85" s="22"/>
      <c r="R85" s="22"/>
      <c r="S85" s="31">
        <f t="shared" si="29"/>
        <v>1</v>
      </c>
      <c r="T85" s="46" t="str">
        <f t="shared" si="32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3"/>
        <v>https://d0f6bd738d7f1b3e5a7ca70fe4ff75f0.us-east-1.aws.found.io/app/kibana#/discover/Steve-Slow-Train-Analysis-(2080s-and-2083s)?_g=(refreshInterval:(display:Off,pause:!f,section:0,value:0),time:(from:'2017-04-16T12:20:44-0600',mode:absolute,to:'2017-04-16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183" t="str">
        <f t="shared" si="34"/>
        <v>N</v>
      </c>
      <c r="X85" s="183">
        <f t="shared" si="27"/>
        <v>1</v>
      </c>
      <c r="Y85" s="62">
        <f t="shared" si="35"/>
        <v>23.297699999999999</v>
      </c>
      <c r="Z85" s="62">
        <f t="shared" si="36"/>
        <v>1.2999999999999999E-2</v>
      </c>
      <c r="AA85" s="62">
        <f t="shared" si="37"/>
        <v>23.284699999999997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0172-16</v>
      </c>
      <c r="AE85" s="85" t="str">
        <f t="shared" si="39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85" s="82" t="str">
        <f t="shared" si="40"/>
        <v>"C:\Program Files (x86)\AstroGrep\AstroGrep.exe" /e /r /s /spath="%USERPROFILE%\AppData\Local\Temp\OnboardLogs" /stypes="app*4019*20170416*" /stext=" 20:.+((SYSTEM_STATE.+slice.+state.+changed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172-16 --locoid 4019 --swversion DE.1.0.9.0 --startMP 204:232977 --initTime 2017-04-16T13:20:44 --startdatetime 2017-04-16T13:26:19 --delay 1 --endMP 204:130 --enddatetime 2017-04-16T14:05:48 --enforcementcount 0 &gt;&gt;C:\Users\stu\Documents\GitHub\eaglep3-reporting\EC\2017-04-16-refined-times.txt</v>
      </c>
      <c r="AI8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{"issue":{"subject":"","project_id":79,"tracker_id":40,"status_id":1,"priority_id":2,"assigned_to_id":23,"start_date":"2017-04-16","description":"","custom_fields":[{"id":1,"name":"Subdivision","value":"EC"},{"id":4,"name":"Milepost","value":"0.013"},{"id":17,"name":"Train ID","value":"172-16"},{"id":16,"name":"Locomotive ID","value":"4019"},{"id":130,"name":"Impact","value":""},{"id":150,"name":"Time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44"/>
        <v>start /low /b %USERPROFILE%\Documents\GitHub\eaglep3\Utilities\DownloadLogsFromS3.py --loco 4019 --day 2017-04-16</v>
      </c>
      <c r="AN85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766</v>
      </c>
      <c r="B86" s="7">
        <v>4044</v>
      </c>
      <c r="C86" s="21" t="s">
        <v>214</v>
      </c>
      <c r="D86" s="21" t="s">
        <v>900</v>
      </c>
      <c r="E86" s="13">
        <v>42841.527025462965</v>
      </c>
      <c r="F86" s="13">
        <v>42841.5315162037</v>
      </c>
      <c r="G86" s="7">
        <v>2</v>
      </c>
      <c r="H86" s="21" t="s">
        <v>865</v>
      </c>
      <c r="I86" s="13">
        <v>42841.556261574071</v>
      </c>
      <c r="J86" s="7">
        <v>0</v>
      </c>
      <c r="K86" s="97" t="str">
        <f t="shared" si="30"/>
        <v>4043/4044</v>
      </c>
      <c r="L86" s="21" t="str">
        <f>VLOOKUP(A86,'Trips&amp;Operators'!$C$1:$G$99999,5,FALSE)</f>
        <v>STEWART MICHAEL</v>
      </c>
      <c r="M86" s="6">
        <f t="shared" si="31"/>
        <v>2.47453703705105E-2</v>
      </c>
      <c r="N86" s="7">
        <f t="shared" si="28"/>
        <v>35.63333333353512</v>
      </c>
      <c r="O86" s="7"/>
      <c r="P86" s="7"/>
      <c r="Q86" s="22"/>
      <c r="R86" s="22"/>
      <c r="S86" s="31">
        <f t="shared" si="29"/>
        <v>1</v>
      </c>
      <c r="T86" s="46" t="str">
        <f t="shared" si="32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3"/>
        <v>https://d0f6bd738d7f1b3e5a7ca70fe4ff75f0.us-east-1.aws.found.io/app/kibana#/discover/Steve-Slow-Train-Analysis-(2080s-and-2083s)?_g=(refreshInterval:(display:Off,pause:!f,section:0,value:0),time:(from:'2017-04-16T11:38:55-0600',mode:absolute,to:'2017-04-16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6" s="183" t="str">
        <f t="shared" si="34"/>
        <v>N</v>
      </c>
      <c r="X86" s="183">
        <f t="shared" si="27"/>
        <v>1</v>
      </c>
      <c r="Y86" s="62">
        <f t="shared" si="35"/>
        <v>4.8000000000000001E-2</v>
      </c>
      <c r="Z86" s="62">
        <f t="shared" si="36"/>
        <v>23.330400000000001</v>
      </c>
      <c r="AA86" s="62">
        <f t="shared" si="37"/>
        <v>23.282400000000003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0173-16</v>
      </c>
      <c r="AE86" s="85" t="str">
        <f t="shared" si="39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86" s="82" t="str">
        <f t="shared" si="40"/>
        <v>"C:\Program Files (x86)\AstroGrep\AstroGrep.exe" /e /r /s /spath="%USERPROFILE%\AppData\Local\Temp\OnboardLogs" /stypes="app*4044*20170416*" /stext=" 19:.+((SYSTEM_STATE.+slice.+state.+changed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173-16 --locoid 4044 --swversion DE.1.0.9.0 --startMP 204:480 --initTime 2017-04-16T12:38:55 --startdatetime 2017-04-16T12:45:23 --delay 2 --endMP 204:233304 --enddatetime 2017-04-16T13:21:01 --enforcementcount 0 &gt;&gt;C:\Users\stu\Documents\GitHub\eaglep3-reporting\EC\2017-04-16-refined-times.txt</v>
      </c>
      <c r="AI8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{"issue":{"subject":"","project_id":79,"tracker_id":40,"status_id":1,"priority_id":2,"assigned_to_id":23,"start_date":"2017-04-16","description":"","custom_fields":[{"id":1,"name":"Subdivision","value":"EC"},{"id":4,"name":"Milepost","value":"23.3304"},{"id":17,"name":"Train ID","value":"173-16"},{"id":16,"name":"Locomotive ID","value":"4044"},{"id":130,"name":"Impact","value":""},{"id":150,"name":"Time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4"/>
        <v>start /low /b %USERPROFILE%\Documents\GitHub\eaglep3\Utilities\DownloadLogsFromS3.py --loco 4044 --day 2017-04-16</v>
      </c>
      <c r="AN86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774</v>
      </c>
      <c r="B87" s="7">
        <v>4043</v>
      </c>
      <c r="C87" s="21" t="s">
        <v>214</v>
      </c>
      <c r="D87" s="21" t="s">
        <v>901</v>
      </c>
      <c r="E87" s="13">
        <v>42841.567476851851</v>
      </c>
      <c r="F87" s="13">
        <v>42841.570486111108</v>
      </c>
      <c r="G87" s="7">
        <v>1</v>
      </c>
      <c r="H87" s="21" t="s">
        <v>562</v>
      </c>
      <c r="I87" s="13">
        <v>42841.597083333334</v>
      </c>
      <c r="J87" s="7">
        <v>0</v>
      </c>
      <c r="K87" s="97" t="str">
        <f t="shared" si="30"/>
        <v>4043/4044</v>
      </c>
      <c r="L87" s="21" t="str">
        <f>VLOOKUP(A87,'Trips&amp;Operators'!$C$1:$G$99999,5,FALSE)</f>
        <v>STEWART MICHAEL</v>
      </c>
      <c r="M87" s="6">
        <f t="shared" si="31"/>
        <v>2.6597222225973383E-2</v>
      </c>
      <c r="N87" s="7">
        <f t="shared" si="28"/>
        <v>38.300000005401671</v>
      </c>
      <c r="O87" s="7"/>
      <c r="P87" s="7"/>
      <c r="Q87" s="22"/>
      <c r="R87" s="22"/>
      <c r="S87" s="31">
        <f t="shared" si="29"/>
        <v>1</v>
      </c>
      <c r="T87" s="46" t="str">
        <f t="shared" si="32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3"/>
        <v>https://d0f6bd738d7f1b3e5a7ca70fe4ff75f0.us-east-1.aws.found.io/app/kibana#/discover/Steve-Slow-Train-Analysis-(2080s-and-2083s)?_g=(refreshInterval:(display:Off,pause:!f,section:0,value:0),time:(from:'2017-04-16T12:37:10-0600',mode:absolute,to:'2017-04-16T15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7" s="183" t="str">
        <f t="shared" si="34"/>
        <v>N</v>
      </c>
      <c r="X87" s="183">
        <f t="shared" si="27"/>
        <v>1</v>
      </c>
      <c r="Y87" s="62">
        <f t="shared" si="35"/>
        <v>23.299099999999999</v>
      </c>
      <c r="Z87" s="62">
        <f t="shared" si="36"/>
        <v>1.5599999999999999E-2</v>
      </c>
      <c r="AA87" s="62">
        <f t="shared" si="37"/>
        <v>23.2835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0174-16</v>
      </c>
      <c r="AE87" s="85" t="str">
        <f t="shared" si="39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87" s="82" t="str">
        <f t="shared" si="40"/>
        <v>"C:\Program Files (x86)\AstroGrep\AstroGrep.exe" /e /r /s /spath="%USERPROFILE%\AppData\Local\Temp\OnboardLogs" /stypes="app*4043*20170416*" /stext=" 20:.+((SYSTEM_STATE.+slice.+state.+changed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174-16 --locoid 4043 --swversion DE.1.0.9.0 --startMP 204:232991 --initTime 2017-04-16T13:37:10 --startdatetime 2017-04-16T13:41:30 --delay 1 --endMP 204:156 --enddatetime 2017-04-16T14:19:48 --enforcementcount 0 &gt;&gt;C:\Users\stu\Documents\GitHub\eaglep3-reporting\EC\2017-04-16-refined-times.txt</v>
      </c>
      <c r="AI8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ID","value":"174-16"},{"id":16,"name":"Locomotive ID","value":"4043"},{"id":130,"name":"Impact","value":""},{"id":150,"name":"Time of Event (Mountain Time)","value":"14:19:48"},{"id":151,"name":"Denver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4"/>
        <v>start /low /b %USERPROFILE%\Documents\GitHub\eaglep3\Utilities\DownloadLogsFromS3.py --loco 4043 --day 2017-04-16</v>
      </c>
      <c r="AN87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768</v>
      </c>
      <c r="B88" s="7">
        <v>4042</v>
      </c>
      <c r="C88" s="21" t="s">
        <v>214</v>
      </c>
      <c r="D88" s="21" t="s">
        <v>419</v>
      </c>
      <c r="E88" s="13">
        <v>42841.538449074076</v>
      </c>
      <c r="F88" s="13">
        <v>42841.541921296295</v>
      </c>
      <c r="G88" s="7">
        <v>1</v>
      </c>
      <c r="H88" s="21" t="s">
        <v>902</v>
      </c>
      <c r="I88" s="13">
        <v>42841.567523148151</v>
      </c>
      <c r="J88" s="7">
        <v>0</v>
      </c>
      <c r="K88" s="97" t="str">
        <f t="shared" si="30"/>
        <v>4041/4042</v>
      </c>
      <c r="L88" s="21" t="str">
        <f>VLOOKUP(A88,'Trips&amp;Operators'!$C$1:$G$99999,5,FALSE)</f>
        <v>DAVIS MICHAEL</v>
      </c>
      <c r="M88" s="6">
        <f t="shared" si="31"/>
        <v>2.5601851855753921E-2</v>
      </c>
      <c r="N88" s="7">
        <f t="shared" si="28"/>
        <v>36.866666672285646</v>
      </c>
      <c r="O88" s="7"/>
      <c r="P88" s="7"/>
      <c r="Q88" s="22"/>
      <c r="R88" s="22"/>
      <c r="S88" s="31">
        <f t="shared" si="29"/>
        <v>1</v>
      </c>
      <c r="T88" s="46" t="str">
        <f t="shared" si="32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3"/>
        <v>https://d0f6bd738d7f1b3e5a7ca70fe4ff75f0.us-east-1.aws.found.io/app/kibana#/discover/Steve-Slow-Train-Analysis-(2080s-and-2083s)?_g=(refreshInterval:(display:Off,pause:!f,section:0,value:0),time:(from:'2017-04-16T11:55:22-0600',mode:absolute,to:'2017-04-16T14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83" t="str">
        <f t="shared" si="34"/>
        <v>N</v>
      </c>
      <c r="X88" s="183">
        <f t="shared" si="27"/>
        <v>1</v>
      </c>
      <c r="Y88" s="62">
        <f t="shared" si="35"/>
        <v>4.58E-2</v>
      </c>
      <c r="Z88" s="62">
        <f t="shared" si="36"/>
        <v>23.327999999999999</v>
      </c>
      <c r="AA88" s="62">
        <f t="shared" si="37"/>
        <v>23.2822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0175-16</v>
      </c>
      <c r="AE88" s="85" t="str">
        <f t="shared" si="39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88" s="82" t="str">
        <f t="shared" si="40"/>
        <v>"C:\Program Files (x86)\AstroGrep\AstroGrep.exe" /e /r /s /spath="%USERPROFILE%\AppData\Local\Temp\OnboardLogs" /stypes="app*4042*20170416*" /stext=" 19:.+((SYSTEM_STATE.+slice.+state.+changed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 t="shared" si="42"/>
        <v>"%USERPROFILE%\Documents\GitHub\eaglep3\Utilities\RefineRTDCRunTimes.py" --tripid 175-16 --locoid 4042 --swversion DE.1.0.9.0 --startMP 204:458 --initTime 2017-04-16T12:55:22 --startdatetime 2017-04-16T13:00:22 --delay 1 --endMP 204:233280 --enddatetime 2017-04-16T13:37:14 --enforcementcount 0 &gt;&gt;C:\Users\stu\Documents\GitHub\eaglep3-reporting\EC\2017-04-16-refined-times.txt</v>
      </c>
      <c r="AI8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{"issue":{"subject":"","project_id":79,"tracker_id":40,"status_id":1,"priority_id":2,"assigned_to_id":23,"start_date":"2017-04-16","description":"","custom_fields":[{"id":1,"name":"Subdivision","value":"EC"},{"id":4,"name":"Milepost","value":"23.328"},{"id":17,"name":"Train ID","value":"175-16"},{"id":16,"name":"Locomotive ID","value":"4042"},{"id":130,"name":"Impact","value":""},{"id":150,"name":"Time of Event (Mountain Time)","value":"13:37:14"},{"id":151,"name":"Denver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4"/>
        <v>start /low /b %USERPROFILE%\Documents\GitHub\eaglep3\Utilities\DownloadLogsFromS3.py --loco 4042 --day 2017-04-16</v>
      </c>
      <c r="AN88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776</v>
      </c>
      <c r="B89" s="7">
        <v>4041</v>
      </c>
      <c r="C89" s="21" t="s">
        <v>214</v>
      </c>
      <c r="D89" s="21" t="s">
        <v>492</v>
      </c>
      <c r="E89" s="13">
        <v>42841.578587962962</v>
      </c>
      <c r="F89" s="13">
        <v>42841.581006944441</v>
      </c>
      <c r="G89" s="7">
        <v>1</v>
      </c>
      <c r="H89" s="21" t="s">
        <v>603</v>
      </c>
      <c r="I89" s="13">
        <v>42841.608599537038</v>
      </c>
      <c r="J89" s="7">
        <v>0</v>
      </c>
      <c r="K89" s="97" t="str">
        <f t="shared" si="30"/>
        <v>4041/4042</v>
      </c>
      <c r="L89" s="21" t="str">
        <f>VLOOKUP(A89,'Trips&amp;Operators'!$C$1:$G$99999,5,FALSE)</f>
        <v>DAVIS MICHAEL</v>
      </c>
      <c r="M89" s="6">
        <f t="shared" si="31"/>
        <v>2.7592592596192844E-2</v>
      </c>
      <c r="N89" s="7">
        <f t="shared" si="28"/>
        <v>39.733333338517696</v>
      </c>
      <c r="O89" s="7"/>
      <c r="P89" s="7"/>
      <c r="Q89" s="22"/>
      <c r="R89" s="22"/>
      <c r="S89" s="31">
        <f t="shared" si="29"/>
        <v>1</v>
      </c>
      <c r="T89" s="46" t="str">
        <f t="shared" si="32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3"/>
        <v>https://d0f6bd738d7f1b3e5a7ca70fe4ff75f0.us-east-1.aws.found.io/app/kibana#/discover/Steve-Slow-Train-Analysis-(2080s-and-2083s)?_g=(refreshInterval:(display:Off,pause:!f,section:0,value:0),time:(from:'2017-04-16T12:53:10-0600',mode:absolute,to:'2017-04-16T15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83" t="str">
        <f t="shared" si="34"/>
        <v>N</v>
      </c>
      <c r="X89" s="183">
        <f t="shared" si="27"/>
        <v>1</v>
      </c>
      <c r="Y89" s="62">
        <f t="shared" si="35"/>
        <v>23.299800000000001</v>
      </c>
      <c r="Z89" s="62">
        <f t="shared" si="36"/>
        <v>1.34E-2</v>
      </c>
      <c r="AA89" s="62">
        <f t="shared" si="37"/>
        <v>23.2864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0176-16</v>
      </c>
      <c r="AE89" s="85" t="str">
        <f t="shared" si="39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89" s="82" t="str">
        <f t="shared" si="40"/>
        <v>"C:\Program Files (x86)\AstroGrep\AstroGrep.exe" /e /r /s /spath="%USERPROFILE%\AppData\Local\Temp\OnboardLogs" /stypes="app*4041*20170416*" /stext=" 20:.+((SYSTEM_STATE.+slice.+state.+changed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176-16 --locoid 4041 --swversion DE.1.0.9.0 --startMP 204:232998 --initTime 2017-04-16T13:53:10 --startdatetime 2017-04-16T13:56:39 --delay 1 --endMP 204:134 --enddatetime 2017-04-16T14:36:23 --enforcementcount 0 &gt;&gt;C:\Users\stu\Documents\GitHub\eaglep3-reporting\EC\2017-04-16-refined-times.txt</v>
      </c>
      <c r="AI8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{"issue":{"subject":"","project_id":79,"tracker_id":40,"status_id":1,"priority_id":2,"assigned_to_id":23,"start_date":"2017-04-16","description":"","custom_fields":[{"id":1,"name":"Subdivision","value":"EC"},{"id":4,"name":"Milepost","value":"0.0134"},{"id":17,"name":"Train ID","value":"176-16"},{"id":16,"name":"Locomotive ID","value":"4041"},{"id":130,"name":"Impact","value":""},{"id":150,"name":"Time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4041 --day 2017-04-16</v>
      </c>
      <c r="AN89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771</v>
      </c>
      <c r="B90" s="7">
        <v>4006</v>
      </c>
      <c r="C90" s="21" t="s">
        <v>214</v>
      </c>
      <c r="D90" s="21" t="s">
        <v>210</v>
      </c>
      <c r="E90" s="13">
        <v>42841.547523148147</v>
      </c>
      <c r="F90" s="13">
        <v>42841.552349537036</v>
      </c>
      <c r="G90" s="7">
        <v>1</v>
      </c>
      <c r="H90" s="21" t="s">
        <v>903</v>
      </c>
      <c r="I90" s="13">
        <v>42841.577384259261</v>
      </c>
      <c r="J90" s="7">
        <v>0</v>
      </c>
      <c r="K90" s="97" t="str">
        <f t="shared" si="30"/>
        <v>4005/4006</v>
      </c>
      <c r="L90" s="21" t="str">
        <f>VLOOKUP(A90,'Trips&amp;Operators'!$C$1:$G$99999,5,FALSE)</f>
        <v>LEVIN SCOTT</v>
      </c>
      <c r="M90" s="6">
        <f t="shared" si="31"/>
        <v>2.5034722224518191E-2</v>
      </c>
      <c r="N90" s="7">
        <f t="shared" si="28"/>
        <v>36.050000003306195</v>
      </c>
      <c r="O90" s="7"/>
      <c r="P90" s="7"/>
      <c r="Q90" s="22"/>
      <c r="R90" s="22"/>
      <c r="S90" s="31">
        <f t="shared" si="29"/>
        <v>1</v>
      </c>
      <c r="T90" s="46" t="str">
        <f t="shared" si="32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3"/>
        <v>https://d0f6bd738d7f1b3e5a7ca70fe4ff75f0.us-east-1.aws.found.io/app/kibana#/discover/Steve-Slow-Train-Analysis-(2080s-and-2083s)?_g=(refreshInterval:(display:Off,pause:!f,section:0,value:0),time:(from:'2017-04-16T12:08:26-0600',mode:absolute,to:'2017-04-16T14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0" s="183" t="str">
        <f t="shared" si="34"/>
        <v>N</v>
      </c>
      <c r="X90" s="183">
        <f t="shared" si="27"/>
        <v>1</v>
      </c>
      <c r="Y90" s="62">
        <f t="shared" si="35"/>
        <v>4.5499999999999999E-2</v>
      </c>
      <c r="Z90" s="62">
        <f t="shared" si="36"/>
        <v>23.3353</v>
      </c>
      <c r="AA90" s="62">
        <f t="shared" si="37"/>
        <v>23.2898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0177-16</v>
      </c>
      <c r="AE90" s="85" t="str">
        <f t="shared" si="39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90" s="82" t="str">
        <f t="shared" si="40"/>
        <v>"C:\Program Files (x86)\AstroGrep\AstroGrep.exe" /e /r /s /spath="%USERPROFILE%\AppData\Local\Temp\OnboardLogs" /stypes="app*4006*20170416*" /stext=" 19:.+((SYSTEM_STATE.+slice.+state.+changed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177-16 --locoid 4006 --swversion DE.1.0.9.0 --startMP 204:455 --initTime 2017-04-16T13:08:26 --startdatetime 2017-04-16T13:15:23 --delay 1 --endMP 204:233353 --enddatetime 2017-04-16T13:51:26 --enforcementcount 0 &gt;&gt;C:\Users\stu\Documents\GitHub\eaglep3-reporting\EC\2017-04-16-refined-times.txt</v>
      </c>
      <c r="AI9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{"issue":{"subject":"","project_id":79,"tracker_id":40,"status_id":1,"priority_id":2,"assigned_to_id":23,"start_date":"2017-04-16","description":"","custom_fields":[{"id":1,"name":"Subdivision","value":"EC"},{"id":4,"name":"Milepost","value":"23.3353"},{"id":17,"name":"Train ID","value":"177-16"},{"id":16,"name":"Locomotive ID","value":"4006"},{"id":130,"name":"Impact","value":""},{"id":150,"name":"Time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4006 --day 2017-04-16</v>
      </c>
      <c r="AN90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777</v>
      </c>
      <c r="B91" s="7">
        <v>4005</v>
      </c>
      <c r="C91" s="21" t="s">
        <v>214</v>
      </c>
      <c r="D91" s="21" t="s">
        <v>633</v>
      </c>
      <c r="E91" s="13">
        <v>42841.587581018517</v>
      </c>
      <c r="F91" s="13">
        <v>42841.591145833336</v>
      </c>
      <c r="G91" s="7">
        <v>1</v>
      </c>
      <c r="H91" s="21" t="s">
        <v>612</v>
      </c>
      <c r="I91" s="13">
        <v>42841.617534722223</v>
      </c>
      <c r="J91" s="7">
        <v>0</v>
      </c>
      <c r="K91" s="97" t="str">
        <f t="shared" si="30"/>
        <v>4005/4006</v>
      </c>
      <c r="L91" s="21" t="str">
        <f>VLOOKUP(A91,'Trips&amp;Operators'!$C$1:$G$99999,5,FALSE)</f>
        <v>LEVIN SCOTT</v>
      </c>
      <c r="M91" s="6">
        <f t="shared" si="31"/>
        <v>2.6388888887595385E-2</v>
      </c>
      <c r="N91" s="7">
        <f t="shared" si="28"/>
        <v>37.999999998137355</v>
      </c>
      <c r="O91" s="7"/>
      <c r="P91" s="7"/>
      <c r="Q91" s="22"/>
      <c r="R91" s="22"/>
      <c r="S91" s="31">
        <f t="shared" si="29"/>
        <v>1</v>
      </c>
      <c r="T91" s="46" t="str">
        <f t="shared" si="32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3"/>
        <v>https://d0f6bd738d7f1b3e5a7ca70fe4ff75f0.us-east-1.aws.found.io/app/kibana#/discover/Steve-Slow-Train-Analysis-(2080s-and-2083s)?_g=(refreshInterval:(display:Off,pause:!f,section:0,value:0),time:(from:'2017-04-16T13:06:07-0600',mode:absolute,to:'2017-04-16T15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1" s="183" t="str">
        <f t="shared" si="34"/>
        <v>N</v>
      </c>
      <c r="X91" s="183">
        <f t="shared" ref="X91:X122" si="46">VALUE(LEFT(AD91,4))-VALUE(LEFT(AD90,4))</f>
        <v>1</v>
      </c>
      <c r="Y91" s="62">
        <f t="shared" si="35"/>
        <v>23.302700000000002</v>
      </c>
      <c r="Z91" s="62">
        <f t="shared" si="36"/>
        <v>1.1599999999999999E-2</v>
      </c>
      <c r="AA91" s="62">
        <f t="shared" si="37"/>
        <v>23.2911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0178-16</v>
      </c>
      <c r="AE91" s="85" t="str">
        <f t="shared" si="39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91" s="82" t="str">
        <f t="shared" si="40"/>
        <v>"C:\Program Files (x86)\AstroGrep\AstroGrep.exe" /e /r /s /spath="%USERPROFILE%\AppData\Local\Temp\OnboardLogs" /stypes="app*4005*20170416*"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178-16 --locoid 4005 --swversion DE.1.0.9.0 --startMP 204:233027 --initTime 2017-04-16T14:06:07 --startdatetime 2017-04-16T14:11:15 --delay 1 --endMP 204:116 --enddatetime 2017-04-16T14:49:15 --enforcementcount 0 &gt;&gt;C:\Users\stu\Documents\GitHub\eaglep3-reporting\EC\2017-04-16-refined-times.txt</v>
      </c>
      <c r="AI9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{"issue":{"subject":"","project_id":79,"tracker_id":40,"status_id":1,"priority_id":2,"assigned_to_id":23,"start_date":"2017-04-16","description":"","custom_fields":[{"id":1,"name":"Subdivision","value":"EC"},{"id":4,"name":"Milepost","value":"0.0116"},{"id":17,"name":"Train ID","value":"178-16"},{"id":16,"name":"Locomotive ID","value":"4005"},{"id":130,"name":"Impact","value":""},{"id":150,"name":"Time of Event (Mountain Time)","value":"14:49:15"},{"id":151,"name":"Denver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4005 --day 2017-04-16</v>
      </c>
      <c r="AN91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772</v>
      </c>
      <c r="B92" s="7">
        <v>4026</v>
      </c>
      <c r="C92" s="21" t="s">
        <v>214</v>
      </c>
      <c r="D92" s="21" t="s">
        <v>419</v>
      </c>
      <c r="E92" s="13">
        <v>42841.556875000002</v>
      </c>
      <c r="F92" s="13">
        <v>42841.562673611108</v>
      </c>
      <c r="G92" s="7">
        <v>1</v>
      </c>
      <c r="H92" s="21" t="s">
        <v>904</v>
      </c>
      <c r="I92" s="13">
        <v>42841.587280092594</v>
      </c>
      <c r="J92" s="7">
        <v>0</v>
      </c>
      <c r="K92" s="97" t="str">
        <f t="shared" si="30"/>
        <v>4025/4026</v>
      </c>
      <c r="L92" s="21" t="str">
        <f>VLOOKUP(A92,'Trips&amp;Operators'!$C$1:$G$99999,5,FALSE)</f>
        <v>BRUDER RICHARD</v>
      </c>
      <c r="M92" s="6">
        <f t="shared" si="31"/>
        <v>2.4606481485534459E-2</v>
      </c>
      <c r="N92" s="7">
        <f t="shared" si="28"/>
        <v>35.433333339169621</v>
      </c>
      <c r="O92" s="7"/>
      <c r="P92" s="7"/>
      <c r="Q92" s="22"/>
      <c r="R92" s="22"/>
      <c r="S92" s="31">
        <f t="shared" si="29"/>
        <v>1</v>
      </c>
      <c r="T92" s="46" t="str">
        <f t="shared" si="32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3"/>
        <v>https://d0f6bd738d7f1b3e5a7ca70fe4ff75f0.us-east-1.aws.found.io/app/kibana#/discover/Steve-Slow-Train-Analysis-(2080s-and-2083s)?_g=(refreshInterval:(display:Off,pause:!f,section:0,value:0),time:(from:'2017-04-16T12:21:54-0600',mode:absolute,to:'2017-04-16T15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83" t="str">
        <f t="shared" si="34"/>
        <v>N</v>
      </c>
      <c r="X92" s="183">
        <f t="shared" si="46"/>
        <v>1</v>
      </c>
      <c r="Y92" s="62">
        <f t="shared" si="35"/>
        <v>4.58E-2</v>
      </c>
      <c r="Z92" s="62">
        <f t="shared" si="36"/>
        <v>23.330500000000001</v>
      </c>
      <c r="AA92" s="62">
        <f t="shared" si="37"/>
        <v>23.284700000000001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0179-16</v>
      </c>
      <c r="AE92" s="85" t="str">
        <f t="shared" si="39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92" s="82" t="str">
        <f t="shared" si="40"/>
        <v>"C:\Program Files (x86)\AstroGrep\AstroGrep.exe" /e /r /s /spath="%USERPROFILE%\AppData\Local\Temp\OnboardLogs" /stypes="app*4026*20170416*" /stext=" 20:.+((SYSTEM_STATE.+slice.+state.+changed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179-16 --locoid 4026 --swversion DE.1.0.9.0 --startMP 204:458 --initTime 2017-04-16T13:21:54 --startdatetime 2017-04-16T13:30:15 --delay 1 --endMP 204:233305 --enddatetime 2017-04-16T14:05:41 --enforcementcount 0 &gt;&gt;C:\Users\stu\Documents\GitHub\eaglep3-reporting\EC\2017-04-16-refined-times.txt</v>
      </c>
      <c r="AI9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{"issue":{"subject":"","project_id":79,"tracker_id":40,"status_id":1,"priority_id":2,"assigned_to_id":23,"start_date":"2017-04-16","description":"","custom_fields":[{"id":1,"name":"Subdivision","value":"EC"},{"id":4,"name":"Milepost","value":"23.3305"},{"id":17,"name":"Train ID","value":"179-16"},{"id":16,"name":"Locomotive ID","value":"4026"},{"id":130,"name":"Impact","value":""},{"id":150,"name":"Time of Event (Mountain Time)","value":"14:05:41"},{"id":151,"name":"Denver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44"/>
        <v>start /low /b %USERPROFILE%\Documents\GitHub\eaglep3\Utilities\DownloadLogsFromS3.py --loco 4026 --day 2017-04-16</v>
      </c>
      <c r="AN92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779</v>
      </c>
      <c r="B93" s="7">
        <v>4025</v>
      </c>
      <c r="C93" s="21" t="s">
        <v>214</v>
      </c>
      <c r="D93" s="21" t="s">
        <v>630</v>
      </c>
      <c r="E93" s="13">
        <v>42841.595347222225</v>
      </c>
      <c r="F93" s="13">
        <v>42841.601574074077</v>
      </c>
      <c r="G93" s="7">
        <v>1</v>
      </c>
      <c r="H93" s="21" t="s">
        <v>533</v>
      </c>
      <c r="I93" s="13">
        <v>42841.628321759257</v>
      </c>
      <c r="J93" s="7">
        <v>0</v>
      </c>
      <c r="K93" s="97" t="str">
        <f t="shared" si="30"/>
        <v>4025/4026</v>
      </c>
      <c r="L93" s="21" t="str">
        <f>VLOOKUP(A93,'Trips&amp;Operators'!$C$1:$G$99999,5,FALSE)</f>
        <v>BRUDER RICHARD</v>
      </c>
      <c r="M93" s="6">
        <f t="shared" si="31"/>
        <v>2.6747685180453118E-2</v>
      </c>
      <c r="N93" s="7">
        <f t="shared" si="28"/>
        <v>38.51666665985249</v>
      </c>
      <c r="O93" s="7"/>
      <c r="P93" s="7"/>
      <c r="Q93" s="22"/>
      <c r="R93" s="22"/>
      <c r="S93" s="31">
        <f t="shared" si="29"/>
        <v>1</v>
      </c>
      <c r="T93" s="46" t="str">
        <f t="shared" si="32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3"/>
        <v>https://d0f6bd738d7f1b3e5a7ca70fe4ff75f0.us-east-1.aws.found.io/app/kibana#/discover/Steve-Slow-Train-Analysis-(2080s-and-2083s)?_g=(refreshInterval:(display:Off,pause:!f,section:0,value:0),time:(from:'2017-04-16T13:17:18-0600',mode:absolute,to:'2017-04-16T16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83" t="str">
        <f t="shared" si="34"/>
        <v>N</v>
      </c>
      <c r="X93" s="183">
        <f t="shared" si="46"/>
        <v>1</v>
      </c>
      <c r="Y93" s="62">
        <f t="shared" si="35"/>
        <v>23.299199999999999</v>
      </c>
      <c r="Z93" s="62">
        <f t="shared" si="36"/>
        <v>1.6299999999999999E-2</v>
      </c>
      <c r="AA93" s="62">
        <f t="shared" si="37"/>
        <v>23.282899999999998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0180-16</v>
      </c>
      <c r="AE93" s="85" t="str">
        <f t="shared" si="39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93" s="82" t="str">
        <f t="shared" si="40"/>
        <v>"C:\Program Files (x86)\AstroGrep\AstroGrep.exe" /e /r /s /spath="%USERPROFILE%\AppData\Local\Temp\OnboardLogs" /stypes="app*4025*20170416*" /stext=" 21:.+((SYSTEM_STATE.+slice.+state.+changed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180-16 --locoid 4025 --swversion DE.1.0.9.0 --startMP 204:232992 --initTime 2017-04-16T14:17:18 --startdatetime 2017-04-16T14:26:16 --delay 1 --endMP 204:163 --enddatetime 2017-04-16T15:04:47 --enforcementcount 0 &gt;&gt;C:\Users\stu\Documents\GitHub\eaglep3-reporting\EC\2017-04-16-refined-times.txt</v>
      </c>
      <c r="AI93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{"issue":{"subject":"","project_id":79,"tracker_id":40,"status_id":1,"priority_id":2,"assigned_to_id":23,"start_date":"2017-04-16","description":"","custom_fields":[{"id":1,"name":"Subdivision","value":"EC"},{"id":4,"name":"Milepost","value":"0.0163"},{"id":17,"name":"Train ID","value":"180-16"},{"id":16,"name":"Locomotive ID","value":"4025"},{"id":130,"name":"Impact","value":""},{"id":150,"name":"Time of Event (Mountain Time)","value":"15:04:47"},{"id":151,"name":"Denver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4025 --day 2017-04-16</v>
      </c>
      <c r="AN93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775</v>
      </c>
      <c r="B94" s="7">
        <v>4040</v>
      </c>
      <c r="C94" s="21" t="s">
        <v>214</v>
      </c>
      <c r="D94" s="21" t="s">
        <v>205</v>
      </c>
      <c r="E94" s="13">
        <v>42841.568738425929</v>
      </c>
      <c r="F94" s="13">
        <v>42841.573113425926</v>
      </c>
      <c r="G94" s="7">
        <v>1</v>
      </c>
      <c r="H94" s="21" t="s">
        <v>913</v>
      </c>
      <c r="I94" s="13">
        <v>42841.597916666666</v>
      </c>
      <c r="J94" s="7">
        <v>0</v>
      </c>
      <c r="K94" s="97" t="str">
        <f t="shared" si="30"/>
        <v>4039/4040</v>
      </c>
      <c r="L94" s="21" t="str">
        <f>VLOOKUP(A94,'Trips&amp;Operators'!$C$1:$G$99999,5,FALSE)</f>
        <v>MCREYNOLDS KYLE</v>
      </c>
      <c r="M94" s="6">
        <f t="shared" si="31"/>
        <v>2.4803240739856847E-2</v>
      </c>
      <c r="N94" s="7">
        <f t="shared" ref="N94:N125" si="47">24*60*SUM($M94:$M94)</f>
        <v>35.716666665393859</v>
      </c>
      <c r="O94" s="7"/>
      <c r="P94" s="7"/>
      <c r="Q94" s="22"/>
      <c r="R94" s="22"/>
      <c r="S94" s="31">
        <f t="shared" ref="S94:S125" si="48">SUM(U94:U94)/IF(AG94="EC",12,1)</f>
        <v>1</v>
      </c>
      <c r="T94" s="46" t="str">
        <f t="shared" si="32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3"/>
        <v>https://d0f6bd738d7f1b3e5a7ca70fe4ff75f0.us-east-1.aws.found.io/app/kibana#/discover/Steve-Slow-Train-Analysis-(2080s-and-2083s)?_g=(refreshInterval:(display:Off,pause:!f,section:0,value:0),time:(from:'2017-04-16T12:38:59-0600',mode:absolute,to:'2017-04-16T15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4" s="183" t="str">
        <f t="shared" si="34"/>
        <v>N</v>
      </c>
      <c r="X94" s="183">
        <f t="shared" si="46"/>
        <v>1</v>
      </c>
      <c r="Y94" s="62">
        <f t="shared" si="35"/>
        <v>4.5699999999999998E-2</v>
      </c>
      <c r="Z94" s="62">
        <f t="shared" si="36"/>
        <v>23.328700000000001</v>
      </c>
      <c r="AA94" s="62">
        <f t="shared" si="37"/>
        <v>23.283000000000001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0181-16</v>
      </c>
      <c r="AE94" s="85" t="str">
        <f t="shared" si="39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94" s="82" t="str">
        <f t="shared" si="40"/>
        <v>"C:\Program Files (x86)\AstroGrep\AstroGrep.exe" /e /r /s /spath="%USERPROFILE%\AppData\Local\Temp\OnboardLogs" /stypes="app*4040*20170416*" /stext=" 20:.+((SYSTEM_STATE.+slice.+state.+changed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181-16 --locoid 4040 --swversion DE.1.0.9.0 --startMP 204:457 --initTime 2017-04-16T13:38:59 --startdatetime 2017-04-16T13:45:17 --delay 1 --endMP 204:233287 --enddatetime 2017-04-16T14:21:00 --enforcementcount 0 &gt;&gt;C:\Users\stu\Documents\GitHub\eaglep3-reporting\EC\2017-04-16-refined-times.txt</v>
      </c>
      <c r="AI9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{"issue":{"subject":"","project_id":79,"tracker_id":40,"status_id":1,"priority_id":2,"assigned_to_id":23,"start_date":"2017-04-16","description":"","custom_fields":[{"id":1,"name":"Subdivision","value":"EC"},{"id":4,"name":"Milepost","value":"23.3287"},{"id":17,"name":"Train ID","value":"181-16"},{"id":16,"name":"Locomotive ID","value":"4040"},{"id":130,"name":"Impact","value":""},{"id":150,"name":"Time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4040 --day 2017-04-16</v>
      </c>
      <c r="AN94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656</v>
      </c>
      <c r="B95" s="7">
        <v>4039</v>
      </c>
      <c r="C95" s="21" t="s">
        <v>214</v>
      </c>
      <c r="D95" s="21" t="s">
        <v>613</v>
      </c>
      <c r="E95" s="13">
        <v>42841.601875</v>
      </c>
      <c r="F95" s="13">
        <v>42841.612025462964</v>
      </c>
      <c r="G95" s="7">
        <v>1</v>
      </c>
      <c r="H95" s="21" t="s">
        <v>926</v>
      </c>
      <c r="I95" s="13">
        <v>42841.638182870367</v>
      </c>
      <c r="J95" s="7">
        <v>0</v>
      </c>
      <c r="K95" s="97" t="str">
        <f t="shared" si="30"/>
        <v>4039/4040</v>
      </c>
      <c r="L95" s="21" t="str">
        <f>VLOOKUP(A95,'Trips&amp;Operators'!$C$1:$G$99999,5,FALSE)</f>
        <v>MCREYNOLDS KYLE</v>
      </c>
      <c r="M95" s="6">
        <f t="shared" si="31"/>
        <v>2.6157407402934041E-2</v>
      </c>
      <c r="N95" s="7">
        <f t="shared" si="47"/>
        <v>37.666666660225019</v>
      </c>
      <c r="O95" s="7"/>
      <c r="P95" s="7"/>
      <c r="Q95" s="22"/>
      <c r="R95" s="22"/>
      <c r="S95" s="31">
        <f t="shared" si="48"/>
        <v>1</v>
      </c>
      <c r="T95" s="46" t="str">
        <f t="shared" si="32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3"/>
        <v>https://d0f6bd738d7f1b3e5a7ca70fe4ff75f0.us-east-1.aws.found.io/app/kibana#/discover/Steve-Slow-Train-Analysis-(2080s-and-2083s)?_g=(refreshInterval:(display:Off,pause:!f,section:0,value:0),time:(from:'2017-04-16T13:26:42-0600',mode:absolute,to:'2017-04-16T16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5" s="183" t="str">
        <f t="shared" si="34"/>
        <v>N</v>
      </c>
      <c r="X95" s="183">
        <f t="shared" si="46"/>
        <v>1</v>
      </c>
      <c r="Y95" s="62">
        <f t="shared" si="35"/>
        <v>23.297599999999999</v>
      </c>
      <c r="Z95" s="62">
        <f t="shared" si="36"/>
        <v>2.7300000000000001E-2</v>
      </c>
      <c r="AA95" s="62">
        <f t="shared" si="37"/>
        <v>23.270299999999999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0182-16</v>
      </c>
      <c r="AE95" s="85" t="str">
        <f t="shared" si="39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95" s="82" t="str">
        <f t="shared" si="40"/>
        <v>"C:\Program Files (x86)\AstroGrep\AstroGrep.exe" /e /r /s /spath="%USERPROFILE%\AppData\Local\Temp\OnboardLogs" /stypes="app*4039*20170416*" /stext=" 21:.+((SYSTEM_STATE.+slice.+state.+changed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182-16 --locoid 4039 --swversion DE.1.0.9.0 --startMP 204:232976 --initTime 2017-04-16T14:26:42 --startdatetime 2017-04-16T14:41:19 --delay 1 --endMP 204:273 --enddatetime 2017-04-16T15:18:59 --enforcementcount 0 &gt;&gt;C:\Users\stu\Documents\GitHub\eaglep3-reporting\EC\2017-04-16-refined-times.txt</v>
      </c>
      <c r="AI9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{"issue":{"subject":"","project_id":79,"tracker_id":40,"status_id":1,"priority_id":2,"assigned_to_id":23,"start_date":"2017-04-16","description":"","custom_fields":[{"id":1,"name":"Subdivision","value":"EC"},{"id":4,"name":"Milepost","value":"0.0273"},{"id":17,"name":"Train ID","value":"182-16"},{"id":16,"name":"Locomotive ID","value":"4039"},{"id":130,"name":"Impact","value":""},{"id":150,"name":"Time of Event (Mountain Time)","value":"15:18:59"},{"id":151,"name":"Denver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4"/>
        <v>start /low /b %USERPROFILE%\Documents\GitHub\eaglep3\Utilities\DownloadLogsFromS3.py --loco 4039 --day 2017-04-16</v>
      </c>
      <c r="AN95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654</v>
      </c>
      <c r="B96" s="7">
        <v>4016</v>
      </c>
      <c r="C96" s="21" t="s">
        <v>214</v>
      </c>
      <c r="D96" s="21" t="s">
        <v>604</v>
      </c>
      <c r="E96" s="13">
        <v>42841.579837962963</v>
      </c>
      <c r="F96" s="13">
        <v>42841.583472222221</v>
      </c>
      <c r="G96" s="7">
        <v>1</v>
      </c>
      <c r="H96" s="21" t="s">
        <v>934</v>
      </c>
      <c r="I96" s="13">
        <v>42841.608229166668</v>
      </c>
      <c r="J96" s="7">
        <v>0</v>
      </c>
      <c r="K96" s="97" t="str">
        <f t="shared" si="30"/>
        <v>4015/4016</v>
      </c>
      <c r="L96" s="21" t="str">
        <f>VLOOKUP(A96,'Trips&amp;Operators'!$C$1:$G$99999,5,FALSE)</f>
        <v>ROMERO CHAD</v>
      </c>
      <c r="M96" s="6">
        <f t="shared" si="31"/>
        <v>2.4756944447290152E-2</v>
      </c>
      <c r="N96" s="7">
        <f t="shared" si="47"/>
        <v>35.650000004097819</v>
      </c>
      <c r="O96" s="7"/>
      <c r="P96" s="7"/>
      <c r="Q96" s="22"/>
      <c r="R96" s="22"/>
      <c r="S96" s="31">
        <f t="shared" si="48"/>
        <v>1</v>
      </c>
      <c r="T96" s="46" t="str">
        <f t="shared" si="32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3"/>
        <v>https://d0f6bd738d7f1b3e5a7ca70fe4ff75f0.us-east-1.aws.found.io/app/kibana#/discover/Steve-Slow-Train-Analysis-(2080s-and-2083s)?_g=(refreshInterval:(display:Off,pause:!f,section:0,value:0),time:(from:'2017-04-16T12:54:58-0600',mode:absolute,to:'2017-04-16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6" s="183" t="str">
        <f t="shared" si="34"/>
        <v>N</v>
      </c>
      <c r="X96" s="183">
        <f t="shared" si="46"/>
        <v>1</v>
      </c>
      <c r="Y96" s="62">
        <f t="shared" si="35"/>
        <v>4.4400000000000002E-2</v>
      </c>
      <c r="Z96" s="62">
        <f t="shared" si="36"/>
        <v>23.340299999999999</v>
      </c>
      <c r="AA96" s="62">
        <f t="shared" si="37"/>
        <v>23.2959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0183-16</v>
      </c>
      <c r="AE96" s="85" t="str">
        <f t="shared" si="39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96" s="82" t="str">
        <f t="shared" si="40"/>
        <v>"C:\Program Files (x86)\AstroGrep\AstroGrep.exe" /e /r /s /spath="%USERPROFILE%\AppData\Local\Temp\OnboardLogs" /stypes="app*4016*20170416*" /stext=" 20:.+((SYSTEM_STATE.+slice.+state.+changed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183-16 --locoid 4016 --swversion DE.1.0.9.0 --startMP 204:444 --initTime 2017-04-16T13:54:58 --startdatetime 2017-04-16T14:00:12 --delay 1 --endMP 204:233403 --enddatetime 2017-04-16T14:35:51 --enforcementcount 0 &gt;&gt;C:\Users\stu\Documents\GitHub\eaglep3-reporting\EC\2017-04-16-refined-times.txt</v>
      </c>
      <c r="AI9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{"issue":{"subject":"","project_id":79,"tracker_id":40,"status_id":1,"priority_id":2,"assigned_to_id":23,"start_date":"2017-04-16","description":"","custom_fields":[{"id":1,"name":"Subdivision","value":"EC"},{"id":4,"name":"Milepost","value":"23.3403"},{"id":17,"name":"Train ID","value":"183-16"},{"id":16,"name":"Locomotive ID","value":"4016"},{"id":130,"name":"Impact","value":""},{"id":150,"name":"Time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4016 --day 2017-04-16</v>
      </c>
      <c r="AN96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781</v>
      </c>
      <c r="B97" s="7">
        <v>4015</v>
      </c>
      <c r="C97" s="21" t="s">
        <v>214</v>
      </c>
      <c r="D97" s="21" t="s">
        <v>936</v>
      </c>
      <c r="E97" s="13">
        <v>42841.609386574077</v>
      </c>
      <c r="F97" s="13">
        <v>42841.622372685182</v>
      </c>
      <c r="G97" s="7">
        <v>1</v>
      </c>
      <c r="H97" s="21" t="s">
        <v>603</v>
      </c>
      <c r="I97" s="13">
        <v>42841.648495370369</v>
      </c>
      <c r="J97" s="7">
        <v>0</v>
      </c>
      <c r="K97" s="97" t="str">
        <f t="shared" si="30"/>
        <v>4015/4016</v>
      </c>
      <c r="L97" s="21" t="str">
        <f>VLOOKUP(A97,'Trips&amp;Operators'!$C$1:$G$99999,5,FALSE)</f>
        <v>ROMERO CHAD</v>
      </c>
      <c r="M97" s="6">
        <f t="shared" si="31"/>
        <v>2.6122685187146999E-2</v>
      </c>
      <c r="N97" s="7">
        <f t="shared" si="47"/>
        <v>37.616666669491678</v>
      </c>
      <c r="O97" s="7"/>
      <c r="P97" s="7"/>
      <c r="Q97" s="22"/>
      <c r="R97" s="22"/>
      <c r="S97" s="31">
        <f t="shared" si="48"/>
        <v>1</v>
      </c>
      <c r="T97" s="46" t="str">
        <f t="shared" si="32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3"/>
        <v>https://d0f6bd738d7f1b3e5a7ca70fe4ff75f0.us-east-1.aws.found.io/app/kibana#/discover/Steve-Slow-Train-Analysis-(2080s-and-2083s)?_g=(refreshInterval:(display:Off,pause:!f,section:0,value:0),time:(from:'2017-04-16T13:37:31-0600',mode:absolute,to:'2017-04-16T16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7" s="183" t="str">
        <f t="shared" si="34"/>
        <v>N</v>
      </c>
      <c r="X97" s="183">
        <f t="shared" si="46"/>
        <v>1</v>
      </c>
      <c r="Y97" s="62">
        <f t="shared" si="35"/>
        <v>23.308800000000002</v>
      </c>
      <c r="Z97" s="62">
        <f t="shared" si="36"/>
        <v>1.34E-2</v>
      </c>
      <c r="AA97" s="62">
        <f t="shared" si="37"/>
        <v>23.295400000000001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0184-16</v>
      </c>
      <c r="AE97" s="85" t="str">
        <f t="shared" si="39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97" s="82" t="str">
        <f t="shared" si="40"/>
        <v>"C:\Program Files (x86)\AstroGrep\AstroGrep.exe" /e /r /s /spath="%USERPROFILE%\AppData\Local\Temp\OnboardLogs" /stypes="app*4015*20170416*" /stext=" 21:.+((SYSTEM_STATE.+slice.+state.+changed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184-16 --locoid 4015 --swversion DE.1.0.9.0 --startMP 204:233088 --initTime 2017-04-16T14:37:31 --startdatetime 2017-04-16T14:56:13 --delay 1 --endMP 204:134 --enddatetime 2017-04-16T15:33:50 --enforcementcount 0 &gt;&gt;C:\Users\stu\Documents\GitHub\eaglep3-reporting\EC\2017-04-16-refined-times.txt</v>
      </c>
      <c r="AI9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{"issue":{"subject":"","project_id":79,"tracker_id":40,"status_id":1,"priority_id":2,"assigned_to_id":23,"start_date":"2017-04-16","description":"","custom_fields":[{"id":1,"name":"Subdivision","value":"EC"},{"id":4,"name":"Milepost","value":"0.0134"},{"id":17,"name":"Train ID","value":"184-16"},{"id":16,"name":"Locomotive ID","value":"4015"},{"id":130,"name":"Impact","value":""},{"id":150,"name":"Time of Event (Mountain Time)","value":"15:33:50"},{"id":151,"name":"Denver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4015 --day 2017-04-16</v>
      </c>
      <c r="AN97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655</v>
      </c>
      <c r="B98" s="7">
        <v>4020</v>
      </c>
      <c r="C98" s="21" t="s">
        <v>214</v>
      </c>
      <c r="D98" s="21" t="s">
        <v>419</v>
      </c>
      <c r="E98" s="13">
        <v>42841.589537037034</v>
      </c>
      <c r="F98" s="13">
        <v>42841.594004629631</v>
      </c>
      <c r="G98" s="7">
        <v>1</v>
      </c>
      <c r="H98" s="21" t="s">
        <v>937</v>
      </c>
      <c r="I98" s="13">
        <v>42841.619201388887</v>
      </c>
      <c r="J98" s="7">
        <v>0</v>
      </c>
      <c r="K98" s="97" t="str">
        <f t="shared" si="30"/>
        <v>4019/4020</v>
      </c>
      <c r="L98" s="21" t="str">
        <f>VLOOKUP(A98,'Trips&amp;Operators'!$C$1:$G$99999,5,FALSE)</f>
        <v>BRANDNER MELINDA</v>
      </c>
      <c r="M98" s="6">
        <f t="shared" si="31"/>
        <v>2.5196759255777579E-2</v>
      </c>
      <c r="N98" s="7">
        <f t="shared" si="47"/>
        <v>36.283333328319713</v>
      </c>
      <c r="O98" s="7"/>
      <c r="P98" s="7"/>
      <c r="Q98" s="22"/>
      <c r="R98" s="22"/>
      <c r="S98" s="31">
        <f t="shared" si="48"/>
        <v>1</v>
      </c>
      <c r="T98" s="46" t="str">
        <f t="shared" si="32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3"/>
        <v>https://d0f6bd738d7f1b3e5a7ca70fe4ff75f0.us-east-1.aws.found.io/app/kibana#/discover/Steve-Slow-Train-Analysis-(2080s-and-2083s)?_g=(refreshInterval:(display:Off,pause:!f,section:0,value:0),time:(from:'2017-04-16T13:08:56-0600',mode:absolute,to:'2017-04-16T15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83" t="str">
        <f t="shared" si="34"/>
        <v>N</v>
      </c>
      <c r="X98" s="183">
        <f t="shared" si="46"/>
        <v>1</v>
      </c>
      <c r="Y98" s="62">
        <f t="shared" si="35"/>
        <v>4.58E-2</v>
      </c>
      <c r="Z98" s="62">
        <f t="shared" si="36"/>
        <v>23.322700000000001</v>
      </c>
      <c r="AA98" s="62">
        <f t="shared" si="37"/>
        <v>23.276900000000001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0185-16</v>
      </c>
      <c r="AE98" s="85" t="str">
        <f t="shared" si="39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98" s="82" t="str">
        <f t="shared" si="40"/>
        <v>"C:\Program Files (x86)\AstroGrep\AstroGrep.exe" /e /r /s /spath="%USERPROFILE%\AppData\Local\Temp\OnboardLogs" /stypes="app*4020*20170416*" /stext=" 20:.+((SYSTEM_STATE.+slice.+state.+changed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185-16 --locoid 4020 --swversion DE.1.0.9.0 --startMP 204:458 --initTime 2017-04-16T14:08:56 --startdatetime 2017-04-16T14:15:22 --delay 1 --endMP 204:233227 --enddatetime 2017-04-16T14:51:39 --enforcementcount 0 &gt;&gt;C:\Users\stu\Documents\GitHub\eaglep3-reporting\EC\2017-04-16-refined-times.txt</v>
      </c>
      <c r="AI9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{"issue":{"subject":"","project_id":79,"tracker_id":40,"status_id":1,"priority_id":2,"assigned_to_id":23,"start_date":"2017-04-16","description":"","custom_fields":[{"id":1,"name":"Subdivision","value":"EC"},{"id":4,"name":"Milepost","value":"23.3227"},{"id":17,"name":"Train ID","value":"185-16"},{"id":16,"name":"Locomotive ID","value":"4020"},{"id":130,"name":"Impact","value":""},{"id":150,"name":"Time of Event (Mountain Time)","value":"14:51:39"},{"id":151,"name":"Denver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4020 --day 2017-04-16</v>
      </c>
      <c r="AN98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785</v>
      </c>
      <c r="B99" s="7">
        <v>4019</v>
      </c>
      <c r="C99" s="21" t="s">
        <v>214</v>
      </c>
      <c r="D99" s="21" t="s">
        <v>938</v>
      </c>
      <c r="E99" s="13">
        <v>42841.622766203705</v>
      </c>
      <c r="F99" s="13">
        <v>42841.632916666669</v>
      </c>
      <c r="G99" s="7">
        <v>1</v>
      </c>
      <c r="H99" s="21" t="s">
        <v>531</v>
      </c>
      <c r="I99" s="13">
        <v>42841.661203703705</v>
      </c>
      <c r="J99" s="7">
        <v>0</v>
      </c>
      <c r="K99" s="97" t="str">
        <f t="shared" si="30"/>
        <v>4019/4020</v>
      </c>
      <c r="L99" s="21" t="str">
        <f>VLOOKUP(A99,'Trips&amp;Operators'!$C$1:$G$99999,5,FALSE)</f>
        <v>BRANDNER MELINDA</v>
      </c>
      <c r="M99" s="6">
        <f t="shared" si="31"/>
        <v>2.8287037035624962E-2</v>
      </c>
      <c r="N99" s="7">
        <f t="shared" si="47"/>
        <v>40.733333331299946</v>
      </c>
      <c r="O99" s="7"/>
      <c r="P99" s="7"/>
      <c r="Q99" s="22"/>
      <c r="R99" s="22"/>
      <c r="S99" s="31">
        <f t="shared" si="48"/>
        <v>1</v>
      </c>
      <c r="T99" s="46" t="str">
        <f t="shared" si="32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3"/>
        <v>https://d0f6bd738d7f1b3e5a7ca70fe4ff75f0.us-east-1.aws.found.io/app/kibana#/discover/Steve-Slow-Train-Analysis-(2080s-and-2083s)?_g=(refreshInterval:(display:Off,pause:!f,section:0,value:0),time:(from:'2017-04-16T13:56:47-0600',mode:absolute,to:'2017-04-16T16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183" t="str">
        <f t="shared" si="34"/>
        <v>N</v>
      </c>
      <c r="X99" s="183">
        <f t="shared" si="46"/>
        <v>1</v>
      </c>
      <c r="Y99" s="62">
        <f t="shared" si="35"/>
        <v>23.2913</v>
      </c>
      <c r="Z99" s="62">
        <f t="shared" si="36"/>
        <v>1.23E-2</v>
      </c>
      <c r="AA99" s="62">
        <f t="shared" si="37"/>
        <v>23.279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0186-16</v>
      </c>
      <c r="AE99" s="85" t="str">
        <f t="shared" si="39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99" s="82" t="str">
        <f t="shared" si="40"/>
        <v>"C:\Program Files (x86)\AstroGrep\AstroGrep.exe" /e /r /s /spath="%USERPROFILE%\AppData\Local\Temp\OnboardLogs" /stypes="app*4019*20170416*"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186-16 --locoid 4019 --swversion DE.1.0.9.0 --startMP 204:232913 --initTime 2017-04-16T14:56:47 --startdatetime 2017-04-16T15:11:24 --delay 1 --endMP 204:123 --enddatetime 2017-04-16T15:52:08 --enforcementcount 0 &gt;&gt;C:\Users\stu\Documents\GitHub\eaglep3-reporting\EC\2017-04-16-refined-times.txt</v>
      </c>
      <c r="AI9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{"issue":{"subject":"","project_id":79,"tracker_id":40,"status_id":1,"priority_id":2,"assigned_to_id":23,"start_date":"2017-04-16","description":"","custom_fields":[{"id":1,"name":"Subdivision","value":"EC"},{"id":4,"name":"Milepost","value":"0.0123"},{"id":17,"name":"Train ID","value":"186-16"},{"id":16,"name":"Locomotive ID","value":"4019"},{"id":130,"name":"Impact","value":""},{"id":150,"name":"Time of Event (Mountain Time)","value":"15:52:08"},{"id":151,"name":"Denver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4019 --day 2017-04-16</v>
      </c>
      <c r="AN99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780</v>
      </c>
      <c r="B100" s="7">
        <v>4044</v>
      </c>
      <c r="C100" s="21" t="s">
        <v>214</v>
      </c>
      <c r="D100" s="21" t="s">
        <v>407</v>
      </c>
      <c r="E100" s="13">
        <v>42841.600729166668</v>
      </c>
      <c r="F100" s="13">
        <v>42841.604375000003</v>
      </c>
      <c r="G100" s="7">
        <v>1</v>
      </c>
      <c r="H100" s="21" t="s">
        <v>473</v>
      </c>
      <c r="I100" s="13">
        <v>42841.629641203705</v>
      </c>
      <c r="J100" s="7">
        <v>0</v>
      </c>
      <c r="K100" s="97" t="str">
        <f t="shared" si="30"/>
        <v>4043/4044</v>
      </c>
      <c r="L100" s="21" t="str">
        <f>VLOOKUP(A100,'Trips&amp;Operators'!$C$1:$G$99999,5,FALSE)</f>
        <v>STEWART MICHAEL</v>
      </c>
      <c r="M100" s="6">
        <f t="shared" si="31"/>
        <v>2.5266203701903578E-2</v>
      </c>
      <c r="N100" s="7">
        <f t="shared" si="47"/>
        <v>36.383333330741152</v>
      </c>
      <c r="O100" s="7"/>
      <c r="P100" s="7"/>
      <c r="Q100" s="22"/>
      <c r="R100" s="22"/>
      <c r="S100" s="31">
        <f t="shared" si="48"/>
        <v>1</v>
      </c>
      <c r="T100" s="46" t="str">
        <f t="shared" si="32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3"/>
        <v>https://d0f6bd738d7f1b3e5a7ca70fe4ff75f0.us-east-1.aws.found.io/app/kibana#/discover/Steve-Slow-Train-Analysis-(2080s-and-2083s)?_g=(refreshInterval:(display:Off,pause:!f,section:0,value:0),time:(from:'2017-04-16T13:25:03-0600',mode:absolute,to:'2017-04-16T16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0" s="183" t="str">
        <f t="shared" si="34"/>
        <v>N</v>
      </c>
      <c r="X100" s="183">
        <f t="shared" si="46"/>
        <v>1</v>
      </c>
      <c r="Y100" s="62">
        <f t="shared" si="35"/>
        <v>4.6199999999999998E-2</v>
      </c>
      <c r="Z100" s="62">
        <f t="shared" si="36"/>
        <v>23.3293</v>
      </c>
      <c r="AA100" s="62">
        <f t="shared" si="37"/>
        <v>23.283100000000001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0187-16</v>
      </c>
      <c r="AE100" s="85" t="str">
        <f t="shared" si="39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100" s="82" t="str">
        <f t="shared" si="40"/>
        <v>"C:\Program Files (x86)\AstroGrep\AstroGrep.exe" /e /r /s /spath="%USERPROFILE%\AppData\Local\Temp\OnboardLogs" /stypes="app*4044*20170416*" /stext=" 21:.+((SYSTEM_STATE.+slice.+state.+changed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187-16 --locoid 4044 --swversion DE.1.0.9.0 --startMP 204:462 --initTime 2017-04-16T14:25:03 --startdatetime 2017-04-16T14:30:18 --delay 1 --endMP 204:233293 --enddatetime 2017-04-16T15:06:41 --enforcementcount 0 &gt;&gt;C:\Users\stu\Documents\GitHub\eaglep3-reporting\EC\2017-04-16-refined-times.txt</v>
      </c>
      <c r="AI10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{"issue":{"subject":"","project_id":79,"tracker_id":40,"status_id":1,"priority_id":2,"assigned_to_id":23,"start_date":"2017-04-16","description":"","custom_fields":[{"id":1,"name":"Subdivision","value":"EC"},{"id":4,"name":"Milepost","value":"23.3293"},{"id":17,"name":"Train ID","value":"187-16"},{"id":16,"name":"Locomotive ID","value":"4044"},{"id":130,"name":"Impact","value":""},{"id":150,"name":"Time of Event (Mountain Time)","value":"15:06:41"},{"id":151,"name":"Denver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4044 --day 2017-04-16</v>
      </c>
      <c r="AN100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789</v>
      </c>
      <c r="B101" s="7">
        <v>4043</v>
      </c>
      <c r="C101" s="21" t="s">
        <v>214</v>
      </c>
      <c r="D101" s="21" t="s">
        <v>397</v>
      </c>
      <c r="E101" s="13">
        <v>42841.640555555554</v>
      </c>
      <c r="F101" s="13">
        <v>42841.643414351849</v>
      </c>
      <c r="G101" s="7">
        <v>1</v>
      </c>
      <c r="H101" s="21" t="s">
        <v>872</v>
      </c>
      <c r="I101" s="13">
        <v>42841.670011574075</v>
      </c>
      <c r="J101" s="7">
        <v>0</v>
      </c>
      <c r="K101" s="97" t="str">
        <f t="shared" si="30"/>
        <v>4043/4044</v>
      </c>
      <c r="L101" s="21" t="str">
        <f>VLOOKUP(A101,'Trips&amp;Operators'!$C$1:$G$99999,5,FALSE)</f>
        <v>STEWART MICHAEL</v>
      </c>
      <c r="M101" s="6">
        <f t="shared" si="31"/>
        <v>2.6597222225973383E-2</v>
      </c>
      <c r="N101" s="7">
        <f t="shared" si="47"/>
        <v>38.300000005401671</v>
      </c>
      <c r="O101" s="7"/>
      <c r="P101" s="7"/>
      <c r="Q101" s="22"/>
      <c r="R101" s="22"/>
      <c r="S101" s="31">
        <f t="shared" si="48"/>
        <v>1</v>
      </c>
      <c r="T101" s="46" t="str">
        <f t="shared" si="32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3"/>
        <v>https://d0f6bd738d7f1b3e5a7ca70fe4ff75f0.us-east-1.aws.found.io/app/kibana#/discover/Steve-Slow-Train-Analysis-(2080s-and-2083s)?_g=(refreshInterval:(display:Off,pause:!f,section:0,value:0),time:(from:'2017-04-16T14:22:24-0600',mode:absolute,to:'2017-04-16T17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1" s="183" t="str">
        <f t="shared" si="34"/>
        <v>N</v>
      </c>
      <c r="X101" s="183">
        <f t="shared" si="46"/>
        <v>1</v>
      </c>
      <c r="Y101" s="62">
        <f t="shared" si="35"/>
        <v>23.297699999999999</v>
      </c>
      <c r="Z101" s="62">
        <f t="shared" si="36"/>
        <v>1.67E-2</v>
      </c>
      <c r="AA101" s="62">
        <f t="shared" si="37"/>
        <v>23.280999999999999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0188-16</v>
      </c>
      <c r="AE101" s="85" t="str">
        <f t="shared" si="39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101" s="82" t="str">
        <f t="shared" si="40"/>
        <v>"C:\Program Files (x86)\AstroGrep\AstroGrep.exe" /e /r /s /spath="%USERPROFILE%\AppData\Local\Temp\OnboardLogs" /stypes="app*4043*20170416*" /stext=" 22:.+((SYSTEM_STATE.+slice.+state.+changed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188-16 --locoid 4043 --swversion DE.1.0.9.0 --startMP 204:232977 --initTime 2017-04-16T15:22:24 --startdatetime 2017-04-16T15:26:31 --delay 1 --endMP 204:167 --enddatetime 2017-04-16T16:04:49 --enforcementcount 0 &gt;&gt;C:\Users\stu\Documents\GitHub\eaglep3-reporting\EC\2017-04-16-refined-times.txt</v>
      </c>
      <c r="AI10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{"issue":{"subject":"","project_id":79,"tracker_id":40,"status_id":1,"priority_id":2,"assigned_to_id":23,"start_date":"2017-04-16","description":"","custom_fields":[{"id":1,"name":"Subdivision","value":"EC"},{"id":4,"name":"Milepost","value":"0.0167"},{"id":17,"name":"Train ID","value":"188-16"},{"id":16,"name":"Locomotive ID","value":"4043"},{"id":130,"name":"Impact","value":""},{"id":150,"name":"Time of Event (Mountain Time)","value":"16:04:49"},{"id":151,"name":"Denver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4043 --day 2017-04-16</v>
      </c>
      <c r="AN101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783</v>
      </c>
      <c r="B102" s="7">
        <v>4042</v>
      </c>
      <c r="C102" s="21" t="s">
        <v>214</v>
      </c>
      <c r="D102" s="21" t="s">
        <v>391</v>
      </c>
      <c r="E102" s="13">
        <v>42841.612754629627</v>
      </c>
      <c r="F102" s="13">
        <v>42841.614965277775</v>
      </c>
      <c r="G102" s="7">
        <v>1</v>
      </c>
      <c r="H102" s="21" t="s">
        <v>457</v>
      </c>
      <c r="I102" s="13">
        <v>42841.640960648147</v>
      </c>
      <c r="J102" s="7">
        <v>0</v>
      </c>
      <c r="K102" s="97" t="str">
        <f t="shared" si="30"/>
        <v>4041/4042</v>
      </c>
      <c r="L102" s="21" t="str">
        <f>VLOOKUP(A102,'Trips&amp;Operators'!$C$1:$G$99999,5,FALSE)</f>
        <v>DAVIS MICHAEL</v>
      </c>
      <c r="M102" s="6">
        <f t="shared" si="31"/>
        <v>2.5995370371674653E-2</v>
      </c>
      <c r="N102" s="7">
        <f t="shared" si="47"/>
        <v>37.433333335211501</v>
      </c>
      <c r="O102" s="7"/>
      <c r="P102" s="7"/>
      <c r="Q102" s="22"/>
      <c r="R102" s="22"/>
      <c r="S102" s="31">
        <f t="shared" si="48"/>
        <v>1</v>
      </c>
      <c r="T102" s="46" t="str">
        <f t="shared" si="32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3"/>
        <v>https://d0f6bd738d7f1b3e5a7ca70fe4ff75f0.us-east-1.aws.found.io/app/kibana#/discover/Steve-Slow-Train-Analysis-(2080s-and-2083s)?_g=(refreshInterval:(display:Off,pause:!f,section:0,value:0),time:(from:'2017-04-16T13:42:22-0600',mode:absolute,to:'2017-04-16T16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183" t="str">
        <f t="shared" si="34"/>
        <v>N</v>
      </c>
      <c r="X102" s="183">
        <f t="shared" si="46"/>
        <v>1</v>
      </c>
      <c r="Y102" s="62">
        <f t="shared" si="35"/>
        <v>4.4900000000000002E-2</v>
      </c>
      <c r="Z102" s="62">
        <f t="shared" si="36"/>
        <v>23.3306</v>
      </c>
      <c r="AA102" s="62">
        <f t="shared" si="37"/>
        <v>23.285700000000002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0189-16</v>
      </c>
      <c r="AE102" s="85" t="str">
        <f t="shared" si="39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02" s="82" t="str">
        <f t="shared" si="40"/>
        <v>"C:\Program Files (x86)\AstroGrep\AstroGrep.exe" /e /r /s /spath="%USERPROFILE%\AppData\Local\Temp\OnboardLogs" /stypes="app*4042*20170416*" /stext=" 21:.+((SYSTEM_STATE.+slice.+state.+changed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189-16 --locoid 4042 --swversion DE.1.0.9.0 --startMP 204:449 --initTime 2017-04-16T14:42:22 --startdatetime 2017-04-16T14:45:33 --delay 1 --endMP 204:233306 --enddatetime 2017-04-16T15:22:59 --enforcementcount 0 &gt;&gt;C:\Users\stu\Documents\GitHub\eaglep3-reporting\EC\2017-04-16-refined-times.txt</v>
      </c>
      <c r="AI10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{"issue":{"subject":"","project_id":79,"tracker_id":40,"status_id":1,"priority_id":2,"assigned_to_id":23,"start_date":"2017-04-16","description":"","custom_fields":[{"id":1,"name":"Subdivision","value":"EC"},{"id":4,"name":"Milepost","value":"23.3306"},{"id":17,"name":"Train ID","value":"189-16"},{"id":16,"name":"Locomotive ID","value":"4042"},{"id":130,"name":"Impact","value":""},{"id":150,"name":"Time of Event (Mountain Time)","value":"15:22:59"},{"id":151,"name":"Denver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4042 --day 2017-04-16</v>
      </c>
      <c r="AN102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792</v>
      </c>
      <c r="B103" s="7">
        <v>4041</v>
      </c>
      <c r="C103" s="21" t="s">
        <v>214</v>
      </c>
      <c r="D103" s="21" t="s">
        <v>880</v>
      </c>
      <c r="E103" s="13">
        <v>42841.650995370372</v>
      </c>
      <c r="F103" s="13">
        <v>42841.653796296298</v>
      </c>
      <c r="G103" s="7">
        <v>1</v>
      </c>
      <c r="H103" s="21" t="s">
        <v>562</v>
      </c>
      <c r="I103" s="13">
        <v>42841.681527777779</v>
      </c>
      <c r="J103" s="7">
        <v>0</v>
      </c>
      <c r="K103" s="97" t="str">
        <f t="shared" si="30"/>
        <v>4041/4042</v>
      </c>
      <c r="L103" s="21" t="str">
        <f>VLOOKUP(A103,'Trips&amp;Operators'!$C$1:$G$99999,5,FALSE)</f>
        <v>DAVIS MICHAEL</v>
      </c>
      <c r="M103" s="6">
        <f t="shared" si="31"/>
        <v>2.7731481481168885E-2</v>
      </c>
      <c r="N103" s="7">
        <f t="shared" si="47"/>
        <v>39.933333332883194</v>
      </c>
      <c r="O103" s="7"/>
      <c r="P103" s="7"/>
      <c r="Q103" s="22"/>
      <c r="R103" s="22"/>
      <c r="S103" s="31">
        <f t="shared" si="48"/>
        <v>1</v>
      </c>
      <c r="T103" s="46" t="str">
        <f t="shared" si="32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3"/>
        <v>https://d0f6bd738d7f1b3e5a7ca70fe4ff75f0.us-east-1.aws.found.io/app/kibana#/discover/Steve-Slow-Train-Analysis-(2080s-and-2083s)?_g=(refreshInterval:(display:Off,pause:!f,section:0,value:0),time:(from:'2017-04-16T14:37:26-0600',mode:absolute,to:'2017-04-16T17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3" s="183" t="str">
        <f t="shared" si="34"/>
        <v>N</v>
      </c>
      <c r="X103" s="183">
        <f t="shared" si="46"/>
        <v>1</v>
      </c>
      <c r="Y103" s="62">
        <f t="shared" si="35"/>
        <v>23.301300000000001</v>
      </c>
      <c r="Z103" s="62">
        <f t="shared" si="36"/>
        <v>1.5599999999999999E-2</v>
      </c>
      <c r="AA103" s="62">
        <f t="shared" si="37"/>
        <v>23.285700000000002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0190-16</v>
      </c>
      <c r="AE103" s="85" t="str">
        <f t="shared" si="39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103" s="82" t="str">
        <f t="shared" si="40"/>
        <v>"C:\Program Files (x86)\AstroGrep\AstroGrep.exe" /e /r /s /spath="%USERPROFILE%\AppData\Local\Temp\OnboardLogs" /stypes="app*4041*20170416*" /stext=" 22:.+((SYSTEM_STATE.+slice.+state.+changed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190-16 --locoid 4041 --swversion DE.1.0.9.0 --startMP 204:233013 --initTime 2017-04-16T15:37:26 --startdatetime 2017-04-16T15:41:28 --delay 1 --endMP 204:156 --enddatetime 2017-04-16T16:21:24 --enforcementcount 0 &gt;&gt;C:\Users\stu\Documents\GitHub\eaglep3-reporting\EC\2017-04-16-refined-times.txt</v>
      </c>
      <c r="AI103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ID","value":"190-16"},{"id":16,"name":"Locomotive ID","value":"4041"},{"id":130,"name":"Impact","value":""},{"id":150,"name":"Time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4041 --day 2017-04-16</v>
      </c>
      <c r="AN103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784</v>
      </c>
      <c r="B104" s="7">
        <v>4006</v>
      </c>
      <c r="C104" s="21" t="s">
        <v>214</v>
      </c>
      <c r="D104" s="21" t="s">
        <v>941</v>
      </c>
      <c r="E104" s="13">
        <v>42841.620821759258</v>
      </c>
      <c r="F104" s="13">
        <v>42841.625185185185</v>
      </c>
      <c r="G104" s="7">
        <v>1</v>
      </c>
      <c r="H104" s="21" t="s">
        <v>505</v>
      </c>
      <c r="I104" s="13">
        <v>42841.650358796294</v>
      </c>
      <c r="J104" s="7">
        <v>0</v>
      </c>
      <c r="K104" s="97" t="str">
        <f t="shared" si="30"/>
        <v>4005/4006</v>
      </c>
      <c r="L104" s="21" t="str">
        <f>VLOOKUP(A104,'Trips&amp;Operators'!$C$1:$G$99999,5,FALSE)</f>
        <v>LEVIN SCOTT</v>
      </c>
      <c r="M104" s="6">
        <f t="shared" si="31"/>
        <v>2.5173611109494232E-2</v>
      </c>
      <c r="N104" s="7">
        <f t="shared" si="47"/>
        <v>36.249999997671694</v>
      </c>
      <c r="O104" s="7"/>
      <c r="P104" s="7"/>
      <c r="Q104" s="22"/>
      <c r="R104" s="22"/>
      <c r="S104" s="31">
        <f t="shared" si="48"/>
        <v>1</v>
      </c>
      <c r="T104" s="46" t="str">
        <f t="shared" si="32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3"/>
        <v>https://d0f6bd738d7f1b3e5a7ca70fe4ff75f0.us-east-1.aws.found.io/app/kibana#/discover/Steve-Slow-Train-Analysis-(2080s-and-2083s)?_g=(refreshInterval:(display:Off,pause:!f,section:0,value:0),time:(from:'2017-04-16T13:53:59-0600',mode:absolute,to:'2017-04-16T16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183" t="str">
        <f t="shared" si="34"/>
        <v>N</v>
      </c>
      <c r="X104" s="183">
        <f t="shared" si="46"/>
        <v>1</v>
      </c>
      <c r="Y104" s="62">
        <f t="shared" si="35"/>
        <v>4.2000000000000003E-2</v>
      </c>
      <c r="Z104" s="62">
        <f t="shared" si="36"/>
        <v>23.330100000000002</v>
      </c>
      <c r="AA104" s="62">
        <f t="shared" si="37"/>
        <v>23.2881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0191-16</v>
      </c>
      <c r="AE104" s="85" t="str">
        <f t="shared" si="39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104" s="82" t="str">
        <f t="shared" si="40"/>
        <v>"C:\Program Files (x86)\AstroGrep\AstroGrep.exe" /e /r /s /spath="%USERPROFILE%\AppData\Local\Temp\OnboardLogs" /stypes="app*4006*20170416*" /stext=" 21:.+((SYSTEM_STATE.+slice.+state.+changed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191-16 --locoid 4006 --swversion DE.1.0.9.0 --startMP 204:420 --initTime 2017-04-16T14:53:59 --startdatetime 2017-04-16T15:00:16 --delay 1 --endMP 204:233301 --enddatetime 2017-04-16T15:36:31 --enforcementcount 0 &gt;&gt;C:\Users\stu\Documents\GitHub\eaglep3-reporting\EC\2017-04-16-refined-times.txt</v>
      </c>
      <c r="AI10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{"issue":{"subject":"","project_id":79,"tracker_id":40,"status_id":1,"priority_id":2,"assigned_to_id":23,"start_date":"2017-04-16","description":"","custom_fields":[{"id":1,"name":"Subdivision","value":"EC"},{"id":4,"name":"Milepost","value":"23.3301"},{"id":17,"name":"Train ID","value":"191-16"},{"id":16,"name":"Locomotive ID","value":"4006"},{"id":130,"name":"Impact","value":""},{"id":150,"name":"Time of Event (Mountain Time)","value":"15:36:31"},{"id":151,"name":"Denver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4006 --day 2017-04-16</v>
      </c>
      <c r="AN104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793</v>
      </c>
      <c r="B105" s="7">
        <v>4005</v>
      </c>
      <c r="C105" s="21" t="s">
        <v>214</v>
      </c>
      <c r="D105" s="21" t="s">
        <v>628</v>
      </c>
      <c r="E105" s="13">
        <v>42841.662314814814</v>
      </c>
      <c r="F105" s="13">
        <v>42841.6640625</v>
      </c>
      <c r="G105" s="7">
        <v>1</v>
      </c>
      <c r="H105" s="21" t="s">
        <v>531</v>
      </c>
      <c r="I105" s="13">
        <v>42841.690092592595</v>
      </c>
      <c r="J105" s="7">
        <v>0</v>
      </c>
      <c r="K105" s="97" t="str">
        <f t="shared" si="30"/>
        <v>4005/4006</v>
      </c>
      <c r="L105" s="21" t="str">
        <f>VLOOKUP(A105,'Trips&amp;Operators'!$C$1:$G$99999,5,FALSE)</f>
        <v>LEVIN SCOTT</v>
      </c>
      <c r="M105" s="6">
        <f t="shared" si="31"/>
        <v>2.6030092594737653E-2</v>
      </c>
      <c r="N105" s="7">
        <f t="shared" si="47"/>
        <v>37.48333333642222</v>
      </c>
      <c r="O105" s="7"/>
      <c r="P105" s="7"/>
      <c r="Q105" s="22"/>
      <c r="R105" s="22"/>
      <c r="S105" s="31">
        <f t="shared" si="48"/>
        <v>1</v>
      </c>
      <c r="T105" s="46" t="str">
        <f t="shared" si="32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3"/>
        <v>https://d0f6bd738d7f1b3e5a7ca70fe4ff75f0.us-east-1.aws.found.io/app/kibana#/discover/Steve-Slow-Train-Analysis-(2080s-and-2083s)?_g=(refreshInterval:(display:Off,pause:!f,section:0,value:0),time:(from:'2017-04-16T14:53:44-0600',mode:absolute,to:'2017-04-16T17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183" t="str">
        <f t="shared" si="34"/>
        <v>N</v>
      </c>
      <c r="X105" s="183">
        <f t="shared" si="46"/>
        <v>1</v>
      </c>
      <c r="Y105" s="62">
        <f t="shared" si="35"/>
        <v>23.3</v>
      </c>
      <c r="Z105" s="62">
        <f t="shared" si="36"/>
        <v>1.23E-2</v>
      </c>
      <c r="AA105" s="62">
        <f t="shared" si="37"/>
        <v>23.287700000000001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0192-16</v>
      </c>
      <c r="AE105" s="85" t="str">
        <f t="shared" si="39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105" s="82" t="str">
        <f t="shared" si="40"/>
        <v>"C:\Program Files (x86)\AstroGrep\AstroGrep.exe" /e /r /s /spath="%USERPROFILE%\AppData\Local\Temp\OnboardLogs" /stypes="app*4005*20170416*" /stext=" 22:.+((SYSTEM_STATE.+slice.+state.+changed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192-16 --locoid 4005 --swversion DE.1.0.9.0 --startMP 204:233000 --initTime 2017-04-16T15:53:44 --startdatetime 2017-04-16T15:56:15 --delay 1 --endMP 204:123 --enddatetime 2017-04-16T16:33:44 --enforcementcount 0 &gt;&gt;C:\Users\stu\Documents\GitHub\eaglep3-reporting\EC\2017-04-16-refined-times.txt</v>
      </c>
      <c r="AI10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{"issue":{"subject":"","project_id":79,"tracker_id":40,"status_id":1,"priority_id":2,"assigned_to_id":23,"start_date":"2017-04-16","description":"","custom_fields":[{"id":1,"name":"Subdivision","value":"EC"},{"id":4,"name":"Milepost","value":"0.0123"},{"id":17,"name":"Train ID","value":"192-16"},{"id":16,"name":"Locomotive ID","value":"4005"},{"id":130,"name":"Impact","value":""},{"id":150,"name":"Time of Event (Mountain Time)","value":"16:33:44"},{"id":151,"name":"Denver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4005 --day 2017-04-16</v>
      </c>
      <c r="AN105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786</v>
      </c>
      <c r="B106" s="7">
        <v>4026</v>
      </c>
      <c r="C106" s="21" t="s">
        <v>214</v>
      </c>
      <c r="D106" s="21" t="s">
        <v>210</v>
      </c>
      <c r="E106" s="13">
        <v>42841.630636574075</v>
      </c>
      <c r="F106" s="13">
        <v>42841.635578703703</v>
      </c>
      <c r="G106" s="7">
        <v>1</v>
      </c>
      <c r="H106" s="21" t="s">
        <v>593</v>
      </c>
      <c r="I106" s="13">
        <v>42841.660196759258</v>
      </c>
      <c r="J106" s="7">
        <v>0</v>
      </c>
      <c r="K106" s="97" t="str">
        <f t="shared" si="30"/>
        <v>4025/4026</v>
      </c>
      <c r="L106" s="21" t="str">
        <f>VLOOKUP(A106,'Trips&amp;Operators'!$C$1:$G$99999,5,FALSE)</f>
        <v>BRUDER RICHARD</v>
      </c>
      <c r="M106" s="6">
        <f t="shared" si="31"/>
        <v>2.4618055555038154E-2</v>
      </c>
      <c r="N106" s="7">
        <f t="shared" si="47"/>
        <v>35.449999999254942</v>
      </c>
      <c r="O106" s="7"/>
      <c r="P106" s="7"/>
      <c r="Q106" s="22"/>
      <c r="R106" s="22"/>
      <c r="S106" s="31">
        <f t="shared" si="48"/>
        <v>1</v>
      </c>
      <c r="T106" s="46" t="str">
        <f t="shared" si="32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3"/>
        <v>https://d0f6bd738d7f1b3e5a7ca70fe4ff75f0.us-east-1.aws.found.io/app/kibana#/discover/Steve-Slow-Train-Analysis-(2080s-and-2083s)?_g=(refreshInterval:(display:Off,pause:!f,section:0,value:0),time:(from:'2017-04-16T14:08:07-0600',mode:absolute,to:'2017-04-16T16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83" t="str">
        <f t="shared" si="34"/>
        <v>N</v>
      </c>
      <c r="X106" s="183">
        <f t="shared" si="46"/>
        <v>1</v>
      </c>
      <c r="Y106" s="62">
        <f t="shared" si="35"/>
        <v>4.5499999999999999E-2</v>
      </c>
      <c r="Z106" s="62">
        <f t="shared" si="36"/>
        <v>23.331700000000001</v>
      </c>
      <c r="AA106" s="62">
        <f t="shared" si="37"/>
        <v>23.286200000000001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0193-16</v>
      </c>
      <c r="AE106" s="85" t="str">
        <f t="shared" si="39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106" s="82" t="str">
        <f t="shared" si="40"/>
        <v>"C:\Program Files (x86)\AstroGrep\AstroGrep.exe" /e /r /s /spath="%USERPROFILE%\AppData\Local\Temp\OnboardLogs" /stypes="app*4026*20170416*" /stext=" 21:.+((SYSTEM_STATE.+slice.+state.+changed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193-16 --locoid 4026 --swversion DE.1.0.9.0 --startMP 204:455 --initTime 2017-04-16T15:08:07 --startdatetime 2017-04-16T15:15:14 --delay 1 --endMP 204:233317 --enddatetime 2017-04-16T15:50:41 --enforcementcount 0 &gt;&gt;C:\Users\stu\Documents\GitHub\eaglep3-reporting\EC\2017-04-16-refined-times.txt</v>
      </c>
      <c r="AI10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{"issue":{"subject":"","project_id":79,"tracker_id":40,"status_id":1,"priority_id":2,"assigned_to_id":23,"start_date":"2017-04-16","description":"","custom_fields":[{"id":1,"name":"Subdivision","value":"EC"},{"id":4,"name":"Milepost","value":"23.3317"},{"id":17,"name":"Train ID","value":"193-16"},{"id":16,"name":"Locomotive ID","value":"4026"},{"id":130,"name":"Impact","value":""},{"id":150,"name":"Time of Event (Mountain Time)","value":"15:50:41"},{"id":151,"name":"Denver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4026 --day 2017-04-16</v>
      </c>
      <c r="AN106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794</v>
      </c>
      <c r="B107" s="7">
        <v>4025</v>
      </c>
      <c r="C107" s="21" t="s">
        <v>214</v>
      </c>
      <c r="D107" s="21" t="s">
        <v>608</v>
      </c>
      <c r="E107" s="13">
        <v>42841.667407407411</v>
      </c>
      <c r="F107" s="13">
        <v>42841.674525462964</v>
      </c>
      <c r="G107" s="7">
        <v>1</v>
      </c>
      <c r="H107" s="21" t="s">
        <v>493</v>
      </c>
      <c r="I107" s="13">
        <v>42841.700983796298</v>
      </c>
      <c r="J107" s="7">
        <v>0</v>
      </c>
      <c r="K107" s="97" t="str">
        <f t="shared" si="30"/>
        <v>4025/4026</v>
      </c>
      <c r="L107" s="21" t="str">
        <f>VLOOKUP(A107,'Trips&amp;Operators'!$C$1:$G$99999,5,FALSE)</f>
        <v>BRUDER RICHARD</v>
      </c>
      <c r="M107" s="6">
        <f t="shared" si="31"/>
        <v>2.6458333333721384E-2</v>
      </c>
      <c r="N107" s="7">
        <f t="shared" si="47"/>
        <v>38.100000000558794</v>
      </c>
      <c r="O107" s="7"/>
      <c r="P107" s="7"/>
      <c r="Q107" s="22"/>
      <c r="R107" s="22"/>
      <c r="S107" s="31">
        <f t="shared" si="48"/>
        <v>1</v>
      </c>
      <c r="T107" s="46" t="str">
        <f t="shared" si="32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3"/>
        <v>https://d0f6bd738d7f1b3e5a7ca70fe4ff75f0.us-east-1.aws.found.io/app/kibana#/discover/Steve-Slow-Train-Analysis-(2080s-and-2083s)?_g=(refreshInterval:(display:Off,pause:!f,section:0,value:0),time:(from:'2017-04-16T15:01:04-0600',mode:absolute,to:'2017-04-16T17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183" t="str">
        <f t="shared" si="34"/>
        <v>N</v>
      </c>
      <c r="X107" s="183">
        <f t="shared" si="46"/>
        <v>1</v>
      </c>
      <c r="Y107" s="62">
        <f t="shared" si="35"/>
        <v>23.2987</v>
      </c>
      <c r="Z107" s="62">
        <f t="shared" si="36"/>
        <v>1.43E-2</v>
      </c>
      <c r="AA107" s="62">
        <f t="shared" si="37"/>
        <v>23.284400000000002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0194-16</v>
      </c>
      <c r="AE107" s="85" t="str">
        <f t="shared" si="39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107" s="82" t="str">
        <f t="shared" si="40"/>
        <v>"C:\Program Files (x86)\AstroGrep\AstroGrep.exe" /e /r /s /spath="%USERPROFILE%\AppData\Local\Temp\OnboardLogs" /stypes="app*4025*20170416*"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194-16 --locoid 4025 --swversion DE.1.0.9.0 --startMP 204:232987 --initTime 2017-04-16T16:01:04 --startdatetime 2017-04-16T16:11:19 --delay 1 --endMP 204:143 --enddatetime 2017-04-16T16:49:25 --enforcementcount 0 &gt;&gt;C:\Users\stu\Documents\GitHub\eaglep3-reporting\EC\2017-04-16-refined-times.txt</v>
      </c>
      <c r="AI10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{"issue":{"subject":"","project_id":79,"tracker_id":40,"status_id":1,"priority_id":2,"assigned_to_id":23,"start_date":"2017-04-16","description":"","custom_fields":[{"id":1,"name":"Subdivision","value":"EC"},{"id":4,"name":"Milepost","value":"0.0143"},{"id":17,"name":"Train ID","value":"194-16"},{"id":16,"name":"Locomotive ID","value":"4025"},{"id":130,"name":"Impact","value":""},{"id":150,"name":"Time of Event (Mountain Time)","value":"16:49:25"},{"id":151,"name":"Denver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4025 --day 2017-04-16</v>
      </c>
      <c r="AN107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788</v>
      </c>
      <c r="B108" s="7">
        <v>4040</v>
      </c>
      <c r="C108" s="21" t="s">
        <v>214</v>
      </c>
      <c r="D108" s="21" t="s">
        <v>942</v>
      </c>
      <c r="E108" s="13">
        <v>42841.64025462963</v>
      </c>
      <c r="F108" s="13">
        <v>42841.646053240744</v>
      </c>
      <c r="G108" s="7">
        <v>1</v>
      </c>
      <c r="H108" s="21" t="s">
        <v>896</v>
      </c>
      <c r="I108" s="13">
        <v>42841.671342592592</v>
      </c>
      <c r="J108" s="7">
        <v>0</v>
      </c>
      <c r="K108" s="97" t="str">
        <f t="shared" si="30"/>
        <v>4039/4040</v>
      </c>
      <c r="L108" s="21" t="str">
        <f>VLOOKUP(A108,'Trips&amp;Operators'!$C$1:$G$99999,5,FALSE)</f>
        <v>MCREYNOLDS KYLE</v>
      </c>
      <c r="M108" s="6">
        <f t="shared" si="31"/>
        <v>2.5289351848186925E-2</v>
      </c>
      <c r="N108" s="7">
        <f t="shared" si="47"/>
        <v>36.416666661389172</v>
      </c>
      <c r="O108" s="7"/>
      <c r="P108" s="7"/>
      <c r="Q108" s="22"/>
      <c r="R108" s="22"/>
      <c r="S108" s="31">
        <f t="shared" si="48"/>
        <v>1</v>
      </c>
      <c r="T108" s="46" t="str">
        <f t="shared" si="32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3"/>
        <v>https://d0f6bd738d7f1b3e5a7ca70fe4ff75f0.us-east-1.aws.found.io/app/kibana#/discover/Steve-Slow-Train-Analysis-(2080s-and-2083s)?_g=(refreshInterval:(display:Off,pause:!f,section:0,value:0),time:(from:'2017-04-16T14:21:58-0600',mode:absolute,to:'2017-04-16T17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183" t="str">
        <f t="shared" si="34"/>
        <v>N</v>
      </c>
      <c r="X108" s="183">
        <f t="shared" si="46"/>
        <v>1</v>
      </c>
      <c r="Y108" s="62">
        <f t="shared" si="35"/>
        <v>5.7099999999999998E-2</v>
      </c>
      <c r="Z108" s="62">
        <f t="shared" si="36"/>
        <v>23.332599999999999</v>
      </c>
      <c r="AA108" s="62">
        <f t="shared" si="37"/>
        <v>23.275500000000001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0195-16</v>
      </c>
      <c r="AE108" s="85" t="str">
        <f t="shared" si="39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08" s="82" t="str">
        <f t="shared" si="40"/>
        <v>"C:\Program Files (x86)\AstroGrep\AstroGrep.exe" /e /r /s /spath="%USERPROFILE%\AppData\Local\Temp\OnboardLogs" /stypes="app*4040*20170416*" /stext=" 22:.+((SYSTEM_STATE.+slice.+state.+changed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195-16 --locoid 4040 --swversion DE.1.0.9.0 --startMP 204:571 --initTime 2017-04-16T15:21:58 --startdatetime 2017-04-16T15:30:19 --delay 1 --endMP 204:233326 --enddatetime 2017-04-16T16:06:44 --enforcementcount 0 &gt;&gt;C:\Users\stu\Documents\GitHub\eaglep3-reporting\EC\2017-04-16-refined-times.txt</v>
      </c>
      <c r="AI10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{"issue":{"subject":"","project_id":79,"tracker_id":40,"status_id":1,"priority_id":2,"assigned_to_id":23,"start_date":"2017-04-16","description":"","custom_fields":[{"id":1,"name":"Subdivision","value":"EC"},{"id":4,"name":"Milepost","value":"23.3326"},{"id":17,"name":"Train ID","value":"195-16"},{"id":16,"name":"Locomotive ID","value":"4040"},{"id":130,"name":"Impact","value":""},{"id":150,"name":"Time of Event (Mountain Time)","value":"16:06:44"},{"id":151,"name":"Denver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4"/>
        <v>start /low /b %USERPROFILE%\Documents\GitHub\eaglep3\Utilities\DownloadLogsFromS3.py --loco 4040 --day 2017-04-16</v>
      </c>
      <c r="AN108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797</v>
      </c>
      <c r="B109" s="7">
        <v>4039</v>
      </c>
      <c r="C109" s="21" t="s">
        <v>214</v>
      </c>
      <c r="D109" s="21" t="s">
        <v>492</v>
      </c>
      <c r="E109" s="13">
        <v>42841.680833333332</v>
      </c>
      <c r="F109" s="13">
        <v>42841.684907407405</v>
      </c>
      <c r="G109" s="7">
        <v>1</v>
      </c>
      <c r="H109" s="21" t="s">
        <v>493</v>
      </c>
      <c r="I109" s="13">
        <v>42841.711712962962</v>
      </c>
      <c r="J109" s="7">
        <v>0</v>
      </c>
      <c r="K109" s="97" t="str">
        <f t="shared" si="30"/>
        <v>4039/4040</v>
      </c>
      <c r="L109" s="21" t="str">
        <f>VLOOKUP(A109,'Trips&amp;Operators'!$C$1:$G$99999,5,FALSE)</f>
        <v>MCREYNOLDS KYLE</v>
      </c>
      <c r="M109" s="6">
        <f t="shared" si="31"/>
        <v>2.6805555557075422E-2</v>
      </c>
      <c r="N109" s="7">
        <f t="shared" si="47"/>
        <v>38.600000002188608</v>
      </c>
      <c r="O109" s="7"/>
      <c r="P109" s="7"/>
      <c r="Q109" s="22"/>
      <c r="R109" s="22"/>
      <c r="S109" s="31">
        <f t="shared" si="48"/>
        <v>1</v>
      </c>
      <c r="T109" s="46" t="str">
        <f t="shared" si="32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3"/>
        <v>https://d0f6bd738d7f1b3e5a7ca70fe4ff75f0.us-east-1.aws.found.io/app/kibana#/discover/Steve-Slow-Train-Analysis-(2080s-and-2083s)?_g=(refreshInterval:(display:Off,pause:!f,section:0,value:0),time:(from:'2017-04-16T15:20:24-0600',mode:absolute,to:'2017-04-16T18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183" t="str">
        <f t="shared" si="34"/>
        <v>N</v>
      </c>
      <c r="X109" s="183">
        <f t="shared" si="46"/>
        <v>1</v>
      </c>
      <c r="Y109" s="62">
        <f t="shared" si="35"/>
        <v>23.299800000000001</v>
      </c>
      <c r="Z109" s="62">
        <f t="shared" ref="Z109:Z118" si="49">RIGHT(H109,LEN(H109)-4)/10000</f>
        <v>1.43E-2</v>
      </c>
      <c r="AA109" s="62">
        <f t="shared" si="37"/>
        <v>23.285500000000003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0196-16</v>
      </c>
      <c r="AE109" s="85" t="str">
        <f t="shared" si="39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109" s="82" t="str">
        <f t="shared" si="40"/>
        <v>"C:\Program Files (x86)\AstroGrep\AstroGrep.exe" /e /r /s /spath="%USERPROFILE%\AppData\Local\Temp\OnboardLogs" /stypes="app*4039*20170416*" /stext=" 23:.+((SYSTEM_STATE.+slice.+state.+changed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196-16 --locoid 4039 --swversion DE.1.0.9.0 --startMP 204:232998 --initTime 2017-04-16T16:20:24 --startdatetime 2017-04-16T16:26:16 --delay 1 --endMP 204:143 --enddatetime 2017-04-16T17:04:52 --enforcementcount 0 &gt;&gt;C:\Users\stu\Documents\GitHub\eaglep3-reporting\EC\2017-04-16-refined-times.txt</v>
      </c>
      <c r="AI10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{"issue":{"subject":"","project_id":79,"tracker_id":40,"status_id":1,"priority_id":2,"assigned_to_id":23,"start_date":"2017-04-16","description":"","custom_fields":[{"id":1,"name":"Subdivision","value":"EC"},{"id":4,"name":"Milepost","value":"0.0143"},{"id":17,"name":"Train ID","value":"196-16"},{"id":16,"name":"Locomotive ID","value":"4039"},{"id":130,"name":"Impact","value":""},{"id":150,"name":"Time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4039 --day 2017-04-16</v>
      </c>
      <c r="AN109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791</v>
      </c>
      <c r="B110" s="7">
        <v>4016</v>
      </c>
      <c r="C110" s="21" t="s">
        <v>214</v>
      </c>
      <c r="D110" s="21" t="s">
        <v>565</v>
      </c>
      <c r="E110" s="13">
        <v>42841.650370370371</v>
      </c>
      <c r="F110" s="13">
        <v>42841.656400462962</v>
      </c>
      <c r="G110" s="7">
        <v>2</v>
      </c>
      <c r="H110" s="21" t="s">
        <v>943</v>
      </c>
      <c r="I110" s="13">
        <v>42841.680486111109</v>
      </c>
      <c r="J110" s="7">
        <v>0</v>
      </c>
      <c r="K110" s="97" t="str">
        <f t="shared" si="30"/>
        <v>4015/4016</v>
      </c>
      <c r="L110" s="21" t="str">
        <f>VLOOKUP(A110,'Trips&amp;Operators'!$C$1:$G$99999,5,FALSE)</f>
        <v>ROMERO CHAD</v>
      </c>
      <c r="M110" s="6">
        <f t="shared" si="31"/>
        <v>2.4085648146865424E-2</v>
      </c>
      <c r="N110" s="7">
        <f t="shared" si="47"/>
        <v>34.68333333148621</v>
      </c>
      <c r="O110" s="7"/>
      <c r="P110" s="7"/>
      <c r="Q110" s="22"/>
      <c r="R110" s="22"/>
      <c r="S110" s="31">
        <f t="shared" si="48"/>
        <v>1</v>
      </c>
      <c r="T110" s="46" t="str">
        <f t="shared" si="32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3"/>
        <v>https://d0f6bd738d7f1b3e5a7ca70fe4ff75f0.us-east-1.aws.found.io/app/kibana#/discover/Steve-Slow-Train-Analysis-(2080s-and-2083s)?_g=(refreshInterval:(display:Off,pause:!f,section:0,value:0),time:(from:'2017-04-16T14:36:32-0600',mode:absolute,to:'2017-04-16T17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83" t="str">
        <f t="shared" si="34"/>
        <v>N</v>
      </c>
      <c r="X110" s="183">
        <f t="shared" si="46"/>
        <v>1</v>
      </c>
      <c r="Y110" s="62">
        <f t="shared" si="35"/>
        <v>4.2900000000000001E-2</v>
      </c>
      <c r="Z110" s="62">
        <f t="shared" si="49"/>
        <v>23.337399999999999</v>
      </c>
      <c r="AA110" s="62">
        <f t="shared" si="37"/>
        <v>23.294499999999999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0197-16</v>
      </c>
      <c r="AE110" s="85" t="str">
        <f t="shared" si="39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110" s="82" t="str">
        <f t="shared" si="40"/>
        <v>"C:\Program Files (x86)\AstroGrep\AstroGrep.exe" /e /r /s /spath="%USERPROFILE%\AppData\Local\Temp\OnboardLogs" /stypes="app*4016*20170416*" /stext=" 22:.+((SYSTEM_STATE.+slice.+state.+changed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197-16 --locoid 4016 --swversion DE.1.0.9.0 --startMP 204:429 --initTime 2017-04-16T15:36:32 --startdatetime 2017-04-16T15:45:13 --delay 2 --endMP 204:233374 --enddatetime 2017-04-16T16:19:54 --enforcementcount 0 &gt;&gt;C:\Users\stu\Documents\GitHub\eaglep3-reporting\EC\2017-04-16-refined-times.txt</v>
      </c>
      <c r="AI11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{"issue":{"subject":"","project_id":79,"tracker_id":40,"status_id":1,"priority_id":2,"assigned_to_id":23,"start_date":"2017-04-16","description":"","custom_fields":[{"id":1,"name":"Subdivision","value":"EC"},{"id":4,"name":"Milepost","value":"23.3374"},{"id":17,"name":"Train ID","value":"197-16"},{"id":16,"name":"Locomotive ID","value":"4016"},{"id":130,"name":"Impact","value":""},{"id":150,"name":"Time of Event (Mountain Time)","value":"16:19:54"},{"id":151,"name":"Denver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8"/>
      <c r="AL110" s="48"/>
      <c r="AM110" s="150" t="str">
        <f t="shared" si="44"/>
        <v>start /low /b %USERPROFILE%\Documents\GitHub\eaglep3\Utilities\DownloadLogsFromS3.py --loco 4016 --day 2017-04-16</v>
      </c>
      <c r="AN110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3" t="s">
        <v>799</v>
      </c>
      <c r="B111" s="7">
        <v>4015</v>
      </c>
      <c r="C111" s="21" t="s">
        <v>214</v>
      </c>
      <c r="D111" s="21" t="s">
        <v>944</v>
      </c>
      <c r="E111" s="13">
        <v>42841.687523148146</v>
      </c>
      <c r="F111" s="13">
        <v>42841.695289351854</v>
      </c>
      <c r="G111" s="7">
        <v>1</v>
      </c>
      <c r="H111" s="21" t="s">
        <v>899</v>
      </c>
      <c r="I111" s="13">
        <v>42841.720983796295</v>
      </c>
      <c r="J111" s="7">
        <v>0</v>
      </c>
      <c r="K111" s="97" t="str">
        <f t="shared" si="30"/>
        <v>4015/4016</v>
      </c>
      <c r="L111" s="21" t="str">
        <f>VLOOKUP(A111,'Trips&amp;Operators'!$C$1:$G$99999,5,FALSE)</f>
        <v>ROMERO CHAD</v>
      </c>
      <c r="M111" s="6">
        <f t="shared" si="31"/>
        <v>2.569444444088731E-2</v>
      </c>
      <c r="N111" s="7">
        <f t="shared" si="47"/>
        <v>36.999999994877726</v>
      </c>
      <c r="O111" s="7"/>
      <c r="P111" s="7"/>
      <c r="Q111" s="22"/>
      <c r="R111" s="22"/>
      <c r="S111" s="31">
        <f t="shared" si="48"/>
        <v>1</v>
      </c>
      <c r="T111" s="46" t="str">
        <f t="shared" si="32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3"/>
        <v>https://d0f6bd738d7f1b3e5a7ca70fe4ff75f0.us-east-1.aws.found.io/app/kibana#/discover/Steve-Slow-Train-Analysis-(2080s-and-2083s)?_g=(refreshInterval:(display:Off,pause:!f,section:0,value:0),time:(from:'2017-04-16T15:30:02-0600',mode:absolute,to:'2017-04-16T18:18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183" t="str">
        <f t="shared" si="34"/>
        <v>N</v>
      </c>
      <c r="X111" s="183">
        <f t="shared" si="46"/>
        <v>1</v>
      </c>
      <c r="Y111" s="62">
        <f t="shared" si="35"/>
        <v>23.306799999999999</v>
      </c>
      <c r="Z111" s="62">
        <f t="shared" si="49"/>
        <v>1.2999999999999999E-2</v>
      </c>
      <c r="AA111" s="62">
        <f t="shared" si="37"/>
        <v>23.293799999999997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8"/>
        <v>0198-16</v>
      </c>
      <c r="AE111" s="85" t="str">
        <f t="shared" si="39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111" s="82" t="str">
        <f t="shared" si="40"/>
        <v>"C:\Program Files (x86)\AstroGrep\AstroGrep.exe" /e /r /s /spath="%USERPROFILE%\AppData\Local\Temp\OnboardLogs" /stypes="app*4015*20170416*" /stext=" 23:.+((SYSTEM_STATE.+slice.+state.+changed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198-16 --locoid 4015 --swversion DE.1.0.9.0 --startMP 204:233068 --initTime 2017-04-16T16:30:02 --startdatetime 2017-04-16T16:41:13 --delay 1 --endMP 204:130 --enddatetime 2017-04-16T17:18:13 --enforcementcount 0 &gt;&gt;C:\Users\stu\Documents\GitHub\eaglep3-reporting\EC\2017-04-16-refined-times.txt</v>
      </c>
      <c r="AI11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{"issue":{"subject":"","project_id":79,"tracker_id":40,"status_id":1,"priority_id":2,"assigned_to_id":23,"start_date":"2017-04-16","description":"","custom_fields":[{"id":1,"name":"Subdivision","value":"EC"},{"id":4,"name":"Milepost","value":"0.013"},{"id":17,"name":"Train ID","value":"198-16"},{"id":16,"name":"Locomotive ID","value":"4015"},{"id":130,"name":"Impact","value":""},{"id":150,"name":"Time of Event (Mountain Time)","value":"17:18:13"},{"id":151,"name":"Denver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4"/>
        <v>start /low /b %USERPROFILE%\Documents\GitHub\eaglep3\Utilities\DownloadLogsFromS3.py --loco 4015 --day 2017-04-16</v>
      </c>
      <c r="AN111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657</v>
      </c>
      <c r="B112" s="7">
        <v>4020</v>
      </c>
      <c r="C112" s="21" t="s">
        <v>214</v>
      </c>
      <c r="D112" s="21" t="s">
        <v>565</v>
      </c>
      <c r="E112" s="13">
        <v>42841.663206018522</v>
      </c>
      <c r="F112" s="13">
        <v>42841.666828703703</v>
      </c>
      <c r="G112" s="7">
        <v>1</v>
      </c>
      <c r="H112" s="21" t="s">
        <v>945</v>
      </c>
      <c r="I112" s="13">
        <v>42841.693483796298</v>
      </c>
      <c r="J112" s="7">
        <v>0</v>
      </c>
      <c r="K112" s="97" t="str">
        <f t="shared" si="30"/>
        <v>4019/4020</v>
      </c>
      <c r="L112" s="21" t="str">
        <f>VLOOKUP(A112,'Trips&amp;Operators'!$C$1:$G$99999,5,FALSE)</f>
        <v>BRANDNER MELINDA</v>
      </c>
      <c r="M112" s="6">
        <f t="shared" si="31"/>
        <v>2.6655092595319729E-2</v>
      </c>
      <c r="N112" s="7">
        <f t="shared" si="47"/>
        <v>38.38333333726041</v>
      </c>
      <c r="O112" s="7"/>
      <c r="P112" s="7"/>
      <c r="Q112" s="22"/>
      <c r="R112" s="22"/>
      <c r="S112" s="31">
        <f t="shared" si="48"/>
        <v>1</v>
      </c>
      <c r="T112" s="46" t="str">
        <f t="shared" si="32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3"/>
        <v>https://d0f6bd738d7f1b3e5a7ca70fe4ff75f0.us-east-1.aws.found.io/app/kibana#/discover/Steve-Slow-Train-Analysis-(2080s-and-2083s)?_g=(refreshInterval:(display:Off,pause:!f,section:0,value:0),time:(from:'2017-04-16T14:55:01-0600',mode:absolute,to:'2017-04-16T17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183" t="str">
        <f t="shared" si="34"/>
        <v>N</v>
      </c>
      <c r="X112" s="183">
        <f t="shared" si="46"/>
        <v>1</v>
      </c>
      <c r="Y112" s="62">
        <f t="shared" si="35"/>
        <v>4.2900000000000001E-2</v>
      </c>
      <c r="Z112" s="62">
        <f t="shared" si="49"/>
        <v>23.338200000000001</v>
      </c>
      <c r="AA112" s="62">
        <f t="shared" si="37"/>
        <v>23.295300000000001</v>
      </c>
      <c r="AB112" s="59" t="str">
        <f>VLOOKUP(A112,Enforcements!$C$7:$K$13,8,0)</f>
        <v>Bulletin (2)</v>
      </c>
      <c r="AC112" s="55" t="str">
        <f>VLOOKUP(A112,Enforcements!$C$7:$E$13,3,0)</f>
        <v>GRADE CROSSING</v>
      </c>
      <c r="AD112" s="56" t="str">
        <f t="shared" si="38"/>
        <v>0199-16</v>
      </c>
      <c r="AE112" s="85" t="str">
        <f t="shared" si="39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112" s="82" t="str">
        <f t="shared" si="40"/>
        <v>"C:\Program Files (x86)\AstroGrep\AstroGrep.exe" /e /r /s /spath="%USERPROFILE%\AppData\Local\Temp\OnboardLogs" /stypes="app*4020*20170416*" /stext=" 22:.+((SYSTEM_STATE.+slice.+state.+changed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199-16 --locoid 4020 --swversion DE.1.0.9.0 --startMP 204:429 --initTime 2017-04-16T15:55:01 --startdatetime 2017-04-16T16:00:14 --delay 1 --endMP 204:233382 --enddatetime 2017-04-16T16:38:37 --enforcementcount 0 &gt;&gt;C:\Users\stu\Documents\GitHub\eaglep3-reporting\EC\2017-04-16-refined-times.txt</v>
      </c>
      <c r="AI11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{"issue":{"subject":"","project_id":79,"tracker_id":40,"status_id":1,"priority_id":2,"assigned_to_id":23,"start_date":"2017-04-16","description":"","custom_fields":[{"id":1,"name":"Subdivision","value":"EC"},{"id":4,"name":"Milepost","value":"23.3382"},{"id":17,"name":"Train ID","value":"199-16"},{"id":16,"name":"Locomotive ID","value":"4020"},{"id":130,"name":"Impact","value":""},{"id":150,"name":"Time of Event (Mountain Time)","value":"16:38:37"},{"id":151,"name":"Denver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4020 --day 2017-04-16</v>
      </c>
      <c r="AN112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658</v>
      </c>
      <c r="B113" s="7">
        <v>4019</v>
      </c>
      <c r="C113" s="21" t="s">
        <v>214</v>
      </c>
      <c r="D113" s="21" t="s">
        <v>946</v>
      </c>
      <c r="E113" s="13">
        <v>42841.700752314813</v>
      </c>
      <c r="F113" s="13">
        <v>42841.705879629626</v>
      </c>
      <c r="G113" s="7">
        <v>1</v>
      </c>
      <c r="H113" s="21" t="s">
        <v>947</v>
      </c>
      <c r="I113" s="13">
        <v>42841.733553240738</v>
      </c>
      <c r="J113" s="7">
        <v>0</v>
      </c>
      <c r="K113" s="97" t="str">
        <f t="shared" si="30"/>
        <v>4019/4020</v>
      </c>
      <c r="L113" s="21" t="str">
        <f>VLOOKUP(A113,'Trips&amp;Operators'!$C$1:$G$99999,5,FALSE)</f>
        <v>BRANDNER MELINDA</v>
      </c>
      <c r="M113" s="6">
        <f t="shared" si="31"/>
        <v>2.7673611111822538E-2</v>
      </c>
      <c r="N113" s="7">
        <f t="shared" si="47"/>
        <v>39.850000001024455</v>
      </c>
      <c r="O113" s="7"/>
      <c r="P113" s="7"/>
      <c r="Q113" s="22"/>
      <c r="R113" s="22"/>
      <c r="S113" s="31">
        <f t="shared" si="48"/>
        <v>1</v>
      </c>
      <c r="T113" s="46" t="str">
        <f t="shared" si="32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3"/>
        <v>https://d0f6bd738d7f1b3e5a7ca70fe4ff75f0.us-east-1.aws.found.io/app/kibana#/discover/Steve-Slow-Train-Analysis-(2080s-and-2083s)?_g=(refreshInterval:(display:Off,pause:!f,section:0,value:0),time:(from:'2017-04-16T15:49:05-0600',mode:absolute,to:'2017-04-16T18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183" t="str">
        <f t="shared" si="34"/>
        <v>N</v>
      </c>
      <c r="X113" s="183">
        <f t="shared" si="46"/>
        <v>1</v>
      </c>
      <c r="Y113" s="62">
        <f t="shared" si="35"/>
        <v>23.3094</v>
      </c>
      <c r="Z113" s="62">
        <f t="shared" si="49"/>
        <v>2.1100000000000001E-2</v>
      </c>
      <c r="AA113" s="62">
        <f t="shared" si="37"/>
        <v>23.2883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0200-16</v>
      </c>
      <c r="AE113" s="85" t="str">
        <f t="shared" si="39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13" s="82" t="str">
        <f t="shared" si="40"/>
        <v>"C:\Program Files (x86)\AstroGrep\AstroGrep.exe" /e /r /s /spath="%USERPROFILE%\AppData\Local\Temp\OnboardLogs" /stypes="app*4019*20170416*" /stext=" 23:.+((SYSTEM_STATE.+slice.+state.+changed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200-16 --locoid 4019 --swversion DE.1.0.9.0 --startMP 204:233094 --initTime 2017-04-16T16:49:05 --startdatetime 2017-04-16T16:56:28 --delay 1 --endMP 204:211 --enddatetime 2017-04-16T17:36:19 --enforcementcount 0 &gt;&gt;C:\Users\stu\Documents\GitHub\eaglep3-reporting\EC\2017-04-16-refined-times.txt</v>
      </c>
      <c r="AI113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{"issue":{"subject":"","project_id":79,"tracker_id":40,"status_id":1,"priority_id":2,"assigned_to_id":23,"start_date":"2017-04-16","description":"","custom_fields":[{"id":1,"name":"Subdivision","value":"EC"},{"id":4,"name":"Milepost","value":"0.0211"},{"id":17,"name":"Train ID","value":"200-16"},{"id":16,"name":"Locomotive ID","value":"4019"},{"id":130,"name":"Impact","value":""},{"id":150,"name":"Time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4"/>
        <v>start /low /b %USERPROFILE%\Documents\GitHub\eaglep3\Utilities\DownloadLogsFromS3.py --loco 4019 --day 2017-04-16</v>
      </c>
      <c r="AN113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795</v>
      </c>
      <c r="B114" s="7">
        <v>4044</v>
      </c>
      <c r="C114" s="21" t="s">
        <v>214</v>
      </c>
      <c r="D114" s="21" t="s">
        <v>205</v>
      </c>
      <c r="E114" s="13">
        <v>42841.67355324074</v>
      </c>
      <c r="F114" s="13">
        <v>42841.677303240744</v>
      </c>
      <c r="G114" s="7">
        <v>1</v>
      </c>
      <c r="H114" s="21" t="s">
        <v>414</v>
      </c>
      <c r="I114" s="13">
        <v>42841.702245370368</v>
      </c>
      <c r="J114" s="7">
        <v>0</v>
      </c>
      <c r="K114" s="97" t="str">
        <f t="shared" si="30"/>
        <v>4043/4044</v>
      </c>
      <c r="L114" s="21" t="str">
        <f>VLOOKUP(A114,'Trips&amp;Operators'!$C$1:$G$99999,5,FALSE)</f>
        <v>STEWART MICHAEL</v>
      </c>
      <c r="M114" s="6">
        <f t="shared" si="31"/>
        <v>2.4942129624832887E-2</v>
      </c>
      <c r="N114" s="7">
        <f t="shared" si="47"/>
        <v>35.916666659759358</v>
      </c>
      <c r="O114" s="7"/>
      <c r="P114" s="7"/>
      <c r="Q114" s="22"/>
      <c r="R114" s="22"/>
      <c r="S114" s="31">
        <f t="shared" si="48"/>
        <v>1</v>
      </c>
      <c r="T114" s="46" t="str">
        <f t="shared" si="32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3"/>
        <v>https://d0f6bd738d7f1b3e5a7ca70fe4ff75f0.us-east-1.aws.found.io/app/kibana#/discover/Steve-Slow-Train-Analysis-(2080s-and-2083s)?_g=(refreshInterval:(display:Off,pause:!f,section:0,value:0),time:(from:'2017-04-16T15:09:55-0600',mode:absolute,to:'2017-04-16T17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183" t="str">
        <f t="shared" si="34"/>
        <v>N</v>
      </c>
      <c r="X114" s="183">
        <f t="shared" si="46"/>
        <v>1</v>
      </c>
      <c r="Y114" s="62">
        <f t="shared" si="35"/>
        <v>4.5699999999999998E-2</v>
      </c>
      <c r="Z114" s="62">
        <f t="shared" si="49"/>
        <v>23.329699999999999</v>
      </c>
      <c r="AA114" s="62">
        <f t="shared" si="37"/>
        <v>23.283999999999999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0201-16</v>
      </c>
      <c r="AE114" s="85" t="str">
        <f t="shared" si="39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114" s="82" t="str">
        <f t="shared" si="40"/>
        <v>"C:\Program Files (x86)\AstroGrep\AstroGrep.exe" /e /r /s /spath="%USERPROFILE%\AppData\Local\Temp\OnboardLogs" /stypes="app*4044*20170416*" /stext=" 22:.+((SYSTEM_STATE.+slice.+state.+changed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201-16 --locoid 4044 --swversion DE.1.0.9.0 --startMP 204:457 --initTime 2017-04-16T16:09:55 --startdatetime 2017-04-16T16:15:19 --delay 1 --endMP 204:233297 --enddatetime 2017-04-16T16:51:14 --enforcementcount 0 &gt;&gt;C:\Users\stu\Documents\GitHub\eaglep3-reporting\EC\2017-04-16-refined-times.txt</v>
      </c>
      <c r="AI11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{"issue":{"subject":"","project_id":79,"tracker_id":40,"status_id":1,"priority_id":2,"assigned_to_id":23,"start_date":"2017-04-16","description":"","custom_fields":[{"id":1,"name":"Subdivision","value":"EC"},{"id":4,"name":"Milepost","value":"23.3297"},{"id":17,"name":"Train ID","value":"201-16"},{"id":16,"name":"Locomotive ID","value":"4044"},{"id":130,"name":"Impact","value":""},{"id":150,"name":"Time of Event (Mountain Time)","value":"16:51:14"},{"id":151,"name":"Denver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4044 --day 2017-04-16</v>
      </c>
      <c r="AN114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804</v>
      </c>
      <c r="B115" s="7">
        <v>4043</v>
      </c>
      <c r="C115" s="21" t="s">
        <v>214</v>
      </c>
      <c r="D115" s="21" t="s">
        <v>632</v>
      </c>
      <c r="E115" s="13">
        <v>42841.714884259258</v>
      </c>
      <c r="F115" s="13">
        <v>42841.716249999998</v>
      </c>
      <c r="G115" s="7">
        <v>0</v>
      </c>
      <c r="H115" s="21" t="s">
        <v>491</v>
      </c>
      <c r="I115" s="13">
        <v>42841.742997685185</v>
      </c>
      <c r="J115" s="7">
        <v>0</v>
      </c>
      <c r="K115" s="97" t="str">
        <f t="shared" si="30"/>
        <v>4043/4044</v>
      </c>
      <c r="L115" s="21" t="str">
        <f>VLOOKUP(A115,'Trips&amp;Operators'!$C$1:$G$99999,5,FALSE)</f>
        <v>STEWART MICHAEL</v>
      </c>
      <c r="M115" s="6">
        <f t="shared" si="31"/>
        <v>2.6747685187729076E-2</v>
      </c>
      <c r="N115" s="7">
        <f t="shared" si="47"/>
        <v>38.516666670329869</v>
      </c>
      <c r="O115" s="7"/>
      <c r="P115" s="7"/>
      <c r="Q115" s="22"/>
      <c r="R115" s="22"/>
      <c r="S115" s="31">
        <f t="shared" si="48"/>
        <v>1</v>
      </c>
      <c r="T115" s="46" t="str">
        <f t="shared" si="32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3"/>
        <v>https://d0f6bd738d7f1b3e5a7ca70fe4ff75f0.us-east-1.aws.found.io/app/kibana#/discover/Steve-Slow-Train-Analysis-(2080s-and-2083s)?_g=(refreshInterval:(display:Off,pause:!f,section:0,value:0),time:(from:'2017-04-16T16:09:26-0600',mode:absolute,to:'2017-04-16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183" t="str">
        <f t="shared" si="34"/>
        <v>N</v>
      </c>
      <c r="X115" s="183">
        <f t="shared" si="46"/>
        <v>1</v>
      </c>
      <c r="Y115" s="62">
        <f t="shared" si="35"/>
        <v>23.297899999999998</v>
      </c>
      <c r="Z115" s="62">
        <f t="shared" si="49"/>
        <v>1.49E-2</v>
      </c>
      <c r="AA115" s="62">
        <f t="shared" si="37"/>
        <v>23.282999999999998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0202-16</v>
      </c>
      <c r="AE115" s="85" t="str">
        <f t="shared" si="39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115" s="82" t="str">
        <f t="shared" si="40"/>
        <v>"C:\Program Files (x86)\AstroGrep\AstroGrep.exe" /e /r /s /spath="%USERPROFILE%\AppData\Local\Temp\OnboardLogs" /stypes="app*4043*20170416*"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202-16 --locoid 4043 --swversion DE.1.0.9.0 --startMP 204:232979 --initTime 2017-04-16T17:09:26 --startdatetime 2017-04-16T17:11:24 --delay 0 --endMP 204:149 --enddatetime 2017-04-16T17:49:55 --enforcementcount 0 &gt;&gt;C:\Users\stu\Documents\GitHub\eaglep3-reporting\EC\2017-04-16-refined-times.txt</v>
      </c>
      <c r="AI11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{"issue":{"subject":"","project_id":79,"tracker_id":40,"status_id":1,"priority_id":2,"assigned_to_id":23,"start_date":"2017-04-16","description":"","custom_fields":[{"id":1,"name":"Subdivision","value":"EC"},{"id":4,"name":"Milepost","value":"0.0149"},{"id":17,"name":"Train ID","value":"202-16"},{"id":16,"name":"Locomotive ID","value":"4043"},{"id":130,"name":"Impact","value":""},{"id":150,"name":"Time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4043 --day 2017-04-16</v>
      </c>
      <c r="AN115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798</v>
      </c>
      <c r="B116" s="7">
        <v>4042</v>
      </c>
      <c r="C116" s="21" t="s">
        <v>214</v>
      </c>
      <c r="D116" s="21" t="s">
        <v>615</v>
      </c>
      <c r="E116" s="13">
        <v>42841.68513888889</v>
      </c>
      <c r="F116" s="13">
        <v>42841.687777777777</v>
      </c>
      <c r="G116" s="7">
        <v>1</v>
      </c>
      <c r="H116" s="21" t="s">
        <v>948</v>
      </c>
      <c r="I116" s="13">
        <v>42841.713935185187</v>
      </c>
      <c r="J116" s="7">
        <v>0</v>
      </c>
      <c r="K116" s="97" t="str">
        <f t="shared" si="30"/>
        <v>4041/4042</v>
      </c>
      <c r="L116" s="21" t="str">
        <f>VLOOKUP(A116,'Trips&amp;Operators'!$C$1:$G$99999,5,FALSE)</f>
        <v>DAVIS MICHAEL</v>
      </c>
      <c r="M116" s="6">
        <f t="shared" si="31"/>
        <v>2.6157407410209998E-2</v>
      </c>
      <c r="N116" s="7">
        <f t="shared" si="47"/>
        <v>37.666666670702398</v>
      </c>
      <c r="O116" s="7"/>
      <c r="P116" s="7"/>
      <c r="Q116" s="22"/>
      <c r="R116" s="22"/>
      <c r="S116" s="31">
        <f t="shared" si="48"/>
        <v>1</v>
      </c>
      <c r="T116" s="46" t="str">
        <f t="shared" si="32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3"/>
        <v>https://d0f6bd738d7f1b3e5a7ca70fe4ff75f0.us-east-1.aws.found.io/app/kibana#/discover/Steve-Slow-Train-Analysis-(2080s-and-2083s)?_g=(refreshInterval:(display:Off,pause:!f,section:0,value:0),time:(from:'2017-04-16T15:26:36-0600',mode:absolute,to:'2017-04-16T18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183" t="str">
        <f t="shared" si="34"/>
        <v>N</v>
      </c>
      <c r="X116" s="183">
        <f t="shared" si="46"/>
        <v>1</v>
      </c>
      <c r="Y116" s="62">
        <f t="shared" si="35"/>
        <v>4.3299999999999998E-2</v>
      </c>
      <c r="Z116" s="62">
        <f t="shared" si="49"/>
        <v>23.327400000000001</v>
      </c>
      <c r="AA116" s="62">
        <f t="shared" si="37"/>
        <v>23.284100000000002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0203-16</v>
      </c>
      <c r="AE116" s="85" t="str">
        <f t="shared" si="39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16" s="82" t="str">
        <f t="shared" si="40"/>
        <v>"C:\Program Files (x86)\AstroGrep\AstroGrep.exe" /e /r /s /spath="%USERPROFILE%\AppData\Local\Temp\OnboardLogs" /stypes="app*4042*20170416*" /stext=" 23:.+((SYSTEM_STATE.+slice.+state.+changed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203-16 --locoid 4042 --swversion DE.1.0.9.0 --startMP 204:433 --initTime 2017-04-16T16:26:36 --startdatetime 2017-04-16T16:30:24 --delay 1 --endMP 204:233274 --enddatetime 2017-04-16T17:08:04 --enforcementcount 0 &gt;&gt;C:\Users\stu\Documents\GitHub\eaglep3-reporting\EC\2017-04-16-refined-times.txt</v>
      </c>
      <c r="AI11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{"issue":{"subject":"","project_id":79,"tracker_id":40,"status_id":1,"priority_id":2,"assigned_to_id":23,"start_date":"2017-04-16","description":"","custom_fields":[{"id":1,"name":"Subdivision","value":"EC"},{"id":4,"name":"Milepost","value":"23.3274"},{"id":17,"name":"Train ID","value":"203-16"},{"id":16,"name":"Locomotive ID","value":"4042"},{"id":130,"name":"Impact","value":""},{"id":150,"name":"Time of Event (Mountain Time)","value":"17:08:04"},{"id":151,"name":"Denver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4042 --day 2017-04-16</v>
      </c>
      <c r="AN116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808</v>
      </c>
      <c r="B117" s="7">
        <v>4041</v>
      </c>
      <c r="C117" s="21" t="s">
        <v>214</v>
      </c>
      <c r="D117" s="21" t="s">
        <v>878</v>
      </c>
      <c r="E117" s="13">
        <v>42841.72347222222</v>
      </c>
      <c r="F117" s="13">
        <v>42841.72693287037</v>
      </c>
      <c r="G117" s="7">
        <v>1</v>
      </c>
      <c r="H117" s="21" t="s">
        <v>401</v>
      </c>
      <c r="I117" s="13">
        <v>42841.754479166666</v>
      </c>
      <c r="J117" s="7">
        <v>0</v>
      </c>
      <c r="K117" s="97" t="str">
        <f t="shared" si="30"/>
        <v>4041/4042</v>
      </c>
      <c r="L117" s="21" t="str">
        <f>VLOOKUP(A117,'Trips&amp;Operators'!$C$1:$G$99999,5,FALSE)</f>
        <v>DAVIS MICHAEL</v>
      </c>
      <c r="M117" s="6">
        <f t="shared" si="31"/>
        <v>2.7546296296350192E-2</v>
      </c>
      <c r="N117" s="7">
        <f t="shared" si="47"/>
        <v>39.666666666744277</v>
      </c>
      <c r="O117" s="7"/>
      <c r="P117" s="7"/>
      <c r="Q117" s="22"/>
      <c r="R117" s="22"/>
      <c r="S117" s="31">
        <f t="shared" si="48"/>
        <v>1</v>
      </c>
      <c r="T117" s="46" t="str">
        <f t="shared" si="32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3"/>
        <v>https://d0f6bd738d7f1b3e5a7ca70fe4ff75f0.us-east-1.aws.found.io/app/kibana#/discover/Steve-Slow-Train-Analysis-(2080s-and-2083s)?_g=(refreshInterval:(display:Off,pause:!f,section:0,value:0),time:(from:'2017-04-16T16:21:48-0600',mode:absolute,to:'2017-04-16T19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183" t="str">
        <f t="shared" si="34"/>
        <v>N</v>
      </c>
      <c r="X117" s="183">
        <f t="shared" si="46"/>
        <v>1</v>
      </c>
      <c r="Y117" s="62">
        <f t="shared" si="35"/>
        <v>23.298400000000001</v>
      </c>
      <c r="Z117" s="62">
        <f t="shared" si="49"/>
        <v>1.38E-2</v>
      </c>
      <c r="AA117" s="62">
        <f t="shared" si="37"/>
        <v>23.284600000000001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0204-16</v>
      </c>
      <c r="AE117" s="85" t="str">
        <f t="shared" si="39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117" s="82" t="str">
        <f t="shared" si="40"/>
        <v>"C:\Program Files (x86)\AstroGrep\AstroGrep.exe" /e /r /s /spath="%USERPROFILE%\AppData\Local\Temp\OnboardLogs" /stypes="app*4041*20170417*" /stext=" 00:.+((SYSTEM_STATE.+slice.+state.+changed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204-16 --locoid 4041 --swversion DE.1.0.9.0 --startMP 204:232984 --initTime 2017-04-16T17:21:48 --startdatetime 2017-04-16T17:26:47 --delay 1 --endMP 204:138 --enddatetime 2017-04-16T18:06:27 --enforcementcount 0 &gt;&gt;C:\Users\stu\Documents\GitHub\eaglep3-reporting\EC\2017-04-16-refined-times.txt</v>
      </c>
      <c r="AI11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{"issue":{"subject":"","project_id":79,"tracker_id":40,"status_id":1,"priority_id":2,"assigned_to_id":23,"start_date":"2017-04-16","description":"","custom_fields":[{"id":1,"name":"Subdivision","value":"EC"},{"id":4,"name":"Milepost","value":"0.0138"},{"id":17,"name":"Train ID","value":"204-16"},{"id":16,"name":"Locomotive ID","value":"4041"},{"id":130,"name":"Impact","value":""},{"id":150,"name":"Time of Event (Mountain Time)","value":"18:06:27"},{"id":151,"name":"Denver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4041 --day 2017-04-16</v>
      </c>
      <c r="AN117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801</v>
      </c>
      <c r="B118" s="7">
        <v>4006</v>
      </c>
      <c r="C118" s="21" t="s">
        <v>214</v>
      </c>
      <c r="D118" s="21" t="s">
        <v>597</v>
      </c>
      <c r="E118" s="13">
        <v>42841.692604166667</v>
      </c>
      <c r="F118" s="13">
        <v>42841.698101851849</v>
      </c>
      <c r="G118" s="7">
        <v>1</v>
      </c>
      <c r="H118" s="21" t="s">
        <v>605</v>
      </c>
      <c r="I118" s="13">
        <v>42841.722881944443</v>
      </c>
      <c r="J118" s="7">
        <v>0</v>
      </c>
      <c r="K118" s="97" t="str">
        <f t="shared" si="30"/>
        <v>4005/4006</v>
      </c>
      <c r="L118" s="21" t="str">
        <f>VLOOKUP(A118,'Trips&amp;Operators'!$C$1:$G$99999,5,FALSE)</f>
        <v>LEVIN SCOTT</v>
      </c>
      <c r="M118" s="6">
        <f t="shared" si="31"/>
        <v>2.4780092593573499E-2</v>
      </c>
      <c r="N118" s="7">
        <f t="shared" si="47"/>
        <v>35.683333334745839</v>
      </c>
      <c r="O118" s="7"/>
      <c r="P118" s="7"/>
      <c r="Q118" s="22"/>
      <c r="R118" s="22"/>
      <c r="S118" s="31">
        <f t="shared" si="48"/>
        <v>1</v>
      </c>
      <c r="T118" s="46" t="str">
        <f t="shared" si="32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3"/>
        <v>https://d0f6bd738d7f1b3e5a7ca70fe4ff75f0.us-east-1.aws.found.io/app/kibana#/discover/Steve-Slow-Train-Analysis-(2080s-and-2083s)?_g=(refreshInterval:(display:Off,pause:!f,section:0,value:0),time:(from:'2017-04-16T15:37:21-0600',mode:absolute,to:'2017-04-16T18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8" s="183" t="str">
        <f t="shared" si="34"/>
        <v>N</v>
      </c>
      <c r="X118" s="183">
        <f t="shared" si="46"/>
        <v>1</v>
      </c>
      <c r="Y118" s="62">
        <f t="shared" si="35"/>
        <v>4.3700000000000003E-2</v>
      </c>
      <c r="Z118" s="62">
        <f t="shared" si="49"/>
        <v>23.334900000000001</v>
      </c>
      <c r="AA118" s="62">
        <f t="shared" si="37"/>
        <v>23.2912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0205-16</v>
      </c>
      <c r="AE118" s="85" t="str">
        <f t="shared" si="39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118" s="82" t="str">
        <f t="shared" si="40"/>
        <v>"C:\Program Files (x86)\AstroGrep\AstroGrep.exe" /e /r /s /spath="%USERPROFILE%\AppData\Local\Temp\OnboardLogs" /stypes="app*4006*20170416*" /stext=" 23:.+((SYSTEM_STATE.+slice.+state.+changed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205-16 --locoid 4006 --swversion DE.1.0.9.0 --startMP 204:437 --initTime 2017-04-16T16:37:21 --startdatetime 2017-04-16T16:45:16 --delay 1 --endMP 204:233349 --enddatetime 2017-04-16T17:20:57 --enforcementcount 0 &gt;&gt;C:\Users\stu\Documents\GitHub\eaglep3-reporting\EC\2017-04-16-refined-times.txt</v>
      </c>
      <c r="AI11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{"issue":{"subject":"","project_id":79,"tracker_id":40,"status_id":1,"priority_id":2,"assigned_to_id":23,"start_date":"2017-04-16","description":"","custom_fields":[{"id":1,"name":"Subdivision","value":"EC"},{"id":4,"name":"Milepost","value":"23.3349"},{"id":17,"name":"Train ID","value":"205-16"},{"id":16,"name":"Locomotive ID","value":"4006"},{"id":130,"name":"Impact","value":""},{"id":150,"name":"Time of Event (Mountain Time)","value":"17:20:57"},{"id":151,"name":"Denver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4006 --day 2017-04-16</v>
      </c>
      <c r="AN118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810</v>
      </c>
      <c r="B119" s="7">
        <v>4005</v>
      </c>
      <c r="C119" s="21" t="s">
        <v>214</v>
      </c>
      <c r="D119" s="21" t="s">
        <v>949</v>
      </c>
      <c r="E119" s="13">
        <v>42841.733275462961</v>
      </c>
      <c r="F119" s="13">
        <v>42841.736979166664</v>
      </c>
      <c r="G119" s="7">
        <v>1</v>
      </c>
      <c r="H119" s="21" t="s">
        <v>950</v>
      </c>
      <c r="I119" s="13">
        <v>42841.763252314813</v>
      </c>
      <c r="J119" s="7">
        <v>0</v>
      </c>
      <c r="K119" s="97" t="str">
        <f t="shared" si="30"/>
        <v>4005/4006</v>
      </c>
      <c r="L119" s="21" t="str">
        <f>VLOOKUP(A119,'Trips&amp;Operators'!$C$1:$G$99999,5,FALSE)</f>
        <v>LEVIN SCOTT</v>
      </c>
      <c r="M119" s="6">
        <f t="shared" si="31"/>
        <v>2.6273148148902692E-2</v>
      </c>
      <c r="N119" s="7">
        <f t="shared" si="47"/>
        <v>37.833333334419876</v>
      </c>
      <c r="O119" s="7"/>
      <c r="P119" s="7"/>
      <c r="Q119" s="22"/>
      <c r="R119" s="22"/>
      <c r="S119" s="31">
        <f t="shared" si="48"/>
        <v>1</v>
      </c>
      <c r="T119" s="46" t="str">
        <f t="shared" si="32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3"/>
        <v>https://d0f6bd738d7f1b3e5a7ca70fe4ff75f0.us-east-1.aws.found.io/app/kibana#/discover/Steve-Slow-Train-Analysis-(2080s-and-2083s)?_g=(refreshInterval:(display:Off,pause:!f,section:0,value:0),time:(from:'2017-04-16T16:35:55-0600',mode:absolute,to:'2017-04-16T19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9" s="183" t="str">
        <f t="shared" si="34"/>
        <v>N</v>
      </c>
      <c r="X119" s="183">
        <f t="shared" si="46"/>
        <v>1</v>
      </c>
      <c r="Y119" s="62">
        <f t="shared" si="35"/>
        <v>23.300999999999998</v>
      </c>
      <c r="Z119" s="62">
        <v>1E-3</v>
      </c>
      <c r="AA119" s="62">
        <f t="shared" si="37"/>
        <v>23.299999999999997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0206-16</v>
      </c>
      <c r="AE119" s="85" t="str">
        <f t="shared" si="39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119" s="82" t="str">
        <f t="shared" si="40"/>
        <v>"C:\Program Files (x86)\AstroGrep\AstroGrep.exe" /e /r /s /spath="%USERPROFILE%\AppData\Local\Temp\OnboardLogs" /stypes="app*4005*20170417*" /stext=" 00:.+((SYSTEM_STATE.+slice.+state.+changed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206-16 --locoid 4005 --swversion DE.1.0.9.0 --startMP 204:233010 --initTime 2017-04-16T17:35:55 --startdatetime 2017-04-16T17:41:15 --delay 1 --endMP 204:60008 --enddatetime 2017-04-16T18:19:05 --enforcementcount 0 &gt;&gt;C:\Users\stu\Documents\GitHub\eaglep3-reporting\EC\2017-04-16-refined-times.txt</v>
      </c>
      <c r="AI11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{"issue":{"subject":"","project_id":79,"tracker_id":40,"status_id":1,"priority_id":2,"assigned_to_id":23,"start_date":"2017-04-16","description":"","custom_fields":[{"id":1,"name":"Subdivision","value":"EC"},{"id":4,"name":"Milepost","value":"0.001"},{"id":17,"name":"Train ID","value":"206-16"},{"id":16,"name":"Locomotive ID","value":"4005"},{"id":130,"name":"Impact","value":""},{"id":150,"name":"Time of Event (Mountain Time)","value":"18:19:05"},{"id":151,"name":"Denver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4005 --day 2017-04-16</v>
      </c>
      <c r="AN119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802</v>
      </c>
      <c r="B120" s="7">
        <v>4026</v>
      </c>
      <c r="C120" s="21" t="s">
        <v>214</v>
      </c>
      <c r="D120" s="21" t="s">
        <v>560</v>
      </c>
      <c r="E120" s="13">
        <v>42841.704351851855</v>
      </c>
      <c r="F120" s="13">
        <v>42841.708495370367</v>
      </c>
      <c r="G120" s="7">
        <v>1</v>
      </c>
      <c r="H120" s="21" t="s">
        <v>414</v>
      </c>
      <c r="I120" s="13">
        <v>42841.733599537038</v>
      </c>
      <c r="J120" s="7">
        <v>0</v>
      </c>
      <c r="K120" s="97" t="str">
        <f t="shared" si="30"/>
        <v>4025/4026</v>
      </c>
      <c r="L120" s="21" t="str">
        <f>VLOOKUP(A120,'Trips&amp;Operators'!$C$1:$G$99999,5,FALSE)</f>
        <v>BRUDER RICHARD</v>
      </c>
      <c r="M120" s="6">
        <f t="shared" si="31"/>
        <v>2.510416667064419E-2</v>
      </c>
      <c r="N120" s="7">
        <f t="shared" si="47"/>
        <v>36.150000005727634</v>
      </c>
      <c r="O120" s="7"/>
      <c r="P120" s="7"/>
      <c r="Q120" s="22"/>
      <c r="R120" s="22"/>
      <c r="S120" s="31">
        <f t="shared" si="48"/>
        <v>1</v>
      </c>
      <c r="T120" s="46" t="str">
        <f t="shared" si="32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3"/>
        <v>https://d0f6bd738d7f1b3e5a7ca70fe4ff75f0.us-east-1.aws.found.io/app/kibana#/discover/Steve-Slow-Train-Analysis-(2080s-and-2083s)?_g=(refreshInterval:(display:Off,pause:!f,section:0,value:0),time:(from:'2017-04-16T15:54:16-0600',mode:absolute,to:'2017-04-16T18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83" t="str">
        <f t="shared" si="34"/>
        <v>N</v>
      </c>
      <c r="X120" s="183">
        <f t="shared" si="46"/>
        <v>1</v>
      </c>
      <c r="Y120" s="62">
        <f t="shared" si="35"/>
        <v>4.6600000000000003E-2</v>
      </c>
      <c r="Z120" s="62">
        <f t="shared" ref="Z120:Z151" si="50">RIGHT(H120,LEN(H120)-4)/10000</f>
        <v>23.329699999999999</v>
      </c>
      <c r="AA120" s="62">
        <f t="shared" si="37"/>
        <v>23.283099999999997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0207-16</v>
      </c>
      <c r="AE120" s="85" t="str">
        <f t="shared" si="39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120" s="82" t="str">
        <f t="shared" si="40"/>
        <v>"C:\Program Files (x86)\AstroGrep\AstroGrep.exe" /e /r /s /spath="%USERPROFILE%\AppData\Local\Temp\OnboardLogs" /stypes="app*4026*20170416*" /stext=" 23:.+((SYSTEM_STATE.+slice.+state.+changed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207-16 --locoid 4026 --swversion DE.1.0.9.0 --startMP 204:466 --initTime 2017-04-16T16:54:16 --startdatetime 2017-04-16T17:00:14 --delay 1 --endMP 204:233297 --enddatetime 2017-04-16T17:36:23 --enforcementcount 0 &gt;&gt;C:\Users\stu\Documents\GitHub\eaglep3-reporting\EC\2017-04-16-refined-times.txt</v>
      </c>
      <c r="AI12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{"issue":{"subject":"","project_id":79,"tracker_id":40,"status_id":1,"priority_id":2,"assigned_to_id":23,"start_date":"2017-04-16","description":"","custom_fields":[{"id":1,"name":"Subdivision","value":"EC"},{"id":4,"name":"Milepost","value":"23.3297"},{"id":17,"name":"Train ID","value":"207-16"},{"id":16,"name":"Locomotive ID","value":"4026"},{"id":130,"name":"Impact","value":""},{"id":150,"name":"Time of Event (Mountain Time)","value":"17:36:23"},{"id":151,"name":"Denver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4026 --day 2017-04-16</v>
      </c>
      <c r="AN120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815</v>
      </c>
      <c r="B121" s="7">
        <v>4025</v>
      </c>
      <c r="C121" s="21" t="s">
        <v>214</v>
      </c>
      <c r="D121" s="21" t="s">
        <v>951</v>
      </c>
      <c r="E121" s="13">
        <v>42841.742303240739</v>
      </c>
      <c r="F121" s="13">
        <v>42841.747407407405</v>
      </c>
      <c r="G121" s="7">
        <v>1</v>
      </c>
      <c r="H121" s="21" t="s">
        <v>562</v>
      </c>
      <c r="I121" s="13">
        <v>42841.774652777778</v>
      </c>
      <c r="J121" s="7">
        <v>0</v>
      </c>
      <c r="K121" s="97" t="str">
        <f t="shared" si="30"/>
        <v>4025/4026</v>
      </c>
      <c r="L121" s="21" t="str">
        <f>VLOOKUP(A121,'Trips&amp;Operators'!$C$1:$G$99999,5,FALSE)</f>
        <v>BRUDER RICHARD</v>
      </c>
      <c r="M121" s="6">
        <f t="shared" si="31"/>
        <v>2.7245370372838806E-2</v>
      </c>
      <c r="N121" s="7">
        <f t="shared" si="47"/>
        <v>39.233333336887881</v>
      </c>
      <c r="O121" s="7"/>
      <c r="P121" s="7"/>
      <c r="Q121" s="22"/>
      <c r="R121" s="22"/>
      <c r="S121" s="31">
        <f t="shared" si="48"/>
        <v>1</v>
      </c>
      <c r="T121" s="46" t="str">
        <f t="shared" si="32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3"/>
        <v>https://d0f6bd738d7f1b3e5a7ca70fe4ff75f0.us-east-1.aws.found.io/app/kibana#/discover/Steve-Slow-Train-Analysis-(2080s-and-2083s)?_g=(refreshInterval:(display:Off,pause:!f,section:0,value:0),time:(from:'2017-04-16T16:48:55-0600',mode:absolute,to:'2017-04-16T19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83" t="str">
        <f t="shared" si="34"/>
        <v>N</v>
      </c>
      <c r="X121" s="183">
        <f t="shared" si="46"/>
        <v>1</v>
      </c>
      <c r="Y121" s="62">
        <f t="shared" si="35"/>
        <v>23.296900000000001</v>
      </c>
      <c r="Z121" s="62">
        <f t="shared" si="50"/>
        <v>1.5599999999999999E-2</v>
      </c>
      <c r="AA121" s="62">
        <f t="shared" si="37"/>
        <v>23.281300000000002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0208-16</v>
      </c>
      <c r="AE121" s="85" t="str">
        <f t="shared" si="39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121" s="82" t="str">
        <f t="shared" si="40"/>
        <v>"C:\Program Files (x86)\AstroGrep\AstroGrep.exe" /e /r /s /spath="%USERPROFILE%\AppData\Local\Temp\OnboardLogs" /stypes="app*4025*20170417*" /stext=" 00:.+((SYSTEM_STATE.+slice.+state.+changed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208-16 --locoid 4025 --swversion DE.1.0.9.0 --startMP 204:232969 --initTime 2017-04-16T17:48:55 --startdatetime 2017-04-16T17:56:16 --delay 1 --endMP 204:156 --enddatetime 2017-04-16T18:35:30 --enforcementcount 0 &gt;&gt;C:\Users\stu\Documents\GitHub\eaglep3-reporting\EC\2017-04-16-refined-times.txt</v>
      </c>
      <c r="AI12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{"issue":{"subject":"","project_id":79,"tracker_id":40,"status_id":1,"priority_id":2,"assigned_to_id":23,"start_date":"2017-04-16","description":"","custom_fields":[{"id":1,"name":"Subdivision","value":"EC"},{"id":4,"name":"Milepost","value":"0.0156"},{"id":17,"name":"Train ID","value":"208-16"},{"id":16,"name":"Locomotive ID","value":"4025"},{"id":130,"name":"Impact","value":""},{"id":150,"name":"Time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4025 --day 2017-04-16</v>
      </c>
      <c r="AN121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805</v>
      </c>
      <c r="B122" s="7">
        <v>4040</v>
      </c>
      <c r="C122" s="21" t="s">
        <v>214</v>
      </c>
      <c r="D122" s="21" t="s">
        <v>419</v>
      </c>
      <c r="E122" s="13">
        <v>42841.716435185182</v>
      </c>
      <c r="F122" s="13">
        <v>42841.719027777777</v>
      </c>
      <c r="G122" s="7">
        <v>1</v>
      </c>
      <c r="H122" s="21" t="s">
        <v>952</v>
      </c>
      <c r="I122" s="13">
        <v>42841.744004629632</v>
      </c>
      <c r="J122" s="7">
        <v>0</v>
      </c>
      <c r="K122" s="97" t="str">
        <f t="shared" si="30"/>
        <v>4039/4040</v>
      </c>
      <c r="L122" s="21" t="str">
        <f>VLOOKUP(A122,'Trips&amp;Operators'!$C$1:$G$99999,5,FALSE)</f>
        <v>CHANDLER KELVIN</v>
      </c>
      <c r="M122" s="6">
        <f t="shared" si="31"/>
        <v>2.4976851855171844E-2</v>
      </c>
      <c r="N122" s="7">
        <f t="shared" si="47"/>
        <v>35.966666671447456</v>
      </c>
      <c r="O122" s="7"/>
      <c r="P122" s="7"/>
      <c r="Q122" s="22"/>
      <c r="R122" s="22"/>
      <c r="S122" s="31">
        <f t="shared" si="48"/>
        <v>1</v>
      </c>
      <c r="T122" s="46" t="str">
        <f t="shared" si="32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3"/>
        <v>https://d0f6bd738d7f1b3e5a7ca70fe4ff75f0.us-east-1.aws.found.io/app/kibana#/discover/Steve-Slow-Train-Analysis-(2080s-and-2083s)?_g=(refreshInterval:(display:Off,pause:!f,section:0,value:0),time:(from:'2017-04-16T16:11:40-0600',mode:absolute,to:'2017-04-16T18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183" t="str">
        <f t="shared" si="34"/>
        <v>N</v>
      </c>
      <c r="X122" s="183">
        <f t="shared" si="46"/>
        <v>1</v>
      </c>
      <c r="Y122" s="62">
        <f t="shared" si="35"/>
        <v>4.58E-2</v>
      </c>
      <c r="Z122" s="62">
        <f t="shared" si="50"/>
        <v>23.321200000000001</v>
      </c>
      <c r="AA122" s="62">
        <f t="shared" si="37"/>
        <v>23.275400000000001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0209-16</v>
      </c>
      <c r="AE122" s="85" t="str">
        <f t="shared" si="39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22" s="82" t="str">
        <f t="shared" si="40"/>
        <v>"C:\Program Files (x86)\AstroGrep\AstroGrep.exe" /e /r /s /spath="%USERPROFILE%\AppData\Local\Temp\OnboardLogs" /stypes="app*4040*20170416*" /stext=" 23:.+((SYSTEM_STATE.+slice.+state.+changed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209-16 --locoid 4040 --swversion DE.1.0.9.0 --startMP 204:458 --initTime 2017-04-16T17:11:40 --startdatetime 2017-04-16T17:15:24 --delay 1 --endMP 204:233212 --enddatetime 2017-04-16T17:51:22 --enforcementcount 0 &gt;&gt;C:\Users\stu\Documents\GitHub\eaglep3-reporting\EC\2017-04-16-refined-times.txt</v>
      </c>
      <c r="AI12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{"issue":{"subject":"","project_id":79,"tracker_id":40,"status_id":1,"priority_id":2,"assigned_to_id":23,"start_date":"2017-04-16","description":"","custom_fields":[{"id":1,"name":"Subdivision","value":"EC"},{"id":4,"name":"Milepost","value":"23.3212"},{"id":17,"name":"Train ID","value":"209-16"},{"id":16,"name":"Locomotive ID","value":"4040"},{"id":130,"name":"Impact","value":""},{"id":150,"name":"Time of Event (Mountain Time)","value":"17:51:22"},{"id":151,"name":"Denver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4040 --day 2017-04-16</v>
      </c>
      <c r="AN122" s="159" t="str">
        <f t="shared" si="45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817</v>
      </c>
      <c r="B123" s="7">
        <v>4039</v>
      </c>
      <c r="C123" s="21" t="s">
        <v>214</v>
      </c>
      <c r="D123" s="21" t="s">
        <v>881</v>
      </c>
      <c r="E123" s="13">
        <v>42841.756354166668</v>
      </c>
      <c r="F123" s="13">
        <v>42841.758009259262</v>
      </c>
      <c r="G123" s="7">
        <v>1</v>
      </c>
      <c r="H123" s="21" t="s">
        <v>634</v>
      </c>
      <c r="I123" s="13">
        <v>42841.785115740742</v>
      </c>
      <c r="J123" s="7">
        <v>0</v>
      </c>
      <c r="K123" s="97" t="str">
        <f t="shared" si="30"/>
        <v>4039/4040</v>
      </c>
      <c r="L123" s="21" t="str">
        <f>VLOOKUP(A123,'Trips&amp;Operators'!$C$1:$G$99999,5,FALSE)</f>
        <v>CHANDLER KELVIN</v>
      </c>
      <c r="M123" s="6">
        <f t="shared" si="31"/>
        <v>2.7106481480586808E-2</v>
      </c>
      <c r="N123" s="7">
        <f t="shared" si="47"/>
        <v>39.033333332045004</v>
      </c>
      <c r="O123" s="7"/>
      <c r="P123" s="7"/>
      <c r="Q123" s="22"/>
      <c r="R123" s="22"/>
      <c r="S123" s="31">
        <f t="shared" si="48"/>
        <v>1</v>
      </c>
      <c r="T123" s="46" t="str">
        <f t="shared" si="32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3"/>
        <v>https://d0f6bd738d7f1b3e5a7ca70fe4ff75f0.us-east-1.aws.found.io/app/kibana#/discover/Steve-Slow-Train-Analysis-(2080s-and-2083s)?_g=(refreshInterval:(display:Off,pause:!f,section:0,value:0),time:(from:'2017-04-16T17:09:09-0600',mode:absolute,to:'2017-04-16T19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183" t="str">
        <f t="shared" si="34"/>
        <v>N</v>
      </c>
      <c r="X123" s="183">
        <f t="shared" ref="X123:X155" si="51">VALUE(LEFT(AD123,4))-VALUE(LEFT(AD122,4))</f>
        <v>1</v>
      </c>
      <c r="Y123" s="62">
        <f t="shared" si="35"/>
        <v>23.297000000000001</v>
      </c>
      <c r="Z123" s="62">
        <f t="shared" si="50"/>
        <v>1.7399999999999999E-2</v>
      </c>
      <c r="AA123" s="62">
        <f t="shared" si="37"/>
        <v>23.279600000000002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0210-16</v>
      </c>
      <c r="AE123" s="85" t="str">
        <f t="shared" si="39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123" s="82" t="str">
        <f t="shared" si="40"/>
        <v>"C:\Program Files (x86)\AstroGrep\AstroGrep.exe" /e /r /s /spath="%USERPROFILE%\AppData\Local\Temp\OnboardLogs" /stypes="app*4039*20170417*"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210-16 --locoid 4039 --swversion DE.1.0.9.0 --startMP 204:232970 --initTime 2017-04-16T18:09:09 --startdatetime 2017-04-16T18:11:32 --delay 1 --endMP 204:174 --enddatetime 2017-04-16T18:50:34 --enforcementcount 0 &gt;&gt;C:\Users\stu\Documents\GitHub\eaglep3-reporting\EC\2017-04-16-refined-times.txt</v>
      </c>
      <c r="AI123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{"issue":{"subject":"","project_id":79,"tracker_id":40,"status_id":1,"priority_id":2,"assigned_to_id":23,"start_date":"2017-04-16","description":"","custom_fields":[{"id":1,"name":"Subdivision","value":"EC"},{"id":4,"name":"Milepost","value":"0.0174"},{"id":17,"name":"Train ID","value":"210-16"},{"id":16,"name":"Locomotive ID","value":"4039"},{"id":130,"name":"Impact","value":""},{"id":150,"name":"Time of Event (Mountain Time)","value":"18:50:34"},{"id":151,"name":"Denver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4039 --day 2017-04-16</v>
      </c>
      <c r="AN123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807</v>
      </c>
      <c r="B124" s="7">
        <v>4016</v>
      </c>
      <c r="C124" s="21" t="s">
        <v>214</v>
      </c>
      <c r="D124" s="21" t="s">
        <v>615</v>
      </c>
      <c r="E124" s="13">
        <v>42841.722986111112</v>
      </c>
      <c r="F124" s="13">
        <v>42841.729328703703</v>
      </c>
      <c r="G124" s="7">
        <v>1</v>
      </c>
      <c r="H124" s="21" t="s">
        <v>459</v>
      </c>
      <c r="I124" s="13">
        <v>42841.755555555559</v>
      </c>
      <c r="J124" s="7">
        <v>0</v>
      </c>
      <c r="K124" s="97" t="str">
        <f t="shared" si="30"/>
        <v>4015/4016</v>
      </c>
      <c r="L124" s="21" t="str">
        <f>VLOOKUP(A124,'Trips&amp;Operators'!$C$1:$G$99999,5,FALSE)</f>
        <v>DAVIDSON DAVID</v>
      </c>
      <c r="M124" s="6">
        <f t="shared" si="31"/>
        <v>2.6226851856335998E-2</v>
      </c>
      <c r="N124" s="7">
        <f t="shared" si="47"/>
        <v>37.766666673123837</v>
      </c>
      <c r="O124" s="7"/>
      <c r="P124" s="7"/>
      <c r="Q124" s="22"/>
      <c r="R124" s="22"/>
      <c r="S124" s="31">
        <f t="shared" si="48"/>
        <v>1</v>
      </c>
      <c r="T124" s="46" t="str">
        <f t="shared" si="32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3"/>
        <v>https://d0f6bd738d7f1b3e5a7ca70fe4ff75f0.us-east-1.aws.found.io/app/kibana#/discover/Steve-Slow-Train-Analysis-(2080s-and-2083s)?_g=(refreshInterval:(display:Off,pause:!f,section:0,value:0),time:(from:'2017-04-16T16:21:06-0600',mode:absolute,to:'2017-04-16T19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183" t="str">
        <f t="shared" si="34"/>
        <v>N</v>
      </c>
      <c r="X124" s="183">
        <f t="shared" si="51"/>
        <v>1</v>
      </c>
      <c r="Y124" s="62">
        <f t="shared" si="35"/>
        <v>4.3299999999999998E-2</v>
      </c>
      <c r="Z124" s="62">
        <f t="shared" si="50"/>
        <v>23.3291</v>
      </c>
      <c r="AA124" s="62">
        <f t="shared" si="37"/>
        <v>23.285800000000002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0211-16</v>
      </c>
      <c r="AE124" s="85" t="str">
        <f t="shared" si="39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124" s="82" t="str">
        <f t="shared" si="40"/>
        <v>"C:\Program Files (x86)\AstroGrep\AstroGrep.exe" /e /r /s /spath="%USERPROFILE%\AppData\Local\Temp\OnboardLogs" /stypes="app*4016*20170417*" /stext=" 00:.+((SYSTEM_STATE.+slice.+state.+changed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211-16 --locoid 4016 --swversion DE.1.0.9.0 --startMP 204:433 --initTime 2017-04-16T17:21:06 --startdatetime 2017-04-16T17:30:14 --delay 1 --endMP 204:233291 --enddatetime 2017-04-16T18:08:00 --enforcementcount 0 &gt;&gt;C:\Users\stu\Documents\GitHub\eaglep3-reporting\EC\2017-04-16-refined-times.txt</v>
      </c>
      <c r="AI12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{"issue":{"subject":"","project_id":79,"tracker_id":40,"status_id":1,"priority_id":2,"assigned_to_id":23,"start_date":"2017-04-16","description":"","custom_fields":[{"id":1,"name":"Subdivision","value":"EC"},{"id":4,"name":"Milepost","value":"23.3291"},{"id":17,"name":"Train ID","value":"211-16"},{"id":16,"name":"Locomotive ID","value":"4016"},{"id":130,"name":"Impact","value":""},{"id":150,"name":"Time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4016 --day 2017-04-16</v>
      </c>
      <c r="AN124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820</v>
      </c>
      <c r="B125" s="7">
        <v>4015</v>
      </c>
      <c r="C125" s="21" t="s">
        <v>214</v>
      </c>
      <c r="D125" s="21" t="s">
        <v>474</v>
      </c>
      <c r="E125" s="13">
        <v>42841.761759259258</v>
      </c>
      <c r="F125" s="13">
        <v>42841.768368055556</v>
      </c>
      <c r="G125" s="7">
        <v>1</v>
      </c>
      <c r="H125" s="21" t="s">
        <v>478</v>
      </c>
      <c r="I125" s="13">
        <v>42841.796041666668</v>
      </c>
      <c r="J125" s="7">
        <v>0</v>
      </c>
      <c r="K125" s="97" t="str">
        <f t="shared" si="30"/>
        <v>4015/4016</v>
      </c>
      <c r="L125" s="21" t="str">
        <f>VLOOKUP(A125,'Trips&amp;Operators'!$C$1:$G$99999,5,FALSE)</f>
        <v>DAVIDSON DAVID</v>
      </c>
      <c r="M125" s="6">
        <f t="shared" si="31"/>
        <v>2.7673611111822538E-2</v>
      </c>
      <c r="N125" s="7">
        <f t="shared" si="47"/>
        <v>39.850000001024455</v>
      </c>
      <c r="O125" s="7"/>
      <c r="P125" s="7"/>
      <c r="Q125" s="22"/>
      <c r="R125" s="22"/>
      <c r="S125" s="31">
        <f t="shared" si="48"/>
        <v>1</v>
      </c>
      <c r="T125" s="46" t="str">
        <f t="shared" si="32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3"/>
        <v>https://d0f6bd738d7f1b3e5a7ca70fe4ff75f0.us-east-1.aws.found.io/app/kibana#/discover/Steve-Slow-Train-Analysis-(2080s-and-2083s)?_g=(refreshInterval:(display:Off,pause:!f,section:0,value:0),time:(from:'2017-04-16T17:16:56-0600',mode:absolute,to:'2017-04-16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183" t="str">
        <f t="shared" si="34"/>
        <v>N</v>
      </c>
      <c r="X125" s="183">
        <f t="shared" si="51"/>
        <v>1</v>
      </c>
      <c r="Y125" s="62">
        <f t="shared" si="35"/>
        <v>23.2973</v>
      </c>
      <c r="Z125" s="62">
        <f t="shared" si="50"/>
        <v>1.4999999999999999E-2</v>
      </c>
      <c r="AA125" s="62">
        <f t="shared" si="37"/>
        <v>23.282299999999999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0212-16</v>
      </c>
      <c r="AE125" s="85" t="str">
        <f t="shared" si="39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125" s="82" t="str">
        <f t="shared" si="40"/>
        <v>"C:\Program Files (x86)\AstroGrep\AstroGrep.exe" /e /r /s /spath="%USERPROFILE%\AppData\Local\Temp\OnboardLogs" /stypes="app*4015*20170417*" /stext=" 01:.+((SYSTEM_STATE.+slice.+state.+changed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212-16 --locoid 4015 --swversion DE.1.0.9.0 --startMP 204:232973 --initTime 2017-04-16T18:16:56 --startdatetime 2017-04-16T18:26:27 --delay 1 --endMP 204:150 --enddatetime 2017-04-16T19:06:18 --enforcementcount 0 &gt;&gt;C:\Users\stu\Documents\GitHub\eaglep3-reporting\EC\2017-04-16-refined-times.txt</v>
      </c>
      <c r="AI12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{"issue":{"subject":"","project_id":79,"tracker_id":40,"status_id":1,"priority_id":2,"assigned_to_id":23,"start_date":"2017-04-16","description":"","custom_fields":[{"id":1,"name":"Subdivision","value":"EC"},{"id":4,"name":"Milepost","value":"0.015"},{"id":17,"name":"Train ID","value":"212-16"},{"id":16,"name":"Locomotive ID","value":"4015"},{"id":130,"name":"Impact","value":""},{"id":150,"name":"Time of Event (Mountain Time)","value":"19:06:18"},{"id":151,"name":"Denver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4015 --day 2017-04-16</v>
      </c>
      <c r="AN125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811</v>
      </c>
      <c r="B126" s="7">
        <v>4020</v>
      </c>
      <c r="C126" s="21" t="s">
        <v>214</v>
      </c>
      <c r="D126" s="21" t="s">
        <v>953</v>
      </c>
      <c r="E126" s="13">
        <v>42841.736319444448</v>
      </c>
      <c r="F126" s="13">
        <v>42841.739745370367</v>
      </c>
      <c r="G126" s="7">
        <v>1</v>
      </c>
      <c r="H126" s="21" t="s">
        <v>602</v>
      </c>
      <c r="I126" s="13">
        <v>42841.764317129629</v>
      </c>
      <c r="J126" s="7">
        <v>0</v>
      </c>
      <c r="K126" s="97" t="str">
        <f t="shared" si="30"/>
        <v>4019/4020</v>
      </c>
      <c r="L126" s="21" t="str">
        <f>VLOOKUP(A126,'Trips&amp;Operators'!$C$1:$G$99999,5,FALSE)</f>
        <v>NEWELL JAMES</v>
      </c>
      <c r="M126" s="6">
        <f t="shared" si="31"/>
        <v>2.457175926247146E-2</v>
      </c>
      <c r="N126" s="7">
        <f t="shared" ref="N126:N132" si="52">24*60*SUM($M126:$M126)</f>
        <v>35.383333337958902</v>
      </c>
      <c r="O126" s="7"/>
      <c r="P126" s="7"/>
      <c r="Q126" s="22"/>
      <c r="R126" s="22"/>
      <c r="S126" s="31">
        <f t="shared" ref="S126:S157" si="53">SUM(U126:U126)/IF(AG126="EC",12,1)</f>
        <v>1</v>
      </c>
      <c r="T126" s="46" t="str">
        <f t="shared" si="32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3"/>
        <v>https://d0f6bd738d7f1b3e5a7ca70fe4ff75f0.us-east-1.aws.found.io/app/kibana#/discover/Steve-Slow-Train-Analysis-(2080s-and-2083s)?_g=(refreshInterval:(display:Off,pause:!f,section:0,value:0),time:(from:'2017-04-16T16:40:18-0600',mode:absolute,to:'2017-04-16T19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183" t="str">
        <f t="shared" si="34"/>
        <v>N</v>
      </c>
      <c r="X126" s="183">
        <f t="shared" si="51"/>
        <v>1</v>
      </c>
      <c r="Y126" s="62">
        <f t="shared" si="35"/>
        <v>5.0900000000000001E-2</v>
      </c>
      <c r="Z126" s="62">
        <f t="shared" si="50"/>
        <v>23.333100000000002</v>
      </c>
      <c r="AA126" s="62">
        <f t="shared" si="37"/>
        <v>23.282200000000003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0213-16</v>
      </c>
      <c r="AE126" s="85" t="str">
        <f t="shared" si="39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126" s="82" t="str">
        <f t="shared" si="40"/>
        <v>"C:\Program Files (x86)\AstroGrep\AstroGrep.exe" /e /r /s /spath="%USERPROFILE%\AppData\Local\Temp\OnboardLogs" /stypes="app*4020*20170417*" /stext=" 00:.+((SYSTEM_STATE.+slice.+state.+changed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213-16 --locoid 4020 --swversion DE.1.0.9.0 --startMP 204:509 --initTime 2017-04-16T17:40:18 --startdatetime 2017-04-16T17:45:14 --delay 1 --endMP 204:233331 --enddatetime 2017-04-16T18:20:37 --enforcementcount 0 &gt;&gt;C:\Users\stu\Documents\GitHub\eaglep3-reporting\EC\2017-04-16-refined-times.txt</v>
      </c>
      <c r="AI12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{"issue":{"subject":"","project_id":79,"tracker_id":40,"status_id":1,"priority_id":2,"assigned_to_id":23,"start_date":"2017-04-16","description":"","custom_fields":[{"id":1,"name":"Subdivision","value":"EC"},{"id":4,"name":"Milepost","value":"23.3331"},{"id":17,"name":"Train ID","value":"213-16"},{"id":16,"name":"Locomotive ID","value":"4020"},{"id":130,"name":"Impact","value":""},{"id":150,"name":"Time of Event (Mountain Time)","value":"18:20:37"},{"id":151,"name":"Denver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4020 --day 2017-04-16</v>
      </c>
      <c r="AN126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822</v>
      </c>
      <c r="B127" s="7">
        <v>4019</v>
      </c>
      <c r="C127" s="21" t="s">
        <v>214</v>
      </c>
      <c r="D127" s="21" t="s">
        <v>530</v>
      </c>
      <c r="E127" s="13">
        <v>42841.768842592595</v>
      </c>
      <c r="F127" s="13">
        <v>42841.778645833336</v>
      </c>
      <c r="G127" s="7">
        <v>1</v>
      </c>
      <c r="H127" s="21" t="s">
        <v>198</v>
      </c>
      <c r="I127" s="13">
        <v>42841.804756944446</v>
      </c>
      <c r="J127" s="7">
        <v>0</v>
      </c>
      <c r="K127" s="97" t="str">
        <f t="shared" si="30"/>
        <v>4019/4020</v>
      </c>
      <c r="L127" s="21" t="str">
        <f>VLOOKUP(A127,'Trips&amp;Operators'!$C$1:$G$99999,5,FALSE)</f>
        <v>NEWELL JAMES</v>
      </c>
      <c r="M127" s="6">
        <f t="shared" si="31"/>
        <v>2.6111111110367347E-2</v>
      </c>
      <c r="N127" s="7">
        <f t="shared" si="52"/>
        <v>37.599999998928979</v>
      </c>
      <c r="O127" s="7"/>
      <c r="P127" s="7"/>
      <c r="Q127" s="22"/>
      <c r="R127" s="22"/>
      <c r="S127" s="31">
        <f t="shared" si="53"/>
        <v>1</v>
      </c>
      <c r="T127" s="46" t="str">
        <f t="shared" si="32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3"/>
        <v>https://d0f6bd738d7f1b3e5a7ca70fe4ff75f0.us-east-1.aws.found.io/app/kibana#/discover/Steve-Slow-Train-Analysis-(2080s-and-2083s)?_g=(refreshInterval:(display:Off,pause:!f,section:0,value:0),time:(from:'2017-04-16T17:27:08-0600',mode:absolute,to:'2017-04-16T20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183" t="str">
        <f t="shared" si="34"/>
        <v>N</v>
      </c>
      <c r="X127" s="183">
        <f t="shared" si="51"/>
        <v>1</v>
      </c>
      <c r="Y127" s="62">
        <f t="shared" si="35"/>
        <v>23.298300000000001</v>
      </c>
      <c r="Z127" s="62">
        <f t="shared" si="50"/>
        <v>1.5800000000000002E-2</v>
      </c>
      <c r="AA127" s="62">
        <f t="shared" si="37"/>
        <v>23.282500000000002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0214-16</v>
      </c>
      <c r="AE127" s="85" t="str">
        <f t="shared" si="39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27" s="82" t="str">
        <f t="shared" si="40"/>
        <v>"C:\Program Files (x86)\AstroGrep\AstroGrep.exe" /e /r /s /spath="%USERPROFILE%\AppData\Local\Temp\OnboardLogs" /stypes="app*4019*20170417*" /stext=" 01:.+((SYSTEM_STATE.+slice.+state.+changed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214-16 --locoid 4019 --swversion DE.1.0.9.0 --startMP 204:232983 --initTime 2017-04-16T18:27:08 --startdatetime 2017-04-16T18:41:15 --delay 1 --endMP 204:158 --enddatetime 2017-04-16T19:18:51 --enforcementcount 0 &gt;&gt;C:\Users\stu\Documents\GitHub\eaglep3-reporting\EC\2017-04-16-refined-times.txt</v>
      </c>
      <c r="AI12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{"issue":{"subject":"","project_id":79,"tracker_id":40,"status_id":1,"priority_id":2,"assigned_to_id":23,"start_date":"2017-04-16","description":"","custom_fields":[{"id":1,"name":"Subdivision","value":"EC"},{"id":4,"name":"Milepost","value":"0.0158"},{"id":17,"name":"Train ID","value":"214-16"},{"id":16,"name":"Locomotive ID","value":"4019"},{"id":130,"name":"Impact","value":""},{"id":150,"name":"Time of Event (Mountain Time)","value":"19:18:51"},{"id":151,"name":"Denver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4019 --day 2017-04-16</v>
      </c>
      <c r="AN127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816</v>
      </c>
      <c r="B128" s="7">
        <v>4044</v>
      </c>
      <c r="C128" s="21" t="s">
        <v>214</v>
      </c>
      <c r="D128" s="21" t="s">
        <v>507</v>
      </c>
      <c r="E128" s="13">
        <v>42841.745254629626</v>
      </c>
      <c r="F128" s="13">
        <v>42841.750185185185</v>
      </c>
      <c r="G128" s="7">
        <v>2</v>
      </c>
      <c r="H128" s="21" t="s">
        <v>490</v>
      </c>
      <c r="I128" s="13">
        <v>42841.776377314818</v>
      </c>
      <c r="J128" s="7">
        <v>0</v>
      </c>
      <c r="K128" s="97" t="str">
        <f t="shared" si="30"/>
        <v>4043/4044</v>
      </c>
      <c r="L128" s="21" t="str">
        <f>VLOOKUP(A128,'Trips&amp;Operators'!$C$1:$G$99999,5,FALSE)</f>
        <v>BRANDNER MELINDA</v>
      </c>
      <c r="M128" s="6">
        <f t="shared" si="31"/>
        <v>2.6192129633272998E-2</v>
      </c>
      <c r="N128" s="7">
        <f t="shared" si="52"/>
        <v>37.716666671913117</v>
      </c>
      <c r="O128" s="7"/>
      <c r="P128" s="7"/>
      <c r="Q128" s="22"/>
      <c r="R128" s="22"/>
      <c r="S128" s="31">
        <f t="shared" si="53"/>
        <v>1</v>
      </c>
      <c r="T128" s="46" t="str">
        <f t="shared" si="32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3"/>
        <v>https://d0f6bd738d7f1b3e5a7ca70fe4ff75f0.us-east-1.aws.found.io/app/kibana#/discover/Steve-Slow-Train-Analysis-(2080s-and-2083s)?_g=(refreshInterval:(display:Off,pause:!f,section:0,value:0),time:(from:'2017-04-16T16:53:10-0600',mode:absolute,to:'2017-04-16T19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183" t="str">
        <f t="shared" si="34"/>
        <v>N</v>
      </c>
      <c r="X128" s="183">
        <f t="shared" si="51"/>
        <v>1</v>
      </c>
      <c r="Y128" s="62">
        <f t="shared" si="35"/>
        <v>4.3999999999999997E-2</v>
      </c>
      <c r="Z128" s="62">
        <f t="shared" si="50"/>
        <v>23.330300000000001</v>
      </c>
      <c r="AA128" s="62">
        <f t="shared" si="37"/>
        <v>23.286300000000001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0215-16</v>
      </c>
      <c r="AE128" s="85" t="str">
        <f t="shared" si="39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128" s="82" t="str">
        <f t="shared" si="40"/>
        <v>"C:\Program Files (x86)\AstroGrep\AstroGrep.exe" /e /r /s /spath="%USERPROFILE%\AppData\Local\Temp\OnboardLogs" /stypes="app*4044*20170417*" /stext=" 00:.+((SYSTEM_STATE.+slice.+state.+changed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215-16 --locoid 4044 --swversion DE.1.0.9.0 --startMP 204:440 --initTime 2017-04-16T17:53:10 --startdatetime 2017-04-16T18:00:16 --delay 2 --endMP 204:233303 --enddatetime 2017-04-16T18:37:59 --enforcementcount 0 &gt;&gt;C:\Users\stu\Documents\GitHub\eaglep3-reporting\EC\2017-04-16-refined-times.txt</v>
      </c>
      <c r="AI12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{"issue":{"subject":"","project_id":79,"tracker_id":40,"status_id":1,"priority_id":2,"assigned_to_id":23,"start_date":"2017-04-16","description":"","custom_fields":[{"id":1,"name":"Subdivision","value":"EC"},{"id":4,"name":"Milepost","value":"23.3303"},{"id":17,"name":"Train ID","value":"215-16"},{"id":16,"name":"Locomotive ID","value":"4044"},{"id":130,"name":"Impact","value":""},{"id":150,"name":"Time of Event (Mountain Time)","value":"18:37:59"},{"id":151,"name":"Denver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4044 --day 2017-04-16</v>
      </c>
      <c r="AN128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825</v>
      </c>
      <c r="B129" s="7">
        <v>4043</v>
      </c>
      <c r="C129" s="21" t="s">
        <v>214</v>
      </c>
      <c r="D129" s="21" t="s">
        <v>474</v>
      </c>
      <c r="E129" s="13">
        <v>42841.783518518518</v>
      </c>
      <c r="F129" s="13">
        <v>42841.789143518516</v>
      </c>
      <c r="G129" s="7">
        <v>1</v>
      </c>
      <c r="H129" s="21" t="s">
        <v>203</v>
      </c>
      <c r="I129" s="13">
        <v>42841.816493055558</v>
      </c>
      <c r="J129" s="7">
        <v>0</v>
      </c>
      <c r="K129" s="97" t="str">
        <f t="shared" si="30"/>
        <v>4043/4044</v>
      </c>
      <c r="L129" s="21" t="str">
        <f>VLOOKUP(A129,'Trips&amp;Operators'!$C$1:$G$99999,5,FALSE)</f>
        <v>BRANDNER MELINDA</v>
      </c>
      <c r="M129" s="6">
        <f t="shared" si="31"/>
        <v>2.7349537042027805E-2</v>
      </c>
      <c r="N129" s="7">
        <f t="shared" si="52"/>
        <v>39.383333340520039</v>
      </c>
      <c r="O129" s="7"/>
      <c r="P129" s="7"/>
      <c r="Q129" s="22"/>
      <c r="R129" s="22"/>
      <c r="S129" s="31">
        <f t="shared" si="53"/>
        <v>1</v>
      </c>
      <c r="T129" s="46" t="str">
        <f t="shared" si="32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3"/>
        <v>https://d0f6bd738d7f1b3e5a7ca70fe4ff75f0.us-east-1.aws.found.io/app/kibana#/discover/Steve-Slow-Train-Analysis-(2080s-and-2083s)?_g=(refreshInterval:(display:Off,pause:!f,section:0,value:0),time:(from:'2017-04-16T17:48:16-0600',mode:absolute,to:'2017-04-16T20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183" t="str">
        <f t="shared" si="34"/>
        <v>N</v>
      </c>
      <c r="X129" s="183">
        <f t="shared" si="51"/>
        <v>1</v>
      </c>
      <c r="Y129" s="62">
        <f t="shared" si="35"/>
        <v>23.2973</v>
      </c>
      <c r="Z129" s="62">
        <f t="shared" si="50"/>
        <v>1.54E-2</v>
      </c>
      <c r="AA129" s="62">
        <f t="shared" si="37"/>
        <v>23.2819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0216-16</v>
      </c>
      <c r="AE129" s="85" t="str">
        <f t="shared" si="39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129" s="82" t="str">
        <f t="shared" si="40"/>
        <v>"C:\Program Files (x86)\AstroGrep\AstroGrep.exe" /e /r /s /spath="%USERPROFILE%\AppData\Local\Temp\OnboardLogs" /stypes="app*4043*20170417*" /stext=" 01:.+((SYSTEM_STATE.+slice.+state.+changed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216-16 --locoid 4043 --swversion DE.1.0.9.0 --startMP 204:232973 --initTime 2017-04-16T18:48:16 --startdatetime 2017-04-16T18:56:22 --delay 1 --endMP 204:154 --enddatetime 2017-04-16T19:35:45 --enforcementcount 0 &gt;&gt;C:\Users\stu\Documents\GitHub\eaglep3-reporting\EC\2017-04-16-refined-times.txt</v>
      </c>
      <c r="AI12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{"issue":{"subject":"","project_id":79,"tracker_id":40,"status_id":1,"priority_id":2,"assigned_to_id":23,"start_date":"2017-04-16","description":"","custom_fields":[{"id":1,"name":"Subdivision","value":"EC"},{"id":4,"name":"Milepost","value":"0.0154"},{"id":17,"name":"Train ID","value":"216-16"},{"id":16,"name":"Locomotive ID","value":"4043"},{"id":130,"name":"Impact","value":""},{"id":150,"name":"Time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4043 --day 2017-04-16</v>
      </c>
      <c r="AN129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818</v>
      </c>
      <c r="B130" s="7">
        <v>4042</v>
      </c>
      <c r="C130" s="21" t="s">
        <v>214</v>
      </c>
      <c r="D130" s="21" t="s">
        <v>407</v>
      </c>
      <c r="E130" s="13">
        <v>42841.757696759261</v>
      </c>
      <c r="F130" s="13">
        <v>42841.760671296295</v>
      </c>
      <c r="G130" s="7">
        <v>2</v>
      </c>
      <c r="H130" s="21" t="s">
        <v>954</v>
      </c>
      <c r="I130" s="13">
        <v>42841.785671296297</v>
      </c>
      <c r="J130" s="7">
        <v>0</v>
      </c>
      <c r="K130" s="97" t="str">
        <f t="shared" si="30"/>
        <v>4041/4042</v>
      </c>
      <c r="L130" s="21" t="str">
        <f>VLOOKUP(A130,'Trips&amp;Operators'!$C$1:$G$99999,5,FALSE)</f>
        <v>SAFIEF AEIMEN</v>
      </c>
      <c r="M130" s="6">
        <f t="shared" si="31"/>
        <v>2.5000000001455192E-2</v>
      </c>
      <c r="N130" s="7">
        <f t="shared" si="52"/>
        <v>36.000000002095476</v>
      </c>
      <c r="O130" s="7"/>
      <c r="P130" s="7"/>
      <c r="Q130" s="22"/>
      <c r="R130" s="22"/>
      <c r="S130" s="31">
        <f t="shared" si="53"/>
        <v>1</v>
      </c>
      <c r="T130" s="46" t="str">
        <f t="shared" si="32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3"/>
        <v>https://d0f6bd738d7f1b3e5a7ca70fe4ff75f0.us-east-1.aws.found.io/app/kibana#/discover/Steve-Slow-Train-Analysis-(2080s-and-2083s)?_g=(refreshInterval:(display:Off,pause:!f,section:0,value:0),time:(from:'2017-04-16T17:11:05-0600',mode:absolute,to:'2017-04-16T19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0" s="183" t="str">
        <f t="shared" si="34"/>
        <v>N</v>
      </c>
      <c r="X130" s="183">
        <f t="shared" si="51"/>
        <v>1</v>
      </c>
      <c r="Y130" s="62">
        <f t="shared" si="35"/>
        <v>4.6199999999999998E-2</v>
      </c>
      <c r="Z130" s="62">
        <f t="shared" si="50"/>
        <v>23.332699999999999</v>
      </c>
      <c r="AA130" s="62">
        <f t="shared" si="37"/>
        <v>23.2865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0217-16</v>
      </c>
      <c r="AE130" s="85" t="str">
        <f t="shared" si="39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30" s="82" t="str">
        <f t="shared" si="40"/>
        <v>"C:\Program Files (x86)\AstroGrep\AstroGrep.exe" /e /r /s /spath="%USERPROFILE%\AppData\Local\Temp\OnboardLogs" /stypes="app*4042*20170417*" /stext=" 00:.+((SYSTEM_STATE.+slice.+state.+changed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217-16 --locoid 4042 --swversion DE.1.0.9.0 --startMP 204:462 --initTime 2017-04-16T18:11:05 --startdatetime 2017-04-16T18:15:22 --delay 2 --endMP 204:233327 --enddatetime 2017-04-16T18:51:22 --enforcementcount 0 &gt;&gt;C:\Users\stu\Documents\GitHub\eaglep3-reporting\EC\2017-04-16-refined-times.txt</v>
      </c>
      <c r="AI13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{"issue":{"subject":"","project_id":79,"tracker_id":40,"status_id":1,"priority_id":2,"assigned_to_id":23,"start_date":"2017-04-16","description":"","custom_fields":[{"id":1,"name":"Subdivision","value":"EC"},{"id":4,"name":"Milepost","value":"23.3327"},{"id":17,"name":"Train ID","value":"217-16"},{"id":16,"name":"Locomotive ID","value":"4042"},{"id":130,"name":"Impact","value":""},{"id":150,"name":"Time of Event (Mountain Time)","value":"18:51:22"},{"id":151,"name":"Denver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4042 --day 2017-04-16</v>
      </c>
      <c r="AN130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826</v>
      </c>
      <c r="B131" s="7">
        <v>4041</v>
      </c>
      <c r="C131" s="21" t="s">
        <v>214</v>
      </c>
      <c r="D131" s="21" t="s">
        <v>949</v>
      </c>
      <c r="E131" s="13">
        <v>42841.789293981485</v>
      </c>
      <c r="F131" s="13">
        <v>42841.799618055556</v>
      </c>
      <c r="G131" s="7">
        <v>2</v>
      </c>
      <c r="H131" s="21" t="s">
        <v>601</v>
      </c>
      <c r="I131" s="13">
        <v>42841.826365740744</v>
      </c>
      <c r="J131" s="7">
        <v>0</v>
      </c>
      <c r="K131" s="97" t="str">
        <f t="shared" si="30"/>
        <v>4041/4042</v>
      </c>
      <c r="L131" s="21" t="str">
        <f>VLOOKUP(A131,'Trips&amp;Operators'!$C$1:$G$99999,5,FALSE)</f>
        <v>SAFIEF AEIMEN</v>
      </c>
      <c r="M131" s="6">
        <f t="shared" si="31"/>
        <v>2.6747685187729076E-2</v>
      </c>
      <c r="N131" s="7">
        <f t="shared" si="52"/>
        <v>38.516666670329869</v>
      </c>
      <c r="O131" s="7"/>
      <c r="P131" s="7"/>
      <c r="Q131" s="22"/>
      <c r="R131" s="22"/>
      <c r="S131" s="31">
        <f t="shared" si="53"/>
        <v>1</v>
      </c>
      <c r="T131" s="46" t="str">
        <f t="shared" si="32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3"/>
        <v>https://d0f6bd738d7f1b3e5a7ca70fe4ff75f0.us-east-1.aws.found.io/app/kibana#/discover/Steve-Slow-Train-Analysis-(2080s-and-2083s)?_g=(refreshInterval:(display:Off,pause:!f,section:0,value:0),time:(from:'2017-04-16T17:56:35-0600',mode:absolute,to:'2017-04-16T20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1" s="183" t="str">
        <f t="shared" si="34"/>
        <v>N</v>
      </c>
      <c r="X131" s="183">
        <f t="shared" si="51"/>
        <v>1</v>
      </c>
      <c r="Y131" s="62">
        <f t="shared" si="35"/>
        <v>23.300999999999998</v>
      </c>
      <c r="Z131" s="62">
        <f t="shared" si="50"/>
        <v>1.29E-2</v>
      </c>
      <c r="AA131" s="62">
        <f t="shared" si="37"/>
        <v>23.2881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8"/>
        <v>0218-16</v>
      </c>
      <c r="AE131" s="85" t="str">
        <f t="shared" si="39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131" s="82" t="str">
        <f t="shared" si="40"/>
        <v>"C:\Program Files (x86)\AstroGrep\AstroGrep.exe" /e /r /s /spath="%USERPROFILE%\AppData\Local\Temp\OnboardLogs" /stypes="app*4041*20170417*"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218-16 --locoid 4041 --swversion DE.1.0.9.0 --startMP 204:233010 --initTime 2017-04-16T18:56:35 --startdatetime 2017-04-16T19:11:27 --delay 2 --endMP 204:129 --enddatetime 2017-04-16T19:49:58 --enforcementcount 0 &gt;&gt;C:\Users\stu\Documents\GitHub\eaglep3-reporting\EC\2017-04-16-refined-times.txt</v>
      </c>
      <c r="AI131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{"issue":{"subject":"","project_id":79,"tracker_id":40,"status_id":1,"priority_id":2,"assigned_to_id":23,"start_date":"2017-04-16","description":"","custom_fields":[{"id":1,"name":"Subdivision","value":"EC"},{"id":4,"name":"Milepost","value":"0.0129"},{"id":17,"name":"Train ID","value":"218-16"},{"id":16,"name":"Locomotive ID","value":"4041"},{"id":130,"name":"Impact","value":""},{"id":150,"name":"Time of Event (Mountain Time)","value":"19:49:58"},{"id":151,"name":"Denver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4041 --day 2017-04-16</v>
      </c>
      <c r="AN131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821</v>
      </c>
      <c r="B132" s="7">
        <v>4006</v>
      </c>
      <c r="C132" s="21" t="s">
        <v>214</v>
      </c>
      <c r="D132" s="21" t="s">
        <v>480</v>
      </c>
      <c r="E132" s="13">
        <v>42841.765150462961</v>
      </c>
      <c r="F132" s="13">
        <v>42841.771111111113</v>
      </c>
      <c r="G132" s="7">
        <v>1</v>
      </c>
      <c r="H132" s="21" t="s">
        <v>955</v>
      </c>
      <c r="I132" s="13">
        <v>42841.796238425923</v>
      </c>
      <c r="J132" s="7">
        <v>0</v>
      </c>
      <c r="K132" s="97" t="str">
        <f t="shared" si="30"/>
        <v>4005/4006</v>
      </c>
      <c r="L132" s="21" t="str">
        <f>VLOOKUP(A132,'Trips&amp;Operators'!$C$1:$G$99999,5,FALSE)</f>
        <v>STAMBAUGH JAMES</v>
      </c>
      <c r="M132" s="6">
        <f t="shared" si="31"/>
        <v>2.512731480965158E-2</v>
      </c>
      <c r="N132" s="7">
        <f t="shared" si="52"/>
        <v>36.183333325898275</v>
      </c>
      <c r="O132" s="7"/>
      <c r="P132" s="7"/>
      <c r="Q132" s="22"/>
      <c r="R132" s="22"/>
      <c r="S132" s="31">
        <f t="shared" si="53"/>
        <v>1</v>
      </c>
      <c r="T132" s="46" t="str">
        <f t="shared" si="32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3"/>
        <v>https://d0f6bd738d7f1b3e5a7ca70fe4ff75f0.us-east-1.aws.found.io/app/kibana#/discover/Steve-Slow-Train-Analysis-(2080s-and-2083s)?_g=(refreshInterval:(display:Off,pause:!f,section:0,value:0),time:(from:'2017-04-16T17:21:49-0600',mode:absolute,to:'2017-04-16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2" s="183" t="str">
        <f t="shared" si="34"/>
        <v>N</v>
      </c>
      <c r="X132" s="183">
        <f t="shared" si="51"/>
        <v>1</v>
      </c>
      <c r="Y132" s="62">
        <f t="shared" si="35"/>
        <v>4.4699999999999997E-2</v>
      </c>
      <c r="Z132" s="62">
        <f t="shared" si="50"/>
        <v>23.334499999999998</v>
      </c>
      <c r="AA132" s="62">
        <f t="shared" si="37"/>
        <v>23.2898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8"/>
        <v>0219-16</v>
      </c>
      <c r="AE132" s="85" t="str">
        <f t="shared" si="39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132" s="82" t="str">
        <f t="shared" si="40"/>
        <v>"C:\Program Files (x86)\AstroGrep\AstroGrep.exe" /e /r /s /spath="%USERPROFILE%\AppData\Local\Temp\OnboardLogs" /stypes="app*4006*20170417*" /stext=" 01:.+((SYSTEM_STATE.+slice.+state.+changed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219-16 --locoid 4006 --swversion DE.1.0.9.0 --startMP 204:447 --initTime 2017-04-16T18:21:49 --startdatetime 2017-04-16T18:30:24 --delay 1 --endMP 204:233345 --enddatetime 2017-04-16T19:06:35 --enforcementcount 0 &gt;&gt;C:\Users\stu\Documents\GitHub\eaglep3-reporting\EC\2017-04-16-refined-times.txt</v>
      </c>
      <c r="AI132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{"issue":{"subject":"","project_id":79,"tracker_id":40,"status_id":1,"priority_id":2,"assigned_to_id":23,"start_date":"2017-04-16","description":"","custom_fields":[{"id":1,"name":"Subdivision","value":"EC"},{"id":4,"name":"Milepost","value":"23.3345"},{"id":17,"name":"Train ID","value":"219-16"},{"id":16,"name":"Locomotive ID","value":"4006"},{"id":130,"name":"Impact","value":""},{"id":150,"name":"Time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4006 --day 2017-04-16</v>
      </c>
      <c r="AN132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830</v>
      </c>
      <c r="B133" s="7">
        <v>4005</v>
      </c>
      <c r="C133" s="21" t="s">
        <v>214</v>
      </c>
      <c r="D133" s="21" t="s">
        <v>956</v>
      </c>
      <c r="E133" s="13">
        <v>42841.804409722223</v>
      </c>
      <c r="F133" s="13">
        <v>42841.810034722221</v>
      </c>
      <c r="G133" s="7">
        <v>1</v>
      </c>
      <c r="H133" s="21" t="s">
        <v>957</v>
      </c>
      <c r="I133" s="13">
        <v>42841.83017361111</v>
      </c>
      <c r="J133" s="7">
        <v>0</v>
      </c>
      <c r="K133" s="97" t="str">
        <f t="shared" si="30"/>
        <v>4005/4006</v>
      </c>
      <c r="L133" s="21" t="str">
        <f>VLOOKUP(A133,'Trips&amp;Operators'!$C$1:$G$99999,5,FALSE)</f>
        <v>STAMBAUGH JAMES</v>
      </c>
      <c r="M133" s="6">
        <f t="shared" si="31"/>
        <v>2.0138888889050577E-2</v>
      </c>
      <c r="N133" s="7"/>
      <c r="O133" s="7"/>
      <c r="P133" s="7">
        <f>24*60*SUM($M133:$M133)</f>
        <v>29.000000000232831</v>
      </c>
      <c r="Q133" s="22"/>
      <c r="R133" s="22" t="s">
        <v>1015</v>
      </c>
      <c r="S133" s="31">
        <f t="shared" si="53"/>
        <v>0.33333333333333331</v>
      </c>
      <c r="T133" s="46" t="str">
        <f t="shared" si="32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4</v>
      </c>
      <c r="V133" s="182" t="str">
        <f t="shared" si="33"/>
        <v>https://d0f6bd738d7f1b3e5a7ca70fe4ff75f0.us-east-1.aws.found.io/app/kibana#/discover/Steve-Slow-Train-Analysis-(2080s-and-2083s)?_g=(refreshInterval:(display:Off,pause:!f,section:0,value:0),time:(from:'2017-04-16T18:18:21-0600',mode:absolute,to:'2017-04-16T20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3" s="183" t="str">
        <f t="shared" si="34"/>
        <v>Y</v>
      </c>
      <c r="X133" s="183">
        <f t="shared" si="51"/>
        <v>1</v>
      </c>
      <c r="Y133" s="62">
        <f t="shared" si="35"/>
        <v>23.3063</v>
      </c>
      <c r="Z133" s="62">
        <f t="shared" si="50"/>
        <v>6.0930999999999997</v>
      </c>
      <c r="AA133" s="62">
        <f t="shared" si="37"/>
        <v>17.213200000000001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0220-16</v>
      </c>
      <c r="AE133" s="85" t="str">
        <f t="shared" si="39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133" s="82" t="str">
        <f t="shared" si="40"/>
        <v>"C:\Program Files (x86)\AstroGrep\AstroGrep.exe" /e /r /s /spath="%USERPROFILE%\AppData\Local\Temp\OnboardLogs" /stypes="app*4005*20170417*" /stext=" 01:.+((SYSTEM_STATE.+slice.+state.+changed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220-16 --locoid 4005 --swversion DE.1.0.9.0 --startMP 204:233063 --initTime 2017-04-16T19:18:21 --startdatetime 2017-04-16T19:26:27 --delay 1 --endMP 204:60931 --enddatetime 2017-04-16T19:55:27 --enforcementcount 0 &gt;&gt;C:\Users\stu\Documents\GitHub\eaglep3-reporting\EC\2017-04-16-refined-times.txt</v>
      </c>
      <c r="AI133" s="104" t="str">
        <f t="shared" si="43"/>
        <v>echo {"issue":{"subject":"Onboard in-route failure","project_id":79,"tracker_id":40,"status_id":1,"priority_id":2,"assigned_to_id":23,"start_date":"2017-04-16","description":"","custom_fields":[{"id":1,"name":"Subdivision","value":"EC"},{"id":4,"name":"Milepost","value":"6.0931"},{"id":17,"name":"Train ID","value":"220-16"},{"id":16,"name":"Locomotive ID","value":"4005"},{"id":130,"name":"Impact","value":""},{"id":150,"name":"Time of Event (Mountain Time)","value":"19:55:27"},{"id":151,"name":"Denver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4005 --day 2017-04-16</v>
      </c>
      <c r="AN133" s="159" t="str">
        <f t="shared" si="45"/>
        <v>echo {"issue":{"subject":"Onboard in-route failure","project_id":30,"tracker_id":4,"status_id":1,"priority_id":1,"assigned_to_id":10,"start_date":"2017-04-17","description":"","custom_fields":[{"id":30,"name":"Category","value":"Issue"},{"id":3,"name":"Functional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827</v>
      </c>
      <c r="B134" s="7">
        <v>4040</v>
      </c>
      <c r="C134" s="21" t="s">
        <v>214</v>
      </c>
      <c r="D134" s="21" t="s">
        <v>209</v>
      </c>
      <c r="E134" s="13">
        <v>42841.790393518517</v>
      </c>
      <c r="F134" s="13">
        <v>42841.791990740741</v>
      </c>
      <c r="G134" s="7">
        <v>1</v>
      </c>
      <c r="H134" s="21" t="s">
        <v>868</v>
      </c>
      <c r="I134" s="13">
        <v>42841.817025462966</v>
      </c>
      <c r="J134" s="7">
        <v>0</v>
      </c>
      <c r="K134" s="97" t="str">
        <f t="shared" si="30"/>
        <v>4039/4040</v>
      </c>
      <c r="L134" s="21" t="str">
        <f>VLOOKUP(A134,'Trips&amp;Operators'!$C$1:$G$99999,5,FALSE)</f>
        <v>CHANDLER KELVIN</v>
      </c>
      <c r="M134" s="6">
        <f t="shared" si="31"/>
        <v>2.5034722224518191E-2</v>
      </c>
      <c r="N134" s="7">
        <f t="shared" ref="N134:N165" si="54">24*60*SUM($M134:$M134)</f>
        <v>36.050000003306195</v>
      </c>
      <c r="O134" s="7"/>
      <c r="P134" s="7"/>
      <c r="Q134" s="22"/>
      <c r="R134" s="22"/>
      <c r="S134" s="31">
        <f t="shared" si="53"/>
        <v>1</v>
      </c>
      <c r="T134" s="46" t="str">
        <f t="shared" si="32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3"/>
        <v>https://d0f6bd738d7f1b3e5a7ca70fe4ff75f0.us-east-1.aws.found.io/app/kibana#/discover/Steve-Slow-Train-Analysis-(2080s-and-2083s)?_g=(refreshInterval:(display:Off,pause:!f,section:0,value:0),time:(from:'2017-04-16T17:58:10-0600',mode:absolute,to:'2017-04-16T20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183" t="str">
        <f t="shared" si="34"/>
        <v>N</v>
      </c>
      <c r="X134" s="183">
        <f t="shared" si="51"/>
        <v>1</v>
      </c>
      <c r="Y134" s="62">
        <f t="shared" si="35"/>
        <v>4.53E-2</v>
      </c>
      <c r="Z134" s="62">
        <f t="shared" si="50"/>
        <v>23.331199999999999</v>
      </c>
      <c r="AA134" s="62">
        <f t="shared" si="37"/>
        <v>23.285899999999998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0221-16</v>
      </c>
      <c r="AE134" s="85" t="str">
        <f t="shared" si="39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34" s="82" t="str">
        <f t="shared" si="40"/>
        <v>"C:\Program Files (x86)\AstroGrep\AstroGrep.exe" /e /r /s /spath="%USERPROFILE%\AppData\Local\Temp\OnboardLogs" /stypes="app*4040*20170417*" /stext=" 01:.+((SYSTEM_STATE.+slice.+state.+changed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221-16 --locoid 4040 --swversion DE.1.0.9.0 --startMP 204:453 --initTime 2017-04-16T18:58:10 --startdatetime 2017-04-16T19:00:28 --delay 1 --endMP 204:233312 --enddatetime 2017-04-16T19:36:31 --enforcementcount 0 &gt;&gt;C:\Users\stu\Documents\GitHub\eaglep3-reporting\EC\2017-04-16-refined-times.txt</v>
      </c>
      <c r="AI134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{"issue":{"subject":"","project_id":79,"tracker_id":40,"status_id":1,"priority_id":2,"assigned_to_id":23,"start_date":"2017-04-16","description":"","custom_fields":[{"id":1,"name":"Subdivision","value":"EC"},{"id":4,"name":"Milepost","value":"23.3312"},{"id":17,"name":"Train ID","value":"221-16"},{"id":16,"name":"Locomotive ID","value":"4040"},{"id":130,"name":"Impact","value":""},{"id":150,"name":"Time of Event (Mountain Time)","value":"19:36:31"},{"id":151,"name":"Denver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4040 --day 2017-04-16</v>
      </c>
      <c r="AN134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835</v>
      </c>
      <c r="B135" s="7">
        <v>4039</v>
      </c>
      <c r="C135" s="21" t="s">
        <v>214</v>
      </c>
      <c r="D135" s="21" t="s">
        <v>408</v>
      </c>
      <c r="E135" s="13">
        <v>42841.829583333332</v>
      </c>
      <c r="F135" s="13">
        <v>42841.830775462964</v>
      </c>
      <c r="G135" s="7">
        <v>0</v>
      </c>
      <c r="H135" s="21" t="s">
        <v>958</v>
      </c>
      <c r="I135" s="13">
        <v>42841.858402777776</v>
      </c>
      <c r="J135" s="7">
        <v>0</v>
      </c>
      <c r="K135" s="97" t="str">
        <f t="shared" si="30"/>
        <v>4039/4040</v>
      </c>
      <c r="L135" s="21" t="str">
        <f>VLOOKUP(A135,'Trips&amp;Operators'!$C$1:$G$99999,5,FALSE)</f>
        <v>CHANDLER KELVIN</v>
      </c>
      <c r="M135" s="6">
        <f t="shared" si="31"/>
        <v>2.7627314811979886E-2</v>
      </c>
      <c r="N135" s="7">
        <f t="shared" si="54"/>
        <v>39.783333329251036</v>
      </c>
      <c r="O135" s="7"/>
      <c r="P135" s="7"/>
      <c r="Q135" s="22"/>
      <c r="R135" s="22"/>
      <c r="S135" s="31">
        <f t="shared" si="53"/>
        <v>1</v>
      </c>
      <c r="T135" s="46" t="str">
        <f t="shared" si="32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3"/>
        <v>https://d0f6bd738d7f1b3e5a7ca70fe4ff75f0.us-east-1.aws.found.io/app/kibana#/discover/Steve-Slow-Train-Analysis-(2080s-and-2083s)?_g=(refreshInterval:(display:Off,pause:!f,section:0,value:0),time:(from:'2017-04-16T18:54:36-0600',mode:absolute,to:'2017-04-16T21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183" t="str">
        <f t="shared" si="34"/>
        <v>N</v>
      </c>
      <c r="X135" s="183">
        <f t="shared" si="51"/>
        <v>1</v>
      </c>
      <c r="Y135" s="62">
        <f t="shared" si="35"/>
        <v>23.299299999999999</v>
      </c>
      <c r="Z135" s="62">
        <f t="shared" si="50"/>
        <v>1.7999999999999999E-2</v>
      </c>
      <c r="AA135" s="62">
        <f t="shared" si="37"/>
        <v>23.281299999999998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8"/>
        <v>0222-16</v>
      </c>
      <c r="AE135" s="85" t="str">
        <f t="shared" si="39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135" s="82" t="str">
        <f t="shared" si="40"/>
        <v>"C:\Program Files (x86)\AstroGrep\AstroGrep.exe" /e /r /s /spath="%USERPROFILE%\AppData\Local\Temp\OnboardLogs" /stypes="app*4039*20170417*"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222-16 --locoid 4039 --swversion DE.1.0.9.0 --startMP 204:232993 --initTime 2017-04-16T19:54:36 --startdatetime 2017-04-16T19:56:19 --delay 0 --endMP 204:180 --enddatetime 2017-04-16T20:36:06 --enforcementcount 0 &gt;&gt;C:\Users\stu\Documents\GitHub\eaglep3-reporting\EC\2017-04-16-refined-times.txt</v>
      </c>
      <c r="AI135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{"issue":{"subject":"","project_id":79,"tracker_id":40,"status_id":1,"priority_id":2,"assigned_to_id":23,"start_date":"2017-04-16","description":"","custom_fields":[{"id":1,"name":"Subdivision","value":"EC"},{"id":4,"name":"Milepost","value":"0.018"},{"id":17,"name":"Train ID","value":"222-16"},{"id":16,"name":"Locomotive ID","value":"4039"},{"id":130,"name":"Impact","value":""},{"id":150,"name":"Time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4039 --day 2017-04-16</v>
      </c>
      <c r="AN135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831</v>
      </c>
      <c r="B136" s="7">
        <v>4020</v>
      </c>
      <c r="C136" s="21" t="s">
        <v>214</v>
      </c>
      <c r="D136" s="21" t="s">
        <v>205</v>
      </c>
      <c r="E136" s="13">
        <v>42841.808483796296</v>
      </c>
      <c r="F136" s="13">
        <v>42841.812662037039</v>
      </c>
      <c r="G136" s="7">
        <v>1</v>
      </c>
      <c r="H136" s="21" t="s">
        <v>959</v>
      </c>
      <c r="I136" s="13">
        <v>42841.837164351855</v>
      </c>
      <c r="J136" s="7">
        <v>0</v>
      </c>
      <c r="K136" s="97" t="str">
        <f t="shared" si="30"/>
        <v>4019/4020</v>
      </c>
      <c r="L136" s="21" t="str">
        <f>VLOOKUP(A136,'Trips&amp;Operators'!$C$1:$G$99999,5,FALSE)</f>
        <v>NEWELL JAMES</v>
      </c>
      <c r="M136" s="6">
        <f t="shared" si="31"/>
        <v>2.4502314816345461E-2</v>
      </c>
      <c r="N136" s="7">
        <f t="shared" si="54"/>
        <v>35.283333335537463</v>
      </c>
      <c r="O136" s="7"/>
      <c r="P136" s="7"/>
      <c r="Q136" s="22"/>
      <c r="R136" s="22"/>
      <c r="S136" s="31">
        <f t="shared" si="53"/>
        <v>1</v>
      </c>
      <c r="T136" s="46" t="str">
        <f t="shared" si="32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3"/>
        <v>https://d0f6bd738d7f1b3e5a7ca70fe4ff75f0.us-east-1.aws.found.io/app/kibana#/discover/Steve-Slow-Train-Analysis-(2080s-and-2083s)?_g=(refreshInterval:(display:Off,pause:!f,section:0,value:0),time:(from:'2017-04-16T18:24:13-0600',mode:absolute,to:'2017-04-16T21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6" s="183" t="str">
        <f t="shared" si="34"/>
        <v>N</v>
      </c>
      <c r="X136" s="183">
        <f t="shared" si="51"/>
        <v>1</v>
      </c>
      <c r="Y136" s="62">
        <f t="shared" si="35"/>
        <v>4.5699999999999998E-2</v>
      </c>
      <c r="Z136" s="62">
        <f t="shared" si="50"/>
        <v>23.3325</v>
      </c>
      <c r="AA136" s="62">
        <f t="shared" si="37"/>
        <v>23.286799999999999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0223-16</v>
      </c>
      <c r="AE136" s="85" t="str">
        <f t="shared" si="39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136" s="82" t="str">
        <f t="shared" si="40"/>
        <v>"C:\Program Files (x86)\AstroGrep\AstroGrep.exe" /e /r /s /spath="%USERPROFILE%\AppData\Local\Temp\OnboardLogs" /stypes="app*4020*20170417*" /stext=" 02:.+((SYSTEM_STATE.+slice.+state.+changed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223-16 --locoid 4020 --swversion DE.1.0.9.0 --startMP 204:457 --initTime 2017-04-16T19:24:13 --startdatetime 2017-04-16T19:30:14 --delay 1 --endMP 204:233325 --enddatetime 2017-04-16T20:05:31 --enforcementcount 0 &gt;&gt;C:\Users\stu\Documents\GitHub\eaglep3-reporting\EC\2017-04-16-refined-times.txt</v>
      </c>
      <c r="AI136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{"issue":{"subject":"","project_id":79,"tracker_id":40,"status_id":1,"priority_id":2,"assigned_to_id":23,"start_date":"2017-04-16","description":"","custom_fields":[{"id":1,"name":"Subdivision","value":"EC"},{"id":4,"name":"Milepost","value":"23.3325"},{"id":17,"name":"Train ID","value":"223-16"},{"id":16,"name":"Locomotive ID","value":"4020"},{"id":130,"name":"Impact","value":""},{"id":150,"name":"Time of Event (Mountain Time)","value":"20:05:31"},{"id":151,"name":"Denver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4020 --day 2017-04-16</v>
      </c>
      <c r="AN136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659</v>
      </c>
      <c r="B137" s="7">
        <v>4019</v>
      </c>
      <c r="C137" s="21" t="s">
        <v>214</v>
      </c>
      <c r="D137" s="21" t="s">
        <v>492</v>
      </c>
      <c r="E137" s="13">
        <v>42841.838750000003</v>
      </c>
      <c r="F137" s="13">
        <v>42841.851539351854</v>
      </c>
      <c r="G137" s="7">
        <v>1</v>
      </c>
      <c r="H137" s="21" t="s">
        <v>478</v>
      </c>
      <c r="I137" s="13">
        <v>42841.879155092596</v>
      </c>
      <c r="J137" s="7">
        <v>0</v>
      </c>
      <c r="K137" s="97" t="str">
        <f t="shared" si="30"/>
        <v>4019/4020</v>
      </c>
      <c r="L137" s="21" t="str">
        <f>VLOOKUP(A137,'Trips&amp;Operators'!$C$1:$G$99999,5,FALSE)</f>
        <v>NEWELL JAMES</v>
      </c>
      <c r="M137" s="6">
        <f t="shared" si="31"/>
        <v>2.7615740742476191E-2</v>
      </c>
      <c r="N137" s="7">
        <f t="shared" si="54"/>
        <v>39.766666669165716</v>
      </c>
      <c r="O137" s="7"/>
      <c r="P137" s="7"/>
      <c r="Q137" s="22"/>
      <c r="R137" s="22"/>
      <c r="S137" s="31">
        <f t="shared" si="53"/>
        <v>1</v>
      </c>
      <c r="T137" s="46" t="str">
        <f t="shared" si="32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3"/>
        <v>https://d0f6bd738d7f1b3e5a7ca70fe4ff75f0.us-east-1.aws.found.io/app/kibana#/discover/Steve-Slow-Train-Analysis-(2080s-and-2083s)?_g=(refreshInterval:(display:Off,pause:!f,section:0,value:0),time:(from:'2017-04-16T19:07:48-0600',mode:absolute,to:'2017-04-16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7" s="183" t="str">
        <f t="shared" si="34"/>
        <v>N</v>
      </c>
      <c r="X137" s="183">
        <f t="shared" si="51"/>
        <v>1</v>
      </c>
      <c r="Y137" s="62">
        <f t="shared" si="35"/>
        <v>23.299800000000001</v>
      </c>
      <c r="Z137" s="62">
        <f t="shared" si="50"/>
        <v>1.4999999999999999E-2</v>
      </c>
      <c r="AA137" s="62">
        <f t="shared" si="37"/>
        <v>23.284800000000001</v>
      </c>
      <c r="AB137" s="59" t="str">
        <f>VLOOKUP(A137,Enforcements!$C$7:$K$13,8,0)</f>
        <v>Bulletin (2)</v>
      </c>
      <c r="AC137" s="55" t="str">
        <f>VLOOKUP(A137,Enforcements!$C$7:$E$13,3,0)</f>
        <v>GRADE CROSSING</v>
      </c>
      <c r="AD137" s="56" t="str">
        <f t="shared" si="38"/>
        <v>0224-16</v>
      </c>
      <c r="AE137" s="85" t="str">
        <f t="shared" si="39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37" s="82" t="str">
        <f t="shared" si="40"/>
        <v>"C:\Program Files (x86)\AstroGrep\AstroGrep.exe" /e /r /s /spath="%USERPROFILE%\AppData\Local\Temp\OnboardLogs" /stypes="app*4019*20170417*" /stext=" 03:.+((SYSTEM_STATE.+slice.+state.+changed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224-16 --locoid 4019 --swversion DE.1.0.9.0 --startMP 204:232998 --initTime 2017-04-16T20:07:48 --startdatetime 2017-04-16T20:26:13 --delay 1 --endMP 204:150 --enddatetime 2017-04-16T21:05:59 --enforcementcount 0 &gt;&gt;C:\Users\stu\Documents\GitHub\eaglep3-reporting\EC\2017-04-16-refined-times.txt</v>
      </c>
      <c r="AI137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{"issue":{"subject":"","project_id":79,"tracker_id":40,"status_id":1,"priority_id":2,"assigned_to_id":23,"start_date":"2017-04-16","description":"","custom_fields":[{"id":1,"name":"Subdivision","value":"EC"},{"id":4,"name":"Milepost","value":"0.015"},{"id":17,"name":"Train ID","value":"224-16"},{"id":16,"name":"Locomotive ID","value":"4019"},{"id":130,"name":"Impact","value":""},{"id":150,"name":"Time of Event (Mountain Time)","value":"21:05:59"},{"id":151,"name":"Denver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4019 --day 2017-04-16</v>
      </c>
      <c r="AN137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834</v>
      </c>
      <c r="B138" s="7">
        <v>4042</v>
      </c>
      <c r="C138" s="21" t="s">
        <v>214</v>
      </c>
      <c r="D138" s="21" t="s">
        <v>204</v>
      </c>
      <c r="E138" s="13">
        <v>42841.828888888886</v>
      </c>
      <c r="F138" s="13">
        <v>42841.833622685182</v>
      </c>
      <c r="G138" s="7">
        <v>1</v>
      </c>
      <c r="H138" s="21" t="s">
        <v>400</v>
      </c>
      <c r="I138" s="13">
        <v>42841.858553240738</v>
      </c>
      <c r="J138" s="7">
        <v>0</v>
      </c>
      <c r="K138" s="97" t="str">
        <f t="shared" si="30"/>
        <v>4041/4042</v>
      </c>
      <c r="L138" s="21" t="str">
        <f>VLOOKUP(A138,'Trips&amp;Operators'!$C$1:$G$99999,5,FALSE)</f>
        <v>SAFIEF AEIMEN</v>
      </c>
      <c r="M138" s="6">
        <f t="shared" si="31"/>
        <v>2.4930555555329192E-2</v>
      </c>
      <c r="N138" s="7">
        <f t="shared" si="54"/>
        <v>35.899999999674037</v>
      </c>
      <c r="O138" s="7"/>
      <c r="P138" s="7"/>
      <c r="Q138" s="22"/>
      <c r="R138" s="22"/>
      <c r="S138" s="31">
        <f t="shared" si="53"/>
        <v>1</v>
      </c>
      <c r="T138" s="46" t="str">
        <f t="shared" si="32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3"/>
        <v>https://d0f6bd738d7f1b3e5a7ca70fe4ff75f0.us-east-1.aws.found.io/app/kibana#/discover/Steve-Slow-Train-Analysis-(2080s-and-2083s)?_g=(refreshInterval:(display:Off,pause:!f,section:0,value:0),time:(from:'2017-04-16T18:53:36-0600',mode:absolute,to:'2017-04-16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183" t="str">
        <f t="shared" si="34"/>
        <v>N</v>
      </c>
      <c r="X138" s="183">
        <f t="shared" si="51"/>
        <v>1</v>
      </c>
      <c r="Y138" s="62">
        <f t="shared" si="35"/>
        <v>4.5100000000000001E-2</v>
      </c>
      <c r="Z138" s="62">
        <f t="shared" si="50"/>
        <v>23.329499999999999</v>
      </c>
      <c r="AA138" s="62">
        <f t="shared" si="37"/>
        <v>23.284399999999998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0225-16</v>
      </c>
      <c r="AE138" s="85" t="str">
        <f t="shared" si="39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38" s="82" t="str">
        <f t="shared" si="40"/>
        <v>"C:\Program Files (x86)\AstroGrep\AstroGrep.exe" /e /r /s /spath="%USERPROFILE%\AppData\Local\Temp\OnboardLogs" /stypes="app*4042*20170417*" /stext=" 02:.+((SYSTEM_STATE.+slice.+state.+changed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225-16 --locoid 4042 --swversion DE.1.0.9.0 --startMP 204:451 --initTime 2017-04-16T19:53:36 --startdatetime 2017-04-16T20:00:25 --delay 1 --endMP 204:233295 --enddatetime 2017-04-16T20:36:19 --enforcementcount 0 &gt;&gt;C:\Users\stu\Documents\GitHub\eaglep3-reporting\EC\2017-04-16-refined-times.txt</v>
      </c>
      <c r="AI138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{"issue":{"subject":"","project_id":79,"tracker_id":40,"status_id":1,"priority_id":2,"assigned_to_id":23,"start_date":"2017-04-16","description":"","custom_fields":[{"id":1,"name":"Subdivision","value":"EC"},{"id":4,"name":"Milepost","value":"23.3295"},{"id":17,"name":"Train ID","value":"225-16"},{"id":16,"name":"Locomotive ID","value":"4042"},{"id":130,"name":"Impact","value":""},{"id":150,"name":"Time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4042 --day 2017-04-16</v>
      </c>
      <c r="AN138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839</v>
      </c>
      <c r="B139" s="7">
        <v>4041</v>
      </c>
      <c r="C139" s="21" t="s">
        <v>214</v>
      </c>
      <c r="D139" s="21" t="s">
        <v>530</v>
      </c>
      <c r="E139" s="13">
        <v>42841.861203703702</v>
      </c>
      <c r="F139" s="13">
        <v>42841.872881944444</v>
      </c>
      <c r="G139" s="7">
        <v>1</v>
      </c>
      <c r="H139" s="21" t="s">
        <v>525</v>
      </c>
      <c r="I139" s="13">
        <v>42841.899988425925</v>
      </c>
      <c r="J139" s="7">
        <v>0</v>
      </c>
      <c r="K139" s="97" t="str">
        <f t="shared" si="30"/>
        <v>4041/4042</v>
      </c>
      <c r="L139" s="21" t="str">
        <f>VLOOKUP(A139,'Trips&amp;Operators'!$C$1:$G$99999,5,FALSE)</f>
        <v>SAFIEF AEIMEN</v>
      </c>
      <c r="M139" s="6">
        <f t="shared" si="31"/>
        <v>2.7106481480586808E-2</v>
      </c>
      <c r="N139" s="7">
        <f t="shared" si="54"/>
        <v>39.033333332045004</v>
      </c>
      <c r="O139" s="7"/>
      <c r="P139" s="7"/>
      <c r="Q139" s="22"/>
      <c r="R139" s="22"/>
      <c r="S139" s="31">
        <f t="shared" si="53"/>
        <v>1</v>
      </c>
      <c r="T139" s="46" t="str">
        <f t="shared" si="32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3"/>
        <v>https://d0f6bd738d7f1b3e5a7ca70fe4ff75f0.us-east-1.aws.found.io/app/kibana#/discover/Steve-Slow-Train-Analysis-(2080s-and-2083s)?_g=(refreshInterval:(display:Off,pause:!f,section:0,value:0),time:(from:'2017-04-16T19:40:08-0600',mode:absolute,to:'2017-04-16T22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183" t="str">
        <f t="shared" si="34"/>
        <v>N</v>
      </c>
      <c r="X139" s="183">
        <f t="shared" si="51"/>
        <v>1</v>
      </c>
      <c r="Y139" s="62">
        <f t="shared" si="35"/>
        <v>23.298300000000001</v>
      </c>
      <c r="Z139" s="62">
        <f t="shared" si="50"/>
        <v>1.3899999999999999E-2</v>
      </c>
      <c r="AA139" s="62">
        <f t="shared" si="37"/>
        <v>23.284400000000002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0226-16</v>
      </c>
      <c r="AE139" s="85" t="str">
        <f t="shared" si="39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139" s="82" t="str">
        <f t="shared" si="40"/>
        <v>"C:\Program Files (x86)\AstroGrep\AstroGrep.exe" /e /r /s /spath="%USERPROFILE%\AppData\Local\Temp\OnboardLogs" /stypes="app*4041*20170417*"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226-16 --locoid 4041 --swversion DE.1.0.9.0 --startMP 204:232983 --initTime 2017-04-16T20:40:08 --startdatetime 2017-04-16T20:56:57 --delay 1 --endMP 204:139 --enddatetime 2017-04-16T21:35:59 --enforcementcount 0 &gt;&gt;C:\Users\stu\Documents\GitHub\eaglep3-reporting\EC\2017-04-16-refined-times.txt</v>
      </c>
      <c r="AI139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{"issue":{"subject":"","project_id":79,"tracker_id":40,"status_id":1,"priority_id":2,"assigned_to_id":23,"start_date":"2017-04-16","description":"","custom_fields":[{"id":1,"name":"Subdivision","value":"EC"},{"id":4,"name":"Milepost","value":"0.0139"},{"id":17,"name":"Train ID","value":"226-16"},{"id":16,"name":"Locomotive ID","value":"4041"},{"id":130,"name":"Impact","value":""},{"id":150,"name":"Time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4041 --day 2017-04-16</v>
      </c>
      <c r="AN139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836</v>
      </c>
      <c r="B140" s="7">
        <v>4014</v>
      </c>
      <c r="C140" s="21" t="s">
        <v>214</v>
      </c>
      <c r="D140" s="21" t="s">
        <v>960</v>
      </c>
      <c r="E140" s="13">
        <v>42841.842407407406</v>
      </c>
      <c r="F140" s="13">
        <v>42841.854756944442</v>
      </c>
      <c r="G140" s="7">
        <v>1</v>
      </c>
      <c r="H140" s="21" t="s">
        <v>961</v>
      </c>
      <c r="I140" s="13">
        <v>42841.879120370373</v>
      </c>
      <c r="J140" s="7">
        <v>0</v>
      </c>
      <c r="K140" s="97" t="str">
        <f t="shared" si="30"/>
        <v>4013/4014</v>
      </c>
      <c r="L140" s="21" t="str">
        <f>VLOOKUP(A140,'Trips&amp;Operators'!$C$1:$G$99999,5,FALSE)</f>
        <v>STAMBAUGH JAMES</v>
      </c>
      <c r="M140" s="6">
        <f t="shared" si="31"/>
        <v>2.436342593136942E-2</v>
      </c>
      <c r="N140" s="7">
        <f t="shared" si="54"/>
        <v>35.083333341171965</v>
      </c>
      <c r="O140" s="7"/>
      <c r="P140" s="7"/>
      <c r="Q140" s="22"/>
      <c r="R140" s="22"/>
      <c r="S140" s="31">
        <f t="shared" si="53"/>
        <v>1</v>
      </c>
      <c r="T140" s="46" t="str">
        <f t="shared" si="32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3"/>
        <v>https://d0f6bd738d7f1b3e5a7ca70fe4ff75f0.us-east-1.aws.found.io/app/kibana#/discover/Steve-Slow-Train-Analysis-(2080s-and-2083s)?_g=(refreshInterval:(display:Off,pause:!f,section:0,value:0),time:(from:'2017-04-16T19:13:04-0600',mode:absolute,to:'2017-04-16T22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0" s="183" t="str">
        <f t="shared" si="34"/>
        <v>N</v>
      </c>
      <c r="X140" s="183">
        <f t="shared" si="51"/>
        <v>1</v>
      </c>
      <c r="Y140" s="62">
        <f t="shared" si="35"/>
        <v>0.1148</v>
      </c>
      <c r="Z140" s="62">
        <f t="shared" si="50"/>
        <v>23.34</v>
      </c>
      <c r="AA140" s="62">
        <f t="shared" si="37"/>
        <v>23.225200000000001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0227-16</v>
      </c>
      <c r="AE140" s="85" t="str">
        <f t="shared" si="39"/>
        <v>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 &amp; aws s3 cp s3://rtdc.mdm.uploadarchive.raw/RTDC4014/ "%USERPROFILE%\AppData\Local\Temp\OnboardLogs"\RTDC4014\2017-04-17 --exclude "*" --recursive --include "*20170417*" &amp; "%USERPROFILE%\Documents\GitHub\mrs-test-scripts\Headless Mode &amp; Sideloading\WalkAndUnGZ.bat" "%USERPROFILE%\AppData\Local\Temp\OnboardLogs"\RTDC4014\2017-04-17</v>
      </c>
      <c r="AF140" s="82" t="str">
        <f t="shared" si="40"/>
        <v>"C:\Program Files (x86)\AstroGrep\AstroGrep.exe" /e /r /s /spath="%USERPROFILE%\AppData\Local\Temp\OnboardLogs" /stypes="app*4014*20170417*" /stext=" 03:.+((SYSTEM_STATE.+slice.+state.+changed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227-16 --locoid 4014 --swversion DE.1.0.9.0 --startMP 204:1148 --initTime 2017-04-16T20:13:04 --startdatetime 2017-04-16T20:30:51 --delay 1 --endMP 204:233400 --enddatetime 2017-04-16T21:05:56 --enforcementcount 0 &gt;&gt;C:\Users\stu\Documents\GitHub\eaglep3-reporting\EC\2017-04-16-refined-times.txt</v>
      </c>
      <c r="AI140" s="104" t="str">
        <f t="shared" si="43"/>
        <v>echo {"issue":{"subject":"","project_id":79,"tracker_id":40,"status_id":1,"priority_id":2,"assigned_to_id":23,"start_date":"2017-04-16","description":"","custom_fields":[{"id":1,"name":"Subdivision","value":"EC"},{"id":4,"name":"Milepost","value":"23.34"},{"id":17,"name":"Train ID","value":"227-16"},{"id":16,"name":"Locomotive ID","value":"4014"},{"id":130,"name":"Impact","value":""},{"id":150,"name":"Time of Event (Mountain Time)","value":"21:05:56"},{"id":151,"name":"Denver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4014 --day 2017-04-16</v>
      </c>
      <c r="AN140" s="159" t="str">
        <f t="shared" si="45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660</v>
      </c>
      <c r="B141" s="7">
        <v>4013</v>
      </c>
      <c r="C141" s="21" t="s">
        <v>214</v>
      </c>
      <c r="D141" s="21" t="s">
        <v>962</v>
      </c>
      <c r="E141" s="13">
        <v>42841.890231481484</v>
      </c>
      <c r="F141" s="13">
        <v>42841.893495370372</v>
      </c>
      <c r="G141" s="7">
        <v>1</v>
      </c>
      <c r="H141" s="21" t="s">
        <v>963</v>
      </c>
      <c r="I141" s="13">
        <v>42841.918634259258</v>
      </c>
      <c r="J141" s="7">
        <v>0</v>
      </c>
      <c r="K141" s="97" t="str">
        <f t="shared" ref="K141:K204" si="55">IF(ISEVEN(B141),(B141-1)&amp;"/"&amp;B141,B141&amp;"/"&amp;(B141+1))</f>
        <v>4013/4014</v>
      </c>
      <c r="L141" s="21" t="str">
        <f>VLOOKUP(A141,'Trips&amp;Operators'!$C$1:$G$99999,5,FALSE)</f>
        <v>STAMBAUGH JAMES</v>
      </c>
      <c r="M141" s="6">
        <f t="shared" ref="M141:M204" si="56">I141-F141</f>
        <v>2.5138888886431232E-2</v>
      </c>
      <c r="N141" s="7">
        <f t="shared" si="54"/>
        <v>36.199999996460974</v>
      </c>
      <c r="O141" s="7"/>
      <c r="P141" s="7"/>
      <c r="Q141" s="22"/>
      <c r="R141" s="22"/>
      <c r="S141" s="31">
        <f t="shared" si="53"/>
        <v>1</v>
      </c>
      <c r="T141" s="46" t="str">
        <f t="shared" ref="T141:T204" si="57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-16T20:21:56-0600',mode:absolute,to:'2017-04-16T23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1" s="183" t="str">
        <f t="shared" ref="W141:W204" si="59">IF(AA141&lt;IF(AG141="EC",23,5.65),"Y","N")</f>
        <v>N</v>
      </c>
      <c r="X141" s="183">
        <f t="shared" si="51"/>
        <v>1</v>
      </c>
      <c r="Y141" s="62">
        <f t="shared" ref="Y141:Y204" si="60">RIGHT(D141,LEN(D141)-4)/10000</f>
        <v>23.308700000000002</v>
      </c>
      <c r="Z141" s="62">
        <f t="shared" si="50"/>
        <v>0.12239999999999999</v>
      </c>
      <c r="AA141" s="62">
        <f t="shared" ref="AA141:AA204" si="61">ABS(Z141-Y141)</f>
        <v>23.186300000000003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2">IF(LEN(A141)=6,"0"&amp;A141,A141)</f>
        <v>0228-16</v>
      </c>
      <c r="AE141" s="85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 &amp; aws s3 cp s3://rtdc.mdm.uploadarchive.raw/RTDC4013/ "%USERPROFILE%\AppData\Local\Temp\OnboardLogs"\RTDC4013\2017-04-17 --exclude "*" --recursive --include "*20170417*" &amp; "%USERPROFILE%\Documents\GitHub\mrs-test-scripts\Headless Mode &amp; Sideloading\WalkAndUnGZ.bat" "%USERPROFILE%\AppData\Local\Temp\OnboardLogs"\RTDC4013\2017-04-17</v>
      </c>
      <c r="AF141" s="82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/stypes="app*4013*20170417*" /stext=" 04:.+((SYSTEM_STATE.+slice.+state.+changed )|(ment ac)|(multiple cpu faults)|(system.+state.+changed )|(\[timeout)|(PRM\|1\|D)|(kpr)|(kdp)|(\|lc)|(penalty))"</v>
      </c>
      <c r="AG141" s="1" t="str">
        <f t="shared" ref="AG141:AG204" si="65">IFERROR(IF(VALUE(LEFT(AD141,2))&lt;=2,"EC",IF(OR(VALUE(LEFT(AD141,2))=8,VALUE(LEFT(AD141,2))=18),"NW","Other")),"Other")</f>
        <v>EC</v>
      </c>
      <c r="AH141" s="86" t="str">
        <f t="shared" ref="AH141:AH203" si="6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228-16 --locoid 4013 --swversion DE.1.0.9.0 --startMP 204:233087 --initTime 2017-04-16T21:21:56 --startdatetime 2017-04-16T21:26:38 --delay 1 --endMP 204:1224 --enddatetime 2017-04-16T22:02:50 --enforcementcount 0 &gt;&gt;C:\Users\stu\Documents\GitHub\eaglep3-reporting\EC\2017-04-16-refined-times.txt</v>
      </c>
      <c r="AI141" s="104" t="str">
        <f t="shared" ref="AI141:AI203" si="6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{"issue":{"subject":"","project_id":79,"tracker_id":40,"status_id":1,"priority_id":2,"assigned_to_id":23,"start_date":"2017-04-16","description":"","custom_fields":[{"id":1,"name":"Subdivision","value":"EC"},{"id":4,"name":"Milepost","value":"0.1224"},{"id":17,"name":"Train ID","value":"228-16"},{"id":16,"name":"Locomotive ID","value":"4013"},{"id":130,"name":"Impact","value":""},{"id":150,"name":"Time of Event (Mountain Time)","value":"22:02:50"},{"id":151,"name":"Denver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ref="AM141:AM203" si="68">"start /low /b "&amp;dls3logs&amp;" --loco "&amp;B141&amp;" --day "&amp;TEXT(F141,"YYYY-MM-DD")</f>
        <v>start /low /b %USERPROFILE%\Documents\GitHub\eaglep3\Utilities\DownloadLogsFromS3.py --loco 4013 --day 2017-04-16</v>
      </c>
      <c r="AN141" s="159" t="str">
        <f t="shared" ref="AN141:AN203" si="6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04:02:50"},{"id":29,"name":"Sharepoint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840</v>
      </c>
      <c r="B142" s="7">
        <v>4040</v>
      </c>
      <c r="C142" s="21" t="s">
        <v>214</v>
      </c>
      <c r="D142" s="21" t="s">
        <v>481</v>
      </c>
      <c r="E142" s="13">
        <v>42841.87228009259</v>
      </c>
      <c r="F142" s="13">
        <v>42841.875300925924</v>
      </c>
      <c r="G142" s="7">
        <v>1</v>
      </c>
      <c r="H142" s="21" t="s">
        <v>459</v>
      </c>
      <c r="I142" s="13">
        <v>42841.900555555556</v>
      </c>
      <c r="J142" s="7">
        <v>0</v>
      </c>
      <c r="K142" s="97" t="str">
        <f t="shared" si="55"/>
        <v>4039/4040</v>
      </c>
      <c r="L142" s="21" t="str">
        <f>VLOOKUP(A142,'Trips&amp;Operators'!$C$1:$G$99999,5,FALSE)</f>
        <v>CHANDLER KELVIN</v>
      </c>
      <c r="M142" s="6">
        <f t="shared" si="56"/>
        <v>2.5254629632399883E-2</v>
      </c>
      <c r="N142" s="7">
        <f t="shared" si="54"/>
        <v>36.366666670655832</v>
      </c>
      <c r="O142" s="7"/>
      <c r="P142" s="7"/>
      <c r="Q142" s="22"/>
      <c r="R142" s="22"/>
      <c r="S142" s="31">
        <f t="shared" si="53"/>
        <v>1</v>
      </c>
      <c r="T142" s="46" t="str">
        <f t="shared" si="57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8"/>
        <v>https://d0f6bd738d7f1b3e5a7ca70fe4ff75f0.us-east-1.aws.found.io/app/kibana#/discover/Steve-Slow-Train-Analysis-(2080s-and-2083s)?_g=(refreshInterval:(display:Off,pause:!f,section:0,value:0),time:(from:'2017-04-16T19:56:05-0600',mode:absolute,to:'2017-04-16T22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183" t="str">
        <f t="shared" si="59"/>
        <v>N</v>
      </c>
      <c r="X142" s="183">
        <f t="shared" si="51"/>
        <v>1</v>
      </c>
      <c r="Y142" s="62">
        <f t="shared" si="60"/>
        <v>4.7300000000000002E-2</v>
      </c>
      <c r="Z142" s="62">
        <f t="shared" si="50"/>
        <v>23.3291</v>
      </c>
      <c r="AA142" s="62">
        <f t="shared" si="61"/>
        <v>23.2818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2"/>
        <v>0229-16</v>
      </c>
      <c r="AE142" s="85" t="str">
        <f t="shared" si="63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42" s="82" t="str">
        <f t="shared" si="64"/>
        <v>"C:\Program Files (x86)\AstroGrep\AstroGrep.exe" /e /r /s /spath="%USERPROFILE%\AppData\Local\Temp\OnboardLogs" /stypes="app*4040*20170417*" /stext=" 03:.+((SYSTEM_STATE.+slice.+state.+changed )|(ment ac)|(multiple cpu faults)|(system.+state.+changed )|(\[timeout)|(PRM\|1\|D)|(kpr)|(kdp)|(\|lc)|(penalty))"</v>
      </c>
      <c r="AG142" s="1" t="str">
        <f t="shared" si="65"/>
        <v>EC</v>
      </c>
      <c r="AH142" s="86" t="str">
        <f t="shared" si="66"/>
        <v>"%USERPROFILE%\Documents\GitHub\eaglep3\Utilities\RefineRTDCRunTimes.py" --tripid 229-16 --locoid 4040 --swversion DE.1.0.9.0 --startMP 204:473 --initTime 2017-04-16T20:56:05 --startdatetime 2017-04-16T21:00:26 --delay 1 --endMP 204:233291 --enddatetime 2017-04-16T21:36:48 --enforcementcount 0 &gt;&gt;C:\Users\stu\Documents\GitHub\eaglep3-reporting\EC\2017-04-16-refined-times.txt</v>
      </c>
      <c r="AI142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{"issue":{"subject":"","project_id":79,"tracker_id":40,"status_id":1,"priority_id":2,"assigned_to_id":23,"start_date":"2017-04-16","description":"","custom_fields":[{"id":1,"name":"Subdivision","value":"EC"},{"id":4,"name":"Milepost","value":"23.3291"},{"id":17,"name":"Train ID","value":"229-16"},{"id":16,"name":"Locomotive ID","value":"4040"},{"id":130,"name":"Impact","value":""},{"id":150,"name":"Time of Event (Mountain Time)","value":"21:36:48"},{"id":151,"name":"Denver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si="68"/>
        <v>start /low /b %USERPROFILE%\Documents\GitHub\eaglep3\Utilities\DownloadLogsFromS3.py --loco 4040 --day 2017-04-16</v>
      </c>
      <c r="AN142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845</v>
      </c>
      <c r="B143" s="7">
        <v>4039</v>
      </c>
      <c r="C143" s="21" t="s">
        <v>214</v>
      </c>
      <c r="D143" s="21" t="s">
        <v>964</v>
      </c>
      <c r="E143" s="13">
        <v>42841.912847222222</v>
      </c>
      <c r="F143" s="13">
        <v>42841.914201388892</v>
      </c>
      <c r="G143" s="7">
        <v>1</v>
      </c>
      <c r="H143" s="21" t="s">
        <v>416</v>
      </c>
      <c r="I143" s="13">
        <v>42841.942233796297</v>
      </c>
      <c r="J143" s="7">
        <v>0</v>
      </c>
      <c r="K143" s="97" t="str">
        <f t="shared" si="55"/>
        <v>4039/4040</v>
      </c>
      <c r="L143" s="21" t="str">
        <f>VLOOKUP(A143,'Trips&amp;Operators'!$C$1:$G$99999,5,FALSE)</f>
        <v>CHANDLER KELVIN</v>
      </c>
      <c r="M143" s="6">
        <f t="shared" si="56"/>
        <v>2.8032407404680271E-2</v>
      </c>
      <c r="N143" s="7">
        <f t="shared" si="54"/>
        <v>40.36666666273959</v>
      </c>
      <c r="O143" s="7"/>
      <c r="P143" s="7"/>
      <c r="Q143" s="22"/>
      <c r="R143" s="22"/>
      <c r="S143" s="31">
        <f t="shared" si="53"/>
        <v>1</v>
      </c>
      <c r="T143" s="46" t="str">
        <f t="shared" si="57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8"/>
        <v>https://d0f6bd738d7f1b3e5a7ca70fe4ff75f0.us-east-1.aws.found.io/app/kibana#/discover/Steve-Slow-Train-Analysis-(2080s-and-2083s)?_g=(refreshInterval:(display:Off,pause:!f,section:0,value:0),time:(from:'2017-04-16T20:54:30-0600',mode:absolute,to:'2017-04-16T23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183" t="str">
        <f t="shared" si="59"/>
        <v>N</v>
      </c>
      <c r="X143" s="183">
        <f t="shared" si="51"/>
        <v>1</v>
      </c>
      <c r="Y143" s="62">
        <f t="shared" si="60"/>
        <v>23.2974</v>
      </c>
      <c r="Z143" s="62">
        <f t="shared" si="50"/>
        <v>1.6E-2</v>
      </c>
      <c r="AA143" s="62">
        <f t="shared" si="61"/>
        <v>23.281400000000001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2"/>
        <v>0230-16</v>
      </c>
      <c r="AE143" s="85" t="str">
        <f t="shared" si="63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143" s="82" t="str">
        <f t="shared" si="64"/>
        <v>"C:\Program Files (x86)\AstroGrep\AstroGrep.exe" /e /r /s /spath="%USERPROFILE%\AppData\Local\Temp\OnboardLogs" /stypes="app*4039*20170417*" /stext=" 04:.+((SYSTEM_STATE.+slice.+state.+changed )|(ment ac)|(multiple cpu faults)|(system.+state.+changed )|(\[timeout)|(PRM\|1\|D)|(kpr)|(kdp)|(\|lc)|(penalty))"</v>
      </c>
      <c r="AG143" s="1" t="str">
        <f t="shared" si="65"/>
        <v>EC</v>
      </c>
      <c r="AH143" s="86" t="str">
        <f t="shared" si="66"/>
        <v>"%USERPROFILE%\Documents\GitHub\eaglep3\Utilities\RefineRTDCRunTimes.py" --tripid 230-16 --locoid 4039 --swversion DE.1.0.9.0 --startMP 204:232974 --initTime 2017-04-16T21:54:30 --startdatetime 2017-04-16T21:56:27 --delay 1 --endMP 204:160 --enddatetime 2017-04-16T22:36:49 --enforcementcount 0 &gt;&gt;C:\Users\stu\Documents\GitHub\eaglep3-reporting\EC\2017-04-16-refined-times.txt</v>
      </c>
      <c r="AI143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{"issue":{"subject":"","project_id":79,"tracker_id":40,"status_id":1,"priority_id":2,"assigned_to_id":23,"start_date":"2017-04-16","description":"","custom_fields":[{"id":1,"name":"Subdivision","value":"EC"},{"id":4,"name":"Milepost","value":"0.016"},{"id":17,"name":"Train ID","value":"230-16"},{"id":16,"name":"Locomotive ID","value":"4039"},{"id":130,"name":"Impact","value":""},{"id":150,"name":"Time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8"/>
        <v>start /low /b %USERPROFILE%\Documents\GitHub\eaglep3\Utilities\DownloadLogsFromS3.py --loco 4039 --day 2017-04-16</v>
      </c>
      <c r="AN143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842</v>
      </c>
      <c r="B144" s="7">
        <v>4020</v>
      </c>
      <c r="C144" s="21" t="s">
        <v>214</v>
      </c>
      <c r="D144" s="21" t="s">
        <v>210</v>
      </c>
      <c r="E144" s="13">
        <v>42841.892534722225</v>
      </c>
      <c r="F144" s="13">
        <v>42841.896041666667</v>
      </c>
      <c r="G144" s="7">
        <v>1</v>
      </c>
      <c r="H144" s="21" t="s">
        <v>965</v>
      </c>
      <c r="I144" s="13">
        <v>42841.920555555553</v>
      </c>
      <c r="J144" s="7">
        <v>0</v>
      </c>
      <c r="K144" s="97" t="str">
        <f t="shared" si="55"/>
        <v>4019/4020</v>
      </c>
      <c r="L144" s="21" t="str">
        <f>VLOOKUP(A144,'Trips&amp;Operators'!$C$1:$G$99999,5,FALSE)</f>
        <v>NEWELL JAMES</v>
      </c>
      <c r="M144" s="6">
        <f t="shared" si="56"/>
        <v>2.4513888885849155E-2</v>
      </c>
      <c r="N144" s="7">
        <f t="shared" si="54"/>
        <v>35.299999995622784</v>
      </c>
      <c r="O144" s="7"/>
      <c r="P144" s="7"/>
      <c r="Q144" s="22"/>
      <c r="R144" s="22"/>
      <c r="S144" s="31">
        <f t="shared" si="53"/>
        <v>1</v>
      </c>
      <c r="T144" s="46" t="str">
        <f t="shared" si="57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8"/>
        <v>https://d0f6bd738d7f1b3e5a7ca70fe4ff75f0.us-east-1.aws.found.io/app/kibana#/discover/Steve-Slow-Train-Analysis-(2080s-and-2083s)?_g=(refreshInterval:(display:Off,pause:!f,section:0,value:0),time:(from:'2017-04-16T20:25:15-0600',mode:absolute,to:'2017-04-16T23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4" s="183" t="str">
        <f t="shared" si="59"/>
        <v>N</v>
      </c>
      <c r="X144" s="183">
        <f t="shared" si="51"/>
        <v>1</v>
      </c>
      <c r="Y144" s="62">
        <f t="shared" si="60"/>
        <v>4.5499999999999999E-2</v>
      </c>
      <c r="Z144" s="62">
        <f t="shared" si="50"/>
        <v>23.332899999999999</v>
      </c>
      <c r="AA144" s="62">
        <f t="shared" si="61"/>
        <v>23.287399999999998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2"/>
        <v>0231-16</v>
      </c>
      <c r="AE144" s="85" t="str">
        <f t="shared" si="63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144" s="82" t="str">
        <f t="shared" si="64"/>
        <v>"C:\Program Files (x86)\AstroGrep\AstroGrep.exe" /e /r /s /spath="%USERPROFILE%\AppData\Local\Temp\OnboardLogs" /stypes="app*4020*20170417*" /stext=" 04:.+((SYSTEM_STATE.+slice.+state.+changed )|(ment ac)|(multiple cpu faults)|(system.+state.+changed )|(\[timeout)|(PRM\|1\|D)|(kpr)|(kdp)|(\|lc)|(penalty))"</v>
      </c>
      <c r="AG144" s="1" t="str">
        <f t="shared" si="65"/>
        <v>EC</v>
      </c>
      <c r="AH144" s="86" t="str">
        <f t="shared" si="66"/>
        <v>"%USERPROFILE%\Documents\GitHub\eaglep3\Utilities\RefineRTDCRunTimes.py" --tripid 231-16 --locoid 4020 --swversion DE.1.0.9.0 --startMP 204:455 --initTime 2017-04-16T21:25:15 --startdatetime 2017-04-16T21:30:18 --delay 1 --endMP 204:233329 --enddatetime 2017-04-16T22:05:36 --enforcementcount 0 &gt;&gt;C:\Users\stu\Documents\GitHub\eaglep3-reporting\EC\2017-04-16-refined-times.txt</v>
      </c>
      <c r="AI144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{"issue":{"subject":"","project_id":79,"tracker_id":40,"status_id":1,"priority_id":2,"assigned_to_id":23,"start_date":"2017-04-16","description":"","custom_fields":[{"id":1,"name":"Subdivision","value":"EC"},{"id":4,"name":"Milepost","value":"23.3329"},{"id":17,"name":"Train ID","value":"231-16"},{"id":16,"name":"Locomotive ID","value":"4020"},{"id":130,"name":"Impact","value":""},{"id":150,"name":"Time of Event (Mountain Time)","value":"22:05:36"},{"id":151,"name":"Denver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8"/>
        <v>start /low /b %USERPROFILE%\Documents\GitHub\eaglep3\Utilities\DownloadLogsFromS3.py --loco 4020 --day 2017-04-16</v>
      </c>
      <c r="AN144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848</v>
      </c>
      <c r="B145" s="7">
        <v>4019</v>
      </c>
      <c r="C145" s="21" t="s">
        <v>214</v>
      </c>
      <c r="D145" s="21" t="s">
        <v>901</v>
      </c>
      <c r="E145" s="13">
        <v>42841.931689814817</v>
      </c>
      <c r="F145" s="13">
        <v>42841.934895833336</v>
      </c>
      <c r="G145" s="7">
        <v>1</v>
      </c>
      <c r="H145" s="21" t="s">
        <v>401</v>
      </c>
      <c r="I145" s="13">
        <v>42841.97246527778</v>
      </c>
      <c r="J145" s="7">
        <v>0</v>
      </c>
      <c r="K145" s="97" t="str">
        <f t="shared" si="55"/>
        <v>4019/4020</v>
      </c>
      <c r="L145" s="21" t="str">
        <f>VLOOKUP(A145,'Trips&amp;Operators'!$C$1:$G$99999,5,FALSE)</f>
        <v>NEWELL JAMES</v>
      </c>
      <c r="M145" s="6">
        <f t="shared" si="56"/>
        <v>3.7569444444670808E-2</v>
      </c>
      <c r="N145" s="7">
        <f t="shared" si="54"/>
        <v>54.100000000325963</v>
      </c>
      <c r="O145" s="7"/>
      <c r="P145" s="7"/>
      <c r="Q145" s="22"/>
      <c r="R145" s="22" t="s">
        <v>1016</v>
      </c>
      <c r="S145" s="31">
        <f t="shared" si="53"/>
        <v>1</v>
      </c>
      <c r="T145" s="46" t="str">
        <f t="shared" si="57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8"/>
        <v>https://d0f6bd738d7f1b3e5a7ca70fe4ff75f0.us-east-1.aws.found.io/app/kibana#/discover/Steve-Slow-Train-Analysis-(2080s-and-2083s)?_g=(refreshInterval:(display:Off,pause:!f,section:0,value:0),time:(from:'2017-04-16T21:21:38-0600',mode:absolute,to:'2017-04-17T00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5" s="183" t="str">
        <f t="shared" si="59"/>
        <v>N</v>
      </c>
      <c r="X145" s="183">
        <f t="shared" si="51"/>
        <v>1</v>
      </c>
      <c r="Y145" s="62">
        <f t="shared" si="60"/>
        <v>23.299099999999999</v>
      </c>
      <c r="Z145" s="62">
        <f t="shared" si="50"/>
        <v>1.38E-2</v>
      </c>
      <c r="AA145" s="62">
        <f t="shared" si="61"/>
        <v>23.285299999999999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2"/>
        <v>0232-16</v>
      </c>
      <c r="AE145" s="85" t="str">
        <f t="shared" si="63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45" s="82" t="str">
        <f t="shared" si="64"/>
        <v>"C:\Program Files (x86)\AstroGrep\AstroGrep.exe" /e /r /s /spath="%USERPROFILE%\AppData\Local\Temp\OnboardLogs" /stypes="app*4019*20170417*" /stext=" 05:.+((SYSTEM_STATE.+slice.+state.+changed )|(ment ac)|(multiple cpu faults)|(system.+state.+changed )|(\[timeout)|(PRM\|1\|D)|(kpr)|(kdp)|(\|lc)|(penalty))"</v>
      </c>
      <c r="AG145" s="1" t="str">
        <f t="shared" si="65"/>
        <v>EC</v>
      </c>
      <c r="AH145" s="86" t="str">
        <f t="shared" si="66"/>
        <v>"%USERPROFILE%\Documents\GitHub\eaglep3\Utilities\RefineRTDCRunTimes.py" --tripid 232-16 --locoid 4019 --swversion DE.1.0.9.0 --startMP 204:232991 --initTime 2017-04-16T22:21:38 --startdatetime 2017-04-16T22:26:15 --delay 1 --endMP 204:138 --enddatetime 2017-04-16T23:20:21 --enforcementcount 0 &gt;&gt;C:\Users\stu\Documents\GitHub\eaglep3-reporting\EC\2017-04-16-refined-times.txt</v>
      </c>
      <c r="AI145" s="104" t="str">
        <f t="shared" si="67"/>
        <v>echo {"issue":{"subject":"Delayed by ELXS failure at CP Bright","project_id":79,"tracker_id":40,"status_id":1,"priority_id":2,"assigned_to_id":23,"start_date":"2017-04-16","description":"","custom_fields":[{"id":1,"name":"Subdivision","value":"EC"},{"id":4,"name":"Milepost","value":"0.0138"},{"id":17,"name":"Train ID","value":"232-16"},{"id":16,"name":"Locomotive ID","value":"4019"},{"id":130,"name":"Impact","value":""},{"id":150,"name":"Time of Event (Mountain Time)","value":"23:20:21"},{"id":151,"name":"Denver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8"/>
        <v>start /low /b %USERPROFILE%\Documents\GitHub\eaglep3\Utilities\DownloadLogsFromS3.py --loco 4019 --day 2017-04-16</v>
      </c>
      <c r="AN145" s="159" t="str">
        <f t="shared" si="69"/>
        <v>echo {"issue":{"subject":"Delayed by ELXS failure at CP Bright","project_id":30,"tracker_id":4,"status_id":1,"priority_id":1,"assigned_to_id":10,"start_date":"2017-04-17","description":"","custom_fields":[{"id":30,"name":"Category","value":"Issue"},{"id":3,"name":"Functional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05:20:21"},{"id":29,"name":"Sharepoint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844</v>
      </c>
      <c r="B146" s="7">
        <v>4042</v>
      </c>
      <c r="C146" s="21" t="s">
        <v>214</v>
      </c>
      <c r="D146" s="21" t="s">
        <v>410</v>
      </c>
      <c r="E146" s="13">
        <v>42841.902546296296</v>
      </c>
      <c r="F146" s="13">
        <v>42841.916886574072</v>
      </c>
      <c r="G146" s="7">
        <v>1</v>
      </c>
      <c r="H146" s="21" t="s">
        <v>868</v>
      </c>
      <c r="I146" s="13">
        <v>42841.941863425927</v>
      </c>
      <c r="J146" s="7">
        <v>0</v>
      </c>
      <c r="K146" s="97" t="str">
        <f t="shared" si="55"/>
        <v>4041/4042</v>
      </c>
      <c r="L146" s="21" t="str">
        <f>VLOOKUP(A146,'Trips&amp;Operators'!$C$1:$G$99999,5,FALSE)</f>
        <v>SAFIEF AEIMEN</v>
      </c>
      <c r="M146" s="6">
        <f t="shared" si="56"/>
        <v>2.4976851855171844E-2</v>
      </c>
      <c r="N146" s="7">
        <f t="shared" si="54"/>
        <v>35.966666671447456</v>
      </c>
      <c r="O146" s="7"/>
      <c r="P146" s="7"/>
      <c r="Q146" s="22"/>
      <c r="R146" s="22"/>
      <c r="S146" s="31">
        <f t="shared" si="53"/>
        <v>1</v>
      </c>
      <c r="T146" s="46" t="str">
        <f t="shared" si="57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8"/>
        <v>https://d0f6bd738d7f1b3e5a7ca70fe4ff75f0.us-east-1.aws.found.io/app/kibana#/discover/Steve-Slow-Train-Analysis-(2080s-and-2083s)?_g=(refreshInterval:(display:Off,pause:!f,section:0,value:0),time:(from:'2017-04-16T20:39:40-0600',mode:absolute,to:'2017-04-16T23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6" s="183" t="str">
        <f t="shared" si="59"/>
        <v>N</v>
      </c>
      <c r="X146" s="183">
        <f t="shared" si="51"/>
        <v>1</v>
      </c>
      <c r="Y146" s="62">
        <f t="shared" si="60"/>
        <v>4.4600000000000001E-2</v>
      </c>
      <c r="Z146" s="62">
        <f t="shared" si="50"/>
        <v>23.331199999999999</v>
      </c>
      <c r="AA146" s="62">
        <f t="shared" si="61"/>
        <v>23.2866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2"/>
        <v>0233-16</v>
      </c>
      <c r="AE146" s="85" t="str">
        <f t="shared" si="63"/>
        <v>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 &amp; 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</v>
      </c>
      <c r="AF146" s="82" t="str">
        <f t="shared" si="64"/>
        <v>"C:\Program Files (x86)\AstroGrep\AstroGrep.exe" /e /r /s /spath="%USERPROFILE%\AppData\Local\Temp\OnboardLogs" /stypes="app*4042*20170417*" /stext=" 04:.+((SYSTEM_STATE.+slice.+state.+changed )|(ment ac)|(multiple cpu faults)|(system.+state.+changed )|(\[timeout)|(PRM\|1\|D)|(kpr)|(kdp)|(\|lc)|(penalty))"</v>
      </c>
      <c r="AG146" s="1" t="str">
        <f t="shared" si="65"/>
        <v>EC</v>
      </c>
      <c r="AH146" s="86" t="str">
        <f t="shared" si="66"/>
        <v>"%USERPROFILE%\Documents\GitHub\eaglep3\Utilities\RefineRTDCRunTimes.py" --tripid 233-16 --locoid 4042 --swversion DE.1.0.9.0 --startMP 204:446 --initTime 2017-04-16T21:39:40 --startdatetime 2017-04-16T22:00:19 --delay 1 --endMP 204:233312 --enddatetime 2017-04-16T22:36:17 --enforcementcount 0 &gt;&gt;C:\Users\stu\Documents\GitHub\eaglep3-reporting\EC\2017-04-16-refined-times.txt</v>
      </c>
      <c r="AI146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{"issue":{"subject":"","project_id":79,"tracker_id":40,"status_id":1,"priority_id":2,"assigned_to_id":23,"start_date":"2017-04-16","description":"","custom_fields":[{"id":1,"name":"Subdivision","value":"EC"},{"id":4,"name":"Milepost","value":"23.3312"},{"id":17,"name":"Train ID","value":"233-16"},{"id":16,"name":"Locomotive ID","value":"4042"},{"id":130,"name":"Impact","value":""},{"id":150,"name":"Time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8"/>
        <v>start /low /b %USERPROFILE%\Documents\GitHub\eaglep3\Utilities\DownloadLogsFromS3.py --loco 4042 --day 2017-04-16</v>
      </c>
      <c r="AN146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850</v>
      </c>
      <c r="B147" s="7">
        <v>4041</v>
      </c>
      <c r="C147" s="21" t="s">
        <v>214</v>
      </c>
      <c r="D147" s="21" t="s">
        <v>409</v>
      </c>
      <c r="E147" s="13">
        <v>42841.948425925926</v>
      </c>
      <c r="F147" s="13">
        <v>42841.955763888887</v>
      </c>
      <c r="G147" s="7">
        <v>1</v>
      </c>
      <c r="H147" s="21" t="s">
        <v>401</v>
      </c>
      <c r="I147" s="13">
        <v>42841.983263888891</v>
      </c>
      <c r="J147" s="7">
        <v>0</v>
      </c>
      <c r="K147" s="97" t="str">
        <f t="shared" si="55"/>
        <v>4041/4042</v>
      </c>
      <c r="L147" s="21" t="str">
        <f>VLOOKUP(A147,'Trips&amp;Operators'!$C$1:$G$99999,5,FALSE)</f>
        <v>SAFIEF AEIMEN</v>
      </c>
      <c r="M147" s="6">
        <f t="shared" si="56"/>
        <v>2.7500000003783498E-2</v>
      </c>
      <c r="N147" s="7">
        <f t="shared" si="54"/>
        <v>39.600000005448237</v>
      </c>
      <c r="O147" s="7"/>
      <c r="P147" s="7"/>
      <c r="Q147" s="22"/>
      <c r="R147" s="22"/>
      <c r="S147" s="31">
        <f t="shared" si="53"/>
        <v>1</v>
      </c>
      <c r="T147" s="46" t="str">
        <f t="shared" si="57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8"/>
        <v>https://d0f6bd738d7f1b3e5a7ca70fe4ff75f0.us-east-1.aws.found.io/app/kibana#/discover/Steve-Slow-Train-Analysis-(2080s-and-2083s)?_g=(refreshInterval:(display:Off,pause:!f,section:0,value:0),time:(from:'2017-04-16T21:45:44-0600',mode:absolute,to:'2017-04-17T00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7" s="183" t="str">
        <f t="shared" si="59"/>
        <v>N</v>
      </c>
      <c r="X147" s="183">
        <f t="shared" si="51"/>
        <v>1</v>
      </c>
      <c r="Y147" s="62">
        <f t="shared" si="60"/>
        <v>23.2989</v>
      </c>
      <c r="Z147" s="62">
        <f t="shared" si="50"/>
        <v>1.38E-2</v>
      </c>
      <c r="AA147" s="62">
        <f t="shared" si="61"/>
        <v>23.2851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2"/>
        <v>0234-16</v>
      </c>
      <c r="AE147" s="85" t="str">
        <f t="shared" si="63"/>
        <v>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 &amp; 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</v>
      </c>
      <c r="AF147" s="82" t="str">
        <f t="shared" si="64"/>
        <v>"C:\Program Files (x86)\AstroGrep\AstroGrep.exe" /e /r /s /spath="%USERPROFILE%\AppData\Local\Temp\OnboardLogs" /stypes="app*4041*20170417*" /stext=" 05:.+((SYSTEM_STATE.+slice.+state.+changed )|(ment ac)|(multiple cpu faults)|(system.+state.+changed )|(\[timeout)|(PRM\|1\|D)|(kpr)|(kdp)|(\|lc)|(penalty))"</v>
      </c>
      <c r="AG147" s="1" t="str">
        <f t="shared" si="65"/>
        <v>EC</v>
      </c>
      <c r="AH147" s="86" t="str">
        <f t="shared" si="66"/>
        <v>"%USERPROFILE%\Documents\GitHub\eaglep3\Utilities\RefineRTDCRunTimes.py" --tripid 234-16 --locoid 4041 --swversion DE.1.0.9.0 --startMP 204:232989 --initTime 2017-04-16T22:45:44 --startdatetime 2017-04-16T22:56:18 --delay 1 --endMP 204:138 --enddatetime 2017-04-16T23:35:54 --enforcementcount 0 &gt;&gt;C:\Users\stu\Documents\GitHub\eaglep3-reporting\EC\2017-04-16-refined-times.txt</v>
      </c>
      <c r="AI147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{"issue":{"subject":"","project_id":79,"tracker_id":40,"status_id":1,"priority_id":2,"assigned_to_id":23,"start_date":"2017-04-16","description":"","custom_fields":[{"id":1,"name":"Subdivision","value":"EC"},{"id":4,"name":"Milepost","value":"0.0138"},{"id":17,"name":"Train ID","value":"234-16"},{"id":16,"name":"Locomotive ID","value":"4041"},{"id":130,"name":"Impact","value":""},{"id":150,"name":"Time of Event (Mountain Time)","value":"23:35:54"},{"id":151,"name":"Denver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8"/>
        <v>start /low /b %USERPROFILE%\Documents\GitHub\eaglep3\Utilities\DownloadLogsFromS3.py --loco 4041 --day 2017-04-16</v>
      </c>
      <c r="AN147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05:35:54"},{"id":29,"name":"Sharepoint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846</v>
      </c>
      <c r="B148" s="7">
        <v>4006</v>
      </c>
      <c r="C148" s="21" t="s">
        <v>214</v>
      </c>
      <c r="D148" s="21" t="s">
        <v>966</v>
      </c>
      <c r="E148" s="13">
        <v>42841.924085648148</v>
      </c>
      <c r="F148" s="13">
        <v>42841.938009259262</v>
      </c>
      <c r="G148" s="7">
        <v>1</v>
      </c>
      <c r="H148" s="21" t="s">
        <v>967</v>
      </c>
      <c r="I148" s="13">
        <v>42841.962905092594</v>
      </c>
      <c r="J148" s="7">
        <v>0</v>
      </c>
      <c r="K148" s="97" t="str">
        <f t="shared" si="55"/>
        <v>4005/4006</v>
      </c>
      <c r="L148" s="21" t="str">
        <f>VLOOKUP(A148,'Trips&amp;Operators'!$C$1:$G$99999,5,FALSE)</f>
        <v>STAMBAUGH JAMES</v>
      </c>
      <c r="M148" s="6">
        <f t="shared" si="56"/>
        <v>2.4895833332266193E-2</v>
      </c>
      <c r="N148" s="7">
        <f t="shared" si="54"/>
        <v>35.849999998463318</v>
      </c>
      <c r="O148" s="7"/>
      <c r="P148" s="7"/>
      <c r="Q148" s="22"/>
      <c r="R148" s="22"/>
      <c r="S148" s="31">
        <f t="shared" si="53"/>
        <v>1</v>
      </c>
      <c r="T148" s="46" t="str">
        <f t="shared" si="57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8"/>
        <v>https://d0f6bd738d7f1b3e5a7ca70fe4ff75f0.us-east-1.aws.found.io/app/kibana#/discover/Steve-Slow-Train-Analysis-(2080s-and-2083s)?_g=(refreshInterval:(display:Off,pause:!f,section:0,value:0),time:(from:'2017-04-16T21:10:41-0600',mode:absolute,to:'2017-04-17T00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8" s="183" t="str">
        <f t="shared" si="59"/>
        <v>N</v>
      </c>
      <c r="X148" s="183">
        <f t="shared" si="51"/>
        <v>1</v>
      </c>
      <c r="Y148" s="62">
        <f t="shared" si="60"/>
        <v>4.3799999999999999E-2</v>
      </c>
      <c r="Z148" s="62">
        <f t="shared" si="50"/>
        <v>23.335100000000001</v>
      </c>
      <c r="AA148" s="62">
        <f t="shared" si="61"/>
        <v>23.2913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2"/>
        <v>0235-16</v>
      </c>
      <c r="AE148" s="85" t="str">
        <f t="shared" si="63"/>
        <v>aws s3 cp s3://rtdc.mdm.uploadarchive.raw/RTDC4006/ "%USERPROFILE%\AppData\Local\Temp\OnboardLogs"\RTDC4006\2017-04-16 --exclude "*" --recursive --include "*20170416*" &amp; "%USERPROFILE%\Documents\GitHub\mrs-test-scripts\Headless Mode &amp; Sideloading\WalkAndUnGZ.bat" "%USERPROFILE%\AppData\Local\Temp\OnboardLogs"\RTDC4006\2017-04-16 &amp; 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</v>
      </c>
      <c r="AF148" s="82" t="str">
        <f t="shared" si="64"/>
        <v>"C:\Program Files (x86)\AstroGrep\AstroGrep.exe" /e /r /s /spath="%USERPROFILE%\AppData\Local\Temp\OnboardLogs" /stypes="app*4006*20170417*" /stext=" 05:.+((SYSTEM_STATE.+slice.+state.+changed )|(ment ac)|(multiple cpu faults)|(system.+state.+changed )|(\[timeout)|(PRM\|1\|D)|(kpr)|(kdp)|(\|lc)|(penalty))"</v>
      </c>
      <c r="AG148" s="1" t="str">
        <f t="shared" si="65"/>
        <v>EC</v>
      </c>
      <c r="AH148" s="86" t="str">
        <f t="shared" si="66"/>
        <v>"%USERPROFILE%\Documents\GitHub\eaglep3\Utilities\RefineRTDCRunTimes.py" --tripid 235-16 --locoid 4006 --swversion DE.1.0.9.0 --startMP 204:438 --initTime 2017-04-16T22:10:41 --startdatetime 2017-04-16T22:30:44 --delay 1 --endMP 204:233351 --enddatetime 2017-04-16T23:06:35 --enforcementcount 0 &gt;&gt;C:\Users\stu\Documents\GitHub\eaglep3-reporting\EC\2017-04-16-refined-times.txt</v>
      </c>
      <c r="AI148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{"issue":{"subject":"","project_id":79,"tracker_id":40,"status_id":1,"priority_id":2,"assigned_to_id":23,"start_date":"2017-04-16","description":"","custom_fields":[{"id":1,"name":"Subdivision","value":"EC"},{"id":4,"name":"Milepost","value":"23.3351"},{"id":17,"name":"Train ID","value":"235-16"},{"id":16,"name":"Locomotive ID","value":"4006"},{"id":130,"name":"Impact","value":""},{"id":150,"name":"Time of Event (Mountain Time)","value":"23:06:35"},{"id":151,"name":"Denver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68"/>
        <v>start /low /b %USERPROFILE%\Documents\GitHub\eaglep3\Utilities\DownloadLogsFromS3.py --loco 4006 --day 2017-04-16</v>
      </c>
      <c r="AN148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05:06:35"},{"id":29,"name":"Sharepoint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852</v>
      </c>
      <c r="B149" s="7">
        <v>4005</v>
      </c>
      <c r="C149" s="21" t="s">
        <v>214</v>
      </c>
      <c r="D149" s="21" t="s">
        <v>633</v>
      </c>
      <c r="E149" s="13">
        <v>42841.970891203702</v>
      </c>
      <c r="F149" s="13">
        <v>42841.977048611108</v>
      </c>
      <c r="G149" s="7">
        <v>1</v>
      </c>
      <c r="H149" s="21" t="s">
        <v>968</v>
      </c>
      <c r="I149" s="13">
        <v>42842.003182870372</v>
      </c>
      <c r="J149" s="7">
        <v>0</v>
      </c>
      <c r="K149" s="97" t="str">
        <f t="shared" si="55"/>
        <v>4005/4006</v>
      </c>
      <c r="L149" s="21" t="str">
        <f>VLOOKUP(A149,'Trips&amp;Operators'!$C$1:$G$99999,5,FALSE)</f>
        <v>STAMBAUGH JAMES</v>
      </c>
      <c r="M149" s="6">
        <f t="shared" si="56"/>
        <v>2.6134259263926651E-2</v>
      </c>
      <c r="N149" s="7">
        <f t="shared" si="54"/>
        <v>37.633333340054378</v>
      </c>
      <c r="O149" s="7"/>
      <c r="P149" s="7"/>
      <c r="Q149" s="22"/>
      <c r="R149" s="22"/>
      <c r="S149" s="31">
        <f t="shared" si="53"/>
        <v>1</v>
      </c>
      <c r="T149" s="46" t="str">
        <f t="shared" si="57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8"/>
        <v>https://d0f6bd738d7f1b3e5a7ca70fe4ff75f0.us-east-1.aws.found.io/app/kibana#/discover/Steve-Slow-Train-Analysis-(2080s-and-2083s)?_g=(refreshInterval:(display:Off,pause:!f,section:0,value:0),time:(from:'2017-04-16T22:18:05-0600',mode:absolute,to:'2017-04-17T01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9" s="183" t="str">
        <f t="shared" si="59"/>
        <v>N</v>
      </c>
      <c r="X149" s="183">
        <f t="shared" si="51"/>
        <v>1</v>
      </c>
      <c r="Y149" s="62">
        <f t="shared" si="60"/>
        <v>23.302700000000002</v>
      </c>
      <c r="Z149" s="62">
        <f t="shared" si="50"/>
        <v>1.0699999999999999E-2</v>
      </c>
      <c r="AA149" s="62">
        <f t="shared" si="61"/>
        <v>23.292000000000002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2"/>
        <v>0236-16</v>
      </c>
      <c r="AE149" s="85" t="str">
        <f t="shared" si="63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149" s="82" t="str">
        <f t="shared" si="64"/>
        <v>"C:\Program Files (x86)\AstroGrep\AstroGrep.exe" /e /r /s /spath="%USERPROFILE%\AppData\Local\Temp\OnboardLogs" /stypes="app*4005*20170417*" /stext=" 06:.+((SYSTEM_STATE.+slice.+state.+changed )|(ment ac)|(multiple cpu faults)|(system.+state.+changed )|(\[timeout)|(PRM\|1\|D)|(kpr)|(kdp)|(\|lc)|(penalty))"</v>
      </c>
      <c r="AG149" s="1" t="str">
        <f t="shared" si="65"/>
        <v>EC</v>
      </c>
      <c r="AH149" s="86" t="str">
        <f t="shared" si="66"/>
        <v>"%USERPROFILE%\Documents\GitHub\eaglep3\Utilities\RefineRTDCRunTimes.py" --tripid 236-16 --locoid 4005 --swversion DE.1.0.9.0 --startMP 204:233027 --initTime 2017-04-16T23:18:05 --startdatetime 2017-04-16T23:26:57 --delay 1 --endMP 204:107 --enddatetime 2017-04-17T00:04:35 --enforcementcount 0 &gt;&gt;C:\Users\stu\Documents\GitHub\eaglep3-reporting\EC\2017-04-16-refined-times.txt</v>
      </c>
      <c r="AI149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{"issue":{"subject":"","project_id":79,"tracker_id":40,"status_id":1,"priority_id":2,"assigned_to_id":23,"start_date":"2017-04-17","description":"","custom_fields":[{"id":1,"name":"Subdivision","value":"EC"},{"id":4,"name":"Milepost","value":"0.0107"},{"id":17,"name":"Train ID","value":"236-16"},{"id":16,"name":"Locomotive ID","value":"4005"},{"id":130,"name":"Impact","value":""},{"id":150,"name":"Time of Event (Mountain Time)","value":"00:04:35"},{"id":151,"name":"Denver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68"/>
        <v>start /low /b %USERPROFILE%\Documents\GitHub\eaglep3\Utilities\DownloadLogsFromS3.py --loco 4005 --day 2017-04-16</v>
      </c>
      <c r="AN149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06:04:35"},{"id":29,"name":"Sharepoint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851</v>
      </c>
      <c r="B150" s="7">
        <v>4040</v>
      </c>
      <c r="C150" s="21" t="s">
        <v>214</v>
      </c>
      <c r="D150" s="21" t="s">
        <v>480</v>
      </c>
      <c r="E150" s="13">
        <v>42841.955601851849</v>
      </c>
      <c r="F150" s="13">
        <v>42841.958599537036</v>
      </c>
      <c r="G150" s="7">
        <v>1</v>
      </c>
      <c r="H150" s="21" t="s">
        <v>610</v>
      </c>
      <c r="I150" s="13">
        <v>42841.983761574076</v>
      </c>
      <c r="J150" s="7">
        <v>0</v>
      </c>
      <c r="K150" s="97" t="str">
        <f t="shared" si="55"/>
        <v>4039/4040</v>
      </c>
      <c r="L150" s="21" t="str">
        <f>VLOOKUP(A150,'Trips&amp;Operators'!$C$1:$G$99999,5,FALSE)</f>
        <v>CHANDLER KELVIN</v>
      </c>
      <c r="M150" s="6">
        <f t="shared" si="56"/>
        <v>2.5162037039990537E-2</v>
      </c>
      <c r="N150" s="7">
        <f t="shared" si="54"/>
        <v>36.233333337586373</v>
      </c>
      <c r="O150" s="7"/>
      <c r="P150" s="7"/>
      <c r="Q150" s="22"/>
      <c r="R150" s="22"/>
      <c r="S150" s="31">
        <f t="shared" si="53"/>
        <v>1</v>
      </c>
      <c r="T150" s="46" t="str">
        <f t="shared" si="57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8"/>
        <v>https://d0f6bd738d7f1b3e5a7ca70fe4ff75f0.us-east-1.aws.found.io/app/kibana#/discover/Steve-Slow-Train-Analysis-(2080s-and-2083s)?_g=(refreshInterval:(display:Off,pause:!f,section:0,value:0),time:(from:'2017-04-16T21:56:04-0600',mode:absolute,to:'2017-04-17T00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183" t="str">
        <f t="shared" si="59"/>
        <v>N</v>
      </c>
      <c r="X150" s="183">
        <f t="shared" si="51"/>
        <v>1</v>
      </c>
      <c r="Y150" s="62">
        <f t="shared" si="60"/>
        <v>4.4699999999999997E-2</v>
      </c>
      <c r="Z150" s="62">
        <f t="shared" si="50"/>
        <v>23.3278</v>
      </c>
      <c r="AA150" s="62">
        <f t="shared" si="61"/>
        <v>23.283100000000001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2"/>
        <v>0237-16</v>
      </c>
      <c r="AE150" s="85" t="str">
        <f t="shared" si="63"/>
        <v>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 &amp; aws s3 cp s3://rtdc.mdm.uploadarchive.raw/RTDC4040/ "%USERPROFILE%\AppData\Local\Temp\OnboardLogs"\RTDC4040\2017-04-17 --exclude "*" --recursive --include "*20170417*" &amp; "%USERPROFILE%\Documents\GitHub\mrs-test-scripts\Headless Mode &amp; Sideloading\WalkAndUnGZ.bat" "%USERPROFILE%\AppData\Local\Temp\OnboardLogs"\RTDC4040\2017-04-17</v>
      </c>
      <c r="AF150" s="82" t="str">
        <f t="shared" si="64"/>
        <v>"C:\Program Files (x86)\AstroGrep\AstroGrep.exe" /e /r /s /spath="%USERPROFILE%\AppData\Local\Temp\OnboardLogs" /stypes="app*4040*20170417*" /stext=" 05:.+((SYSTEM_STATE.+slice.+state.+changed )|(ment ac)|(multiple cpu faults)|(system.+state.+changed )|(\[timeout)|(PRM\|1\|D)|(kpr)|(kdp)|(\|lc)|(penalty))"</v>
      </c>
      <c r="AG150" s="1" t="str">
        <f t="shared" si="65"/>
        <v>EC</v>
      </c>
      <c r="AH150" s="86" t="str">
        <f t="shared" si="66"/>
        <v>"%USERPROFILE%\Documents\GitHub\eaglep3\Utilities\RefineRTDCRunTimes.py" --tripid 237-16 --locoid 4040 --swversion DE.1.0.9.0 --startMP 204:447 --initTime 2017-04-16T22:56:04 --startdatetime 2017-04-16T23:00:23 --delay 1 --endMP 204:233278 --enddatetime 2017-04-16T23:36:37 --enforcementcount 0 &gt;&gt;C:\Users\stu\Documents\GitHub\eaglep3-reporting\EC\2017-04-16-refined-times.txt</v>
      </c>
      <c r="AI150" s="104" t="str">
        <f t="shared" si="67"/>
        <v>echo {"issue":{"subject":"","project_id":79,"tracker_id":40,"status_id":1,"priority_id":2,"assigned_to_id":23,"start_date":"2017-04-16","description":"","custom_fields":[{"id":1,"name":"Subdivision","value":"EC"},{"id":4,"name":"Milepost","value":"23.3278"},{"id":17,"name":"Train ID","value":"237-16"},{"id":16,"name":"Locomotive ID","value":"4040"},{"id":130,"name":"Impact","value":""},{"id":150,"name":"Time of Event (Mountain Time)","value":"23:36:37"},{"id":151,"name":"Denver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8"/>
        <v>start /low /b %USERPROFILE%\Documents\GitHub\eaglep3\Utilities\DownloadLogsFromS3.py --loco 4040 --day 2017-04-16</v>
      </c>
      <c r="AN150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855</v>
      </c>
      <c r="B151" s="7">
        <v>4039</v>
      </c>
      <c r="C151" s="21" t="s">
        <v>214</v>
      </c>
      <c r="D151" s="21" t="s">
        <v>611</v>
      </c>
      <c r="E151" s="13">
        <v>42841.995671296296</v>
      </c>
      <c r="F151" s="13">
        <v>42841.997858796298</v>
      </c>
      <c r="G151" s="7">
        <v>1</v>
      </c>
      <c r="H151" s="21">
        <v>8.5409722222222211</v>
      </c>
      <c r="I151" s="13">
        <v>42842.026562500003</v>
      </c>
      <c r="J151" s="7">
        <v>0</v>
      </c>
      <c r="K151" s="97" t="str">
        <f t="shared" si="55"/>
        <v>4039/4040</v>
      </c>
      <c r="L151" s="21" t="str">
        <f>VLOOKUP(A151,'Trips&amp;Operators'!$C$1:$G$99999,5,FALSE)</f>
        <v>CHANDLER KELVIN</v>
      </c>
      <c r="M151" s="6">
        <f t="shared" si="56"/>
        <v>2.8703703705104999E-2</v>
      </c>
      <c r="N151" s="7">
        <f t="shared" si="54"/>
        <v>41.333333335351199</v>
      </c>
      <c r="O151" s="7"/>
      <c r="P151" s="7"/>
      <c r="Q151" s="22"/>
      <c r="R151" s="22"/>
      <c r="S151" s="31">
        <f t="shared" si="53"/>
        <v>1</v>
      </c>
      <c r="T151" s="46" t="str">
        <f t="shared" si="57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8"/>
        <v>https://d0f6bd738d7f1b3e5a7ca70fe4ff75f0.us-east-1.aws.found.io/app/kibana#/discover/Steve-Slow-Train-Analysis-(2080s-and-2083s)?_g=(refreshInterval:(display:Off,pause:!f,section:0,value:0),time:(from:'2017-04-16T22:53:46-0600',mode:absolute,to:'2017-04-17T01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183" t="str">
        <f t="shared" si="59"/>
        <v>N</v>
      </c>
      <c r="X151" s="183">
        <f t="shared" si="51"/>
        <v>1</v>
      </c>
      <c r="Y151" s="62">
        <f t="shared" si="60"/>
        <v>23.296600000000002</v>
      </c>
      <c r="Z151" s="62">
        <v>5.0000000000000001E-3</v>
      </c>
      <c r="AA151" s="62">
        <f t="shared" si="61"/>
        <v>23.291600000000003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2"/>
        <v>0238-16</v>
      </c>
      <c r="AE151" s="85" t="str">
        <f t="shared" si="63"/>
        <v>aws s3 cp s3://rtdc.mdm.uploadarchive.raw/RTDC4039/ "%USERPROFILE%\AppData\Local\Temp\OnboardLogs"\RTDC4039\2017-04-16 --exclude "*" --recursive --include "*20170416*" &amp; "%USERPROFILE%\Documents\GitHub\mrs-test-scripts\Headless Mode &amp; Sideloading\WalkAndUnGZ.bat" "%USERPROFILE%\AppData\Local\Temp\OnboardLogs"\RTDC4039\2017-04-16 &amp; aws s3 cp s3://rtdc.mdm.uploadarchive.raw/RTDC4039/ "%USERPROFILE%\AppData\Local\Temp\OnboardLogs"\RTDC4039\2017-04-17 --exclude "*" --recursive --include "*20170417*" &amp; "%USERPROFILE%\Documents\GitHub\mrs-test-scripts\Headless Mode &amp; Sideloading\WalkAndUnGZ.bat" "%USERPROFILE%\AppData\Local\Temp\OnboardLogs"\RTDC4039\2017-04-17</v>
      </c>
      <c r="AF151" s="82" t="str">
        <f t="shared" si="64"/>
        <v>"C:\Program Files (x86)\AstroGrep\AstroGrep.exe" /e /r /s /spath="%USERPROFILE%\AppData\Local\Temp\OnboardLogs" /stypes="app*4039*20170417*" /stext=" 06:.+((SYSTEM_STATE.+slice.+state.+changed )|(ment ac)|(multiple cpu faults)|(system.+state.+changed )|(\[timeout)|(PRM\|1\|D)|(kpr)|(kdp)|(\|lc)|(penalty))"</v>
      </c>
      <c r="AG151" s="1" t="str">
        <f t="shared" si="65"/>
        <v>EC</v>
      </c>
      <c r="AH151" s="86" t="str">
        <f t="shared" si="66"/>
        <v>"%USERPROFILE%\Documents\GitHub\eaglep3\Utilities\RefineRTDCRunTimes.py" --tripid 238-16 --locoid 4039 --swversion DE.1.0.9.0 --startMP 204:232966 --initTime 2017-04-16T23:53:46 --startdatetime 2017-04-16T23:56:55 --delay 1 --endMP 8.54097222222222 --enddatetime 2017-04-17T00:38:15 --enforcementcount 0 &gt;&gt;C:\Users\stu\Documents\GitHub\eaglep3-reporting\EC\2017-04-16-refined-times.txt</v>
      </c>
      <c r="AI151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{"issue":{"subject":"","project_id":79,"tracker_id":40,"status_id":1,"priority_id":2,"assigned_to_id":23,"start_date":"2017-04-17","description":"","custom_fields":[{"id":1,"name":"Subdivision","value":"EC"},{"id":4,"name":"Milepost","value":"0.005"},{"id":17,"name":"Train ID","value":"238-16"},{"id":16,"name":"Locomotive ID","value":"4039"},{"id":130,"name":"Impact","value":""},{"id":150,"name":"Time of Event (Mountain Time)","value":"00:38:15"},{"id":151,"name":"Denver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8"/>
        <v>start /low /b %USERPROFILE%\Documents\GitHub\eaglep3\Utilities\DownloadLogsFromS3.py --loco 4039 --day 2017-04-16</v>
      </c>
      <c r="AN151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06:38:15"},{"id":29,"name":"Sharepoint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853</v>
      </c>
      <c r="B152" s="7">
        <v>4020</v>
      </c>
      <c r="C152" s="21" t="s">
        <v>214</v>
      </c>
      <c r="D152" s="21" t="s">
        <v>458</v>
      </c>
      <c r="E152" s="13">
        <v>42841.975254629629</v>
      </c>
      <c r="F152" s="13">
        <v>42841.97934027778</v>
      </c>
      <c r="G152" s="7">
        <v>1</v>
      </c>
      <c r="H152" s="21" t="s">
        <v>865</v>
      </c>
      <c r="I152" s="13">
        <v>42842.00408564815</v>
      </c>
      <c r="J152" s="7">
        <v>0</v>
      </c>
      <c r="K152" s="97" t="str">
        <f t="shared" si="55"/>
        <v>4019/4020</v>
      </c>
      <c r="L152" s="21" t="str">
        <f>VLOOKUP(A152,'Trips&amp;Operators'!$C$1:$G$99999,5,FALSE)</f>
        <v>NEWELL JAMES</v>
      </c>
      <c r="M152" s="6">
        <f t="shared" si="56"/>
        <v>2.47453703705105E-2</v>
      </c>
      <c r="N152" s="7">
        <f t="shared" si="54"/>
        <v>35.63333333353512</v>
      </c>
      <c r="O152" s="7"/>
      <c r="P152" s="7"/>
      <c r="Q152" s="22"/>
      <c r="R152" s="22"/>
      <c r="S152" s="31">
        <f t="shared" si="53"/>
        <v>1</v>
      </c>
      <c r="T152" s="46" t="str">
        <f t="shared" si="57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8"/>
        <v>https://d0f6bd738d7f1b3e5a7ca70fe4ff75f0.us-east-1.aws.found.io/app/kibana#/discover/Steve-Slow-Train-Analysis-(2080s-and-2083s)?_g=(refreshInterval:(display:Off,pause:!f,section:0,value:0),time:(from:'2017-04-16T22:24:22-0600',mode:absolute,to:'2017-04-17T01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2" s="183" t="str">
        <f t="shared" si="59"/>
        <v>N</v>
      </c>
      <c r="X152" s="183">
        <f t="shared" si="51"/>
        <v>1</v>
      </c>
      <c r="Y152" s="62">
        <f t="shared" si="60"/>
        <v>4.6699999999999998E-2</v>
      </c>
      <c r="Z152" s="62">
        <f t="shared" ref="Z152:Z183" si="70">RIGHT(H152,LEN(H152)-4)/10000</f>
        <v>23.330400000000001</v>
      </c>
      <c r="AA152" s="62">
        <f t="shared" si="61"/>
        <v>23.2837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2"/>
        <v>0239-16</v>
      </c>
      <c r="AE152" s="85" t="str">
        <f t="shared" si="63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152" s="82" t="str">
        <f t="shared" si="64"/>
        <v>"C:\Program Files (x86)\AstroGrep\AstroGrep.exe" /e /r /s /spath="%USERPROFILE%\AppData\Local\Temp\OnboardLogs" /stypes="app*4020*20170417*" /stext=" 06:.+((SYSTEM_STATE.+slice.+state.+changed )|(ment ac)|(multiple cpu faults)|(system.+state.+changed )|(\[timeout)|(PRM\|1\|D)|(kpr)|(kdp)|(\|lc)|(penalty))"</v>
      </c>
      <c r="AG152" s="1" t="str">
        <f t="shared" si="65"/>
        <v>EC</v>
      </c>
      <c r="AH152" s="86" t="str">
        <f t="shared" si="66"/>
        <v>"%USERPROFILE%\Documents\GitHub\eaglep3\Utilities\RefineRTDCRunTimes.py" --tripid 239-16 --locoid 4020 --swversion DE.1.0.9.0 --startMP 204:467 --initTime 2017-04-16T23:24:22 --startdatetime 2017-04-16T23:30:15 --delay 1 --endMP 204:233304 --enddatetime 2017-04-17T00:05:53 --enforcementcount 0 &gt;&gt;C:\Users\stu\Documents\GitHub\eaglep3-reporting\EC\2017-04-16-refined-times.txt</v>
      </c>
      <c r="AI152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{"issue":{"subject":"","project_id":79,"tracker_id":40,"status_id":1,"priority_id":2,"assigned_to_id":23,"start_date":"2017-04-17","description":"","custom_fields":[{"id":1,"name":"Subdivision","value":"EC"},{"id":4,"name":"Milepost","value":"23.3304"},{"id":17,"name":"Train ID","value":"239-16"},{"id":16,"name":"Locomotive ID","value":"4020"},{"id":130,"name":"Impact","value":""},{"id":150,"name":"Time of Event (Mountain Time)","value":"00:05:53"},{"id":151,"name":"Denver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8"/>
        <v>start /low /b %USERPROFILE%\Documents\GitHub\eaglep3\Utilities\DownloadLogsFromS3.py --loco 4020 --day 2017-04-16</v>
      </c>
      <c r="AN152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06:05:53"},{"id":29,"name":"Sharepoint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661</v>
      </c>
      <c r="B153" s="7">
        <v>4019</v>
      </c>
      <c r="C153" s="21" t="s">
        <v>214</v>
      </c>
      <c r="D153" s="21" t="s">
        <v>511</v>
      </c>
      <c r="E153" s="13">
        <v>42842.015219907407</v>
      </c>
      <c r="F153" s="13">
        <v>42842.018206018518</v>
      </c>
      <c r="G153" s="7">
        <v>1</v>
      </c>
      <c r="H153" s="21" t="s">
        <v>969</v>
      </c>
      <c r="I153" s="13">
        <v>42842.045254629629</v>
      </c>
      <c r="J153" s="7">
        <v>0</v>
      </c>
      <c r="K153" s="97" t="str">
        <f t="shared" si="55"/>
        <v>4019/4020</v>
      </c>
      <c r="L153" s="21" t="str">
        <f>VLOOKUP(A153,'Trips&amp;Operators'!$C$1:$G$99999,5,FALSE)</f>
        <v>NEWELL JAMES</v>
      </c>
      <c r="M153" s="6">
        <f t="shared" si="56"/>
        <v>2.7048611111240461E-2</v>
      </c>
      <c r="N153" s="7">
        <f t="shared" si="54"/>
        <v>38.950000000186265</v>
      </c>
      <c r="O153" s="7"/>
      <c r="P153" s="7"/>
      <c r="Q153" s="22"/>
      <c r="R153" s="22"/>
      <c r="S153" s="31">
        <f t="shared" si="53"/>
        <v>1</v>
      </c>
      <c r="T153" s="46" t="str">
        <f t="shared" si="57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8"/>
        <v>https://d0f6bd738d7f1b3e5a7ca70fe4ff75f0.us-east-1.aws.found.io/app/kibana#/discover/Steve-Slow-Train-Analysis-(2080s-and-2083s)?_g=(refreshInterval:(display:Off,pause:!f,section:0,value:0),time:(from:'2017-04-16T23:21:55-0600',mode:absolute,to:'2017-04-17T02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3" s="183" t="str">
        <f t="shared" si="59"/>
        <v>N</v>
      </c>
      <c r="X153" s="183">
        <f t="shared" si="51"/>
        <v>1</v>
      </c>
      <c r="Y153" s="62">
        <f t="shared" si="60"/>
        <v>23.299399999999999</v>
      </c>
      <c r="Z153" s="62">
        <f t="shared" si="70"/>
        <v>3.7199999999999997E-2</v>
      </c>
      <c r="AA153" s="62">
        <f t="shared" si="61"/>
        <v>23.2622</v>
      </c>
      <c r="AB153" s="59" t="str">
        <f>VLOOKUP(A153,Enforcements!$C$7:$K$13,8,0)</f>
        <v>Bulletin (2)</v>
      </c>
      <c r="AC153" s="55" t="str">
        <f>VLOOKUP(A153,Enforcements!$C$7:$E$13,3,0)</f>
        <v>GRADE CROSSING</v>
      </c>
      <c r="AD153" s="56" t="str">
        <f t="shared" si="62"/>
        <v>0240-16</v>
      </c>
      <c r="AE153" s="85" t="str">
        <f t="shared" si="63"/>
        <v>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 &amp; aws s3 cp s3://rtdc.mdm.uploadarchive.raw/RTDC4019/ "%USERPROFILE%\AppData\Local\Temp\OnboardLogs"\RTDC4019\2017-04-18 --exclude "*" --recursive --include "*20170418*" &amp; "%USERPROFILE%\Documents\GitHub\mrs-test-scripts\Headless Mode &amp; Sideloading\WalkAndUnGZ.bat" "%USERPROFILE%\AppData\Local\Temp\OnboardLogs"\RTDC4019\2017-04-18</v>
      </c>
      <c r="AF153" s="82" t="str">
        <f t="shared" si="64"/>
        <v>"C:\Program Files (x86)\AstroGrep\AstroGrep.exe" /e /r /s /spath="%USERPROFILE%\AppData\Local\Temp\OnboardLogs" /stypes="app*4019*20170417*" /stext=" 07:.+((SYSTEM_STATE.+slice.+state.+changed )|(ment ac)|(multiple cpu faults)|(system.+state.+changed )|(\[timeout)|(PRM\|1\|D)|(kpr)|(kdp)|(\|lc)|(penalty))"</v>
      </c>
      <c r="AG153" s="1" t="str">
        <f t="shared" si="65"/>
        <v>EC</v>
      </c>
      <c r="AH153" s="86" t="str">
        <f t="shared" si="66"/>
        <v>"%USERPROFILE%\Documents\GitHub\eaglep3\Utilities\RefineRTDCRunTimes.py" --tripid 240-16 --locoid 4019 --swversion DE.1.0.9.0 --startMP 204:232994 --initTime 2017-04-17T00:21:55 --startdatetime 2017-04-17T00:26:13 --delay 1 --endMP 204:372 --enddatetime 2017-04-17T01:05:10 --enforcementcount 0 &gt;&gt;C:\Users\stu\Documents\GitHub\eaglep3-reporting\EC\2017-04-16-refined-times.txt</v>
      </c>
      <c r="AI153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{"issue":{"subject":"","project_id":79,"tracker_id":40,"status_id":1,"priority_id":2,"assigned_to_id":23,"start_date":"2017-04-17","description":"","custom_fields":[{"id":1,"name":"Subdivision","value":"EC"},{"id":4,"name":"Milepost","value":"0.0372"},{"id":17,"name":"Train ID","value":"240-16"},{"id":16,"name":"Locomotive ID","value":"4019"},{"id":130,"name":"Impact","value":""},{"id":150,"name":"Time of Event (Mountain Time)","value":"01:05:10"},{"id":151,"name":"Denver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8"/>
        <v>start /low /b %USERPROFILE%\Documents\GitHub\eaglep3\Utilities\DownloadLogsFromS3.py --loco 4019 --day 2017-04-17</v>
      </c>
      <c r="AN153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854</v>
      </c>
      <c r="B154" s="7">
        <v>4042</v>
      </c>
      <c r="C154" s="21" t="s">
        <v>214</v>
      </c>
      <c r="D154" s="21" t="s">
        <v>419</v>
      </c>
      <c r="E154" s="13">
        <v>42841.987581018519</v>
      </c>
      <c r="F154" s="13">
        <v>42842.000243055554</v>
      </c>
      <c r="G154" s="7">
        <v>1</v>
      </c>
      <c r="H154" s="21" t="s">
        <v>457</v>
      </c>
      <c r="I154" s="13">
        <v>42842.025509259256</v>
      </c>
      <c r="J154" s="7">
        <v>0</v>
      </c>
      <c r="K154" s="97" t="str">
        <f t="shared" si="55"/>
        <v>4041/4042</v>
      </c>
      <c r="L154" s="21" t="str">
        <f>VLOOKUP(A154,'Trips&amp;Operators'!$C$1:$G$99999,5,FALSE)</f>
        <v>SAFIEF AEIMEN</v>
      </c>
      <c r="M154" s="6">
        <f t="shared" si="56"/>
        <v>2.5266203701903578E-2</v>
      </c>
      <c r="N154" s="7">
        <f t="shared" si="54"/>
        <v>36.383333330741152</v>
      </c>
      <c r="O154" s="7"/>
      <c r="P154" s="7"/>
      <c r="Q154" s="22"/>
      <c r="R154" s="22"/>
      <c r="S154" s="31">
        <f t="shared" si="53"/>
        <v>1</v>
      </c>
      <c r="T154" s="46" t="str">
        <f t="shared" si="57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8"/>
        <v>https://d0f6bd738d7f1b3e5a7ca70fe4ff75f0.us-east-1.aws.found.io/app/kibana#/discover/Steve-Slow-Train-Analysis-(2080s-and-2083s)?_g=(refreshInterval:(display:Off,pause:!f,section:0,value:0),time:(from:'2017-04-16T22:42:07-0600',mode:absolute,to:'2017-04-17T01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4" s="183" t="str">
        <f t="shared" si="59"/>
        <v>N</v>
      </c>
      <c r="X154" s="183">
        <f t="shared" si="51"/>
        <v>1</v>
      </c>
      <c r="Y154" s="62">
        <f t="shared" si="60"/>
        <v>4.58E-2</v>
      </c>
      <c r="Z154" s="62">
        <f t="shared" si="70"/>
        <v>23.3306</v>
      </c>
      <c r="AA154" s="62">
        <f t="shared" si="61"/>
        <v>23.284800000000001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2"/>
        <v>0241-16</v>
      </c>
      <c r="AE154" s="85" t="str">
        <f t="shared" si="63"/>
        <v>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 &amp; 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</v>
      </c>
      <c r="AF154" s="82" t="str">
        <f t="shared" si="64"/>
        <v>"C:\Program Files (x86)\AstroGrep\AstroGrep.exe" /e /r /s /spath="%USERPROFILE%\AppData\Local\Temp\OnboardLogs" /stypes="app*4042*20170417*" /stext=" 06:.+((SYSTEM_STATE.+slice.+state.+changed )|(ment ac)|(multiple cpu faults)|(system.+state.+changed )|(\[timeout)|(PRM\|1\|D)|(kpr)|(kdp)|(\|lc)|(penalty))"</v>
      </c>
      <c r="AG154" s="1" t="str">
        <f t="shared" si="65"/>
        <v>EC</v>
      </c>
      <c r="AH154" s="86" t="str">
        <f t="shared" si="66"/>
        <v>"%USERPROFILE%\Documents\GitHub\eaglep3\Utilities\RefineRTDCRunTimes.py" --tripid 241-16 --locoid 4042 --swversion DE.1.0.9.0 --startMP 204:458 --initTime 2017-04-16T23:42:07 --startdatetime 2017-04-17T00:00:21 --delay 1 --endMP 204:233306 --enddatetime 2017-04-17T00:36:44 --enforcementcount 0 &gt;&gt;C:\Users\stu\Documents\GitHub\eaglep3-reporting\EC\2017-04-16-refined-times.txt</v>
      </c>
      <c r="AI154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{"issue":{"subject":"","project_id":79,"tracker_id":40,"status_id":1,"priority_id":2,"assigned_to_id":23,"start_date":"2017-04-17","description":"","custom_fields":[{"id":1,"name":"Subdivision","value":"EC"},{"id":4,"name":"Milepost","value":"23.3306"},{"id":17,"name":"Train ID","value":"241-16"},{"id":16,"name":"Locomotive ID","value":"4042"},{"id":130,"name":"Impact","value":""},{"id":150,"name":"Time of Event (Mountain Time)","value":"00:36:44"},{"id":151,"name":"Denver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8"/>
        <v>start /low /b %USERPROFILE%\Documents\GitHub\eaglep3\Utilities\DownloadLogsFromS3.py --loco 4042 --day 2017-04-17</v>
      </c>
      <c r="AN154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856</v>
      </c>
      <c r="B155" s="7">
        <v>4041</v>
      </c>
      <c r="C155" s="21" t="s">
        <v>214</v>
      </c>
      <c r="D155" s="21" t="s">
        <v>635</v>
      </c>
      <c r="E155" s="13">
        <v>42842.02820601852</v>
      </c>
      <c r="F155" s="13">
        <v>42842.039317129631</v>
      </c>
      <c r="G155" s="7">
        <v>1</v>
      </c>
      <c r="H155" s="21" t="s">
        <v>533</v>
      </c>
      <c r="I155" s="13">
        <v>42842.06627314815</v>
      </c>
      <c r="J155" s="7">
        <v>0</v>
      </c>
      <c r="K155" s="97" t="str">
        <f t="shared" si="55"/>
        <v>4041/4042</v>
      </c>
      <c r="L155" s="21" t="str">
        <f>VLOOKUP(A155,'Trips&amp;Operators'!$C$1:$G$99999,5,FALSE)</f>
        <v>SAFIEF AEIMEN</v>
      </c>
      <c r="M155" s="6">
        <f t="shared" si="56"/>
        <v>2.6956018518831115E-2</v>
      </c>
      <c r="N155" s="7">
        <f t="shared" si="54"/>
        <v>38.816666667116806</v>
      </c>
      <c r="O155" s="7"/>
      <c r="P155" s="7"/>
      <c r="Q155" s="22"/>
      <c r="R155" s="22"/>
      <c r="S155" s="31">
        <f t="shared" si="53"/>
        <v>1</v>
      </c>
      <c r="T155" s="46" t="str">
        <f t="shared" si="57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8"/>
        <v>https://d0f6bd738d7f1b3e5a7ca70fe4ff75f0.us-east-1.aws.found.io/app/kibana#/discover/Steve-Slow-Train-Analysis-(2080s-and-2083s)?_g=(refreshInterval:(display:Off,pause:!f,section:0,value:0),time:(from:'2017-04-16T23:40:37-0600',mode:absolute,to:'2017-04-17T02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5" s="183" t="str">
        <f t="shared" si="59"/>
        <v>N</v>
      </c>
      <c r="X155" s="183">
        <f t="shared" si="51"/>
        <v>1</v>
      </c>
      <c r="Y155" s="62">
        <f t="shared" si="60"/>
        <v>23.3004</v>
      </c>
      <c r="Z155" s="62">
        <f t="shared" si="70"/>
        <v>1.6299999999999999E-2</v>
      </c>
      <c r="AA155" s="62">
        <f t="shared" si="61"/>
        <v>23.284099999999999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2"/>
        <v>0242-16</v>
      </c>
      <c r="AE155" s="85" t="str">
        <f t="shared" si="63"/>
        <v>aws s3 cp s3://rtdc.mdm.uploadarchive.raw/RTDC4041/ "%USERPROFILE%\AppData\Local\Temp\OnboardLogs"\RTDC4041\2017-04-17 --exclude "*" --recursive --include "*20170417*" &amp; "%USERPROFILE%\Documents\GitHub\mrs-test-scripts\Headless Mode &amp; Sideloading\WalkAndUnGZ.bat" "%USERPROFILE%\AppData\Local\Temp\OnboardLogs"\RTDC4041\2017-04-17 &amp; aws s3 cp s3://rtdc.mdm.uploadarchive.raw/RTDC4041/ "%USERPROFILE%\AppData\Local\Temp\OnboardLogs"\RTDC4041\2017-04-18 --exclude "*" --recursive --include "*20170418*" &amp; "%USERPROFILE%\Documents\GitHub\mrs-test-scripts\Headless Mode &amp; Sideloading\WalkAndUnGZ.bat" "%USERPROFILE%\AppData\Local\Temp\OnboardLogs"\RTDC4041\2017-04-18</v>
      </c>
      <c r="AF155" s="82" t="str">
        <f t="shared" si="64"/>
        <v>"C:\Program Files (x86)\AstroGrep\AstroGrep.exe" /e /r /s /spath="%USERPROFILE%\AppData\Local\Temp\OnboardLogs" /stypes="app*4041*20170417*" /stext=" 07:.+((SYSTEM_STATE.+slice.+state.+changed )|(ment ac)|(multiple cpu faults)|(system.+state.+changed )|(\[timeout)|(PRM\|1\|D)|(kpr)|(kdp)|(\|lc)|(penalty))"</v>
      </c>
      <c r="AG155" s="1" t="str">
        <f t="shared" si="65"/>
        <v>EC</v>
      </c>
      <c r="AH155" s="86" t="str">
        <f t="shared" si="66"/>
        <v>"%USERPROFILE%\Documents\GitHub\eaglep3\Utilities\RefineRTDCRunTimes.py" --tripid 242-16 --locoid 4041 --swversion DE.1.0.9.0 --startMP 204:233004 --initTime 2017-04-17T00:40:37 --startdatetime 2017-04-17T00:56:37 --delay 1 --endMP 204:163 --enddatetime 2017-04-17T01:35:26 --enforcementcount 0 &gt;&gt;C:\Users\stu\Documents\GitHub\eaglep3-reporting\EC\2017-04-16-refined-times.txt</v>
      </c>
      <c r="AI155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{"issue":{"subject":"","project_id":79,"tracker_id":40,"status_id":1,"priority_id":2,"assigned_to_id":23,"start_date":"2017-04-17","description":"","custom_fields":[{"id":1,"name":"Subdivision","value":"EC"},{"id":4,"name":"Milepost","value":"0.0163"},{"id":17,"name":"Train ID","value":"242-16"},{"id":16,"name":"Locomotive ID","value":"4041"},{"id":130,"name":"Impact","value":""},{"id":150,"name":"Time of Event (Mountain Time)","value":"01:35:26"},{"id":151,"name":"Denver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8"/>
        <v>start /low /b %USERPROFILE%\Documents\GitHub\eaglep3\Utilities\DownloadLogsFromS3.py --loco 4041 --day 2017-04-17</v>
      </c>
      <c r="AN155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662</v>
      </c>
      <c r="B156" s="7">
        <v>4006</v>
      </c>
      <c r="C156" s="21" t="s">
        <v>214</v>
      </c>
      <c r="D156" s="21" t="s">
        <v>504</v>
      </c>
      <c r="E156" s="13">
        <v>42842.006458333337</v>
      </c>
      <c r="F156" s="13">
        <v>42842.021192129629</v>
      </c>
      <c r="G156" s="7">
        <v>1</v>
      </c>
      <c r="H156" s="21" t="s">
        <v>970</v>
      </c>
      <c r="I156" s="13">
        <v>42842.045775462961</v>
      </c>
      <c r="J156" s="7">
        <v>0</v>
      </c>
      <c r="K156" s="97" t="str">
        <f t="shared" si="55"/>
        <v>4005/4006</v>
      </c>
      <c r="L156" s="21" t="str">
        <f>VLOOKUP(A156,'Trips&amp;Operators'!$C$1:$G$99999,5,FALSE)</f>
        <v>STAMBAUGH JAMES</v>
      </c>
      <c r="M156" s="6">
        <f t="shared" si="56"/>
        <v>2.4583333331975155E-2</v>
      </c>
      <c r="N156" s="7">
        <f t="shared" si="54"/>
        <v>35.399999998044223</v>
      </c>
      <c r="O156" s="7"/>
      <c r="P156" s="7"/>
      <c r="Q156" s="22"/>
      <c r="R156" s="22"/>
      <c r="S156" s="31">
        <f t="shared" si="53"/>
        <v>1</v>
      </c>
      <c r="T156" s="46" t="str">
        <f t="shared" si="57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8"/>
        <v>https://d0f6bd738d7f1b3e5a7ca70fe4ff75f0.us-east-1.aws.found.io/app/kibana#/discover/Steve-Slow-Train-Analysis-(2080s-and-2083s)?_g=(refreshInterval:(display:Off,pause:!f,section:0,value:0),time:(from:'2017-04-16T23:09:18-0600',mode:absolute,to:'2017-04-17T02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6" s="183" t="str">
        <f t="shared" si="59"/>
        <v>N</v>
      </c>
      <c r="X156" s="183">
        <f t="shared" ref="X156:X162" si="71">VALUE(LEFT(AD156,4))-VALUE(LEFT(AD155,4))</f>
        <v>1</v>
      </c>
      <c r="Y156" s="62">
        <f t="shared" si="60"/>
        <v>4.4200000000000003E-2</v>
      </c>
      <c r="Z156" s="62">
        <f t="shared" si="70"/>
        <v>23.176100000000002</v>
      </c>
      <c r="AA156" s="62">
        <f t="shared" si="61"/>
        <v>23.131900000000002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2"/>
        <v>0243-16</v>
      </c>
      <c r="AE156" s="85" t="str">
        <f t="shared" si="63"/>
        <v>aws s3 cp s3://rtdc.mdm.uploadarchive.raw/RTDC4006/ "%USERPROFILE%\AppData\Local\Temp\OnboardLogs"\RTDC4006\2017-04-17 --exclude "*" --recursive --include "*20170417*" &amp; "%USERPROFILE%\Documents\GitHub\mrs-test-scripts\Headless Mode &amp; Sideloading\WalkAndUnGZ.bat" "%USERPROFILE%\AppData\Local\Temp\OnboardLogs"\RTDC4006\2017-04-17 &amp; aws s3 cp s3://rtdc.mdm.uploadarchive.raw/RTDC4006/ "%USERPROFILE%\AppData\Local\Temp\OnboardLogs"\RTDC4006\2017-04-18 --exclude "*" --recursive --include "*20170418*" &amp; "%USERPROFILE%\Documents\GitHub\mrs-test-scripts\Headless Mode &amp; Sideloading\WalkAndUnGZ.bat" "%USERPROFILE%\AppData\Local\Temp\OnboardLogs"\RTDC4006\2017-04-18</v>
      </c>
      <c r="AF156" s="82" t="str">
        <f t="shared" si="64"/>
        <v>"C:\Program Files (x86)\AstroGrep\AstroGrep.exe" /e /r /s /spath="%USERPROFILE%\AppData\Local\Temp\OnboardLogs" /stypes="app*4006*20170417*" /stext=" 07:.+((SYSTEM_STATE.+slice.+state.+changed )|(ment ac)|(multiple cpu faults)|(system.+state.+changed )|(\[timeout)|(PRM\|1\|D)|(kpr)|(kdp)|(\|lc)|(penalty))"</v>
      </c>
      <c r="AG156" s="1" t="str">
        <f t="shared" si="65"/>
        <v>EC</v>
      </c>
      <c r="AH156" s="86" t="str">
        <f t="shared" si="66"/>
        <v>"%USERPROFILE%\Documents\GitHub\eaglep3\Utilities\RefineRTDCRunTimes.py" --tripid 243-16 --locoid 4006 --swversion DE.1.0.9.0 --startMP 204:442 --initTime 2017-04-17T00:09:18 --startdatetime 2017-04-17T00:30:31 --delay 1 --endMP 204:231761 --enddatetime 2017-04-17T01:05:55 --enforcementcount 0 &gt;&gt;C:\Users\stu\Documents\GitHub\eaglep3-reporting\EC\2017-04-16-refined-times.txt</v>
      </c>
      <c r="AI156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{"issue":{"subject":"","project_id":79,"tracker_id":40,"status_id":1,"priority_id":2,"assigned_to_id":23,"start_date":"2017-04-17","description":"","custom_fields":[{"id":1,"name":"Subdivision","value":"EC"},{"id":4,"name":"Milepost","value":"23.1761"},{"id":17,"name":"Train ID","value":"243-16"},{"id":16,"name":"Locomotive ID","value":"4006"},{"id":130,"name":"Impact","value":""},{"id":150,"name":"Time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8"/>
        <v>start /low /b %USERPROFILE%\Documents\GitHub\eaglep3\Utilities\DownloadLogsFromS3.py --loco 4006 --day 2017-04-17</v>
      </c>
      <c r="AN156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857</v>
      </c>
      <c r="B157" s="7">
        <v>4005</v>
      </c>
      <c r="C157" s="21" t="s">
        <v>214</v>
      </c>
      <c r="D157" s="21" t="s">
        <v>635</v>
      </c>
      <c r="E157" s="13">
        <v>42842.05395833333</v>
      </c>
      <c r="F157" s="13">
        <v>42842.060208333336</v>
      </c>
      <c r="G157" s="7">
        <v>1</v>
      </c>
      <c r="H157" s="21" t="s">
        <v>197</v>
      </c>
      <c r="I157" s="13">
        <v>42842.086435185185</v>
      </c>
      <c r="J157" s="7">
        <v>0</v>
      </c>
      <c r="K157" s="97" t="str">
        <f t="shared" si="55"/>
        <v>4005/4006</v>
      </c>
      <c r="L157" s="21" t="str">
        <f>VLOOKUP(A157,'Trips&amp;Operators'!$C$1:$G$99999,5,FALSE)</f>
        <v>STAMBAUGH JAMES</v>
      </c>
      <c r="M157" s="6">
        <f t="shared" si="56"/>
        <v>2.622685184906004E-2</v>
      </c>
      <c r="N157" s="7">
        <f t="shared" si="54"/>
        <v>37.766666662646458</v>
      </c>
      <c r="O157" s="7"/>
      <c r="P157" s="7"/>
      <c r="Q157" s="22"/>
      <c r="R157" s="22"/>
      <c r="S157" s="31">
        <f t="shared" si="53"/>
        <v>1</v>
      </c>
      <c r="T157" s="46" t="str">
        <f t="shared" si="57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8"/>
        <v>https://d0f6bd738d7f1b3e5a7ca70fe4ff75f0.us-east-1.aws.found.io/app/kibana#/discover/Steve-Slow-Train-Analysis-(2080s-and-2083s)?_g=(refreshInterval:(display:Off,pause:!f,section:0,value:0),time:(from:'2017-04-17T00:17:42-0600',mode:absolute,to:'2017-04-17T03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7" s="183" t="str">
        <f t="shared" si="59"/>
        <v>N</v>
      </c>
      <c r="X157" s="183">
        <f t="shared" si="71"/>
        <v>1</v>
      </c>
      <c r="Y157" s="62">
        <f t="shared" si="60"/>
        <v>23.3004</v>
      </c>
      <c r="Z157" s="62">
        <f t="shared" si="70"/>
        <v>1.52E-2</v>
      </c>
      <c r="AA157" s="62">
        <f t="shared" si="61"/>
        <v>23.2852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2"/>
        <v>0244-16</v>
      </c>
      <c r="AE157" s="85" t="str">
        <f t="shared" si="63"/>
        <v>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 &amp; aws s3 cp s3://rtdc.mdm.uploadarchive.raw/RTDC4005/ "%USERPROFILE%\AppData\Local\Temp\OnboardLogs"\RTDC4005\2017-04-18 --exclude "*" --recursive --include "*20170418*" &amp; "%USERPROFILE%\Documents\GitHub\mrs-test-scripts\Headless Mode &amp; Sideloading\WalkAndUnGZ.bat" "%USERPROFILE%\AppData\Local\Temp\OnboardLogs"\RTDC4005\2017-04-18</v>
      </c>
      <c r="AF157" s="82" t="str">
        <f t="shared" si="64"/>
        <v>"C:\Program Files (x86)\AstroGrep\AstroGrep.exe" /e /r /s /spath="%USERPROFILE%\AppData\Local\Temp\OnboardLogs" /stypes="app*4005*20170417*" /stext=" 08:.+((SYSTEM_STATE.+slice.+state.+changed )|(ment ac)|(multiple cpu faults)|(system.+state.+changed )|(\[timeout)|(PRM\|1\|D)|(kpr)|(kdp)|(\|lc)|(penalty))"</v>
      </c>
      <c r="AG157" s="1" t="str">
        <f t="shared" si="65"/>
        <v>EC</v>
      </c>
      <c r="AH157" s="86" t="str">
        <f t="shared" si="66"/>
        <v>"%USERPROFILE%\Documents\GitHub\eaglep3\Utilities\RefineRTDCRunTimes.py" --tripid 244-16 --locoid 4005 --swversion DE.1.0.9.0 --startMP 204:233004 --initTime 2017-04-17T01:17:42 --startdatetime 2017-04-17T01:26:42 --delay 1 --endMP 204:152 --enddatetime 2017-04-17T02:04:28 --enforcementcount 0 &gt;&gt;C:\Users\stu\Documents\GitHub\eaglep3-reporting\EC\2017-04-16-refined-times.txt</v>
      </c>
      <c r="AI157" s="104" t="str">
        <f t="shared" si="67"/>
        <v>echo {"issue":{"subject":"","project_id":79,"tracker_id":40,"status_id":1,"priority_id":2,"assigned_to_id":23,"start_date":"2017-04-17","description":"","custom_fields":[{"id":1,"name":"Subdivision","value":"EC"},{"id":4,"name":"Milepost","value":"0.0152"},{"id":17,"name":"Train ID","value":"244-16"},{"id":16,"name":"Locomotive ID","value":"4005"},{"id":130,"name":"Impact","value":""},{"id":150,"name":"Time of Event (Mountain Time)","value":"02:04:28"},{"id":151,"name":"Denver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8"/>
        <v>start /low /b %USERPROFILE%\Documents\GitHub\eaglep3\Utilities\DownloadLogsFromS3.py --loco 4005 --day 2017-04-17</v>
      </c>
      <c r="AN157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08:04:28"},{"id":29,"name":"Sharepoint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683</v>
      </c>
      <c r="B158" s="7">
        <v>4045</v>
      </c>
      <c r="C158" s="21" t="s">
        <v>214</v>
      </c>
      <c r="D158" s="21" t="s">
        <v>622</v>
      </c>
      <c r="E158" s="13">
        <v>42841.232465277775</v>
      </c>
      <c r="F158" s="13">
        <v>42841.237256944441</v>
      </c>
      <c r="G158" s="7">
        <v>1</v>
      </c>
      <c r="H158" s="21" t="s">
        <v>905</v>
      </c>
      <c r="I158" s="13">
        <v>42841.246122685188</v>
      </c>
      <c r="J158" s="7">
        <v>0</v>
      </c>
      <c r="K158" s="97" t="str">
        <f t="shared" si="55"/>
        <v>4045/4046</v>
      </c>
      <c r="L158" s="21" t="str">
        <f>VLOOKUP(A158,'Trips&amp;Operators'!$C$1:$G$99999,5,FALSE)</f>
        <v>YORK EDGAR</v>
      </c>
      <c r="M158" s="6">
        <f t="shared" si="56"/>
        <v>8.8657407468417659E-3</v>
      </c>
      <c r="N158" s="7">
        <f t="shared" si="54"/>
        <v>12.766666675452143</v>
      </c>
      <c r="O158" s="7"/>
      <c r="P158" s="7"/>
      <c r="Q158" s="22"/>
      <c r="R158" s="22"/>
      <c r="S158" s="31">
        <f t="shared" ref="S158:S189" si="72">SUM(U158:U158)/IF(AG158="EC",12,1)</f>
        <v>1</v>
      </c>
      <c r="T158" s="46" t="str">
        <f t="shared" si="57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8"/>
        <v>https://d0f6bd738d7f1b3e5a7ca70fe4ff75f0.us-east-1.aws.found.io/app/kibana#/discover/Steve-Slow-Train-Analysis-(2080s-and-2083s)?_g=(refreshInterval:(display:Off,pause:!f,section:0,value:0),time:(from:'2017-04-16T04:34:45-0600',mode:absolute,to:'2017-04-16T06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8" s="183" t="str">
        <f t="shared" si="59"/>
        <v>N</v>
      </c>
      <c r="X158" s="183">
        <f t="shared" si="71"/>
        <v>1556</v>
      </c>
      <c r="Y158" s="62">
        <f t="shared" si="60"/>
        <v>5.8623000000000003</v>
      </c>
      <c r="Z158" s="62">
        <f t="shared" si="70"/>
        <v>7.5200000000000003E-2</v>
      </c>
      <c r="AA158" s="62">
        <f t="shared" si="61"/>
        <v>5.7871000000000006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2"/>
        <v>1800-16</v>
      </c>
      <c r="AE158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58" s="82" t="str">
        <f t="shared" si="64"/>
        <v>"C:\Program Files (x86)\AstroGrep\AstroGrep.exe" /e /r /s /spath="%USERPROFILE%\AppData\Local\Temp\OnboardLogs" /stypes="app*4045*20170416*" /stext=" 11:.+((SYSTEM_STATE.+slice.+state.+changed )|(ment ac)|(multiple cpu faults)|(system.+state.+changed )|(\[timeout)|(PRM\|1\|D)|(kpr)|(kdp)|(\|lc)|(penalty))"</v>
      </c>
      <c r="AG158" s="1" t="str">
        <f t="shared" si="65"/>
        <v>NW</v>
      </c>
      <c r="AH158" s="86" t="str">
        <f t="shared" si="66"/>
        <v>"%USERPROFILE%\Documents\GitHub\eaglep3\Utilities\RefineRTDCRunTimes.py" --tripid 1800-16 --locoid 4045 --swversion DE.1.0.9.0 --startMP 300:58623 --initTime 2017-04-16T05:34:45 --startdatetime 2017-04-16T05:41:39 --delay 1 --endMP 204:752 --enddatetime 2017-04-16T05:54:25 --enforcementcount 0 &gt;&gt;C:\Users\stu\Documents\GitHub\eaglep3-reporting\EC\2017-04-16-refined-times.txt</v>
      </c>
      <c r="AI158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{"issue":{"subject":"","project_id":79,"tracker_id":40,"status_id":1,"priority_id":2,"assigned_to_id":23,"start_date":"2017-04-16","description":"","custom_fields":[{"id":1,"name":"Subdivision","value":"NW"},{"id":4,"name":"Milepost","value":"0.0752"},{"id":17,"name":"Train ID","value":"1800-16"},{"id":16,"name":"Locomotive ID","value":"4045"},{"id":130,"name":"Impact","value":""},{"id":150,"name":"Time of Event (Mountain Time)","value":"05:54:25"},{"id":151,"name":"Denver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68"/>
        <v>start /low /b %USERPROFILE%\Documents\GitHub\eaglep3\Utilities\DownloadLogsFromS3.py --loco 4045 --day 2017-04-16</v>
      </c>
      <c r="AN158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691</v>
      </c>
      <c r="B159" s="7">
        <v>4046</v>
      </c>
      <c r="C159" s="21" t="s">
        <v>214</v>
      </c>
      <c r="D159" s="21" t="s">
        <v>617</v>
      </c>
      <c r="E159" s="13">
        <v>42841.247175925928</v>
      </c>
      <c r="F159" s="13">
        <v>42841.265162037038</v>
      </c>
      <c r="G159" s="7">
        <v>1</v>
      </c>
      <c r="H159" s="21" t="s">
        <v>625</v>
      </c>
      <c r="I159" s="13">
        <v>42841.273553240739</v>
      </c>
      <c r="J159" s="7">
        <v>0</v>
      </c>
      <c r="K159" s="97" t="str">
        <f t="shared" si="55"/>
        <v>4045/4046</v>
      </c>
      <c r="L159" s="21" t="str">
        <f>VLOOKUP(A159,'Trips&amp;Operators'!$C$1:$G$99999,5,FALSE)</f>
        <v>YORK EDGAR</v>
      </c>
      <c r="M159" s="6">
        <f t="shared" si="56"/>
        <v>8.3912037007394247E-3</v>
      </c>
      <c r="N159" s="7">
        <f t="shared" si="54"/>
        <v>12.083333329064772</v>
      </c>
      <c r="O159" s="7"/>
      <c r="P159" s="7"/>
      <c r="Q159" s="22"/>
      <c r="R159" s="22"/>
      <c r="S159" s="31">
        <f t="shared" si="72"/>
        <v>1</v>
      </c>
      <c r="T159" s="46" t="str">
        <f t="shared" si="57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8"/>
        <v>https://d0f6bd738d7f1b3e5a7ca70fe4ff75f0.us-east-1.aws.found.io/app/kibana#/discover/Steve-Slow-Train-Analysis-(2080s-and-2083s)?_g=(refreshInterval:(display:Off,pause:!f,section:0,value:0),time:(from:'2017-04-16T04:55:56-0600',mode:absolute,to:'2017-04-16T07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9" s="183" t="str">
        <f t="shared" si="59"/>
        <v>N</v>
      </c>
      <c r="X159" s="183">
        <f t="shared" si="71"/>
        <v>1</v>
      </c>
      <c r="Y159" s="62">
        <f t="shared" si="60"/>
        <v>0.1028</v>
      </c>
      <c r="Z159" s="62">
        <f t="shared" si="70"/>
        <v>5.8939000000000004</v>
      </c>
      <c r="AA159" s="62">
        <f t="shared" si="61"/>
        <v>5.7911000000000001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2"/>
        <v>1801-16</v>
      </c>
      <c r="AE159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59" s="82" t="str">
        <f t="shared" si="64"/>
        <v>"C:\Program Files (x86)\AstroGrep\AstroGrep.exe" /e /r /s /spath="%USERPROFILE%\AppData\Local\Temp\OnboardLogs" /stypes="app*4046*20170416*" /stext=" 12:.+((SYSTEM_STATE.+slice.+state.+changed )|(ment ac)|(multiple cpu faults)|(system.+state.+changed )|(\[timeout)|(PRM\|1\|D)|(kpr)|(kdp)|(\|lc)|(penalty))"</v>
      </c>
      <c r="AG159" s="1" t="str">
        <f t="shared" si="65"/>
        <v>NW</v>
      </c>
      <c r="AH159" s="86" t="str">
        <f t="shared" si="66"/>
        <v>"%USERPROFILE%\Documents\GitHub\eaglep3\Utilities\RefineRTDCRunTimes.py" --tripid 1801-16 --locoid 4046 --swversion DE.1.0.9.0 --startMP 204:1028 --initTime 2017-04-16T05:55:56 --startdatetime 2017-04-16T06:21:50 --delay 1 --endMP 300:58939 --enddatetime 2017-04-16T06:33:55 --enforcementcount 0 &gt;&gt;C:\Users\stu\Documents\GitHub\eaglep3-reporting\EC\2017-04-16-refined-times.txt</v>
      </c>
      <c r="AI159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{"issue":{"subject":"","project_id":79,"tracker_id":40,"status_id":1,"priority_id":2,"assigned_to_id":23,"start_date":"2017-04-16","description":"","custom_fields":[{"id":1,"name":"Subdivision","value":"NW"},{"id":4,"name":"Milepost","value":"5.8939"},{"id":17,"name":"Train ID","value":"1801-16"},{"id":16,"name":"Locomotive ID","value":"4046"},{"id":130,"name":"Impact","value":""},{"id":150,"name":"Time of Event (Mountain Time)","value":"06:33:55"},{"id":151,"name":"Denver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8"/>
        <v>start /low /b %USERPROFILE%\Documents\GitHub\eaglep3\Utilities\DownloadLogsFromS3.py --loco 4046 --day 2017-04-16</v>
      </c>
      <c r="AN159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701</v>
      </c>
      <c r="B160" s="7">
        <v>4045</v>
      </c>
      <c r="C160" s="21" t="s">
        <v>214</v>
      </c>
      <c r="D160" s="21" t="s">
        <v>906</v>
      </c>
      <c r="E160" s="13">
        <v>42841.274722222224</v>
      </c>
      <c r="F160" s="13">
        <v>42841.278819444444</v>
      </c>
      <c r="G160" s="7">
        <v>1</v>
      </c>
      <c r="H160" s="21" t="s">
        <v>907</v>
      </c>
      <c r="I160" s="13">
        <v>42841.287731481483</v>
      </c>
      <c r="J160" s="7">
        <v>0</v>
      </c>
      <c r="K160" s="97" t="str">
        <f t="shared" si="55"/>
        <v>4045/4046</v>
      </c>
      <c r="L160" s="21" t="str">
        <f>VLOOKUP(A160,'Trips&amp;Operators'!$C$1:$G$99999,5,FALSE)</f>
        <v>YORK EDGAR</v>
      </c>
      <c r="M160" s="6">
        <f t="shared" si="56"/>
        <v>8.9120370394084603E-3</v>
      </c>
      <c r="N160" s="7">
        <f t="shared" si="54"/>
        <v>12.833333336748183</v>
      </c>
      <c r="O160" s="7"/>
      <c r="P160" s="7"/>
      <c r="Q160" s="22"/>
      <c r="R160" s="22"/>
      <c r="S160" s="31">
        <f t="shared" si="72"/>
        <v>1</v>
      </c>
      <c r="T160" s="46" t="str">
        <f t="shared" si="57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8"/>
        <v>https://d0f6bd738d7f1b3e5a7ca70fe4ff75f0.us-east-1.aws.found.io/app/kibana#/discover/Steve-Slow-Train-Analysis-(2080s-and-2083s)?_g=(refreshInterval:(display:Off,pause:!f,section:0,value:0),time:(from:'2017-04-16T05:35:36-0600',mode:absolute,to:'2017-04-16T07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83" t="str">
        <f t="shared" si="59"/>
        <v>N</v>
      </c>
      <c r="X160" s="183">
        <f t="shared" si="71"/>
        <v>1</v>
      </c>
      <c r="Y160" s="62">
        <f t="shared" si="60"/>
        <v>5.8616999999999999</v>
      </c>
      <c r="Z160" s="62">
        <f t="shared" si="70"/>
        <v>7.3400000000000007E-2</v>
      </c>
      <c r="AA160" s="62">
        <f t="shared" si="61"/>
        <v>5.7882999999999996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2"/>
        <v>1802-16</v>
      </c>
      <c r="AE160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60" s="82" t="str">
        <f t="shared" si="64"/>
        <v>"C:\Program Files (x86)\AstroGrep\AstroGrep.exe" /e /r /s /spath="%USERPROFILE%\AppData\Local\Temp\OnboardLogs" /stypes="app*4045*20170416*" /stext=" 12:.+((SYSTEM_STATE.+slice.+state.+changed )|(ment ac)|(multiple cpu faults)|(system.+state.+changed )|(\[timeout)|(PRM\|1\|D)|(kpr)|(kdp)|(\|lc)|(penalty))"</v>
      </c>
      <c r="AG160" s="1" t="str">
        <f t="shared" si="65"/>
        <v>NW</v>
      </c>
      <c r="AH160" s="86" t="str">
        <f t="shared" si="66"/>
        <v>"%USERPROFILE%\Documents\GitHub\eaglep3\Utilities\RefineRTDCRunTimes.py" --tripid 1802-16 --locoid 4045 --swversion DE.1.0.9.0 --startMP 300:58617 --initTime 2017-04-16T06:35:36 --startdatetime 2017-04-16T06:41:30 --delay 1 --endMP 204:734 --enddatetime 2017-04-16T06:54:20 --enforcementcount 0 &gt;&gt;C:\Users\stu\Documents\GitHub\eaglep3-reporting\EC\2017-04-16-refined-times.txt</v>
      </c>
      <c r="AI160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{"issue":{"subject":"","project_id":79,"tracker_id":40,"status_id":1,"priority_id":2,"assigned_to_id":23,"start_date":"2017-04-16","description":"","custom_fields":[{"id":1,"name":"Subdivision","value":"NW"},{"id":4,"name":"Milepost","value":"0.0734"},{"id":17,"name":"Train ID","value":"1802-16"},{"id":16,"name":"Locomotive ID","value":"4045"},{"id":130,"name":"Impact","value":""},{"id":150,"name":"Time of Event (Mountain Time)","value":"06:54:20"},{"id":151,"name":"Denver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68"/>
        <v>start /low /b %USERPROFILE%\Documents\GitHub\eaglep3\Utilities\DownloadLogsFromS3.py --loco 4045 --day 2017-04-16</v>
      </c>
      <c r="AN160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707</v>
      </c>
      <c r="B161" s="7">
        <v>4046</v>
      </c>
      <c r="C161" s="21" t="s">
        <v>214</v>
      </c>
      <c r="D161" s="21" t="s">
        <v>619</v>
      </c>
      <c r="E161" s="13">
        <v>42841.288807870369</v>
      </c>
      <c r="F161" s="13">
        <v>42841.306585648148</v>
      </c>
      <c r="G161" s="7">
        <v>1</v>
      </c>
      <c r="H161" s="21" t="s">
        <v>515</v>
      </c>
      <c r="I161" s="13">
        <v>42841.315243055556</v>
      </c>
      <c r="J161" s="7">
        <v>0</v>
      </c>
      <c r="K161" s="97" t="str">
        <f t="shared" si="55"/>
        <v>4045/4046</v>
      </c>
      <c r="L161" s="21" t="str">
        <f>VLOOKUP(A161,'Trips&amp;Operators'!$C$1:$G$99999,5,FALSE)</f>
        <v>YORK EDGAR</v>
      </c>
      <c r="M161" s="6">
        <f t="shared" si="56"/>
        <v>8.6574074084637687E-3</v>
      </c>
      <c r="N161" s="7">
        <f t="shared" si="54"/>
        <v>12.466666668187827</v>
      </c>
      <c r="O161" s="7"/>
      <c r="P161" s="7"/>
      <c r="Q161" s="22"/>
      <c r="R161" s="22"/>
      <c r="S161" s="31">
        <f t="shared" si="72"/>
        <v>1</v>
      </c>
      <c r="T161" s="46" t="str">
        <f t="shared" si="57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8"/>
        <v>https://d0f6bd738d7f1b3e5a7ca70fe4ff75f0.us-east-1.aws.found.io/app/kibana#/discover/Steve-Slow-Train-Analysis-(2080s-and-2083s)?_g=(refreshInterval:(display:Off,pause:!f,section:0,value:0),time:(from:'2017-04-16T05:55:53-0600',mode:absolute,to:'2017-04-16T08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1" s="183" t="str">
        <f t="shared" si="59"/>
        <v>N</v>
      </c>
      <c r="X161" s="183">
        <f t="shared" si="71"/>
        <v>1</v>
      </c>
      <c r="Y161" s="62">
        <f t="shared" si="60"/>
        <v>0.10249999999999999</v>
      </c>
      <c r="Z161" s="62">
        <f t="shared" si="70"/>
        <v>5.8940999999999999</v>
      </c>
      <c r="AA161" s="62">
        <f t="shared" si="61"/>
        <v>5.7915999999999999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2"/>
        <v>1803-16</v>
      </c>
      <c r="AE161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61" s="82" t="str">
        <f t="shared" si="64"/>
        <v>"C:\Program Files (x86)\AstroGrep\AstroGrep.exe" /e /r /s /spath="%USERPROFILE%\AppData\Local\Temp\OnboardLogs" /stypes="app*4046*20170416*" /stext=" 13:.+((SYSTEM_STATE.+slice.+state.+changed )|(ment ac)|(multiple cpu faults)|(system.+state.+changed )|(\[timeout)|(PRM\|1\|D)|(kpr)|(kdp)|(\|lc)|(penalty))"</v>
      </c>
      <c r="AG161" s="1" t="str">
        <f t="shared" si="65"/>
        <v>NW</v>
      </c>
      <c r="AH161" s="86" t="str">
        <f t="shared" si="66"/>
        <v>"%USERPROFILE%\Documents\GitHub\eaglep3\Utilities\RefineRTDCRunTimes.py" --tripid 1803-16 --locoid 4046 --swversion DE.1.0.9.0 --startMP 204:1025 --initTime 2017-04-16T06:55:53 --startdatetime 2017-04-16T07:21:29 --delay 1 --endMP 300:58941 --enddatetime 2017-04-16T07:33:57 --enforcementcount 0 &gt;&gt;C:\Users\stu\Documents\GitHub\eaglep3-reporting\EC\2017-04-16-refined-times.txt</v>
      </c>
      <c r="AI161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{"issue":{"subject":"","project_id":79,"tracker_id":40,"status_id":1,"priority_id":2,"assigned_to_id":23,"start_date":"2017-04-16","description":"","custom_fields":[{"id":1,"name":"Subdivision","value":"NW"},{"id":4,"name":"Milepost","value":"5.8941"},{"id":17,"name":"Train ID","value":"1803-16"},{"id":16,"name":"Locomotive ID","value":"4046"},{"id":130,"name":"Impact","value":""},{"id":150,"name":"Time of Event (Mountain Time)","value":"07:33:57"},{"id":151,"name":"Denver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8"/>
        <v>start /low /b %USERPROFILE%\Documents\GitHub\eaglep3\Utilities\DownloadLogsFromS3.py --loco 4046 --day 2017-04-16</v>
      </c>
      <c r="AN161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711</v>
      </c>
      <c r="B162" s="7">
        <v>4045</v>
      </c>
      <c r="C162" s="21" t="s">
        <v>214</v>
      </c>
      <c r="D162" s="21" t="s">
        <v>566</v>
      </c>
      <c r="E162" s="13">
        <v>42841.31659722222</v>
      </c>
      <c r="F162" s="13">
        <v>42841.320833333331</v>
      </c>
      <c r="G162" s="7">
        <v>1</v>
      </c>
      <c r="H162" s="21" t="s">
        <v>908</v>
      </c>
      <c r="I162" s="13">
        <v>42841.329016203701</v>
      </c>
      <c r="J162" s="7">
        <v>0</v>
      </c>
      <c r="K162" s="97" t="str">
        <f t="shared" si="55"/>
        <v>4045/4046</v>
      </c>
      <c r="L162" s="21" t="str">
        <f>VLOOKUP(A162,'Trips&amp;Operators'!$C$1:$G$99999,5,FALSE)</f>
        <v>YORK EDGAR</v>
      </c>
      <c r="M162" s="6">
        <f t="shared" si="56"/>
        <v>8.182870369637385E-3</v>
      </c>
      <c r="N162" s="7">
        <f t="shared" si="54"/>
        <v>11.783333332277834</v>
      </c>
      <c r="O162" s="7"/>
      <c r="P162" s="7"/>
      <c r="Q162" s="22"/>
      <c r="R162" s="22"/>
      <c r="S162" s="31">
        <f t="shared" si="72"/>
        <v>1</v>
      </c>
      <c r="T162" s="46" t="str">
        <f t="shared" si="57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8"/>
        <v>https://d0f6bd738d7f1b3e5a7ca70fe4ff75f0.us-east-1.aws.found.io/app/kibana#/discover/Steve-Slow-Train-Analysis-(2080s-and-2083s)?_g=(refreshInterval:(display:Off,pause:!f,section:0,value:0),time:(from:'2017-04-16T06:35:54-0600',mode:absolute,to:'2017-04-16T08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2" s="183" t="str">
        <f t="shared" si="59"/>
        <v>N</v>
      </c>
      <c r="X162" s="183">
        <f t="shared" si="71"/>
        <v>1</v>
      </c>
      <c r="Y162" s="62">
        <f t="shared" si="60"/>
        <v>5.8619000000000003</v>
      </c>
      <c r="Z162" s="62">
        <f t="shared" si="70"/>
        <v>7.4099999999999999E-2</v>
      </c>
      <c r="AA162" s="62">
        <f t="shared" si="61"/>
        <v>5.7878000000000007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2"/>
        <v>1804-16</v>
      </c>
      <c r="AE162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62" s="82" t="str">
        <f t="shared" si="64"/>
        <v>"C:\Program Files (x86)\AstroGrep\AstroGrep.exe" /e /r /s /spath="%USERPROFILE%\AppData\Local\Temp\OnboardLogs" /stypes="app*4045*20170416*" /stext=" 13:.+((SYSTEM_STATE.+slice.+state.+changed )|(ment ac)|(multiple cpu faults)|(system.+state.+changed )|(\[timeout)|(PRM\|1\|D)|(kpr)|(kdp)|(\|lc)|(penalty))"</v>
      </c>
      <c r="AG162" s="1" t="str">
        <f t="shared" si="65"/>
        <v>NW</v>
      </c>
      <c r="AH162" s="86" t="str">
        <f t="shared" si="66"/>
        <v>"%USERPROFILE%\Documents\GitHub\eaglep3\Utilities\RefineRTDCRunTimes.py" --tripid 1804-16 --locoid 4045 --swversion DE.1.0.9.0 --startMP 300:58619 --initTime 2017-04-16T07:35:54 --startdatetime 2017-04-16T07:42:00 --delay 1 --endMP 204:741 --enddatetime 2017-04-16T07:53:47 --enforcementcount 0 &gt;&gt;C:\Users\stu\Documents\GitHub\eaglep3-reporting\EC\2017-04-16-refined-times.txt</v>
      </c>
      <c r="AI162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{"issue":{"subject":"","project_id":79,"tracker_id":40,"status_id":1,"priority_id":2,"assigned_to_id":23,"start_date":"2017-04-16","description":"","custom_fields":[{"id":1,"name":"Subdivision","value":"NW"},{"id":4,"name":"Milepost","value":"0.0741"},{"id":17,"name":"Train ID","value":"1804-16"},{"id":16,"name":"Locomotive ID","value":"4045"},{"id":130,"name":"Impact","value":""},{"id":150,"name":"Time of Event (Mountain Time)","value":"07:53:47"},{"id":151,"name":"Denver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8"/>
        <v>start /low /b %USERPROFILE%\Documents\GitHub\eaglep3\Utilities\DownloadLogsFromS3.py --loco 4045 --day 2017-04-16</v>
      </c>
      <c r="AN162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716</v>
      </c>
      <c r="B163" s="7">
        <v>4046</v>
      </c>
      <c r="C163" s="21" t="s">
        <v>214</v>
      </c>
      <c r="D163" s="21" t="s">
        <v>624</v>
      </c>
      <c r="E163" s="13">
        <v>42841.330081018517</v>
      </c>
      <c r="F163" s="13">
        <v>42841.348298611112</v>
      </c>
      <c r="G163" s="7">
        <v>0</v>
      </c>
      <c r="H163" s="21" t="s">
        <v>909</v>
      </c>
      <c r="I163" s="13">
        <v>42841.35664351852</v>
      </c>
      <c r="J163" s="7">
        <v>0</v>
      </c>
      <c r="K163" s="97" t="str">
        <f t="shared" si="55"/>
        <v>4045/4046</v>
      </c>
      <c r="L163" s="21" t="str">
        <f>VLOOKUP(A163,'Trips&amp;Operators'!$C$1:$G$99999,5,FALSE)</f>
        <v>YORK EDGAR</v>
      </c>
      <c r="M163" s="6">
        <f t="shared" si="56"/>
        <v>8.3449074081727304E-3</v>
      </c>
      <c r="N163" s="7">
        <f t="shared" si="54"/>
        <v>12.016666667768732</v>
      </c>
      <c r="O163" s="7"/>
      <c r="P163" s="7"/>
      <c r="Q163" s="22"/>
      <c r="R163" s="22"/>
      <c r="S163" s="31">
        <f t="shared" si="72"/>
        <v>1</v>
      </c>
      <c r="T163" s="46" t="str">
        <f t="shared" si="57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8"/>
        <v>https://d0f6bd738d7f1b3e5a7ca70fe4ff75f0.us-east-1.aws.found.io/app/kibana#/discover/Steve-Slow-Train-Analysis-(2080s-and-2083s)?_g=(refreshInterval:(display:Off,pause:!f,section:0,value:0),time:(from:'2017-04-16T06:55:19-0600',mode:absolute,to:'2017-04-16T09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3" s="183" t="str">
        <f t="shared" si="59"/>
        <v>N</v>
      </c>
      <c r="X163" s="183">
        <f t="shared" ref="X163:X194" si="73">VALUE(LEFT(AD163,4))-VALUE(LEFT(AD162,4))</f>
        <v>1</v>
      </c>
      <c r="Y163" s="62">
        <f t="shared" si="60"/>
        <v>0.1041</v>
      </c>
      <c r="Z163" s="62">
        <f t="shared" si="70"/>
        <v>5.8948</v>
      </c>
      <c r="AA163" s="62">
        <f t="shared" si="61"/>
        <v>5.7907000000000002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2"/>
        <v>1805-16</v>
      </c>
      <c r="AE163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63" s="82" t="str">
        <f t="shared" si="64"/>
        <v>"C:\Program Files (x86)\AstroGrep\AstroGrep.exe" /e /r /s /spath="%USERPROFILE%\AppData\Local\Temp\OnboardLogs" /stypes="app*4046*20170416*" /stext=" 14:.+((SYSTEM_STATE.+slice.+state.+changed )|(ment ac)|(multiple cpu faults)|(system.+state.+changed )|(\[timeout)|(PRM\|1\|D)|(kpr)|(kdp)|(\|lc)|(penalty))"</v>
      </c>
      <c r="AG163" s="1" t="str">
        <f t="shared" si="65"/>
        <v>NW</v>
      </c>
      <c r="AH163" s="86" t="str">
        <f t="shared" si="66"/>
        <v>"%USERPROFILE%\Documents\GitHub\eaglep3\Utilities\RefineRTDCRunTimes.py" --tripid 1805-16 --locoid 4046 --swversion DE.1.0.9.0 --startMP 204:1041 --initTime 2017-04-16T07:55:19 --startdatetime 2017-04-16T08:21:33 --delay 0 --endMP 300:58948 --enddatetime 2017-04-16T08:33:34 --enforcementcount 0 &gt;&gt;C:\Users\stu\Documents\GitHub\eaglep3-reporting\EC\2017-04-16-refined-times.txt</v>
      </c>
      <c r="AI163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{"issue":{"subject":"","project_id":79,"tracker_id":40,"status_id":1,"priority_id":2,"assigned_to_id":23,"start_date":"2017-04-16","description":"","custom_fields":[{"id":1,"name":"Subdivision","value":"NW"},{"id":4,"name":"Milepost","value":"5.8948"},{"id":17,"name":"Train ID","value":"1805-16"},{"id":16,"name":"Locomotive ID","value":"4046"},{"id":130,"name":"Impact","value":""},{"id":150,"name":"Time of Event (Mountain Time)","value":"08:33:34"},{"id":151,"name":"Denver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8"/>
        <v>start /low /b %USERPROFILE%\Documents\GitHub\eaglep3\Utilities\DownloadLogsFromS3.py --loco 4046 --day 2017-04-16</v>
      </c>
      <c r="AN163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720</v>
      </c>
      <c r="B164" s="7">
        <v>4045</v>
      </c>
      <c r="C164" s="21" t="s">
        <v>214</v>
      </c>
      <c r="D164" s="21" t="s">
        <v>910</v>
      </c>
      <c r="E164" s="13">
        <v>42841.357939814814</v>
      </c>
      <c r="F164" s="13">
        <v>42841.362407407411</v>
      </c>
      <c r="G164" s="7">
        <v>0</v>
      </c>
      <c r="H164" s="21" t="s">
        <v>594</v>
      </c>
      <c r="I164" s="13">
        <v>42841.370729166665</v>
      </c>
      <c r="J164" s="7">
        <v>0</v>
      </c>
      <c r="K164" s="97" t="str">
        <f t="shared" si="55"/>
        <v>4045/4046</v>
      </c>
      <c r="L164" s="21" t="str">
        <f>VLOOKUP(A164,'Trips&amp;Operators'!$C$1:$G$99999,5,FALSE)</f>
        <v>YORK EDGAR</v>
      </c>
      <c r="M164" s="6">
        <f t="shared" si="56"/>
        <v>8.3217592546134256E-3</v>
      </c>
      <c r="N164" s="7">
        <f t="shared" si="54"/>
        <v>11.983333326643333</v>
      </c>
      <c r="O164" s="7"/>
      <c r="P164" s="7"/>
      <c r="Q164" s="22"/>
      <c r="R164" s="22"/>
      <c r="S164" s="31">
        <f t="shared" si="72"/>
        <v>1</v>
      </c>
      <c r="T164" s="46" t="str">
        <f t="shared" si="57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8"/>
        <v>https://d0f6bd738d7f1b3e5a7ca70fe4ff75f0.us-east-1.aws.found.io/app/kibana#/discover/Steve-Slow-Train-Analysis-(2080s-and-2083s)?_g=(refreshInterval:(display:Off,pause:!f,section:0,value:0),time:(from:'2017-04-16T07:35:26-0600',mode:absolute,to:'2017-04-16T09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4" s="183" t="str">
        <f t="shared" si="59"/>
        <v>N</v>
      </c>
      <c r="X164" s="183">
        <f t="shared" si="73"/>
        <v>1</v>
      </c>
      <c r="Y164" s="62">
        <f t="shared" si="60"/>
        <v>5.8628</v>
      </c>
      <c r="Z164" s="62">
        <f t="shared" si="70"/>
        <v>7.5399999999999995E-2</v>
      </c>
      <c r="AA164" s="62">
        <f t="shared" si="61"/>
        <v>5.7873999999999999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2"/>
        <v>1806-16</v>
      </c>
      <c r="AE164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64" s="82" t="str">
        <f t="shared" si="64"/>
        <v>"C:\Program Files (x86)\AstroGrep\AstroGrep.exe" /e /r /s /spath="%USERPROFILE%\AppData\Local\Temp\OnboardLogs" /stypes="app*4045*20170416*" /stext=" 14:.+((SYSTEM_STATE.+slice.+state.+changed )|(ment ac)|(multiple cpu faults)|(system.+state.+changed )|(\[timeout)|(PRM\|1\|D)|(kpr)|(kdp)|(\|lc)|(penalty))"</v>
      </c>
      <c r="AG164" s="1" t="str">
        <f t="shared" si="65"/>
        <v>NW</v>
      </c>
      <c r="AH164" s="86" t="str">
        <f t="shared" si="66"/>
        <v>"%USERPROFILE%\Documents\GitHub\eaglep3\Utilities\RefineRTDCRunTimes.py" --tripid 1806-16 --locoid 4045 --swversion DE.1.0.9.0 --startMP 300:58628 --initTime 2017-04-16T08:35:26 --startdatetime 2017-04-16T08:41:52 --delay 0 --endMP 204:754 --enddatetime 2017-04-16T08:53:51 --enforcementcount 0 &gt;&gt;C:\Users\stu\Documents\GitHub\eaglep3-reporting\EC\2017-04-16-refined-times.txt</v>
      </c>
      <c r="AI164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{"issue":{"subject":"","project_id":79,"tracker_id":40,"status_id":1,"priority_id":2,"assigned_to_id":23,"start_date":"2017-04-16","description":"","custom_fields":[{"id":1,"name":"Subdivision","value":"NW"},{"id":4,"name":"Milepost","value":"0.0754"},{"id":17,"name":"Train ID","value":"1806-16"},{"id":16,"name":"Locomotive ID","value":"4045"},{"id":130,"name":"Impact","value":""},{"id":150,"name":"Time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8"/>
        <v>start /low /b %USERPROFILE%\Documents\GitHub\eaglep3\Utilities\DownloadLogsFromS3.py --loco 4045 --day 2017-04-16</v>
      </c>
      <c r="AN164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14:53:51"},{"id":29,"name":"Sharepoint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3" t="s">
        <v>725</v>
      </c>
      <c r="B165" s="7">
        <v>4046</v>
      </c>
      <c r="C165" s="21" t="s">
        <v>214</v>
      </c>
      <c r="D165" s="21" t="s">
        <v>624</v>
      </c>
      <c r="E165" s="13">
        <v>42841.371770833335</v>
      </c>
      <c r="F165" s="13">
        <v>42841.389733796299</v>
      </c>
      <c r="G165" s="7">
        <v>1</v>
      </c>
      <c r="H165" s="21" t="s">
        <v>535</v>
      </c>
      <c r="I165" s="13">
        <v>42841.398240740738</v>
      </c>
      <c r="J165" s="7">
        <v>0</v>
      </c>
      <c r="K165" s="97" t="str">
        <f t="shared" si="55"/>
        <v>4045/4046</v>
      </c>
      <c r="L165" s="21" t="str">
        <f>VLOOKUP(A165,'Trips&amp;Operators'!$C$1:$G$99999,5,FALSE)</f>
        <v>YORK EDGAR</v>
      </c>
      <c r="M165" s="6">
        <f t="shared" si="56"/>
        <v>8.5069444394321181E-3</v>
      </c>
      <c r="N165" s="7">
        <f t="shared" si="54"/>
        <v>12.24999999278225</v>
      </c>
      <c r="O165" s="7"/>
      <c r="P165" s="7"/>
      <c r="Q165" s="22"/>
      <c r="R165" s="22"/>
      <c r="S165" s="31">
        <f t="shared" si="72"/>
        <v>1</v>
      </c>
      <c r="T165" s="46" t="str">
        <f t="shared" si="57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8"/>
        <v>https://d0f6bd738d7f1b3e5a7ca70fe4ff75f0.us-east-1.aws.found.io/app/kibana#/discover/Steve-Slow-Train-Analysis-(2080s-and-2083s)?_g=(refreshInterval:(display:Off,pause:!f,section:0,value:0),time:(from:'2017-04-16T07:55:21-0600',mode:absolute,to:'2017-04-16T10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5" s="183" t="str">
        <f t="shared" si="59"/>
        <v>N</v>
      </c>
      <c r="X165" s="183">
        <f t="shared" si="73"/>
        <v>1</v>
      </c>
      <c r="Y165" s="62">
        <f t="shared" si="60"/>
        <v>0.1041</v>
      </c>
      <c r="Z165" s="62">
        <f t="shared" si="70"/>
        <v>5.8936999999999999</v>
      </c>
      <c r="AA165" s="62">
        <f t="shared" si="61"/>
        <v>5.7896000000000001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2"/>
        <v>1807-16</v>
      </c>
      <c r="AE165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65" s="82" t="str">
        <f t="shared" si="64"/>
        <v>"C:\Program Files (x86)\AstroGrep\AstroGrep.exe" /e /r /s /spath="%USERPROFILE%\AppData\Local\Temp\OnboardLogs" /stypes="app*4046*20170416*" /stext=" 15:.+((SYSTEM_STATE.+slice.+state.+changed )|(ment ac)|(multiple cpu faults)|(system.+state.+changed )|(\[timeout)|(PRM\|1\|D)|(kpr)|(kdp)|(\|lc)|(penalty))"</v>
      </c>
      <c r="AG165" s="1" t="str">
        <f t="shared" si="65"/>
        <v>NW</v>
      </c>
      <c r="AH165" s="86" t="str">
        <f t="shared" si="66"/>
        <v>"%USERPROFILE%\Documents\GitHub\eaglep3\Utilities\RefineRTDCRunTimes.py" --tripid 1807-16 --locoid 4046 --swversion DE.1.0.9.0 --startMP 204:1041 --initTime 2017-04-16T08:55:21 --startdatetime 2017-04-16T09:21:13 --delay 1 --endMP 300:58937 --enddatetime 2017-04-16T09:33:28 --enforcementcount 0 &gt;&gt;C:\Users\stu\Documents\GitHub\eaglep3-reporting\EC\2017-04-16-refined-times.txt</v>
      </c>
      <c r="AI165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{"issue":{"subject":"","project_id":79,"tracker_id":40,"status_id":1,"priority_id":2,"assigned_to_id":23,"start_date":"2017-04-16","description":"","custom_fields":[{"id":1,"name":"Subdivision","value":"NW"},{"id":4,"name":"Milepost","value":"5.8937"},{"id":17,"name":"Train ID","value":"1807-16"},{"id":16,"name":"Locomotive ID","value":"4046"},{"id":130,"name":"Impact","value":""},{"id":150,"name":"Time of Event (Mountain Time)","value":"09:33:28"},{"id":151,"name":"Denver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68"/>
        <v>start /low /b %USERPROFILE%\Documents\GitHub\eaglep3\Utilities\DownloadLogsFromS3.py --loco 4046 --day 2017-04-16</v>
      </c>
      <c r="AN165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730</v>
      </c>
      <c r="B166" s="7">
        <v>4045</v>
      </c>
      <c r="C166" s="21" t="s">
        <v>214</v>
      </c>
      <c r="D166" s="21" t="s">
        <v>626</v>
      </c>
      <c r="E166" s="13">
        <v>42841.399456018517</v>
      </c>
      <c r="F166" s="13">
        <v>42841.403391203705</v>
      </c>
      <c r="G166" s="7">
        <v>0</v>
      </c>
      <c r="H166" s="21" t="s">
        <v>911</v>
      </c>
      <c r="I166" s="13">
        <v>42841.412395833337</v>
      </c>
      <c r="J166" s="7">
        <v>0</v>
      </c>
      <c r="K166" s="97" t="str">
        <f t="shared" si="55"/>
        <v>4045/4046</v>
      </c>
      <c r="L166" s="21" t="str">
        <f>VLOOKUP(A166,'Trips&amp;Operators'!$C$1:$G$99999,5,FALSE)</f>
        <v>YORK EDGAR</v>
      </c>
      <c r="M166" s="6">
        <f t="shared" si="56"/>
        <v>9.0046296318178065E-3</v>
      </c>
      <c r="N166" s="7">
        <f t="shared" ref="N166:N197" si="74">24*60*SUM($M166:$M166)</f>
        <v>12.966666669817641</v>
      </c>
      <c r="O166" s="7"/>
      <c r="P166" s="7"/>
      <c r="Q166" s="22"/>
      <c r="R166" s="22"/>
      <c r="S166" s="31">
        <f t="shared" si="72"/>
        <v>1</v>
      </c>
      <c r="T166" s="46" t="str">
        <f t="shared" si="57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8"/>
        <v>https://d0f6bd738d7f1b3e5a7ca70fe4ff75f0.us-east-1.aws.found.io/app/kibana#/discover/Steve-Slow-Train-Analysis-(2080s-and-2083s)?_g=(refreshInterval:(display:Off,pause:!f,section:0,value:0),time:(from:'2017-04-16T08:35:13-0600',mode:absolute,to:'2017-04-16T10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6" s="183" t="str">
        <f t="shared" si="59"/>
        <v>N</v>
      </c>
      <c r="X166" s="183">
        <f t="shared" si="73"/>
        <v>1</v>
      </c>
      <c r="Y166" s="62">
        <f t="shared" si="60"/>
        <v>5.8620999999999999</v>
      </c>
      <c r="Z166" s="62">
        <f t="shared" si="70"/>
        <v>7.3300000000000004E-2</v>
      </c>
      <c r="AA166" s="62">
        <f t="shared" si="61"/>
        <v>5.7888000000000002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2"/>
        <v>1808-16</v>
      </c>
      <c r="AE166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66" s="82" t="str">
        <f t="shared" si="64"/>
        <v>"C:\Program Files (x86)\AstroGrep\AstroGrep.exe" /e /r /s /spath="%USERPROFILE%\AppData\Local\Temp\OnboardLogs" /stypes="app*4045*20170416*" /stext=" 15:.+((SYSTEM_STATE.+slice.+state.+changed )|(ment ac)|(multiple cpu faults)|(system.+state.+changed )|(\[timeout)|(PRM\|1\|D)|(kpr)|(kdp)|(\|lc)|(penalty))"</v>
      </c>
      <c r="AG166" s="1" t="str">
        <f t="shared" si="65"/>
        <v>NW</v>
      </c>
      <c r="AH166" s="86" t="str">
        <f t="shared" si="66"/>
        <v>"%USERPROFILE%\Documents\GitHub\eaglep3\Utilities\RefineRTDCRunTimes.py" --tripid 1808-16 --locoid 4045 --swversion DE.1.0.9.0 --startMP 300:58621 --initTime 2017-04-16T09:35:13 --startdatetime 2017-04-16T09:40:53 --delay 0 --endMP 204:733 --enddatetime 2017-04-16T09:53:51 --enforcementcount 0 &gt;&gt;C:\Users\stu\Documents\GitHub\eaglep3-reporting\EC\2017-04-16-refined-times.txt</v>
      </c>
      <c r="AI166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{"issue":{"subject":"","project_id":79,"tracker_id":40,"status_id":1,"priority_id":2,"assigned_to_id":23,"start_date":"2017-04-16","description":"","custom_fields":[{"id":1,"name":"Subdivision","value":"NW"},{"id":4,"name":"Milepost","value":"0.0733"},{"id":17,"name":"Train ID","value":"1808-16"},{"id":16,"name":"Locomotive ID","value":"4045"},{"id":130,"name":"Impact","value":""},{"id":150,"name":"Time of Event (Mountain Time)","value":"09:53:51"},{"id":151,"name":"Denver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8"/>
        <v>start /low /b %USERPROFILE%\Documents\GitHub\eaglep3\Utilities\DownloadLogsFromS3.py --loco 4045 --day 2017-04-16</v>
      </c>
      <c r="AN166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15:53:51"},{"id":29,"name":"Sharepoint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734</v>
      </c>
      <c r="B167" s="7">
        <v>4046</v>
      </c>
      <c r="C167" s="21" t="s">
        <v>214</v>
      </c>
      <c r="D167" s="21" t="s">
        <v>627</v>
      </c>
      <c r="E167" s="13">
        <v>42841.414456018516</v>
      </c>
      <c r="F167" s="13">
        <v>42841.431574074071</v>
      </c>
      <c r="G167" s="7">
        <v>1</v>
      </c>
      <c r="H167" s="21" t="s">
        <v>912</v>
      </c>
      <c r="I167" s="13">
        <v>42841.440104166664</v>
      </c>
      <c r="J167" s="7">
        <v>0</v>
      </c>
      <c r="K167" s="97" t="str">
        <f t="shared" si="55"/>
        <v>4045/4046</v>
      </c>
      <c r="L167" s="21" t="str">
        <f>VLOOKUP(A167,'Trips&amp;Operators'!$C$1:$G$99999,5,FALSE)</f>
        <v>YORK EDGAR</v>
      </c>
      <c r="M167" s="6">
        <f t="shared" si="56"/>
        <v>8.5300925929914229E-3</v>
      </c>
      <c r="N167" s="7">
        <f t="shared" si="74"/>
        <v>12.283333333907649</v>
      </c>
      <c r="O167" s="7"/>
      <c r="P167" s="7"/>
      <c r="Q167" s="22"/>
      <c r="R167" s="22"/>
      <c r="S167" s="31">
        <f t="shared" si="72"/>
        <v>1</v>
      </c>
      <c r="T167" s="46" t="str">
        <f t="shared" si="57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8"/>
        <v>https://d0f6bd738d7f1b3e5a7ca70fe4ff75f0.us-east-1.aws.found.io/app/kibana#/discover/Steve-Slow-Train-Analysis-(2080s-and-2083s)?_g=(refreshInterval:(display:Off,pause:!f,section:0,value:0),time:(from:'2017-04-16T08:56:49-0600',mode:absolute,to:'2017-04-16T11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7" s="183" t="str">
        <f t="shared" si="59"/>
        <v>N</v>
      </c>
      <c r="X167" s="183">
        <f t="shared" si="73"/>
        <v>1</v>
      </c>
      <c r="Y167" s="62">
        <f t="shared" si="60"/>
        <v>0.10390000000000001</v>
      </c>
      <c r="Z167" s="62">
        <f t="shared" si="70"/>
        <v>5.8933</v>
      </c>
      <c r="AA167" s="62">
        <f t="shared" si="61"/>
        <v>5.7893999999999997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2"/>
        <v>1809-16</v>
      </c>
      <c r="AE167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67" s="82" t="str">
        <f t="shared" si="64"/>
        <v>"C:\Program Files (x86)\AstroGrep\AstroGrep.exe" /e /r /s /spath="%USERPROFILE%\AppData\Local\Temp\OnboardLogs" /stypes="app*4046*20170416*" /stext=" 16:.+((SYSTEM_STATE.+slice.+state.+changed )|(ment ac)|(multiple cpu faults)|(system.+state.+changed )|(\[timeout)|(PRM\|1\|D)|(kpr)|(kdp)|(\|lc)|(penalty))"</v>
      </c>
      <c r="AG167" s="1" t="str">
        <f t="shared" si="65"/>
        <v>NW</v>
      </c>
      <c r="AH167" s="86" t="str">
        <f t="shared" si="66"/>
        <v>"%USERPROFILE%\Documents\GitHub\eaglep3\Utilities\RefineRTDCRunTimes.py" --tripid 1809-16 --locoid 4046 --swversion DE.1.0.9.0 --startMP 204:1039 --initTime 2017-04-16T09:56:49 --startdatetime 2017-04-16T10:21:28 --delay 1 --endMP 300:58933 --enddatetime 2017-04-16T10:33:45 --enforcementcount 0 &gt;&gt;C:\Users\stu\Documents\GitHub\eaglep3-reporting\EC\2017-04-16-refined-times.txt</v>
      </c>
      <c r="AI167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{"issue":{"subject":"","project_id":79,"tracker_id":40,"status_id":1,"priority_id":2,"assigned_to_id":23,"start_date":"2017-04-16","description":"","custom_fields":[{"id":1,"name":"Subdivision","value":"NW"},{"id":4,"name":"Milepost","value":"5.8933"},{"id":17,"name":"Train ID","value":"1809-16"},{"id":16,"name":"Locomotive ID","value":"4046"},{"id":130,"name":"Impact","value":""},{"id":150,"name":"Time of Event (Mountain Time)","value":"10:33:45"},{"id":151,"name":"Denver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8"/>
        <v>start /low /b %USERPROFILE%\Documents\GitHub\eaglep3\Utilities\DownloadLogsFromS3.py --loco 4046 --day 2017-04-16</v>
      </c>
      <c r="AN167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741</v>
      </c>
      <c r="B168" s="7">
        <v>4045</v>
      </c>
      <c r="C168" s="21" t="s">
        <v>214</v>
      </c>
      <c r="D168" s="21" t="s">
        <v>566</v>
      </c>
      <c r="E168" s="13">
        <v>42841.441793981481</v>
      </c>
      <c r="F168" s="13">
        <v>42841.445787037039</v>
      </c>
      <c r="G168" s="7">
        <v>1</v>
      </c>
      <c r="H168" s="21" t="s">
        <v>914</v>
      </c>
      <c r="I168" s="13">
        <v>42841.453993055555</v>
      </c>
      <c r="J168" s="7">
        <v>0</v>
      </c>
      <c r="K168" s="97" t="str">
        <f t="shared" si="55"/>
        <v>4045/4046</v>
      </c>
      <c r="L168" s="21" t="str">
        <f>VLOOKUP(A168,'Trips&amp;Operators'!$C$1:$G$99999,5,FALSE)</f>
        <v>YORK EDGAR</v>
      </c>
      <c r="M168" s="6">
        <f t="shared" si="56"/>
        <v>8.2060185159207322E-3</v>
      </c>
      <c r="N168" s="7">
        <f t="shared" si="74"/>
        <v>11.816666662925854</v>
      </c>
      <c r="O168" s="7"/>
      <c r="P168" s="7"/>
      <c r="Q168" s="22"/>
      <c r="R168" s="22"/>
      <c r="S168" s="31">
        <f t="shared" si="72"/>
        <v>1</v>
      </c>
      <c r="T168" s="46" t="str">
        <f t="shared" si="57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8"/>
        <v>https://d0f6bd738d7f1b3e5a7ca70fe4ff75f0.us-east-1.aws.found.io/app/kibana#/discover/Steve-Slow-Train-Analysis-(2080s-and-2083s)?_g=(refreshInterval:(display:Off,pause:!f,section:0,value:0),time:(from:'2017-04-16T09:36:11-0600',mode:absolute,to:'2017-04-16T11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8" s="183" t="str">
        <f t="shared" si="59"/>
        <v>N</v>
      </c>
      <c r="X168" s="183">
        <f t="shared" si="73"/>
        <v>1</v>
      </c>
      <c r="Y168" s="62">
        <f t="shared" si="60"/>
        <v>5.8619000000000003</v>
      </c>
      <c r="Z168" s="62">
        <f t="shared" si="70"/>
        <v>7.5899999999999995E-2</v>
      </c>
      <c r="AA168" s="62">
        <f t="shared" si="61"/>
        <v>5.7860000000000005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2"/>
        <v>1810-16</v>
      </c>
      <c r="AE168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68" s="82" t="str">
        <f t="shared" si="64"/>
        <v>"C:\Program Files (x86)\AstroGrep\AstroGrep.exe" /e /r /s /spath="%USERPROFILE%\AppData\Local\Temp\OnboardLogs" /stypes="app*4045*20170416*" /stext=" 16:.+((SYSTEM_STATE.+slice.+state.+changed )|(ment ac)|(multiple cpu faults)|(system.+state.+changed )|(\[timeout)|(PRM\|1\|D)|(kpr)|(kdp)|(\|lc)|(penalty))"</v>
      </c>
      <c r="AG168" s="1" t="str">
        <f t="shared" si="65"/>
        <v>NW</v>
      </c>
      <c r="AH168" s="86" t="str">
        <f t="shared" si="66"/>
        <v>"%USERPROFILE%\Documents\GitHub\eaglep3\Utilities\RefineRTDCRunTimes.py" --tripid 1810-16 --locoid 4045 --swversion DE.1.0.9.0 --startMP 300:58619 --initTime 2017-04-16T10:36:11 --startdatetime 2017-04-16T10:41:56 --delay 1 --endMP 204:759 --enddatetime 2017-04-16T10:53:45 --enforcementcount 0 &gt;&gt;C:\Users\stu\Documents\GitHub\eaglep3-reporting\EC\2017-04-16-refined-times.txt</v>
      </c>
      <c r="AI168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{"issue":{"subject":"","project_id":79,"tracker_id":40,"status_id":1,"priority_id":2,"assigned_to_id":23,"start_date":"2017-04-16","description":"","custom_fields":[{"id":1,"name":"Subdivision","value":"NW"},{"id":4,"name":"Milepost","value":"0.0759"},{"id":17,"name":"Train ID","value":"1810-16"},{"id":16,"name":"Locomotive ID","value":"4045"},{"id":130,"name":"Impact","value":""},{"id":150,"name":"Time of Event (Mountain Time)","value":"10:53:45"},{"id":151,"name":"Denver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8"/>
        <v>start /low /b %USERPROFILE%\Documents\GitHub\eaglep3\Utilities\DownloadLogsFromS3.py --loco 4045 --day 2017-04-16</v>
      </c>
      <c r="AN168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745</v>
      </c>
      <c r="B169" s="7">
        <v>4046</v>
      </c>
      <c r="C169" s="21" t="s">
        <v>214</v>
      </c>
      <c r="D169" s="21" t="s">
        <v>915</v>
      </c>
      <c r="E169" s="13">
        <v>42841.455138888887</v>
      </c>
      <c r="F169" s="13">
        <v>42841.47315972222</v>
      </c>
      <c r="G169" s="7">
        <v>1</v>
      </c>
      <c r="H169" s="21" t="s">
        <v>479</v>
      </c>
      <c r="I169" s="13">
        <v>42841.481620370374</v>
      </c>
      <c r="J169" s="7">
        <v>0</v>
      </c>
      <c r="K169" s="97" t="str">
        <f t="shared" si="55"/>
        <v>4045/4046</v>
      </c>
      <c r="L169" s="21" t="str">
        <f>VLOOKUP(A169,'Trips&amp;Operators'!$C$1:$G$99999,5,FALSE)</f>
        <v>YORK EDGAR</v>
      </c>
      <c r="M169" s="6">
        <f t="shared" si="56"/>
        <v>8.4606481541413814E-3</v>
      </c>
      <c r="N169" s="7">
        <f t="shared" si="74"/>
        <v>12.183333341963589</v>
      </c>
      <c r="O169" s="7"/>
      <c r="P169" s="7"/>
      <c r="Q169" s="22"/>
      <c r="R169" s="22"/>
      <c r="S169" s="31">
        <f t="shared" si="72"/>
        <v>1</v>
      </c>
      <c r="T169" s="46" t="str">
        <f t="shared" si="57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8"/>
        <v>https://d0f6bd738d7f1b3e5a7ca70fe4ff75f0.us-east-1.aws.found.io/app/kibana#/discover/Steve-Slow-Train-Analysis-(2080s-and-2083s)?_g=(refreshInterval:(display:Off,pause:!f,section:0,value:0),time:(from:'2017-04-16T09:55:24-0600',mode:absolute,to:'2017-04-16T12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9" s="183" t="str">
        <f t="shared" si="59"/>
        <v>N</v>
      </c>
      <c r="X169" s="183">
        <f t="shared" si="73"/>
        <v>1</v>
      </c>
      <c r="Y169" s="62">
        <f t="shared" si="60"/>
        <v>0.10340000000000001</v>
      </c>
      <c r="Z169" s="62">
        <f t="shared" si="70"/>
        <v>5.8943000000000003</v>
      </c>
      <c r="AA169" s="62">
        <f t="shared" si="61"/>
        <v>5.7909000000000006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2"/>
        <v>1811-16</v>
      </c>
      <c r="AE169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69" s="82" t="str">
        <f t="shared" si="64"/>
        <v>"C:\Program Files (x86)\AstroGrep\AstroGrep.exe" /e /r /s /spath="%USERPROFILE%\AppData\Local\Temp\OnboardLogs" /stypes="app*4046*20170416*" /stext=" 17:.+((SYSTEM_STATE.+slice.+state.+changed )|(ment ac)|(multiple cpu faults)|(system.+state.+changed )|(\[timeout)|(PRM\|1\|D)|(kpr)|(kdp)|(\|lc)|(penalty))"</v>
      </c>
      <c r="AG169" s="1" t="str">
        <f t="shared" si="65"/>
        <v>NW</v>
      </c>
      <c r="AH169" s="86" t="str">
        <f t="shared" si="66"/>
        <v>"%USERPROFILE%\Documents\GitHub\eaglep3\Utilities\RefineRTDCRunTimes.py" --tripid 1811-16 --locoid 4046 --swversion DE.1.0.9.0 --startMP 204:1034 --initTime 2017-04-16T10:55:24 --startdatetime 2017-04-16T11:21:21 --delay 1 --endMP 300:58943 --enddatetime 2017-04-16T11:33:32 --enforcementcount 0 &gt;&gt;C:\Users\stu\Documents\GitHub\eaglep3-reporting\EC\2017-04-16-refined-times.txt</v>
      </c>
      <c r="AI169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{"issue":{"subject":"","project_id":79,"tracker_id":40,"status_id":1,"priority_id":2,"assigned_to_id":23,"start_date":"2017-04-16","description":"","custom_fields":[{"id":1,"name":"Subdivision","value":"NW"},{"id":4,"name":"Milepost","value":"5.8943"},{"id":17,"name":"Train ID","value":"1811-16"},{"id":16,"name":"Locomotive ID","value":"4046"},{"id":130,"name":"Impact","value":""},{"id":150,"name":"Time of Event (Mountain Time)","value":"11:33:32"},{"id":151,"name":"Denver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8"/>
        <v>start /low /b %USERPROFILE%\Documents\GitHub\eaglep3\Utilities\DownloadLogsFromS3.py --loco 4046 --day 2017-04-16</v>
      </c>
      <c r="AN169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752</v>
      </c>
      <c r="B170" s="7">
        <v>4045</v>
      </c>
      <c r="C170" s="21" t="s">
        <v>214</v>
      </c>
      <c r="D170" s="21" t="s">
        <v>916</v>
      </c>
      <c r="E170" s="13">
        <v>42841.482534722221</v>
      </c>
      <c r="F170" s="13">
        <v>42841.486967592595</v>
      </c>
      <c r="G170" s="7">
        <v>0</v>
      </c>
      <c r="H170" s="21" t="s">
        <v>621</v>
      </c>
      <c r="I170" s="13">
        <v>42841.495717592596</v>
      </c>
      <c r="J170" s="7">
        <v>0</v>
      </c>
      <c r="K170" s="97" t="str">
        <f t="shared" si="55"/>
        <v>4045/4046</v>
      </c>
      <c r="L170" s="21" t="str">
        <f>VLOOKUP(A170,'Trips&amp;Operators'!$C$1:$G$99999,5,FALSE)</f>
        <v>YORK EDGAR</v>
      </c>
      <c r="M170" s="6">
        <f t="shared" si="56"/>
        <v>8.7500000008731149E-3</v>
      </c>
      <c r="N170" s="7">
        <f t="shared" si="74"/>
        <v>12.600000001257285</v>
      </c>
      <c r="O170" s="7"/>
      <c r="P170" s="7"/>
      <c r="Q170" s="22"/>
      <c r="R170" s="22"/>
      <c r="S170" s="31">
        <f t="shared" si="72"/>
        <v>1</v>
      </c>
      <c r="T170" s="46" t="str">
        <f t="shared" si="57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8"/>
        <v>https://d0f6bd738d7f1b3e5a7ca70fe4ff75f0.us-east-1.aws.found.io/app/kibana#/discover/Steve-Slow-Train-Analysis-(2080s-and-2083s)?_g=(refreshInterval:(display:Off,pause:!f,section:0,value:0),time:(from:'2017-04-16T10:34:51-0600',mode:absolute,to:'2017-04-16T12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0" s="183" t="str">
        <f t="shared" si="59"/>
        <v>N</v>
      </c>
      <c r="X170" s="183">
        <f t="shared" si="73"/>
        <v>1</v>
      </c>
      <c r="Y170" s="62">
        <f t="shared" si="60"/>
        <v>5.8613</v>
      </c>
      <c r="Z170" s="62">
        <f t="shared" si="70"/>
        <v>7.4700000000000003E-2</v>
      </c>
      <c r="AA170" s="62">
        <f t="shared" si="61"/>
        <v>5.7866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2"/>
        <v>1812-16</v>
      </c>
      <c r="AE170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70" s="82" t="str">
        <f t="shared" si="64"/>
        <v>"C:\Program Files (x86)\AstroGrep\AstroGrep.exe" /e /r /s /spath="%USERPROFILE%\AppData\Local\Temp\OnboardLogs" /stypes="app*4045*20170416*" /stext=" 17:.+((SYSTEM_STATE.+slice.+state.+changed )|(ment ac)|(multiple cpu faults)|(system.+state.+changed )|(\[timeout)|(PRM\|1\|D)|(kpr)|(kdp)|(\|lc)|(penalty))"</v>
      </c>
      <c r="AG170" s="1" t="str">
        <f t="shared" si="65"/>
        <v>NW</v>
      </c>
      <c r="AH170" s="86" t="str">
        <f t="shared" si="66"/>
        <v>"%USERPROFILE%\Documents\GitHub\eaglep3\Utilities\RefineRTDCRunTimes.py" --tripid 1812-16 --locoid 4045 --swversion DE.1.0.9.0 --startMP 300:58613 --initTime 2017-04-16T11:34:51 --startdatetime 2017-04-16T11:41:14 --delay 0 --endMP 204:747 --enddatetime 2017-04-16T11:53:50 --enforcementcount 0 &gt;&gt;C:\Users\stu\Documents\GitHub\eaglep3-reporting\EC\2017-04-16-refined-times.txt</v>
      </c>
      <c r="AI170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{"issue":{"subject":"","project_id":79,"tracker_id":40,"status_id":1,"priority_id":2,"assigned_to_id":23,"start_date":"2017-04-16","description":"","custom_fields":[{"id":1,"name":"Subdivision","value":"NW"},{"id":4,"name":"Milepost","value":"0.0747"},{"id":17,"name":"Train ID","value":"1812-16"},{"id":16,"name":"Locomotive ID","value":"4045"},{"id":130,"name":"Impact","value":""},{"id":150,"name":"Time of Event (Mountain Time)","value":"11:53:50"},{"id":151,"name":"Denver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8"/>
        <v>start /low /b %USERPROFILE%\Documents\GitHub\eaglep3\Utilities\DownloadLogsFromS3.py --loco 4045 --day 2017-04-16</v>
      </c>
      <c r="AN170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762</v>
      </c>
      <c r="B171" s="7">
        <v>4046</v>
      </c>
      <c r="C171" s="21" t="s">
        <v>214</v>
      </c>
      <c r="D171" s="21" t="s">
        <v>915</v>
      </c>
      <c r="E171" s="13">
        <v>42841.513738425929</v>
      </c>
      <c r="F171" s="13">
        <v>42841.514953703707</v>
      </c>
      <c r="G171" s="7">
        <v>1</v>
      </c>
      <c r="H171" s="21" t="s">
        <v>535</v>
      </c>
      <c r="I171" s="13">
        <v>42841.523414351854</v>
      </c>
      <c r="J171" s="7">
        <v>0</v>
      </c>
      <c r="K171" s="97" t="str">
        <f t="shared" si="55"/>
        <v>4045/4046</v>
      </c>
      <c r="L171" s="21" t="str">
        <f>VLOOKUP(A171,'Trips&amp;Operators'!$C$1:$G$99999,5,FALSE)</f>
        <v>YORK EDGAR</v>
      </c>
      <c r="M171" s="6">
        <f t="shared" si="56"/>
        <v>8.4606481468654238E-3</v>
      </c>
      <c r="N171" s="7">
        <f t="shared" si="74"/>
        <v>12.18333333148621</v>
      </c>
      <c r="O171" s="7"/>
      <c r="P171" s="7"/>
      <c r="Q171" s="22"/>
      <c r="R171" s="22"/>
      <c r="S171" s="31">
        <f t="shared" si="72"/>
        <v>1</v>
      </c>
      <c r="T171" s="46" t="str">
        <f t="shared" si="57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8"/>
        <v>https://d0f6bd738d7f1b3e5a7ca70fe4ff75f0.us-east-1.aws.found.io/app/kibana#/discover/Steve-Slow-Train-Analysis-(2080s-and-2083s)?_g=(refreshInterval:(display:Off,pause:!f,section:0,value:0),time:(from:'2017-04-16T11:19:47-0600',mode:absolute,to:'2017-04-16T13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1" s="183" t="str">
        <f t="shared" si="59"/>
        <v>N</v>
      </c>
      <c r="X171" s="183">
        <f t="shared" si="73"/>
        <v>1</v>
      </c>
      <c r="Y171" s="62">
        <f t="shared" si="60"/>
        <v>0.10340000000000001</v>
      </c>
      <c r="Z171" s="62">
        <f t="shared" si="70"/>
        <v>5.8936999999999999</v>
      </c>
      <c r="AA171" s="62">
        <f t="shared" si="61"/>
        <v>5.7903000000000002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2"/>
        <v>1813-16</v>
      </c>
      <c r="AE171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71" s="82" t="str">
        <f t="shared" si="64"/>
        <v>"C:\Program Files (x86)\AstroGrep\AstroGrep.exe" /e /r /s /spath="%USERPROFILE%\AppData\Local\Temp\OnboardLogs" /stypes="app*4046*20170416*" /stext=" 18:.+((SYSTEM_STATE.+slice.+state.+changed )|(ment ac)|(multiple cpu faults)|(system.+state.+changed )|(\[timeout)|(PRM\|1\|D)|(kpr)|(kdp)|(\|lc)|(penalty))"</v>
      </c>
      <c r="AG171" s="1" t="str">
        <f t="shared" si="65"/>
        <v>NW</v>
      </c>
      <c r="AH171" s="86" t="str">
        <f t="shared" si="66"/>
        <v>"%USERPROFILE%\Documents\GitHub\eaglep3\Utilities\RefineRTDCRunTimes.py" --tripid 1813-16 --locoid 4046 --swversion DE.1.0.9.0 --startMP 204:1034 --initTime 2017-04-16T12:19:47 --startdatetime 2017-04-16T12:21:32 --delay 1 --endMP 300:58937 --enddatetime 2017-04-16T12:33:43 --enforcementcount 0 &gt;&gt;C:\Users\stu\Documents\GitHub\eaglep3-reporting\EC\2017-04-16-refined-times.txt</v>
      </c>
      <c r="AI171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{"issue":{"subject":"","project_id":79,"tracker_id":40,"status_id":1,"priority_id":2,"assigned_to_id":23,"start_date":"2017-04-16","description":"","custom_fields":[{"id":1,"name":"Subdivision","value":"NW"},{"id":4,"name":"Milepost","value":"5.8937"},{"id":17,"name":"Train ID","value":"1813-16"},{"id":16,"name":"Locomotive ID","value":"4046"},{"id":130,"name":"Impact","value":""},{"id":150,"name":"Time of Event (Mountain Time)","value":"12:33:43"},{"id":151,"name":"Denver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8"/>
        <v>start /low /b %USERPROFILE%\Documents\GitHub\eaglep3\Utilities\DownloadLogsFromS3.py --loco 4046 --day 2017-04-16</v>
      </c>
      <c r="AN171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765</v>
      </c>
      <c r="B172" s="7">
        <v>4045</v>
      </c>
      <c r="C172" s="21" t="s">
        <v>214</v>
      </c>
      <c r="D172" s="21" t="s">
        <v>917</v>
      </c>
      <c r="E172" s="13">
        <v>42841.524212962962</v>
      </c>
      <c r="F172" s="13">
        <v>42841.52784722222</v>
      </c>
      <c r="G172" s="7">
        <v>1</v>
      </c>
      <c r="H172" s="21" t="s">
        <v>918</v>
      </c>
      <c r="I172" s="13">
        <v>42841.537326388891</v>
      </c>
      <c r="J172" s="7">
        <v>0</v>
      </c>
      <c r="K172" s="97" t="str">
        <f t="shared" si="55"/>
        <v>4045/4046</v>
      </c>
      <c r="L172" s="21" t="str">
        <f>VLOOKUP(A172,'Trips&amp;Operators'!$C$1:$G$99999,5,FALSE)</f>
        <v>YORK EDGAR</v>
      </c>
      <c r="M172" s="6">
        <f t="shared" si="56"/>
        <v>9.4791666706441902E-3</v>
      </c>
      <c r="N172" s="7">
        <f t="shared" si="74"/>
        <v>13.650000005727634</v>
      </c>
      <c r="O172" s="7"/>
      <c r="P172" s="7"/>
      <c r="Q172" s="22"/>
      <c r="R172" s="22"/>
      <c r="S172" s="31">
        <f t="shared" si="72"/>
        <v>1</v>
      </c>
      <c r="T172" s="46" t="str">
        <f t="shared" si="57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8"/>
        <v>https://d0f6bd738d7f1b3e5a7ca70fe4ff75f0.us-east-1.aws.found.io/app/kibana#/discover/Steve-Slow-Train-Analysis-(2080s-and-2083s)?_g=(refreshInterval:(display:Off,pause:!f,section:0,value:0),time:(from:'2017-04-16T11:34:52-0600',mode:absolute,to:'2017-04-16T13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2" s="183" t="str">
        <f t="shared" si="59"/>
        <v>N</v>
      </c>
      <c r="X172" s="183">
        <f t="shared" si="73"/>
        <v>1</v>
      </c>
      <c r="Y172" s="62">
        <f t="shared" si="60"/>
        <v>5.8615000000000004</v>
      </c>
      <c r="Z172" s="62">
        <f t="shared" si="70"/>
        <v>7.4499999999999997E-2</v>
      </c>
      <c r="AA172" s="62">
        <f t="shared" si="61"/>
        <v>5.7870000000000008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2"/>
        <v>1814-16</v>
      </c>
      <c r="AE172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72" s="82" t="str">
        <f t="shared" si="64"/>
        <v>"C:\Program Files (x86)\AstroGrep\AstroGrep.exe" /e /r /s /spath="%USERPROFILE%\AppData\Local\Temp\OnboardLogs" /stypes="app*4045*20170416*" /stext=" 18:.+((SYSTEM_STATE.+slice.+state.+changed )|(ment ac)|(multiple cpu faults)|(system.+state.+changed )|(\[timeout)|(PRM\|1\|D)|(kpr)|(kdp)|(\|lc)|(penalty))"</v>
      </c>
      <c r="AG172" s="1" t="str">
        <f t="shared" si="65"/>
        <v>NW</v>
      </c>
      <c r="AH172" s="86" t="str">
        <f t="shared" si="66"/>
        <v>"%USERPROFILE%\Documents\GitHub\eaglep3\Utilities\RefineRTDCRunTimes.py" --tripid 1814-16 --locoid 4045 --swversion DE.1.0.9.0 --startMP 300:58615 --initTime 2017-04-16T12:34:52 --startdatetime 2017-04-16T12:40:06 --delay 1 --endMP 204:745 --enddatetime 2017-04-16T12:53:45 --enforcementcount 0 &gt;&gt;C:\Users\stu\Documents\GitHub\eaglep3-reporting\EC\2017-04-16-refined-times.txt</v>
      </c>
      <c r="AI172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{"issue":{"subject":"","project_id":79,"tracker_id":40,"status_id":1,"priority_id":2,"assigned_to_id":23,"start_date":"2017-04-16","description":"","custom_fields":[{"id":1,"name":"Subdivision","value":"NW"},{"id":4,"name":"Milepost","value":"0.0745"},{"id":17,"name":"Train ID","value":"1814-16"},{"id":16,"name":"Locomotive ID","value":"4045"},{"id":130,"name":"Impact","value":""},{"id":150,"name":"Time of Event (Mountain Time)","value":"12:53:45"},{"id":151,"name":"Denver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8"/>
        <v>start /low /b %USERPROFILE%\Documents\GitHub\eaglep3\Utilities\DownloadLogsFromS3.py --loco 4045 --day 2017-04-16</v>
      </c>
      <c r="AN172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769</v>
      </c>
      <c r="B173" s="7">
        <v>4046</v>
      </c>
      <c r="C173" s="21" t="s">
        <v>214</v>
      </c>
      <c r="D173" s="21" t="s">
        <v>513</v>
      </c>
      <c r="E173" s="13">
        <v>42841.540555555555</v>
      </c>
      <c r="F173" s="13">
        <v>42841.556643518517</v>
      </c>
      <c r="G173" s="7">
        <v>0</v>
      </c>
      <c r="H173" s="21" t="s">
        <v>919</v>
      </c>
      <c r="I173" s="13">
        <v>42841.565520833334</v>
      </c>
      <c r="J173" s="7">
        <v>0</v>
      </c>
      <c r="K173" s="97" t="str">
        <f t="shared" si="55"/>
        <v>4045/4046</v>
      </c>
      <c r="L173" s="21" t="str">
        <f>VLOOKUP(A173,'Trips&amp;Operators'!$C$1:$G$99999,5,FALSE)</f>
        <v>YORK EDGAR</v>
      </c>
      <c r="M173" s="6">
        <f t="shared" si="56"/>
        <v>8.8773148163454607E-3</v>
      </c>
      <c r="N173" s="7">
        <f t="shared" si="74"/>
        <v>12.783333335537463</v>
      </c>
      <c r="O173" s="7"/>
      <c r="P173" s="7"/>
      <c r="Q173" s="22"/>
      <c r="R173" s="22"/>
      <c r="S173" s="31">
        <f t="shared" si="72"/>
        <v>1</v>
      </c>
      <c r="T173" s="46" t="str">
        <f t="shared" si="57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8"/>
        <v>https://d0f6bd738d7f1b3e5a7ca70fe4ff75f0.us-east-1.aws.found.io/app/kibana#/discover/Steve-Slow-Train-Analysis-(2080s-and-2083s)?_g=(refreshInterval:(display:Off,pause:!f,section:0,value:0),time:(from:'2017-04-16T11:58:24-0600',mode:absolute,to:'2017-04-16T14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3" s="183" t="str">
        <f t="shared" si="59"/>
        <v>N</v>
      </c>
      <c r="X173" s="183">
        <f t="shared" si="73"/>
        <v>1</v>
      </c>
      <c r="Y173" s="62">
        <f t="shared" si="60"/>
        <v>0.1027</v>
      </c>
      <c r="Z173" s="62">
        <f t="shared" si="70"/>
        <v>5.8924000000000003</v>
      </c>
      <c r="AA173" s="62">
        <f t="shared" si="61"/>
        <v>5.7897000000000007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2"/>
        <v>1815-16</v>
      </c>
      <c r="AE173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73" s="82" t="str">
        <f t="shared" si="64"/>
        <v>"C:\Program Files (x86)\AstroGrep\AstroGrep.exe" /e /r /s /spath="%USERPROFILE%\AppData\Local\Temp\OnboardLogs" /stypes="app*4046*20170416*" /stext=" 19:.+((SYSTEM_STATE.+slice.+state.+changed )|(ment ac)|(multiple cpu faults)|(system.+state.+changed )|(\[timeout)|(PRM\|1\|D)|(kpr)|(kdp)|(\|lc)|(penalty))"</v>
      </c>
      <c r="AG173" s="1" t="str">
        <f t="shared" si="65"/>
        <v>NW</v>
      </c>
      <c r="AH173" s="86" t="str">
        <f t="shared" si="66"/>
        <v>"%USERPROFILE%\Documents\GitHub\eaglep3\Utilities\RefineRTDCRunTimes.py" --tripid 1815-16 --locoid 4046 --swversion DE.1.0.9.0 --startMP 204:1027 --initTime 2017-04-16T12:58:24 --startdatetime 2017-04-16T13:21:34 --delay 0 --endMP 300:58924 --enddatetime 2017-04-16T13:34:21 --enforcementcount 0 &gt;&gt;C:\Users\stu\Documents\GitHub\eaglep3-reporting\EC\2017-04-16-refined-times.txt</v>
      </c>
      <c r="AI173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{"issue":{"subject":"","project_id":79,"tracker_id":40,"status_id":1,"priority_id":2,"assigned_to_id":23,"start_date":"2017-04-16","description":"","custom_fields":[{"id":1,"name":"Subdivision","value":"NW"},{"id":4,"name":"Milepost","value":"5.8924"},{"id":17,"name":"Train ID","value":"1815-16"},{"id":16,"name":"Locomotive ID","value":"4046"},{"id":130,"name":"Impact","value":""},{"id":150,"name":"Time of Event (Mountain Time)","value":"13:34:21"},{"id":151,"name":"Denver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8"/>
        <v>start /low /b %USERPROFILE%\Documents\GitHub\eaglep3\Utilities\DownloadLogsFromS3.py --loco 4046 --day 2017-04-16</v>
      </c>
      <c r="AN173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773</v>
      </c>
      <c r="B174" s="7">
        <v>4045</v>
      </c>
      <c r="C174" s="21" t="s">
        <v>214</v>
      </c>
      <c r="D174" s="21" t="s">
        <v>496</v>
      </c>
      <c r="E174" s="13">
        <v>42841.567141203705</v>
      </c>
      <c r="F174" s="13">
        <v>42841.57099537037</v>
      </c>
      <c r="G174" s="7">
        <v>0</v>
      </c>
      <c r="H174" s="21" t="s">
        <v>920</v>
      </c>
      <c r="I174" s="13">
        <v>42841.579270833332</v>
      </c>
      <c r="J174" s="7">
        <v>0</v>
      </c>
      <c r="K174" s="97" t="str">
        <f t="shared" si="55"/>
        <v>4045/4046</v>
      </c>
      <c r="L174" s="21" t="str">
        <f>VLOOKUP(A174,'Trips&amp;Operators'!$C$1:$G$99999,5,FALSE)</f>
        <v>YORK EDGAR</v>
      </c>
      <c r="M174" s="6">
        <f t="shared" si="56"/>
        <v>8.2754629620467313E-3</v>
      </c>
      <c r="N174" s="7">
        <f t="shared" si="74"/>
        <v>11.916666665347293</v>
      </c>
      <c r="O174" s="7"/>
      <c r="P174" s="7"/>
      <c r="Q174" s="22"/>
      <c r="R174" s="22"/>
      <c r="S174" s="31">
        <f t="shared" si="72"/>
        <v>1</v>
      </c>
      <c r="T174" s="46" t="str">
        <f t="shared" si="57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8"/>
        <v>https://d0f6bd738d7f1b3e5a7ca70fe4ff75f0.us-east-1.aws.found.io/app/kibana#/discover/Steve-Slow-Train-Analysis-(2080s-and-2083s)?_g=(refreshInterval:(display:Off,pause:!f,section:0,value:0),time:(from:'2017-04-16T12:36:41-0600',mode:absolute,to:'2017-04-16T14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4" s="183" t="str">
        <f t="shared" si="59"/>
        <v>N</v>
      </c>
      <c r="X174" s="183">
        <f t="shared" si="73"/>
        <v>1</v>
      </c>
      <c r="Y174" s="62">
        <f t="shared" si="60"/>
        <v>5.8611000000000004</v>
      </c>
      <c r="Z174" s="62">
        <f t="shared" si="70"/>
        <v>8.0799999999999997E-2</v>
      </c>
      <c r="AA174" s="62">
        <f t="shared" si="61"/>
        <v>5.7803000000000004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2"/>
        <v>1816-16</v>
      </c>
      <c r="AE174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74" s="82" t="str">
        <f t="shared" si="64"/>
        <v>"C:\Program Files (x86)\AstroGrep\AstroGrep.exe" /e /r /s /spath="%USERPROFILE%\AppData\Local\Temp\OnboardLogs" /stypes="app*4045*20170416*" /stext=" 19:.+((SYSTEM_STATE.+slice.+state.+changed )|(ment ac)|(multiple cpu faults)|(system.+state.+changed )|(\[timeout)|(PRM\|1\|D)|(kpr)|(kdp)|(\|lc)|(penalty))"</v>
      </c>
      <c r="AG174" s="1" t="str">
        <f t="shared" si="65"/>
        <v>NW</v>
      </c>
      <c r="AH174" s="86" t="str">
        <f t="shared" si="66"/>
        <v>"%USERPROFILE%\Documents\GitHub\eaglep3\Utilities\RefineRTDCRunTimes.py" --tripid 1816-16 --locoid 4045 --swversion DE.1.0.9.0 --startMP 300:58611 --initTime 2017-04-16T13:36:41 --startdatetime 2017-04-16T13:42:14 --delay 0 --endMP 204:808 --enddatetime 2017-04-16T13:54:09 --enforcementcount 0 &gt;&gt;C:\Users\stu\Documents\GitHub\eaglep3-reporting\EC\2017-04-16-refined-times.txt</v>
      </c>
      <c r="AI174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{"issue":{"subject":"","project_id":79,"tracker_id":40,"status_id":1,"priority_id":2,"assigned_to_id":23,"start_date":"2017-04-16","description":"","custom_fields":[{"id":1,"name":"Subdivision","value":"NW"},{"id":4,"name":"Milepost","value":"0.0808"},{"id":17,"name":"Train ID","value":"1816-16"},{"id":16,"name":"Locomotive ID","value":"4045"},{"id":130,"name":"Impact","value":""},{"id":150,"name":"Time of Event (Mountain Time)","value":"13:54:09"},{"id":151,"name":"Denver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8"/>
        <v>start /low /b %USERPROFILE%\Documents\GitHub\eaglep3\Utilities\DownloadLogsFromS3.py --loco 4045 --day 2017-04-16</v>
      </c>
      <c r="AN174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19:54:09"},{"id":29,"name":"Sharepoint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778</v>
      </c>
      <c r="B175" s="7">
        <v>4046</v>
      </c>
      <c r="C175" s="21" t="s">
        <v>214</v>
      </c>
      <c r="D175" s="21" t="s">
        <v>921</v>
      </c>
      <c r="E175" s="13">
        <v>42841.593831018516</v>
      </c>
      <c r="F175" s="13">
        <v>42841.598090277781</v>
      </c>
      <c r="G175" s="7">
        <v>1</v>
      </c>
      <c r="H175" s="21" t="s">
        <v>922</v>
      </c>
      <c r="I175" s="13">
        <v>42841.607037037036</v>
      </c>
      <c r="J175" s="7">
        <v>0</v>
      </c>
      <c r="K175" s="97" t="str">
        <f t="shared" si="55"/>
        <v>4045/4046</v>
      </c>
      <c r="L175" s="21" t="str">
        <f>VLOOKUP(A175,'Trips&amp;Operators'!$C$1:$G$99999,5,FALSE)</f>
        <v>HELVIE ADAM</v>
      </c>
      <c r="M175" s="6">
        <f t="shared" si="56"/>
        <v>8.9467592551955022E-3</v>
      </c>
      <c r="N175" s="7">
        <f t="shared" si="74"/>
        <v>12.883333327481523</v>
      </c>
      <c r="O175" s="7"/>
      <c r="P175" s="7"/>
      <c r="Q175" s="22"/>
      <c r="R175" s="22"/>
      <c r="S175" s="31">
        <f t="shared" si="72"/>
        <v>1</v>
      </c>
      <c r="T175" s="46" t="str">
        <f t="shared" si="57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8"/>
        <v>https://d0f6bd738d7f1b3e5a7ca70fe4ff75f0.us-east-1.aws.found.io/app/kibana#/discover/Steve-Slow-Train-Analysis-(2080s-and-2083s)?_g=(refreshInterval:(display:Off,pause:!f,section:0,value:0),time:(from:'2017-04-16T13:15:07-0600',mode:absolute,to:'2017-04-16T15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5" s="183" t="str">
        <f t="shared" si="59"/>
        <v>N</v>
      </c>
      <c r="X175" s="183">
        <f t="shared" si="73"/>
        <v>1</v>
      </c>
      <c r="Y175" s="62">
        <f t="shared" si="60"/>
        <v>0.1104</v>
      </c>
      <c r="Z175" s="62">
        <f t="shared" si="70"/>
        <v>5.8954000000000004</v>
      </c>
      <c r="AA175" s="62">
        <f t="shared" si="61"/>
        <v>5.7850000000000001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2"/>
        <v>1817-16</v>
      </c>
      <c r="AE175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75" s="82" t="str">
        <f t="shared" si="64"/>
        <v>"C:\Program Files (x86)\AstroGrep\AstroGrep.exe" /e /r /s /spath="%USERPROFILE%\AppData\Local\Temp\OnboardLogs" /stypes="app*4046*20170416*" /stext=" 20:.+((SYSTEM_STATE.+slice.+state.+changed )|(ment ac)|(multiple cpu faults)|(system.+state.+changed )|(\[timeout)|(PRM\|1\|D)|(kpr)|(kdp)|(\|lc)|(penalty))"</v>
      </c>
      <c r="AG175" s="1" t="str">
        <f t="shared" si="65"/>
        <v>NW</v>
      </c>
      <c r="AH175" s="86" t="str">
        <f t="shared" si="66"/>
        <v>"%USERPROFILE%\Documents\GitHub\eaglep3\Utilities\RefineRTDCRunTimes.py" --tripid 1817-16 --locoid 4046 --swversion DE.1.0.9.0 --startMP 204:1104 --initTime 2017-04-16T14:15:07 --startdatetime 2017-04-16T14:21:15 --delay 1 --endMP 300:58954 --enddatetime 2017-04-16T14:34:08 --enforcementcount 0 &gt;&gt;C:\Users\stu\Documents\GitHub\eaglep3-reporting\EC\2017-04-16-refined-times.txt</v>
      </c>
      <c r="AI175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{"issue":{"subject":"","project_id":79,"tracker_id":40,"status_id":1,"priority_id":2,"assigned_to_id":23,"start_date":"2017-04-16","description":"","custom_fields":[{"id":1,"name":"Subdivision","value":"NW"},{"id":4,"name":"Milepost","value":"5.8954"},{"id":17,"name":"Train ID","value":"1817-16"},{"id":16,"name":"Locomotive ID","value":"4046"},{"id":130,"name":"Impact","value":""},{"id":150,"name":"Time of Event (Mountain Time)","value":"14:34:08"},{"id":151,"name":"Denver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8"/>
        <v>start /low /b %USERPROFILE%\Documents\GitHub\eaglep3\Utilities\DownloadLogsFromS3.py --loco 4046 --day 2017-04-16</v>
      </c>
      <c r="AN175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782</v>
      </c>
      <c r="B176" s="7">
        <v>4045</v>
      </c>
      <c r="C176" s="21" t="s">
        <v>214</v>
      </c>
      <c r="D176" s="21" t="s">
        <v>923</v>
      </c>
      <c r="E176" s="13">
        <v>42841.609918981485</v>
      </c>
      <c r="F176" s="13">
        <v>42841.61146990741</v>
      </c>
      <c r="G176" s="7">
        <v>1</v>
      </c>
      <c r="H176" s="21" t="s">
        <v>924</v>
      </c>
      <c r="I176" s="13">
        <v>42841.621018518519</v>
      </c>
      <c r="J176" s="7">
        <v>0</v>
      </c>
      <c r="K176" s="97" t="str">
        <f t="shared" si="55"/>
        <v>4045/4046</v>
      </c>
      <c r="L176" s="21" t="str">
        <f>VLOOKUP(A176,'Trips&amp;Operators'!$C$1:$G$99999,5,FALSE)</f>
        <v>HELVIE ADAM</v>
      </c>
      <c r="M176" s="6">
        <f t="shared" si="56"/>
        <v>9.5486111094942316E-3</v>
      </c>
      <c r="N176" s="7">
        <f t="shared" si="74"/>
        <v>13.749999997671694</v>
      </c>
      <c r="O176" s="7"/>
      <c r="P176" s="7"/>
      <c r="Q176" s="22"/>
      <c r="R176" s="22"/>
      <c r="S176" s="31">
        <f t="shared" si="72"/>
        <v>1</v>
      </c>
      <c r="T176" s="46" t="str">
        <f t="shared" si="57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8"/>
        <v>https://d0f6bd738d7f1b3e5a7ca70fe4ff75f0.us-east-1.aws.found.io/app/kibana#/discover/Steve-Slow-Train-Analysis-(2080s-and-2083s)?_g=(refreshInterval:(display:Off,pause:!f,section:0,value:0),time:(from:'2017-04-16T13:38:17-0600',mode:absolute,to:'2017-04-16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6" s="183" t="str">
        <f t="shared" si="59"/>
        <v>N</v>
      </c>
      <c r="X176" s="183">
        <f t="shared" si="73"/>
        <v>1</v>
      </c>
      <c r="Y176" s="62">
        <f t="shared" si="60"/>
        <v>5.8643000000000001</v>
      </c>
      <c r="Z176" s="62">
        <f t="shared" si="70"/>
        <v>7.4300000000000005E-2</v>
      </c>
      <c r="AA176" s="62">
        <f t="shared" si="61"/>
        <v>5.79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2"/>
        <v>1818-16</v>
      </c>
      <c r="AE176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76" s="82" t="str">
        <f t="shared" si="64"/>
        <v>"C:\Program Files (x86)\AstroGrep\AstroGrep.exe" /e /r /s /spath="%USERPROFILE%\AppData\Local\Temp\OnboardLogs" /stypes="app*4045*20170416*" /stext=" 20:.+((SYSTEM_STATE.+slice.+state.+changed )|(ment ac)|(multiple cpu faults)|(system.+state.+changed )|(\[timeout)|(PRM\|1\|D)|(kpr)|(kdp)|(\|lc)|(penalty))"</v>
      </c>
      <c r="AG176" s="1" t="str">
        <f t="shared" si="65"/>
        <v>NW</v>
      </c>
      <c r="AH176" s="86" t="str">
        <f t="shared" si="66"/>
        <v>"%USERPROFILE%\Documents\GitHub\eaglep3\Utilities\RefineRTDCRunTimes.py" --tripid 1818-16 --locoid 4045 --swversion DE.1.0.9.0 --startMP 300:58643 --initTime 2017-04-16T14:38:17 --startdatetime 2017-04-16T14:40:31 --delay 1 --endMP 204:743 --enddatetime 2017-04-16T14:54:16 --enforcementcount 0 &gt;&gt;C:\Users\stu\Documents\GitHub\eaglep3-reporting\EC\2017-04-16-refined-times.txt</v>
      </c>
      <c r="AI176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{"issue":{"subject":"","project_id":79,"tracker_id":40,"status_id":1,"priority_id":2,"assigned_to_id":23,"start_date":"2017-04-16","description":"","custom_fields":[{"id":1,"name":"Subdivision","value":"NW"},{"id":4,"name":"Milepost","value":"0.0743"},{"id":17,"name":"Train ID","value":"1818-16"},{"id":16,"name":"Locomotive ID","value":"4045"},{"id":130,"name":"Impact","value":""},{"id":150,"name":"Time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8"/>
        <v>start /low /b %USERPROFILE%\Documents\GitHub\eaglep3\Utilities\DownloadLogsFromS3.py --loco 4045 --day 2017-04-16</v>
      </c>
      <c r="AN176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787</v>
      </c>
      <c r="B177" s="7">
        <v>4046</v>
      </c>
      <c r="C177" s="21" t="s">
        <v>214</v>
      </c>
      <c r="D177" s="21" t="s">
        <v>617</v>
      </c>
      <c r="E177" s="13">
        <v>42841.637280092589</v>
      </c>
      <c r="F177" s="13">
        <v>42841.639768518522</v>
      </c>
      <c r="G177" s="7">
        <v>1</v>
      </c>
      <c r="H177" s="21" t="s">
        <v>925</v>
      </c>
      <c r="I177" s="13">
        <v>42841.648773148147</v>
      </c>
      <c r="J177" s="7">
        <v>0</v>
      </c>
      <c r="K177" s="97" t="str">
        <f t="shared" si="55"/>
        <v>4045/4046</v>
      </c>
      <c r="L177" s="21" t="str">
        <f>VLOOKUP(A177,'Trips&amp;Operators'!$C$1:$G$99999,5,FALSE)</f>
        <v>HELVIE ADAM</v>
      </c>
      <c r="M177" s="6">
        <f t="shared" si="56"/>
        <v>9.0046296245418489E-3</v>
      </c>
      <c r="N177" s="7">
        <f t="shared" si="74"/>
        <v>12.966666659340262</v>
      </c>
      <c r="O177" s="7"/>
      <c r="P177" s="7"/>
      <c r="Q177" s="22"/>
      <c r="R177" s="22"/>
      <c r="S177" s="31">
        <f t="shared" si="72"/>
        <v>1</v>
      </c>
      <c r="T177" s="46" t="str">
        <f t="shared" si="57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8"/>
        <v>https://d0f6bd738d7f1b3e5a7ca70fe4ff75f0.us-east-1.aws.found.io/app/kibana#/discover/Steve-Slow-Train-Analysis-(2080s-and-2083s)?_g=(refreshInterval:(display:Off,pause:!f,section:0,value:0),time:(from:'2017-04-16T14:17:41-0600',mode:absolute,to:'2017-04-16T16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7" s="183" t="str">
        <f t="shared" si="59"/>
        <v>N</v>
      </c>
      <c r="X177" s="183">
        <f t="shared" si="73"/>
        <v>1</v>
      </c>
      <c r="Y177" s="62">
        <f t="shared" si="60"/>
        <v>0.1028</v>
      </c>
      <c r="Z177" s="62">
        <f t="shared" si="70"/>
        <v>5.8949999999999996</v>
      </c>
      <c r="AA177" s="62">
        <f t="shared" si="61"/>
        <v>5.7921999999999993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2"/>
        <v>1819-16</v>
      </c>
      <c r="AE177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77" s="82" t="str">
        <f t="shared" si="64"/>
        <v>"C:\Program Files (x86)\AstroGrep\AstroGrep.exe" /e /r /s /spath="%USERPROFILE%\AppData\Local\Temp\OnboardLogs" /stypes="app*4046*20170416*" /stext=" 21:.+((SYSTEM_STATE.+slice.+state.+changed )|(ment ac)|(multiple cpu faults)|(system.+state.+changed )|(\[timeout)|(PRM\|1\|D)|(kpr)|(kdp)|(\|lc)|(penalty))"</v>
      </c>
      <c r="AG177" s="1" t="str">
        <f t="shared" si="65"/>
        <v>NW</v>
      </c>
      <c r="AH177" s="86" t="str">
        <f t="shared" si="66"/>
        <v>"%USERPROFILE%\Documents\GitHub\eaglep3\Utilities\RefineRTDCRunTimes.py" --tripid 1819-16 --locoid 4046 --swversion DE.1.0.9.0 --startMP 204:1028 --initTime 2017-04-16T15:17:41 --startdatetime 2017-04-16T15:21:16 --delay 1 --endMP 300:58950 --enddatetime 2017-04-16T15:34:14 --enforcementcount 0 &gt;&gt;C:\Users\stu\Documents\GitHub\eaglep3-reporting\EC\2017-04-16-refined-times.txt</v>
      </c>
      <c r="AI177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{"issue":{"subject":"","project_id":79,"tracker_id":40,"status_id":1,"priority_id":2,"assigned_to_id":23,"start_date":"2017-04-16","description":"","custom_fields":[{"id":1,"name":"Subdivision","value":"NW"},{"id":4,"name":"Milepost","value":"5.895"},{"id":17,"name":"Train ID","value":"1819-16"},{"id":16,"name":"Locomotive ID","value":"4046"},{"id":130,"name":"Impact","value":""},{"id":150,"name":"Time of Event (Mountain Time)","value":"15:34:14"},{"id":151,"name":"Denver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8"/>
        <v>start /low /b %USERPROFILE%\Documents\GitHub\eaglep3\Utilities\DownloadLogsFromS3.py --loco 4046 --day 2017-04-16</v>
      </c>
      <c r="AN177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790</v>
      </c>
      <c r="B178" s="7">
        <v>4045</v>
      </c>
      <c r="C178" s="21" t="s">
        <v>214</v>
      </c>
      <c r="D178" s="21" t="s">
        <v>910</v>
      </c>
      <c r="E178" s="13">
        <v>42841.65</v>
      </c>
      <c r="F178" s="13">
        <v>42841.651550925926</v>
      </c>
      <c r="G178" s="7">
        <v>1</v>
      </c>
      <c r="H178" s="21" t="s">
        <v>616</v>
      </c>
      <c r="I178" s="13">
        <v>42841.662928240738</v>
      </c>
      <c r="J178" s="7">
        <v>0</v>
      </c>
      <c r="K178" s="97" t="str">
        <f t="shared" si="55"/>
        <v>4045/4046</v>
      </c>
      <c r="L178" s="21" t="str">
        <f>VLOOKUP(A178,'Trips&amp;Operators'!$C$1:$G$99999,5,FALSE)</f>
        <v>HELVIE ADAM</v>
      </c>
      <c r="M178" s="6">
        <f t="shared" si="56"/>
        <v>1.137731481139781E-2</v>
      </c>
      <c r="N178" s="7">
        <f t="shared" si="74"/>
        <v>16.383333328412846</v>
      </c>
      <c r="O178" s="7"/>
      <c r="P178" s="7"/>
      <c r="Q178" s="22"/>
      <c r="R178" s="22"/>
      <c r="S178" s="31">
        <f t="shared" si="72"/>
        <v>1</v>
      </c>
      <c r="T178" s="46" t="str">
        <f t="shared" si="57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8"/>
        <v>https://d0f6bd738d7f1b3e5a7ca70fe4ff75f0.us-east-1.aws.found.io/app/kibana#/discover/Steve-Slow-Train-Analysis-(2080s-and-2083s)?_g=(refreshInterval:(display:Off,pause:!f,section:0,value:0),time:(from:'2017-04-16T14:36:00-0600',mode:absolute,to:'2017-04-16T16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8" s="183" t="str">
        <f t="shared" si="59"/>
        <v>N</v>
      </c>
      <c r="X178" s="183">
        <f t="shared" si="73"/>
        <v>1</v>
      </c>
      <c r="Y178" s="62">
        <f t="shared" si="60"/>
        <v>5.8628</v>
      </c>
      <c r="Z178" s="62">
        <f t="shared" si="70"/>
        <v>7.6899999999999996E-2</v>
      </c>
      <c r="AA178" s="62">
        <f t="shared" si="61"/>
        <v>5.7858999999999998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2"/>
        <v>1820-16</v>
      </c>
      <c r="AE178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78" s="82" t="str">
        <f t="shared" si="64"/>
        <v>"C:\Program Files (x86)\AstroGrep\AstroGrep.exe" /e /r /s /spath="%USERPROFILE%\AppData\Local\Temp\OnboardLogs" /stypes="app*4045*20170416*" /stext=" 21:.+((SYSTEM_STATE.+slice.+state.+changed )|(ment ac)|(multiple cpu faults)|(system.+state.+changed )|(\[timeout)|(PRM\|1\|D)|(kpr)|(kdp)|(\|lc)|(penalty))"</v>
      </c>
      <c r="AG178" s="1" t="str">
        <f t="shared" si="65"/>
        <v>NW</v>
      </c>
      <c r="AH178" s="86" t="str">
        <f t="shared" si="66"/>
        <v>"%USERPROFILE%\Documents\GitHub\eaglep3\Utilities\RefineRTDCRunTimes.py" --tripid 1820-16 --locoid 4045 --swversion DE.1.0.9.0 --startMP 300:58628 --initTime 2017-04-16T15:36:00 --startdatetime 2017-04-16T15:38:14 --delay 1 --endMP 204:769 --enddatetime 2017-04-16T15:54:37 --enforcementcount 0 &gt;&gt;C:\Users\stu\Documents\GitHub\eaglep3-reporting\EC\2017-04-16-refined-times.txt</v>
      </c>
      <c r="AI178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{"issue":{"subject":"","project_id":79,"tracker_id":40,"status_id":1,"priority_id":2,"assigned_to_id":23,"start_date":"2017-04-16","description":"","custom_fields":[{"id":1,"name":"Subdivision","value":"NW"},{"id":4,"name":"Milepost","value":"0.0769"},{"id":17,"name":"Train ID","value":"1820-16"},{"id":16,"name":"Locomotive ID","value":"4045"},{"id":130,"name":"Impact","value":""},{"id":150,"name":"Time of Event (Mountain Time)","value":"15:54:37"},{"id":151,"name":"Denver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8"/>
        <v>start /low /b %USERPROFILE%\Documents\GitHub\eaglep3\Utilities\DownloadLogsFromS3.py --loco 4045 --day 2017-04-16</v>
      </c>
      <c r="AN178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796</v>
      </c>
      <c r="B179" s="7">
        <v>4046</v>
      </c>
      <c r="C179" s="21" t="s">
        <v>214</v>
      </c>
      <c r="D179" s="21" t="s">
        <v>927</v>
      </c>
      <c r="E179" s="13">
        <v>42841.679652777777</v>
      </c>
      <c r="F179" s="13">
        <v>42841.681574074071</v>
      </c>
      <c r="G179" s="7">
        <v>1</v>
      </c>
      <c r="H179" s="21" t="s">
        <v>928</v>
      </c>
      <c r="I179" s="13">
        <v>42841.690381944441</v>
      </c>
      <c r="J179" s="7">
        <v>0</v>
      </c>
      <c r="K179" s="97" t="str">
        <f t="shared" si="55"/>
        <v>4045/4046</v>
      </c>
      <c r="L179" s="21" t="str">
        <f>VLOOKUP(A179,'Trips&amp;Operators'!$C$1:$G$99999,5,FALSE)</f>
        <v>HELVIE ADAM</v>
      </c>
      <c r="M179" s="6">
        <f t="shared" si="56"/>
        <v>8.8078703702194616E-3</v>
      </c>
      <c r="N179" s="7">
        <f t="shared" si="74"/>
        <v>12.683333333116025</v>
      </c>
      <c r="O179" s="7"/>
      <c r="P179" s="7"/>
      <c r="Q179" s="22"/>
      <c r="R179" s="22"/>
      <c r="S179" s="31">
        <f t="shared" si="72"/>
        <v>1</v>
      </c>
      <c r="T179" s="46" t="str">
        <f t="shared" si="57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8"/>
        <v>https://d0f6bd738d7f1b3e5a7ca70fe4ff75f0.us-east-1.aws.found.io/app/kibana#/discover/Steve-Slow-Train-Analysis-(2080s-and-2083s)?_g=(refreshInterval:(display:Off,pause:!f,section:0,value:0),time:(from:'2017-04-16T15:18:42-0600',mode:absolute,to:'2017-04-16T17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9" s="183" t="str">
        <f t="shared" si="59"/>
        <v>N</v>
      </c>
      <c r="X179" s="183">
        <f t="shared" si="73"/>
        <v>1</v>
      </c>
      <c r="Y179" s="62">
        <f t="shared" si="60"/>
        <v>0.10630000000000001</v>
      </c>
      <c r="Z179" s="62">
        <f t="shared" si="70"/>
        <v>5.8959999999999999</v>
      </c>
      <c r="AA179" s="62">
        <f t="shared" si="61"/>
        <v>5.7896999999999998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2"/>
        <v>1821-16</v>
      </c>
      <c r="AE179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79" s="82" t="str">
        <f t="shared" si="64"/>
        <v>"C:\Program Files (x86)\AstroGrep\AstroGrep.exe" /e /r /s /spath="%USERPROFILE%\AppData\Local\Temp\OnboardLogs" /stypes="app*4046*20170416*" /stext=" 22:.+((SYSTEM_STATE.+slice.+state.+changed )|(ment ac)|(multiple cpu faults)|(system.+state.+changed )|(\[timeout)|(PRM\|1\|D)|(kpr)|(kdp)|(\|lc)|(penalty))"</v>
      </c>
      <c r="AG179" s="1" t="str">
        <f t="shared" si="65"/>
        <v>NW</v>
      </c>
      <c r="AH179" s="86" t="str">
        <f t="shared" si="66"/>
        <v>"%USERPROFILE%\Documents\GitHub\eaglep3\Utilities\RefineRTDCRunTimes.py" --tripid 1821-16 --locoid 4046 --swversion DE.1.0.9.0 --startMP 204:1063 --initTime 2017-04-16T16:18:42 --startdatetime 2017-04-16T16:21:28 --delay 1 --endMP 300:58960 --enddatetime 2017-04-16T16:34:09 --enforcementcount 0 &gt;&gt;C:\Users\stu\Documents\GitHub\eaglep3-reporting\EC\2017-04-16-refined-times.txt</v>
      </c>
      <c r="AI179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{"issue":{"subject":"","project_id":79,"tracker_id":40,"status_id":1,"priority_id":2,"assigned_to_id":23,"start_date":"2017-04-16","description":"","custom_fields":[{"id":1,"name":"Subdivision","value":"NW"},{"id":4,"name":"Milepost","value":"5.896"},{"id":17,"name":"Train ID","value":"1821-16"},{"id":16,"name":"Locomotive ID","value":"4046"},{"id":130,"name":"Impact","value":""},{"id":150,"name":"Time of Event (Mountain Time)","value":"16:34:09"},{"id":151,"name":"Denver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8"/>
        <v>start /low /b %USERPROFILE%\Documents\GitHub\eaglep3\Utilities\DownloadLogsFromS3.py --loco 4046 --day 2017-04-16</v>
      </c>
      <c r="AN179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800</v>
      </c>
      <c r="B180" s="7">
        <v>4045</v>
      </c>
      <c r="C180" s="21" t="s">
        <v>214</v>
      </c>
      <c r="D180" s="21" t="s">
        <v>929</v>
      </c>
      <c r="E180" s="13">
        <v>42841.691481481481</v>
      </c>
      <c r="F180" s="13">
        <v>42841.695115740738</v>
      </c>
      <c r="G180" s="7">
        <v>1</v>
      </c>
      <c r="H180" s="21" t="s">
        <v>911</v>
      </c>
      <c r="I180" s="13">
        <v>42841.704479166663</v>
      </c>
      <c r="J180" s="7">
        <v>0</v>
      </c>
      <c r="K180" s="97" t="str">
        <f t="shared" si="55"/>
        <v>4045/4046</v>
      </c>
      <c r="L180" s="21" t="str">
        <f>VLOOKUP(A180,'Trips&amp;Operators'!$C$1:$G$99999,5,FALSE)</f>
        <v>HELVIE ADAM</v>
      </c>
      <c r="M180" s="6">
        <f t="shared" si="56"/>
        <v>9.3634259246755391E-3</v>
      </c>
      <c r="N180" s="7">
        <f t="shared" si="74"/>
        <v>13.483333331532776</v>
      </c>
      <c r="O180" s="7"/>
      <c r="P180" s="7"/>
      <c r="Q180" s="22"/>
      <c r="R180" s="22"/>
      <c r="S180" s="31">
        <f t="shared" si="72"/>
        <v>1</v>
      </c>
      <c r="T180" s="46" t="str">
        <f t="shared" si="57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8"/>
        <v>https://d0f6bd738d7f1b3e5a7ca70fe4ff75f0.us-east-1.aws.found.io/app/kibana#/discover/Steve-Slow-Train-Analysis-(2080s-and-2083s)?_g=(refreshInterval:(display:Off,pause:!f,section:0,value:0),time:(from:'2017-04-16T15:35:44-0600',mode:absolute,to:'2017-04-16T17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0" s="183" t="str">
        <f t="shared" si="59"/>
        <v>N</v>
      </c>
      <c r="X180" s="183">
        <f t="shared" si="73"/>
        <v>1</v>
      </c>
      <c r="Y180" s="62">
        <f t="shared" si="60"/>
        <v>5.8632</v>
      </c>
      <c r="Z180" s="62">
        <f t="shared" si="70"/>
        <v>7.3300000000000004E-2</v>
      </c>
      <c r="AA180" s="62">
        <f t="shared" si="61"/>
        <v>5.7899000000000003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2"/>
        <v>1822-16</v>
      </c>
      <c r="AE180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80" s="82" t="str">
        <f t="shared" si="64"/>
        <v>"C:\Program Files (x86)\AstroGrep\AstroGrep.exe" /e /r /s /spath="%USERPROFILE%\AppData\Local\Temp\OnboardLogs" /stypes="app*4045*20170416*" /stext=" 22:.+((SYSTEM_STATE.+slice.+state.+changed )|(ment ac)|(multiple cpu faults)|(system.+state.+changed )|(\[timeout)|(PRM\|1\|D)|(kpr)|(kdp)|(\|lc)|(penalty))"</v>
      </c>
      <c r="AG180" s="1" t="str">
        <f t="shared" si="65"/>
        <v>NW</v>
      </c>
      <c r="AH180" s="86" t="str">
        <f t="shared" si="66"/>
        <v>"%USERPROFILE%\Documents\GitHub\eaglep3\Utilities\RefineRTDCRunTimes.py" --tripid 1822-16 --locoid 4045 --swversion DE.1.0.9.0 --startMP 300:58632 --initTime 2017-04-16T16:35:44 --startdatetime 2017-04-16T16:40:58 --delay 1 --endMP 204:733 --enddatetime 2017-04-16T16:54:27 --enforcementcount 0 &gt;&gt;C:\Users\stu\Documents\GitHub\eaglep3-reporting\EC\2017-04-16-refined-times.txt</v>
      </c>
      <c r="AI180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{"issue":{"subject":"","project_id":79,"tracker_id":40,"status_id":1,"priority_id":2,"assigned_to_id":23,"start_date":"2017-04-16","description":"","custom_fields":[{"id":1,"name":"Subdivision","value":"NW"},{"id":4,"name":"Milepost","value":"0.0733"},{"id":17,"name":"Train ID","value":"1822-16"},{"id":16,"name":"Locomotive ID","value":"4045"},{"id":130,"name":"Impact","value":""},{"id":150,"name":"Time of Event (Mountain Time)","value":"16:54:27"},{"id":151,"name":"Denver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8"/>
        <v>start /low /b %USERPROFILE%\Documents\GitHub\eaglep3\Utilities\DownloadLogsFromS3.py --loco 4045 --day 2017-04-16</v>
      </c>
      <c r="AN180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806</v>
      </c>
      <c r="B181" s="7">
        <v>4046</v>
      </c>
      <c r="C181" s="21" t="s">
        <v>214</v>
      </c>
      <c r="D181" s="21" t="s">
        <v>930</v>
      </c>
      <c r="E181" s="13">
        <v>42841.719733796293</v>
      </c>
      <c r="F181" s="13">
        <v>42841.723310185182</v>
      </c>
      <c r="G181" s="7">
        <v>1</v>
      </c>
      <c r="H181" s="21" t="s">
        <v>515</v>
      </c>
      <c r="I181" s="13">
        <v>42841.732175925928</v>
      </c>
      <c r="J181" s="7">
        <v>0</v>
      </c>
      <c r="K181" s="97" t="str">
        <f t="shared" si="55"/>
        <v>4045/4046</v>
      </c>
      <c r="L181" s="21" t="str">
        <f>VLOOKUP(A181,'Trips&amp;Operators'!$C$1:$G$99999,5,FALSE)</f>
        <v>HELVIE ADAM</v>
      </c>
      <c r="M181" s="6">
        <f t="shared" si="56"/>
        <v>8.8657407468417659E-3</v>
      </c>
      <c r="N181" s="7">
        <f t="shared" si="74"/>
        <v>12.766666675452143</v>
      </c>
      <c r="O181" s="7"/>
      <c r="P181" s="7"/>
      <c r="Q181" s="22"/>
      <c r="R181" s="22"/>
      <c r="S181" s="31">
        <f t="shared" si="72"/>
        <v>1</v>
      </c>
      <c r="T181" s="46" t="str">
        <f t="shared" si="57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8"/>
        <v>https://d0f6bd738d7f1b3e5a7ca70fe4ff75f0.us-east-1.aws.found.io/app/kibana#/discover/Steve-Slow-Train-Analysis-(2080s-and-2083s)?_g=(refreshInterval:(display:Off,pause:!f,section:0,value:0),time:(from:'2017-04-16T16:16:25-0600',mode:absolute,to:'2017-04-16T18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1" s="183" t="str">
        <f t="shared" si="59"/>
        <v>N</v>
      </c>
      <c r="X181" s="183">
        <f t="shared" si="73"/>
        <v>1</v>
      </c>
      <c r="Y181" s="62">
        <f t="shared" si="60"/>
        <v>0.1048</v>
      </c>
      <c r="Z181" s="62">
        <f t="shared" si="70"/>
        <v>5.8940999999999999</v>
      </c>
      <c r="AA181" s="62">
        <f t="shared" si="61"/>
        <v>5.7892999999999999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2"/>
        <v>1823-16</v>
      </c>
      <c r="AE181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81" s="82" t="str">
        <f t="shared" si="64"/>
        <v>"C:\Program Files (x86)\AstroGrep\AstroGrep.exe" /e /r /s /spath="%USERPROFILE%\AppData\Local\Temp\OnboardLogs" /stypes="app*4046*20170416*" /stext=" 23:.+((SYSTEM_STATE.+slice.+state.+changed )|(ment ac)|(multiple cpu faults)|(system.+state.+changed )|(\[timeout)|(PRM\|1\|D)|(kpr)|(kdp)|(\|lc)|(penalty))"</v>
      </c>
      <c r="AG181" s="1" t="str">
        <f t="shared" si="65"/>
        <v>NW</v>
      </c>
      <c r="AH181" s="86" t="str">
        <f t="shared" si="66"/>
        <v>"%USERPROFILE%\Documents\GitHub\eaglep3\Utilities\RefineRTDCRunTimes.py" --tripid 1823-16 --locoid 4046 --swversion DE.1.0.9.0 --startMP 204:1048 --initTime 2017-04-16T17:16:25 --startdatetime 2017-04-16T17:21:34 --delay 1 --endMP 300:58941 --enddatetime 2017-04-16T17:34:20 --enforcementcount 0 &gt;&gt;C:\Users\stu\Documents\GitHub\eaglep3-reporting\EC\2017-04-16-refined-times.txt</v>
      </c>
      <c r="AI181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{"issue":{"subject":"","project_id":79,"tracker_id":40,"status_id":1,"priority_id":2,"assigned_to_id":23,"start_date":"2017-04-16","description":"","custom_fields":[{"id":1,"name":"Subdivision","value":"NW"},{"id":4,"name":"Milepost","value":"5.8941"},{"id":17,"name":"Train ID","value":"1823-16"},{"id":16,"name":"Locomotive ID","value":"4046"},{"id":130,"name":"Impact","value":""},{"id":150,"name":"Time of Event (Mountain Time)","value":"17:34:20"},{"id":151,"name":"Denver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8"/>
        <v>start /low /b %USERPROFILE%\Documents\GitHub\eaglep3\Utilities\DownloadLogsFromS3.py --loco 4046 --day 2017-04-16</v>
      </c>
      <c r="AN181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809</v>
      </c>
      <c r="B182" s="7">
        <v>4045</v>
      </c>
      <c r="C182" s="21" t="s">
        <v>214</v>
      </c>
      <c r="D182" s="21" t="s">
        <v>626</v>
      </c>
      <c r="E182" s="13">
        <v>42841.733229166668</v>
      </c>
      <c r="F182" s="13">
        <v>42841.736388888887</v>
      </c>
      <c r="G182" s="7">
        <v>2</v>
      </c>
      <c r="H182" s="21" t="s">
        <v>524</v>
      </c>
      <c r="I182" s="13">
        <v>42841.745972222219</v>
      </c>
      <c r="J182" s="7">
        <v>0</v>
      </c>
      <c r="K182" s="97" t="str">
        <f t="shared" si="55"/>
        <v>4045/4046</v>
      </c>
      <c r="L182" s="21" t="str">
        <f>VLOOKUP(A182,'Trips&amp;Operators'!$C$1:$G$99999,5,FALSE)</f>
        <v>HELVIE ADAM</v>
      </c>
      <c r="M182" s="6">
        <f t="shared" si="56"/>
        <v>9.5833333325572312E-3</v>
      </c>
      <c r="N182" s="7">
        <f t="shared" si="74"/>
        <v>13.799999998882413</v>
      </c>
      <c r="O182" s="7"/>
      <c r="P182" s="7"/>
      <c r="Q182" s="22"/>
      <c r="R182" s="22"/>
      <c r="S182" s="31">
        <f t="shared" si="72"/>
        <v>1</v>
      </c>
      <c r="T182" s="46" t="str">
        <f t="shared" si="57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8"/>
        <v>https://d0f6bd738d7f1b3e5a7ca70fe4ff75f0.us-east-1.aws.found.io/app/kibana#/discover/Steve-Slow-Train-Analysis-(2080s-and-2083s)?_g=(refreshInterval:(display:Off,pause:!f,section:0,value:0),time:(from:'2017-04-16T16:35:51-0600',mode:absolute,to:'2017-04-16T18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2" s="183" t="str">
        <f t="shared" si="59"/>
        <v>N</v>
      </c>
      <c r="X182" s="183">
        <f t="shared" si="73"/>
        <v>1</v>
      </c>
      <c r="Y182" s="62">
        <f t="shared" si="60"/>
        <v>5.8620999999999999</v>
      </c>
      <c r="Z182" s="62">
        <f t="shared" si="70"/>
        <v>7.4800000000000005E-2</v>
      </c>
      <c r="AA182" s="62">
        <f t="shared" si="61"/>
        <v>5.7873000000000001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2"/>
        <v>1824-16</v>
      </c>
      <c r="AE182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82" s="82" t="str">
        <f t="shared" si="64"/>
        <v>"C:\Program Files (x86)\AstroGrep\AstroGrep.exe" /e /r /s /spath="%USERPROFILE%\AppData\Local\Temp\OnboardLogs" /stypes="app*4045*20170416*" /stext=" 23:.+((SYSTEM_STATE.+slice.+state.+changed )|(ment ac)|(multiple cpu faults)|(system.+state.+changed )|(\[timeout)|(PRM\|1\|D)|(kpr)|(kdp)|(\|lc)|(penalty))"</v>
      </c>
      <c r="AG182" s="1" t="str">
        <f t="shared" si="65"/>
        <v>NW</v>
      </c>
      <c r="AH182" s="86" t="str">
        <f t="shared" si="66"/>
        <v>"%USERPROFILE%\Documents\GitHub\eaglep3\Utilities\RefineRTDCRunTimes.py" --tripid 1824-16 --locoid 4045 --swversion DE.1.0.9.0 --startMP 300:58621 --initTime 2017-04-16T17:35:51 --startdatetime 2017-04-16T17:40:24 --delay 2 --endMP 204:748 --enddatetime 2017-04-16T17:54:12 --enforcementcount 0 &gt;&gt;C:\Users\stu\Documents\GitHub\eaglep3-reporting\EC\2017-04-16-refined-times.txt</v>
      </c>
      <c r="AI182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{"issue":{"subject":"","project_id":79,"tracker_id":40,"status_id":1,"priority_id":2,"assigned_to_id":23,"start_date":"2017-04-16","description":"","custom_fields":[{"id":1,"name":"Subdivision","value":"NW"},{"id":4,"name":"Milepost","value":"0.0748"},{"id":17,"name":"Train ID","value":"1824-16"},{"id":16,"name":"Locomotive ID","value":"4045"},{"id":130,"name":"Impact","value":""},{"id":150,"name":"Time of Event (Mountain Time)","value":"17:54:12"},{"id":151,"name":"Denver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8"/>
        <v>start /low /b %USERPROFILE%\Documents\GitHub\eaglep3\Utilities\DownloadLogsFromS3.py --loco 4045 --day 2017-04-16</v>
      </c>
      <c r="AN182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819</v>
      </c>
      <c r="B183" s="7">
        <v>4046</v>
      </c>
      <c r="C183" s="21" t="s">
        <v>214</v>
      </c>
      <c r="D183" s="21" t="s">
        <v>513</v>
      </c>
      <c r="E183" s="13">
        <v>42841.761192129627</v>
      </c>
      <c r="F183" s="13">
        <v>42841.764814814815</v>
      </c>
      <c r="G183" s="7">
        <v>1</v>
      </c>
      <c r="H183" s="21" t="s">
        <v>909</v>
      </c>
      <c r="I183" s="13">
        <v>42841.773923611108</v>
      </c>
      <c r="J183" s="7">
        <v>0</v>
      </c>
      <c r="K183" s="97" t="str">
        <f t="shared" si="55"/>
        <v>4045/4046</v>
      </c>
      <c r="L183" s="21" t="str">
        <f>VLOOKUP(A183,'Trips&amp;Operators'!$C$1:$G$99999,5,FALSE)</f>
        <v>HELVIE ADAM</v>
      </c>
      <c r="M183" s="6">
        <f t="shared" si="56"/>
        <v>9.1087962937308475E-3</v>
      </c>
      <c r="N183" s="7">
        <f t="shared" si="74"/>
        <v>13.11666666297242</v>
      </c>
      <c r="O183" s="7"/>
      <c r="P183" s="7"/>
      <c r="Q183" s="22"/>
      <c r="R183" s="22"/>
      <c r="S183" s="31">
        <f t="shared" si="72"/>
        <v>1</v>
      </c>
      <c r="T183" s="46" t="str">
        <f t="shared" si="57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8"/>
        <v>https://d0f6bd738d7f1b3e5a7ca70fe4ff75f0.us-east-1.aws.found.io/app/kibana#/discover/Steve-Slow-Train-Analysis-(2080s-and-2083s)?_g=(refreshInterval:(display:Off,pause:!f,section:0,value:0),time:(from:'2017-04-16T17:16:07-0600',mode:absolute,to:'2017-04-16T19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3" s="183" t="str">
        <f t="shared" si="59"/>
        <v>N</v>
      </c>
      <c r="X183" s="183">
        <f t="shared" si="73"/>
        <v>1</v>
      </c>
      <c r="Y183" s="62">
        <f t="shared" si="60"/>
        <v>0.1027</v>
      </c>
      <c r="Z183" s="62">
        <f t="shared" si="70"/>
        <v>5.8948</v>
      </c>
      <c r="AA183" s="62">
        <f t="shared" si="61"/>
        <v>5.7921000000000005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2"/>
        <v>1825-16</v>
      </c>
      <c r="AE183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83" s="82" t="str">
        <f t="shared" si="64"/>
        <v>"C:\Program Files (x86)\AstroGrep\AstroGrep.exe" /e /r /s /spath="%USERPROFILE%\AppData\Local\Temp\OnboardLogs" /stypes="app*4046*20170417*" /stext=" 00:.+((SYSTEM_STATE.+slice.+state.+changed )|(ment ac)|(multiple cpu faults)|(system.+state.+changed )|(\[timeout)|(PRM\|1\|D)|(kpr)|(kdp)|(\|lc)|(penalty))"</v>
      </c>
      <c r="AG183" s="1" t="str">
        <f t="shared" si="65"/>
        <v>NW</v>
      </c>
      <c r="AH183" s="86" t="str">
        <f t="shared" si="66"/>
        <v>"%USERPROFILE%\Documents\GitHub\eaglep3\Utilities\RefineRTDCRunTimes.py" --tripid 1825-16 --locoid 4046 --swversion DE.1.0.9.0 --startMP 204:1027 --initTime 2017-04-16T18:16:07 --startdatetime 2017-04-16T18:21:20 --delay 1 --endMP 300:58948 --enddatetime 2017-04-16T18:34:27 --enforcementcount 0 &gt;&gt;C:\Users\stu\Documents\GitHub\eaglep3-reporting\EC\2017-04-16-refined-times.txt</v>
      </c>
      <c r="AI183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{"issue":{"subject":"","project_id":79,"tracker_id":40,"status_id":1,"priority_id":2,"assigned_to_id":23,"start_date":"2017-04-16","description":"","custom_fields":[{"id":1,"name":"Subdivision","value":"NW"},{"id":4,"name":"Milepost","value":"5.8948"},{"id":17,"name":"Train ID","value":"1825-16"},{"id":16,"name":"Locomotive ID","value":"4046"},{"id":130,"name":"Impact","value":""},{"id":150,"name":"Time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68"/>
        <v>start /low /b %USERPROFILE%\Documents\GitHub\eaglep3\Utilities\DownloadLogsFromS3.py --loco 4046 --day 2017-04-16</v>
      </c>
      <c r="AN183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823</v>
      </c>
      <c r="B184" s="7">
        <v>4045</v>
      </c>
      <c r="C184" s="21" t="s">
        <v>214</v>
      </c>
      <c r="D184" s="21" t="s">
        <v>910</v>
      </c>
      <c r="E184" s="13">
        <v>42841.775578703702</v>
      </c>
      <c r="F184" s="13">
        <v>42841.778402777774</v>
      </c>
      <c r="G184" s="7">
        <v>1</v>
      </c>
      <c r="H184" s="21" t="s">
        <v>864</v>
      </c>
      <c r="I184" s="13">
        <v>42841.78875</v>
      </c>
      <c r="J184" s="7">
        <v>0</v>
      </c>
      <c r="K184" s="97" t="str">
        <f t="shared" si="55"/>
        <v>4045/4046</v>
      </c>
      <c r="L184" s="21" t="str">
        <f>VLOOKUP(A184,'Trips&amp;Operators'!$C$1:$G$99999,5,FALSE)</f>
        <v>HELVIE ADAM</v>
      </c>
      <c r="M184" s="6">
        <f t="shared" si="56"/>
        <v>1.0347222225391306E-2</v>
      </c>
      <c r="N184" s="7">
        <f t="shared" si="74"/>
        <v>14.900000004563481</v>
      </c>
      <c r="O184" s="7"/>
      <c r="P184" s="7"/>
      <c r="Q184" s="22"/>
      <c r="R184" s="22"/>
      <c r="S184" s="31">
        <f t="shared" si="72"/>
        <v>1</v>
      </c>
      <c r="T184" s="46" t="str">
        <f t="shared" si="57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8"/>
        <v>https://d0f6bd738d7f1b3e5a7ca70fe4ff75f0.us-east-1.aws.found.io/app/kibana#/discover/Steve-Slow-Train-Analysis-(2080s-and-2083s)?_g=(refreshInterval:(display:Off,pause:!f,section:0,value:0),time:(from:'2017-04-16T17:36:50-0600',mode:absolute,to:'2017-04-16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4" s="183" t="str">
        <f t="shared" si="59"/>
        <v>N</v>
      </c>
      <c r="X184" s="183">
        <f t="shared" si="73"/>
        <v>1</v>
      </c>
      <c r="Y184" s="62">
        <f t="shared" si="60"/>
        <v>5.8628</v>
      </c>
      <c r="Z184" s="62">
        <f t="shared" ref="Z184:Z219" si="75">RIGHT(H184,LEN(H184)-4)/10000</f>
        <v>7.0800000000000002E-2</v>
      </c>
      <c r="AA184" s="62">
        <f t="shared" si="61"/>
        <v>5.7919999999999998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2"/>
        <v>1826-16</v>
      </c>
      <c r="AE184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84" s="82" t="str">
        <f t="shared" si="64"/>
        <v>"C:\Program Files (x86)\AstroGrep\AstroGrep.exe" /e /r /s /spath="%USERPROFILE%\AppData\Local\Temp\OnboardLogs" /stypes="app*4045*20170417*" /stext=" 00:.+((SYSTEM_STATE.+slice.+state.+changed )|(ment ac)|(multiple cpu faults)|(system.+state.+changed )|(\[timeout)|(PRM\|1\|D)|(kpr)|(kdp)|(\|lc)|(penalty))"</v>
      </c>
      <c r="AG184" s="1" t="str">
        <f t="shared" si="65"/>
        <v>NW</v>
      </c>
      <c r="AH184" s="86" t="str">
        <f t="shared" si="66"/>
        <v>"%USERPROFILE%\Documents\GitHub\eaglep3\Utilities\RefineRTDCRunTimes.py" --tripid 1826-16 --locoid 4045 --swversion DE.1.0.9.0 --startMP 300:58628 --initTime 2017-04-16T18:36:50 --startdatetime 2017-04-16T18:40:54 --delay 1 --endMP 204:708 --enddatetime 2017-04-16T18:55:48 --enforcementcount 0 &gt;&gt;C:\Users\stu\Documents\GitHub\eaglep3-reporting\EC\2017-04-16-refined-times.txt</v>
      </c>
      <c r="AI184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{"issue":{"subject":"","project_id":79,"tracker_id":40,"status_id":1,"priority_id":2,"assigned_to_id":23,"start_date":"2017-04-16","description":"","custom_fields":[{"id":1,"name":"Subdivision","value":"NW"},{"id":4,"name":"Milepost","value":"0.0708"},{"id":17,"name":"Train ID","value":"1826-16"},{"id":16,"name":"Locomotive ID","value":"4045"},{"id":130,"name":"Impact","value":""},{"id":150,"name":"Time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68"/>
        <v>start /low /b %USERPROFILE%\Documents\GitHub\eaglep3\Utilities\DownloadLogsFromS3.py --loco 4045 --day 2017-04-16</v>
      </c>
      <c r="AN184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829</v>
      </c>
      <c r="B185" s="7">
        <v>4046</v>
      </c>
      <c r="C185" s="21" t="s">
        <v>214</v>
      </c>
      <c r="D185" s="21" t="s">
        <v>931</v>
      </c>
      <c r="E185" s="13">
        <v>42841.802974537037</v>
      </c>
      <c r="F185" s="13">
        <v>42841.806481481479</v>
      </c>
      <c r="G185" s="7">
        <v>1</v>
      </c>
      <c r="H185" s="21" t="s">
        <v>515</v>
      </c>
      <c r="I185" s="13">
        <v>42841.815671296295</v>
      </c>
      <c r="J185" s="7">
        <v>0</v>
      </c>
      <c r="K185" s="97" t="str">
        <f t="shared" si="55"/>
        <v>4045/4046</v>
      </c>
      <c r="L185" s="21" t="str">
        <f>VLOOKUP(A185,'Trips&amp;Operators'!$C$1:$G$99999,5,FALSE)</f>
        <v>HELVIE ADAM</v>
      </c>
      <c r="M185" s="6">
        <f t="shared" si="56"/>
        <v>9.189814816636499E-3</v>
      </c>
      <c r="N185" s="7">
        <f t="shared" si="74"/>
        <v>13.233333335956559</v>
      </c>
      <c r="O185" s="7"/>
      <c r="P185" s="7"/>
      <c r="Q185" s="22"/>
      <c r="R185" s="22"/>
      <c r="S185" s="31">
        <f t="shared" si="72"/>
        <v>1</v>
      </c>
      <c r="T185" s="46" t="str">
        <f t="shared" si="57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8"/>
        <v>https://d0f6bd738d7f1b3e5a7ca70fe4ff75f0.us-east-1.aws.found.io/app/kibana#/discover/Steve-Slow-Train-Analysis-(2080s-and-2083s)?_g=(refreshInterval:(display:Off,pause:!f,section:0,value:0),time:(from:'2017-04-16T18:16:17-0600',mode:absolute,to:'2017-04-16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5" s="183" t="str">
        <f t="shared" si="59"/>
        <v>N</v>
      </c>
      <c r="X185" s="183">
        <f t="shared" si="73"/>
        <v>1</v>
      </c>
      <c r="Y185" s="62">
        <f t="shared" si="60"/>
        <v>9.9900000000000003E-2</v>
      </c>
      <c r="Z185" s="62">
        <f t="shared" si="75"/>
        <v>5.8940999999999999</v>
      </c>
      <c r="AA185" s="62">
        <f t="shared" si="61"/>
        <v>5.7942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2"/>
        <v>1827-16</v>
      </c>
      <c r="AE185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85" s="82" t="str">
        <f t="shared" si="64"/>
        <v>"C:\Program Files (x86)\AstroGrep\AstroGrep.exe" /e /r /s /spath="%USERPROFILE%\AppData\Local\Temp\OnboardLogs" /stypes="app*4046*20170417*" /stext=" 01:.+((SYSTEM_STATE.+slice.+state.+changed )|(ment ac)|(multiple cpu faults)|(system.+state.+changed )|(\[timeout)|(PRM\|1\|D)|(kpr)|(kdp)|(\|lc)|(penalty))"</v>
      </c>
      <c r="AG185" s="1" t="str">
        <f t="shared" si="65"/>
        <v>NW</v>
      </c>
      <c r="AH185" s="86" t="str">
        <f t="shared" si="66"/>
        <v>"%USERPROFILE%\Documents\GitHub\eaglep3\Utilities\RefineRTDCRunTimes.py" --tripid 1827-16 --locoid 4046 --swversion DE.1.0.9.0 --startMP 204:999 --initTime 2017-04-16T19:16:17 --startdatetime 2017-04-16T19:21:20 --delay 1 --endMP 300:58941 --enddatetime 2017-04-16T19:34:34 --enforcementcount 0 &gt;&gt;C:\Users\stu\Documents\GitHub\eaglep3-reporting\EC\2017-04-16-refined-times.txt</v>
      </c>
      <c r="AI185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{"issue":{"subject":"","project_id":79,"tracker_id":40,"status_id":1,"priority_id":2,"assigned_to_id":23,"start_date":"2017-04-16","description":"","custom_fields":[{"id":1,"name":"Subdivision","value":"NW"},{"id":4,"name":"Milepost","value":"5.8941"},{"id":17,"name":"Train ID","value":"1827-16"},{"id":16,"name":"Locomotive ID","value":"4046"},{"id":130,"name":"Impact","value":""},{"id":150,"name":"Time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68"/>
        <v>start /low /b %USERPROFILE%\Documents\GitHub\eaglep3\Utilities\DownloadLogsFromS3.py --loco 4046 --day 2017-04-16</v>
      </c>
      <c r="AN185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832</v>
      </c>
      <c r="B186" s="7">
        <v>4045</v>
      </c>
      <c r="C186" s="21" t="s">
        <v>214</v>
      </c>
      <c r="D186" s="21" t="s">
        <v>622</v>
      </c>
      <c r="E186" s="13">
        <v>42841.817106481481</v>
      </c>
      <c r="F186" s="13">
        <v>42841.819988425923</v>
      </c>
      <c r="G186" s="7">
        <v>1</v>
      </c>
      <c r="H186" s="21" t="s">
        <v>932</v>
      </c>
      <c r="I186" s="13">
        <v>42841.830671296295</v>
      </c>
      <c r="J186" s="7">
        <v>0</v>
      </c>
      <c r="K186" s="97" t="str">
        <f t="shared" si="55"/>
        <v>4045/4046</v>
      </c>
      <c r="L186" s="21" t="str">
        <f>VLOOKUP(A186,'Trips&amp;Operators'!$C$1:$G$99999,5,FALSE)</f>
        <v>HELVIE ADAM</v>
      </c>
      <c r="M186" s="6">
        <f t="shared" si="56"/>
        <v>1.0682870371965691E-2</v>
      </c>
      <c r="N186" s="7">
        <f t="shared" si="74"/>
        <v>15.383333335630596</v>
      </c>
      <c r="O186" s="7"/>
      <c r="P186" s="7"/>
      <c r="Q186" s="22"/>
      <c r="R186" s="22"/>
      <c r="S186" s="31">
        <f t="shared" si="72"/>
        <v>1</v>
      </c>
      <c r="T186" s="46" t="str">
        <f t="shared" si="57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8"/>
        <v>https://d0f6bd738d7f1b3e5a7ca70fe4ff75f0.us-east-1.aws.found.io/app/kibana#/discover/Steve-Slow-Train-Analysis-(2080s-and-2083s)?_g=(refreshInterval:(display:Off,pause:!f,section:0,value:0),time:(from:'2017-04-16T18:36:38-0600',mode:absolute,to:'2017-04-16T20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6" s="183" t="str">
        <f t="shared" si="59"/>
        <v>N</v>
      </c>
      <c r="X186" s="183">
        <f t="shared" si="73"/>
        <v>1</v>
      </c>
      <c r="Y186" s="62">
        <f t="shared" si="60"/>
        <v>5.8623000000000003</v>
      </c>
      <c r="Z186" s="62">
        <f t="shared" si="75"/>
        <v>7.6200000000000004E-2</v>
      </c>
      <c r="AA186" s="62">
        <f t="shared" si="61"/>
        <v>5.7861000000000002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2"/>
        <v>1828-16</v>
      </c>
      <c r="AE186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86" s="82" t="str">
        <f t="shared" si="64"/>
        <v>"C:\Program Files (x86)\AstroGrep\AstroGrep.exe" /e /r /s /spath="%USERPROFILE%\AppData\Local\Temp\OnboardLogs" /stypes="app*4045*20170417*" /stext=" 01:.+((SYSTEM_STATE.+slice.+state.+changed )|(ment ac)|(multiple cpu faults)|(system.+state.+changed )|(\[timeout)|(PRM\|1\|D)|(kpr)|(kdp)|(\|lc)|(penalty))"</v>
      </c>
      <c r="AG186" s="1" t="str">
        <f t="shared" si="65"/>
        <v>NW</v>
      </c>
      <c r="AH186" s="86" t="str">
        <f t="shared" si="66"/>
        <v>"%USERPROFILE%\Documents\GitHub\eaglep3\Utilities\RefineRTDCRunTimes.py" --tripid 1828-16 --locoid 4045 --swversion DE.1.0.9.0 --startMP 300:58623 --initTime 2017-04-16T19:36:38 --startdatetime 2017-04-16T19:40:47 --delay 1 --endMP 204:762 --enddatetime 2017-04-16T19:56:10 --enforcementcount 0 &gt;&gt;C:\Users\stu\Documents\GitHub\eaglep3-reporting\EC\2017-04-16-refined-times.txt</v>
      </c>
      <c r="AI186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{"issue":{"subject":"","project_id":79,"tracker_id":40,"status_id":1,"priority_id":2,"assigned_to_id":23,"start_date":"2017-04-16","description":"","custom_fields":[{"id":1,"name":"Subdivision","value":"NW"},{"id":4,"name":"Milepost","value":"0.0762"},{"id":17,"name":"Train ID","value":"1828-16"},{"id":16,"name":"Locomotive ID","value":"4045"},{"id":130,"name":"Impact","value":""},{"id":150,"name":"Time of Event (Mountain Time)","value":"19:56:10"},{"id":151,"name":"Denver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8"/>
        <v>start /low /b %USERPROFILE%\Documents\GitHub\eaglep3\Utilities\DownloadLogsFromS3.py --loco 4045 --day 2017-04-16</v>
      </c>
      <c r="AN186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837</v>
      </c>
      <c r="B187" s="7">
        <v>4046</v>
      </c>
      <c r="C187" s="21" t="s">
        <v>214</v>
      </c>
      <c r="D187" s="21" t="s">
        <v>933</v>
      </c>
      <c r="E187" s="13">
        <v>42841.846643518518</v>
      </c>
      <c r="F187" s="13">
        <v>42841.848136574074</v>
      </c>
      <c r="G187" s="7">
        <v>1</v>
      </c>
      <c r="H187" s="21" t="s">
        <v>922</v>
      </c>
      <c r="I187" s="13">
        <v>42841.857094907406</v>
      </c>
      <c r="J187" s="7">
        <v>0</v>
      </c>
      <c r="K187" s="97" t="str">
        <f t="shared" si="55"/>
        <v>4045/4046</v>
      </c>
      <c r="L187" s="21" t="str">
        <f>VLOOKUP(A187,'Trips&amp;Operators'!$C$1:$G$99999,5,FALSE)</f>
        <v>HELVIE ADAM</v>
      </c>
      <c r="M187" s="6">
        <f t="shared" si="56"/>
        <v>8.9583333319751546E-3</v>
      </c>
      <c r="N187" s="7">
        <f t="shared" si="74"/>
        <v>12.899999998044223</v>
      </c>
      <c r="O187" s="7"/>
      <c r="P187" s="7"/>
      <c r="Q187" s="22"/>
      <c r="R187" s="22"/>
      <c r="S187" s="31">
        <f t="shared" si="72"/>
        <v>1</v>
      </c>
      <c r="T187" s="46" t="str">
        <f t="shared" si="57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8"/>
        <v>https://d0f6bd738d7f1b3e5a7ca70fe4ff75f0.us-east-1.aws.found.io/app/kibana#/discover/Steve-Slow-Train-Analysis-(2080s-and-2083s)?_g=(refreshInterval:(display:Off,pause:!f,section:0,value:0),time:(from:'2017-04-16T19:19:10-0600',mode:absolute,to:'2017-04-16T21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7" s="183" t="str">
        <f t="shared" si="59"/>
        <v>N</v>
      </c>
      <c r="X187" s="183">
        <f t="shared" si="73"/>
        <v>1</v>
      </c>
      <c r="Y187" s="62">
        <f t="shared" si="60"/>
        <v>0.1055</v>
      </c>
      <c r="Z187" s="62">
        <f t="shared" si="75"/>
        <v>5.8954000000000004</v>
      </c>
      <c r="AA187" s="62">
        <f t="shared" si="61"/>
        <v>5.7899000000000003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2"/>
        <v>1829-16</v>
      </c>
      <c r="AE187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87" s="82" t="str">
        <f t="shared" si="64"/>
        <v>"C:\Program Files (x86)\AstroGrep\AstroGrep.exe" /e /r /s /spath="%USERPROFILE%\AppData\Local\Temp\OnboardLogs" /stypes="app*4046*20170417*" /stext=" 02:.+((SYSTEM_STATE.+slice.+state.+changed )|(ment ac)|(multiple cpu faults)|(system.+state.+changed )|(\[timeout)|(PRM\|1\|D)|(kpr)|(kdp)|(\|lc)|(penalty))"</v>
      </c>
      <c r="AG187" s="1" t="str">
        <f t="shared" si="65"/>
        <v>NW</v>
      </c>
      <c r="AH187" s="86" t="str">
        <f t="shared" si="66"/>
        <v>"%USERPROFILE%\Documents\GitHub\eaglep3\Utilities\RefineRTDCRunTimes.py" --tripid 1829-16 --locoid 4046 --swversion DE.1.0.9.0 --startMP 204:1055 --initTime 2017-04-16T20:19:10 --startdatetime 2017-04-16T20:21:19 --delay 1 --endMP 300:58954 --enddatetime 2017-04-16T20:34:13 --enforcementcount 0 &gt;&gt;C:\Users\stu\Documents\GitHub\eaglep3-reporting\EC\2017-04-16-refined-times.txt</v>
      </c>
      <c r="AI187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{"issue":{"subject":"","project_id":79,"tracker_id":40,"status_id":1,"priority_id":2,"assigned_to_id":23,"start_date":"2017-04-16","description":"","custom_fields":[{"id":1,"name":"Subdivision","value":"NW"},{"id":4,"name":"Milepost","value":"5.8954"},{"id":17,"name":"Train ID","value":"1829-16"},{"id":16,"name":"Locomotive ID","value":"4046"},{"id":130,"name":"Impact","value":""},{"id":150,"name":"Time of Event (Mountain Time)","value":"20:34:13"},{"id":151,"name":"Denver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8"/>
        <v>start /low /b %USERPROFILE%\Documents\GitHub\eaglep3\Utilities\DownloadLogsFromS3.py --loco 4046 --day 2017-04-16</v>
      </c>
      <c r="AN187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02:34:13"},{"id":29,"name":"Sharepoint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838</v>
      </c>
      <c r="B188" s="7">
        <v>4045</v>
      </c>
      <c r="C188" s="21" t="s">
        <v>214</v>
      </c>
      <c r="D188" s="21" t="s">
        <v>626</v>
      </c>
      <c r="E188" s="13">
        <v>42841.858391203707</v>
      </c>
      <c r="F188" s="13">
        <v>42841.861898148149</v>
      </c>
      <c r="G188" s="7">
        <v>2</v>
      </c>
      <c r="H188" s="21" t="s">
        <v>918</v>
      </c>
      <c r="I188" s="13">
        <v>42841.870949074073</v>
      </c>
      <c r="J188" s="7">
        <v>0</v>
      </c>
      <c r="K188" s="97" t="str">
        <f t="shared" si="55"/>
        <v>4045/4046</v>
      </c>
      <c r="L188" s="21" t="str">
        <f>VLOOKUP(A188,'Trips&amp;Operators'!$C$1:$G$99999,5,FALSE)</f>
        <v>HELVIE ADAM</v>
      </c>
      <c r="M188" s="6">
        <f t="shared" si="56"/>
        <v>9.0509259243845008E-3</v>
      </c>
      <c r="N188" s="7">
        <f t="shared" si="74"/>
        <v>13.033333331113681</v>
      </c>
      <c r="O188" s="7"/>
      <c r="P188" s="7"/>
      <c r="Q188" s="22"/>
      <c r="R188" s="22"/>
      <c r="S188" s="31">
        <f t="shared" si="72"/>
        <v>1</v>
      </c>
      <c r="T188" s="46" t="str">
        <f t="shared" si="57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8"/>
        <v>https://d0f6bd738d7f1b3e5a7ca70fe4ff75f0.us-east-1.aws.found.io/app/kibana#/discover/Steve-Slow-Train-Analysis-(2080s-and-2083s)?_g=(refreshInterval:(display:Off,pause:!f,section:0,value:0),time:(from:'2017-04-16T19:36:05-0600',mode:absolute,to:'2017-04-16T21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8" s="183" t="str">
        <f t="shared" si="59"/>
        <v>N</v>
      </c>
      <c r="X188" s="183">
        <f t="shared" si="73"/>
        <v>1</v>
      </c>
      <c r="Y188" s="62">
        <f t="shared" si="60"/>
        <v>5.8620999999999999</v>
      </c>
      <c r="Z188" s="62">
        <f t="shared" si="75"/>
        <v>7.4499999999999997E-2</v>
      </c>
      <c r="AA188" s="62">
        <f t="shared" si="61"/>
        <v>5.7876000000000003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2"/>
        <v>1830-16</v>
      </c>
      <c r="AE188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88" s="82" t="str">
        <f t="shared" si="64"/>
        <v>"C:\Program Files (x86)\AstroGrep\AstroGrep.exe" /e /r /s /spath="%USERPROFILE%\AppData\Local\Temp\OnboardLogs" /stypes="app*4045*20170417*" /stext=" 02:.+((SYSTEM_STATE.+slice.+state.+changed )|(ment ac)|(multiple cpu faults)|(system.+state.+changed )|(\[timeout)|(PRM\|1\|D)|(kpr)|(kdp)|(\|lc)|(penalty))"</v>
      </c>
      <c r="AG188" s="1" t="str">
        <f t="shared" si="65"/>
        <v>NW</v>
      </c>
      <c r="AH188" s="86" t="str">
        <f t="shared" si="66"/>
        <v>"%USERPROFILE%\Documents\GitHub\eaglep3\Utilities\RefineRTDCRunTimes.py" --tripid 1830-16 --locoid 4045 --swversion DE.1.0.9.0 --startMP 300:58621 --initTime 2017-04-16T20:36:05 --startdatetime 2017-04-16T20:41:08 --delay 2 --endMP 204:745 --enddatetime 2017-04-16T20:54:10 --enforcementcount 0 &gt;&gt;C:\Users\stu\Documents\GitHub\eaglep3-reporting\EC\2017-04-16-refined-times.txt</v>
      </c>
      <c r="AI188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{"issue":{"subject":"","project_id":79,"tracker_id":40,"status_id":1,"priority_id":2,"assigned_to_id":23,"start_date":"2017-04-16","description":"","custom_fields":[{"id":1,"name":"Subdivision","value":"NW"},{"id":4,"name":"Milepost","value":"0.0745"},{"id":17,"name":"Train ID","value":"1830-16"},{"id":16,"name":"Locomotive ID","value":"4045"},{"id":130,"name":"Impact","value":""},{"id":150,"name":"Time of Event (Mountain Time)","value":"20:54:10"},{"id":151,"name":"Denver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68"/>
        <v>start /low /b %USERPROFILE%\Documents\GitHub\eaglep3\Utilities\DownloadLogsFromS3.py --loco 4045 --day 2017-04-16</v>
      </c>
      <c r="AN188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841</v>
      </c>
      <c r="B189" s="7">
        <v>4046</v>
      </c>
      <c r="C189" s="21" t="s">
        <v>214</v>
      </c>
      <c r="D189" s="21" t="s">
        <v>935</v>
      </c>
      <c r="E189" s="13">
        <v>42841.88894675926</v>
      </c>
      <c r="F189" s="13">
        <v>42841.890046296299</v>
      </c>
      <c r="G189" s="7">
        <v>0</v>
      </c>
      <c r="H189" s="21" t="s">
        <v>623</v>
      </c>
      <c r="I189" s="13">
        <v>42841.898738425924</v>
      </c>
      <c r="J189" s="7">
        <v>0</v>
      </c>
      <c r="K189" s="97" t="str">
        <f t="shared" si="55"/>
        <v>4045/4046</v>
      </c>
      <c r="L189" s="21" t="str">
        <f>VLOOKUP(A189,'Trips&amp;Operators'!$C$1:$G$99999,5,FALSE)</f>
        <v>HELVIE ADAM</v>
      </c>
      <c r="M189" s="6">
        <f t="shared" si="56"/>
        <v>8.6921296242508106E-3</v>
      </c>
      <c r="N189" s="7">
        <f t="shared" si="74"/>
        <v>12.516666658921167</v>
      </c>
      <c r="O189" s="7"/>
      <c r="P189" s="7"/>
      <c r="Q189" s="22"/>
      <c r="R189" s="22"/>
      <c r="S189" s="31">
        <f t="shared" si="72"/>
        <v>1</v>
      </c>
      <c r="T189" s="46" t="str">
        <f t="shared" si="57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8"/>
        <v>https://d0f6bd738d7f1b3e5a7ca70fe4ff75f0.us-east-1.aws.found.io/app/kibana#/discover/Steve-Slow-Train-Analysis-(2080s-and-2083s)?_g=(refreshInterval:(display:Off,pause:!f,section:0,value:0),time:(from:'2017-04-16T20:20:05-0600',mode:absolute,to:'2017-04-16T22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9" s="183" t="str">
        <f t="shared" si="59"/>
        <v>N</v>
      </c>
      <c r="X189" s="183">
        <f t="shared" si="73"/>
        <v>1</v>
      </c>
      <c r="Y189" s="62">
        <f t="shared" si="60"/>
        <v>0.1037</v>
      </c>
      <c r="Z189" s="62">
        <f t="shared" si="75"/>
        <v>5.8945999999999996</v>
      </c>
      <c r="AA189" s="62">
        <f t="shared" si="61"/>
        <v>5.7908999999999997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2"/>
        <v>1831-16</v>
      </c>
      <c r="AE189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89" s="82" t="str">
        <f t="shared" si="64"/>
        <v>"C:\Program Files (x86)\AstroGrep\AstroGrep.exe" /e /r /s /spath="%USERPROFILE%\AppData\Local\Temp\OnboardLogs" /stypes="app*4046*20170417*" /stext=" 03:.+((SYSTEM_STATE.+slice.+state.+changed )|(ment ac)|(multiple cpu faults)|(system.+state.+changed )|(\[timeout)|(PRM\|1\|D)|(kpr)|(kdp)|(\|lc)|(penalty))"</v>
      </c>
      <c r="AG189" s="1" t="str">
        <f t="shared" si="65"/>
        <v>NW</v>
      </c>
      <c r="AH189" s="86" t="str">
        <f t="shared" si="66"/>
        <v>"%USERPROFILE%\Documents\GitHub\eaglep3\Utilities\RefineRTDCRunTimes.py" --tripid 1831-16 --locoid 4046 --swversion DE.1.0.9.0 --startMP 204:1037 --initTime 2017-04-16T21:20:05 --startdatetime 2017-04-16T21:21:40 --delay 0 --endMP 300:58946 --enddatetime 2017-04-16T21:34:11 --enforcementcount 0 &gt;&gt;C:\Users\stu\Documents\GitHub\eaglep3-reporting\EC\2017-04-16-refined-times.txt</v>
      </c>
      <c r="AI189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{"issue":{"subject":"","project_id":79,"tracker_id":40,"status_id":1,"priority_id":2,"assigned_to_id":23,"start_date":"2017-04-16","description":"","custom_fields":[{"id":1,"name":"Subdivision","value":"NW"},{"id":4,"name":"Milepost","value":"5.8946"},{"id":17,"name":"Train ID","value":"1831-16"},{"id":16,"name":"Locomotive ID","value":"4046"},{"id":130,"name":"Impact","value":""},{"id":150,"name":"Time of Event (Mountain Time)","value":"21:34:11"},{"id":151,"name":"Denver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8"/>
        <v>start /low /b %USERPROFILE%\Documents\GitHub\eaglep3\Utilities\DownloadLogsFromS3.py --loco 4046 --day 2017-04-16</v>
      </c>
      <c r="AN189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843</v>
      </c>
      <c r="B190" s="7">
        <v>4045</v>
      </c>
      <c r="C190" s="21" t="s">
        <v>214</v>
      </c>
      <c r="D190" s="21" t="s">
        <v>534</v>
      </c>
      <c r="E190" s="13">
        <v>42841.899861111109</v>
      </c>
      <c r="F190" s="13">
        <v>42841.903483796297</v>
      </c>
      <c r="G190" s="7">
        <v>1</v>
      </c>
      <c r="H190" s="21" t="s">
        <v>618</v>
      </c>
      <c r="I190" s="13">
        <v>42841.912627314814</v>
      </c>
      <c r="J190" s="7">
        <v>0</v>
      </c>
      <c r="K190" s="97" t="str">
        <f t="shared" si="55"/>
        <v>4045/4046</v>
      </c>
      <c r="L190" s="21" t="str">
        <f>VLOOKUP(A190,'Trips&amp;Operators'!$C$1:$G$99999,5,FALSE)</f>
        <v>HELVIE ADAM</v>
      </c>
      <c r="M190" s="6">
        <f t="shared" si="56"/>
        <v>9.1435185167938471E-3</v>
      </c>
      <c r="N190" s="7">
        <f t="shared" si="74"/>
        <v>13.16666666418314</v>
      </c>
      <c r="O190" s="7"/>
      <c r="P190" s="7"/>
      <c r="Q190" s="22"/>
      <c r="R190" s="22"/>
      <c r="S190" s="31">
        <f t="shared" ref="S190:S219" si="76">SUM(U190:U190)/IF(AG190="EC",12,1)</f>
        <v>1</v>
      </c>
      <c r="T190" s="46" t="str">
        <f t="shared" si="57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8"/>
        <v>https://d0f6bd738d7f1b3e5a7ca70fe4ff75f0.us-east-1.aws.found.io/app/kibana#/discover/Steve-Slow-Train-Analysis-(2080s-and-2083s)?_g=(refreshInterval:(display:Off,pause:!f,section:0,value:0),time:(from:'2017-04-16T20:35:48-0600',mode:absolute,to:'2017-04-16T22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0" s="183" t="str">
        <f t="shared" si="59"/>
        <v>N</v>
      </c>
      <c r="X190" s="183">
        <f t="shared" si="73"/>
        <v>1</v>
      </c>
      <c r="Y190" s="62">
        <f t="shared" si="60"/>
        <v>5.8625999999999996</v>
      </c>
      <c r="Z190" s="62">
        <f t="shared" si="75"/>
        <v>7.2900000000000006E-2</v>
      </c>
      <c r="AA190" s="62">
        <f t="shared" si="61"/>
        <v>5.7896999999999998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2"/>
        <v>1832-16</v>
      </c>
      <c r="AE190" s="85" t="str">
        <f t="shared" si="63"/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190" s="82" t="str">
        <f t="shared" si="64"/>
        <v>"C:\Program Files (x86)\AstroGrep\AstroGrep.exe" /e /r /s /spath="%USERPROFILE%\AppData\Local\Temp\OnboardLogs" /stypes="app*4045*20170417*" /stext=" 03:.+((SYSTEM_STATE.+slice.+state.+changed )|(ment ac)|(multiple cpu faults)|(system.+state.+changed )|(\[timeout)|(PRM\|1\|D)|(kpr)|(kdp)|(\|lc)|(penalty))"</v>
      </c>
      <c r="AG190" s="1" t="str">
        <f t="shared" si="65"/>
        <v>NW</v>
      </c>
      <c r="AH190" s="86" t="str">
        <f t="shared" si="66"/>
        <v>"%USERPROFILE%\Documents\GitHub\eaglep3\Utilities\RefineRTDCRunTimes.py" --tripid 1832-16 --locoid 4045 --swversion DE.1.0.9.0 --startMP 300:58626 --initTime 2017-04-16T21:35:48 --startdatetime 2017-04-16T21:41:01 --delay 1 --endMP 204:729 --enddatetime 2017-04-16T21:54:11 --enforcementcount 0 &gt;&gt;C:\Users\stu\Documents\GitHub\eaglep3-reporting\EC\2017-04-16-refined-times.txt</v>
      </c>
      <c r="AI190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{"issue":{"subject":"","project_id":79,"tracker_id":40,"status_id":1,"priority_id":2,"assigned_to_id":23,"start_date":"2017-04-16","description":"","custom_fields":[{"id":1,"name":"Subdivision","value":"NW"},{"id":4,"name":"Milepost","value":"0.0729"},{"id":17,"name":"Train ID","value":"1832-16"},{"id":16,"name":"Locomotive ID","value":"4045"},{"id":130,"name":"Impact","value":""},{"id":150,"name":"Time of Event (Mountain Time)","value":"21:54:11"},{"id":151,"name":"Denver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8"/>
        <v>start /low /b %USERPROFILE%\Documents\GitHub\eaglep3\Utilities\DownloadLogsFromS3.py --loco 4045 --day 2017-04-16</v>
      </c>
      <c r="AN190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03:54:11"},{"id":29,"name":"Sharepoint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847</v>
      </c>
      <c r="B191" s="7">
        <v>4046</v>
      </c>
      <c r="C191" s="21" t="s">
        <v>214</v>
      </c>
      <c r="D191" s="21" t="s">
        <v>620</v>
      </c>
      <c r="E191" s="13">
        <v>42841.930590277778</v>
      </c>
      <c r="F191" s="13">
        <v>42841.93178240741</v>
      </c>
      <c r="G191" s="7">
        <v>1</v>
      </c>
      <c r="H191" s="21" t="s">
        <v>909</v>
      </c>
      <c r="I191" s="13">
        <v>42841.940393518518</v>
      </c>
      <c r="J191" s="7">
        <v>0</v>
      </c>
      <c r="K191" s="97" t="str">
        <f t="shared" si="55"/>
        <v>4045/4046</v>
      </c>
      <c r="L191" s="21" t="str">
        <f>VLOOKUP(A191,'Trips&amp;Operators'!$C$1:$G$99999,5,FALSE)</f>
        <v>HELVIE ADAM</v>
      </c>
      <c r="M191" s="6">
        <f t="shared" si="56"/>
        <v>8.6111111086211167E-3</v>
      </c>
      <c r="N191" s="7">
        <f t="shared" si="74"/>
        <v>12.399999996414408</v>
      </c>
      <c r="O191" s="7"/>
      <c r="P191" s="7"/>
      <c r="Q191" s="22"/>
      <c r="R191" s="22"/>
      <c r="S191" s="31">
        <f t="shared" si="76"/>
        <v>1</v>
      </c>
      <c r="T191" s="46" t="str">
        <f t="shared" si="57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8"/>
        <v>https://d0f6bd738d7f1b3e5a7ca70fe4ff75f0.us-east-1.aws.found.io/app/kibana#/discover/Steve-Slow-Train-Analysis-(2080s-and-2083s)?_g=(refreshInterval:(display:Off,pause:!f,section:0,value:0),time:(from:'2017-04-16T21:20:03-0600',mode:absolute,to:'2017-04-16T23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1" s="183" t="str">
        <f t="shared" si="59"/>
        <v>N</v>
      </c>
      <c r="X191" s="183">
        <f t="shared" si="73"/>
        <v>1</v>
      </c>
      <c r="Y191" s="62">
        <f t="shared" si="60"/>
        <v>0.1018</v>
      </c>
      <c r="Z191" s="62">
        <f t="shared" si="75"/>
        <v>5.8948</v>
      </c>
      <c r="AA191" s="62">
        <f t="shared" si="61"/>
        <v>5.7930000000000001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2"/>
        <v>1833-16</v>
      </c>
      <c r="AE191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191" s="82" t="str">
        <f t="shared" si="64"/>
        <v>"C:\Program Files (x86)\AstroGrep\AstroGrep.exe" /e /r /s /spath="%USERPROFILE%\AppData\Local\Temp\OnboardLogs" /stypes="app*4046*20170417*" /stext=" 04:.+((SYSTEM_STATE.+slice.+state.+changed )|(ment ac)|(multiple cpu faults)|(system.+state.+changed )|(\[timeout)|(PRM\|1\|D)|(kpr)|(kdp)|(\|lc)|(penalty))"</v>
      </c>
      <c r="AG191" s="1" t="str">
        <f t="shared" si="65"/>
        <v>NW</v>
      </c>
      <c r="AH191" s="86" t="str">
        <f t="shared" si="66"/>
        <v>"%USERPROFILE%\Documents\GitHub\eaglep3\Utilities\RefineRTDCRunTimes.py" --tripid 1833-16 --locoid 4046 --swversion DE.1.0.9.0 --startMP 204:1018 --initTime 2017-04-16T22:20:03 --startdatetime 2017-04-16T22:21:46 --delay 1 --endMP 300:58948 --enddatetime 2017-04-16T22:34:10 --enforcementcount 0 &gt;&gt;C:\Users\stu\Documents\GitHub\eaglep3-reporting\EC\2017-04-16-refined-times.txt</v>
      </c>
      <c r="AI191" s="104" t="str">
        <f t="shared" si="67"/>
        <v>echo {"issue":{"subject":"","project_id":79,"tracker_id":40,"status_id":1,"priority_id":2,"assigned_to_id":23,"start_date":"2017-04-16","description":"","custom_fields":[{"id":1,"name":"Subdivision","value":"NW"},{"id":4,"name":"Milepost","value":"5.8948"},{"id":17,"name":"Train ID","value":"1833-16"},{"id":16,"name":"Locomotive ID","value":"4046"},{"id":130,"name":"Impact","value":""},{"id":150,"name":"Time of Event (Mountain Time)","value":"22:34:10"},{"id":151,"name":"Denver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8"/>
        <v>start /low /b %USERPROFILE%\Documents\GitHub\eaglep3\Utilities\DownloadLogsFromS3.py --loco 4046 --day 2017-04-16</v>
      </c>
      <c r="AN191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641</v>
      </c>
      <c r="B192" s="7">
        <v>4015</v>
      </c>
      <c r="C192" s="21" t="s">
        <v>214</v>
      </c>
      <c r="D192" s="21" t="s">
        <v>971</v>
      </c>
      <c r="E192" s="13">
        <v>42841.118773148148</v>
      </c>
      <c r="F192" s="13">
        <v>42841.122488425928</v>
      </c>
      <c r="G192" s="7">
        <v>5</v>
      </c>
      <c r="H192" s="21" t="s">
        <v>614</v>
      </c>
      <c r="I192" s="13">
        <v>42841.126759259256</v>
      </c>
      <c r="J192" s="7">
        <v>0</v>
      </c>
      <c r="K192" s="97" t="str">
        <f t="shared" si="55"/>
        <v>4015/4016</v>
      </c>
      <c r="L192" s="21" t="str">
        <f>VLOOKUP(A192,'Trips&amp;Operators'!$C$1:$G$99999,5,FALSE)</f>
        <v>SANTIZO D. EDY</v>
      </c>
      <c r="M192" s="6">
        <f t="shared" si="56"/>
        <v>4.27083332760958E-3</v>
      </c>
      <c r="N192" s="7">
        <f t="shared" si="74"/>
        <v>6.1499999917577952</v>
      </c>
      <c r="O192" s="7"/>
      <c r="P192" s="7"/>
      <c r="Q192" s="22"/>
      <c r="R192" s="22"/>
      <c r="S192" s="31">
        <f t="shared" si="76"/>
        <v>1</v>
      </c>
      <c r="T192" s="46" t="str">
        <f t="shared" si="57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8"/>
        <v>https://d0f6bd738d7f1b3e5a7ca70fe4ff75f0.us-east-1.aws.found.io/app/kibana#/discover/Steve-Slow-Train-Analysis-(2080s-and-2083s)?_g=(refreshInterval:(display:Off,pause:!f,section:0,value:0),time:(from:'2017-04-16T01:51:02-0600',mode:absolute,to:'2017-04-16T04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183" t="str">
        <f t="shared" si="59"/>
        <v>Y</v>
      </c>
      <c r="X192" s="183">
        <f t="shared" si="73"/>
        <v>-1531</v>
      </c>
      <c r="Y192" s="62">
        <f t="shared" si="60"/>
        <v>1.9644999999999999</v>
      </c>
      <c r="Z192" s="62">
        <f t="shared" si="75"/>
        <v>1.61E-2</v>
      </c>
      <c r="AA192" s="62">
        <f t="shared" si="61"/>
        <v>1.9483999999999999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2"/>
        <v>0302-16</v>
      </c>
      <c r="AE192" s="85" t="str">
        <f t="shared" si="63"/>
        <v>aws s3 cp s3://rtdc.mdm.uploadarchive.raw/RTDC4015/ "%USERPROFILE%\AppData\Local\Temp\OnboardLogs"\RTDC4015\2017-04-16 --exclude "*" --recursive --include "*20170416*" &amp; "%USERPROFILE%\Documents\GitHub\mrs-test-scripts\Headless Mode &amp; Sideloading\WalkAndUnGZ.bat" "%USERPROFILE%\AppData\Local\Temp\OnboardLogs"\RTDC4015\2017-04-16 &amp; aws s3 cp s3://rtdc.mdm.uploadarchive.raw/RTDC4015/ "%USERPROFILE%\AppData\Local\Temp\OnboardLogs"\RTDC4015\2017-04-17 --exclude "*" --recursive --include "*20170417*" &amp; "%USERPROFILE%\Documents\GitHub\mrs-test-scripts\Headless Mode &amp; Sideloading\WalkAndUnGZ.bat" "%USERPROFILE%\AppData\Local\Temp\OnboardLogs"\RTDC4015\2017-04-17</v>
      </c>
      <c r="AF192" s="82" t="str">
        <f t="shared" si="64"/>
        <v>"C:\Program Files (x86)\AstroGrep\AstroGrep.exe" /e /r /s /spath="%USERPROFILE%\AppData\Local\Temp\OnboardLogs" /stypes="app*4015*20170416*" /stext=" 09:.+((SYSTEM_STATE.+slice.+state.+changed )|(ment ac)|(multiple cpu faults)|(system.+state.+changed )|(\[timeout)|(PRM\|1\|D)|(kpr)|(kdp)|(\|lc)|(penalty))"</v>
      </c>
      <c r="AG192" s="1" t="str">
        <f t="shared" si="65"/>
        <v>Other</v>
      </c>
      <c r="AH192" s="86" t="str">
        <f t="shared" si="66"/>
        <v>"%USERPROFILE%\Documents\GitHub\eaglep3\Utilities\RefineRTDCRunTimes.py" --tripid 302-16 --locoid 4015 --swversion DE.1.0.9.0 --startMP 300:19645 --initTime 2017-04-16T02:51:02 --startdatetime 2017-04-16T02:56:23 --delay 5 --endMP 204:161 --enddatetime 2017-04-16T03:02:32 --enforcementcount 0 &gt;&gt;C:\Users\stu\Documents\GitHub\eaglep3-reporting\EC\2017-04-16-refined-times.txt</v>
      </c>
      <c r="AI192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{"issue":{"subject":"","project_id":79,"tracker_id":40,"status_id":1,"priority_id":2,"assigned_to_id":23,"start_date":"2017-04-16","description":"","custom_fields":[{"id":1,"name":"Subdivision","value":"Other"},{"id":4,"name":"Milepost","value":"0.0161"},{"id":17,"name":"Train ID","value":"302-16"},{"id":16,"name":"Locomotive ID","value":"4015"},{"id":130,"name":"Impact","value":""},{"id":150,"name":"Time of Event (Mountain Time)","value":"03:02:32"},{"id":151,"name":"Denver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8"/>
        <v>start /low /b %USERPROFILE%\Documents\GitHub\eaglep3\Utilities\DownloadLogsFromS3.py --loco 4015 --day 2017-04-16</v>
      </c>
      <c r="AN192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09:02:32"},{"id":29,"name":"Sharepoint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824</v>
      </c>
      <c r="B193" s="7">
        <v>4026</v>
      </c>
      <c r="C193" s="21" t="s">
        <v>214</v>
      </c>
      <c r="D193" s="21" t="s">
        <v>205</v>
      </c>
      <c r="E193" s="13">
        <v>42841.777106481481</v>
      </c>
      <c r="F193" s="13">
        <v>42841.778900462959</v>
      </c>
      <c r="G193" s="7">
        <v>1</v>
      </c>
      <c r="H193" s="21" t="s">
        <v>972</v>
      </c>
      <c r="I193" s="13">
        <v>42841.785451388889</v>
      </c>
      <c r="J193" s="7">
        <v>0</v>
      </c>
      <c r="K193" s="97" t="str">
        <f t="shared" si="55"/>
        <v>4025/4026</v>
      </c>
      <c r="L193" s="21" t="str">
        <f>VLOOKUP(A193,'Trips&amp;Operators'!$C$1:$G$99999,5,FALSE)</f>
        <v>BRUDER RICHARD</v>
      </c>
      <c r="M193" s="6">
        <f t="shared" si="56"/>
        <v>6.550925929332152E-3</v>
      </c>
      <c r="N193" s="7">
        <f t="shared" si="74"/>
        <v>9.4333333382382989</v>
      </c>
      <c r="O193" s="7"/>
      <c r="P193" s="7"/>
      <c r="Q193" s="22"/>
      <c r="R193" s="22"/>
      <c r="S193" s="31">
        <f t="shared" si="76"/>
        <v>1</v>
      </c>
      <c r="T193" s="46" t="str">
        <f t="shared" si="57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8"/>
        <v>https://d0f6bd738d7f1b3e5a7ca70fe4ff75f0.us-east-1.aws.found.io/app/kibana#/discover/Steve-Slow-Train-Analysis-(2080s-and-2083s)?_g=(refreshInterval:(display:Off,pause:!f,section:0,value:0),time:(from:'2017-04-16T17:39:02-0600',mode:absolute,to:'2017-04-16T19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83" t="str">
        <f t="shared" si="59"/>
        <v>Y</v>
      </c>
      <c r="X193" s="183">
        <f t="shared" si="73"/>
        <v>1</v>
      </c>
      <c r="Y193" s="62">
        <f t="shared" si="60"/>
        <v>4.5699999999999998E-2</v>
      </c>
      <c r="Z193" s="62">
        <f t="shared" si="75"/>
        <v>2.331</v>
      </c>
      <c r="AA193" s="62">
        <f t="shared" si="61"/>
        <v>2.2852999999999999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2"/>
        <v>0303-16</v>
      </c>
      <c r="AE193" s="85" t="str">
        <f t="shared" si="63"/>
        <v>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 &amp; aws s3 cp s3://rtdc.mdm.uploadarchive.raw/RTDC4026/ "%USERPROFILE%\AppData\Local\Temp\OnboardLogs"\RTDC4026\2017-04-17 --exclude "*" --recursive --include "*20170417*" &amp; "%USERPROFILE%\Documents\GitHub\mrs-test-scripts\Headless Mode &amp; Sideloading\WalkAndUnGZ.bat" "%USERPROFILE%\AppData\Local\Temp\OnboardLogs"\RTDC4026\2017-04-17</v>
      </c>
      <c r="AF193" s="82" t="str">
        <f t="shared" si="64"/>
        <v>"C:\Program Files (x86)\AstroGrep\AstroGrep.exe" /e /r /s /spath="%USERPROFILE%\AppData\Local\Temp\OnboardLogs" /stypes="app*4026*20170417*" /stext=" 00:.+((SYSTEM_STATE.+slice.+state.+changed )|(ment ac)|(multiple cpu faults)|(system.+state.+changed )|(\[timeout)|(PRM\|1\|D)|(kpr)|(kdp)|(\|lc)|(penalty))"</v>
      </c>
      <c r="AG193" s="1" t="str">
        <f t="shared" si="65"/>
        <v>Other</v>
      </c>
      <c r="AH193" s="86" t="str">
        <f t="shared" si="66"/>
        <v>"%USERPROFILE%\Documents\GitHub\eaglep3\Utilities\RefineRTDCRunTimes.py" --tripid 303-16 --locoid 4026 --swversion DE.1.0.9.0 --startMP 204:457 --initTime 2017-04-16T18:39:02 --startdatetime 2017-04-16T18:41:37 --delay 1 --endMP 300:23310 --enddatetime 2017-04-16T18:51:03 --enforcementcount 0 &gt;&gt;C:\Users\stu\Documents\GitHub\eaglep3-reporting\EC\2017-04-16-refined-times.txt</v>
      </c>
      <c r="AI193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{"issue":{"subject":"","project_id":79,"tracker_id":40,"status_id":1,"priority_id":2,"assigned_to_id":23,"start_date":"2017-04-16","description":"","custom_fields":[{"id":1,"name":"Subdivision","value":"Other"},{"id":4,"name":"Milepost","value":"2.331"},{"id":17,"name":"Train ID","value":"303-16"},{"id":16,"name":"Locomotive ID","value":"4026"},{"id":130,"name":"Impact","value":""},{"id":150,"name":"Time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8"/>
        <v>start /low /b %USERPROFILE%\Documents\GitHub\eaglep3\Utilities\DownloadLogsFromS3.py --loco 4026 --day 2017-04-16</v>
      </c>
      <c r="AN193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665</v>
      </c>
      <c r="B194" s="7">
        <v>4043</v>
      </c>
      <c r="C194" s="21" t="s">
        <v>214</v>
      </c>
      <c r="D194" s="21" t="s">
        <v>973</v>
      </c>
      <c r="E194" s="13">
        <v>42841.141643518517</v>
      </c>
      <c r="F194" s="13">
        <v>42841.145752314813</v>
      </c>
      <c r="G194" s="7">
        <v>5</v>
      </c>
      <c r="H194" s="21" t="s">
        <v>614</v>
      </c>
      <c r="I194" s="13">
        <v>42841.151365740741</v>
      </c>
      <c r="J194" s="7">
        <v>0</v>
      </c>
      <c r="K194" s="97" t="str">
        <f t="shared" si="55"/>
        <v>4043/4044</v>
      </c>
      <c r="L194" s="21" t="str">
        <f>VLOOKUP(A194,'Trips&amp;Operators'!$C$1:$G$99999,5,FALSE)</f>
        <v>ARVIDSON DANIEL</v>
      </c>
      <c r="M194" s="6">
        <f t="shared" si="56"/>
        <v>5.6134259284590371E-3</v>
      </c>
      <c r="N194" s="7">
        <f t="shared" si="74"/>
        <v>8.0833333369810134</v>
      </c>
      <c r="O194" s="7"/>
      <c r="P194" s="7"/>
      <c r="Q194" s="22"/>
      <c r="R194" s="22"/>
      <c r="S194" s="31">
        <f t="shared" si="76"/>
        <v>1</v>
      </c>
      <c r="T194" s="46" t="str">
        <f t="shared" si="57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8"/>
        <v>https://d0f6bd738d7f1b3e5a7ca70fe4ff75f0.us-east-1.aws.found.io/app/kibana#/discover/Steve-Slow-Train-Analysis-(2080s-and-2083s)?_g=(refreshInterval:(display:Off,pause:!f,section:0,value:0),time:(from:'2017-04-16T02:23:58-0600',mode:absolute,to:'2017-04-16T04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83" t="str">
        <f t="shared" si="59"/>
        <v>Y</v>
      </c>
      <c r="X194" s="183">
        <f t="shared" si="73"/>
        <v>1</v>
      </c>
      <c r="Y194" s="62">
        <f t="shared" si="60"/>
        <v>2.2831999999999999</v>
      </c>
      <c r="Z194" s="62">
        <f t="shared" si="75"/>
        <v>1.61E-2</v>
      </c>
      <c r="AA194" s="62">
        <f t="shared" si="61"/>
        <v>2.2671000000000001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2"/>
        <v>0304-16</v>
      </c>
      <c r="AE194" s="85" t="str">
        <f t="shared" si="63"/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AF194" s="82" t="str">
        <f t="shared" si="64"/>
        <v>"C:\Program Files (x86)\AstroGrep\AstroGrep.exe" /e /r /s /spath="%USERPROFILE%\AppData\Local\Temp\OnboardLogs" /stypes="app*4043*20170416*" /stext=" 09:.+((SYSTEM_STATE.+slice.+state.+changed )|(ment ac)|(multiple cpu faults)|(system.+state.+changed )|(\[timeout)|(PRM\|1\|D)|(kpr)|(kdp)|(\|lc)|(penalty))"</v>
      </c>
      <c r="AG194" s="1" t="str">
        <f t="shared" si="65"/>
        <v>Other</v>
      </c>
      <c r="AH194" s="86" t="str">
        <f t="shared" si="66"/>
        <v>"%USERPROFILE%\Documents\GitHub\eaglep3\Utilities\RefineRTDCRunTimes.py" --tripid 304-16 --locoid 4043 --swversion DE.1.0.9.0 --startMP 300:22832 --initTime 2017-04-16T03:23:58 --startdatetime 2017-04-16T03:29:53 --delay 5 --endMP 204:161 --enddatetime 2017-04-16T03:37:58 --enforcementcount 0 &gt;&gt;C:\Users\stu\Documents\GitHub\eaglep3-reporting\EC\2017-04-16-refined-times.txt</v>
      </c>
      <c r="AI194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{"issue":{"subject":"","project_id":79,"tracker_id":40,"status_id":1,"priority_id":2,"assigned_to_id":23,"start_date":"2017-04-16","description":"","custom_fields":[{"id":1,"name":"Subdivision","value":"Other"},{"id":4,"name":"Milepost","value":"0.0161"},{"id":17,"name":"Train ID","value":"304-16"},{"id":16,"name":"Locomotive ID","value":"4043"},{"id":130,"name":"Impact","value":""},{"id":150,"name":"Time of Event (Mountain Time)","value":"03:37:58"},{"id":151,"name":"Denver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8"/>
        <v>start /low /b %USERPROFILE%\Documents\GitHub\eaglep3\Utilities\DownloadLogsFromS3.py --loco 4043 --day 2017-04-16</v>
      </c>
      <c r="AN194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09:37:58"},{"id":29,"name":"Sharepoint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828</v>
      </c>
      <c r="B195" s="7">
        <v>4016</v>
      </c>
      <c r="C195" s="21" t="s">
        <v>214</v>
      </c>
      <c r="D195" s="21" t="s">
        <v>206</v>
      </c>
      <c r="E195" s="13">
        <v>42841.798449074071</v>
      </c>
      <c r="F195" s="13">
        <v>42841.806238425925</v>
      </c>
      <c r="G195" s="7">
        <v>1</v>
      </c>
      <c r="H195" s="21" t="s">
        <v>974</v>
      </c>
      <c r="I195" s="13">
        <v>42841.814733796295</v>
      </c>
      <c r="J195" s="7">
        <v>0</v>
      </c>
      <c r="K195" s="97" t="str">
        <f t="shared" si="55"/>
        <v>4015/4016</v>
      </c>
      <c r="L195" s="21" t="str">
        <f>VLOOKUP(A195,'Trips&amp;Operators'!$C$1:$G$99999,5,FALSE)</f>
        <v>DAVIDSON DAVID</v>
      </c>
      <c r="M195" s="6">
        <f t="shared" si="56"/>
        <v>8.4953703699284233E-3</v>
      </c>
      <c r="N195" s="7">
        <f t="shared" si="74"/>
        <v>12.23333333269693</v>
      </c>
      <c r="O195" s="7"/>
      <c r="P195" s="7"/>
      <c r="Q195" s="22"/>
      <c r="R195" s="22"/>
      <c r="S195" s="31">
        <f t="shared" si="76"/>
        <v>1</v>
      </c>
      <c r="T195" s="46" t="str">
        <f t="shared" si="57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8"/>
        <v>https://d0f6bd738d7f1b3e5a7ca70fe4ff75f0.us-east-1.aws.found.io/app/kibana#/discover/Steve-Slow-Train-Analysis-(2080s-and-2083s)?_g=(refreshInterval:(display:Off,pause:!f,section:0,value:0),time:(from:'2017-04-16T18:09:46-0600',mode:absolute,to:'2017-04-16T20:33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183" t="str">
        <f t="shared" si="59"/>
        <v>Y</v>
      </c>
      <c r="X195" s="183">
        <f t="shared" ref="X195:X219" si="77">VALUE(LEFT(AD195,4))-VALUE(LEFT(AD194,4))</f>
        <v>1</v>
      </c>
      <c r="Y195" s="62">
        <f t="shared" si="60"/>
        <v>4.5999999999999999E-2</v>
      </c>
      <c r="Z195" s="62">
        <f t="shared" si="75"/>
        <v>2.3304</v>
      </c>
      <c r="AA195" s="62">
        <f t="shared" si="61"/>
        <v>2.2844000000000002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2"/>
        <v>0305-16</v>
      </c>
      <c r="AE195" s="85" t="str">
        <f t="shared" si="63"/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AF195" s="82" t="str">
        <f t="shared" si="64"/>
        <v>"C:\Program Files (x86)\AstroGrep\AstroGrep.exe" /e /r /s /spath="%USERPROFILE%\AppData\Local\Temp\OnboardLogs" /stypes="app*4016*20170417*" /stext=" 01:.+((SYSTEM_STATE.+slice.+state.+changed )|(ment ac)|(multiple cpu faults)|(system.+state.+changed )|(\[timeout)|(PRM\|1\|D)|(kpr)|(kdp)|(\|lc)|(penalty))"</v>
      </c>
      <c r="AG195" s="1" t="str">
        <f t="shared" si="65"/>
        <v>Other</v>
      </c>
      <c r="AH195" s="86" t="str">
        <f t="shared" si="66"/>
        <v>"%USERPROFILE%\Documents\GitHub\eaglep3\Utilities\RefineRTDCRunTimes.py" --tripid 305-16 --locoid 4016 --swversion DE.1.0.9.0 --startMP 204:460 --initTime 2017-04-16T19:09:46 --startdatetime 2017-04-16T19:20:59 --delay 1 --endMP 300:23304 --enddatetime 2017-04-16T19:33:13 --enforcementcount 0 &gt;&gt;C:\Users\stu\Documents\GitHub\eaglep3-reporting\EC\2017-04-16-refined-times.txt</v>
      </c>
      <c r="AI195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{"issue":{"subject":"","project_id":79,"tracker_id":40,"status_id":1,"priority_id":2,"assigned_to_id":23,"start_date":"2017-04-16","description":"","custom_fields":[{"id":1,"name":"Subdivision","value":"Other"},{"id":4,"name":"Milepost","value":"2.3304"},{"id":17,"name":"Train ID","value":"305-16"},{"id":16,"name":"Locomotive ID","value":"4016"},{"id":130,"name":"Impact","value":""},{"id":150,"name":"Time of Event (Mountain Time)","value":"19:33:13"},{"id":151,"name":"Denver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8"/>
        <v>start /low /b %USERPROFILE%\Documents\GitHub\eaglep3\Utilities\DownloadLogsFromS3.py --loco 4016 --day 2017-04-16</v>
      </c>
      <c r="AN195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01:33:13"},{"id":29,"name":"Sharepoint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667</v>
      </c>
      <c r="B196" s="7">
        <v>4019</v>
      </c>
      <c r="C196" s="21" t="s">
        <v>214</v>
      </c>
      <c r="D196" s="21" t="s">
        <v>975</v>
      </c>
      <c r="E196" s="13">
        <v>42841.157048611109</v>
      </c>
      <c r="F196" s="13">
        <v>42841.160868055558</v>
      </c>
      <c r="G196" s="7">
        <v>5</v>
      </c>
      <c r="H196" s="21" t="s">
        <v>401</v>
      </c>
      <c r="I196" s="13">
        <v>42841.166770833333</v>
      </c>
      <c r="J196" s="7">
        <v>0</v>
      </c>
      <c r="K196" s="97" t="str">
        <f t="shared" si="55"/>
        <v>4019/4020</v>
      </c>
      <c r="L196" s="21" t="str">
        <f>VLOOKUP(A196,'Trips&amp;Operators'!$C$1:$G$99999,5,FALSE)</f>
        <v>BADERTSCHER DIANE</v>
      </c>
      <c r="M196" s="6">
        <f t="shared" si="56"/>
        <v>5.9027777751907706E-3</v>
      </c>
      <c r="N196" s="7">
        <f t="shared" si="74"/>
        <v>8.4999999962747097</v>
      </c>
      <c r="O196" s="7"/>
      <c r="P196" s="7"/>
      <c r="Q196" s="22"/>
      <c r="R196" s="22"/>
      <c r="S196" s="31">
        <f t="shared" si="76"/>
        <v>1</v>
      </c>
      <c r="T196" s="46" t="str">
        <f t="shared" si="57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8"/>
        <v>https://d0f6bd738d7f1b3e5a7ca70fe4ff75f0.us-east-1.aws.found.io/app/kibana#/discover/Steve-Slow-Train-Analysis-(2080s-and-2083s)?_g=(refreshInterval:(display:Off,pause:!f,section:0,value:0),time:(from:'2017-04-16T02:46:09-0600',mode:absolute,to:'2017-04-16T05:00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183" t="str">
        <f t="shared" si="59"/>
        <v>Y</v>
      </c>
      <c r="X196" s="183">
        <f t="shared" si="77"/>
        <v>1</v>
      </c>
      <c r="Y196" s="62">
        <f t="shared" si="60"/>
        <v>2.2907999999999999</v>
      </c>
      <c r="Z196" s="62">
        <f t="shared" si="75"/>
        <v>1.38E-2</v>
      </c>
      <c r="AA196" s="62">
        <f t="shared" si="61"/>
        <v>2.2770000000000001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2"/>
        <v>0306-16</v>
      </c>
      <c r="AE196" s="85" t="str">
        <f t="shared" si="63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196" s="82" t="str">
        <f t="shared" si="64"/>
        <v>"C:\Program Files (x86)\AstroGrep\AstroGrep.exe" /e /r /s /spath="%USERPROFILE%\AppData\Local\Temp\OnboardLogs" /stypes="app*4019*20170416*" /stext=" 10:.+((SYSTEM_STATE.+slice.+state.+changed )|(ment ac)|(multiple cpu faults)|(system.+state.+changed )|(\[timeout)|(PRM\|1\|D)|(kpr)|(kdp)|(\|lc)|(penalty))"</v>
      </c>
      <c r="AG196" s="1" t="str">
        <f t="shared" si="65"/>
        <v>Other</v>
      </c>
      <c r="AH196" s="86" t="str">
        <f t="shared" si="66"/>
        <v>"%USERPROFILE%\Documents\GitHub\eaglep3\Utilities\RefineRTDCRunTimes.py" --tripid 306-16 --locoid 4019 --swversion DE.1.0.9.0 --startMP 300:22908 --initTime 2017-04-16T03:46:09 --startdatetime 2017-04-16T03:51:39 --delay 5 --endMP 204:138 --enddatetime 2017-04-16T04:00:09 --enforcementcount 0 &gt;&gt;C:\Users\stu\Documents\GitHub\eaglep3-reporting\EC\2017-04-16-refined-times.txt</v>
      </c>
      <c r="AI196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{"issue":{"subject":"","project_id":79,"tracker_id":40,"status_id":1,"priority_id":2,"assigned_to_id":23,"start_date":"2017-04-16","description":"","custom_fields":[{"id":1,"name":"Subdivision","value":"Other"},{"id":4,"name":"Milepost","value":"0.0138"},{"id":17,"name":"Train ID","value":"306-16"},{"id":16,"name":"Locomotive ID","value":"4019"},{"id":130,"name":"Impact","value":""},{"id":150,"name":"Time of Event (Mountain Time)","value":"04:00:09"},{"id":151,"name":"Denver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8"/>
      <c r="AL196" s="48"/>
      <c r="AM196" s="150" t="str">
        <f t="shared" si="68"/>
        <v>start /low /b %USERPROFILE%\Documents\GitHub\eaglep3\Utilities\DownloadLogsFromS3.py --loco 4019 --day 2017-04-16</v>
      </c>
      <c r="AN196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10:00:09"},{"id":29,"name":"Sharepoint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833</v>
      </c>
      <c r="B197" s="7">
        <v>4044</v>
      </c>
      <c r="C197" s="21" t="s">
        <v>214</v>
      </c>
      <c r="D197" s="21" t="s">
        <v>210</v>
      </c>
      <c r="E197" s="13">
        <v>42841.818842592591</v>
      </c>
      <c r="F197" s="13">
        <v>42841.820162037038</v>
      </c>
      <c r="G197" s="7">
        <v>1</v>
      </c>
      <c r="H197" s="21" t="s">
        <v>976</v>
      </c>
      <c r="I197" s="13">
        <v>25568.708333333332</v>
      </c>
      <c r="J197" s="7">
        <v>0</v>
      </c>
      <c r="K197" s="97" t="str">
        <f t="shared" si="55"/>
        <v>4043/4044</v>
      </c>
      <c r="L197" s="21" t="str">
        <f>VLOOKUP(A197,'Trips&amp;Operators'!$C$1:$G$99999,5,FALSE)</f>
        <v>BRANDNER MELINDA</v>
      </c>
      <c r="M197" s="6">
        <f t="shared" si="56"/>
        <v>-17273.111828703706</v>
      </c>
      <c r="N197" s="7">
        <f t="shared" si="74"/>
        <v>-24873281.033333335</v>
      </c>
      <c r="O197" s="7"/>
      <c r="P197" s="7"/>
      <c r="Q197" s="22"/>
      <c r="R197" s="22"/>
      <c r="S197" s="31">
        <f t="shared" si="76"/>
        <v>1</v>
      </c>
      <c r="T197" s="46" t="str">
        <f t="shared" si="57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8"/>
        <v>https://d0f6bd738d7f1b3e5a7ca70fe4ff75f0.us-east-1.aws.found.io/app/kibana#/discover/Steve-Slow-Train-Analysis-(2080s-and-2083s)?_g=(refreshInterval:(display:Off,pause:!f,section:0,value:0),time:(from:'2017-04-16T18:39:08-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83" t="str">
        <f t="shared" si="59"/>
        <v>Y</v>
      </c>
      <c r="X197" s="183">
        <f t="shared" si="77"/>
        <v>1</v>
      </c>
      <c r="Y197" s="62">
        <f t="shared" si="60"/>
        <v>4.5499999999999999E-2</v>
      </c>
      <c r="Z197" s="62">
        <f t="shared" si="75"/>
        <v>2.302</v>
      </c>
      <c r="AA197" s="62">
        <f t="shared" si="61"/>
        <v>2.2565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2"/>
        <v>0307-16</v>
      </c>
      <c r="AE197" s="85" t="str">
        <f t="shared" si="63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197" s="82" t="str">
        <f t="shared" si="64"/>
        <v>"C:\Program Files (x86)\AstroGrep\AstroGrep.exe" /e /r /s /spath="%USERPROFILE%\AppData\Local\Temp\OnboardLogs" /stypes="app*4044*19691231*" /stext=" 23:.+((SYSTEM_STATE.+slice.+state.+changed )|(ment ac)|(multiple cpu faults)|(system.+state.+changed )|(\[timeout)|(PRM\|1\|D)|(kpr)|(kdp)|(\|lc)|(penalty))"</v>
      </c>
      <c r="AG197" s="1" t="str">
        <f t="shared" si="65"/>
        <v>Other</v>
      </c>
      <c r="AH197" s="86" t="str">
        <f t="shared" si="66"/>
        <v>"%USERPROFILE%\Documents\GitHub\eaglep3\Utilities\RefineRTDCRunTimes.py" --tripid 307-16 --locoid 4044 --swversion DE.1.0.9.0 --startMP 204:455 --initTime 2017-04-16T19:39:08 --startdatetime 2017-04-16T19:41:02 --delay 1 --endMP 300:23020 --enddatetime 1969-12-31T17:00:00 --enforcementcount 0 &gt;&gt;C:\Users\stu\Documents\GitHub\eaglep3-reporting\EC\2017-04-16-refined-times.txt</v>
      </c>
      <c r="AI197" s="104" t="str">
        <f t="shared" si="67"/>
        <v>echo {"issue":{"subject":"","project_id":79,"tracker_id":40,"status_id":1,"priority_id":2,"assigned_to_id":23,"start_date":"1969-12-31","description":"","custom_fields":[{"id":1,"name":"Subdivision","value":"Other"},{"id":4,"name":"Milepost","value":"2.302"},{"id":17,"name":"Train ID","value":"307-16"},{"id":16,"name":"Locomotive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8"/>
        <v>start /low /b %USERPROFILE%\Documents\GitHub\eaglep3\Utilities\DownloadLogsFromS3.py --loco 4044 --day 2017-04-16</v>
      </c>
      <c r="AN197" s="159" t="str">
        <f t="shared" si="6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670</v>
      </c>
      <c r="B198" s="7">
        <v>4005</v>
      </c>
      <c r="C198" s="21" t="s">
        <v>214</v>
      </c>
      <c r="D198" s="21" t="s">
        <v>977</v>
      </c>
      <c r="E198" s="13">
        <v>42841.17523148148</v>
      </c>
      <c r="F198" s="13">
        <v>42841.177314814813</v>
      </c>
      <c r="G198" s="7">
        <v>2</v>
      </c>
      <c r="H198" s="21" t="s">
        <v>533</v>
      </c>
      <c r="I198" s="13">
        <v>42841.183020833334</v>
      </c>
      <c r="J198" s="7">
        <v>0</v>
      </c>
      <c r="K198" s="97" t="str">
        <f t="shared" si="55"/>
        <v>4005/4006</v>
      </c>
      <c r="L198" s="21" t="str">
        <f>VLOOKUP(A198,'Trips&amp;Operators'!$C$1:$G$99999,5,FALSE)</f>
        <v>DAVIS WENDY</v>
      </c>
      <c r="M198" s="6">
        <f t="shared" si="56"/>
        <v>5.7060185208683833E-3</v>
      </c>
      <c r="N198" s="7">
        <f t="shared" ref="N198:N219" si="78">24*60*SUM($M198:$M198)</f>
        <v>8.216666670050472</v>
      </c>
      <c r="O198" s="7"/>
      <c r="P198" s="7"/>
      <c r="Q198" s="22"/>
      <c r="R198" s="22"/>
      <c r="S198" s="31">
        <f t="shared" si="76"/>
        <v>1</v>
      </c>
      <c r="T198" s="46" t="str">
        <f t="shared" si="57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8"/>
        <v>https://d0f6bd738d7f1b3e5a7ca70fe4ff75f0.us-east-1.aws.found.io/app/kibana#/discover/Steve-Slow-Train-Analysis-(2080s-and-2083s)?_g=(refreshInterval:(display:Off,pause:!f,section:0,value:0),time:(from:'2017-04-16T03:12:20-0600',mode:absolute,to:'2017-04-16T05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183" t="str">
        <f t="shared" si="59"/>
        <v>Y</v>
      </c>
      <c r="X198" s="183">
        <f t="shared" si="77"/>
        <v>1</v>
      </c>
      <c r="Y198" s="62">
        <f t="shared" si="60"/>
        <v>2.3618000000000001</v>
      </c>
      <c r="Z198" s="62">
        <f t="shared" si="75"/>
        <v>1.6299999999999999E-2</v>
      </c>
      <c r="AA198" s="62">
        <f t="shared" si="61"/>
        <v>2.3454999999999999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2"/>
        <v>0308-16</v>
      </c>
      <c r="AE198" s="85" t="str">
        <f t="shared" si="63"/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AF198" s="82" t="str">
        <f t="shared" si="64"/>
        <v>"C:\Program Files (x86)\AstroGrep\AstroGrep.exe" /e /r /s /spath="%USERPROFILE%\AppData\Local\Temp\OnboardLogs" /stypes="app*4005*20170416*" /stext=" 10:.+((SYSTEM_STATE.+slice.+state.+changed )|(ment ac)|(multiple cpu faults)|(system.+state.+changed )|(\[timeout)|(PRM\|1\|D)|(kpr)|(kdp)|(\|lc)|(penalty))"</v>
      </c>
      <c r="AG198" s="1" t="str">
        <f t="shared" si="65"/>
        <v>Other</v>
      </c>
      <c r="AH198" s="86" t="str">
        <f t="shared" si="66"/>
        <v>"%USERPROFILE%\Documents\GitHub\eaglep3\Utilities\RefineRTDCRunTimes.py" --tripid 308-16 --locoid 4005 --swversion DE.1.0.9.0 --startMP 300:23618 --initTime 2017-04-16T04:12:20 --startdatetime 2017-04-16T04:15:20 --delay 2 --endMP 204:163 --enddatetime 2017-04-16T04:23:33 --enforcementcount 0 &gt;&gt;C:\Users\stu\Documents\GitHub\eaglep3-reporting\EC\2017-04-16-refined-times.txt</v>
      </c>
      <c r="AI198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{"issue":{"subject":"","project_id":79,"tracker_id":40,"status_id":1,"priority_id":2,"assigned_to_id":23,"start_date":"2017-04-16","description":"","custom_fields":[{"id":1,"name":"Subdivision","value":"Other"},{"id":4,"name":"Milepost","value":"0.0163"},{"id":17,"name":"Train ID","value":"308-16"},{"id":16,"name":"Locomotive ID","value":"4005"},{"id":130,"name":"Impact","value":""},{"id":150,"name":"Time of Event (Mountain Time)","value":"04:23:33"},{"id":151,"name":"Denver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8"/>
        <v>start /low /b %USERPROFILE%\Documents\GitHub\eaglep3\Utilities\DownloadLogsFromS3.py --loco 4005 --day 2017-04-16</v>
      </c>
      <c r="AN198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663</v>
      </c>
      <c r="B199" s="7">
        <v>4020</v>
      </c>
      <c r="C199" s="21" t="s">
        <v>214</v>
      </c>
      <c r="D199" s="21" t="s">
        <v>978</v>
      </c>
      <c r="E199" s="13">
        <v>42842.049155092594</v>
      </c>
      <c r="F199" s="13">
        <v>42842.050532407404</v>
      </c>
      <c r="G199" s="7">
        <v>0</v>
      </c>
      <c r="H199" s="21" t="s">
        <v>637</v>
      </c>
      <c r="I199" s="13">
        <v>42842.059398148151</v>
      </c>
      <c r="J199" s="7">
        <v>0</v>
      </c>
      <c r="K199" s="97" t="str">
        <f t="shared" si="55"/>
        <v>4019/4020</v>
      </c>
      <c r="L199" s="21" t="str">
        <f>VLOOKUP(A199,'Trips&amp;Operators'!$C$1:$G$99999,5,FALSE)</f>
        <v>NEWELL JAMES</v>
      </c>
      <c r="M199" s="6">
        <f t="shared" si="56"/>
        <v>8.8657407468417659E-3</v>
      </c>
      <c r="N199" s="7">
        <f t="shared" si="78"/>
        <v>12.766666675452143</v>
      </c>
      <c r="O199" s="7"/>
      <c r="P199" s="7"/>
      <c r="Q199" s="22"/>
      <c r="R199" s="22"/>
      <c r="S199" s="31">
        <f t="shared" si="76"/>
        <v>1</v>
      </c>
      <c r="T199" s="46" t="str">
        <f t="shared" si="57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8"/>
        <v>https://d0f6bd738d7f1b3e5a7ca70fe4ff75f0.us-east-1.aws.found.io/app/kibana#/discover/Steve-Slow-Train-Analysis-(2080s-and-2083s)?_g=(refreshInterval:(display:Off,pause:!f,section:0,value:0),time:(from:'2017-04-17T00:10:47-0600',mode:absolute,to:'2017-04-17T02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83" t="str">
        <f t="shared" si="59"/>
        <v>Y</v>
      </c>
      <c r="X199" s="183">
        <f t="shared" si="77"/>
        <v>1</v>
      </c>
      <c r="Y199" s="62">
        <f t="shared" si="60"/>
        <v>6.88E-2</v>
      </c>
      <c r="Z199" s="62">
        <f t="shared" si="75"/>
        <v>2.3308</v>
      </c>
      <c r="AA199" s="62">
        <f t="shared" si="61"/>
        <v>2.262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2"/>
        <v>0309-16</v>
      </c>
      <c r="AE199" s="85" t="str">
        <f t="shared" si="63"/>
        <v>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 &amp; aws s3 cp s3://rtdc.mdm.uploadarchive.raw/RTDC4020/ "%USERPROFILE%\AppData\Local\Temp\OnboardLogs"\RTDC4020\2017-04-18 --exclude "*" --recursive --include "*20170418*" &amp; "%USERPROFILE%\Documents\GitHub\mrs-test-scripts\Headless Mode &amp; Sideloading\WalkAndUnGZ.bat" "%USERPROFILE%\AppData\Local\Temp\OnboardLogs"\RTDC4020\2017-04-18</v>
      </c>
      <c r="AF199" s="82" t="str">
        <f t="shared" si="64"/>
        <v>"C:\Program Files (x86)\AstroGrep\AstroGrep.exe" /e /r /s /spath="%USERPROFILE%\AppData\Local\Temp\OnboardLogs" /stypes="app*4020*20170417*" /stext=" 07:.+((SYSTEM_STATE.+slice.+state.+changed )|(ment ac)|(multiple cpu faults)|(system.+state.+changed )|(\[timeout)|(PRM\|1\|D)|(kpr)|(kdp)|(\|lc)|(penalty))"</v>
      </c>
      <c r="AG199" s="1" t="str">
        <f t="shared" si="65"/>
        <v>Other</v>
      </c>
      <c r="AH199" s="86" t="str">
        <f t="shared" si="66"/>
        <v>"%USERPROFILE%\Documents\GitHub\eaglep3\Utilities\RefineRTDCRunTimes.py" --tripid 309-16 --locoid 4020 --swversion DE.1.0.9.0 --startMP 204:688 --initTime 2017-04-17T01:10:47 --startdatetime 2017-04-17T01:12:46 --delay 0 --endMP 300:23308 --enddatetime 2017-04-17T01:25:32 --enforcementcount 0 &gt;&gt;C:\Users\stu\Documents\GitHub\eaglep3-reporting\EC\2017-04-16-refined-times.txt</v>
      </c>
      <c r="AI199" s="104" t="str">
        <f t="shared" si="67"/>
        <v>echo {"issue":{"subject":"","project_id":79,"tracker_id":40,"status_id":1,"priority_id":2,"assigned_to_id":23,"start_date":"2017-04-17","description":"","custom_fields":[{"id":1,"name":"Subdivision","value":"Other"},{"id":4,"name":"Milepost","value":"2.3308"},{"id":17,"name":"Train ID","value":"309-16"},{"id":16,"name":"Locomotive ID","value":"4020"},{"id":130,"name":"Impact","value":""},{"id":150,"name":"Time of Event (Mountain Time)","value":"01:25:32"},{"id":151,"name":"Denver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8"/>
        <v>start /low /b %USERPROFILE%\Documents\GitHub\eaglep3\Utilities\DownloadLogsFromS3.py --loco 4020 --day 2017-04-17</v>
      </c>
      <c r="AN199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07:25:32"},{"id":29,"name":"Sharepoint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671</v>
      </c>
      <c r="B200" s="7">
        <v>4025</v>
      </c>
      <c r="C200" s="21" t="s">
        <v>214</v>
      </c>
      <c r="D200" s="21" t="s">
        <v>979</v>
      </c>
      <c r="E200" s="13">
        <v>42841.175428240742</v>
      </c>
      <c r="F200" s="13">
        <v>42841.182326388887</v>
      </c>
      <c r="G200" s="7">
        <v>9</v>
      </c>
      <c r="H200" s="21" t="s">
        <v>491</v>
      </c>
      <c r="I200" s="13">
        <v>42841.190613425926</v>
      </c>
      <c r="J200" s="7">
        <v>0</v>
      </c>
      <c r="K200" s="97" t="str">
        <f t="shared" si="55"/>
        <v>4025/4026</v>
      </c>
      <c r="L200" s="21" t="str">
        <f>VLOOKUP(A200,'Trips&amp;Operators'!$C$1:$G$99999,5,FALSE)</f>
        <v>ROBINSON KADDIBA</v>
      </c>
      <c r="M200" s="6">
        <f t="shared" si="56"/>
        <v>8.2870370388263837E-3</v>
      </c>
      <c r="N200" s="7">
        <f t="shared" si="78"/>
        <v>11.933333335909992</v>
      </c>
      <c r="O200" s="7"/>
      <c r="P200" s="7"/>
      <c r="Q200" s="22"/>
      <c r="R200" s="22"/>
      <c r="S200" s="31">
        <f t="shared" si="76"/>
        <v>1</v>
      </c>
      <c r="T200" s="46" t="str">
        <f t="shared" si="57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8"/>
        <v>https://d0f6bd738d7f1b3e5a7ca70fe4ff75f0.us-east-1.aws.found.io/app/kibana#/discover/Steve-Slow-Train-Analysis-(2080s-and-2083s)?_g=(refreshInterval:(display:Off,pause:!f,section:0,value:0),time:(from:'2017-04-16T03:12:37-0600',mode:absolute,to:'2017-04-16T05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83" t="str">
        <f t="shared" si="59"/>
        <v>Y</v>
      </c>
      <c r="X200" s="183">
        <f t="shared" si="77"/>
        <v>1</v>
      </c>
      <c r="Y200" s="62">
        <f t="shared" si="60"/>
        <v>2.3612000000000002</v>
      </c>
      <c r="Z200" s="62">
        <f t="shared" si="75"/>
        <v>1.49E-2</v>
      </c>
      <c r="AA200" s="62">
        <f t="shared" si="61"/>
        <v>2.3463000000000003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2"/>
        <v>0310-16</v>
      </c>
      <c r="AE200" s="85" t="str">
        <f t="shared" si="63"/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AF200" s="82" t="str">
        <f t="shared" si="64"/>
        <v>"C:\Program Files (x86)\AstroGrep\AstroGrep.exe" /e /r /s /spath="%USERPROFILE%\AppData\Local\Temp\OnboardLogs" /stypes="app*4025*20170416*" /stext=" 10:.+((SYSTEM_STATE.+slice.+state.+changed )|(ment ac)|(multiple cpu faults)|(system.+state.+changed )|(\[timeout)|(PRM\|1\|D)|(kpr)|(kdp)|(\|lc)|(penalty))"</v>
      </c>
      <c r="AG200" s="1" t="str">
        <f t="shared" si="65"/>
        <v>Other</v>
      </c>
      <c r="AH200" s="86" t="str">
        <f t="shared" si="66"/>
        <v>"%USERPROFILE%\Documents\GitHub\eaglep3\Utilities\RefineRTDCRunTimes.py" --tripid 310-16 --locoid 4025 --swversion DE.1.0.9.0 --startMP 300:23612 --initTime 2017-04-16T04:12:37 --startdatetime 2017-04-16T04:22:33 --delay 9 --endMP 204:149 --enddatetime 2017-04-16T04:34:29 --enforcementcount 0 &gt;&gt;C:\Users\stu\Documents\GitHub\eaglep3-reporting\EC\2017-04-16-refined-times.txt</v>
      </c>
      <c r="AI200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{"issue":{"subject":"","project_id":79,"tracker_id":40,"status_id":1,"priority_id":2,"assigned_to_id":23,"start_date":"2017-04-16","description":"","custom_fields":[{"id":1,"name":"Subdivision","value":"Other"},{"id":4,"name":"Milepost","value":"0.0149"},{"id":17,"name":"Train ID","value":"310-16"},{"id":16,"name":"Locomotive ID","value":"4025"},{"id":130,"name":"Impact","value":""},{"id":150,"name":"Time of Event (Mountain Time)","value":"04:34:29"},{"id":151,"name":"Denver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8"/>
        <v>start /low /b %USERPROFILE%\Documents\GitHub\eaglep3\Utilities\DownloadLogsFromS3.py --loco 4025 --day 2017-04-16</v>
      </c>
      <c r="AN200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10:34:29"},{"id":29,"name":"Sharepoint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858</v>
      </c>
      <c r="B201" s="7">
        <v>4042</v>
      </c>
      <c r="C201" s="21" t="s">
        <v>214</v>
      </c>
      <c r="D201" s="21" t="s">
        <v>980</v>
      </c>
      <c r="E201" s="13">
        <v>42842.068738425929</v>
      </c>
      <c r="F201" s="13">
        <v>42842.070729166669</v>
      </c>
      <c r="G201" s="7">
        <v>1</v>
      </c>
      <c r="H201" s="21" t="s">
        <v>981</v>
      </c>
      <c r="I201" s="13">
        <v>42842.076365740744</v>
      </c>
      <c r="J201" s="7">
        <v>0</v>
      </c>
      <c r="K201" s="97" t="str">
        <f t="shared" si="55"/>
        <v>4041/4042</v>
      </c>
      <c r="L201" s="21" t="str">
        <f>VLOOKUP(A201,'Trips&amp;Operators'!$C$1:$G$99999,5,FALSE)</f>
        <v>SAFIEF AEIMEN</v>
      </c>
      <c r="M201" s="6">
        <f t="shared" si="56"/>
        <v>5.6365740747423843E-3</v>
      </c>
      <c r="N201" s="7">
        <f t="shared" si="78"/>
        <v>8.1166666676290333</v>
      </c>
      <c r="O201" s="7"/>
      <c r="P201" s="7"/>
      <c r="Q201" s="22"/>
      <c r="R201" s="22"/>
      <c r="S201" s="31">
        <f t="shared" si="76"/>
        <v>1</v>
      </c>
      <c r="T201" s="46" t="str">
        <f t="shared" si="57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8"/>
        <v>https://d0f6bd738d7f1b3e5a7ca70fe4ff75f0.us-east-1.aws.found.io/app/kibana#/discover/Steve-Slow-Train-Analysis-(2080s-and-2083s)?_g=(refreshInterval:(display:Off,pause:!f,section:0,value:0),time:(from:'2017-04-17T00:38:59-0600',mode:absolute,to:'2017-04-17T02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83" t="str">
        <f t="shared" si="59"/>
        <v>Y</v>
      </c>
      <c r="X201" s="183">
        <f t="shared" si="77"/>
        <v>1</v>
      </c>
      <c r="Y201" s="62">
        <f t="shared" si="60"/>
        <v>4.82E-2</v>
      </c>
      <c r="Z201" s="62">
        <f t="shared" si="75"/>
        <v>2.3172000000000001</v>
      </c>
      <c r="AA201" s="62">
        <f t="shared" si="61"/>
        <v>2.2690000000000001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2"/>
        <v>0311-16</v>
      </c>
      <c r="AE201" s="85" t="str">
        <f t="shared" si="63"/>
        <v>aws s3 cp s3://rtdc.mdm.uploadarchive.raw/RTDC4042/ "%USERPROFILE%\AppData\Local\Temp\OnboardLogs"\RTDC4042\2017-04-17 --exclude "*" --recursive --include "*20170417*" &amp; "%USERPROFILE%\Documents\GitHub\mrs-test-scripts\Headless Mode &amp; Sideloading\WalkAndUnGZ.bat" "%USERPROFILE%\AppData\Local\Temp\OnboardLogs"\RTDC4042\2017-04-17 &amp; aws s3 cp s3://rtdc.mdm.uploadarchive.raw/RTDC4042/ "%USERPROFILE%\AppData\Local\Temp\OnboardLogs"\RTDC4042\2017-04-18 --exclude "*" --recursive --include "*20170418*" &amp; "%USERPROFILE%\Documents\GitHub\mrs-test-scripts\Headless Mode &amp; Sideloading\WalkAndUnGZ.bat" "%USERPROFILE%\AppData\Local\Temp\OnboardLogs"\RTDC4042\2017-04-18</v>
      </c>
      <c r="AF201" s="82" t="str">
        <f t="shared" si="64"/>
        <v>"C:\Program Files (x86)\AstroGrep\AstroGrep.exe" /e /r /s /spath="%USERPROFILE%\AppData\Local\Temp\OnboardLogs" /stypes="app*4042*20170417*" /stext=" 07:.+((SYSTEM_STATE.+slice.+state.+changed )|(ment ac)|(multiple cpu faults)|(system.+state.+changed )|(\[timeout)|(PRM\|1\|D)|(kpr)|(kdp)|(\|lc)|(penalty))"</v>
      </c>
      <c r="AG201" s="1" t="str">
        <f t="shared" si="65"/>
        <v>Other</v>
      </c>
      <c r="AH201" s="86" t="str">
        <f t="shared" si="66"/>
        <v>"%USERPROFILE%\Documents\GitHub\eaglep3\Utilities\RefineRTDCRunTimes.py" --tripid 311-16 --locoid 4042 --swversion DE.1.0.9.0 --startMP 204:482 --initTime 2017-04-17T01:38:59 --startdatetime 2017-04-17T01:41:51 --delay 1 --endMP 300:23172 --enddatetime 2017-04-17T01:49:58 --enforcementcount 0 &gt;&gt;C:\Users\stu\Documents\GitHub\eaglep3-reporting\EC\2017-04-16-refined-times.txt</v>
      </c>
      <c r="AI201" s="104" t="str">
        <f t="shared" si="67"/>
        <v>echo {"issue":{"subject":"","project_id":79,"tracker_id":40,"status_id":1,"priority_id":2,"assigned_to_id":23,"start_date":"2017-04-17","description":"","custom_fields":[{"id":1,"name":"Subdivision","value":"Other"},{"id":4,"name":"Milepost","value":"2.3172"},{"id":17,"name":"Train ID","value":"311-16"},{"id":16,"name":"Locomotive ID","value":"4042"},{"id":130,"name":"Impact","value":""},{"id":150,"name":"Time of Event (Mountain Time)","value":"01:49:58"},{"id":151,"name":"Denver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8"/>
        <v>start /low /b %USERPROFILE%\Documents\GitHub\eaglep3\Utilities\DownloadLogsFromS3.py --loco 4042 --day 2017-04-17</v>
      </c>
      <c r="AN201" s="159" t="str">
        <f t="shared" si="69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07:49:58"},{"id":29,"name":"Sharepoint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590</v>
      </c>
      <c r="B202" s="7">
        <v>4054</v>
      </c>
      <c r="C202" s="21" t="s">
        <v>214</v>
      </c>
      <c r="D202" s="21" t="s">
        <v>638</v>
      </c>
      <c r="E202" s="13">
        <v>42841.08935185185</v>
      </c>
      <c r="F202" s="13">
        <v>42841.091203703705</v>
      </c>
      <c r="G202" s="7">
        <v>1</v>
      </c>
      <c r="H202" s="21" t="s">
        <v>512</v>
      </c>
      <c r="I202" s="13">
        <v>42841.100381944445</v>
      </c>
      <c r="J202" s="7">
        <v>0</v>
      </c>
      <c r="K202" s="97" t="str">
        <f t="shared" si="55"/>
        <v>4053/4054</v>
      </c>
      <c r="L202" s="21" t="str">
        <f>VLOOKUP(A202,'Trips&amp;Operators'!$C$1:$G$99999,5,FALSE)</f>
        <v>SWANSON BRYCE</v>
      </c>
      <c r="M202" s="6">
        <f t="shared" si="56"/>
        <v>9.1782407398568466E-3</v>
      </c>
      <c r="N202" s="7">
        <f t="shared" si="78"/>
        <v>13.216666665393859</v>
      </c>
      <c r="O202" s="7"/>
      <c r="P202" s="7"/>
      <c r="Q202" s="22"/>
      <c r="R202" s="22"/>
      <c r="S202" s="31">
        <f t="shared" si="76"/>
        <v>1</v>
      </c>
      <c r="T202" s="46" t="str">
        <f t="shared" si="57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8"/>
        <v>https://d0f6bd738d7f1b3e5a7ca70fe4ff75f0.us-east-1.aws.found.io/app/kibana#/discover/Steve-Slow-Train-Analysis-(2080s-and-2083s)?_g=(refreshInterval:(display:Off,pause:!f,section:0,value:0),time:(from:'2017-04-16T01:08:40-0600',mode:absolute,to:'2017-04-16T03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83" t="str">
        <f t="shared" si="59"/>
        <v>Y</v>
      </c>
      <c r="X202" s="183">
        <f t="shared" si="77"/>
        <v>2</v>
      </c>
      <c r="Y202" s="62">
        <f t="shared" si="60"/>
        <v>4.8800000000000003E-2</v>
      </c>
      <c r="Z202" s="62">
        <f t="shared" si="75"/>
        <v>2.3346</v>
      </c>
      <c r="AA202" s="62">
        <f t="shared" si="61"/>
        <v>2.2858000000000001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2"/>
        <v>0313-15</v>
      </c>
      <c r="AE202" s="85" t="str">
        <f t="shared" si="63"/>
        <v>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 &amp; 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</v>
      </c>
      <c r="AF202" s="82" t="str">
        <f t="shared" si="64"/>
        <v>"C:\Program Files (x86)\AstroGrep\AstroGrep.exe" /e /r /s /spath="%USERPROFILE%\AppData\Local\Temp\OnboardLogs" /stypes="app*4054*20170416*" /stext=" 08:.+((SYSTEM_STATE.+slice.+state.+changed )|(ment ac)|(multiple cpu faults)|(system.+state.+changed )|(\[timeout)|(PRM\|1\|D)|(kpr)|(kdp)|(\|lc)|(penalty))"</v>
      </c>
      <c r="AG202" s="1" t="str">
        <f t="shared" si="65"/>
        <v>Other</v>
      </c>
      <c r="AH202" s="86" t="str">
        <f t="shared" si="66"/>
        <v>"%USERPROFILE%\Documents\GitHub\eaglep3\Utilities\RefineRTDCRunTimes.py" --tripid 313-15 --locoid 4054 --swversion DE.1.0.9.0 --startMP 204:488 --initTime 2017-04-16T02:08:40 --startdatetime 2017-04-16T02:11:20 --delay 1 --endMP 300:23346 --enddatetime 2017-04-16T02:24:33 --enforcementcount 0 &gt;&gt;C:\Users\stu\Documents\GitHub\eaglep3-reporting\EC\2017-04-16-refined-times.txt</v>
      </c>
      <c r="AI202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{"issue":{"subject":"","project_id":79,"tracker_id":40,"status_id":1,"priority_id":2,"assigned_to_id":23,"start_date":"2017-04-16","description":"","custom_fields":[{"id":1,"name":"Subdivision","value":"Other"},{"id":4,"name":"Milepost","value":"2.3346"},{"id":17,"name":"Train ID","value":"313-15"},{"id":16,"name":"Locomotive ID","value":"4054"},{"id":130,"name":"Impact","value":""},{"id":150,"name":"Time of Event (Mountain Time)","value":"02:24:33"},{"id":151,"name":"Denver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8"/>
        <v>start /low /b %USERPROFILE%\Documents\GitHub\eaglep3\Utilities\DownloadLogsFromS3.py --loco 4054 --day 2017-04-16</v>
      </c>
      <c r="AN202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s="20" customFormat="1" x14ac:dyDescent="0.25">
      <c r="A203" s="33" t="s">
        <v>591</v>
      </c>
      <c r="B203" s="7">
        <v>4052</v>
      </c>
      <c r="C203" s="21" t="s">
        <v>214</v>
      </c>
      <c r="D203" s="21" t="s">
        <v>598</v>
      </c>
      <c r="E203" s="13">
        <v>42841.110335648147</v>
      </c>
      <c r="F203" s="13">
        <v>42841.111539351848</v>
      </c>
      <c r="G203" s="7">
        <v>1</v>
      </c>
      <c r="H203" s="21" t="s">
        <v>639</v>
      </c>
      <c r="I203" s="13">
        <v>42841.119837962964</v>
      </c>
      <c r="J203" s="7">
        <v>0</v>
      </c>
      <c r="K203" s="97" t="str">
        <f t="shared" si="55"/>
        <v>4051/4052</v>
      </c>
      <c r="L203" s="21" t="str">
        <f>VLOOKUP(A203,'Trips&amp;Operators'!$C$1:$G$99999,5,FALSE)</f>
        <v>BROWN JACOB</v>
      </c>
      <c r="M203" s="6">
        <f t="shared" si="56"/>
        <v>8.298611115606036E-3</v>
      </c>
      <c r="N203" s="7">
        <f t="shared" si="78"/>
        <v>11.950000006472692</v>
      </c>
      <c r="O203" s="7"/>
      <c r="P203" s="7"/>
      <c r="Q203" s="22"/>
      <c r="R203" s="22"/>
      <c r="S203" s="31">
        <f t="shared" si="76"/>
        <v>1</v>
      </c>
      <c r="T203" s="46" t="str">
        <f t="shared" si="57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8"/>
        <v>https://d0f6bd738d7f1b3e5a7ca70fe4ff75f0.us-east-1.aws.found.io/app/kibana#/discover/Steve-Slow-Train-Analysis-(2080s-and-2083s)?_g=(refreshInterval:(display:Off,pause:!f,section:0,value:0),time:(from:'2017-04-16T01:38:53-0600',mode:absolute,to:'2017-04-16T03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3" s="183" t="str">
        <f t="shared" si="59"/>
        <v>Y</v>
      </c>
      <c r="X203" s="183">
        <f t="shared" si="77"/>
        <v>2</v>
      </c>
      <c r="Y203" s="62">
        <f t="shared" si="60"/>
        <v>4.7699999999999999E-2</v>
      </c>
      <c r="Z203" s="62">
        <f t="shared" si="75"/>
        <v>2.3315999999999999</v>
      </c>
      <c r="AA203" s="62">
        <f t="shared" si="61"/>
        <v>2.2839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2"/>
        <v>0315-15</v>
      </c>
      <c r="AE203" s="85" t="str">
        <f t="shared" si="63"/>
        <v>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 &amp; 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</v>
      </c>
      <c r="AF203" s="82" t="str">
        <f t="shared" si="64"/>
        <v>"C:\Program Files (x86)\AstroGrep\AstroGrep.exe" /e /r /s /spath="%USERPROFILE%\AppData\Local\Temp\OnboardLogs" /stypes="app*4052*20170416*" /stext=" 08:.+((SYSTEM_STATE.+slice.+state.+changed )|(ment ac)|(multiple cpu faults)|(system.+state.+changed )|(\[timeout)|(PRM\|1\|D)|(kpr)|(kdp)|(\|lc)|(penalty))"</v>
      </c>
      <c r="AG203" s="1" t="str">
        <f t="shared" si="65"/>
        <v>Other</v>
      </c>
      <c r="AH203" s="86" t="str">
        <f t="shared" si="66"/>
        <v>"%USERPROFILE%\Documents\GitHub\eaglep3\Utilities\RefineRTDCRunTimes.py" --tripid 315-15 --locoid 4052 --swversion DE.1.0.9.0 --startMP 204:477 --initTime 2017-04-16T02:38:53 --startdatetime 2017-04-16T02:40:37 --delay 1 --endMP 300:23316 --enddatetime 2017-04-16T02:52:34 --enforcementcount 0 &gt;&gt;C:\Users\stu\Documents\GitHub\eaglep3-reporting\EC\2017-04-16-refined-times.txt</v>
      </c>
      <c r="AI203" s="104" t="str">
        <f t="shared" si="67"/>
        <v>echo {"issue":{"subject":"","project_id":79,"tracker_id":40,"status_id":1,"priority_id":2,"assigned_to_id":23,"start_date":"2017-04-16","description":"","custom_fields":[{"id":1,"name":"Subdivision","value":"Other"},{"id":4,"name":"Milepost","value":"2.3316"},{"id":17,"name":"Train ID","value":"315-15"},{"id":16,"name":"Locomotive ID","value":"4052"},{"id":130,"name":"Impact","value":""},{"id":150,"name":"Time of Event (Mountain Time)","value":"02:52:34"},{"id":151,"name":"Denver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8"/>
      <c r="AL203" s="48"/>
      <c r="AM203" s="150" t="str">
        <f t="shared" si="68"/>
        <v>start /low /b %USERPROFILE%\Documents\GitHub\eaglep3\Utilities\DownloadLogsFromS3.py --loco 4052 --day 2017-04-16</v>
      </c>
      <c r="AN203" s="159" t="str">
        <f t="shared" si="69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679</v>
      </c>
      <c r="B204" s="7">
        <v>4046</v>
      </c>
      <c r="C204" s="21" t="s">
        <v>214</v>
      </c>
      <c r="D204" s="21" t="s">
        <v>939</v>
      </c>
      <c r="E204" s="13">
        <v>42841.222662037035</v>
      </c>
      <c r="F204" s="13">
        <v>42841.226064814815</v>
      </c>
      <c r="G204" s="7">
        <v>4</v>
      </c>
      <c r="H204" s="21" t="s">
        <v>515</v>
      </c>
      <c r="I204" s="13">
        <v>42841.231006944443</v>
      </c>
      <c r="J204" s="7">
        <v>0</v>
      </c>
      <c r="K204" s="97" t="str">
        <f t="shared" si="55"/>
        <v>4045/4046</v>
      </c>
      <c r="L204" s="21" t="str">
        <f>VLOOKUP(A204,'Trips&amp;Operators'!$C$1:$G$99999,5,FALSE)</f>
        <v>YORK EDGAR</v>
      </c>
      <c r="M204" s="6">
        <f t="shared" si="56"/>
        <v>4.9421296280343086E-3</v>
      </c>
      <c r="N204" s="7">
        <f t="shared" si="78"/>
        <v>7.1166666643694043</v>
      </c>
      <c r="O204" s="7"/>
      <c r="P204" s="7"/>
      <c r="Q204" s="22"/>
      <c r="R204" s="22"/>
      <c r="S204" s="31">
        <f t="shared" si="76"/>
        <v>0</v>
      </c>
      <c r="T204" s="46" t="str">
        <f t="shared" si="57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2" t="str">
        <f t="shared" si="58"/>
        <v>https://d0f6bd738d7f1b3e5a7ca70fe4ff75f0.us-east-1.aws.found.io/app/kibana#/discover/Steve-Slow-Train-Analysis-(2080s-and-2083s)?_g=(refreshInterval:(display:Off,pause:!f,section:0,value:0),time:(from:'2017-04-16T04:20:38-0600',mode:absolute,to:'2017-04-16T06:32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183" t="str">
        <f t="shared" si="59"/>
        <v>Y</v>
      </c>
      <c r="X204" s="183">
        <f t="shared" si="77"/>
        <v>1586</v>
      </c>
      <c r="Y204" s="62">
        <f t="shared" si="60"/>
        <v>2.9914999999999998</v>
      </c>
      <c r="Z204" s="62">
        <f t="shared" si="75"/>
        <v>5.8940999999999999</v>
      </c>
      <c r="AA204" s="62">
        <f t="shared" si="61"/>
        <v>2.9026000000000001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2"/>
        <v>1901-16</v>
      </c>
      <c r="AE204" s="85" t="str">
        <f t="shared" si="63"/>
        <v>aws s3 cp s3://rtdc.mdm.uploadarchive.raw/RTDC4046/ "%USERPROFILE%\AppData\Local\Temp\OnboardLogs"\RTDC4046\2017-04-16 --exclude "*" --recursive --include "*20170416*" &amp; "%USERPROFILE%\Documents\GitHub\mrs-test-scripts\Headless Mode &amp; Sideloading\WalkAndUnGZ.bat" "%USERPROFILE%\AppData\Local\Temp\OnboardLogs"\RTDC4046\2017-04-16 &amp; aws s3 cp s3://rtdc.mdm.uploadarchive.raw/RTDC4046/ "%USERPROFILE%\AppData\Local\Temp\OnboardLogs"\RTDC4046\2017-04-17 --exclude "*" --recursive --include "*20170417*" &amp; "%USERPROFILE%\Documents\GitHub\mrs-test-scripts\Headless Mode &amp; Sideloading\WalkAndUnGZ.bat" "%USERPROFILE%\AppData\Local\Temp\OnboardLogs"\RTDC4046\2017-04-17</v>
      </c>
      <c r="AF204" s="82" t="str">
        <f t="shared" si="64"/>
        <v>"C:\Program Files (x86)\AstroGrep\AstroGrep.exe" /e /r /s /spath="%USERPROFILE%\AppData\Local\Temp\OnboardLogs" /stypes="app*4046*20170416*" /stext=" 11:.+((SYSTEM_STATE.+slice.+state.+changed )|(ment ac)|(multiple cpu faults)|(system.+state.+changed )|(\[timeout)|(PRM\|1\|D)|(kpr)|(kdp)|(\|lc)|(penalty))"</v>
      </c>
      <c r="AG204" s="1" t="str">
        <f t="shared" si="65"/>
        <v>Other</v>
      </c>
      <c r="AH204" s="86" t="str">
        <f t="shared" ref="AH204:AH219" si="7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1901-16 --locoid 4046 --swversion DE.1.0.9.0 --startMP 300:29915 --initTime 2017-04-16T05:20:38 --startdatetime 2017-04-16T05:25:32 --delay 4 --endMP 300:58941 --enddatetime 2017-04-16T05:32:39 --enforcementcount 0 &gt;&gt;C:\Users\stu\Documents\GitHub\eaglep3-reporting\EC\2017-04-16-refined-times.txt</v>
      </c>
      <c r="AI204" s="104" t="str">
        <f t="shared" ref="AI204:AI219" si="8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{"issue":{"subject":"","project_id":79,"tracker_id":40,"status_id":1,"priority_id":2,"assigned_to_id":23,"start_date":"2017-04-16","description":"","custom_fields":[{"id":1,"name":"Subdivision","value":"Other"},{"id":4,"name":"Milepost","value":"5.8941"},{"id":17,"name":"Train ID","value":"1901-16"},{"id":16,"name":"Locomotive ID","value":"4046"},{"id":130,"name":"Impact","value":""},{"id":150,"name":"Time of Event (Mountain Time)","value":"05:32:39"},{"id":151,"name":"Denver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19" si="81">"start /low /b "&amp;dls3logs&amp;" --loco "&amp;B204&amp;" --day "&amp;TEXT(F204,"YYYY-MM-DD")</f>
        <v>start /low /b %USERPROFILE%\Documents\GitHub\eaglep3\Utilities\DownloadLogsFromS3.py --loco 4046 --day 2017-04-16</v>
      </c>
      <c r="AN204" s="159" t="str">
        <f t="shared" ref="AN204:AN219" si="82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11:32:39"},{"id":29,"name":"Sharepoint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849</v>
      </c>
      <c r="B205" s="7">
        <v>4045</v>
      </c>
      <c r="C205" s="21" t="s">
        <v>214</v>
      </c>
      <c r="D205" s="21" t="s">
        <v>514</v>
      </c>
      <c r="E205" s="13">
        <v>42841.941504629627</v>
      </c>
      <c r="F205" s="13">
        <v>42841.942835648151</v>
      </c>
      <c r="G205" s="7">
        <v>1</v>
      </c>
      <c r="H205" s="21" t="s">
        <v>940</v>
      </c>
      <c r="I205" s="13">
        <v>42841.947291666664</v>
      </c>
      <c r="J205" s="7">
        <v>0</v>
      </c>
      <c r="K205" s="97" t="str">
        <f t="shared" ref="K205:K219" si="83">IF(ISEVEN(B205),(B205-1)&amp;"/"&amp;B205,B205&amp;"/"&amp;(B205+1))</f>
        <v>4045/4046</v>
      </c>
      <c r="L205" s="21" t="str">
        <f>VLOOKUP(A205,'Trips&amp;Operators'!$C$1:$G$99999,5,FALSE)</f>
        <v>HELVIE ADAM</v>
      </c>
      <c r="M205" s="6">
        <f t="shared" ref="M205:M219" si="84">I205-F205</f>
        <v>4.4560185124282725E-3</v>
      </c>
      <c r="N205" s="7">
        <f t="shared" si="78"/>
        <v>6.4166666578967124</v>
      </c>
      <c r="O205" s="7"/>
      <c r="P205" s="7"/>
      <c r="Q205" s="22"/>
      <c r="R205" s="22"/>
      <c r="S205" s="31">
        <f t="shared" si="76"/>
        <v>0</v>
      </c>
      <c r="T205" s="46" t="str">
        <f t="shared" ref="T205:T219" si="85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2" t="str">
        <f t="shared" ref="V205:V219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-16T21:35:46-0600',mode:absolute,to:'2017-04-16T23:44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183" t="str">
        <f t="shared" ref="W205:W219" si="87">IF(AA205&lt;IF(AG205="EC",23,5.65),"Y","N")</f>
        <v>Y</v>
      </c>
      <c r="X205" s="183">
        <f t="shared" si="77"/>
        <v>1</v>
      </c>
      <c r="Y205" s="62">
        <f t="shared" ref="Y205:Y219" si="88">RIGHT(D205,LEN(D205)-4)/10000</f>
        <v>5.8630000000000004</v>
      </c>
      <c r="Z205" s="62">
        <f t="shared" si="75"/>
        <v>2.1757</v>
      </c>
      <c r="AA205" s="62">
        <f t="shared" ref="AA205:AA268" si="89">ABS(Z205-Y205)</f>
        <v>3.6873000000000005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9" si="90">IF(LEN(A205)=6,"0"&amp;A205,A205)</f>
        <v>1902-16</v>
      </c>
      <c r="AE205" s="85" t="str">
        <f t="shared" ref="AE205:AE219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"%USERPROFILE%\AppData\Local\Temp\OnboardLogs"\RTDC4045\2017-04-16 --exclude "*" --recursive --include "*20170416*" &amp; "%USERPROFILE%\Documents\GitHub\mrs-test-scripts\Headless Mode &amp; Sideloading\WalkAndUnGZ.bat" "%USERPROFILE%\AppData\Local\Temp\OnboardLogs"\RTDC4045\2017-04-16 &amp; aws s3 cp s3://rtdc.mdm.uploadarchive.raw/RTDC4045/ "%USERPROFILE%\AppData\Local\Temp\OnboardLogs"\RTDC4045\2017-04-17 --exclude "*" --recursive --include "*20170417*" &amp; "%USERPROFILE%\Documents\GitHub\mrs-test-scripts\Headless Mode &amp; Sideloading\WalkAndUnGZ.bat" "%USERPROFILE%\AppData\Local\Temp\OnboardLogs"\RTDC4045\2017-04-17</v>
      </c>
      <c r="AF205" s="82" t="str">
        <f t="shared" ref="AF205:AF219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/stypes="app*4045*20170417*" /stext=" 04:.+((SYSTEM_STATE.+slice.+state.+changed )|(ment ac)|(multiple cpu faults)|(system.+state.+changed )|(\[timeout)|(PRM\|1\|D)|(kpr)|(kdp)|(\|lc)|(penalty))"</v>
      </c>
      <c r="AG205" s="1" t="str">
        <f t="shared" ref="AG205:AG219" si="93">IFERROR(IF(VALUE(LEFT(AD205,2))&lt;=2,"EC",IF(OR(VALUE(LEFT(AD205,2))=8,VALUE(LEFT(AD205,2))=18),"NW","Other")),"Other")</f>
        <v>Other</v>
      </c>
      <c r="AH205" s="86" t="str">
        <f t="shared" si="79"/>
        <v>"%USERPROFILE%\Documents\GitHub\eaglep3\Utilities\RefineRTDCRunTimes.py" --tripid 1902-16 --locoid 4045 --swversion DE.1.0.9.0 --startMP 300:58630 --initTime 2017-04-16T22:35:46 --startdatetime 2017-04-16T22:37:41 --delay 1 --endMP 300:21757 --enddatetime 2017-04-16T22:44:06 --enforcementcount 0 &gt;&gt;C:\Users\stu\Documents\GitHub\eaglep3-reporting\EC\2017-04-16-refined-times.txt</v>
      </c>
      <c r="AI205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{"issue":{"subject":"","project_id":79,"tracker_id":40,"status_id":1,"priority_id":2,"assigned_to_id":23,"start_date":"2017-04-16","description":"","custom_fields":[{"id":1,"name":"Subdivision","value":"Other"},{"id":4,"name":"Milepost","value":"2.1757"},{"id":17,"name":"Train ID","value":"1902-16"},{"id":16,"name":"Locomotive ID","value":"4045"},{"id":130,"name":"Impact","value":""},{"id":150,"name":"Time of Event (Mountain Time)","value":"22:44:06"},{"id":151,"name":"Denver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81"/>
        <v>start /low /b %USERPROFILE%\Documents\GitHub\eaglep3\Utilities\DownloadLogsFromS3.py --loco 4045 --day 2017-04-16</v>
      </c>
      <c r="AN205" s="159" t="str">
        <f t="shared" si="82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04:44:06"},{"id":29,"name":"Sharepoint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700</v>
      </c>
      <c r="B206" s="7">
        <v>4023</v>
      </c>
      <c r="C206" s="21" t="s">
        <v>214</v>
      </c>
      <c r="D206" s="21" t="s">
        <v>982</v>
      </c>
      <c r="E206" s="13">
        <v>42841.272141203706</v>
      </c>
      <c r="F206" s="13">
        <v>42841.28533564815</v>
      </c>
      <c r="G206" s="7">
        <v>18</v>
      </c>
      <c r="H206" s="21" t="s">
        <v>595</v>
      </c>
      <c r="I206" s="13">
        <v>42841.291817129626</v>
      </c>
      <c r="J206" s="7">
        <v>0</v>
      </c>
      <c r="K206" s="97" t="str">
        <f t="shared" si="83"/>
        <v>4023/4024</v>
      </c>
      <c r="L206" s="21" t="str">
        <f>VLOOKUP(A206,'Trips&amp;Operators'!$C$1:$G$99999,5,FALSE)</f>
        <v>ARVIDSON DANIEL</v>
      </c>
      <c r="M206" s="6">
        <f t="shared" si="84"/>
        <v>6.4814814759301953E-3</v>
      </c>
      <c r="N206" s="7">
        <f t="shared" si="78"/>
        <v>9.3333333253394812</v>
      </c>
      <c r="O206" s="7"/>
      <c r="P206" s="7"/>
      <c r="Q206" s="22"/>
      <c r="R206" s="22"/>
      <c r="S206" s="31">
        <f t="shared" si="76"/>
        <v>0</v>
      </c>
      <c r="T206" s="46" t="e">
        <f t="shared" si="85"/>
        <v>#VALUE!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2" t="str">
        <f t="shared" si="86"/>
        <v>https://d0f6bd738d7f1b3e5a7ca70fe4ff75f0.us-east-1.aws.found.io/app/kibana#/discover/Steve-Slow-Train-Analysis-(2080s-and-2083s)?_g=(refreshInterval:(display:Off,pause:!f,section:0,value:0),time:(from:'2017-04-16T05:31:53-0600',mode:absolute,to:'2017-04-16T08:00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83" t="str">
        <f t="shared" si="87"/>
        <v>Y</v>
      </c>
      <c r="X206" s="183" t="e">
        <f t="shared" si="77"/>
        <v>#VALUE!</v>
      </c>
      <c r="Y206" s="62">
        <f t="shared" si="88"/>
        <v>2.1962000000000002</v>
      </c>
      <c r="Z206" s="62">
        <f t="shared" si="75"/>
        <v>0.11650000000000001</v>
      </c>
      <c r="AA206" s="62">
        <f t="shared" si="89"/>
        <v>2.0797000000000003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0"/>
        <v>50-16</v>
      </c>
      <c r="AE206" s="85" t="str">
        <f t="shared" si="91"/>
        <v>aws s3 cp s3://rtdc.mdm.uploadarchive.raw/RTDC4023/ "%USERPROFILE%\AppData\Local\Temp\OnboardLogs"\RTDC4023\2017-04-16 --exclude "*" --recursive --include "*20170416*" &amp; "%USERPROFILE%\Documents\GitHub\mrs-test-scripts\Headless Mode &amp; Sideloading\WalkAndUnGZ.bat" "%USERPROFILE%\AppData\Local\Temp\OnboardLogs"\RTDC4023\2017-04-16 &amp; 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</v>
      </c>
      <c r="AF206" s="82" t="str">
        <f t="shared" si="92"/>
        <v>"C:\Program Files (x86)\AstroGrep\AstroGrep.exe" /e /r /s /spath="%USERPROFILE%\AppData\Local\Temp\OnboardLogs" /stypes="app*4023*20170416*" /stext=" 13:.+((SYSTEM_STATE.+slice.+state.+changed )|(ment ac)|(multiple cpu faults)|(system.+state.+changed )|(\[timeout)|(PRM\|1\|D)|(kpr)|(kdp)|(\|lc)|(penalty))"</v>
      </c>
      <c r="AG206" s="1" t="str">
        <f t="shared" si="93"/>
        <v>Other</v>
      </c>
      <c r="AH206" s="86" t="str">
        <f t="shared" si="79"/>
        <v>"%USERPROFILE%\Documents\GitHub\eaglep3\Utilities\RefineRTDCRunTimes.py" --tripid 50-16 --locoid 4023 --swversion DE.1.0.9.0 --startMP 300:21962 --initTime 2017-04-16T06:31:53 --startdatetime 2017-04-16T06:50:53 --delay 18 --endMP 204:1165 --enddatetime 2017-04-16T07:00:13 --enforcementcount 0 &gt;&gt;C:\Users\stu\Documents\GitHub\eaglep3-reporting\EC\2017-04-16-refined-times.txt</v>
      </c>
      <c r="AI206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{"issue":{"subject":"","project_id":79,"tracker_id":40,"status_id":1,"priority_id":2,"assigned_to_id":23,"start_date":"2017-04-16","description":"","custom_fields":[{"id":1,"name":"Subdivision","value":"Other"},{"id":4,"name":"Milepost","value":"0.1165"},{"id":17,"name":"Train ID","value":"50-16"},{"id":16,"name":"Locomotive ID","value":"4023"},{"id":130,"name":"Impact","value":""},{"id":150,"name":"Time of Event (Mountain Time)","value":"07:00:13"},{"id":151,"name":"Denver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1"/>
        <v>start /low /b %USERPROFILE%\Documents\GitHub\eaglep3\Utilities\DownloadLogsFromS3.py --loco 4023 --day 2017-04-16</v>
      </c>
      <c r="AN206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13:00:13"},{"id":29,"name":"Sharepoint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684</v>
      </c>
      <c r="B207" s="7">
        <v>4044</v>
      </c>
      <c r="C207" s="21" t="s">
        <v>214</v>
      </c>
      <c r="D207" s="21" t="s">
        <v>615</v>
      </c>
      <c r="E207" s="13">
        <v>42841.232418981483</v>
      </c>
      <c r="F207" s="13">
        <v>42841.245810185188</v>
      </c>
      <c r="G207" s="7">
        <v>2</v>
      </c>
      <c r="H207" s="21" t="s">
        <v>868</v>
      </c>
      <c r="I207" s="13">
        <v>42841.273298611108</v>
      </c>
      <c r="J207" s="7">
        <v>0</v>
      </c>
      <c r="K207" s="97" t="str">
        <f t="shared" si="83"/>
        <v>4043/4044</v>
      </c>
      <c r="L207" s="21" t="str">
        <f>VLOOKUP(A207,'Trips&amp;Operators'!$C$1:$G$99999,5,FALSE)</f>
        <v>MAYBERRY BILL</v>
      </c>
      <c r="M207" s="6">
        <f t="shared" si="84"/>
        <v>2.7488425919727888E-2</v>
      </c>
      <c r="N207" s="7">
        <f t="shared" si="78"/>
        <v>39.583333324408159</v>
      </c>
      <c r="O207" s="7"/>
      <c r="P207" s="7"/>
      <c r="Q207" s="22"/>
      <c r="R207" s="22"/>
      <c r="S207" s="31">
        <f t="shared" si="76"/>
        <v>0</v>
      </c>
      <c r="T207" s="46" t="e">
        <f t="shared" si="85"/>
        <v>#VALUE!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86"/>
        <v>https://d0f6bd738d7f1b3e5a7ca70fe4ff75f0.us-east-1.aws.found.io/app/kibana#/discover/Steve-Slow-Train-Analysis-(2080s-and-2083s)?_g=(refreshInterval:(display:Off,pause:!f,section:0,value:0),time:(from:'2017-04-16T04:34:41-0600',mode:absolute,to:'2017-04-16T07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83" t="str">
        <f t="shared" si="87"/>
        <v>N</v>
      </c>
      <c r="X207" s="183" t="e">
        <f t="shared" si="77"/>
        <v>#VALUE!</v>
      </c>
      <c r="Y207" s="62">
        <f t="shared" si="88"/>
        <v>4.3299999999999998E-2</v>
      </c>
      <c r="Z207" s="62">
        <f t="shared" si="75"/>
        <v>23.331199999999999</v>
      </c>
      <c r="AA207" s="62">
        <f t="shared" si="89"/>
        <v>23.2879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0"/>
        <v>51-16</v>
      </c>
      <c r="AE207" s="85" t="str">
        <f t="shared" si="91"/>
        <v>aws s3 cp s3://rtdc.mdm.uploadarchive.raw/RTDC4044/ "%USERPROFILE%\AppData\Local\Temp\OnboardLogs"\RTDC4044\2017-04-16 --exclude "*" --recursive --include "*20170416*" &amp; "%USERPROFILE%\Documents\GitHub\mrs-test-scripts\Headless Mode &amp; Sideloading\WalkAndUnGZ.bat" "%USERPROFILE%\AppData\Local\Temp\OnboardLogs"\RTDC4044\2017-04-16 &amp; aws s3 cp s3://rtdc.mdm.uploadarchive.raw/RTDC4044/ "%USERPROFILE%\AppData\Local\Temp\OnboardLogs"\RTDC4044\2017-04-17 --exclude "*" --recursive --include "*20170417*" &amp; "%USERPROFILE%\Documents\GitHub\mrs-test-scripts\Headless Mode &amp; Sideloading\WalkAndUnGZ.bat" "%USERPROFILE%\AppData\Local\Temp\OnboardLogs"\RTDC4044\2017-04-17</v>
      </c>
      <c r="AF207" s="82" t="str">
        <f t="shared" si="92"/>
        <v>"C:\Program Files (x86)\AstroGrep\AstroGrep.exe" /e /r /s /spath="%USERPROFILE%\AppData\Local\Temp\OnboardLogs" /stypes="app*4044*20170416*" /stext=" 12:.+((SYSTEM_STATE.+slice.+state.+changed )|(ment ac)|(multiple cpu faults)|(system.+state.+changed )|(\[timeout)|(PRM\|1\|D)|(kpr)|(kdp)|(\|lc)|(penalty))"</v>
      </c>
      <c r="AG207" s="1" t="str">
        <f t="shared" si="93"/>
        <v>Other</v>
      </c>
      <c r="AH207" s="86" t="str">
        <f t="shared" si="79"/>
        <v>"%USERPROFILE%\Documents\GitHub\eaglep3\Utilities\RefineRTDCRunTimes.py" --tripid 51-16 --locoid 4044 --swversion DE.1.0.9.0 --startMP 204:433 --initTime 2017-04-16T05:34:41 --startdatetime 2017-04-16T05:53:58 --delay 2 --endMP 204:233312 --enddatetime 2017-04-16T06:33:33 --enforcementcount 0 &gt;&gt;C:\Users\stu\Documents\GitHub\eaglep3-reporting\EC\2017-04-16-refined-times.txt</v>
      </c>
      <c r="AI207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{"issue":{"subject":"","project_id":79,"tracker_id":40,"status_id":1,"priority_id":2,"assigned_to_id":23,"start_date":"2017-04-16","description":"","custom_fields":[{"id":1,"name":"Subdivision","value":"Other"},{"id":4,"name":"Milepost","value":"23.3312"},{"id":17,"name":"Train ID","value":"51-16"},{"id":16,"name":"Locomotive ID","value":"4044"},{"id":130,"name":"Impact","value":""},{"id":150,"name":"Time of Event (Mountain Time)","value":"06:33:33"},{"id":151,"name":"Denver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1"/>
        <v>start /low /b %USERPROFILE%\Documents\GitHub\eaglep3\Utilities\DownloadLogsFromS3.py --loco 4044 --day 2017-04-16</v>
      </c>
      <c r="AN207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859</v>
      </c>
      <c r="B208" s="7">
        <v>4014</v>
      </c>
      <c r="C208" s="21" t="s">
        <v>214</v>
      </c>
      <c r="D208" s="21" t="s">
        <v>983</v>
      </c>
      <c r="E208" s="13">
        <v>42842.079085648147</v>
      </c>
      <c r="F208" s="13">
        <v>42842.092268518521</v>
      </c>
      <c r="G208" s="7">
        <v>1</v>
      </c>
      <c r="H208" s="21" t="s">
        <v>984</v>
      </c>
      <c r="I208" s="13">
        <v>42842.112071759257</v>
      </c>
      <c r="J208" s="7">
        <v>0</v>
      </c>
      <c r="K208" s="97" t="str">
        <f t="shared" si="83"/>
        <v>4013/4014</v>
      </c>
      <c r="L208" s="21" t="str">
        <f>VLOOKUP(A208,'Trips&amp;Operators'!$C$1:$G$99999,5,FALSE)</f>
        <v>HAUSER FRANK</v>
      </c>
      <c r="M208" s="6">
        <f t="shared" si="84"/>
        <v>1.9803240735200234E-2</v>
      </c>
      <c r="N208" s="7">
        <f t="shared" si="78"/>
        <v>28.516666658688337</v>
      </c>
      <c r="O208" s="7"/>
      <c r="P208" s="7"/>
      <c r="Q208" s="22"/>
      <c r="R208" s="22"/>
      <c r="S208" s="31">
        <f t="shared" si="76"/>
        <v>0</v>
      </c>
      <c r="T208" s="46" t="e">
        <f t="shared" si="85"/>
        <v>#VALUE!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86"/>
        <v>https://d0f6bd738d7f1b3e5a7ca70fe4ff75f0.us-east-1.aws.found.io/app/kibana#/discover/Steve-Slow-Train-Analysis-(2080s-and-2083s)?_g=(refreshInterval:(display:Off,pause:!f,section:0,value:0),time:(from:'2017-04-17T00:53:53-0600',mode:absolute,to:'2017-04-17T03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83" t="str">
        <f t="shared" si="87"/>
        <v>N</v>
      </c>
      <c r="X208" s="183" t="e">
        <f t="shared" si="77"/>
        <v>#VALUE!</v>
      </c>
      <c r="Y208" s="62">
        <f t="shared" si="88"/>
        <v>0.1158</v>
      </c>
      <c r="Z208" s="62">
        <f t="shared" si="75"/>
        <v>10.694900000000001</v>
      </c>
      <c r="AA208" s="62">
        <f t="shared" si="89"/>
        <v>10.5791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0"/>
        <v>51-17</v>
      </c>
      <c r="AE208" s="85" t="str">
        <f t="shared" si="91"/>
        <v>aws s3 cp s3://rtdc.mdm.uploadarchive.raw/RTDC4014/ "%USERPROFILE%\AppData\Local\Temp\OnboardLogs"\RTDC4014\2017-04-17 --exclude "*" --recursive --include "*20170417*" &amp; "%USERPROFILE%\Documents\GitHub\mrs-test-scripts\Headless Mode &amp; Sideloading\WalkAndUnGZ.bat" "%USERPROFILE%\AppData\Local\Temp\OnboardLogs"\RTDC4014\2017-04-17 &amp; aws s3 cp s3://rtdc.mdm.uploadarchive.raw/RTDC4014/ "%USERPROFILE%\AppData\Local\Temp\OnboardLogs"\RTDC4014\2017-04-18 --exclude "*" --recursive --include "*20170418*" &amp; "%USERPROFILE%\Documents\GitHub\mrs-test-scripts\Headless Mode &amp; Sideloading\WalkAndUnGZ.bat" "%USERPROFILE%\AppData\Local\Temp\OnboardLogs"\RTDC4014\2017-04-18</v>
      </c>
      <c r="AF208" s="82" t="str">
        <f t="shared" si="92"/>
        <v>"C:\Program Files (x86)\AstroGrep\AstroGrep.exe" /e /r /s /spath="%USERPROFILE%\AppData\Local\Temp\OnboardLogs" /stypes="app*4014*20170417*" /stext=" 08:.+((SYSTEM_STATE.+slice.+state.+changed )|(ment ac)|(multiple cpu faults)|(system.+state.+changed )|(\[timeout)|(PRM\|1\|D)|(kpr)|(kdp)|(\|lc)|(penalty))"</v>
      </c>
      <c r="AG208" s="1" t="str">
        <f t="shared" si="93"/>
        <v>Other</v>
      </c>
      <c r="AH208" s="86" t="str">
        <f t="shared" si="79"/>
        <v>"%USERPROFILE%\Documents\GitHub\eaglep3\Utilities\RefineRTDCRunTimes.py" --tripid 51-17 --locoid 4014 --swversion DE.1.0.9.0 --startMP 204:1158 --initTime 2017-04-17T01:53:53 --startdatetime 2017-04-17T02:12:52 --delay 1 --endMP 204:106949 --enddatetime 2017-04-17T02:41:23 --enforcementcount 0 &gt;&gt;C:\Users\stu\Documents\GitHub\eaglep3-reporting\EC\2017-04-16-refined-times.txt</v>
      </c>
      <c r="AI208" s="104" t="str">
        <f t="shared" si="80"/>
        <v>echo {"issue":{"subject":"","project_id":79,"tracker_id":40,"status_id":1,"priority_id":2,"assigned_to_id":23,"start_date":"2017-04-17","description":"","custom_fields":[{"id":1,"name":"Subdivision","value":"Other"},{"id":4,"name":"Milepost","value":"10.6949"},{"id":17,"name":"Train ID","value":"51-17"},{"id":16,"name":"Locomotive ID","value":"4014"},{"id":130,"name":"Impact","value":""},{"id":150,"name":"Time of Event (Mountain Time)","value":"02:41:23"},{"id":151,"name":"Denver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1"/>
        <v>start /low /b %USERPROFILE%\Documents\GitHub\eaglep3\Utilities\DownloadLogsFromS3.py --loco 4014 --day 2017-04-17</v>
      </c>
      <c r="AN208" s="159" t="str">
        <f t="shared" si="82"/>
        <v>echo {"issue":{"subject":"","project_id":30,"tracker_id":4,"status_id":1,"priority_id":1,"assigned_to_id":10,"start_date":"2017-04-17","description":"","custom_fields":[{"id":30,"name":"Category","value":"Issue"},{"id":3,"name":"Functional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UTC","value":"2017-04-17 08:41:23"},{"id":29,"name":"Sharepoint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812</v>
      </c>
      <c r="B209" s="7">
        <v>4013</v>
      </c>
      <c r="C209" s="21" t="s">
        <v>214</v>
      </c>
      <c r="D209" s="21" t="s">
        <v>985</v>
      </c>
      <c r="E209" s="13">
        <v>42841.741261574076</v>
      </c>
      <c r="F209" s="13">
        <v>42841.743877314817</v>
      </c>
      <c r="G209" s="7">
        <v>3</v>
      </c>
      <c r="H209" s="21" t="s">
        <v>986</v>
      </c>
      <c r="I209" s="13">
        <v>42841.748402777775</v>
      </c>
      <c r="J209" s="7">
        <v>0</v>
      </c>
      <c r="K209" s="97" t="str">
        <f t="shared" si="83"/>
        <v>4013/4014</v>
      </c>
      <c r="L209" s="21" t="str">
        <f>VLOOKUP(A209,'Trips&amp;Operators'!$C$1:$G$99999,5,FALSE)</f>
        <v>MAGEE KENYA</v>
      </c>
      <c r="M209" s="6">
        <f t="shared" si="84"/>
        <v>4.5254629585542716E-3</v>
      </c>
      <c r="N209" s="7">
        <f t="shared" si="78"/>
        <v>6.5166666603181511</v>
      </c>
      <c r="O209" s="7"/>
      <c r="P209" s="7"/>
      <c r="Q209" s="22"/>
      <c r="R209" s="22"/>
      <c r="S209" s="31">
        <f t="shared" si="76"/>
        <v>0</v>
      </c>
      <c r="T209" s="46" t="e">
        <f t="shared" si="85"/>
        <v>#VALUE!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86"/>
        <v>https://d0f6bd738d7f1b3e5a7ca70fe4ff75f0.us-east-1.aws.found.io/app/kibana#/discover/Steve-Slow-Train-Analysis-(2080s-and-2083s)?_g=(refreshInterval:(display:Off,pause:!f,section:0,value:0),time:(from:'2017-04-16T16:47:25-0600',mode:absolute,to:'2017-04-16T18:57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183" t="str">
        <f t="shared" si="87"/>
        <v>Y</v>
      </c>
      <c r="X209" s="183" t="e">
        <f t="shared" si="77"/>
        <v>#VALUE!</v>
      </c>
      <c r="Y209" s="62">
        <f t="shared" si="88"/>
        <v>2.2132000000000001</v>
      </c>
      <c r="Z209" s="62">
        <f t="shared" si="75"/>
        <v>0.1875</v>
      </c>
      <c r="AA209" s="62">
        <f t="shared" si="89"/>
        <v>2.0257000000000001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0"/>
        <v>52-16</v>
      </c>
      <c r="AE209" s="85" t="str">
        <f t="shared" si="91"/>
        <v>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 &amp; aws s3 cp s3://rtdc.mdm.uploadarchive.raw/RTDC4013/ "%USERPROFILE%\AppData\Local\Temp\OnboardLogs"\RTDC4013\2017-04-17 --exclude "*" --recursive --include "*20170417*" &amp; "%USERPROFILE%\Documents\GitHub\mrs-test-scripts\Headless Mode &amp; Sideloading\WalkAndUnGZ.bat" "%USERPROFILE%\AppData\Local\Temp\OnboardLogs"\RTDC4013\2017-04-17</v>
      </c>
      <c r="AF209" s="82" t="str">
        <f t="shared" si="92"/>
        <v>"C:\Program Files (x86)\AstroGrep\AstroGrep.exe" /e /r /s /spath="%USERPROFILE%\AppData\Local\Temp\OnboardLogs" /stypes="app*4013*20170416*" /stext=" 23:.+((SYSTEM_STATE.+slice.+state.+changed )|(ment ac)|(multiple cpu faults)|(system.+state.+changed )|(\[timeout)|(PRM\|1\|D)|(kpr)|(kdp)|(\|lc)|(penalty))"</v>
      </c>
      <c r="AG209" s="1" t="str">
        <f t="shared" si="93"/>
        <v>Other</v>
      </c>
      <c r="AH209" s="86" t="str">
        <f t="shared" si="79"/>
        <v>"%USERPROFILE%\Documents\GitHub\eaglep3\Utilities\RefineRTDCRunTimes.py" --tripid 52-16 --locoid 4013 --swversion DE.1.0.9.0 --startMP 300:22132 --initTime 2017-04-16T17:47:25 --startdatetime 2017-04-16T17:51:11 --delay 3 --endMP 204:1875 --enddatetime 2017-04-16T17:57:42 --enforcementcount 0 &gt;&gt;C:\Users\stu\Documents\GitHub\eaglep3-reporting\EC\2017-04-16-refined-times.txt</v>
      </c>
      <c r="AI209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{"issue":{"subject":"","project_id":79,"tracker_id":40,"status_id":1,"priority_id":2,"assigned_to_id":23,"start_date":"2017-04-16","description":"","custom_fields":[{"id":1,"name":"Subdivision","value":"Other"},{"id":4,"name":"Milepost","value":"0.1875"},{"id":17,"name":"Train ID","value":"52-16"},{"id":16,"name":"Locomotive ID","value":"4013"},{"id":130,"name":"Impact","value":""},{"id":150,"name":"Time of Event (Mountain Time)","value":"17:57:42"},{"id":151,"name":"Denver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1"/>
        <v>start /low /b %USERPROFILE%\Documents\GitHub\eaglep3\Utilities\DownloadLogsFromS3.py --loco 4013 --day 2017-04-16</v>
      </c>
      <c r="AN209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642</v>
      </c>
      <c r="B210" s="7">
        <v>4019</v>
      </c>
      <c r="C210" s="21" t="s">
        <v>214</v>
      </c>
      <c r="D210" s="21" t="s">
        <v>987</v>
      </c>
      <c r="E210" s="13">
        <v>42841.257106481484</v>
      </c>
      <c r="F210" s="13">
        <v>42841.258634259262</v>
      </c>
      <c r="G210" s="7">
        <v>1</v>
      </c>
      <c r="H210" s="21" t="s">
        <v>988</v>
      </c>
      <c r="I210" s="13">
        <v>42841.260208333333</v>
      </c>
      <c r="J210" s="7">
        <v>0</v>
      </c>
      <c r="K210" s="97" t="str">
        <f t="shared" si="83"/>
        <v>4019/4020</v>
      </c>
      <c r="L210" s="21" t="str">
        <f>VLOOKUP(A210,'Trips&amp;Operators'!$C$1:$G$99999,5,FALSE)</f>
        <v>MOSES BRADLEY</v>
      </c>
      <c r="M210" s="6">
        <f t="shared" si="84"/>
        <v>1.5740740709588863E-3</v>
      </c>
      <c r="N210" s="7">
        <f t="shared" si="78"/>
        <v>2.2666666621807963</v>
      </c>
      <c r="O210" s="7"/>
      <c r="P210" s="7"/>
      <c r="Q210" s="22"/>
      <c r="R210" s="22"/>
      <c r="S210" s="31">
        <f t="shared" si="76"/>
        <v>0</v>
      </c>
      <c r="T210" s="46" t="e">
        <f t="shared" si="85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6"/>
        <v>https://d0f6bd738d7f1b3e5a7ca70fe4ff75f0.us-east-1.aws.found.io/app/kibana#/discover/Steve-Slow-Train-Analysis-(2080s-and-2083s)?_g=(refreshInterval:(display:Off,pause:!f,section:0,value:0),time:(from:'2017-04-16T05:10:14-0600',mode:absolute,to:'2017-04-16T07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3" t="str">
        <f t="shared" si="87"/>
        <v>Y</v>
      </c>
      <c r="X210" s="183" t="e">
        <f t="shared" si="77"/>
        <v>#VALUE!</v>
      </c>
      <c r="Y210" s="62">
        <f t="shared" si="88"/>
        <v>0.32069999999999999</v>
      </c>
      <c r="Z210" s="62">
        <f t="shared" si="75"/>
        <v>9.2799999999999994E-2</v>
      </c>
      <c r="AA210" s="62">
        <f t="shared" si="89"/>
        <v>0.22789999999999999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0"/>
        <v>53-16</v>
      </c>
      <c r="AE210" s="85" t="str">
        <f t="shared" si="91"/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AF210" s="82" t="str">
        <f t="shared" si="92"/>
        <v>"C:\Program Files (x86)\AstroGrep\AstroGrep.exe" /e /r /s /spath="%USERPROFILE%\AppData\Local\Temp\OnboardLogs" /stypes="app*4019*20170416*" /stext=" 12:.+((SYSTEM_STATE.+slice.+state.+changed )|(ment ac)|(multiple cpu faults)|(system.+state.+changed )|(\[timeout)|(PRM\|1\|D)|(kpr)|(kdp)|(\|lc)|(penalty))"</v>
      </c>
      <c r="AG210" s="1" t="str">
        <f t="shared" si="93"/>
        <v>Other</v>
      </c>
      <c r="AH210" s="86" t="str">
        <f t="shared" si="79"/>
        <v>"%USERPROFILE%\Documents\GitHub\eaglep3\Utilities\RefineRTDCRunTimes.py" --tripid 53-16 --locoid 4019 --swversion DE.1.0.9.0 --startMP 204:3207 --initTime 2017-04-16T06:10:14 --startdatetime 2017-04-16T06:12:26 --delay 1 --endMP 204:928 --enddatetime 2017-04-16T06:14:42 --enforcementcount 0 &gt;&gt;C:\Users\stu\Documents\GitHub\eaglep3-reporting\EC\2017-04-16-refined-times.txt</v>
      </c>
      <c r="AI210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{"issue":{"subject":"","project_id":79,"tracker_id":40,"status_id":1,"priority_id":2,"assigned_to_id":23,"start_date":"2017-04-16","description":"","custom_fields":[{"id":1,"name":"Subdivision","value":"Other"},{"id":4,"name":"Milepost","value":"0.0928"},{"id":17,"name":"Train ID","value":"53-16"},{"id":16,"name":"Locomotive ID","value":"4019"},{"id":130,"name":"Impact","value":""},{"id":150,"name":"Time of Event (Mountain Time)","value":"06:14:42"},{"id":151,"name":"Denver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1"/>
        <v>start /low /b %USERPROFILE%\Documents\GitHub\eaglep3\Utilities\DownloadLogsFromS3.py --loco 4019 --day 2017-04-16</v>
      </c>
      <c r="AN210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12:14:42"},{"id":29,"name":"Sharepoint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642</v>
      </c>
      <c r="B211" s="7">
        <v>4020</v>
      </c>
      <c r="C211" s="21" t="s">
        <v>214</v>
      </c>
      <c r="D211" s="21" t="s">
        <v>506</v>
      </c>
      <c r="E211" s="13">
        <v>42841.252534722225</v>
      </c>
      <c r="F211" s="13">
        <v>42841.258634259262</v>
      </c>
      <c r="G211" s="7">
        <v>1</v>
      </c>
      <c r="H211" s="21" t="s">
        <v>989</v>
      </c>
      <c r="I211" s="13">
        <v>42841.260208333333</v>
      </c>
      <c r="J211" s="7">
        <v>0</v>
      </c>
      <c r="K211" s="97" t="str">
        <f t="shared" si="83"/>
        <v>4019/4020</v>
      </c>
      <c r="L211" s="21" t="str">
        <f>VLOOKUP(A211,'Trips&amp;Operators'!$C$1:$G$99999,5,FALSE)</f>
        <v>MOSES BRADLEY</v>
      </c>
      <c r="M211" s="6">
        <f t="shared" si="84"/>
        <v>1.5740740709588863E-3</v>
      </c>
      <c r="N211" s="7">
        <f t="shared" si="78"/>
        <v>2.2666666621807963</v>
      </c>
      <c r="O211" s="7"/>
      <c r="P211" s="7"/>
      <c r="Q211" s="22"/>
      <c r="R211" s="22"/>
      <c r="S211" s="31">
        <f t="shared" si="76"/>
        <v>0</v>
      </c>
      <c r="T211" s="46" t="e">
        <f t="shared" si="85"/>
        <v>#VALUE!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 t="shared" si="86"/>
        <v>https://d0f6bd738d7f1b3e5a7ca70fe4ff75f0.us-east-1.aws.found.io/app/kibana#/discover/Steve-Slow-Train-Analysis-(2080s-and-2083s)?_g=(refreshInterval:(display:Off,pause:!f,section:0,value:0),time:(from:'2017-04-16T05:03:39-0600',mode:absolute,to:'2017-04-16T07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183" t="str">
        <f t="shared" si="87"/>
        <v>Y</v>
      </c>
      <c r="X211" s="183" t="e">
        <f t="shared" si="77"/>
        <v>#VALUE!</v>
      </c>
      <c r="Y211" s="62">
        <f t="shared" si="88"/>
        <v>4.3499999999999997E-2</v>
      </c>
      <c r="Z211" s="62">
        <f t="shared" si="75"/>
        <v>0.35239999999999999</v>
      </c>
      <c r="AA211" s="62">
        <f t="shared" si="89"/>
        <v>0.30890000000000001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0"/>
        <v>53-16</v>
      </c>
      <c r="AE211" s="85" t="str">
        <f t="shared" si="91"/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AF211" s="82" t="str">
        <f t="shared" si="92"/>
        <v>"C:\Program Files (x86)\AstroGrep\AstroGrep.exe" /e /r /s /spath="%USERPROFILE%\AppData\Local\Temp\OnboardLogs" /stypes="app*4020*20170416*" /stext=" 12:.+((SYSTEM_STATE.+slice.+state.+changed )|(ment ac)|(multiple cpu faults)|(system.+state.+changed )|(\[timeout)|(PRM\|1\|D)|(kpr)|(kdp)|(\|lc)|(penalty))"</v>
      </c>
      <c r="AG211" s="1" t="str">
        <f t="shared" si="93"/>
        <v>Other</v>
      </c>
      <c r="AH211" s="86" t="str">
        <f t="shared" si="79"/>
        <v>"%USERPROFILE%\Documents\GitHub\eaglep3\Utilities\RefineRTDCRunTimes.py" --tripid 53-16 --locoid 4020 --swversion DE.1.0.9.0 --startMP 204:435 --initTime 2017-04-16T06:03:39 --startdatetime 2017-04-16T06:12:26 --delay 1 --endMP 204:3524 --enddatetime 2017-04-16T06:14:42 --enforcementcount 0 &gt;&gt;C:\Users\stu\Documents\GitHub\eaglep3-reporting\EC\2017-04-16-refined-times.txt</v>
      </c>
      <c r="AI211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{"issue":{"subject":"","project_id":79,"tracker_id":40,"status_id":1,"priority_id":2,"assigned_to_id":23,"start_date":"2017-04-16","description":"","custom_fields":[{"id":1,"name":"Subdivision","value":"Other"},{"id":4,"name":"Milepost","value":"0.3524"},{"id":17,"name":"Train ID","value":"53-16"},{"id":16,"name":"Locomotive ID","value":"4020"},{"id":130,"name":"Impact","value":""},{"id":150,"name":"Time of Event (Mountain Time)","value":"06:14:42"},{"id":151,"name":"Denver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1"/>
        <v>start /low /b %USERPROFILE%\Documents\GitHub\eaglep3\Utilities\DownloadLogsFromS3.py --loco 4020 --day 2017-04-16</v>
      </c>
      <c r="AN211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12:14:42"},{"id":29,"name":"Sharepoint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693</v>
      </c>
      <c r="B212" s="7">
        <v>4022</v>
      </c>
      <c r="C212" s="21" t="s">
        <v>214</v>
      </c>
      <c r="D212" s="21" t="s">
        <v>990</v>
      </c>
      <c r="E212" s="13">
        <v>42841.251875000002</v>
      </c>
      <c r="F212" s="13">
        <v>42841.25371527778</v>
      </c>
      <c r="G212" s="7">
        <v>1</v>
      </c>
      <c r="H212" s="21" t="s">
        <v>991</v>
      </c>
      <c r="I212" s="13">
        <v>42841.259479166663</v>
      </c>
      <c r="J212" s="7">
        <v>0</v>
      </c>
      <c r="K212" s="97" t="str">
        <f t="shared" si="83"/>
        <v>4021/4022</v>
      </c>
      <c r="L212" s="21" t="str">
        <f>VLOOKUP(A212,'Trips&amp;Operators'!$C$1:$G$99999,5,FALSE)</f>
        <v>ARVIDSON DANIEL</v>
      </c>
      <c r="M212" s="6">
        <f t="shared" si="84"/>
        <v>5.7638888829387724E-3</v>
      </c>
      <c r="N212" s="7">
        <f t="shared" si="78"/>
        <v>8.2999999914318323</v>
      </c>
      <c r="O212" s="7"/>
      <c r="P212" s="7"/>
      <c r="Q212" s="22"/>
      <c r="R212" s="22"/>
      <c r="S212" s="31">
        <f t="shared" si="76"/>
        <v>0</v>
      </c>
      <c r="T212" s="46" t="e">
        <f t="shared" si="85"/>
        <v>#VALUE!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2" t="str">
        <f t="shared" si="86"/>
        <v>https://d0f6bd738d7f1b3e5a7ca70fe4ff75f0.us-east-1.aws.found.io/app/kibana#/discover/Steve-Slow-Train-Analysis-(2080s-and-2083s)?_g=(refreshInterval:(display:Off,pause:!f,section:0,value:0),time:(from:'2017-04-16T05:02:42-0600',mode:absolute,to:'2017-04-16T07:13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183" t="str">
        <f t="shared" si="87"/>
        <v>Y</v>
      </c>
      <c r="X212" s="183" t="e">
        <f t="shared" si="77"/>
        <v>#VALUE!</v>
      </c>
      <c r="Y212" s="62">
        <f t="shared" si="88"/>
        <v>0.1171</v>
      </c>
      <c r="Z212" s="62">
        <f t="shared" si="75"/>
        <v>2.3193000000000001</v>
      </c>
      <c r="AA212" s="62">
        <f t="shared" si="89"/>
        <v>2.2021999999999999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0"/>
        <v>55-16</v>
      </c>
      <c r="AE212" s="85" t="str">
        <f t="shared" si="91"/>
        <v>aws s3 cp s3://rtdc.mdm.uploadarchive.raw/RTDC4022/ "%USERPROFILE%\AppData\Local\Temp\OnboardLogs"\RTDC4022\2017-04-16 --exclude "*" --recursive --include "*20170416*" &amp; "%USERPROFILE%\Documents\GitHub\mrs-test-scripts\Headless Mode &amp; Sideloading\WalkAndUnGZ.bat" "%USERPROFILE%\AppData\Local\Temp\OnboardLogs"\RTDC4022\2017-04-16 &amp; aws s3 cp s3://rtdc.mdm.uploadarchive.raw/RTDC4022/ "%USERPROFILE%\AppData\Local\Temp\OnboardLogs"\RTDC4022\2017-04-17 --exclude "*" --recursive --include "*20170417*" &amp; "%USERPROFILE%\Documents\GitHub\mrs-test-scripts\Headless Mode &amp; Sideloading\WalkAndUnGZ.bat" "%USERPROFILE%\AppData\Local\Temp\OnboardLogs"\RTDC4022\2017-04-17</v>
      </c>
      <c r="AF212" s="82" t="str">
        <f t="shared" si="92"/>
        <v>"C:\Program Files (x86)\AstroGrep\AstroGrep.exe" /e /r /s /spath="%USERPROFILE%\AppData\Local\Temp\OnboardLogs" /stypes="app*4022*20170416*" /stext=" 12:.+((SYSTEM_STATE.+slice.+state.+changed )|(ment ac)|(multiple cpu faults)|(system.+state.+changed )|(\[timeout)|(PRM\|1\|D)|(kpr)|(kdp)|(\|lc)|(penalty))"</v>
      </c>
      <c r="AG212" s="1" t="str">
        <f t="shared" si="93"/>
        <v>Other</v>
      </c>
      <c r="AH212" s="86" t="str">
        <f t="shared" si="79"/>
        <v>"%USERPROFILE%\Documents\GitHub\eaglep3\Utilities\RefineRTDCRunTimes.py" --tripid 55-16 --locoid 4022 --swversion DE.1.0.9.0 --startMP 204:1171 --initTime 2017-04-16T06:02:42 --startdatetime 2017-04-16T06:05:21 --delay 1 --endMP 300:23193 --enddatetime 2017-04-16T06:13:39 --enforcementcount 0 &gt;&gt;C:\Users\stu\Documents\GitHub\eaglep3-reporting\EC\2017-04-16-refined-times.txt</v>
      </c>
      <c r="AI212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{"issue":{"subject":"","project_id":79,"tracker_id":40,"status_id":1,"priority_id":2,"assigned_to_id":23,"start_date":"2017-04-16","description":"","custom_fields":[{"id":1,"name":"Subdivision","value":"Other"},{"id":4,"name":"Milepost","value":"2.3193"},{"id":17,"name":"Train ID","value":"55-16"},{"id":16,"name":"Locomotive ID","value":"4022"},{"id":130,"name":"Impact","value":""},{"id":150,"name":"Time of Event (Mountain Time)","value":"06:13:39"},{"id":151,"name":"Denver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1"/>
        <v>start /low /b %USERPROFILE%\Documents\GitHub\eaglep3\Utilities\DownloadLogsFromS3.py --loco 4022 --day 2017-04-16</v>
      </c>
      <c r="AN212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12:13:39"},{"id":29,"name":"Sharepoint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737</v>
      </c>
      <c r="B213" s="7">
        <v>4023</v>
      </c>
      <c r="C213" s="21" t="s">
        <v>214</v>
      </c>
      <c r="D213" s="21" t="s">
        <v>992</v>
      </c>
      <c r="E213" s="13">
        <v>42841.439872685187</v>
      </c>
      <c r="F213" s="13">
        <v>42841.442083333335</v>
      </c>
      <c r="G213" s="7">
        <v>1</v>
      </c>
      <c r="H213" s="21" t="s">
        <v>636</v>
      </c>
      <c r="I213" s="13">
        <v>42841.447164351855</v>
      </c>
      <c r="J213" s="7">
        <v>0</v>
      </c>
      <c r="K213" s="97" t="str">
        <f t="shared" si="83"/>
        <v>4023/4024</v>
      </c>
      <c r="L213" s="21" t="str">
        <f>VLOOKUP(A213,'Trips&amp;Operators'!$C$1:$G$99999,5,FALSE)</f>
        <v>DELGADO DIANAH</v>
      </c>
      <c r="M213" s="6">
        <f t="shared" si="84"/>
        <v>5.0810185202863067E-3</v>
      </c>
      <c r="N213" s="7">
        <f t="shared" si="78"/>
        <v>7.3166666692122817</v>
      </c>
      <c r="O213" s="7"/>
      <c r="P213" s="7"/>
      <c r="Q213" s="22"/>
      <c r="R213" s="22"/>
      <c r="S213" s="31">
        <f t="shared" si="76"/>
        <v>0</v>
      </c>
      <c r="T213" s="46" t="e">
        <f t="shared" si="85"/>
        <v>#VALUE!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86"/>
        <v>https://d0f6bd738d7f1b3e5a7ca70fe4ff75f0.us-east-1.aws.found.io/app/kibana#/discover/Steve-Slow-Train-Analysis-(2080s-and-2083s)?_g=(refreshInterval:(display:Off,pause:!f,section:0,value:0),time:(from:'2017-04-16T09:33:25-0600',mode:absolute,to:'2017-04-16T11:43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3" s="183" t="str">
        <f t="shared" si="87"/>
        <v>Y</v>
      </c>
      <c r="X213" s="183" t="e">
        <f t="shared" si="77"/>
        <v>#VALUE!</v>
      </c>
      <c r="Y213" s="62">
        <f t="shared" si="88"/>
        <v>0.35770000000000002</v>
      </c>
      <c r="Z213" s="62">
        <f t="shared" si="75"/>
        <v>1.6899999999999998E-2</v>
      </c>
      <c r="AA213" s="62">
        <f t="shared" si="89"/>
        <v>0.34079999999999999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0"/>
        <v>57-16</v>
      </c>
      <c r="AE213" s="85" t="str">
        <f t="shared" si="91"/>
        <v>aws s3 cp s3://rtdc.mdm.uploadarchive.raw/RTDC4023/ "%USERPROFILE%\AppData\Local\Temp\OnboardLogs"\RTDC4023\2017-04-16 --exclude "*" --recursive --include "*20170416*" &amp; "%USERPROFILE%\Documents\GitHub\mrs-test-scripts\Headless Mode &amp; Sideloading\WalkAndUnGZ.bat" "%USERPROFILE%\AppData\Local\Temp\OnboardLogs"\RTDC4023\2017-04-16 &amp; 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</v>
      </c>
      <c r="AF213" s="82" t="str">
        <f t="shared" si="92"/>
        <v>"C:\Program Files (x86)\AstroGrep\AstroGrep.exe" /e /r /s /spath="%USERPROFILE%\AppData\Local\Temp\OnboardLogs" /stypes="app*4023*20170416*" /stext=" 16:.+((SYSTEM_STATE.+slice.+state.+changed )|(ment ac)|(multiple cpu faults)|(system.+state.+changed )|(\[timeout)|(PRM\|1\|D)|(kpr)|(kdp)|(\|lc)|(penalty))"</v>
      </c>
      <c r="AG213" s="1" t="str">
        <f t="shared" si="93"/>
        <v>Other</v>
      </c>
      <c r="AH213" s="86" t="str">
        <f t="shared" si="79"/>
        <v>"%USERPROFILE%\Documents\GitHub\eaglep3\Utilities\RefineRTDCRunTimes.py" --tripid 57-16 --locoid 4023 --swversion DE.1.0.9.0 --startMP 204:3577 --initTime 2017-04-16T10:33:25 --startdatetime 2017-04-16T10:36:36 --delay 1 --endMP 204:169 --enddatetime 2017-04-16T10:43:55 --enforcementcount 0 &gt;&gt;C:\Users\stu\Documents\GitHub\eaglep3-reporting\EC\2017-04-16-refined-times.txt</v>
      </c>
      <c r="AI213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{"issue":{"subject":"","project_id":79,"tracker_id":40,"status_id":1,"priority_id":2,"assigned_to_id":23,"start_date":"2017-04-16","description":"","custom_fields":[{"id":1,"name":"Subdivision","value":"Other"},{"id":4,"name":"Milepost","value":"0.0169"},{"id":17,"name":"Train ID","value":"57-16"},{"id":16,"name":"Locomotive ID","value":"4023"},{"id":130,"name":"Impact","value":""},{"id":150,"name":"Time of Event (Mountain Time)","value":"10:43:55"},{"id":151,"name":"Denver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1"/>
        <v>start /low /b %USERPROFILE%\Documents\GitHub\eaglep3\Utilities\DownloadLogsFromS3.py --loco 4023 --day 2017-04-16</v>
      </c>
      <c r="AN213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16:43:55"},{"id":29,"name":"Sharepoint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737</v>
      </c>
      <c r="B214" s="7">
        <v>4024</v>
      </c>
      <c r="C214" s="21" t="s">
        <v>214</v>
      </c>
      <c r="D214" s="21" t="s">
        <v>993</v>
      </c>
      <c r="E214" s="13">
        <v>42841.428067129629</v>
      </c>
      <c r="F214" s="13">
        <v>42841.442083333335</v>
      </c>
      <c r="G214" s="7">
        <v>1</v>
      </c>
      <c r="H214" s="21" t="s">
        <v>994</v>
      </c>
      <c r="I214" s="13">
        <v>42841.447164351855</v>
      </c>
      <c r="J214" s="7">
        <v>0</v>
      </c>
      <c r="K214" s="97" t="str">
        <f t="shared" si="83"/>
        <v>4023/4024</v>
      </c>
      <c r="L214" s="21" t="str">
        <f>VLOOKUP(A214,'Trips&amp;Operators'!$C$1:$G$99999,5,FALSE)</f>
        <v>DELGADO DIANAH</v>
      </c>
      <c r="M214" s="6">
        <f t="shared" si="84"/>
        <v>5.0810185202863067E-3</v>
      </c>
      <c r="N214" s="7">
        <f t="shared" si="78"/>
        <v>7.3166666692122817</v>
      </c>
      <c r="O214" s="7"/>
      <c r="P214" s="7"/>
      <c r="Q214" s="22"/>
      <c r="R214" s="22"/>
      <c r="S214" s="31">
        <f t="shared" si="76"/>
        <v>0</v>
      </c>
      <c r="T214" s="46" t="e">
        <f t="shared" si="85"/>
        <v>#VALUE!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86"/>
        <v>https://d0f6bd738d7f1b3e5a7ca70fe4ff75f0.us-east-1.aws.found.io/app/kibana#/discover/Steve-Slow-Train-Analysis-(2080s-and-2083s)?_g=(refreshInterval:(display:Off,pause:!f,section:0,value:0),time:(from:'2017-04-16T09:16:25-0600',mode:absolute,to:'2017-04-16T11:43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83" t="str">
        <f t="shared" si="87"/>
        <v>Y</v>
      </c>
      <c r="X214" s="183" t="e">
        <f t="shared" si="77"/>
        <v>#VALUE!</v>
      </c>
      <c r="Y214" s="62">
        <f t="shared" si="88"/>
        <v>0.1492</v>
      </c>
      <c r="Z214" s="62">
        <f t="shared" si="75"/>
        <v>0.3881</v>
      </c>
      <c r="AA214" s="62">
        <f t="shared" si="89"/>
        <v>0.2389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0"/>
        <v>57-16</v>
      </c>
      <c r="AE214" s="85" t="str">
        <f t="shared" si="91"/>
        <v>aws s3 cp s3://rtdc.mdm.uploadarchive.raw/RTDC4024/ "%USERPROFILE%\AppData\Local\Temp\OnboardLogs"\RTDC4024\2017-04-16 --exclude "*" --recursive --include "*20170416*" &amp; "%USERPROFILE%\Documents\GitHub\mrs-test-scripts\Headless Mode &amp; Sideloading\WalkAndUnGZ.bat" "%USERPROFILE%\AppData\Local\Temp\OnboardLogs"\RTDC4024\2017-04-16 &amp; 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</v>
      </c>
      <c r="AF214" s="82" t="str">
        <f t="shared" si="92"/>
        <v>"C:\Program Files (x86)\AstroGrep\AstroGrep.exe" /e /r /s /spath="%USERPROFILE%\AppData\Local\Temp\OnboardLogs" /stypes="app*4024*20170416*" /stext=" 16:.+((SYSTEM_STATE.+slice.+state.+changed )|(ment ac)|(multiple cpu faults)|(system.+state.+changed )|(\[timeout)|(PRM\|1\|D)|(kpr)|(kdp)|(\|lc)|(penalty))"</v>
      </c>
      <c r="AG214" s="1" t="str">
        <f t="shared" si="93"/>
        <v>Other</v>
      </c>
      <c r="AH214" s="86" t="str">
        <f t="shared" si="79"/>
        <v>"%USERPROFILE%\Documents\GitHub\eaglep3\Utilities\RefineRTDCRunTimes.py" --tripid 57-16 --locoid 4024 --swversion DE.1.0.9.0 --startMP 204:1492 --initTime 2017-04-16T10:16:25 --startdatetime 2017-04-16T10:36:36 --delay 1 --endMP 204:3881 --enddatetime 2017-04-16T10:43:55 --enforcementcount 0 &gt;&gt;C:\Users\stu\Documents\GitHub\eaglep3-reporting\EC\2017-04-16-refined-times.txt</v>
      </c>
      <c r="AI214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{"issue":{"subject":"","project_id":79,"tracker_id":40,"status_id":1,"priority_id":2,"assigned_to_id":23,"start_date":"2017-04-16","description":"","custom_fields":[{"id":1,"name":"Subdivision","value":"Other"},{"id":4,"name":"Milepost","value":"0.3881"},{"id":17,"name":"Train ID","value":"57-16"},{"id":16,"name":"Locomotive ID","value":"4024"},{"id":130,"name":"Impact","value":""},{"id":150,"name":"Time of Event (Mountain Time)","value":"10:43:55"},{"id":151,"name":"Denver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1"/>
        <v>start /low /b %USERPROFILE%\Documents\GitHub\eaglep3\Utilities\DownloadLogsFromS3.py --loco 4024 --day 2017-04-16</v>
      </c>
      <c r="AN214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16:43:55"},{"id":29,"name":"Sharepoint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754</v>
      </c>
      <c r="B215" s="7">
        <v>4023</v>
      </c>
      <c r="C215" s="21" t="s">
        <v>214</v>
      </c>
      <c r="D215" s="21" t="s">
        <v>995</v>
      </c>
      <c r="E215" s="13">
        <v>42841.495173611111</v>
      </c>
      <c r="F215" s="13">
        <v>42841.497175925928</v>
      </c>
      <c r="G215" s="7">
        <v>1</v>
      </c>
      <c r="H215" s="21" t="s">
        <v>996</v>
      </c>
      <c r="I215" s="13">
        <v>42841.49832175926</v>
      </c>
      <c r="J215" s="7">
        <v>0</v>
      </c>
      <c r="K215" s="97" t="str">
        <f t="shared" si="83"/>
        <v>4023/4024</v>
      </c>
      <c r="L215" s="21" t="str">
        <f>VLOOKUP(A215,'Trips&amp;Operators'!$C$1:$G$99999,5,FALSE)</f>
        <v>WHITED DUSTIN</v>
      </c>
      <c r="M215" s="6">
        <f t="shared" si="84"/>
        <v>1.1458333319751546E-3</v>
      </c>
      <c r="N215" s="7">
        <f t="shared" si="78"/>
        <v>1.6499999980442226</v>
      </c>
      <c r="O215" s="7"/>
      <c r="P215" s="7"/>
      <c r="Q215" s="22"/>
      <c r="R215" s="22"/>
      <c r="S215" s="31">
        <f t="shared" si="76"/>
        <v>0</v>
      </c>
      <c r="T215" s="46" t="e">
        <f t="shared" si="85"/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86"/>
        <v>https://d0f6bd738d7f1b3e5a7ca70fe4ff75f0.us-east-1.aws.found.io/app/kibana#/discover/Steve-Slow-Train-Analysis-(2080s-and-2083s)?_g=(refreshInterval:(display:Off,pause:!f,section:0,value:0),time:(from:'2017-04-16T10:53:03-0600',mode:absolute,to:'2017-04-16T12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183" t="str">
        <f t="shared" si="87"/>
        <v>Y</v>
      </c>
      <c r="X215" s="183" t="e">
        <f t="shared" si="77"/>
        <v>#VALUE!</v>
      </c>
      <c r="Y215" s="62">
        <f t="shared" si="88"/>
        <v>0.3251</v>
      </c>
      <c r="Z215" s="62">
        <f t="shared" si="75"/>
        <v>0.1056</v>
      </c>
      <c r="AA215" s="62">
        <f t="shared" si="89"/>
        <v>0.2195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0"/>
        <v>61-16</v>
      </c>
      <c r="AE215" s="85" t="str">
        <f t="shared" si="91"/>
        <v>aws s3 cp s3://rtdc.mdm.uploadarchive.raw/RTDC4023/ "%USERPROFILE%\AppData\Local\Temp\OnboardLogs"\RTDC4023\2017-04-16 --exclude "*" --recursive --include "*20170416*" &amp; "%USERPROFILE%\Documents\GitHub\mrs-test-scripts\Headless Mode &amp; Sideloading\WalkAndUnGZ.bat" "%USERPROFILE%\AppData\Local\Temp\OnboardLogs"\RTDC4023\2017-04-16 &amp; aws s3 cp s3://rtdc.mdm.uploadarchive.raw/RTDC4023/ "%USERPROFILE%\AppData\Local\Temp\OnboardLogs"\RTDC4023\2017-04-17 --exclude "*" --recursive --include "*20170417*" &amp; "%USERPROFILE%\Documents\GitHub\mrs-test-scripts\Headless Mode &amp; Sideloading\WalkAndUnGZ.bat" "%USERPROFILE%\AppData\Local\Temp\OnboardLogs"\RTDC4023\2017-04-17</v>
      </c>
      <c r="AF215" s="82" t="str">
        <f t="shared" si="92"/>
        <v>"C:\Program Files (x86)\AstroGrep\AstroGrep.exe" /e /r /s /spath="%USERPROFILE%\AppData\Local\Temp\OnboardLogs" /stypes="app*4023*20170416*" /stext=" 17:.+((SYSTEM_STATE.+slice.+state.+changed )|(ment ac)|(multiple cpu faults)|(system.+state.+changed )|(\[timeout)|(PRM\|1\|D)|(kpr)|(kdp)|(\|lc)|(penalty))"</v>
      </c>
      <c r="AG215" s="1" t="str">
        <f t="shared" si="93"/>
        <v>Other</v>
      </c>
      <c r="AH215" s="86" t="str">
        <f t="shared" si="79"/>
        <v>"%USERPROFILE%\Documents\GitHub\eaglep3\Utilities\RefineRTDCRunTimes.py" --tripid 61-16 --locoid 4023 --swversion DE.1.0.9.0 --startMP 204:3251 --initTime 2017-04-16T11:53:03 --startdatetime 2017-04-16T11:55:56 --delay 1 --endMP 204:1056 --enddatetime 2017-04-16T11:57:35 --enforcementcount 0 &gt;&gt;C:\Users\stu\Documents\GitHub\eaglep3-reporting\EC\2017-04-16-refined-times.txt</v>
      </c>
      <c r="AI215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{"issue":{"subject":"","project_id":79,"tracker_id":40,"status_id":1,"priority_id":2,"assigned_to_id":23,"start_date":"2017-04-16","description":"","custom_fields":[{"id":1,"name":"Subdivision","value":"Other"},{"id":4,"name":"Milepost","value":"0.1056"},{"id":17,"name":"Train ID","value":"61-16"},{"id":16,"name":"Locomotive ID","value":"4023"},{"id":130,"name":"Impact","value":""},{"id":150,"name":"Time of Event (Mountain Time)","value":"11:57:35"},{"id":151,"name":"Denver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1"/>
        <v>start /low /b %USERPROFILE%\Documents\GitHub\eaglep3\Utilities\DownloadLogsFromS3.py --loco 4023 --day 2017-04-16</v>
      </c>
      <c r="AN215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754</v>
      </c>
      <c r="B216" s="7">
        <v>4024</v>
      </c>
      <c r="C216" s="21" t="s">
        <v>214</v>
      </c>
      <c r="D216" s="21" t="s">
        <v>997</v>
      </c>
      <c r="E216" s="13">
        <v>42841.487650462965</v>
      </c>
      <c r="F216" s="13">
        <v>42841.497175925928</v>
      </c>
      <c r="G216" s="7">
        <v>1</v>
      </c>
      <c r="H216" s="21" t="s">
        <v>998</v>
      </c>
      <c r="I216" s="13">
        <v>42841.49832175926</v>
      </c>
      <c r="J216" s="7">
        <v>0</v>
      </c>
      <c r="K216" s="97" t="str">
        <f t="shared" si="83"/>
        <v>4023/4024</v>
      </c>
      <c r="L216" s="21" t="str">
        <f>VLOOKUP(A216,'Trips&amp;Operators'!$C$1:$G$99999,5,FALSE)</f>
        <v>WHITED DUSTIN</v>
      </c>
      <c r="M216" s="6">
        <f t="shared" si="84"/>
        <v>1.1458333319751546E-3</v>
      </c>
      <c r="N216" s="7">
        <f t="shared" si="78"/>
        <v>1.6499999980442226</v>
      </c>
      <c r="O216" s="7"/>
      <c r="P216" s="7"/>
      <c r="Q216" s="22"/>
      <c r="R216" s="22"/>
      <c r="S216" s="31">
        <f t="shared" si="76"/>
        <v>0</v>
      </c>
      <c r="T216" s="46" t="e">
        <f t="shared" si="85"/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 t="shared" si="86"/>
        <v>https://d0f6bd738d7f1b3e5a7ca70fe4ff75f0.us-east-1.aws.found.io/app/kibana#/discover/Steve-Slow-Train-Analysis-(2080s-and-2083s)?_g=(refreshInterval:(display:Off,pause:!f,section:0,value:0),time:(from:'2017-04-16T10:42:13-0600',mode:absolute,to:'2017-04-16T12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6" s="183" t="str">
        <f t="shared" si="87"/>
        <v>Y</v>
      </c>
      <c r="X216" s="183" t="e">
        <f t="shared" si="77"/>
        <v>#VALUE!</v>
      </c>
      <c r="Y216" s="62">
        <f t="shared" si="88"/>
        <v>3.56E-2</v>
      </c>
      <c r="Z216" s="62">
        <f t="shared" si="75"/>
        <v>0.3574</v>
      </c>
      <c r="AA216" s="62">
        <f t="shared" si="89"/>
        <v>0.32179999999999997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0"/>
        <v>61-16</v>
      </c>
      <c r="AE216" s="85" t="str">
        <f t="shared" si="91"/>
        <v>aws s3 cp s3://rtdc.mdm.uploadarchive.raw/RTDC4024/ "%USERPROFILE%\AppData\Local\Temp\OnboardLogs"\RTDC4024\2017-04-16 --exclude "*" --recursive --include "*20170416*" &amp; "%USERPROFILE%\Documents\GitHub\mrs-test-scripts\Headless Mode &amp; Sideloading\WalkAndUnGZ.bat" "%USERPROFILE%\AppData\Local\Temp\OnboardLogs"\RTDC4024\2017-04-16 &amp; aws s3 cp s3://rtdc.mdm.uploadarchive.raw/RTDC4024/ "%USERPROFILE%\AppData\Local\Temp\OnboardLogs"\RTDC4024\2017-04-17 --exclude "*" --recursive --include "*20170417*" &amp; "%USERPROFILE%\Documents\GitHub\mrs-test-scripts\Headless Mode &amp; Sideloading\WalkAndUnGZ.bat" "%USERPROFILE%\AppData\Local\Temp\OnboardLogs"\RTDC4024\2017-04-17</v>
      </c>
      <c r="AF216" s="82" t="str">
        <f t="shared" si="92"/>
        <v>"C:\Program Files (x86)\AstroGrep\AstroGrep.exe" /e /r /s /spath="%USERPROFILE%\AppData\Local\Temp\OnboardLogs" /stypes="app*4024*20170416*" /stext=" 17:.+((SYSTEM_STATE.+slice.+state.+changed )|(ment ac)|(multiple cpu faults)|(system.+state.+changed )|(\[timeout)|(PRM\|1\|D)|(kpr)|(kdp)|(\|lc)|(penalty))"</v>
      </c>
      <c r="AG216" s="1" t="str">
        <f t="shared" si="93"/>
        <v>Other</v>
      </c>
      <c r="AH216" s="86" t="str">
        <f t="shared" si="79"/>
        <v>"%USERPROFILE%\Documents\GitHub\eaglep3\Utilities\RefineRTDCRunTimes.py" --tripid 61-16 --locoid 4024 --swversion DE.1.0.9.0 --startMP 204:356 --initTime 2017-04-16T11:42:13 --startdatetime 2017-04-16T11:55:56 --delay 1 --endMP 204:3574 --enddatetime 2017-04-16T11:57:35 --enforcementcount 0 &gt;&gt;C:\Users\stu\Documents\GitHub\eaglep3-reporting\EC\2017-04-16-refined-times.txt</v>
      </c>
      <c r="AI216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{"issue":{"subject":"","project_id":79,"tracker_id":40,"status_id":1,"priority_id":2,"assigned_to_id":23,"start_date":"2017-04-16","description":"","custom_fields":[{"id":1,"name":"Subdivision","value":"Other"},{"id":4,"name":"Milepost","value":"0.3574"},{"id":17,"name":"Train ID","value":"61-16"},{"id":16,"name":"Locomotive ID","value":"4024"},{"id":130,"name":"Impact","value":""},{"id":150,"name":"Time of Event (Mountain Time)","value":"11:57:35"},{"id":151,"name":"Denver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1"/>
        <v>start /low /b %USERPROFILE%\Documents\GitHub\eaglep3\Utilities\DownloadLogsFromS3.py --loco 4024 --day 2017-04-16</v>
      </c>
      <c r="AN216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17:57:35"},{"id":29,"name":"Sharepoint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761</v>
      </c>
      <c r="B217" s="7">
        <v>4027</v>
      </c>
      <c r="C217" s="21" t="s">
        <v>214</v>
      </c>
      <c r="D217" s="21" t="s">
        <v>999</v>
      </c>
      <c r="E217" s="13">
        <v>42841.510405092595</v>
      </c>
      <c r="F217" s="13">
        <v>42841.512372685182</v>
      </c>
      <c r="G217" s="7">
        <v>1</v>
      </c>
      <c r="H217" s="21" t="s">
        <v>990</v>
      </c>
      <c r="I217" s="13">
        <v>42841.513344907406</v>
      </c>
      <c r="J217" s="7">
        <v>0</v>
      </c>
      <c r="K217" s="97" t="str">
        <f t="shared" si="83"/>
        <v>4027/4028</v>
      </c>
      <c r="L217" s="21" t="str">
        <f>VLOOKUP(A217,'Trips&amp;Operators'!$C$1:$G$99999,5,FALSE)</f>
        <v>WHITED DUSTIN</v>
      </c>
      <c r="M217" s="6">
        <f t="shared" si="84"/>
        <v>9.7222222393611446E-4</v>
      </c>
      <c r="N217" s="7">
        <f t="shared" si="78"/>
        <v>1.4000000024680048</v>
      </c>
      <c r="O217" s="7"/>
      <c r="P217" s="7"/>
      <c r="Q217" s="22"/>
      <c r="R217" s="22"/>
      <c r="S217" s="31">
        <f t="shared" si="76"/>
        <v>0</v>
      </c>
      <c r="T217" s="46" t="e">
        <f t="shared" si="85"/>
        <v>#VALUE!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86"/>
        <v>https://d0f6bd738d7f1b3e5a7ca70fe4ff75f0.us-east-1.aws.found.io/app/kibana#/discover/Steve-Slow-Train-Analysis-(2080s-and-2083s)?_g=(refreshInterval:(display:Off,pause:!f,section:0,value:0),time:(from:'2017-04-16T11:14:59-0600',mode:absolute,to:'2017-04-16T13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7" s="183" t="str">
        <f t="shared" si="87"/>
        <v>Y</v>
      </c>
      <c r="X217" s="183" t="e">
        <f t="shared" si="77"/>
        <v>#VALUE!</v>
      </c>
      <c r="Y217" s="62">
        <f t="shared" si="88"/>
        <v>0.32169999999999999</v>
      </c>
      <c r="Z217" s="62">
        <f t="shared" si="75"/>
        <v>0.1171</v>
      </c>
      <c r="AA217" s="62">
        <f t="shared" si="89"/>
        <v>0.2046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0"/>
        <v>63-16</v>
      </c>
      <c r="AE217" s="85" t="str">
        <f t="shared" si="91"/>
        <v>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 &amp; aws s3 cp s3://rtdc.mdm.uploadarchive.raw/RTDC4027/ "%USERPROFILE%\AppData\Local\Temp\OnboardLogs"\RTDC4027\2017-04-17 --exclude "*" --recursive --include "*20170417*" &amp; "%USERPROFILE%\Documents\GitHub\mrs-test-scripts\Headless Mode &amp; Sideloading\WalkAndUnGZ.bat" "%USERPROFILE%\AppData\Local\Temp\OnboardLogs"\RTDC4027\2017-04-17</v>
      </c>
      <c r="AF217" s="82" t="str">
        <f t="shared" si="92"/>
        <v>"C:\Program Files (x86)\AstroGrep\AstroGrep.exe" /e /r /s /spath="%USERPROFILE%\AppData\Local\Temp\OnboardLogs" /stypes="app*4027*20170416*" /stext=" 18:.+((SYSTEM_STATE.+slice.+state.+changed )|(ment ac)|(multiple cpu faults)|(system.+state.+changed )|(\[timeout)|(PRM\|1\|D)|(kpr)|(kdp)|(\|lc)|(penalty))"</v>
      </c>
      <c r="AG217" s="1" t="str">
        <f t="shared" si="93"/>
        <v>Other</v>
      </c>
      <c r="AH217" s="86" t="str">
        <f t="shared" si="79"/>
        <v>"%USERPROFILE%\Documents\GitHub\eaglep3\Utilities\RefineRTDCRunTimes.py" --tripid 63-16 --locoid 4027 --swversion DE.1.0.9.0 --startMP 204:3217 --initTime 2017-04-16T12:14:59 --startdatetime 2017-04-16T12:17:49 --delay 1 --endMP 204:1171 --enddatetime 2017-04-16T12:19:13 --enforcementcount 0 &gt;&gt;C:\Users\stu\Documents\GitHub\eaglep3-reporting\EC\2017-04-16-refined-times.txt</v>
      </c>
      <c r="AI217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{"issue":{"subject":"","project_id":79,"tracker_id":40,"status_id":1,"priority_id":2,"assigned_to_id":23,"start_date":"2017-04-16","description":"","custom_fields":[{"id":1,"name":"Subdivision","value":"Other"},{"id":4,"name":"Milepost","value":"0.1171"},{"id":17,"name":"Train ID","value":"63-16"},{"id":16,"name":"Locomotive ID","value":"4027"},{"id":130,"name":"Impact","value":""},{"id":150,"name":"Time of Event (Mountain Time)","value":"12:19:13"},{"id":151,"name":"Denver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1"/>
        <v>start /low /b %USERPROFILE%\Documents\GitHub\eaglep3\Utilities\DownloadLogsFromS3.py --loco 4027 --day 2017-04-16</v>
      </c>
      <c r="AN217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761</v>
      </c>
      <c r="B218" s="7">
        <v>4028</v>
      </c>
      <c r="C218" s="21" t="s">
        <v>214</v>
      </c>
      <c r="D218" s="21" t="s">
        <v>1000</v>
      </c>
      <c r="E218" s="13">
        <v>42841.505393518521</v>
      </c>
      <c r="F218" s="13">
        <v>42841.512372685182</v>
      </c>
      <c r="G218" s="7">
        <v>1</v>
      </c>
      <c r="H218" s="21" t="s">
        <v>1001</v>
      </c>
      <c r="I218" s="13">
        <v>42841.513344907406</v>
      </c>
      <c r="J218" s="7">
        <v>0</v>
      </c>
      <c r="K218" s="97" t="str">
        <f t="shared" si="83"/>
        <v>4027/4028</v>
      </c>
      <c r="L218" s="21" t="str">
        <f>VLOOKUP(A218,'Trips&amp;Operators'!$C$1:$G$99999,5,FALSE)</f>
        <v>WHITED DUSTIN</v>
      </c>
      <c r="M218" s="6">
        <f t="shared" si="84"/>
        <v>9.7222222393611446E-4</v>
      </c>
      <c r="N218" s="7">
        <f t="shared" si="78"/>
        <v>1.4000000024680048</v>
      </c>
      <c r="O218" s="7"/>
      <c r="P218" s="7"/>
      <c r="Q218" s="22"/>
      <c r="R218" s="22"/>
      <c r="S218" s="31">
        <f t="shared" si="76"/>
        <v>0</v>
      </c>
      <c r="T218" s="46" t="e">
        <f t="shared" si="85"/>
        <v>#VALUE!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86"/>
        <v>https://d0f6bd738d7f1b3e5a7ca70fe4ff75f0.us-east-1.aws.found.io/app/kibana#/discover/Steve-Slow-Train-Analysis-(2080s-and-2083s)?_g=(refreshInterval:(display:Off,pause:!f,section:0,value:0),time:(from:'2017-04-16T11:07:46-0600',mode:absolute,to:'2017-04-16T13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83" t="str">
        <f t="shared" si="87"/>
        <v>Y</v>
      </c>
      <c r="X218" s="183" t="e">
        <f t="shared" si="77"/>
        <v>#VALUE!</v>
      </c>
      <c r="Y218" s="62">
        <f t="shared" si="88"/>
        <v>3.3300000000000003E-2</v>
      </c>
      <c r="Z218" s="62">
        <f t="shared" si="75"/>
        <v>0.3548</v>
      </c>
      <c r="AA218" s="62">
        <f t="shared" si="89"/>
        <v>0.32150000000000001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0"/>
        <v>63-16</v>
      </c>
      <c r="AE218" s="85" t="str">
        <f t="shared" si="91"/>
        <v>aws s3 cp s3://rtdc.mdm.uploadarchive.raw/RTDC4028/ "%USERPROFILE%\AppData\Local\Temp\OnboardLogs"\RTDC4028\2017-04-16 --exclude "*" --recursive --include "*20170416*" &amp; "%USERPROFILE%\Documents\GitHub\mrs-test-scripts\Headless Mode &amp; Sideloading\WalkAndUnGZ.bat" "%USERPROFILE%\AppData\Local\Temp\OnboardLogs"\RTDC4028\2017-04-16 &amp; 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</v>
      </c>
      <c r="AF218" s="82" t="str">
        <f t="shared" si="92"/>
        <v>"C:\Program Files (x86)\AstroGrep\AstroGrep.exe" /e /r /s /spath="%USERPROFILE%\AppData\Local\Temp\OnboardLogs" /stypes="app*4028*20170416*" /stext=" 18:.+((SYSTEM_STATE.+slice.+state.+changed )|(ment ac)|(multiple cpu faults)|(system.+state.+changed )|(\[timeout)|(PRM\|1\|D)|(kpr)|(kdp)|(\|lc)|(penalty))"</v>
      </c>
      <c r="AG218" s="1" t="str">
        <f t="shared" si="93"/>
        <v>Other</v>
      </c>
      <c r="AH218" s="86" t="str">
        <f t="shared" si="79"/>
        <v>"%USERPROFILE%\Documents\GitHub\eaglep3\Utilities\RefineRTDCRunTimes.py" --tripid 63-16 --locoid 4028 --swversion DE.1.0.9.0 --startMP 204:333 --initTime 2017-04-16T12:07:46 --startdatetime 2017-04-16T12:17:49 --delay 1 --endMP 204:3548 --enddatetime 2017-04-16T12:19:13 --enforcementcount 0 &gt;&gt;C:\Users\stu\Documents\GitHub\eaglep3-reporting\EC\2017-04-16-refined-times.txt</v>
      </c>
      <c r="AI218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{"issue":{"subject":"","project_id":79,"tracker_id":40,"status_id":1,"priority_id":2,"assigned_to_id":23,"start_date":"2017-04-16","description":"","custom_fields":[{"id":1,"name":"Subdivision","value":"Other"},{"id":4,"name":"Milepost","value":"0.3548"},{"id":17,"name":"Train ID","value":"63-16"},{"id":16,"name":"Locomotive ID","value":"4028"},{"id":130,"name":"Impact","value":""},{"id":150,"name":"Time of Event (Mountain Time)","value":"12:19:13"},{"id":151,"name":"Denver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1"/>
        <v>start /low /b %USERPROFILE%\Documents\GitHub\eaglep3\Utilities\DownloadLogsFromS3.py --loco 4028 --day 2017-04-16</v>
      </c>
      <c r="AN218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18:19:13"},{"id":29,"name":"Sharepoint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803</v>
      </c>
      <c r="B219" s="7">
        <v>4028</v>
      </c>
      <c r="C219" s="21" t="s">
        <v>214</v>
      </c>
      <c r="D219" s="21" t="s">
        <v>1002</v>
      </c>
      <c r="E219" s="13">
        <v>42841.704953703702</v>
      </c>
      <c r="F219" s="13">
        <v>42841.734479166669</v>
      </c>
      <c r="G219" s="7">
        <v>1</v>
      </c>
      <c r="H219" s="21" t="s">
        <v>637</v>
      </c>
      <c r="I219" s="13">
        <v>42841.743692129632</v>
      </c>
      <c r="J219" s="7">
        <v>0</v>
      </c>
      <c r="K219" s="97" t="str">
        <f t="shared" si="83"/>
        <v>4027/4028</v>
      </c>
      <c r="L219" s="21" t="str">
        <f>VLOOKUP(A219,'Trips&amp;Operators'!$C$1:$G$99999,5,FALSE)</f>
        <v>LALONDE GREGORY</v>
      </c>
      <c r="M219" s="6">
        <f t="shared" si="84"/>
        <v>9.2129629629198462E-3</v>
      </c>
      <c r="N219" s="7">
        <f t="shared" si="78"/>
        <v>13.266666666604578</v>
      </c>
      <c r="O219" s="7"/>
      <c r="P219" s="7"/>
      <c r="Q219" s="22"/>
      <c r="R219" s="22"/>
      <c r="S219" s="31">
        <f t="shared" si="76"/>
        <v>0</v>
      </c>
      <c r="T219" s="46" t="e">
        <f t="shared" si="85"/>
        <v>#VALUE!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86"/>
        <v>https://d0f6bd738d7f1b3e5a7ca70fe4ff75f0.us-east-1.aws.found.io/app/kibana#/discover/Steve-Slow-Train-Analysis-(2080s-and-2083s)?_g=(refreshInterval:(display:Off,pause:!f,section:0,value:0),time:(from:'2017-04-16T15:55:08-0600',mode:absolute,to:'2017-04-16T18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83" t="str">
        <f t="shared" si="87"/>
        <v>Y</v>
      </c>
      <c r="X219" s="183" t="e">
        <f t="shared" si="77"/>
        <v>#VALUE!</v>
      </c>
      <c r="Y219" s="62">
        <f t="shared" si="88"/>
        <v>0.14829999999999999</v>
      </c>
      <c r="Z219" s="62">
        <f t="shared" si="75"/>
        <v>2.3308</v>
      </c>
      <c r="AA219" s="62">
        <f t="shared" si="89"/>
        <v>2.1825000000000001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0"/>
        <v>67-16</v>
      </c>
      <c r="AE219" s="85" t="str">
        <f t="shared" si="91"/>
        <v>aws s3 cp s3://rtdc.mdm.uploadarchive.raw/RTDC4028/ "%USERPROFILE%\AppData\Local\Temp\OnboardLogs"\RTDC4028\2017-04-16 --exclude "*" --recursive --include "*20170416*" &amp; "%USERPROFILE%\Documents\GitHub\mrs-test-scripts\Headless Mode &amp; Sideloading\WalkAndUnGZ.bat" "%USERPROFILE%\AppData\Local\Temp\OnboardLogs"\RTDC4028\2017-04-16 &amp; aws s3 cp s3://rtdc.mdm.uploadarchive.raw/RTDC4028/ "%USERPROFILE%\AppData\Local\Temp\OnboardLogs"\RTDC4028\2017-04-17 --exclude "*" --recursive --include "*20170417*" &amp; "%USERPROFILE%\Documents\GitHub\mrs-test-scripts\Headless Mode &amp; Sideloading\WalkAndUnGZ.bat" "%USERPROFILE%\AppData\Local\Temp\OnboardLogs"\RTDC4028\2017-04-17</v>
      </c>
      <c r="AF219" s="82" t="str">
        <f t="shared" si="92"/>
        <v>"C:\Program Files (x86)\AstroGrep\AstroGrep.exe" /e /r /s /spath="%USERPROFILE%\AppData\Local\Temp\OnboardLogs" /stypes="app*4028*20170416*" /stext=" 23:.+((SYSTEM_STATE.+slice.+state.+changed )|(ment ac)|(multiple cpu faults)|(system.+state.+changed )|(\[timeout)|(PRM\|1\|D)|(kpr)|(kdp)|(\|lc)|(penalty))"</v>
      </c>
      <c r="AG219" s="1" t="str">
        <f t="shared" si="93"/>
        <v>Other</v>
      </c>
      <c r="AH219" s="86" t="str">
        <f t="shared" si="79"/>
        <v>"%USERPROFILE%\Documents\GitHub\eaglep3\Utilities\RefineRTDCRunTimes.py" --tripid 67-16 --locoid 4028 --swversion DE.1.0.9.0 --startMP 204:1483 --initTime 2017-04-16T16:55:08 --startdatetime 2017-04-16T17:37:39 --delay 1 --endMP 300:23308 --enddatetime 2017-04-16T17:50:55 --enforcementcount 0 &gt;&gt;C:\Users\stu\Documents\GitHub\eaglep3-reporting\EC\2017-04-16-refined-times.txt</v>
      </c>
      <c r="AI219" s="104" t="str">
        <f t="shared" si="80"/>
        <v>echo {"issue":{"subject":"","project_id":79,"tracker_id":40,"status_id":1,"priority_id":2,"assigned_to_id":23,"start_date":"2017-04-16","description":"","custom_fields":[{"id":1,"name":"Subdivision","value":"Other"},{"id":4,"name":"Milepost","value":"2.3308"},{"id":17,"name":"Train ID","value":"67-16"},{"id":16,"name":"Locomotive ID","value":"4028"},{"id":130,"name":"Impact","value":""},{"id":150,"name":"Time of Event (Mountain Time)","value":"17:50:55"},{"id":151,"name":"Denver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1"/>
        <v>start /low /b %USERPROFILE%\Documents\GitHub\eaglep3\Utilities\DownloadLogsFromS3.py --loco 4028 --day 2017-04-16</v>
      </c>
      <c r="AN219" s="159" t="str">
        <f t="shared" si="8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23:50:55"},{"id":29,"name":"Sharepoint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</sheetData>
  <autoFilter ref="A12:AG259">
    <sortState ref="A13:AG261">
      <sortCondition ref="AG13:AG221"/>
      <sortCondition ref="AD13:AD221"/>
    </sortState>
  </autoFilter>
  <sortState ref="A13:AH200">
    <sortCondition ref="AG13:AG200"/>
    <sortCondition ref="AD13:AD200"/>
  </sortState>
  <mergeCells count="1">
    <mergeCell ref="A11:P11"/>
  </mergeCells>
  <conditionalFormatting sqref="W11:W12 W266:X1048576 W13:X219">
    <cfRule type="cellIs" dxfId="10" priority="370" operator="equal">
      <formula>"Y"</formula>
    </cfRule>
  </conditionalFormatting>
  <conditionalFormatting sqref="X266:X1048576 X13:X219">
    <cfRule type="cellIs" dxfId="9" priority="353" operator="greaterThan">
      <formula>1</formula>
    </cfRule>
  </conditionalFormatting>
  <conditionalFormatting sqref="X266:X1048576 X12:X219">
    <cfRule type="cellIs" dxfId="8" priority="350" operator="equal">
      <formula>0</formula>
    </cfRule>
  </conditionalFormatting>
  <conditionalFormatting sqref="A13:S219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zoomScaleNormal="100" workbookViewId="0">
      <selection activeCell="P7" sqref="P7: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COUNTIF($O$7:$O$299,"=Y")</f>
        <v>1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COUNTA($O$7:$O$299)-O2</f>
        <v>20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- 2017-04-16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42842.038726851853</v>
      </c>
      <c r="B7" s="30" t="s">
        <v>427</v>
      </c>
      <c r="C7" s="30" t="s">
        <v>661</v>
      </c>
      <c r="D7" s="30" t="s">
        <v>49</v>
      </c>
      <c r="E7" s="30" t="s">
        <v>191</v>
      </c>
      <c r="F7" s="43">
        <v>0</v>
      </c>
      <c r="G7" s="43">
        <v>219</v>
      </c>
      <c r="H7" s="43">
        <v>31027</v>
      </c>
      <c r="I7" s="43">
        <v>30653</v>
      </c>
      <c r="J7" s="30" t="s">
        <v>192</v>
      </c>
      <c r="K7" s="43">
        <v>30970</v>
      </c>
      <c r="L7" s="139" t="s">
        <v>51</v>
      </c>
      <c r="M7" s="140">
        <f t="shared" ref="M7:M27" si="0">CONVERT((I7-K7)/10000,"mi","ft")*IF(L7="Increasing Mileposts (1)",-1,1)</f>
        <v>-167.376</v>
      </c>
      <c r="N7" s="141" t="str">
        <f>VLOOKUP(C7,'Trips&amp;Operators'!$C$1:$G$99999,5,FALSE)</f>
        <v>NEWELL JAMES</v>
      </c>
      <c r="O7" s="190" t="s">
        <v>184</v>
      </c>
      <c r="P7" s="142" t="s">
        <v>1017</v>
      </c>
      <c r="Q7" s="30"/>
      <c r="R7" s="89" t="e">
        <f>IF(VLOOKUP(C7,'Train Runs'!$A$13:$AE$9935,1,1)=C7,VLOOKUP(C7,'Train Runs'!$A$13:$AE$9935,31,1),NA())</f>
        <v>#N/A</v>
      </c>
      <c r="S7" s="92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-04-16T23:21:55-0600',mode:absolute,to:'2017-04-17T02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7" s="94" t="str">
        <f t="shared" ref="T7:T2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/stypes="*4019*201704170*" /stext=" 06:.+((SYSTEM_STATE.+slice.+state.+changed )|(ment ac)|(multiple cpu faults)|(system.+state.+changed )|(\[timeout)|(PRM\|1\|D)|(kpr)|(kdp)|(\|lc)|(penalty))"</v>
      </c>
      <c r="U7" s="9" t="str">
        <f t="shared" ref="U7:U27" si="2">MID(B7,13,4)</f>
        <v>4019</v>
      </c>
      <c r="V7" s="32">
        <f t="shared" ref="V7:V27" si="3">A7-utc_offset/24</f>
        <v>42842.288726851853</v>
      </c>
      <c r="W7" s="46" t="str">
        <f t="shared" ref="W7:W2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27" si="5">IF(AND(E7="TRACK WARRANT AUTHORITY",G7&lt;10),"OMIT","KEEP")</f>
        <v>KEEP</v>
      </c>
      <c r="Y7" s="104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arrival","project_id":79,"tracker_id":40,"status_id":1,"priority_id":2,"assigned_to_id":23,"start_date":"2017-04-17","description":"","custom_fields":[{"id":1,"name":"Subdivision","value":"EC"},{"id":4,"name":"Milepost","value":"3.097"},{"id":17,"name":"Train ID","value":"240-16"},{"id":16,"name":"Locomotive ID","value":"4019"},{"id":130,"name":"Impact","value":""},{"id":150,"name":"Time of Event (Mountain Time)","value":"00:55:46"},{"id":151,"name":"Denver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7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"%USERPROFILE%\AppData\Local\Temp\OnboardLogs"\RTDC4019\*4019*201704170*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"%USERPROFILE%\AppData\Local\Temp\OnboardLogs"\RTDC4019\*4019*201704170* &gt;&gt; 2017-04-16-SliceDisagreementCheck.txt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4019 --day 2017-04-17</v>
      </c>
    </row>
    <row r="8" spans="1:32" s="1" customFormat="1" x14ac:dyDescent="0.25">
      <c r="A8" s="32">
        <v>42841.443368055552</v>
      </c>
      <c r="B8" s="30" t="s">
        <v>648</v>
      </c>
      <c r="C8" s="30" t="s">
        <v>649</v>
      </c>
      <c r="D8" s="30" t="s">
        <v>98</v>
      </c>
      <c r="E8" s="30" t="s">
        <v>191</v>
      </c>
      <c r="F8" s="43">
        <v>430</v>
      </c>
      <c r="G8" s="43">
        <v>483</v>
      </c>
      <c r="H8" s="43">
        <v>33246</v>
      </c>
      <c r="I8" s="43">
        <v>34996</v>
      </c>
      <c r="J8" s="30" t="s">
        <v>192</v>
      </c>
      <c r="K8" s="43">
        <v>33137</v>
      </c>
      <c r="L8" s="139" t="s">
        <v>50</v>
      </c>
      <c r="M8" s="140">
        <f t="shared" si="0"/>
        <v>-981.55200000000002</v>
      </c>
      <c r="N8" s="141" t="str">
        <f>VLOOKUP(C8,'Trips&amp;Operators'!$C$1:$G$99999,5,FALSE)</f>
        <v>ROMERO CHAD</v>
      </c>
      <c r="O8" s="190" t="s">
        <v>184</v>
      </c>
      <c r="P8" s="142" t="s">
        <v>1017</v>
      </c>
      <c r="Q8" s="30"/>
      <c r="R8" s="89" t="str">
        <f>IF(VLOOKUP(C8,'Train Runs'!$A$13:$AE$9935,1,1)=C8,VLOOKUP(C8,'Train Runs'!$A$13:$AE$9935,31,1),NA())</f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S8" s="92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-04-16T09:21:33-0600',mode:absolute,to:'2017-04-16T12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/e /r /s /spath="%USERPROFILE%\AppData\Local\Temp\OnboardLogs" /stypes="*4016*201704161*" /stext=" 16:.+((SYSTEM_STATE.+slice.+state.+changed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2">
        <f t="shared" si="3"/>
        <v>42841.693368055552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arrival","project_id":79,"tracker_id":40,"status_id":1,"priority_id":2,"assigned_to_id":23,"start_date":"2017-04-16","description":"","custom_fields":[{"id":1,"name":"Subdivision","value":"EC"},{"id":4,"name":"Milepost","value":"3.3137"},{"id":17,"name":"Train ID","value":"155-16"},{"id":16,"name":"Locomotive ID","value":"4016"},{"id":130,"name":"Impact","value":""},{"id":150,"name":"Time of Event (Mountain Time)","value":"10:38:27"},{"id":151,"name":"Denver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"%USERPROFILE%\AppData\Local\Temp\OnboardLogs"\RTDC4016\*4016*201704161*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"%USERPROFILE%\AppData\Local\Temp\OnboardLogs"\RTDC4016\*4016*201704161* &gt;&gt; 2017-04-16-SliceDisagreementCheck.txt</v>
      </c>
      <c r="AE8" s="153" t="str">
        <f t="shared" ref="AE8:AE27" si="9">"start /low /b "&amp;dls3logs&amp;" --loco "&amp;U8&amp;" --day "&amp;TEXT(V8,"YYYY-MM-DD")</f>
        <v>start /low /b %USERPROFILE%\Documents\GitHub\eaglep3\Utilities\DownloadLogsFromS3.py --loco 4016 --day 2017-04-16</v>
      </c>
    </row>
    <row r="9" spans="1:32" s="1" customFormat="1" x14ac:dyDescent="0.25">
      <c r="A9" s="32">
        <v>42841.674074074072</v>
      </c>
      <c r="B9" s="30" t="s">
        <v>430</v>
      </c>
      <c r="C9" s="30" t="s">
        <v>657</v>
      </c>
      <c r="D9" s="30" t="s">
        <v>49</v>
      </c>
      <c r="E9" s="30" t="s">
        <v>191</v>
      </c>
      <c r="F9" s="43">
        <v>0</v>
      </c>
      <c r="G9" s="43">
        <v>378</v>
      </c>
      <c r="H9" s="43">
        <v>42440</v>
      </c>
      <c r="I9" s="43">
        <v>43165</v>
      </c>
      <c r="J9" s="30" t="s">
        <v>192</v>
      </c>
      <c r="K9" s="43">
        <v>42779</v>
      </c>
      <c r="L9" s="139" t="s">
        <v>50</v>
      </c>
      <c r="M9" s="140">
        <f t="shared" si="0"/>
        <v>-203.80799999999999</v>
      </c>
      <c r="N9" s="141" t="str">
        <f>VLOOKUP(C9,'Trips&amp;Operators'!$C$1:$G$99999,5,FALSE)</f>
        <v>BRANDNER MELINDA</v>
      </c>
      <c r="O9" s="190" t="s">
        <v>184</v>
      </c>
      <c r="P9" s="142" t="s">
        <v>1017</v>
      </c>
      <c r="Q9" s="30"/>
      <c r="R9" s="89" t="e">
        <f>IF(VLOOKUP(C9,'Train Runs'!$A$13:$AE$9935,1,1)=C9,VLOOKUP(C9,'Train Runs'!$A$13:$AE$9935,31,1),NA())</f>
        <v>#N/A</v>
      </c>
      <c r="S9" s="92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-04-16T14:55:01-0600',mode:absolute,to:'2017-04-16T17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/e /r /s /spath="%USERPROFILE%\AppData\Local\Temp\OnboardLogs" /stypes="*4020*201704162*" /stext=" 22:.+((SYSTEM_STATE.+slice.+state.+changed )|(ment ac)|(multiple cpu faults)|(system.+state.+changed )|(\[timeout)|(PRM\|1\|D)|(kpr)|(kdp)|(\|lc)|(penalty))"</v>
      </c>
      <c r="U9" s="9" t="str">
        <f t="shared" si="2"/>
        <v>4020</v>
      </c>
      <c r="V9" s="32">
        <f t="shared" si="3"/>
        <v>42841.924074074072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arrival","project_id":79,"tracker_id":40,"status_id":1,"priority_id":2,"assigned_to_id":23,"start_date":"2017-04-16","description":"","custom_fields":[{"id":1,"name":"Subdivision","value":"EC"},{"id":4,"name":"Milepost","value":"4.2779"},{"id":17,"name":"Train ID","value":"199-16"},{"id":16,"name":"Locomotive ID","value":"4020"},{"id":130,"name":"Impact","value":""},{"id":150,"name":"Time of Event (Mountain Time)","value":"16:10:40"},{"id":151,"name":"Denver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"%USERPROFILE%\AppData\Local\Temp\OnboardLogs"\RTDC4020\*4020*201704162*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"%USERPROFILE%\AppData\Local\Temp\OnboardLogs"\RTDC4020\*4020*201704162* &gt;&gt; 2017-04-16-SliceDisagreementCheck.txt</v>
      </c>
      <c r="AE9" s="153" t="str">
        <f t="shared" si="9"/>
        <v>start /low /b %USERPROFILE%\Documents\GitHub\eaglep3\Utilities\DownloadLogsFromS3.py --loco 4020 --day 2017-04-16</v>
      </c>
    </row>
    <row r="10" spans="1:32" s="1" customFormat="1" x14ac:dyDescent="0.25">
      <c r="A10" s="32">
        <v>42841.868761574071</v>
      </c>
      <c r="B10" s="30" t="s">
        <v>427</v>
      </c>
      <c r="C10" s="30" t="s">
        <v>659</v>
      </c>
      <c r="D10" s="30" t="s">
        <v>49</v>
      </c>
      <c r="E10" s="30" t="s">
        <v>191</v>
      </c>
      <c r="F10" s="43">
        <v>0</v>
      </c>
      <c r="G10" s="43">
        <v>407</v>
      </c>
      <c r="H10" s="43">
        <v>58809</v>
      </c>
      <c r="I10" s="43">
        <v>57791</v>
      </c>
      <c r="J10" s="30" t="s">
        <v>192</v>
      </c>
      <c r="K10" s="43">
        <v>58301</v>
      </c>
      <c r="L10" s="139" t="s">
        <v>51</v>
      </c>
      <c r="M10" s="140">
        <f t="shared" si="0"/>
        <v>-269.27999999999997</v>
      </c>
      <c r="N10" s="141" t="str">
        <f>VLOOKUP(C10,'Trips&amp;Operators'!$C$1:$G$99999,5,FALSE)</f>
        <v>NEWELL JAMES</v>
      </c>
      <c r="O10" s="190" t="s">
        <v>184</v>
      </c>
      <c r="P10" s="142" t="s">
        <v>1017</v>
      </c>
      <c r="Q10" s="30"/>
      <c r="R10" s="89" t="e">
        <f>IF(VLOOKUP(C10,'Train Runs'!$A$13:$AE$9935,1,1)=C10,VLOOKUP(C10,'Train Runs'!$A$13:$AE$9935,31,1),NA())</f>
        <v>#N/A</v>
      </c>
      <c r="S10" s="92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-04-16T19:07:48-0600',mode:absolute,to:'2017-04-16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/e /r /s /spath="%USERPROFILE%\AppData\Local\Temp\OnboardLogs" /stypes="*4019*201704170*" /stext=" 02:.+((SYSTEM_STATE.+slice.+state.+changed )|(ment ac)|(multiple cpu faults)|(system.+state.+changed )|(\[timeout)|(PRM\|1\|D)|(kpr)|(kdp)|(\|lc)|(penalty))"</v>
      </c>
      <c r="U10" s="9" t="str">
        <f t="shared" si="2"/>
        <v>4019</v>
      </c>
      <c r="V10" s="32">
        <f t="shared" si="3"/>
        <v>42842.118761574071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arrival","project_id":79,"tracker_id":40,"status_id":1,"priority_id":2,"assigned_to_id":23,"start_date":"2017-04-16","description":"","custom_fields":[{"id":1,"name":"Subdivision","value":"EC"},{"id":4,"name":"Milepost","value":"5.8301"},{"id":17,"name":"Train ID","value":"224-16"},{"id":16,"name":"Locomotive ID","value":"4019"},{"id":130,"name":"Impact","value":""},{"id":150,"name":"Time of Event (Mountain Time)","value":"20:51:01"},{"id":151,"name":"Denver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"%USERPROFILE%\AppData\Local\Temp\OnboardLogs"\RTDC4019\*4019*201704170*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"%USERPROFILE%\AppData\Local\Temp\OnboardLogs"\RTDC4019\*4019*201704170* &gt;&gt; 2017-04-16-SliceDisagreementCheck.txt</v>
      </c>
      <c r="AE10" s="153" t="str">
        <f t="shared" si="9"/>
        <v>start /low /b %USERPROFILE%\Documents\GitHub\eaglep3\Utilities\DownloadLogsFromS3.py --loco 4019 --day 2017-04-17</v>
      </c>
    </row>
    <row r="11" spans="1:32" s="1" customFormat="1" x14ac:dyDescent="0.25">
      <c r="A11" s="32">
        <v>42841.442523148151</v>
      </c>
      <c r="B11" s="30" t="s">
        <v>381</v>
      </c>
      <c r="C11" s="30" t="s">
        <v>647</v>
      </c>
      <c r="D11" s="30" t="s">
        <v>49</v>
      </c>
      <c r="E11" s="30" t="s">
        <v>191</v>
      </c>
      <c r="F11" s="43">
        <v>140</v>
      </c>
      <c r="G11" s="43">
        <v>278</v>
      </c>
      <c r="H11" s="43">
        <v>58946</v>
      </c>
      <c r="I11" s="43">
        <v>58489</v>
      </c>
      <c r="J11" s="30" t="s">
        <v>192</v>
      </c>
      <c r="K11" s="43">
        <v>58301</v>
      </c>
      <c r="L11" s="139" t="s">
        <v>51</v>
      </c>
      <c r="M11" s="140">
        <f t="shared" si="0"/>
        <v>99.263999999999996</v>
      </c>
      <c r="N11" s="141" t="str">
        <f>VLOOKUP(C11,'Trips&amp;Operators'!$C$1:$G$99999,5,FALSE)</f>
        <v>ARVIDSON DANIEL</v>
      </c>
      <c r="O11" s="190" t="s">
        <v>184</v>
      </c>
      <c r="P11" s="142" t="s">
        <v>1017</v>
      </c>
      <c r="Q11" s="30"/>
      <c r="R11" s="89" t="str">
        <f>IF(VLOOKUP(C11,'Train Runs'!$A$13:$AE$9935,1,1)=C11,VLOOKUP(C11,'Train Runs'!$A$13:$AE$9935,31,1),NA())</f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S11" s="92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-04-16T09:06:18-0600',mode:absolute,to:'2017-04-16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 t="shared" si="1"/>
        <v>"C:\Program Files (x86)\AstroGrep\AstroGrep.exe" /e /r /s /spath="%USERPROFILE%\AppData\Local\Temp\OnboardLogs" /stypes="*4043*201704161*" /stext=" 16:.+((SYSTEM_STATE.+slice.+state.+changed )|(ment ac)|(multiple cpu faults)|(system.+state.+changed )|(\[timeout)|(PRM\|1\|D)|(kpr)|(kdp)|(\|lc)|(penalty))"</v>
      </c>
      <c r="U11" s="9" t="str">
        <f t="shared" si="2"/>
        <v>4043</v>
      </c>
      <c r="V11" s="32">
        <f t="shared" si="3"/>
        <v>42841.692523148151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arrival","project_id":79,"tracker_id":40,"status_id":1,"priority_id":2,"assigned_to_id":23,"start_date":"2017-04-16","description":"","custom_fields":[{"id":1,"name":"Subdivision","value":"EC"},{"id":4,"name":"Milepost","value":"5.8301"},{"id":17,"name":"Train ID","value":"146-16"},{"id":16,"name":"Locomotive ID","value":"4043"},{"id":130,"name":"Impact","value":""},{"id":150,"name":"Time of Event (Mountain Time)","value":"10:37:14"},{"id":151,"name":"Denver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"%USERPROFILE%\AppData\Local\Temp\OnboardLogs"\RTDC4043\*4043*201704161*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"%USERPROFILE%\AppData\Local\Temp\OnboardLogs"\RTDC4043\*4043*201704161* &gt;&gt; 2017-04-16-SliceDisagreementCheck.txt</v>
      </c>
      <c r="AE11" s="153" t="str">
        <f t="shared" si="9"/>
        <v>start /low /b %USERPROFILE%\Documents\GitHub\eaglep3\Utilities\DownloadLogsFromS3.py --loco 4043 --day 2017-04-16</v>
      </c>
    </row>
    <row r="12" spans="1:32" s="1" customFormat="1" x14ac:dyDescent="0.25">
      <c r="A12" s="32">
        <v>42841.535868055558</v>
      </c>
      <c r="B12" s="30" t="s">
        <v>539</v>
      </c>
      <c r="C12" s="30" t="s">
        <v>652</v>
      </c>
      <c r="D12" s="30" t="s">
        <v>98</v>
      </c>
      <c r="E12" s="30" t="s">
        <v>191</v>
      </c>
      <c r="F12" s="43">
        <v>330</v>
      </c>
      <c r="G12" s="43">
        <v>386</v>
      </c>
      <c r="H12" s="43">
        <v>58259</v>
      </c>
      <c r="I12" s="43">
        <v>56978</v>
      </c>
      <c r="J12" s="30" t="s">
        <v>192</v>
      </c>
      <c r="K12" s="43">
        <v>58301</v>
      </c>
      <c r="L12" s="139" t="s">
        <v>51</v>
      </c>
      <c r="M12" s="140">
        <f t="shared" si="0"/>
        <v>-698.54399999999998</v>
      </c>
      <c r="N12" s="141" t="str">
        <f>VLOOKUP(C12,'Trips&amp;Operators'!$C$1:$G$99999,5,FALSE)</f>
        <v>LEVIN SCOTT</v>
      </c>
      <c r="O12" s="190" t="s">
        <v>184</v>
      </c>
      <c r="P12" s="142" t="s">
        <v>1017</v>
      </c>
      <c r="Q12" s="30"/>
      <c r="R12" s="89" t="str">
        <f>IF(VLOOKUP(C12,'Train Runs'!$A$13:$AE$9935,1,1)=C12,VLOOKUP(C12,'Train Runs'!$A$13:$AE$9935,31,1),NA())</f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S12" s="92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-04-16T11:18:21-0600',mode:absolute,to:'2017-04-16T14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2" s="94" t="str">
        <f t="shared" si="1"/>
        <v>"C:\Program Files (x86)\AstroGrep\AstroGrep.exe" /e /r /s /spath="%USERPROFILE%\AppData\Local\Temp\OnboardLogs" /stypes="*4005*201704161*" /stext=" 18:.+((SYSTEM_STATE.+slice.+state.+changed )|(ment ac)|(multiple cpu faults)|(system.+state.+changed )|(\[timeout)|(PRM\|1\|D)|(kpr)|(kdp)|(\|lc)|(penalty))"</v>
      </c>
      <c r="U12" s="9" t="str">
        <f t="shared" si="2"/>
        <v>4005</v>
      </c>
      <c r="V12" s="32">
        <f t="shared" si="3"/>
        <v>42841.785868055558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arrival","project_id":79,"tracker_id":40,"status_id":1,"priority_id":2,"assigned_to_id":23,"start_date":"2017-04-16","description":"","custom_fields":[{"id":1,"name":"Subdivision","value":"EC"},{"id":4,"name":"Milepost","value":"5.8301"},{"id":17,"name":"Train ID","value":"164-16"},{"id":16,"name":"Locomotive ID","value":"4005"},{"id":130,"name":"Impact","value":""},{"id":150,"name":"Time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"%USERPROFILE%\AppData\Local\Temp\OnboardLogs"\RTDC4005\*4005*201704161*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"%USERPROFILE%\AppData\Local\Temp\OnboardLogs"\RTDC4005\*4005*201704161* &gt;&gt; 2017-04-16-SliceDisagreementCheck.txt</v>
      </c>
      <c r="AE12" s="153" t="str">
        <f t="shared" si="9"/>
        <v>start /low /b %USERPROFILE%\Documents\GitHub\eaglep3\Utilities\DownloadLogsFromS3.py --loco 4005 --day 2017-04-16</v>
      </c>
    </row>
    <row r="13" spans="1:32" s="1" customFormat="1" x14ac:dyDescent="0.25">
      <c r="A13" s="32">
        <v>42841.394861111112</v>
      </c>
      <c r="B13" s="30" t="s">
        <v>538</v>
      </c>
      <c r="C13" s="30" t="s">
        <v>646</v>
      </c>
      <c r="D13" s="30" t="s">
        <v>49</v>
      </c>
      <c r="E13" s="30" t="s">
        <v>191</v>
      </c>
      <c r="F13" s="43">
        <v>390</v>
      </c>
      <c r="G13" s="43">
        <v>446</v>
      </c>
      <c r="H13" s="43">
        <v>110215</v>
      </c>
      <c r="I13" s="43">
        <v>108938</v>
      </c>
      <c r="J13" s="30" t="s">
        <v>192</v>
      </c>
      <c r="K13" s="43">
        <v>109135</v>
      </c>
      <c r="L13" s="139" t="s">
        <v>51</v>
      </c>
      <c r="M13" s="140">
        <f t="shared" si="0"/>
        <v>-104.01600000000001</v>
      </c>
      <c r="N13" s="141" t="str">
        <f>VLOOKUP(C13,'Trips&amp;Operators'!$C$1:$G$99999,5,FALSE)</f>
        <v>ROBINSON KADDIBA</v>
      </c>
      <c r="O13" s="190" t="s">
        <v>184</v>
      </c>
      <c r="P13" s="142" t="s">
        <v>1017</v>
      </c>
      <c r="Q13" s="30"/>
      <c r="R13" s="89" t="str">
        <f>IF(VLOOKUP(C13,'Train Runs'!$A$13:$AE$9935,1,1)=C13,VLOOKUP(C13,'Train Runs'!$A$13:$AE$9935,31,1),NA())</f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S13" s="92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-04-16T08:07:00-0600',mode:absolute,to:'2017-04-16T10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94" t="str">
        <f t="shared" si="1"/>
        <v>"C:\Program Files (x86)\AstroGrep\AstroGrep.exe" /e /r /s /spath="%USERPROFILE%\AppData\Local\Temp\OnboardLogs" /stypes="*4025*201704161*" /stext=" 15:.+((SYSTEM_STATE.+slice.+state.+changed )|(ment ac)|(multiple cpu faults)|(system.+state.+changed )|(\[timeout)|(PRM\|1\|D)|(kpr)|(kdp)|(\|lc)|(penalty))"</v>
      </c>
      <c r="U13" s="9" t="str">
        <f t="shared" si="2"/>
        <v>4025</v>
      </c>
      <c r="V13" s="32">
        <f t="shared" si="3"/>
        <v>42841.644861111112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arrival","project_id":79,"tracker_id":40,"status_id":1,"priority_id":2,"assigned_to_id":23,"start_date":"2017-04-16","description":"","custom_fields":[{"id":1,"name":"Subdivision","value":"EC"},{"id":4,"name":"Milepost","value":"10.9135"},{"id":17,"name":"Train ID","value":"138-16"},{"id":16,"name":"Locomotive ID","value":"4025"},{"id":130,"name":"Impact","value":""},{"id":150,"name":"Time of Event (Mountain Time)","value":"09:28:36"},{"id":151,"name":"Denver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"%USERPROFILE%\AppData\Local\Temp\OnboardLogs"\RTDC4025\*4025*201704161*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"%USERPROFILE%\AppData\Local\Temp\OnboardLogs"\RTDC4025\*4025*201704161* &gt;&gt; 2017-04-16-SliceDisagreementCheck.txt</v>
      </c>
      <c r="AE13" s="153" t="str">
        <f t="shared" si="9"/>
        <v>start /low /b %USERPROFILE%\Documents\GitHub\eaglep3\Utilities\DownloadLogsFromS3.py --loco 4025 --day 2017-04-16</v>
      </c>
    </row>
    <row r="14" spans="1:32" x14ac:dyDescent="0.25">
      <c r="A14" s="32">
        <v>42841.311597222222</v>
      </c>
      <c r="B14" s="30" t="s">
        <v>539</v>
      </c>
      <c r="C14" s="30" t="s">
        <v>644</v>
      </c>
      <c r="D14" s="30" t="s">
        <v>49</v>
      </c>
      <c r="E14" s="30" t="s">
        <v>191</v>
      </c>
      <c r="F14" s="43">
        <v>400</v>
      </c>
      <c r="G14" s="43">
        <v>452</v>
      </c>
      <c r="H14" s="43">
        <v>110274</v>
      </c>
      <c r="I14" s="43">
        <v>108850</v>
      </c>
      <c r="J14" s="30" t="s">
        <v>192</v>
      </c>
      <c r="K14" s="43">
        <v>109135</v>
      </c>
      <c r="L14" s="139" t="s">
        <v>51</v>
      </c>
      <c r="M14" s="140">
        <f t="shared" si="0"/>
        <v>-150.47999999999999</v>
      </c>
      <c r="N14" s="141" t="str">
        <f>VLOOKUP(C14,'Trips&amp;Operators'!$C$1:$G$99999,5,FALSE)</f>
        <v>DAVIS WENDY</v>
      </c>
      <c r="O14" s="190" t="s">
        <v>184</v>
      </c>
      <c r="P14" s="142" t="s">
        <v>1017</v>
      </c>
      <c r="Q14" s="30"/>
      <c r="R14" s="89" t="str">
        <f>IF(VLOOKUP(C14,'Train Runs'!$A$13:$AE$9935,1,1)=C14,VLOOKUP(C14,'Train Runs'!$A$13:$AE$9935,31,1),NA())</f>
        <v>aws s3 cp s3://rtdc.mdm.uploadarchive.raw/RTDC4005/ "%USERPROFILE%\AppData\Local\Temp\OnboardLogs"\RTDC4005\2017-04-16 --exclude "*" --recursive --include "*20170416*" &amp; "%USERPROFILE%\Documents\GitHub\mrs-test-scripts\Headless Mode &amp; Sideloading\WalkAndUnGZ.bat" "%USERPROFILE%\AppData\Local\Temp\OnboardLogs"\RTDC4005\2017-04-16 &amp; aws s3 cp s3://rtdc.mdm.uploadarchive.raw/RTDC4005/ "%USERPROFILE%\AppData\Local\Temp\OnboardLogs"\RTDC4005\2017-04-17 --exclude "*" --recursive --include "*20170417*" &amp; "%USERPROFILE%\Documents\GitHub\mrs-test-scripts\Headless Mode &amp; Sideloading\WalkAndUnGZ.bat" "%USERPROFILE%\AppData\Local\Temp\OnboardLogs"\RTDC4005\2017-04-17</v>
      </c>
      <c r="S14" s="92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-04-16T06:07:03-0600',mode:absolute,to:'2017-04-16T08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94" t="str">
        <f t="shared" si="1"/>
        <v>"C:\Program Files (x86)\AstroGrep\AstroGrep.exe" /e /r /s /spath="%USERPROFILE%\AppData\Local\Temp\OnboardLogs" /stypes="*4005*201704161*" /stext=" 13:.+((SYSTEM_STATE.+slice.+state.+changed )|(ment ac)|(multiple cpu faults)|(system.+state.+changed )|(\[timeout)|(PRM\|1\|D)|(kpr)|(kdp)|(\|lc)|(penalty))"</v>
      </c>
      <c r="U14" s="9" t="str">
        <f t="shared" si="2"/>
        <v>4005</v>
      </c>
      <c r="V14" s="32">
        <f t="shared" si="3"/>
        <v>42841.561597222222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arrival","project_id":79,"tracker_id":40,"status_id":1,"priority_id":2,"assigned_to_id":23,"start_date":"2017-04-16","description":"","custom_fields":[{"id":1,"name":"Subdivision","value":"EC"},{"id":4,"name":"Milepost","value":"10.9135"},{"id":17,"name":"Train ID","value":"122-16"},{"id":16,"name":"Locomotive ID","value":"4005"},{"id":130,"name":"Impact","value":""},{"id":150,"name":"Time of Event (Mountain Time)","value":"07:28:42"},{"id":151,"name":"Denver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"%USERPROFILE%\AppData\Local\Temp\OnboardLogs"\RTDC4005\*4005*201704161*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"%USERPROFILE%\AppData\Local\Temp\OnboardLogs"\RTDC4005\*4005*201704161* &gt;&gt; 2017-04-16-SliceDisagreementCheck.txt</v>
      </c>
      <c r="AE14" s="153" t="str">
        <f t="shared" si="9"/>
        <v>start /low /b %USERPROFILE%\Documents\GitHub\eaglep3\Utilities\DownloadLogsFromS3.py --loco 4005 --day 2017-04-16</v>
      </c>
      <c r="AF14" s="1"/>
    </row>
    <row r="15" spans="1:32" x14ac:dyDescent="0.25">
      <c r="A15" s="32">
        <v>42841.315601851849</v>
      </c>
      <c r="B15" s="30" t="s">
        <v>538</v>
      </c>
      <c r="C15" s="30" t="s">
        <v>645</v>
      </c>
      <c r="D15" s="30" t="s">
        <v>98</v>
      </c>
      <c r="E15" s="30" t="s">
        <v>212</v>
      </c>
      <c r="F15" s="43">
        <v>600</v>
      </c>
      <c r="G15" s="43">
        <v>652</v>
      </c>
      <c r="H15" s="43">
        <v>184623</v>
      </c>
      <c r="I15" s="43">
        <v>181687</v>
      </c>
      <c r="J15" s="30" t="s">
        <v>213</v>
      </c>
      <c r="K15" s="43">
        <v>190834</v>
      </c>
      <c r="L15" s="139" t="s">
        <v>51</v>
      </c>
      <c r="M15" s="140">
        <f t="shared" si="0"/>
        <v>-4829.616</v>
      </c>
      <c r="N15" s="141" t="str">
        <f>VLOOKUP(C15,'Trips&amp;Operators'!$C$1:$G$99999,5,FALSE)</f>
        <v>ROBINSON KADDIBA</v>
      </c>
      <c r="O15" s="190" t="s">
        <v>184</v>
      </c>
      <c r="P15" s="142"/>
      <c r="Q15" s="30"/>
      <c r="R15" s="89" t="str">
        <f>IF(VLOOKUP(C15,'Train Runs'!$A$13:$AE$9935,1,1)=C15,VLOOKUP(C15,'Train Runs'!$A$13:$AE$9935,31,1),NA())</f>
        <v>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 &amp; aws s3 cp s3://rtdc.mdm.uploadarchive.raw/RTDC4025/ "%USERPROFILE%\AppData\Local\Temp\OnboardLogs"\RTDC4025\2017-04-17 --exclude "*" --recursive --include "*20170417*" &amp; "%USERPROFILE%\Documents\GitHub\mrs-test-scripts\Headless Mode &amp; Sideloading\WalkAndUnGZ.bat" "%USERPROFILE%\AppData\Local\Temp\OnboardLogs"\RTDC4025\2017-04-17</v>
      </c>
      <c r="S15" s="92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-04-16T06:17:43-0600',mode:absolute,to:'2017-04-16T09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94" t="str">
        <f t="shared" si="1"/>
        <v>"C:\Program Files (x86)\AstroGrep\AstroGrep.exe" /e /r /s /spath="%USERPROFILE%\AppData\Local\Temp\OnboardLogs" /stypes="*4025*201704161*" /stext=" 13:.+((SYSTEM_STATE.+slice.+state.+changed )|(ment ac)|(multiple cpu faults)|(system.+state.+changed )|(\[timeout)|(PRM\|1\|D)|(kpr)|(kdp)|(\|lc)|(penalty))"</v>
      </c>
      <c r="U15" s="9" t="str">
        <f t="shared" si="2"/>
        <v>4025</v>
      </c>
      <c r="V15" s="32">
        <f t="shared" si="3"/>
        <v>42841.565601851849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{"issue":{"subject":"","project_id":79,"tracker_id":40,"status_id":1,"priority_id":2,"assigned_to_id":23,"start_date":"2017-04-16","description":"","custom_fields":[{"id":1,"name":"Subdivision","value":"EC"},{"id":4,"name":"Milepost","value":"19.0834"},{"id":17,"name":"Train ID","value":"124-16"},{"id":16,"name":"Locomotive ID","value":"4025"},{"id":130,"name":"Impact","value":""},{"id":150,"name":"Time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"%USERPROFILE%\AppData\Local\Temp\OnboardLogs"\RTDC4025\*4025*201704161*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"%USERPROFILE%\AppData\Local\Temp\OnboardLogs"\RTDC4025\*4025*201704161* &gt;&gt; 2017-04-16-SliceDisagreementCheck.txt</v>
      </c>
      <c r="AE15" s="153" t="str">
        <f t="shared" si="9"/>
        <v>start /low /b %USERPROFILE%\Documents\GitHub\eaglep3\Utilities\DownloadLogsFromS3.py --loco 4025 --day 2017-04-16</v>
      </c>
      <c r="AF15" s="1"/>
    </row>
    <row r="16" spans="1:32" x14ac:dyDescent="0.25">
      <c r="A16" s="32">
        <v>42841.459976851853</v>
      </c>
      <c r="B16" s="30" t="s">
        <v>648</v>
      </c>
      <c r="C16" s="30" t="s">
        <v>649</v>
      </c>
      <c r="D16" s="30" t="s">
        <v>49</v>
      </c>
      <c r="E16" s="30" t="s">
        <v>650</v>
      </c>
      <c r="F16" s="43">
        <v>0</v>
      </c>
      <c r="G16" s="43">
        <v>796</v>
      </c>
      <c r="H16" s="43">
        <v>215493</v>
      </c>
      <c r="I16" s="43">
        <v>219774</v>
      </c>
      <c r="J16" s="30" t="s">
        <v>651</v>
      </c>
      <c r="K16" s="43">
        <v>217106</v>
      </c>
      <c r="L16" s="139" t="s">
        <v>50</v>
      </c>
      <c r="M16" s="140">
        <f t="shared" si="0"/>
        <v>-1408.704</v>
      </c>
      <c r="N16" s="141" t="str">
        <f>VLOOKUP(C16,'Trips&amp;Operators'!$C$1:$G$99999,5,FALSE)</f>
        <v>ROMERO CHAD</v>
      </c>
      <c r="O16" s="190" t="s">
        <v>543</v>
      </c>
      <c r="P16" s="142" t="s">
        <v>1018</v>
      </c>
      <c r="Q16" s="30"/>
      <c r="R16" s="89" t="str">
        <f>IF(VLOOKUP(C16,'Train Runs'!$A$13:$AE$9935,1,1)=C16,VLOOKUP(C16,'Train Runs'!$A$13:$AE$9935,31,1),NA())</f>
        <v>aws s3 cp s3://rtdc.mdm.uploadarchive.raw/RTDC4016/ "%USERPROFILE%\AppData\Local\Temp\OnboardLogs"\RTDC4016\2017-04-16 --exclude "*" --recursive --include "*20170416*" &amp; "%USERPROFILE%\Documents\GitHub\mrs-test-scripts\Headless Mode &amp; Sideloading\WalkAndUnGZ.bat" "%USERPROFILE%\AppData\Local\Temp\OnboardLogs"\RTDC4016\2017-04-16 &amp; aws s3 cp s3://rtdc.mdm.uploadarchive.raw/RTDC4016/ "%USERPROFILE%\AppData\Local\Temp\OnboardLogs"\RTDC4016\2017-04-17 --exclude "*" --recursive --include "*20170417*" &amp; "%USERPROFILE%\Documents\GitHub\mrs-test-scripts\Headless Mode &amp; Sideloading\WalkAndUnGZ.bat" "%USERPROFILE%\AppData\Local\Temp\OnboardLogs"\RTDC4016\2017-04-17</v>
      </c>
      <c r="S16" s="92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-04-16T09:21:33-0600',mode:absolute,to:'2017-04-16T12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94" t="str">
        <f t="shared" si="1"/>
        <v>"C:\Program Files (x86)\AstroGrep\AstroGrep.exe" /e /r /s /spath="%USERPROFILE%\AppData\Local\Temp\OnboardLogs" /stypes="*4016*201704161*" /stext=" 17:.+((SYSTEM_STATE.+slice.+state.+changed )|(ment ac)|(multiple cpu faults)|(system.+state.+changed )|(\[timeout)|(PRM\|1\|D)|(kpr)|(kdp)|(\|lc)|(penalty))"</v>
      </c>
      <c r="U16" s="9" t="str">
        <f t="shared" si="2"/>
        <v>4016</v>
      </c>
      <c r="V16" s="32">
        <f t="shared" si="3"/>
        <v>42841.709976851853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{"issue":{"subject":"Wi-MAX data drop","project_id":79,"tracker_id":40,"status_id":1,"priority_id":2,"assigned_to_id":23,"start_date":"2017-04-16","description":"","custom_fields":[{"id":1,"name":"Subdivision","value":"EC"},{"id":4,"name":"Milepost","value":"21.7106"},{"id":17,"name":"Train ID","value":"155-16"},{"id":16,"name":"Locomotive ID","value":"4016"},{"id":130,"name":"Impact","value":""},{"id":150,"name":"Time of Event (Mountain Time)","value":"11:02:22"},{"id":151,"name":"Denver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"%USERPROFILE%\AppData\Local\Temp\OnboardLogs"\RTDC4016\*4016*201704161*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"%USERPROFILE%\AppData\Local\Temp\OnboardLogs"\RTDC4016\*4016*201704161* &gt;&gt; 2017-04-16-SliceDisagreementCheck.txt</v>
      </c>
      <c r="AE16" s="153" t="str">
        <f t="shared" si="9"/>
        <v>start /low /b %USERPROFILE%\Documents\GitHub\eaglep3\Utilities\DownloadLogsFromS3.py --loco 4016 --day 2017-04-16</v>
      </c>
      <c r="AF16" s="1"/>
    </row>
    <row r="17" spans="1:32" x14ac:dyDescent="0.25">
      <c r="A17" s="32">
        <v>42841.305844907409</v>
      </c>
      <c r="B17" s="30" t="s">
        <v>381</v>
      </c>
      <c r="C17" s="30" t="s">
        <v>643</v>
      </c>
      <c r="D17" s="30" t="s">
        <v>49</v>
      </c>
      <c r="E17" s="30" t="s">
        <v>185</v>
      </c>
      <c r="F17" s="43">
        <v>0</v>
      </c>
      <c r="G17" s="43">
        <v>163</v>
      </c>
      <c r="H17" s="43">
        <v>932</v>
      </c>
      <c r="I17" s="43">
        <v>662</v>
      </c>
      <c r="J17" s="30" t="s">
        <v>186</v>
      </c>
      <c r="K17" s="43">
        <v>1</v>
      </c>
      <c r="L17" s="139" t="s">
        <v>51</v>
      </c>
      <c r="M17" s="140">
        <f t="shared" si="0"/>
        <v>349.00800000000004</v>
      </c>
      <c r="N17" s="141" t="str">
        <f>VLOOKUP(C17,'Trips&amp;Operators'!$C$1:$G$99999,5,FALSE)</f>
        <v>MAYBERRY BILL</v>
      </c>
      <c r="O17" s="190" t="s">
        <v>184</v>
      </c>
      <c r="P17" s="142"/>
      <c r="Q17" s="30"/>
      <c r="R17" s="89" t="str">
        <f>IF(VLOOKUP(C17,'Train Runs'!$A$13:$AE$9935,1,1)=C17,VLOOKUP(C17,'Train Runs'!$A$13:$AE$9935,31,1),NA())</f>
        <v>aws s3 cp s3://rtdc.mdm.uploadarchive.raw/RTDC4043/ "%USERPROFILE%\AppData\Local\Temp\OnboardLogs"\RTDC4043\2017-04-16 --exclude "*" --recursive --include "*20170416*" &amp; "%USERPROFILE%\Documents\GitHub\mrs-test-scripts\Headless Mode &amp; Sideloading\WalkAndUnGZ.bat" "%USERPROFILE%\AppData\Local\Temp\OnboardLogs"\RTDC4043\2017-04-16 &amp; aws s3 cp s3://rtdc.mdm.uploadarchive.raw/RTDC4043/ "%USERPROFILE%\AppData\Local\Temp\OnboardLogs"\RTDC4043\2017-04-17 --exclude "*" --recursive --include "*20170417*" &amp; "%USERPROFILE%\Documents\GitHub\mrs-test-scripts\Headless Mode &amp; Sideloading\WalkAndUnGZ.bat" "%USERPROFILE%\AppData\Local\Temp\OnboardLogs"\RTDC4043\2017-04-17</v>
      </c>
      <c r="S17" s="92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-04-16T05:36:33-0600',mode:absolute,to:'2017-04-16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94" t="str">
        <f t="shared" si="1"/>
        <v>"C:\Program Files (x86)\AstroGrep\AstroGrep.exe" /e /r /s /spath="%USERPROFILE%\AppData\Local\Temp\OnboardLogs" /stypes="*4043*201704161*" /stext=" 13:.+((SYSTEM_STATE.+slice.+state.+changed )|(ment ac)|(multiple cpu faults)|(system.+state.+changed )|(\[timeout)|(PRM\|1\|D)|(kpr)|(kdp)|(\|lc)|(penalty))"</v>
      </c>
      <c r="U17" s="9" t="str">
        <f t="shared" si="2"/>
        <v>4043</v>
      </c>
      <c r="V17" s="32">
        <f t="shared" si="3"/>
        <v>42841.555844907409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{"issue":{"subject":"","project_id":79,"tracker_id":40,"status_id":1,"priority_id":2,"assigned_to_id":23,"start_date":"2017-04-16","description":"","custom_fields":[{"id":1,"name":"Subdivision","value":"EC"},{"id":4,"name":"Milepost","value":"0.0001"},{"id":17,"name":"Train ID","value":"118-16"},{"id":16,"name":"Locomotive ID","value":"4043"},{"id":130,"name":"Impact","value":""},{"id":150,"name":"Time of Event (Mountain Time)","value":"07:20:25"},{"id":151,"name":"Denver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"%USERPROFILE%\AppData\Local\Temp\OnboardLogs"\RTDC4043\*4043*201704161*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"%USERPROFILE%\AppData\Local\Temp\OnboardLogs"\RTDC4043\*4043*201704161* &gt;&gt; 2017-04-16-SliceDisagreementCheck.txt</v>
      </c>
      <c r="AE17" s="153" t="str">
        <f t="shared" si="9"/>
        <v>start /low /b %USERPROFILE%\Documents\GitHub\eaglep3\Utilities\DownloadLogsFromS3.py --loco 4043 --day 2017-04-16</v>
      </c>
      <c r="AF17" s="1"/>
    </row>
    <row r="18" spans="1:32" ht="15" customHeight="1" x14ac:dyDescent="0.25">
      <c r="A18" s="32">
        <v>42841.58734953704</v>
      </c>
      <c r="B18" s="30" t="s">
        <v>427</v>
      </c>
      <c r="C18" s="30" t="s">
        <v>653</v>
      </c>
      <c r="D18" s="30" t="s">
        <v>49</v>
      </c>
      <c r="E18" s="30" t="s">
        <v>185</v>
      </c>
      <c r="F18" s="43">
        <v>0</v>
      </c>
      <c r="G18" s="43">
        <v>49</v>
      </c>
      <c r="H18" s="43">
        <v>145</v>
      </c>
      <c r="I18" s="43">
        <v>101</v>
      </c>
      <c r="J18" s="30" t="s">
        <v>186</v>
      </c>
      <c r="K18" s="43">
        <v>1</v>
      </c>
      <c r="L18" s="139" t="s">
        <v>51</v>
      </c>
      <c r="M18" s="140">
        <f t="shared" si="0"/>
        <v>52.8</v>
      </c>
      <c r="N18" s="141" t="str">
        <f>VLOOKUP(C18,'Trips&amp;Operators'!$C$1:$G$99999,5,FALSE)</f>
        <v>BRANDNER MELINDA</v>
      </c>
      <c r="O18" s="190" t="s">
        <v>184</v>
      </c>
      <c r="P18" s="142"/>
      <c r="Q18" s="30"/>
      <c r="R18" s="89" t="str">
        <f>IF(VLOOKUP(C18,'Train Runs'!$A$13:$AE$9935,1,1)=C18,VLOOKUP(C18,'Train Runs'!$A$13:$AE$9935,31,1),NA())</f>
        <v>aws s3 cp s3://rtdc.mdm.uploadarchive.raw/RTDC4019/ "%USERPROFILE%\AppData\Local\Temp\OnboardLogs"\RTDC4019\2017-04-16 --exclude "*" --recursive --include "*20170416*" &amp; "%USERPROFILE%\Documents\GitHub\mrs-test-scripts\Headless Mode &amp; Sideloading\WalkAndUnGZ.bat" "%USERPROFILE%\AppData\Local\Temp\OnboardLogs"\RTDC4019\2017-04-16 &amp; aws s3 cp s3://rtdc.mdm.uploadarchive.raw/RTDC4019/ "%USERPROFILE%\AppData\Local\Temp\OnboardLogs"\RTDC4019\2017-04-17 --exclude "*" --recursive --include "*20170417*" &amp; "%USERPROFILE%\Documents\GitHub\mrs-test-scripts\Headless Mode &amp; Sideloading\WalkAndUnGZ.bat" "%USERPROFILE%\AppData\Local\Temp\OnboardLogs"\RTDC4019\2017-04-17</v>
      </c>
      <c r="S18" s="92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-04-16T12:20:44-0600',mode:absolute,to:'2017-04-16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94" t="str">
        <f t="shared" si="1"/>
        <v>"C:\Program Files (x86)\AstroGrep\AstroGrep.exe" /e /r /s /spath="%USERPROFILE%\AppData\Local\Temp\OnboardLogs" /stypes="*4019*201704162*" /stext=" 20:.+((SYSTEM_STATE.+slice.+state.+changed )|(ment ac)|(multiple cpu faults)|(system.+state.+changed )|(\[timeout)|(PRM\|1\|D)|(kpr)|(kdp)|(\|lc)|(penalty))"</v>
      </c>
      <c r="U18" s="9" t="str">
        <f t="shared" si="2"/>
        <v>4019</v>
      </c>
      <c r="V18" s="32">
        <f t="shared" si="3"/>
        <v>42841.83734953704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{"issue":{"subject":"","project_id":79,"tracker_id":40,"status_id":1,"priority_id":2,"assigned_to_id":23,"start_date":"2017-04-16","description":"","custom_fields":[{"id":1,"name":"Subdivision","value":"EC"},{"id":4,"name":"Milepost","value":"0.0001"},{"id":17,"name":"Train ID","value":"172-16"},{"id":16,"name":"Locomotive ID","value":"4019"},{"id":130,"name":"Impact","value":""},{"id":150,"name":"Time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"%USERPROFILE%\AppData\Local\Temp\OnboardLogs"\RTDC4019\*4019*201704162*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"%USERPROFILE%\AppData\Local\Temp\OnboardLogs"\RTDC4019\*4019*201704162* &gt;&gt; 2017-04-16-SliceDisagreementCheck.txt</v>
      </c>
      <c r="AE18" s="153" t="str">
        <f t="shared" si="9"/>
        <v>start /low /b %USERPROFILE%\Documents\GitHub\eaglep3\Utilities\DownloadLogsFromS3.py --loco 4019 --day 2017-04-16</v>
      </c>
      <c r="AF18" s="1"/>
    </row>
    <row r="19" spans="1:32" x14ac:dyDescent="0.25">
      <c r="A19" s="32">
        <v>42841.638182870367</v>
      </c>
      <c r="B19" s="30" t="s">
        <v>567</v>
      </c>
      <c r="C19" s="30" t="s">
        <v>656</v>
      </c>
      <c r="D19" s="30" t="s">
        <v>49</v>
      </c>
      <c r="E19" s="30" t="s">
        <v>185</v>
      </c>
      <c r="F19" s="43">
        <v>0</v>
      </c>
      <c r="G19" s="43">
        <v>92</v>
      </c>
      <c r="H19" s="43">
        <v>342</v>
      </c>
      <c r="I19" s="43">
        <v>238</v>
      </c>
      <c r="J19" s="30" t="s">
        <v>186</v>
      </c>
      <c r="K19" s="43">
        <v>1</v>
      </c>
      <c r="L19" s="139" t="s">
        <v>51</v>
      </c>
      <c r="M19" s="140">
        <f t="shared" si="0"/>
        <v>125.136</v>
      </c>
      <c r="N19" s="141" t="str">
        <f>VLOOKUP(C19,'Trips&amp;Operators'!$C$1:$G$99999,5,FALSE)</f>
        <v>MCREYNOLDS KYLE</v>
      </c>
      <c r="O19" s="190" t="s">
        <v>184</v>
      </c>
      <c r="P19" s="142"/>
      <c r="Q19" s="30"/>
      <c r="R19" s="89" t="e">
        <f>IF(VLOOKUP(C19,'Train Runs'!$A$13:$AE$9935,1,1)=C19,VLOOKUP(C19,'Train Runs'!$A$13:$AE$9935,31,1),NA())</f>
        <v>#N/A</v>
      </c>
      <c r="S19" s="92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-04-16T13:26:42-0600',mode:absolute,to:'2017-04-16T16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 t="shared" si="1"/>
        <v>"C:\Program Files (x86)\AstroGrep\AstroGrep.exe" /e /r /s /spath="%USERPROFILE%\AppData\Local\Temp\OnboardLogs" /stypes="*4039*201704162*" /stext=" 21:.+((SYSTEM_STATE.+slice.+state.+changed )|(ment ac)|(multiple cpu faults)|(system.+state.+changed )|(\[timeout)|(PRM\|1\|D)|(kpr)|(kdp)|(\|lc)|(penalty))"</v>
      </c>
      <c r="U19" s="9" t="str">
        <f t="shared" si="2"/>
        <v>4039</v>
      </c>
      <c r="V19" s="32">
        <f t="shared" si="3"/>
        <v>42841.888182870367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{"issue":{"subject":"","project_id":79,"tracker_id":40,"status_id":1,"priority_id":2,"assigned_to_id":23,"start_date":"2017-04-16","description":"","custom_fields":[{"id":1,"name":"Subdivision","value":"EC"},{"id":4,"name":"Milepost","value":"0.0001"},{"id":17,"name":"Train ID","value":"182-16"},{"id":16,"name":"Locomotive ID","value":"4039"},{"id":130,"name":"Impact","value":""},{"id":150,"name":"Time of Event (Mountain Time)","value":"15:18:59"},{"id":151,"name":"Denver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"%USERPROFILE%\AppData\Local\Temp\OnboardLogs"\RTDC4039\*4039*201704162*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"%USERPROFILE%\AppData\Local\Temp\OnboardLogs"\RTDC4039\*4039*201704162* &gt;&gt; 2017-04-16-SliceDisagreementCheck.txt</v>
      </c>
      <c r="AE19" s="153" t="str">
        <f t="shared" si="9"/>
        <v>start /low /b %USERPROFILE%\Documents\GitHub\eaglep3\Utilities\DownloadLogsFromS3.py --loco 4039 --day 2017-04-16</v>
      </c>
      <c r="AF19" s="1"/>
    </row>
    <row r="20" spans="1:32" x14ac:dyDescent="0.25">
      <c r="A20" s="32">
        <v>42841.733541666668</v>
      </c>
      <c r="B20" s="30" t="s">
        <v>427</v>
      </c>
      <c r="C20" s="30" t="s">
        <v>658</v>
      </c>
      <c r="D20" s="30" t="s">
        <v>49</v>
      </c>
      <c r="E20" s="30" t="s">
        <v>185</v>
      </c>
      <c r="F20" s="43">
        <v>0</v>
      </c>
      <c r="G20" s="43">
        <v>59</v>
      </c>
      <c r="H20" s="43">
        <v>225</v>
      </c>
      <c r="I20" s="43">
        <v>172</v>
      </c>
      <c r="J20" s="30" t="s">
        <v>186</v>
      </c>
      <c r="K20" s="43">
        <v>1</v>
      </c>
      <c r="L20" s="139" t="s">
        <v>51</v>
      </c>
      <c r="M20" s="140">
        <f t="shared" si="0"/>
        <v>90.287999999999997</v>
      </c>
      <c r="N20" s="141" t="str">
        <f>VLOOKUP(C20,'Trips&amp;Operators'!$C$1:$G$99999,5,FALSE)</f>
        <v>BRANDNER MELINDA</v>
      </c>
      <c r="O20" s="190" t="s">
        <v>184</v>
      </c>
      <c r="P20" s="142"/>
      <c r="Q20" s="30"/>
      <c r="R20" s="89" t="e">
        <f>IF(VLOOKUP(C20,'Train Runs'!$A$13:$AE$9935,1,1)=C20,VLOOKUP(C20,'Train Runs'!$A$13:$AE$9935,31,1),NA())</f>
        <v>#N/A</v>
      </c>
      <c r="S20" s="92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-04-16T15:49:05-0600',mode:absolute,to:'2017-04-16T18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0" s="94" t="str">
        <f t="shared" si="1"/>
        <v>"C:\Program Files (x86)\AstroGrep\AstroGrep.exe" /e /r /s /spath="%USERPROFILE%\AppData\Local\Temp\OnboardLogs" /stypes="*4019*201704162*" /stext=" 23:.+((SYSTEM_STATE.+slice.+state.+changed )|(ment ac)|(multiple cpu faults)|(system.+state.+changed )|(\[timeout)|(PRM\|1\|D)|(kpr)|(kdp)|(\|lc)|(penalty))"</v>
      </c>
      <c r="U20" s="9" t="str">
        <f t="shared" si="2"/>
        <v>4019</v>
      </c>
      <c r="V20" s="32">
        <f t="shared" si="3"/>
        <v>42841.983541666668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{"issue":{"subject":"","project_id":79,"tracker_id":40,"status_id":1,"priority_id":2,"assigned_to_id":23,"start_date":"2017-04-16","description":"","custom_fields":[{"id":1,"name":"Subdivision","value":"EC"},{"id":4,"name":"Milepost","value":"0.0001"},{"id":17,"name":"Train ID","value":"200-16"},{"id":16,"name":"Locomotive ID","value":"4019"},{"id":130,"name":"Impact","value":""},{"id":150,"name":"Time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"%USERPROFILE%\AppData\Local\Temp\OnboardLogs"\RTDC4019\*4019*201704162*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"%USERPROFILE%\AppData\Local\Temp\OnboardLogs"\RTDC4019\*4019*201704162* &gt;&gt; 2017-04-16-SliceDisagreementCheck.txt</v>
      </c>
      <c r="AE20" s="153" t="str">
        <f t="shared" si="9"/>
        <v>start /low /b %USERPROFILE%\Documents\GitHub\eaglep3\Utilities\DownloadLogsFromS3.py --loco 4019 --day 2017-04-16</v>
      </c>
      <c r="AF20" s="1"/>
    </row>
    <row r="21" spans="1:32" x14ac:dyDescent="0.25">
      <c r="A21" s="32">
        <v>42841.918935185182</v>
      </c>
      <c r="B21" s="30" t="s">
        <v>399</v>
      </c>
      <c r="C21" s="30" t="s">
        <v>660</v>
      </c>
      <c r="D21" s="30" t="s">
        <v>49</v>
      </c>
      <c r="E21" s="30" t="s">
        <v>185</v>
      </c>
      <c r="F21" s="43">
        <v>0</v>
      </c>
      <c r="G21" s="43">
        <v>108</v>
      </c>
      <c r="H21" s="43">
        <v>1316</v>
      </c>
      <c r="I21" s="43">
        <v>1199</v>
      </c>
      <c r="J21" s="30" t="s">
        <v>186</v>
      </c>
      <c r="K21" s="43">
        <v>839</v>
      </c>
      <c r="L21" s="139" t="s">
        <v>51</v>
      </c>
      <c r="M21" s="140">
        <f t="shared" si="0"/>
        <v>190.08</v>
      </c>
      <c r="N21" s="141" t="str">
        <f>VLOOKUP(C21,'Trips&amp;Operators'!$C$1:$G$99999,5,FALSE)</f>
        <v>STAMBAUGH JAMES</v>
      </c>
      <c r="O21" s="190" t="s">
        <v>184</v>
      </c>
      <c r="P21" s="142"/>
      <c r="Q21" s="30"/>
      <c r="R21" s="89" t="e">
        <f>IF(VLOOKUP(C21,'Train Runs'!$A$13:$AE$9935,1,1)=C21,VLOOKUP(C21,'Train Runs'!$A$13:$AE$9935,31,1),NA())</f>
        <v>#N/A</v>
      </c>
      <c r="S21" s="92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-04-16T20:21:56-0600',mode:absolute,to:'2017-04-16T23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94" t="str">
        <f t="shared" si="1"/>
        <v>"C:\Program Files (x86)\AstroGrep\AstroGrep.exe" /e /r /s /spath="%USERPROFILE%\AppData\Local\Temp\OnboardLogs" /stypes="*4013*201704170*" /stext=" 04:.+((SYSTEM_STATE.+slice.+state.+changed )|(ment ac)|(multiple cpu faults)|(system.+state.+changed )|(\[timeout)|(PRM\|1\|D)|(kpr)|(kdp)|(\|lc)|(penalty))"</v>
      </c>
      <c r="U21" s="9" t="str">
        <f t="shared" si="2"/>
        <v>4013</v>
      </c>
      <c r="V21" s="32">
        <f t="shared" si="3"/>
        <v>42842.168935185182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{"issue":{"subject":"","project_id":79,"tracker_id":40,"status_id":1,"priority_id":2,"assigned_to_id":23,"start_date":"2017-04-16","description":"","custom_fields":[{"id":1,"name":"Subdivision","value":"EC"},{"id":4,"name":"Milepost","value":"0.0839"},{"id":17,"name":"Train ID","value":"228-16"},{"id":16,"name":"Locomotive ID","value":"4013"},{"id":130,"name":"Impact","value":""},{"id":150,"name":"Time of Event (Mountain Time)","value":"22:03:16"},{"id":151,"name":"Denver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"%USERPROFILE%\AppData\Local\Temp\OnboardLogs"\RTDC4013\*4013*201704170*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"%USERPROFILE%\AppData\Local\Temp\OnboardLogs"\RTDC4013\*4013*201704170* &gt;&gt; 2017-04-16-SliceDisagreementCheck.txt</v>
      </c>
      <c r="AE21" s="153" t="str">
        <f t="shared" si="9"/>
        <v>start /low /b %USERPROFILE%\Documents\GitHub\eaglep3\Utilities\DownloadLogsFromS3.py --loco 4013 --day 2017-04-17</v>
      </c>
      <c r="AF21" s="1"/>
    </row>
    <row r="22" spans="1:32" x14ac:dyDescent="0.25">
      <c r="A22" s="32">
        <v>42841.608240740738</v>
      </c>
      <c r="B22" s="30" t="s">
        <v>648</v>
      </c>
      <c r="C22" s="30" t="s">
        <v>654</v>
      </c>
      <c r="D22" s="30" t="s">
        <v>49</v>
      </c>
      <c r="E22" s="30" t="s">
        <v>185</v>
      </c>
      <c r="F22" s="43">
        <v>0</v>
      </c>
      <c r="G22" s="43">
        <v>29</v>
      </c>
      <c r="H22" s="43">
        <v>233416</v>
      </c>
      <c r="I22" s="43">
        <v>233430</v>
      </c>
      <c r="J22" s="30" t="s">
        <v>186</v>
      </c>
      <c r="K22" s="43">
        <v>233491</v>
      </c>
      <c r="L22" s="139" t="s">
        <v>50</v>
      </c>
      <c r="M22" s="140">
        <f t="shared" si="0"/>
        <v>32.207999999999998</v>
      </c>
      <c r="N22" s="141" t="str">
        <f>VLOOKUP(C22,'Trips&amp;Operators'!$C$1:$G$99999,5,FALSE)</f>
        <v>ROMERO CHAD</v>
      </c>
      <c r="O22" s="190" t="s">
        <v>184</v>
      </c>
      <c r="P22" s="142"/>
      <c r="Q22" s="30"/>
      <c r="R22" s="89" t="e">
        <f>IF(VLOOKUP(C22,'Train Runs'!$A$13:$AE$9935,1,1)=C22,VLOOKUP(C22,'Train Runs'!$A$13:$AE$9935,31,1),NA())</f>
        <v>#N/A</v>
      </c>
      <c r="S22" s="92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-04-16T12:54:58-0600',mode:absolute,to:'2017-04-16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94" t="str">
        <f t="shared" si="1"/>
        <v>"C:\Program Files (x86)\AstroGrep\AstroGrep.exe" /e /r /s /spath="%USERPROFILE%\AppData\Local\Temp\OnboardLogs" /stypes="*4016*201704162*" /stext=" 20:.+((SYSTEM_STATE.+slice.+state.+changed )|(ment ac)|(multiple cpu faults)|(system.+state.+changed )|(\[timeout)|(PRM\|1\|D)|(kpr)|(kdp)|(\|lc)|(penalty))"</v>
      </c>
      <c r="U22" s="9" t="str">
        <f t="shared" si="2"/>
        <v>4016</v>
      </c>
      <c r="V22" s="32">
        <f t="shared" si="3"/>
        <v>42841.858240740738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{"issue":{"subject":"","project_id":79,"tracker_id":40,"status_id":1,"priority_id":2,"assigned_to_id":23,"start_date":"2017-04-16","description":"","custom_fields":[{"id":1,"name":"Subdivision","value":"EC"},{"id":4,"name":"Milepost","value":"23.3491"},{"id":17,"name":"Train ID","value":"183-16"},{"id":16,"name":"Locomotive ID","value":"4016"},{"id":130,"name":"Impact","value":""},{"id":150,"name":"Time of Event (Mountain Time)","value":"14:35:52"},{"id":151,"name":"Denver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"%USERPROFILE%\AppData\Local\Temp\OnboardLogs"\RTDC4016\*4016*201704162*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"%USERPROFILE%\AppData\Local\Temp\OnboardLogs"\RTDC4016\*4016*201704162* &gt;&gt; 2017-04-16-SliceDisagreementCheck.txt</v>
      </c>
      <c r="AE22" s="153" t="str">
        <f t="shared" si="9"/>
        <v>start /low /b %USERPROFILE%\Documents\GitHub\eaglep3\Utilities\DownloadLogsFromS3.py --loco 4016 --day 2017-04-16</v>
      </c>
      <c r="AF22" s="1"/>
    </row>
    <row r="23" spans="1:32" x14ac:dyDescent="0.25">
      <c r="A23" s="32">
        <v>42841.619201388887</v>
      </c>
      <c r="B23" s="30" t="s">
        <v>430</v>
      </c>
      <c r="C23" s="30" t="s">
        <v>655</v>
      </c>
      <c r="D23" s="30" t="s">
        <v>49</v>
      </c>
      <c r="E23" s="30" t="s">
        <v>185</v>
      </c>
      <c r="F23" s="43">
        <v>0</v>
      </c>
      <c r="G23" s="43">
        <v>76</v>
      </c>
      <c r="H23" s="43">
        <v>233193</v>
      </c>
      <c r="I23" s="43">
        <v>233261</v>
      </c>
      <c r="J23" s="30" t="s">
        <v>186</v>
      </c>
      <c r="K23" s="43">
        <v>233491</v>
      </c>
      <c r="L23" s="139" t="s">
        <v>50</v>
      </c>
      <c r="M23" s="140">
        <f t="shared" si="0"/>
        <v>121.44</v>
      </c>
      <c r="N23" s="141" t="str">
        <f>VLOOKUP(C23,'Trips&amp;Operators'!$C$1:$G$99999,5,FALSE)</f>
        <v>BRANDNER MELINDA</v>
      </c>
      <c r="O23" s="190" t="s">
        <v>184</v>
      </c>
      <c r="P23" s="142"/>
      <c r="Q23" s="30"/>
      <c r="R23" s="89" t="e">
        <f>IF(VLOOKUP(C23,'Train Runs'!$A$13:$AE$9935,1,1)=C23,VLOOKUP(C23,'Train Runs'!$A$13:$AE$9935,31,1),NA())</f>
        <v>#N/A</v>
      </c>
      <c r="S23" s="92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-04-16T13:08:56-0600',mode:absolute,to:'2017-04-16T15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3" s="94" t="str">
        <f t="shared" si="1"/>
        <v>"C:\Program Files (x86)\AstroGrep\AstroGrep.exe" /e /r /s /spath="%USERPROFILE%\AppData\Local\Temp\OnboardLogs" /stypes="*4020*201704162*" /stext=" 20:.+((SYSTEM_STATE.+slice.+state.+changed )|(ment ac)|(multiple cpu faults)|(system.+state.+changed )|(\[timeout)|(PRM\|1\|D)|(kpr)|(kdp)|(\|lc)|(penalty))"</v>
      </c>
      <c r="U23" s="9" t="str">
        <f t="shared" si="2"/>
        <v>4020</v>
      </c>
      <c r="V23" s="32">
        <f t="shared" si="3"/>
        <v>42841.869201388887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{"issue":{"subject":"","project_id":79,"tracker_id":40,"status_id":1,"priority_id":2,"assigned_to_id":23,"start_date":"2017-04-16","description":"","custom_fields":[{"id":1,"name":"Subdivision","value":"EC"},{"id":4,"name":"Milepost","value":"23.3491"},{"id":17,"name":"Train ID","value":"185-16"},{"id":16,"name":"Locomotive ID","value":"4020"},{"id":130,"name":"Impact","value":""},{"id":150,"name":"Time of Event (Mountain Time)","value":"14:51:39"},{"id":151,"name":"Denver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"%USERPROFILE%\AppData\Local\Temp\OnboardLogs"\RTDC4020\*4020*201704162*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"%USERPROFILE%\AppData\Local\Temp\OnboardLogs"\RTDC4020\*4020*201704162* &gt;&gt; 2017-04-16-SliceDisagreementCheck.txt</v>
      </c>
      <c r="AE23" s="153" t="str">
        <f t="shared" si="9"/>
        <v>start /low /b %USERPROFILE%\Documents\GitHub\eaglep3\Utilities\DownloadLogsFromS3.py --loco 4020 --day 2017-04-16</v>
      </c>
      <c r="AF23" s="1"/>
    </row>
    <row r="24" spans="1:32" x14ac:dyDescent="0.25">
      <c r="A24" s="32">
        <v>42842.045775462961</v>
      </c>
      <c r="B24" s="30" t="s">
        <v>482</v>
      </c>
      <c r="C24" s="30" t="s">
        <v>662</v>
      </c>
      <c r="D24" s="30" t="s">
        <v>49</v>
      </c>
      <c r="E24" s="30" t="s">
        <v>185</v>
      </c>
      <c r="F24" s="43">
        <v>0</v>
      </c>
      <c r="G24" s="43">
        <v>64</v>
      </c>
      <c r="H24" s="43">
        <v>233281</v>
      </c>
      <c r="I24" s="43">
        <v>233342</v>
      </c>
      <c r="J24" s="30" t="s">
        <v>186</v>
      </c>
      <c r="K24" s="43">
        <v>233491</v>
      </c>
      <c r="L24" s="139" t="s">
        <v>50</v>
      </c>
      <c r="M24" s="140">
        <f t="shared" si="0"/>
        <v>78.671999999999997</v>
      </c>
      <c r="N24" s="141" t="str">
        <f>VLOOKUP(C24,'Trips&amp;Operators'!$C$1:$G$99999,5,FALSE)</f>
        <v>STAMBAUGH JAMES</v>
      </c>
      <c r="O24" s="190" t="s">
        <v>184</v>
      </c>
      <c r="P24" s="142"/>
      <c r="Q24" s="30"/>
      <c r="R24" s="89" t="e">
        <f>IF(VLOOKUP(C24,'Train Runs'!$A$13:$AE$9935,1,1)=C24,VLOOKUP(C24,'Train Runs'!$A$13:$AE$9935,31,1),NA())</f>
        <v>#N/A</v>
      </c>
      <c r="S24" s="92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-04-16T23:09:18-0600',mode:absolute,to:'2017-04-17T02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94" t="str">
        <f t="shared" si="1"/>
        <v>"C:\Program Files (x86)\AstroGrep\AstroGrep.exe" /e /r /s /spath="%USERPROFILE%\AppData\Local\Temp\OnboardLogs" /stypes="*4006*201704170*" /stext=" 07:.+((SYSTEM_STATE.+slice.+state.+changed )|(ment ac)|(multiple cpu faults)|(system.+state.+changed )|(\[timeout)|(PRM\|1\|D)|(kpr)|(kdp)|(\|lc)|(penalty))"</v>
      </c>
      <c r="U24" s="9" t="str">
        <f t="shared" si="2"/>
        <v>4006</v>
      </c>
      <c r="V24" s="32">
        <f t="shared" si="3"/>
        <v>42842.295775462961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{"issue":{"subject":"","project_id":79,"tracker_id":40,"status_id":1,"priority_id":2,"assigned_to_id":23,"start_date":"2017-04-17","description":"","custom_fields":[{"id":1,"name":"Subdivision","value":"EC"},{"id":4,"name":"Milepost","value":"23.3491"},{"id":17,"name":"Train ID","value":"243-16"},{"id":16,"name":"Locomotive ID","value":"4006"},{"id":130,"name":"Impact","value":""},{"id":150,"name":"Time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"%USERPROFILE%\AppData\Local\Temp\OnboardLogs"\RTDC4006\*4006*201704170*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"%USERPROFILE%\AppData\Local\Temp\OnboardLogs"\RTDC4006\*4006*201704170* &gt;&gt; 2017-04-16-SliceDisagreementCheck.txt</v>
      </c>
      <c r="AE24" s="153" t="str">
        <f t="shared" si="9"/>
        <v>start /low /b %USERPROFILE%\Documents\GitHub\eaglep3\Utilities\DownloadLogsFromS3.py --loco 4006 --day 2017-04-17</v>
      </c>
      <c r="AF24" s="1"/>
    </row>
    <row r="25" spans="1:32" x14ac:dyDescent="0.25">
      <c r="A25" s="32">
        <v>42842.052858796298</v>
      </c>
      <c r="B25" s="30" t="s">
        <v>430</v>
      </c>
      <c r="C25" s="30" t="s">
        <v>663</v>
      </c>
      <c r="D25" s="30" t="s">
        <v>49</v>
      </c>
      <c r="E25" s="30" t="s">
        <v>191</v>
      </c>
      <c r="F25" s="43">
        <v>420</v>
      </c>
      <c r="G25" s="43">
        <v>470</v>
      </c>
      <c r="H25" s="43">
        <v>9897</v>
      </c>
      <c r="I25" s="43">
        <v>11239</v>
      </c>
      <c r="J25" s="30" t="s">
        <v>192</v>
      </c>
      <c r="K25" s="43">
        <v>10716</v>
      </c>
      <c r="L25" s="139" t="s">
        <v>50</v>
      </c>
      <c r="M25" s="140">
        <f t="shared" si="0"/>
        <v>-276.14400000000001</v>
      </c>
      <c r="N25" s="141" t="str">
        <f>VLOOKUP(C25,'Trips&amp;Operators'!$C$1:$G$99999,5,FALSE)</f>
        <v>NEWELL JAMES</v>
      </c>
      <c r="O25" s="190" t="s">
        <v>184</v>
      </c>
      <c r="P25" s="142"/>
      <c r="Q25" s="30"/>
      <c r="R25" s="89" t="e">
        <f>IF(VLOOKUP(C25,'Train Runs'!$A$13:$AE$9935,1,1)=C25,VLOOKUP(C25,'Train Runs'!$A$13:$AE$9935,31,1),NA())</f>
        <v>#N/A</v>
      </c>
      <c r="S25" s="92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-04-17T00:10:47-0600',mode:absolute,to:'2017-04-17T02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5" s="94" t="str">
        <f t="shared" si="1"/>
        <v>"C:\Program Files (x86)\AstroGrep\AstroGrep.exe" /e /r /s /spath="%USERPROFILE%\AppData\Local\Temp\OnboardLogs" /stypes="*4020*201704170*" /stext=" 07:.+((SYSTEM_STATE.+slice.+state.+changed )|(ment ac)|(multiple cpu faults)|(system.+state.+changed )|(\[timeout)|(PRM\|1\|D)|(kpr)|(kdp)|(\|lc)|(penalty))"</v>
      </c>
      <c r="U25" s="9" t="str">
        <f t="shared" si="2"/>
        <v>4020</v>
      </c>
      <c r="V25" s="32">
        <f t="shared" si="3"/>
        <v>42842.302858796298</v>
      </c>
      <c r="W25" s="46" t="str">
        <f t="shared" si="4"/>
        <v>Other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{"issue":{"subject":"","project_id":79,"tracker_id":40,"status_id":1,"priority_id":2,"assigned_to_id":23,"start_date":"2017-04-17","description":"","custom_fields":[{"id":1,"name":"Subdivision","value":"Other"},{"id":4,"name":"Milepost","value":"1.0716"},{"id":17,"name":"Train ID","value":"309-16"},{"id":16,"name":"Locomotive ID","value":"4020"},{"id":130,"name":"Impact","value":""},{"id":150,"name":"Time of Event (Mountain Time)","value":"01:16:07"},{"id":151,"name":"Denver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"%USERPROFILE%\AppData\Local\Temp\OnboardLogs"\RTDC4020\*4020*201704170*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"%USERPROFILE%\AppData\Local\Temp\OnboardLogs"\RTDC4020\*4020*201704170* &gt;&gt; 2017-04-16-SliceDisagreementCheck.txt</v>
      </c>
      <c r="AE25" s="153" t="str">
        <f t="shared" si="9"/>
        <v>start /low /b %USERPROFILE%\Documents\GitHub\eaglep3\Utilities\DownloadLogsFromS3.py --loco 4020 --day 2017-04-17</v>
      </c>
      <c r="AF25" s="1"/>
    </row>
    <row r="26" spans="1:32" x14ac:dyDescent="0.25">
      <c r="A26" s="32">
        <v>42841.126770833333</v>
      </c>
      <c r="B26" s="30" t="s">
        <v>640</v>
      </c>
      <c r="C26" s="30" t="s">
        <v>641</v>
      </c>
      <c r="D26" s="30" t="s">
        <v>49</v>
      </c>
      <c r="E26" s="30" t="s">
        <v>185</v>
      </c>
      <c r="F26" s="43">
        <v>0</v>
      </c>
      <c r="G26" s="43">
        <v>50</v>
      </c>
      <c r="H26" s="43">
        <v>187</v>
      </c>
      <c r="I26" s="43">
        <v>132</v>
      </c>
      <c r="J26" s="30" t="s">
        <v>186</v>
      </c>
      <c r="K26" s="43">
        <v>1</v>
      </c>
      <c r="L26" s="139" t="s">
        <v>51</v>
      </c>
      <c r="M26" s="140">
        <f t="shared" si="0"/>
        <v>69.168000000000006</v>
      </c>
      <c r="N26" s="141" t="str">
        <f>VLOOKUP(C26,'Trips&amp;Operators'!$C$1:$G$99999,5,FALSE)</f>
        <v>SANTIZO D. EDY</v>
      </c>
      <c r="O26" s="190" t="s">
        <v>184</v>
      </c>
      <c r="P26" s="142"/>
      <c r="Q26" s="30"/>
      <c r="R26" s="89" t="e">
        <f>IF(VLOOKUP(C26,'Train Runs'!$A$13:$AE$9935,1,1)=C26,VLOOKUP(C26,'Train Runs'!$A$13:$AE$9935,31,1),NA())</f>
        <v>#N/A</v>
      </c>
      <c r="S26" s="92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-04-16T01:51:02-0600',mode:absolute,to:'2017-04-16T04:02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 t="shared" si="1"/>
        <v>"C:\Program Files (x86)\AstroGrep\AstroGrep.exe" /e /r /s /spath="%USERPROFILE%\AppData\Local\Temp\OnboardLogs" /stypes="*4015*201704160*" /stext=" 09:.+((SYSTEM_STATE.+slice.+state.+changed )|(ment ac)|(multiple cpu faults)|(system.+state.+changed )|(\[timeout)|(PRM\|1\|D)|(kpr)|(kdp)|(\|lc)|(penalty))"</v>
      </c>
      <c r="U26" s="9" t="str">
        <f t="shared" si="2"/>
        <v>4015</v>
      </c>
      <c r="V26" s="32">
        <f t="shared" si="3"/>
        <v>42841.376770833333</v>
      </c>
      <c r="W26" s="46" t="str">
        <f t="shared" si="4"/>
        <v>Other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{"issue":{"subject":"","project_id":79,"tracker_id":40,"status_id":1,"priority_id":2,"assigned_to_id":23,"start_date":"2017-04-16","description":"","custom_fields":[{"id":1,"name":"Subdivision","value":"Other"},{"id":4,"name":"Milepost","value":"0.0001"},{"id":17,"name":"Train ID","value":"302-16"},{"id":16,"name":"Locomotive ID","value":"4015"},{"id":130,"name":"Impact","value":""},{"id":150,"name":"Time of Event (Mountain Time)","value":"03:02:33"},{"id":151,"name":"Denver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"%USERPROFILE%\AppData\Local\Temp\OnboardLogs"\RTDC4015\*4015*201704160*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"%USERPROFILE%\AppData\Local\Temp\OnboardLogs"\RTDC4015\*4015*201704160* &gt;&gt; 2017-04-16-SliceDisagreementCheck.txt</v>
      </c>
      <c r="AE26" s="153" t="str">
        <f t="shared" si="9"/>
        <v>start /low /b %USERPROFILE%\Documents\GitHub\eaglep3\Utilities\DownloadLogsFromS3.py --loco 4015 --day 2017-04-16</v>
      </c>
      <c r="AF26" s="1"/>
    </row>
    <row r="27" spans="1:32" x14ac:dyDescent="0.25">
      <c r="A27" s="32">
        <v>42841.260196759256</v>
      </c>
      <c r="B27" s="30" t="s">
        <v>427</v>
      </c>
      <c r="C27" s="30" t="s">
        <v>642</v>
      </c>
      <c r="D27" s="30" t="s">
        <v>49</v>
      </c>
      <c r="E27" s="30" t="s">
        <v>185</v>
      </c>
      <c r="F27" s="43">
        <v>0</v>
      </c>
      <c r="G27" s="43">
        <v>27</v>
      </c>
      <c r="H27" s="43">
        <v>920</v>
      </c>
      <c r="I27" s="43">
        <v>898</v>
      </c>
      <c r="J27" s="30" t="s">
        <v>186</v>
      </c>
      <c r="K27" s="43">
        <v>839</v>
      </c>
      <c r="L27" s="139" t="s">
        <v>51</v>
      </c>
      <c r="M27" s="140">
        <f t="shared" si="0"/>
        <v>31.152000000000001</v>
      </c>
      <c r="N27" s="141" t="str">
        <f>VLOOKUP(C27,'Trips&amp;Operators'!$C$1:$G$99999,5,FALSE)</f>
        <v>MOSES BRADLEY</v>
      </c>
      <c r="O27" s="190" t="s">
        <v>184</v>
      </c>
      <c r="P27" s="142"/>
      <c r="Q27" s="30"/>
      <c r="R27" s="89" t="str">
        <f>IF(VLOOKUP(C27,'Train Runs'!$A$13:$AE$9935,1,1)=C27,VLOOKUP(C27,'Train Runs'!$A$13:$AE$9935,31,1),NA())</f>
        <v>aws s3 cp s3://rtdc.mdm.uploadarchive.raw/RTDC4020/ "%USERPROFILE%\AppData\Local\Temp\OnboardLogs"\RTDC4020\2017-04-16 --exclude "*" --recursive --include "*20170416*" &amp; "%USERPROFILE%\Documents\GitHub\mrs-test-scripts\Headless Mode &amp; Sideloading\WalkAndUnGZ.bat" "%USERPROFILE%\AppData\Local\Temp\OnboardLogs"\RTDC4020\2017-04-16 &amp; aws s3 cp s3://rtdc.mdm.uploadarchive.raw/RTDC4020/ "%USERPROFILE%\AppData\Local\Temp\OnboardLogs"\RTDC4020\2017-04-17 --exclude "*" --recursive --include "*20170417*" &amp; "%USERPROFILE%\Documents\GitHub\mrs-test-scripts\Headless Mode &amp; Sideloading\WalkAndUnGZ.bat" "%USERPROFILE%\AppData\Local\Temp\OnboardLogs"\RTDC4020\2017-04-17</v>
      </c>
      <c r="S27" s="92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-04-16T05:10:14-0600',mode:absolute,to:'2017-04-16T07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94" t="str">
        <f t="shared" si="1"/>
        <v>"C:\Program Files (x86)\AstroGrep\AstroGrep.exe" /e /r /s /spath="%USERPROFILE%\AppData\Local\Temp\OnboardLogs" /stypes="*4019*201704161*" /stext=" 12:.+((SYSTEM_STATE.+slice.+state.+changed )|(ment ac)|(multiple cpu faults)|(system.+state.+changed )|(\[timeout)|(PRM\|1\|D)|(kpr)|(kdp)|(\|lc)|(penalty))"</v>
      </c>
      <c r="U27" s="9" t="str">
        <f t="shared" si="2"/>
        <v>4019</v>
      </c>
      <c r="V27" s="32">
        <f t="shared" si="3"/>
        <v>42841.510196759256</v>
      </c>
      <c r="W27" s="46" t="str">
        <f t="shared" si="4"/>
        <v>Other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{"issue":{"subject":"","project_id":79,"tracker_id":40,"status_id":1,"priority_id":2,"assigned_to_id":23,"start_date":"2017-04-16","description":"","custom_fields":[{"id":1,"name":"Subdivision","value":"Other"},{"id":4,"name":"Milepost","value":"0.0839"},{"id":17,"name":"Train ID","value":"53-16"},{"id":16,"name":"Locomotive ID","value":"4019"},{"id":130,"name":"Impact","value":""},{"id":150,"name":"Time of Event (Mountain Time)","value":"06:14:41"},{"id":151,"name":"Denver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"%USERPROFILE%\AppData\Local\Temp\OnboardLogs"\RTDC4019\*4019*201704161*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"%USERPROFILE%\AppData\Local\Temp\OnboardLogs"\RTDC4019\*4019*201704161* &gt;&gt; 2017-04-16-SliceDisagreementCheck.txt</v>
      </c>
      <c r="AE27" s="153" t="str">
        <f t="shared" si="9"/>
        <v>start /low /b %USERPROFILE%\Documents\GitHub\eaglep3\Utilities\DownloadLogsFromS3.py --loco 4019 --day 2017-04-16</v>
      </c>
      <c r="AF27" s="1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</sheetData>
  <autoFilter ref="A6:AC71">
    <sortState ref="A7:AC71">
      <sortCondition ref="W7:W27"/>
      <sortCondition ref="E7:E27"/>
      <sortCondition ref="K7:K27"/>
      <sortCondition ref="F7:F2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2:O1048576 O7:O2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9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2017-04-16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-16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Runs'!$A$13:$A$99932,1,FALSE)</f>
        <v>#N/A</v>
      </c>
    </row>
    <row r="4" spans="1:10" x14ac:dyDescent="0.25">
      <c r="A4" s="181"/>
      <c r="B4" s="43" t="str">
        <f>A4&amp;"-"&amp;IF(DAY(Variables!$A$2)&lt;10,0,"")&amp;DAY(Variables!$A$2)</f>
        <v>-16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Runs'!$A$13:$A$99932,1,FALSE)</f>
        <v>#N/A</v>
      </c>
    </row>
    <row r="5" spans="1:10" x14ac:dyDescent="0.25">
      <c r="A5" s="181"/>
      <c r="B5" s="43" t="str">
        <f>A5&amp;"-"&amp;IF(DAY(Variables!$A$2)&lt;10,0,"")&amp;DAY(Variables!$A$2)</f>
        <v>-16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Runs'!$A$13:$A$99932,1,FALSE)</f>
        <v>#N/A</v>
      </c>
    </row>
    <row r="6" spans="1:10" x14ac:dyDescent="0.25">
      <c r="A6" s="181"/>
      <c r="B6" s="43" t="str">
        <f>A6&amp;"-"&amp;IF(DAY(Variables!$A$2)&lt;10,0,"")&amp;DAY(Variables!$A$2)</f>
        <v>-16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Runs'!$A$13:$A$99932,1,FALSE)</f>
        <v>#N/A</v>
      </c>
    </row>
    <row r="7" spans="1:10" x14ac:dyDescent="0.25">
      <c r="A7" s="181"/>
      <c r="B7" s="43" t="str">
        <f>A7&amp;"-"&amp;IF(DAY(Variables!$A$2)&lt;10,0,"")&amp;DAY(Variables!$A$2)</f>
        <v>-16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Runs'!$A$13:$A$99932,1,FALSE)</f>
        <v>#N/A</v>
      </c>
    </row>
    <row r="8" spans="1:10" x14ac:dyDescent="0.25">
      <c r="A8" s="181"/>
      <c r="B8" s="43" t="str">
        <f>A8&amp;"-"&amp;IF(DAY(Variables!$A$2)&lt;10,0,"")&amp;DAY(Variables!$A$2)</f>
        <v>-16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Runs'!$A$13:$A$99932,1,FALSE)</f>
        <v>#N/A</v>
      </c>
    </row>
    <row r="9" spans="1:10" x14ac:dyDescent="0.25">
      <c r="A9" s="181"/>
      <c r="B9" s="43" t="str">
        <f>A9&amp;"-"&amp;IF(DAY(Variables!$A$2)&lt;10,0,"")&amp;DAY(Variables!$A$2)</f>
        <v>-16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Runs'!$A$13:$A$99932,1,FALSE)</f>
        <v>#N/A</v>
      </c>
    </row>
    <row r="10" spans="1:10" x14ac:dyDescent="0.25">
      <c r="A10" s="181"/>
      <c r="B10" s="43" t="str">
        <f>A10&amp;"-"&amp;IF(DAY(Variables!$A$2)&lt;10,0,"")&amp;DAY(Variables!$A$2)</f>
        <v>-16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Runs'!$A$13:$A$99932,1,FALSE)</f>
        <v>#N/A</v>
      </c>
    </row>
    <row r="11" spans="1:10" x14ac:dyDescent="0.25">
      <c r="A11" s="181"/>
      <c r="B11" s="43" t="str">
        <f>A11&amp;"-"&amp;IF(DAY(Variables!$A$2)&lt;10,0,"")&amp;DAY(Variables!$A$2)</f>
        <v>-16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Runs'!$A$13:$A$99932,1,FALSE)</f>
        <v>#N/A</v>
      </c>
    </row>
    <row r="12" spans="1:10" x14ac:dyDescent="0.25">
      <c r="A12" s="181"/>
      <c r="B12" s="43" t="str">
        <f>A12&amp;"-"&amp;IF(DAY(Variables!$A$2)&lt;10,0,"")&amp;DAY(Variables!$A$2)</f>
        <v>-16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Runs'!$A$13:$A$99932,1,FALSE)</f>
        <v>#N/A</v>
      </c>
    </row>
    <row r="13" spans="1:10" x14ac:dyDescent="0.25">
      <c r="A13" s="181"/>
      <c r="B13" s="43" t="str">
        <f>A13&amp;"-"&amp;IF(DAY(Variables!$A$2)&lt;10,0,"")&amp;DAY(Variables!$A$2)</f>
        <v>-16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Runs'!$A$13:$A$99932,1,FALSE)</f>
        <v>#N/A</v>
      </c>
    </row>
    <row r="14" spans="1:10" x14ac:dyDescent="0.25">
      <c r="A14" s="181"/>
      <c r="B14" s="43" t="str">
        <f>A14&amp;"-"&amp;IF(DAY(Variables!$A$2)&lt;10,0,"")&amp;DAY(Variables!$A$2)</f>
        <v>-16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Runs'!$A$13:$A$99932,1,FALSE)</f>
        <v>#N/A</v>
      </c>
    </row>
    <row r="15" spans="1:10" x14ac:dyDescent="0.25">
      <c r="A15" s="181"/>
      <c r="B15" s="43" t="str">
        <f>A15&amp;"-"&amp;IF(DAY(Variables!$A$2)&lt;10,0,"")&amp;DAY(Variables!$A$2)</f>
        <v>-16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Runs'!$A$13:$A$99932,1,FALSE)</f>
        <v>#N/A</v>
      </c>
    </row>
    <row r="16" spans="1:10" x14ac:dyDescent="0.25">
      <c r="A16" s="181"/>
      <c r="B16" s="43" t="str">
        <f>A16&amp;"-"&amp;IF(DAY(Variables!$A$2)&lt;10,0,"")&amp;DAY(Variables!$A$2)</f>
        <v>-16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Runs'!$A$13:$A$99932,1,FALSE)</f>
        <v>#N/A</v>
      </c>
    </row>
    <row r="17" spans="1:10" x14ac:dyDescent="0.25">
      <c r="A17" s="181"/>
      <c r="B17" s="43" t="str">
        <f>A17&amp;"-"&amp;IF(DAY(Variables!$A$2)&lt;10,0,"")&amp;DAY(Variables!$A$2)</f>
        <v>-16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Runs'!$A$13:$A$99932,1,FALSE)</f>
        <v>#N/A</v>
      </c>
    </row>
    <row r="18" spans="1:10" x14ac:dyDescent="0.25">
      <c r="A18" s="181"/>
      <c r="B18" s="43" t="str">
        <f>A18&amp;"-"&amp;IF(DAY(Variables!$A$2)&lt;10,0,"")&amp;DAY(Variables!$A$2)</f>
        <v>-16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Runs'!$A$13:$A$99932,1,FALSE)</f>
        <v>#N/A</v>
      </c>
    </row>
    <row r="19" spans="1:10" x14ac:dyDescent="0.25">
      <c r="A19" s="181"/>
      <c r="B19" s="43" t="str">
        <f>A19&amp;"-"&amp;IF(DAY(Variables!$A$2)&lt;10,0,"")&amp;DAY(Variables!$A$2)</f>
        <v>-16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Runs'!$A$13:$A$99932,1,FALSE)</f>
        <v>#N/A</v>
      </c>
    </row>
    <row r="20" spans="1:10" x14ac:dyDescent="0.25">
      <c r="A20" s="181"/>
      <c r="B20" s="43" t="str">
        <f>A20&amp;"-"&amp;IF(DAY(Variables!$A$2)&lt;10,0,"")&amp;DAY(Variables!$A$2)</f>
        <v>-16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Runs'!$A$13:$A$99932,1,FALSE)</f>
        <v>#N/A</v>
      </c>
    </row>
    <row r="21" spans="1:10" x14ac:dyDescent="0.25">
      <c r="A21" s="181"/>
      <c r="B21" s="43" t="str">
        <f>A21&amp;"-"&amp;IF(DAY(Variables!$A$2)&lt;10,0,"")&amp;DAY(Variables!$A$2)</f>
        <v>-16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Runs'!$A$13:$A$99932,1,FALSE)</f>
        <v>#N/A</v>
      </c>
    </row>
    <row r="22" spans="1:10" x14ac:dyDescent="0.25">
      <c r="A22" s="181"/>
      <c r="B22" s="43" t="str">
        <f>A22&amp;"-"&amp;IF(DAY(Variables!$A$2)&lt;10,0,"")&amp;DAY(Variables!$A$2)</f>
        <v>-16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Runs'!$A$13:$A$99932,1,FALSE)</f>
        <v>#N/A</v>
      </c>
    </row>
    <row r="23" spans="1:10" x14ac:dyDescent="0.25">
      <c r="A23" s="181"/>
      <c r="B23" s="43" t="str">
        <f>A23&amp;"-"&amp;IF(DAY(Variables!$A$2)&lt;10,0,"")&amp;DAY(Variables!$A$2)</f>
        <v>-16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Runs'!$A$13:$A$99932,1,FALSE)</f>
        <v>#N/A</v>
      </c>
    </row>
    <row r="24" spans="1:10" x14ac:dyDescent="0.25">
      <c r="A24" s="181"/>
      <c r="B24" s="43" t="str">
        <f>A24&amp;"-"&amp;IF(DAY(Variables!$A$2)&lt;10,0,"")&amp;DAY(Variables!$A$2)</f>
        <v>-16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Runs'!$A$13:$A$99932,1,FALSE)</f>
        <v>#N/A</v>
      </c>
    </row>
    <row r="25" spans="1:10" x14ac:dyDescent="0.25">
      <c r="A25" s="181"/>
      <c r="B25" s="43" t="str">
        <f>A25&amp;"-"&amp;IF(DAY(Variables!$A$2)&lt;10,0,"")&amp;DAY(Variables!$A$2)</f>
        <v>-16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Runs'!$A$13:$A$99932,1,FALSE)</f>
        <v>#N/A</v>
      </c>
    </row>
    <row r="26" spans="1:10" x14ac:dyDescent="0.25">
      <c r="A26" s="181"/>
      <c r="B26" s="43" t="str">
        <f>A26&amp;"-"&amp;IF(DAY(Variables!$A$2)&lt;10,0,"")&amp;DAY(Variables!$A$2)</f>
        <v>-16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Runs'!$A$13:$A$99932,1,FALSE)</f>
        <v>#N/A</v>
      </c>
    </row>
    <row r="27" spans="1:10" x14ac:dyDescent="0.25">
      <c r="A27" s="181"/>
      <c r="B27" s="43" t="str">
        <f>A27&amp;"-"&amp;IF(DAY(Variables!$A$2)&lt;10,0,"")&amp;DAY(Variables!$A$2)</f>
        <v>-16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Runs'!$A$13:$A$99932,1,FALSE)</f>
        <v>#N/A</v>
      </c>
    </row>
    <row r="28" spans="1:10" x14ac:dyDescent="0.25">
      <c r="A28" s="181"/>
      <c r="B28" s="43" t="str">
        <f>A28&amp;"-"&amp;IF(DAY(Variables!$A$2)&lt;10,0,"")&amp;DAY(Variables!$A$2)</f>
        <v>-16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Runs'!$A$13:$A$99932,1,FALSE)</f>
        <v>#N/A</v>
      </c>
    </row>
    <row r="29" spans="1:10" x14ac:dyDescent="0.25">
      <c r="A29" s="181"/>
      <c r="B29" s="43" t="str">
        <f>A29&amp;"-"&amp;IF(DAY(Variables!$A$2)&lt;10,0,"")&amp;DAY(Variables!$A$2)</f>
        <v>-16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Runs'!$A$13:$A$99932,1,FALSE)</f>
        <v>#N/A</v>
      </c>
    </row>
    <row r="30" spans="1:10" x14ac:dyDescent="0.25">
      <c r="A30" s="181"/>
      <c r="B30" s="43" t="str">
        <f>A30&amp;"-"&amp;IF(DAY(Variables!$A$2)&lt;10,0,"")&amp;DAY(Variables!$A$2)</f>
        <v>-16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Runs'!$A$13:$A$99932,1,FALSE)</f>
        <v>#N/A</v>
      </c>
    </row>
    <row r="31" spans="1:10" x14ac:dyDescent="0.25">
      <c r="A31" s="181"/>
      <c r="B31" s="43" t="str">
        <f>A31&amp;"-"&amp;IF(DAY(Variables!$A$2)&lt;10,0,"")&amp;DAY(Variables!$A$2)</f>
        <v>-16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Runs'!$A$13:$A$99932,1,FALSE)</f>
        <v>#N/A</v>
      </c>
    </row>
    <row r="32" spans="1:10" x14ac:dyDescent="0.25">
      <c r="A32" s="181"/>
      <c r="B32" s="43" t="str">
        <f>A32&amp;"-"&amp;IF(DAY(Variables!$A$2)&lt;10,0,"")&amp;DAY(Variables!$A$2)</f>
        <v>-16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Runs'!$A$13:$A$99932,1,FALSE)</f>
        <v>#N/A</v>
      </c>
    </row>
    <row r="33" spans="1:10" x14ac:dyDescent="0.25">
      <c r="A33" s="181"/>
      <c r="B33" s="43" t="str">
        <f>A33&amp;"-"&amp;IF(DAY(Variables!$A$2)&lt;10,0,"")&amp;DAY(Variables!$A$2)</f>
        <v>-16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0" t="e">
        <f>VLOOKUP(B33,'Train Runs'!$A$13:$A$99932,1,FALSE)</f>
        <v>#N/A</v>
      </c>
    </row>
    <row r="34" spans="1:10" x14ac:dyDescent="0.25">
      <c r="A34" s="181"/>
      <c r="B34" s="43" t="str">
        <f>A34&amp;"-"&amp;IF(DAY(Variables!$A$2)&lt;10,0,"")&amp;DAY(Variables!$A$2)</f>
        <v>-16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0" t="e">
        <f>VLOOKUP(B34,'Train Runs'!$A$13:$A$99932,1,FALSE)</f>
        <v>#N/A</v>
      </c>
    </row>
    <row r="35" spans="1:10" x14ac:dyDescent="0.25">
      <c r="A35" s="181"/>
      <c r="B35" s="43" t="str">
        <f>A35&amp;"-"&amp;IF(DAY(Variables!$A$2)&lt;10,0,"")&amp;DAY(Variables!$A$2)</f>
        <v>-16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0" t="e">
        <f>VLOOKUP(B35,'Train Runs'!$A$13:$A$99932,1,FALSE)</f>
        <v>#N/A</v>
      </c>
    </row>
    <row r="36" spans="1:10" x14ac:dyDescent="0.25">
      <c r="A36" s="181"/>
      <c r="B36" s="43" t="str">
        <f>A36&amp;"-"&amp;IF(DAY(Variables!$A$2)&lt;10,0,"")&amp;DAY(Variables!$A$2)</f>
        <v>-16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0" t="e">
        <f>VLOOKUP(B36,'Train Runs'!$A$13:$A$99932,1,FALSE)</f>
        <v>#N/A</v>
      </c>
    </row>
    <row r="37" spans="1:10" x14ac:dyDescent="0.25">
      <c r="A37" s="181"/>
      <c r="B37" s="43" t="str">
        <f>A37&amp;"-"&amp;IF(DAY(Variables!$A$2)&lt;10,0,"")&amp;DAY(Variables!$A$2)</f>
        <v>-16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0" t="e">
        <f>VLOOKUP(B37,'Train Runs'!$A$13:$A$99932,1,FALSE)</f>
        <v>#N/A</v>
      </c>
    </row>
    <row r="38" spans="1:10" x14ac:dyDescent="0.25">
      <c r="A38" s="181"/>
      <c r="B38" s="43" t="str">
        <f>A38&amp;"-"&amp;IF(DAY(Variables!$A$2)&lt;10,0,"")&amp;DAY(Variables!$A$2)</f>
        <v>-16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0" t="e">
        <f>VLOOKUP(B38,'Train Runs'!$A$13:$A$99932,1,FALSE)</f>
        <v>#N/A</v>
      </c>
    </row>
    <row r="39" spans="1:10" x14ac:dyDescent="0.25">
      <c r="A39" s="181"/>
      <c r="B39" s="43" t="str">
        <f>A39&amp;"-"&amp;IF(DAY(Variables!$A$2)&lt;10,0,"")&amp;DAY(Variables!$A$2)</f>
        <v>-16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0" t="e">
        <f>VLOOKUP(B39,'Train Runs'!$A$13:$A$99932,1,FALSE)</f>
        <v>#N/A</v>
      </c>
    </row>
    <row r="40" spans="1:10" x14ac:dyDescent="0.25">
      <c r="A40" s="181"/>
      <c r="B40" s="43" t="str">
        <f>A40&amp;"-"&amp;IF(DAY(Variables!$A$2)&lt;10,0,"")&amp;DAY(Variables!$A$2)</f>
        <v>-16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0" t="e">
        <f>VLOOKUP(B40,'Train Runs'!$A$13:$A$99932,1,FALSE)</f>
        <v>#N/A</v>
      </c>
    </row>
    <row r="41" spans="1:10" x14ac:dyDescent="0.25">
      <c r="A41" s="181"/>
      <c r="B41" s="43" t="str">
        <f>A41&amp;"-"&amp;IF(DAY(Variables!$A$2)&lt;10,0,"")&amp;DAY(Variables!$A$2)</f>
        <v>-16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0" t="e">
        <f>VLOOKUP(B41,'Train Runs'!$A$13:$A$99932,1,FALSE)</f>
        <v>#N/A</v>
      </c>
    </row>
    <row r="42" spans="1:10" x14ac:dyDescent="0.25">
      <c r="A42" s="181"/>
      <c r="B42" s="43" t="str">
        <f>A42&amp;"-"&amp;IF(DAY(Variables!$A$2)&lt;10,0,"")&amp;DAY(Variables!$A$2)</f>
        <v>-16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0" t="e">
        <f>VLOOKUP(B42,'Train Runs'!$A$13:$A$99932,1,FALSE)</f>
        <v>#N/A</v>
      </c>
    </row>
    <row r="43" spans="1:10" x14ac:dyDescent="0.25">
      <c r="A43" s="181"/>
      <c r="B43" s="43" t="str">
        <f>A43&amp;"-"&amp;IF(DAY(Variables!$A$2)&lt;10,0,"")&amp;DAY(Variables!$A$2)</f>
        <v>-16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0" t="e">
        <f>VLOOKUP(B43,'Train Runs'!$A$13:$A$99932,1,FALSE)</f>
        <v>#N/A</v>
      </c>
    </row>
    <row r="44" spans="1:10" x14ac:dyDescent="0.25">
      <c r="A44" s="181"/>
      <c r="B44" s="43" t="str">
        <f>A44&amp;"-"&amp;IF(DAY(Variables!$A$2)&lt;10,0,"")&amp;DAY(Variables!$A$2)</f>
        <v>-16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0" t="e">
        <f>VLOOKUP(B44,'Train Runs'!$A$13:$A$99932,1,FALSE)</f>
        <v>#N/A</v>
      </c>
    </row>
    <row r="45" spans="1:10" x14ac:dyDescent="0.25">
      <c r="A45" s="181"/>
      <c r="B45" s="43" t="str">
        <f>A45&amp;"-"&amp;IF(DAY(Variables!$A$2)&lt;10,0,"")&amp;DAY(Variables!$A$2)</f>
        <v>-16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0" t="e">
        <f>VLOOKUP(B45,'Train Runs'!$A$13:$A$99932,1,FALSE)</f>
        <v>#N/A</v>
      </c>
    </row>
    <row r="46" spans="1:10" x14ac:dyDescent="0.25">
      <c r="A46" s="181"/>
      <c r="B46" s="43" t="str">
        <f>A46&amp;"-"&amp;IF(DAY(Variables!$A$2)&lt;10,0,"")&amp;DAY(Variables!$A$2)</f>
        <v>-16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0" t="e">
        <f>VLOOKUP(B46,'Train Runs'!$A$13:$A$99932,1,FALSE)</f>
        <v>#N/A</v>
      </c>
    </row>
    <row r="47" spans="1:10" x14ac:dyDescent="0.25">
      <c r="A47" s="181"/>
      <c r="B47" s="43" t="str">
        <f>A47&amp;"-"&amp;IF(DAY(Variables!$A$2)&lt;10,0,"")&amp;DAY(Variables!$A$2)</f>
        <v>-16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7" s="30" t="e">
        <f>VLOOKUP(B47,'Train Runs'!$A$13:$A$99932,1,FALSE)</f>
        <v>#N/A</v>
      </c>
    </row>
    <row r="48" spans="1:10" x14ac:dyDescent="0.25">
      <c r="A48" s="181"/>
      <c r="B48" s="43" t="str">
        <f>A48&amp;"-"&amp;IF(DAY(Variables!$A$2)&lt;10,0,"")&amp;DAY(Variables!$A$2)</f>
        <v>-16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8" s="30" t="e">
        <f>VLOOKUP(B48,'Train Runs'!$A$13:$A$99932,1,FALSE)</f>
        <v>#N/A</v>
      </c>
    </row>
    <row r="49" spans="1:10" x14ac:dyDescent="0.25">
      <c r="A49" s="181"/>
      <c r="B49" s="43" t="str">
        <f>A49&amp;"-"&amp;IF(DAY(Variables!$A$2)&lt;10,0,"")&amp;DAY(Variables!$A$2)</f>
        <v>-16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9" s="30" t="e">
        <f>VLOOKUP(B49,'Train Runs'!$A$13:$A$99932,1,FALSE)</f>
        <v>#N/A</v>
      </c>
    </row>
    <row r="50" spans="1:10" x14ac:dyDescent="0.25">
      <c r="A50" s="181"/>
      <c r="B50" s="43" t="str">
        <f>A50&amp;"-"&amp;IF(DAY(Variables!$A$2)&lt;10,0,"")&amp;DAY(Variables!$A$2)</f>
        <v>-16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0" s="30" t="e">
        <f>VLOOKUP(B50,'Train Runs'!$A$13:$A$99932,1,FALSE)</f>
        <v>#N/A</v>
      </c>
    </row>
    <row r="51" spans="1:10" x14ac:dyDescent="0.25">
      <c r="A51" s="181"/>
      <c r="B51" s="43" t="str">
        <f>A51&amp;"-"&amp;IF(DAY(Variables!$A$2)&lt;10,0,"")&amp;DAY(Variables!$A$2)</f>
        <v>-16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1" s="30" t="e">
        <f>VLOOKUP(B51,'Train Runs'!$A$13:$A$99932,1,FALSE)</f>
        <v>#N/A</v>
      </c>
    </row>
    <row r="52" spans="1:10" x14ac:dyDescent="0.25">
      <c r="A52" s="181"/>
      <c r="B52" s="43" t="str">
        <f>A52&amp;"-"&amp;IF(DAY(Variables!$A$2)&lt;10,0,"")&amp;DAY(Variables!$A$2)</f>
        <v>-16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2" s="30" t="e">
        <f>VLOOKUP(B52,'Train Runs'!$A$13:$A$99932,1,FALSE)</f>
        <v>#N/A</v>
      </c>
    </row>
    <row r="53" spans="1:10" x14ac:dyDescent="0.25">
      <c r="A53" s="181"/>
      <c r="B53" s="43" t="str">
        <f>A53&amp;"-"&amp;IF(DAY(Variables!$A$2)&lt;10,0,"")&amp;DAY(Variables!$A$2)</f>
        <v>-16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3" s="30" t="e">
        <f>VLOOKUP(B53,'Train Runs'!$A$13:$A$99932,1,FALSE)</f>
        <v>#N/A</v>
      </c>
    </row>
    <row r="54" spans="1:10" x14ac:dyDescent="0.25">
      <c r="A54" s="181"/>
      <c r="B54" s="43" t="str">
        <f>A54&amp;"-"&amp;IF(DAY(Variables!$A$2)&lt;10,0,"")&amp;DAY(Variables!$A$2)</f>
        <v>-16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4" s="30" t="e">
        <f>VLOOKUP(B54,'Train Runs'!$A$13:$A$99932,1,FALSE)</f>
        <v>#N/A</v>
      </c>
    </row>
    <row r="55" spans="1:10" x14ac:dyDescent="0.25">
      <c r="A55" s="181"/>
      <c r="B55" s="43" t="str">
        <f>A55&amp;"-"&amp;IF(DAY(Variables!$A$2)&lt;10,0,"")&amp;DAY(Variables!$A$2)</f>
        <v>-16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5" s="30" t="e">
        <f>VLOOKUP(B55,'Train Runs'!$A$13:$A$99932,1,FALSE)</f>
        <v>#N/A</v>
      </c>
    </row>
    <row r="56" spans="1:10" x14ac:dyDescent="0.25">
      <c r="A56" s="181"/>
      <c r="B56" s="43" t="str">
        <f>A56&amp;"-"&amp;IF(DAY(Variables!$A$2)&lt;10,0,"")&amp;DAY(Variables!$A$2)</f>
        <v>-16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6" s="30" t="e">
        <f>VLOOKUP(B56,'Train Runs'!$A$13:$A$99932,1,FALSE)</f>
        <v>#N/A</v>
      </c>
    </row>
    <row r="57" spans="1:10" x14ac:dyDescent="0.25">
      <c r="A57" s="181"/>
      <c r="B57" s="43" t="str">
        <f>A57&amp;"-"&amp;IF(DAY(Variables!$A$2)&lt;10,0,"")&amp;DAY(Variables!$A$2)</f>
        <v>-16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7" s="30" t="e">
        <f>VLOOKUP(B57,'Train Runs'!$A$13:$A$99932,1,FALSE)</f>
        <v>#N/A</v>
      </c>
    </row>
    <row r="58" spans="1:10" x14ac:dyDescent="0.25">
      <c r="A58" s="181"/>
      <c r="B58" s="43" t="str">
        <f>A58&amp;"-"&amp;IF(DAY(Variables!$A$2)&lt;10,0,"")&amp;DAY(Variables!$A$2)</f>
        <v>-16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8" s="30" t="e">
        <f>VLOOKUP(B58,'Train Runs'!$A$13:$A$99932,1,FALSE)</f>
        <v>#N/A</v>
      </c>
    </row>
    <row r="59" spans="1:10" x14ac:dyDescent="0.25">
      <c r="A59" s="181"/>
      <c r="B59" s="43" t="str">
        <f>A59&amp;"-"&amp;IF(DAY(Variables!$A$2)&lt;10,0,"")&amp;DAY(Variables!$A$2)</f>
        <v>-16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9" s="30" t="e">
        <f>VLOOKUP(B59,'Train Runs'!$A$13:$A$99932,1,FALSE)</f>
        <v>#N/A</v>
      </c>
    </row>
    <row r="60" spans="1:10" x14ac:dyDescent="0.25">
      <c r="A60" s="181"/>
      <c r="B60" s="43" t="str">
        <f>A60&amp;"-"&amp;IF(DAY(Variables!$A$2)&lt;10,0,"")&amp;DAY(Variables!$A$2)</f>
        <v>-16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0" s="30" t="e">
        <f>VLOOKUP(B60,'Train Runs'!$A$13:$A$99932,1,FALSE)</f>
        <v>#N/A</v>
      </c>
    </row>
    <row r="61" spans="1:10" x14ac:dyDescent="0.25">
      <c r="A61" s="181"/>
      <c r="B61" s="43" t="str">
        <f>A61&amp;"-"&amp;IF(DAY(Variables!$A$2)&lt;10,0,"")&amp;DAY(Variables!$A$2)</f>
        <v>-16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1" s="30" t="e">
        <f>VLOOKUP(B61,'Train Runs'!$A$13:$A$99932,1,FALSE)</f>
        <v>#N/A</v>
      </c>
    </row>
    <row r="62" spans="1:10" x14ac:dyDescent="0.25">
      <c r="A62" s="181"/>
      <c r="B62" s="43" t="str">
        <f>A62&amp;"-"&amp;IF(DAY(Variables!$A$2)&lt;10,0,"")&amp;DAY(Variables!$A$2)</f>
        <v>-16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2" s="30" t="e">
        <f>VLOOKUP(B62,'Train Runs'!$A$13:$A$99932,1,FALSE)</f>
        <v>#N/A</v>
      </c>
    </row>
    <row r="63" spans="1:10" x14ac:dyDescent="0.25">
      <c r="A63" s="181"/>
      <c r="B63" s="43" t="str">
        <f>A63&amp;"-"&amp;IF(DAY(Variables!$A$2)&lt;10,0,"")&amp;DAY(Variables!$A$2)</f>
        <v>-16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3" s="30" t="e">
        <f>VLOOKUP(B63,'Train Runs'!$A$13:$A$99932,1,FALSE)</f>
        <v>#N/A</v>
      </c>
    </row>
    <row r="64" spans="1:10" x14ac:dyDescent="0.25">
      <c r="A64" s="181"/>
      <c r="B64" s="43" t="str">
        <f>A64&amp;"-"&amp;IF(DAY(Variables!$A$2)&lt;10,0,"")&amp;DAY(Variables!$A$2)</f>
        <v>-16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4" s="30" t="e">
        <f>VLOOKUP(B64,'Train Runs'!$A$13:$A$99932,1,FALSE)</f>
        <v>#N/A</v>
      </c>
    </row>
    <row r="65" spans="1:10" x14ac:dyDescent="0.25">
      <c r="A65" s="181"/>
      <c r="B65" s="43" t="str">
        <f>A65&amp;"-"&amp;IF(DAY(Variables!$A$2)&lt;10,0,"")&amp;DAY(Variables!$A$2)</f>
        <v>-16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5" s="30" t="e">
        <f>VLOOKUP(B65,'Train Runs'!$A$13:$A$99932,1,FALSE)</f>
        <v>#N/A</v>
      </c>
    </row>
    <row r="66" spans="1:10" x14ac:dyDescent="0.25">
      <c r="A66" s="181"/>
      <c r="B66" s="43" t="str">
        <f>A66&amp;"-"&amp;IF(DAY(Variables!$A$2)&lt;10,0,"")&amp;DAY(Variables!$A$2)</f>
        <v>-16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6" s="30" t="e">
        <f>VLOOKUP(B66,'Train Runs'!$A$13:$A$99932,1,FALSE)</f>
        <v>#N/A</v>
      </c>
    </row>
    <row r="67" spans="1:10" x14ac:dyDescent="0.25">
      <c r="A67" s="181"/>
      <c r="B67" s="43" t="str">
        <f>A67&amp;"-"&amp;IF(DAY(Variables!$A$2)&lt;10,0,"")&amp;DAY(Variables!$A$2)</f>
        <v>-16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7" s="30" t="e">
        <f>VLOOKUP(B67,'Train Runs'!$A$13:$A$99932,1,FALSE)</f>
        <v>#N/A</v>
      </c>
    </row>
    <row r="68" spans="1:10" x14ac:dyDescent="0.25">
      <c r="A68" s="181"/>
      <c r="B68" s="43" t="str">
        <f>A68&amp;"-"&amp;IF(DAY(Variables!$A$2)&lt;10,0,"")&amp;DAY(Variables!$A$2)</f>
        <v>-16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8" s="30" t="e">
        <f>VLOOKUP(B68,'Train Runs'!$A$13:$A$99932,1,FALSE)</f>
        <v>#N/A</v>
      </c>
    </row>
    <row r="69" spans="1:10" x14ac:dyDescent="0.25">
      <c r="A69" s="181"/>
      <c r="B69" s="43" t="str">
        <f>A69&amp;"-"&amp;IF(DAY(Variables!$A$2)&lt;10,0,"")&amp;DAY(Variables!$A$2)</f>
        <v>-16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9" s="30" t="e">
        <f>VLOOKUP(B69,'Train Runs'!$A$13:$A$99932,1,FALSE)</f>
        <v>#N/A</v>
      </c>
    </row>
    <row r="70" spans="1:10" x14ac:dyDescent="0.25">
      <c r="A70" s="181"/>
      <c r="B70" s="43" t="str">
        <f>A70&amp;"-"&amp;IF(DAY(Variables!$A$2)&lt;10,0,"")&amp;DAY(Variables!$A$2)</f>
        <v>-16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0" s="30" t="e">
        <f>VLOOKUP(B70,'Train Runs'!$A$13:$A$99932,1,FALSE)</f>
        <v>#N/A</v>
      </c>
    </row>
    <row r="71" spans="1:10" x14ac:dyDescent="0.25">
      <c r="A71" s="181"/>
      <c r="B71" s="43" t="str">
        <f>A71&amp;"-"&amp;IF(DAY(Variables!$A$2)&lt;10,0,"")&amp;DAY(Variables!$A$2)</f>
        <v>-16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1" s="30" t="e">
        <f>VLOOKUP(B71,'Train Runs'!$A$13:$A$99932,1,FALSE)</f>
        <v>#N/A</v>
      </c>
    </row>
    <row r="72" spans="1:10" x14ac:dyDescent="0.25">
      <c r="A72" s="181"/>
      <c r="B72" s="43" t="str">
        <f>A72&amp;"-"&amp;IF(DAY(Variables!$A$2)&lt;10,0,"")&amp;DAY(Variables!$A$2)</f>
        <v>-16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2" s="30" t="e">
        <f>VLOOKUP(B72,'Train Runs'!$A$13:$A$99932,1,FALSE)</f>
        <v>#N/A</v>
      </c>
    </row>
    <row r="73" spans="1:10" x14ac:dyDescent="0.25">
      <c r="A73" s="181"/>
      <c r="B73" s="43" t="str">
        <f>A73&amp;"-"&amp;IF(DAY(Variables!$A$2)&lt;10,0,"")&amp;DAY(Variables!$A$2)</f>
        <v>-16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3" s="30" t="e">
        <f>VLOOKUP(B73,'Train Runs'!$A$13:$A$99932,1,FALSE)</f>
        <v>#N/A</v>
      </c>
    </row>
    <row r="74" spans="1:10" x14ac:dyDescent="0.25">
      <c r="A74" s="181"/>
      <c r="B74" s="43" t="str">
        <f>A74&amp;"-"&amp;IF(DAY(Variables!$A$2)&lt;10,0,"")&amp;DAY(Variables!$A$2)</f>
        <v>-16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4" s="30" t="e">
        <f>VLOOKUP(B74,'Train Runs'!$A$13:$A$99932,1,FALSE)</f>
        <v>#N/A</v>
      </c>
    </row>
    <row r="75" spans="1:10" x14ac:dyDescent="0.25">
      <c r="A75" s="181"/>
      <c r="B75" s="43" t="str">
        <f>A75&amp;"-"&amp;IF(DAY(Variables!$A$2)&lt;10,0,"")&amp;DAY(Variables!$A$2)</f>
        <v>-16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5" s="30" t="e">
        <f>VLOOKUP(B75,'Train Runs'!$A$13:$A$99932,1,FALSE)</f>
        <v>#N/A</v>
      </c>
    </row>
    <row r="76" spans="1:10" x14ac:dyDescent="0.25">
      <c r="A76" s="181"/>
      <c r="B76" s="43" t="str">
        <f>A76&amp;"-"&amp;IF(DAY(Variables!$A$2)&lt;10,0,"")&amp;DAY(Variables!$A$2)</f>
        <v>-16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6" s="30" t="e">
        <f>VLOOKUP(B76,'Train Runs'!$A$13:$A$99932,1,FALSE)</f>
        <v>#N/A</v>
      </c>
    </row>
    <row r="77" spans="1:10" x14ac:dyDescent="0.25">
      <c r="A77" s="181"/>
      <c r="B77" s="43" t="str">
        <f>A77&amp;"-"&amp;IF(DAY(Variables!$A$2)&lt;10,0,"")&amp;DAY(Variables!$A$2)</f>
        <v>-16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7" s="30" t="e">
        <f>VLOOKUP(B77,'Train Runs'!$A$13:$A$99932,1,FALSE)</f>
        <v>#N/A</v>
      </c>
    </row>
    <row r="78" spans="1:10" x14ac:dyDescent="0.25">
      <c r="A78" s="181"/>
      <c r="B78" s="43" t="str">
        <f>A78&amp;"-"&amp;IF(DAY(Variables!$A$2)&lt;10,0,"")&amp;DAY(Variables!$A$2)</f>
        <v>-16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8" s="30" t="e">
        <f>VLOOKUP(B78,'Train Runs'!$A$13:$A$99932,1,FALSE)</f>
        <v>#N/A</v>
      </c>
    </row>
    <row r="79" spans="1:10" x14ac:dyDescent="0.25">
      <c r="A79" s="181"/>
      <c r="B79" s="43" t="str">
        <f>A79&amp;"-"&amp;IF(DAY(Variables!$A$2)&lt;10,0,"")&amp;DAY(Variables!$A$2)</f>
        <v>-16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9" s="30" t="e">
        <f>VLOOKUP(B79,'Train Runs'!$A$13:$A$99932,1,FALSE)</f>
        <v>#N/A</v>
      </c>
    </row>
    <row r="80" spans="1:10" x14ac:dyDescent="0.25">
      <c r="A80" s="181"/>
      <c r="B80" s="43" t="str">
        <f>A80&amp;"-"&amp;IF(DAY(Variables!$A$2)&lt;10,0,"")&amp;DAY(Variables!$A$2)</f>
        <v>-16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0" s="30" t="e">
        <f>VLOOKUP(B80,'Train Runs'!$A$13:$A$99932,1,FALSE)</f>
        <v>#N/A</v>
      </c>
    </row>
    <row r="81" spans="1:10" x14ac:dyDescent="0.25">
      <c r="A81" s="181"/>
      <c r="B81" s="43" t="str">
        <f>A81&amp;"-"&amp;IF(DAY(Variables!$A$2)&lt;10,0,"")&amp;DAY(Variables!$A$2)</f>
        <v>-16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1" s="30" t="e">
        <f>VLOOKUP(B81,'Train Runs'!$A$13:$A$99932,1,FALSE)</f>
        <v>#N/A</v>
      </c>
    </row>
    <row r="82" spans="1:10" x14ac:dyDescent="0.25">
      <c r="A82" s="181"/>
      <c r="B82" s="43" t="str">
        <f>A82&amp;"-"&amp;IF(DAY(Variables!$A$2)&lt;10,0,"")&amp;DAY(Variables!$A$2)</f>
        <v>-16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2" s="30" t="e">
        <f>VLOOKUP(B82,'Train Runs'!$A$13:$A$99932,1,FALSE)</f>
        <v>#N/A</v>
      </c>
    </row>
    <row r="83" spans="1:10" x14ac:dyDescent="0.25">
      <c r="A83" s="181"/>
      <c r="B83" s="43" t="str">
        <f>A83&amp;"-"&amp;IF(DAY(Variables!$A$2)&lt;10,0,"")&amp;DAY(Variables!$A$2)</f>
        <v>-16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3" s="30" t="e">
        <f>VLOOKUP(B83,'Train Runs'!$A$13:$A$99932,1,FALSE)</f>
        <v>#N/A</v>
      </c>
    </row>
    <row r="84" spans="1:10" x14ac:dyDescent="0.25">
      <c r="A84" s="181"/>
      <c r="B84" s="43" t="str">
        <f>A84&amp;"-"&amp;IF(DAY(Variables!$A$2)&lt;10,0,"")&amp;DAY(Variables!$A$2)</f>
        <v>-16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4" s="30" t="e">
        <f>VLOOKUP(B84,'Train Runs'!$A$13:$A$99932,1,FALSE)</f>
        <v>#N/A</v>
      </c>
    </row>
    <row r="85" spans="1:10" x14ac:dyDescent="0.25">
      <c r="A85" s="181"/>
      <c r="B85" s="43" t="str">
        <f>A85&amp;"-"&amp;IF(DAY(Variables!$A$2)&lt;10,0,"")&amp;DAY(Variables!$A$2)</f>
        <v>-16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5" s="30" t="e">
        <f>VLOOKUP(B85,'Train Runs'!$A$13:$A$99932,1,FALSE)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"%USERPROFILE%\AppData\Local\Temp\OnboardLogs"\RTDC4043\*4043*201703061*</v>
      </c>
      <c r="I2" s="210" t="str">
        <f>IF(VLOOKUP(K2,'Train Runs'!$A$13:$V$988,1,TRUE)=K2,VLOOKUP(K2,'Train Runs'!$A$13:$V$988,22,TRUE),NA())</f>
        <v>https://d0f6bd738d7f1b3e5a7ca70fe4ff75f0.us-east-1.aws.found.io/app/kibana#/discover/Steve-Slow-Train-Analysis-(2080s-and-2083s)?_g=(refreshInterval:(display:Off,pause:!f,section:0,value:0),time:(from:'2017-04-16T03:34:29-0600',mode:absolute,to:'2017-04-16T06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104-16</v>
      </c>
      <c r="L2" s="202">
        <f>IF(VLOOKUP(K2,'Train Runs'!$A$12:$B$988,1,TRUE)=K2,VLOOKUP(K2,'Train Runs'!$A$12:$B$988,2,TRUE),NA())</f>
        <v>4043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"%USERPROFILE%\AppData\Local\Temp\OnboardLogs"\RTDC4039\*4039*201703061*</v>
      </c>
      <c r="I3" s="210" t="str">
        <f>IF(VLOOKUP(K3,'Train Runs'!$A$13:$V$988,1,TRUE)=K3,VLOOKUP(K3,'Train Runs'!$A$13:$V$988,22,TRUE),NA())</f>
        <v>https://d0f6bd738d7f1b3e5a7ca70fe4ff75f0.us-east-1.aws.found.io/app/kibana#/discover/Steve-Slow-Train-Analysis-(2080s-and-2083s)?_g=(refreshInterval:(display:Off,pause:!f,section:0,value:0),time:(from:'2017-04-16T06:34:37-0600',mode:absolute,to:'2017-04-16T09:18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126-16</v>
      </c>
      <c r="L3" s="202">
        <f>IF(VLOOKUP(K3,'Train Runs'!$A$12:$B$988,1,TRUE)=K3,VLOOKUP(K3,'Train Runs'!$A$12:$B$988,2,TRUE),NA())</f>
        <v>4039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"%USERPROFILE%\AppData\Local\Temp\OnboardLogs"\RTDC4015\*4015*201703061*</v>
      </c>
      <c r="I4" s="210" t="str">
        <f>IF(VLOOKUP(K4,'Train Runs'!$A$13:$V$988,1,TRUE)=K4,VLOOKUP(K4,'Train Runs'!$A$13:$V$988,22,TRUE),NA())</f>
        <v>https://d0f6bd738d7f1b3e5a7ca70fe4ff75f0.us-east-1.aws.found.io/app/kibana#/discover/Steve-Slow-Train-Analysis-(2080s-and-2083s)?_g=(refreshInterval:(display:Off,pause:!f,section:0,value:0),time:(from:'2017-04-16T06:40:37-0600',mode:absolute,to:'2017-04-16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128-16</v>
      </c>
      <c r="L4" s="202">
        <f>IF(VLOOKUP(K4,'Train Runs'!$A$12:$B$988,1,TRUE)=K4,VLOOKUP(K4,'Train Runs'!$A$12:$B$988,2,TRUE),NA())</f>
        <v>4015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/stypes="*4027*201703061*"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"%USERPROFILE%\AppData\Local\Temp\OnboardLogs"\RTDC4027\*4027*201703061*</v>
      </c>
      <c r="I5" s="210" t="str">
        <f>IF(VLOOKUP(K5,'Train Runs'!$A$13:$V$988,1,TRUE)=K5,VLOOKUP(K5,'Train Runs'!$A$13:$V$988,22,TRUE),NA())</f>
        <v>https://d0f6bd738d7f1b3e5a7ca70fe4ff75f0.us-east-1.aws.found.io/app/kibana#/discover/Steve-Slow-Train-Analysis-(2080s-and-2083s)?_g=(refreshInterval:(display:Off,pause:!f,section:0,value:0),time:(from:'2017-04-16T06:54:43-0600',mode:absolute,to:'2017-04-16T09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130-16</v>
      </c>
      <c r="L5" s="202">
        <f>IF(VLOOKUP(K5,'Train Runs'!$A$12:$B$988,1,TRUE)=K5,VLOOKUP(K5,'Train Runs'!$A$12:$B$988,2,TRUE),NA())</f>
        <v>4027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"%USERPROFILE%\AppData\Local\Temp\OnboardLogs"\RTDC4043\*4043*201703061*</v>
      </c>
      <c r="I6" s="210" t="str">
        <f>IF(VLOOKUP(K6,'Train Runs'!$A$13:$V$988,1,TRUE)=K6,VLOOKUP(K6,'Train Runs'!$A$13:$V$988,22,TRUE),NA())</f>
        <v>https://d0f6bd738d7f1b3e5a7ca70fe4ff75f0.us-east-1.aws.found.io/app/kibana#/discover/Steve-Slow-Train-Analysis-(2080s-and-2083s)?_g=(refreshInterval:(display:Off,pause:!f,section:0,value:0),time:(from:'2017-04-16T07:20:48-0600',mode:absolute,to:'2017-04-16T10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6" s="206">
        <f t="shared" si="2"/>
        <v>42800.625</v>
      </c>
      <c r="K6" s="206" t="str">
        <f>D6&amp;"-"&amp;IF(DAY(Variables!$A$2)&lt;10,0,"")&amp;DAY(Variables!$A$2)</f>
        <v>132-16</v>
      </c>
      <c r="L6" s="202">
        <f>IF(VLOOKUP(K6,'Train Runs'!$A$12:$B$988,1,TRUE)=K6,VLOOKUP(K6,'Train Runs'!$A$12:$B$988,2,TRUE),NA())</f>
        <v>4043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"%USERPROFILE%\AppData\Local\Temp\OnboardLogs"\RTDC4041\*4041*201703061*</v>
      </c>
      <c r="I7" s="210" t="str">
        <f>IF(VLOOKUP(K7,'Train Runs'!$A$13:$V$988,1,TRUE)=K7,VLOOKUP(K7,'Train Runs'!$A$13:$V$988,22,TRUE),NA())</f>
        <v>https://d0f6bd738d7f1b3e5a7ca70fe4ff75f0.us-east-1.aws.found.io/app/kibana#/discover/Steve-Slow-Train-Analysis-(2080s-and-2083s)?_g=(refreshInterval:(display:Off,pause:!f,section:0,value:0),time:(from:'2017-04-16T07:37:19-0600',mode:absolute,to:'2017-04-16T10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134-16</v>
      </c>
      <c r="L7" s="202">
        <f>IF(VLOOKUP(K7,'Train Runs'!$A$12:$B$988,1,TRUE)=K7,VLOOKUP(K7,'Train Runs'!$A$12:$B$988,2,TRUE),NA())</f>
        <v>4041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"%USERPROFILE%\AppData\Local\Temp\OnboardLogs"\RTDC4005\*4005*201703061*</v>
      </c>
      <c r="I8" s="210" t="str">
        <f>IF(VLOOKUP(K8,'Train Runs'!$A$13:$V$988,1,TRUE)=K8,VLOOKUP(K8,'Train Runs'!$A$13:$V$988,22,TRUE),NA())</f>
        <v>https://d0f6bd738d7f1b3e5a7ca70fe4ff75f0.us-east-1.aws.found.io/app/kibana#/discover/Steve-Slow-Train-Analysis-(2080s-and-2083s)?_g=(refreshInterval:(display:Off,pause:!f,section:0,value:0),time:(from:'2017-04-16T07:52:18-0600',mode:absolute,to:'2017-04-16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136-16</v>
      </c>
      <c r="L8" s="202">
        <f>IF(VLOOKUP(K8,'Train Runs'!$A$12:$B$988,1,TRUE)=K8,VLOOKUP(K8,'Train Runs'!$A$12:$B$988,2,TRUE),NA())</f>
        <v>4005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/stypes="*4025*201703061*"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"%USERPROFILE%\AppData\Local\Temp\OnboardLogs"\RTDC4025\*4025*201703061*</v>
      </c>
      <c r="I9" s="210" t="str">
        <f>IF(VLOOKUP(K9,'Train Runs'!$A$13:$V$988,1,TRUE)=K9,VLOOKUP(K9,'Train Runs'!$A$13:$V$988,22,TRUE),NA())</f>
        <v>https://d0f6bd738d7f1b3e5a7ca70fe4ff75f0.us-east-1.aws.found.io/app/kibana#/discover/Steve-Slow-Train-Analysis-(2080s-and-2083s)?_g=(refreshInterval:(display:Off,pause:!f,section:0,value:0),time:(from:'2017-04-16T08:07:00-0600',mode:absolute,to:'2017-04-16T10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138-16</v>
      </c>
      <c r="L9" s="202">
        <f>IF(VLOOKUP(K9,'Train Runs'!$A$12:$B$988,1,TRUE)=K9,VLOOKUP(K9,'Train Runs'!$A$12:$B$988,2,TRUE),NA())</f>
        <v>4025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"%USERPROFILE%\AppData\Local\Temp\OnboardLogs"\RTDC4039\*4039*201703061*</v>
      </c>
      <c r="I10" s="210" t="str">
        <f>IF(VLOOKUP(K10,'Train Runs'!$A$13:$V$988,1,TRUE)=K10,VLOOKUP(K10,'Train Runs'!$A$13:$V$988,22,TRUE),NA())</f>
        <v>https://d0f6bd738d7f1b3e5a7ca70fe4ff75f0.us-east-1.aws.found.io/app/kibana#/discover/Steve-Slow-Train-Analysis-(2080s-and-2083s)?_g=(refreshInterval:(display:Off,pause:!f,section:0,value:0),time:(from:'2017-04-16T08:17:37-0600',mode:absolute,to:'2017-04-16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140-16</v>
      </c>
      <c r="L10" s="202">
        <f>IF(VLOOKUP(K10,'Train Runs'!$A$12:$B$988,1,TRUE)=K10,VLOOKUP(K10,'Train Runs'!$A$12:$B$988,2,TRUE),NA())</f>
        <v>4039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"%USERPROFILE%\AppData\Local\Temp\OnboardLogs"\RTDC4015\*4015*201703061*</v>
      </c>
      <c r="I11" s="210" t="str">
        <f>IF(VLOOKUP(K11,'Train Runs'!$A$13:$V$988,1,TRUE)=K11,VLOOKUP(K11,'Train Runs'!$A$13:$V$988,22,TRUE),NA())</f>
        <v>https://d0f6bd738d7f1b3e5a7ca70fe4ff75f0.us-east-1.aws.found.io/app/kibana#/discover/Steve-Slow-Train-Analysis-(2080s-and-2083s)?_g=(refreshInterval:(display:Off,pause:!f,section:0,value:0),time:(from:'2017-04-16T08:22:50-0600',mode:absolute,to:'2017-04-16T11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142-16</v>
      </c>
      <c r="L11" s="202">
        <f>IF(VLOOKUP(K11,'Train Runs'!$A$12:$B$988,1,TRUE)=K11,VLOOKUP(K11,'Train Runs'!$A$12:$B$988,2,TRUE),NA())</f>
        <v>4015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/stypes="*4027*201703061*"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"%USERPROFILE%\AppData\Local\Temp\OnboardLogs"\RTDC4027\*4027*201703061*</v>
      </c>
      <c r="I12" s="210" t="str">
        <f>IF(VLOOKUP(K12,'Train Runs'!$A$13:$V$988,1,TRUE)=K12,VLOOKUP(K12,'Train Runs'!$A$13:$V$988,22,TRUE),NA())</f>
        <v>https://d0f6bd738d7f1b3e5a7ca70fe4ff75f0.us-east-1.aws.found.io/app/kibana#/discover/Steve-Slow-Train-Analysis-(2080s-and-2083s)?_g=(refreshInterval:(display:Off,pause:!f,section:0,value:0),time:(from:'2017-04-16T08:39:42-0600',mode:absolute,to:'2017-04-16T11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144-16</v>
      </c>
      <c r="L12" s="202">
        <f>IF(VLOOKUP(K12,'Train Runs'!$A$12:$B$988,1,TRUE)=K12,VLOOKUP(K12,'Train Runs'!$A$12:$B$988,2,TRUE),NA())</f>
        <v>4027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"%USERPROFILE%\AppData\Local\Temp\OnboardLogs"\RTDC4043\*4043*201703061*</v>
      </c>
      <c r="I13" s="210" t="str">
        <f>IF(VLOOKUP(K13,'Train Runs'!$A$13:$V$988,1,TRUE)=K13,VLOOKUP(K13,'Train Runs'!$A$13:$V$988,22,TRUE),NA())</f>
        <v>https://d0f6bd738d7f1b3e5a7ca70fe4ff75f0.us-east-1.aws.found.io/app/kibana#/discover/Steve-Slow-Train-Analysis-(2080s-and-2083s)?_g=(refreshInterval:(display:Off,pause:!f,section:0,value:0),time:(from:'2017-04-16T09:06:18-0600',mode:absolute,to:'2017-04-16T11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146-16</v>
      </c>
      <c r="L13" s="202">
        <f>IF(VLOOKUP(K13,'Train Runs'!$A$12:$B$988,1,TRUE)=K13,VLOOKUP(K13,'Train Runs'!$A$12:$B$988,2,TRUE),NA())</f>
        <v>4043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"%USERPROFILE%\AppData\Local\Temp\OnboardLogs"\RTDC4041\*4041*201703061*</v>
      </c>
      <c r="I14" s="210" t="str">
        <f>IF(VLOOKUP(K14,'Train Runs'!$A$13:$V$988,1,TRUE)=K14,VLOOKUP(K14,'Train Runs'!$A$13:$V$988,22,TRUE),NA())</f>
        <v>https://d0f6bd738d7f1b3e5a7ca70fe4ff75f0.us-east-1.aws.found.io/app/kibana#/discover/Steve-Slow-Train-Analysis-(2080s-and-2083s)?_g=(refreshInterval:(display:Off,pause:!f,section:0,value:0),time:(from:'2017-04-16T09:19:25-0600',mode:absolute,to:'2017-04-16T12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148-16</v>
      </c>
      <c r="L14" s="202">
        <f>IF(VLOOKUP(K14,'Train Runs'!$A$12:$B$988,1,TRUE)=K14,VLOOKUP(K14,'Train Runs'!$A$12:$B$988,2,TRUE),NA())</f>
        <v>4041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/stypes="*4005*201703062*"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"%USERPROFILE%\AppData\Local\Temp\OnboardLogs"\RTDC4005\*4005*201703062*</v>
      </c>
      <c r="I15" s="210" t="str">
        <f>IF(VLOOKUP(K15,'Train Runs'!$A$13:$V$988,1,TRUE)=K15,VLOOKUP(K15,'Train Runs'!$A$13:$V$988,22,TRUE),NA())</f>
        <v>https://d0f6bd738d7f1b3e5a7ca70fe4ff75f0.us-east-1.aws.found.io/app/kibana#/discover/Steve-Slow-Train-Analysis-(2080s-and-2083s)?_g=(refreshInterval:(display:Off,pause:!f,section:0,value:0),time:(from:'2017-04-16T13:06:07-0600',mode:absolute,to:'2017-04-16T15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178-16</v>
      </c>
      <c r="L15" s="202">
        <f>IF(VLOOKUP(K15,'Train Runs'!$A$12:$B$988,1,TRUE)=K15,VLOOKUP(K15,'Train Runs'!$A$12:$B$988,2,TRUE),NA())</f>
        <v>4005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/stypes="*4025*201703062*"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"%USERPROFILE%\AppData\Local\Temp\OnboardLogs"\RTDC4025\*4025*201703062*</v>
      </c>
      <c r="I16" s="210" t="str">
        <f>IF(VLOOKUP(K16,'Train Runs'!$A$13:$V$988,1,TRUE)=K16,VLOOKUP(K16,'Train Runs'!$A$13:$V$988,22,TRUE),NA())</f>
        <v>https://d0f6bd738d7f1b3e5a7ca70fe4ff75f0.us-east-1.aws.found.io/app/kibana#/discover/Steve-Slow-Train-Analysis-(2080s-and-2083s)?_g=(refreshInterval:(display:Off,pause:!f,section:0,value:0),time:(from:'2017-04-16T15:01:04-0600',mode:absolute,to:'2017-04-16T17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194-16</v>
      </c>
      <c r="L16" s="202">
        <f>IF(VLOOKUP(K16,'Train Runs'!$A$12:$B$988,1,TRUE)=K16,VLOOKUP(K16,'Train Runs'!$A$12:$B$988,2,TRUE),NA())</f>
        <v>4025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/stypes="*4005*201703070*"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"%USERPROFILE%\AppData\Local\Temp\OnboardLogs"\RTDC4005\*4005*201703070*</v>
      </c>
      <c r="I17" s="210" t="str">
        <f>IF(VLOOKUP(K17,'Train Runs'!$A$13:$V$988,1,TRUE)=K17,VLOOKUP(K17,'Train Runs'!$A$13:$V$988,22,TRUE),NA())</f>
        <v>https://d0f6bd738d7f1b3e5a7ca70fe4ff75f0.us-east-1.aws.found.io/app/kibana#/discover/Steve-Slow-Train-Analysis-(2080s-and-2083s)?_g=(refreshInterval:(display:Off,pause:!f,section:0,value:0),time:(from:'2017-04-16T16:35:55-0600',mode:absolute,to:'2017-04-16T19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206-16</v>
      </c>
      <c r="L17" s="202">
        <f>IF(VLOOKUP(K17,'Train Runs'!$A$12:$B$988,1,TRUE)=K17,VLOOKUP(K17,'Train Runs'!$A$12:$B$988,2,TRUE),NA())</f>
        <v>4005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"%USERPROFILE%\AppData\Local\Temp\OnboardLogs"\RTDC4039\*4039*201703070*</v>
      </c>
      <c r="I18" s="210" t="str">
        <f>IF(VLOOKUP(K18,'Train Runs'!$A$13:$V$988,1,TRUE)=K18,VLOOKUP(K18,'Train Runs'!$A$13:$V$988,22,TRUE),NA())</f>
        <v>https://d0f6bd738d7f1b3e5a7ca70fe4ff75f0.us-east-1.aws.found.io/app/kibana#/discover/Steve-Slow-Train-Analysis-(2080s-and-2083s)?_g=(refreshInterval:(display:Off,pause:!f,section:0,value:0),time:(from:'2017-04-16T17:09:09-0600',mode:absolute,to:'2017-04-16T19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210-16</v>
      </c>
      <c r="L18" s="202">
        <f>IF(VLOOKUP(K18,'Train Runs'!$A$12:$B$988,1,TRUE)=K18,VLOOKUP(K18,'Train Runs'!$A$12:$B$988,2,TRUE),NA())</f>
        <v>4039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"%USERPROFILE%\AppData\Local\Temp\OnboardLogs"\RTDC4015\*4015*201703070*</v>
      </c>
      <c r="I19" s="210" t="str">
        <f>IF(VLOOKUP(K19,'Train Runs'!$A$13:$V$988,1,TRUE)=K19,VLOOKUP(K19,'Train Runs'!$A$13:$V$988,22,TRUE),NA())</f>
        <v>https://d0f6bd738d7f1b3e5a7ca70fe4ff75f0.us-east-1.aws.found.io/app/kibana#/discover/Steve-Slow-Train-Analysis-(2080s-and-2083s)?_g=(refreshInterval:(display:Off,pause:!f,section:0,value:0),time:(from:'2017-04-16T17:16:56-0600',mode:absolute,to:'2017-04-16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212-16</v>
      </c>
      <c r="L19" s="202">
        <f>IF(VLOOKUP(K19,'Train Runs'!$A$12:$B$988,1,TRUE)=K19,VLOOKUP(K19,'Train Runs'!$A$12:$B$988,2,TRUE),NA())</f>
        <v>4015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"%USERPROFILE%\AppData\Local\Temp\OnboardLogs"\RTDC4019\*4019*201703070*</v>
      </c>
      <c r="I20" s="210" t="str">
        <f>IF(VLOOKUP(K20,'Train Runs'!$A$13:$V$988,1,TRUE)=K20,VLOOKUP(K20,'Train Runs'!$A$13:$V$988,22,TRUE),NA())</f>
        <v>https://d0f6bd738d7f1b3e5a7ca70fe4ff75f0.us-east-1.aws.found.io/app/kibana#/discover/Steve-Slow-Train-Analysis-(2080s-and-2083s)?_g=(refreshInterval:(display:Off,pause:!f,section:0,value:0),time:(from:'2017-04-16T17:27:08-0600',mode:absolute,to:'2017-04-16T20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214-16</v>
      </c>
      <c r="L20" s="202">
        <f>IF(VLOOKUP(K20,'Train Runs'!$A$12:$B$988,1,TRUE)=K20,VLOOKUP(K20,'Train Runs'!$A$12:$B$988,2,TRUE),NA())</f>
        <v>4019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"%USERPROFILE%\AppData\Local\Temp\OnboardLogs"\RTDC4043\*4043*201703070*</v>
      </c>
      <c r="I21" s="210" t="str">
        <f>IF(VLOOKUP(K21,'Train Runs'!$A$13:$V$988,1,TRUE)=K21,VLOOKUP(K21,'Train Runs'!$A$13:$V$988,22,TRUE),NA())</f>
        <v>https://d0f6bd738d7f1b3e5a7ca70fe4ff75f0.us-east-1.aws.found.io/app/kibana#/discover/Steve-Slow-Train-Analysis-(2080s-and-2083s)?_g=(refreshInterval:(display:Off,pause:!f,section:0,value:0),time:(from:'2017-04-16T17:48:16-0600',mode:absolute,to:'2017-04-16T20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216-16</v>
      </c>
      <c r="L21" s="202">
        <f>IF(VLOOKUP(K21,'Train Runs'!$A$12:$B$988,1,TRUE)=K21,VLOOKUP(K21,'Train Runs'!$A$12:$B$988,2,TRUE),NA())</f>
        <v>4043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"%USERPROFILE%\AppData\Local\Temp\OnboardLogs"\RTDC4041\*4041*201703070*</v>
      </c>
      <c r="I22" s="210" t="str">
        <f>IF(VLOOKUP(K22,'Train Runs'!$A$13:$V$988,1,TRUE)=K22,VLOOKUP(K22,'Train Runs'!$A$13:$V$988,22,TRUE),NA())</f>
        <v>https://d0f6bd738d7f1b3e5a7ca70fe4ff75f0.us-east-1.aws.found.io/app/kibana#/discover/Steve-Slow-Train-Analysis-(2080s-and-2083s)?_g=(refreshInterval:(display:Off,pause:!f,section:0,value:0),time:(from:'2017-04-16T17:56:35-0600',mode:absolute,to:'2017-04-16T20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218-16</v>
      </c>
      <c r="L22" s="202">
        <f>IF(VLOOKUP(K22,'Train Runs'!$A$12:$B$988,1,TRUE)=K22,VLOOKUP(K22,'Train Runs'!$A$12:$B$988,2,TRUE),NA())</f>
        <v>4041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/stypes="*4005*201703070*"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"%USERPROFILE%\AppData\Local\Temp\OnboardLogs"\RTDC4005\*4005*201703070*</v>
      </c>
      <c r="I23" s="210" t="str">
        <f>IF(VLOOKUP(K23,'Train Runs'!$A$13:$V$988,1,TRUE)=K23,VLOOKUP(K23,'Train Runs'!$A$13:$V$988,22,TRUE),NA())</f>
        <v>https://d0f6bd738d7f1b3e5a7ca70fe4ff75f0.us-east-1.aws.found.io/app/kibana#/discover/Steve-Slow-Train-Analysis-(2080s-and-2083s)?_g=(refreshInterval:(display:Off,pause:!f,section:0,value:0),time:(from:'2017-04-16T18:18:21-0600',mode:absolute,to:'2017-04-16T20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220-16</v>
      </c>
      <c r="L23" s="202">
        <f>IF(VLOOKUP(K23,'Train Runs'!$A$12:$B$988,1,TRUE)=K23,VLOOKUP(K23,'Train Runs'!$A$12:$B$988,2,TRUE),NA())</f>
        <v>4005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Runs'!$A$13:$V$988,1,TRUE)=K24,VLOOKUP(K24,'Train Runs'!$A$13:$V$988,22,TRUE),NA())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222-16</v>
      </c>
      <c r="L24" s="202" t="e">
        <f>IF(VLOOKUP(K24,'Train Runs'!$A$12:$B$988,1,TRUE)=K24,VLOOKUP(K24,'Train Runs'!$A$12:$B$988,2,TRUE),NA())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Runs'!$A$13:$V$988,1,TRUE)=K25,VLOOKUP(K25,'Train Runs'!$A$13:$V$988,22,TRUE),NA())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224-16</v>
      </c>
      <c r="L25" s="202" t="e">
        <f>IF(VLOOKUP(K25,'Train Runs'!$A$12:$B$988,1,TRUE)=K25,VLOOKUP(K25,'Train Runs'!$A$12:$B$988,2,TRUE),NA())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Runs'!$A$13:$V$988,1,TRUE)=K26,VLOOKUP(K26,'Train Runs'!$A$13:$V$988,22,TRUE),NA())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226-16</v>
      </c>
      <c r="L26" s="202" t="e">
        <f>IF(VLOOKUP(K26,'Train Runs'!$A$12:$B$988,1,TRUE)=K26,VLOOKUP(K26,'Train Runs'!$A$12:$B$988,2,TRUE),NA())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Runs'!$A$13:$V$988,1,TRUE)=K27,VLOOKUP(K27,'Train Runs'!$A$13:$V$988,22,TRUE),NA())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228-16</v>
      </c>
      <c r="L27" s="202" t="e">
        <f>IF(VLOOKUP(K27,'Train Runs'!$A$12:$B$988,1,TRUE)=K27,VLOOKUP(K27,'Train Runs'!$A$12:$B$988,2,TRUE),NA())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Runs'!$A$13:$V$988,1,TRUE)=K28,VLOOKUP(K28,'Train Runs'!$A$13:$V$988,22,TRUE),NA())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230-16</v>
      </c>
      <c r="L28" s="202" t="e">
        <f>IF(VLOOKUP(K28,'Train Runs'!$A$12:$B$988,1,TRUE)=K28,VLOOKUP(K28,'Train Runs'!$A$12:$B$988,2,TRUE),NA())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Runs'!$A$13:$V$988,1,TRUE)=K29,VLOOKUP(K29,'Train Runs'!$A$13:$V$988,22,TRUE),NA())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232-16</v>
      </c>
      <c r="L29" s="202" t="e">
        <f>IF(VLOOKUP(K29,'Train Runs'!$A$12:$B$988,1,TRUE)=K29,VLOOKUP(K29,'Train Runs'!$A$12:$B$988,2,TRUE),NA())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Runs'!$A$13:$V$988,1,TRUE)=K30,VLOOKUP(K30,'Train Runs'!$A$13:$V$988,22,TRUE),NA())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234-16</v>
      </c>
      <c r="L30" s="202" t="e">
        <f>IF(VLOOKUP(K30,'Train Runs'!$A$12:$B$988,1,TRUE)=K30,VLOOKUP(K30,'Train Runs'!$A$12:$B$988,2,TRUE),NA())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Runs'!$A$13:$V$988,1,TRUE)=K31,VLOOKUP(K31,'Train Runs'!$A$13:$V$988,22,TRUE),NA())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236-16</v>
      </c>
      <c r="L31" s="202" t="e">
        <f>IF(VLOOKUP(K31,'Train Runs'!$A$12:$B$988,1,TRUE)=K31,VLOOKUP(K31,'Train Runs'!$A$12:$B$988,2,TRUE),NA())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Runs'!$A$13:$V$988,1,TRUE)=K32,VLOOKUP(K32,'Train Runs'!$A$13:$V$988,22,TRUE),NA())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238-16</v>
      </c>
      <c r="L32" s="202" t="e">
        <f>IF(VLOOKUP(K32,'Train Runs'!$A$12:$B$988,1,TRUE)=K32,VLOOKUP(K32,'Train Runs'!$A$12:$B$988,2,TRUE),NA())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Runs'!$A$13:$V$988,1,TRUE)=K33,VLOOKUP(K33,'Train Runs'!$A$13:$V$988,22,TRUE),NA())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240-16</v>
      </c>
      <c r="L33" s="202" t="e">
        <f>IF(VLOOKUP(K33,'Train Runs'!$A$12:$B$988,1,TRUE)=K33,VLOOKUP(K33,'Train Runs'!$A$12:$B$988,2,TRUE),NA())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Runs'!$A$13:$V$988,1,TRUE)=K34,VLOOKUP(K34,'Train Runs'!$A$13:$V$988,22,TRUE),NA())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240-16</v>
      </c>
      <c r="L34" s="202" t="e">
        <f>IF(VLOOKUP(K34,'Train Runs'!$A$12:$B$988,1,TRUE)=K34,VLOOKUP(K34,'Train Runs'!$A$12:$B$988,2,TRUE),NA())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Runs'!$A$13:$V$988,1,TRUE)=K35,VLOOKUP(K35,'Train Runs'!$A$13:$V$988,22,TRUE),NA())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242-16</v>
      </c>
      <c r="L35" s="202" t="e">
        <f>IF(VLOOKUP(K35,'Train Runs'!$A$12:$B$988,1,TRUE)=K35,VLOOKUP(K35,'Train Runs'!$A$12:$B$988,2,TRUE),NA())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42841.035428240742</v>
      </c>
      <c r="B2" s="20" t="s">
        <v>516</v>
      </c>
      <c r="C2" s="20" t="s">
        <v>584</v>
      </c>
      <c r="D2" s="146">
        <v>2000000</v>
      </c>
      <c r="E2" s="20" t="s">
        <v>374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42841.037453703706</v>
      </c>
      <c r="B3" s="20" t="s">
        <v>540</v>
      </c>
      <c r="C3" s="20" t="s">
        <v>585</v>
      </c>
      <c r="D3" s="146">
        <v>2270000</v>
      </c>
      <c r="E3" s="20" t="s">
        <v>207</v>
      </c>
      <c r="F3" s="20" t="s">
        <v>208</v>
      </c>
      <c r="G3" s="8" t="str">
        <f t="shared" ref="G3:G66" si="0">E3&amp;" "&amp;F3</f>
        <v>BROWN JACOB</v>
      </c>
    </row>
    <row r="4" spans="1:7" x14ac:dyDescent="0.25">
      <c r="A4" s="8">
        <v>42841.049050925925</v>
      </c>
      <c r="B4" s="20" t="s">
        <v>398</v>
      </c>
      <c r="C4" s="20" t="s">
        <v>586</v>
      </c>
      <c r="D4" s="146">
        <v>2600000</v>
      </c>
      <c r="E4" s="20" t="s">
        <v>582</v>
      </c>
      <c r="F4" s="20" t="s">
        <v>583</v>
      </c>
      <c r="G4" s="8" t="str">
        <f t="shared" si="0"/>
        <v>DAVIDSON DAVID</v>
      </c>
    </row>
    <row r="5" spans="1:7" x14ac:dyDescent="0.25">
      <c r="A5" s="8">
        <v>42841.049305555556</v>
      </c>
      <c r="B5" s="20" t="s">
        <v>426</v>
      </c>
      <c r="C5" s="20" t="s">
        <v>587</v>
      </c>
      <c r="D5" s="146">
        <v>2150000</v>
      </c>
      <c r="E5" s="20" t="s">
        <v>370</v>
      </c>
      <c r="F5" s="20" t="s">
        <v>371</v>
      </c>
      <c r="G5" s="8" t="str">
        <f t="shared" si="0"/>
        <v>SWANSON BRYCE</v>
      </c>
    </row>
    <row r="6" spans="1:7" x14ac:dyDescent="0.25">
      <c r="A6" s="8">
        <v>42841.066562499997</v>
      </c>
      <c r="B6" s="20" t="s">
        <v>521</v>
      </c>
      <c r="C6" s="20" t="s">
        <v>588</v>
      </c>
      <c r="D6" s="146">
        <v>2000000</v>
      </c>
      <c r="E6" s="20" t="s">
        <v>374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42841.077604166669</v>
      </c>
      <c r="B7" s="20" t="s">
        <v>537</v>
      </c>
      <c r="C7" s="20" t="s">
        <v>589</v>
      </c>
      <c r="D7" s="146">
        <v>2270000</v>
      </c>
      <c r="E7" s="20" t="s">
        <v>207</v>
      </c>
      <c r="F7" s="20" t="s">
        <v>208</v>
      </c>
      <c r="G7" s="8" t="str">
        <f t="shared" si="0"/>
        <v>BROWN JACOB</v>
      </c>
    </row>
    <row r="8" spans="1:7" x14ac:dyDescent="0.25">
      <c r="A8" s="8">
        <v>42841.089918981481</v>
      </c>
      <c r="B8" s="20" t="s">
        <v>461</v>
      </c>
      <c r="C8" s="20" t="s">
        <v>590</v>
      </c>
      <c r="D8" s="146">
        <v>2150000</v>
      </c>
      <c r="E8" s="20" t="s">
        <v>370</v>
      </c>
      <c r="F8" s="20" t="s">
        <v>371</v>
      </c>
      <c r="G8" s="8" t="str">
        <f t="shared" si="0"/>
        <v>SWANSON BRYCE</v>
      </c>
    </row>
    <row r="9" spans="1:7" ht="15.75" thickBot="1" x14ac:dyDescent="0.3">
      <c r="A9" s="24">
        <v>42841.110706018517</v>
      </c>
      <c r="B9" s="20" t="s">
        <v>540</v>
      </c>
      <c r="C9" s="20" t="s">
        <v>591</v>
      </c>
      <c r="D9" s="146">
        <v>2270000</v>
      </c>
      <c r="E9" s="20" t="s">
        <v>207</v>
      </c>
      <c r="F9" s="20" t="s">
        <v>208</v>
      </c>
      <c r="G9" s="8" t="str">
        <f t="shared" si="0"/>
        <v>BROWN JACOB</v>
      </c>
    </row>
    <row r="10" spans="1:7" x14ac:dyDescent="0.25">
      <c r="A10" s="8">
        <v>42841.119375000002</v>
      </c>
      <c r="B10" s="20" t="s">
        <v>640</v>
      </c>
      <c r="C10" s="20" t="s">
        <v>641</v>
      </c>
      <c r="D10" s="146">
        <v>1360000</v>
      </c>
      <c r="E10" s="20" t="s">
        <v>570</v>
      </c>
      <c r="F10" s="20" t="s">
        <v>571</v>
      </c>
      <c r="G10" s="8" t="str">
        <f t="shared" si="0"/>
        <v>SANTIZO D. EDY</v>
      </c>
    </row>
    <row r="11" spans="1:7" x14ac:dyDescent="0.25">
      <c r="A11" s="8">
        <v>42841.130543981482</v>
      </c>
      <c r="B11" s="20" t="s">
        <v>477</v>
      </c>
      <c r="C11" s="20" t="s">
        <v>664</v>
      </c>
      <c r="D11" s="146">
        <v>1360000</v>
      </c>
      <c r="E11" s="20" t="s">
        <v>570</v>
      </c>
      <c r="F11" s="20" t="s">
        <v>571</v>
      </c>
      <c r="G11" s="8" t="str">
        <f t="shared" si="0"/>
        <v>SANTIZO D. EDY</v>
      </c>
    </row>
    <row r="12" spans="1:7" x14ac:dyDescent="0.25">
      <c r="A12" s="8">
        <v>42841.142222222225</v>
      </c>
      <c r="B12" s="20" t="s">
        <v>381</v>
      </c>
      <c r="C12" s="20" t="s">
        <v>665</v>
      </c>
      <c r="D12" s="146">
        <v>2260000</v>
      </c>
      <c r="E12" s="20" t="s">
        <v>522</v>
      </c>
      <c r="F12" s="20" t="s">
        <v>523</v>
      </c>
      <c r="G12" s="8" t="str">
        <f t="shared" si="0"/>
        <v>ARVIDSON DANIEL</v>
      </c>
    </row>
    <row r="13" spans="1:7" x14ac:dyDescent="0.25">
      <c r="A13" s="8">
        <v>42841.153969907406</v>
      </c>
      <c r="B13" s="20" t="s">
        <v>378</v>
      </c>
      <c r="C13" s="20" t="s">
        <v>666</v>
      </c>
      <c r="D13" s="146">
        <v>2260000</v>
      </c>
      <c r="E13" s="20" t="s">
        <v>522</v>
      </c>
      <c r="F13" s="20" t="s">
        <v>523</v>
      </c>
      <c r="G13" s="8" t="str">
        <f t="shared" si="0"/>
        <v>ARVIDSON DANIEL</v>
      </c>
    </row>
    <row r="14" spans="1:7" x14ac:dyDescent="0.25">
      <c r="A14" s="8">
        <v>42841.157696759263</v>
      </c>
      <c r="B14" s="20" t="s">
        <v>427</v>
      </c>
      <c r="C14" s="20" t="s">
        <v>667</v>
      </c>
      <c r="D14" s="146">
        <v>2550000</v>
      </c>
      <c r="E14" s="20" t="s">
        <v>517</v>
      </c>
      <c r="F14" s="20" t="s">
        <v>518</v>
      </c>
      <c r="G14" s="8" t="str">
        <f t="shared" si="0"/>
        <v>BADERTSCHER DIANE</v>
      </c>
    </row>
    <row r="15" spans="1:7" x14ac:dyDescent="0.25">
      <c r="A15" s="8">
        <v>42841.163043981483</v>
      </c>
      <c r="B15" s="20" t="s">
        <v>640</v>
      </c>
      <c r="C15" s="20" t="s">
        <v>668</v>
      </c>
      <c r="D15" s="146">
        <v>1360000</v>
      </c>
      <c r="E15" s="20" t="s">
        <v>570</v>
      </c>
      <c r="F15" s="20" t="s">
        <v>571</v>
      </c>
      <c r="G15" s="8" t="str">
        <f t="shared" si="0"/>
        <v>SANTIZO D. EDY</v>
      </c>
    </row>
    <row r="16" spans="1:7" x14ac:dyDescent="0.25">
      <c r="A16" s="8">
        <v>42841.170092592591</v>
      </c>
      <c r="B16" s="20" t="s">
        <v>423</v>
      </c>
      <c r="C16" s="20" t="s">
        <v>669</v>
      </c>
      <c r="D16" s="146">
        <v>2550000</v>
      </c>
      <c r="E16" s="20" t="s">
        <v>517</v>
      </c>
      <c r="F16" s="20" t="s">
        <v>518</v>
      </c>
      <c r="G16" s="8" t="str">
        <f t="shared" si="0"/>
        <v>BADERTSCHER DIANE</v>
      </c>
    </row>
    <row r="17" spans="1:7" x14ac:dyDescent="0.25">
      <c r="A17" s="8">
        <v>42841.172407407408</v>
      </c>
      <c r="B17" s="20" t="s">
        <v>539</v>
      </c>
      <c r="C17" s="20" t="s">
        <v>670</v>
      </c>
      <c r="D17" s="146">
        <v>1990000</v>
      </c>
      <c r="E17" s="20" t="s">
        <v>568</v>
      </c>
      <c r="F17" s="20" t="s">
        <v>569</v>
      </c>
      <c r="G17" s="8" t="str">
        <f t="shared" si="0"/>
        <v>DAVIS WENDY</v>
      </c>
    </row>
    <row r="18" spans="1:7" x14ac:dyDescent="0.25">
      <c r="A18" s="8">
        <v>42841.173622685186</v>
      </c>
      <c r="B18" s="20" t="s">
        <v>539</v>
      </c>
      <c r="C18" s="20" t="s">
        <v>670</v>
      </c>
      <c r="D18" s="146">
        <v>1990000</v>
      </c>
      <c r="E18" s="20" t="s">
        <v>568</v>
      </c>
      <c r="F18" s="20" t="s">
        <v>569</v>
      </c>
      <c r="G18" s="8" t="str">
        <f t="shared" si="0"/>
        <v>DAVIS WENDY</v>
      </c>
    </row>
    <row r="19" spans="1:7" x14ac:dyDescent="0.25">
      <c r="A19" s="8">
        <v>42841.175567129627</v>
      </c>
      <c r="B19" s="20" t="s">
        <v>539</v>
      </c>
      <c r="C19" s="20" t="s">
        <v>670</v>
      </c>
      <c r="D19" s="146">
        <v>1990000</v>
      </c>
      <c r="E19" s="20" t="s">
        <v>568</v>
      </c>
      <c r="F19" s="20" t="s">
        <v>569</v>
      </c>
      <c r="G19" s="8" t="str">
        <f t="shared" si="0"/>
        <v>DAVIS WENDY</v>
      </c>
    </row>
    <row r="20" spans="1:7" x14ac:dyDescent="0.25">
      <c r="A20" s="8">
        <v>42841.177731481483</v>
      </c>
      <c r="B20" s="20" t="s">
        <v>538</v>
      </c>
      <c r="C20" s="20" t="s">
        <v>671</v>
      </c>
      <c r="D20" s="146">
        <v>2140000</v>
      </c>
      <c r="E20" s="20" t="s">
        <v>544</v>
      </c>
      <c r="F20" s="20" t="s">
        <v>545</v>
      </c>
      <c r="G20" s="8" t="str">
        <f t="shared" si="0"/>
        <v>ROBINSON KADDIBA</v>
      </c>
    </row>
    <row r="21" spans="1:7" x14ac:dyDescent="0.25">
      <c r="A21" s="8">
        <v>42841.188958333332</v>
      </c>
      <c r="B21" s="20" t="s">
        <v>482</v>
      </c>
      <c r="C21" s="20" t="s">
        <v>672</v>
      </c>
      <c r="D21" s="146">
        <v>2370000</v>
      </c>
      <c r="E21" s="20" t="s">
        <v>519</v>
      </c>
      <c r="F21" s="20" t="s">
        <v>520</v>
      </c>
      <c r="G21" s="8" t="str">
        <f t="shared" si="0"/>
        <v>DELGADO DIANAH</v>
      </c>
    </row>
    <row r="22" spans="1:7" x14ac:dyDescent="0.25">
      <c r="A22" s="26">
        <v>42841.191076388888</v>
      </c>
      <c r="B22" s="20" t="s">
        <v>381</v>
      </c>
      <c r="C22" s="20" t="s">
        <v>673</v>
      </c>
      <c r="D22" s="146">
        <v>2260000</v>
      </c>
      <c r="E22" s="20" t="s">
        <v>522</v>
      </c>
      <c r="F22" s="20" t="s">
        <v>523</v>
      </c>
      <c r="G22" s="8" t="str">
        <f t="shared" si="0"/>
        <v>ARVIDSON DANIEL</v>
      </c>
    </row>
    <row r="23" spans="1:7" x14ac:dyDescent="0.25">
      <c r="A23" s="8">
        <v>42841.194571759261</v>
      </c>
      <c r="B23" s="20" t="s">
        <v>536</v>
      </c>
      <c r="C23" s="20" t="s">
        <v>674</v>
      </c>
      <c r="D23" s="146">
        <v>2140000</v>
      </c>
      <c r="E23" s="20" t="s">
        <v>544</v>
      </c>
      <c r="F23" s="20" t="s">
        <v>545</v>
      </c>
      <c r="G23" s="8" t="str">
        <f t="shared" si="0"/>
        <v>ROBINSON KADDIBA</v>
      </c>
    </row>
    <row r="24" spans="1:7" x14ac:dyDescent="0.25">
      <c r="A24" s="8">
        <v>42841.195416666669</v>
      </c>
      <c r="B24" s="20" t="s">
        <v>536</v>
      </c>
      <c r="C24" s="20" t="s">
        <v>674</v>
      </c>
      <c r="D24" s="146">
        <v>2140000</v>
      </c>
      <c r="E24" s="20" t="s">
        <v>544</v>
      </c>
      <c r="F24" s="20" t="s">
        <v>545</v>
      </c>
      <c r="G24" s="8" t="str">
        <f t="shared" si="0"/>
        <v>ROBINSON KADDIBA</v>
      </c>
    </row>
    <row r="25" spans="1:7" x14ac:dyDescent="0.25">
      <c r="A25" s="8">
        <v>42841.205185185187</v>
      </c>
      <c r="B25" s="20" t="s">
        <v>648</v>
      </c>
      <c r="C25" s="20" t="s">
        <v>675</v>
      </c>
      <c r="D25" s="146">
        <v>1360000</v>
      </c>
      <c r="E25" s="20" t="s">
        <v>570</v>
      </c>
      <c r="F25" s="20" t="s">
        <v>571</v>
      </c>
      <c r="G25" s="8" t="str">
        <f t="shared" si="0"/>
        <v>SANTIZO D. EDY</v>
      </c>
    </row>
    <row r="26" spans="1:7" x14ac:dyDescent="0.25">
      <c r="A26" s="8">
        <v>42841.205370370371</v>
      </c>
      <c r="B26" s="20" t="s">
        <v>477</v>
      </c>
      <c r="C26" s="20" t="s">
        <v>676</v>
      </c>
      <c r="D26" s="146">
        <v>1100000</v>
      </c>
      <c r="E26" s="20" t="s">
        <v>573</v>
      </c>
      <c r="F26" s="20" t="s">
        <v>574</v>
      </c>
      <c r="G26" s="8" t="str">
        <f t="shared" si="0"/>
        <v>GEBRETEKLE DAGNEW</v>
      </c>
    </row>
    <row r="27" spans="1:7" x14ac:dyDescent="0.25">
      <c r="A27" s="8">
        <v>42841.211886574078</v>
      </c>
      <c r="B27" s="20" t="s">
        <v>427</v>
      </c>
      <c r="C27" s="20" t="s">
        <v>677</v>
      </c>
      <c r="D27" s="146">
        <v>2550000</v>
      </c>
      <c r="E27" s="20" t="s">
        <v>517</v>
      </c>
      <c r="F27" s="20" t="s">
        <v>518</v>
      </c>
      <c r="G27" s="8" t="str">
        <f t="shared" si="0"/>
        <v>BADERTSCHER DIANE</v>
      </c>
    </row>
    <row r="28" spans="1:7" x14ac:dyDescent="0.25">
      <c r="A28" s="8">
        <v>42841.219282407408</v>
      </c>
      <c r="B28" s="20" t="s">
        <v>539</v>
      </c>
      <c r="C28" s="20" t="s">
        <v>678</v>
      </c>
      <c r="D28" s="146">
        <v>2370000</v>
      </c>
      <c r="E28" s="20" t="s">
        <v>519</v>
      </c>
      <c r="F28" s="20" t="s">
        <v>520</v>
      </c>
      <c r="G28" s="8" t="str">
        <f t="shared" si="0"/>
        <v>DELGADO DIANAH</v>
      </c>
    </row>
    <row r="29" spans="1:7" x14ac:dyDescent="0.25">
      <c r="A29" s="8">
        <v>42841.223067129627</v>
      </c>
      <c r="B29" s="20" t="s">
        <v>376</v>
      </c>
      <c r="C29" s="20" t="s">
        <v>679</v>
      </c>
      <c r="D29" s="146">
        <v>1830000</v>
      </c>
      <c r="E29" s="20" t="s">
        <v>680</v>
      </c>
      <c r="F29" s="20" t="s">
        <v>681</v>
      </c>
      <c r="G29" s="8" t="str">
        <f t="shared" si="0"/>
        <v>YORK EDGAR</v>
      </c>
    </row>
    <row r="30" spans="1:7" x14ac:dyDescent="0.25">
      <c r="A30" s="8">
        <v>42841.223113425927</v>
      </c>
      <c r="B30" s="20" t="s">
        <v>372</v>
      </c>
      <c r="C30" s="20" t="s">
        <v>682</v>
      </c>
      <c r="D30" s="146">
        <v>2020000</v>
      </c>
      <c r="E30" s="20" t="s">
        <v>546</v>
      </c>
      <c r="F30" s="20" t="s">
        <v>450</v>
      </c>
      <c r="G30" s="8" t="str">
        <f t="shared" si="0"/>
        <v>SHOOK JOHN</v>
      </c>
    </row>
    <row r="31" spans="1:7" x14ac:dyDescent="0.25">
      <c r="A31" s="8">
        <v>42841.232881944445</v>
      </c>
      <c r="B31" s="20" t="s">
        <v>412</v>
      </c>
      <c r="C31" s="20" t="s">
        <v>683</v>
      </c>
      <c r="D31" s="146">
        <v>1830000</v>
      </c>
      <c r="E31" s="20" t="s">
        <v>680</v>
      </c>
      <c r="F31" s="20" t="s">
        <v>681</v>
      </c>
      <c r="G31" s="8" t="str">
        <f t="shared" si="0"/>
        <v>YORK EDGAR</v>
      </c>
    </row>
    <row r="32" spans="1:7" x14ac:dyDescent="0.25">
      <c r="A32" s="8">
        <v>42841.233206018522</v>
      </c>
      <c r="B32" s="20" t="s">
        <v>380</v>
      </c>
      <c r="C32" s="20" t="s">
        <v>684</v>
      </c>
      <c r="D32" s="146">
        <v>1520000</v>
      </c>
      <c r="E32" s="20" t="s">
        <v>685</v>
      </c>
      <c r="F32" s="20" t="s">
        <v>686</v>
      </c>
      <c r="G32" s="8" t="str">
        <f t="shared" si="0"/>
        <v>MAYBERRY BILL</v>
      </c>
    </row>
    <row r="33" spans="1:7" x14ac:dyDescent="0.25">
      <c r="A33" s="8">
        <v>42841.233761574076</v>
      </c>
      <c r="B33" s="20" t="s">
        <v>538</v>
      </c>
      <c r="C33" s="20" t="s">
        <v>687</v>
      </c>
      <c r="D33" s="146">
        <v>2140000</v>
      </c>
      <c r="E33" s="20" t="s">
        <v>544</v>
      </c>
      <c r="F33" s="20" t="s">
        <v>545</v>
      </c>
      <c r="G33" s="8" t="str">
        <f t="shared" si="0"/>
        <v>ROBINSON KADDIBA</v>
      </c>
    </row>
    <row r="34" spans="1:7" x14ac:dyDescent="0.25">
      <c r="A34" s="8">
        <v>42841.234340277777</v>
      </c>
      <c r="B34" s="20" t="s">
        <v>378</v>
      </c>
      <c r="C34" s="20" t="s">
        <v>688</v>
      </c>
      <c r="D34" s="146">
        <v>2260000</v>
      </c>
      <c r="E34" s="20" t="s">
        <v>522</v>
      </c>
      <c r="F34" s="20" t="s">
        <v>523</v>
      </c>
      <c r="G34" s="8" t="str">
        <f t="shared" si="0"/>
        <v>ARVIDSON DANIEL</v>
      </c>
    </row>
    <row r="35" spans="1:7" x14ac:dyDescent="0.25">
      <c r="A35" s="8">
        <v>42841.243356481478</v>
      </c>
      <c r="B35" s="20" t="s">
        <v>380</v>
      </c>
      <c r="C35" s="20" t="s">
        <v>688</v>
      </c>
      <c r="D35" s="146">
        <v>1520000</v>
      </c>
      <c r="E35" s="20" t="s">
        <v>685</v>
      </c>
      <c r="F35" s="20" t="s">
        <v>686</v>
      </c>
      <c r="G35" s="8" t="str">
        <f t="shared" si="0"/>
        <v>MAYBERRY BILL</v>
      </c>
    </row>
    <row r="36" spans="1:7" x14ac:dyDescent="0.25">
      <c r="A36" s="8">
        <v>42841.244328703702</v>
      </c>
      <c r="B36" s="20" t="s">
        <v>567</v>
      </c>
      <c r="C36" s="20" t="s">
        <v>689</v>
      </c>
      <c r="D36" s="146">
        <v>1100000</v>
      </c>
      <c r="E36" s="20" t="s">
        <v>573</v>
      </c>
      <c r="F36" s="20" t="s">
        <v>574</v>
      </c>
      <c r="G36" s="8" t="str">
        <f t="shared" si="0"/>
        <v>GEBRETEKLE DAGNEW</v>
      </c>
    </row>
    <row r="37" spans="1:7" x14ac:dyDescent="0.25">
      <c r="A37" s="8">
        <v>42841.245335648149</v>
      </c>
      <c r="B37" s="20" t="s">
        <v>640</v>
      </c>
      <c r="C37" s="20" t="s">
        <v>690</v>
      </c>
      <c r="D37" s="146">
        <v>1360000</v>
      </c>
      <c r="E37" s="20" t="s">
        <v>570</v>
      </c>
      <c r="F37" s="20" t="s">
        <v>571</v>
      </c>
      <c r="G37" s="8" t="str">
        <f t="shared" si="0"/>
        <v>SANTIZO D. EDY</v>
      </c>
    </row>
    <row r="38" spans="1:7" x14ac:dyDescent="0.25">
      <c r="A38" s="8">
        <v>42841.247650462959</v>
      </c>
      <c r="B38" s="20" t="s">
        <v>376</v>
      </c>
      <c r="C38" s="20" t="s">
        <v>691</v>
      </c>
      <c r="D38" s="146">
        <v>1830000</v>
      </c>
      <c r="E38" s="20" t="s">
        <v>680</v>
      </c>
      <c r="F38" s="20" t="s">
        <v>681</v>
      </c>
      <c r="G38" s="8" t="str">
        <f t="shared" si="0"/>
        <v>YORK EDGAR</v>
      </c>
    </row>
    <row r="39" spans="1:7" x14ac:dyDescent="0.25">
      <c r="A39" s="8">
        <v>42841.248101851852</v>
      </c>
      <c r="B39" s="20" t="s">
        <v>423</v>
      </c>
      <c r="C39" s="20" t="s">
        <v>692</v>
      </c>
      <c r="D39" s="146">
        <v>2550000</v>
      </c>
      <c r="E39" s="20" t="s">
        <v>517</v>
      </c>
      <c r="F39" s="20" t="s">
        <v>518</v>
      </c>
      <c r="G39" s="8" t="str">
        <f t="shared" si="0"/>
        <v>BADERTSCHER DIANE</v>
      </c>
    </row>
    <row r="40" spans="1:7" x14ac:dyDescent="0.25">
      <c r="A40" s="8">
        <v>42841.252337962964</v>
      </c>
      <c r="B40" s="25" t="s">
        <v>378</v>
      </c>
      <c r="C40" s="20" t="s">
        <v>693</v>
      </c>
      <c r="D40" s="146">
        <v>2260000</v>
      </c>
      <c r="E40" s="20" t="s">
        <v>522</v>
      </c>
      <c r="F40" s="20" t="s">
        <v>523</v>
      </c>
      <c r="G40" s="8" t="str">
        <f t="shared" si="0"/>
        <v>ARVIDSON DANIEL</v>
      </c>
    </row>
    <row r="41" spans="1:7" x14ac:dyDescent="0.25">
      <c r="A41" s="8">
        <v>42841.253206018519</v>
      </c>
      <c r="B41" s="20" t="s">
        <v>430</v>
      </c>
      <c r="C41" s="20" t="s">
        <v>642</v>
      </c>
      <c r="D41" s="146">
        <v>2040000</v>
      </c>
      <c r="E41" s="20" t="s">
        <v>694</v>
      </c>
      <c r="F41" s="20" t="s">
        <v>695</v>
      </c>
      <c r="G41" s="8" t="str">
        <f t="shared" si="0"/>
        <v>MOSES BRADLEY</v>
      </c>
    </row>
    <row r="42" spans="1:7" x14ac:dyDescent="0.25">
      <c r="A42" s="8">
        <v>42841.256076388891</v>
      </c>
      <c r="B42" s="20" t="s">
        <v>482</v>
      </c>
      <c r="C42" s="20" t="s">
        <v>696</v>
      </c>
      <c r="D42" s="146">
        <v>1990000</v>
      </c>
      <c r="E42" s="20" t="s">
        <v>568</v>
      </c>
      <c r="F42" s="20" t="s">
        <v>569</v>
      </c>
      <c r="G42" s="8" t="str">
        <f t="shared" si="0"/>
        <v>DAVIS WENDY</v>
      </c>
    </row>
    <row r="43" spans="1:7" x14ac:dyDescent="0.25">
      <c r="A43" s="8">
        <v>42841.257361111115</v>
      </c>
      <c r="B43" s="20" t="s">
        <v>373</v>
      </c>
      <c r="C43" s="20" t="s">
        <v>697</v>
      </c>
      <c r="D43" s="146">
        <v>2020000</v>
      </c>
      <c r="E43" s="20" t="s">
        <v>546</v>
      </c>
      <c r="F43" s="20" t="s">
        <v>450</v>
      </c>
      <c r="G43" s="8" t="str">
        <f t="shared" si="0"/>
        <v>SHOOK JOHN</v>
      </c>
    </row>
    <row r="44" spans="1:7" x14ac:dyDescent="0.25">
      <c r="A44" s="8">
        <v>42841.2575</v>
      </c>
      <c r="B44" s="20" t="s">
        <v>427</v>
      </c>
      <c r="C44" s="20" t="s">
        <v>642</v>
      </c>
      <c r="D44" s="146">
        <v>2040000</v>
      </c>
      <c r="E44" s="20" t="s">
        <v>694</v>
      </c>
      <c r="F44" s="20" t="s">
        <v>695</v>
      </c>
      <c r="G44" s="8" t="str">
        <f t="shared" si="0"/>
        <v>MOSES BRADLEY</v>
      </c>
    </row>
    <row r="45" spans="1:7" x14ac:dyDescent="0.25">
      <c r="A45" s="8">
        <v>42841.266516203701</v>
      </c>
      <c r="B45" s="20" t="s">
        <v>536</v>
      </c>
      <c r="C45" s="20" t="s">
        <v>698</v>
      </c>
      <c r="D45" s="146">
        <v>2140000</v>
      </c>
      <c r="E45" s="20" t="s">
        <v>544</v>
      </c>
      <c r="F45" s="20" t="s">
        <v>545</v>
      </c>
      <c r="G45" s="8" t="str">
        <f t="shared" si="0"/>
        <v>ROBINSON KADDIBA</v>
      </c>
    </row>
    <row r="46" spans="1:7" x14ac:dyDescent="0.25">
      <c r="A46" s="8">
        <v>42841.273402777777</v>
      </c>
      <c r="B46" s="20" t="s">
        <v>699</v>
      </c>
      <c r="C46" s="20" t="s">
        <v>700</v>
      </c>
      <c r="D46" s="146">
        <v>2260000</v>
      </c>
      <c r="E46" s="20" t="s">
        <v>522</v>
      </c>
      <c r="F46" s="20" t="s">
        <v>523</v>
      </c>
      <c r="G46" s="8" t="str">
        <f t="shared" si="0"/>
        <v>ARVIDSON DANIEL</v>
      </c>
    </row>
    <row r="47" spans="1:7" x14ac:dyDescent="0.25">
      <c r="A47" s="8">
        <v>42841.275023148148</v>
      </c>
      <c r="B47" s="20" t="s">
        <v>412</v>
      </c>
      <c r="C47" s="20" t="s">
        <v>701</v>
      </c>
      <c r="D47" s="146">
        <v>1830000</v>
      </c>
      <c r="E47" s="20" t="s">
        <v>680</v>
      </c>
      <c r="F47" s="20" t="s">
        <v>681</v>
      </c>
      <c r="G47" s="8" t="str">
        <f t="shared" si="0"/>
        <v>YORK EDGAR</v>
      </c>
    </row>
    <row r="48" spans="1:7" x14ac:dyDescent="0.25">
      <c r="A48" s="8">
        <v>42841.275196759256</v>
      </c>
      <c r="B48" s="20" t="s">
        <v>477</v>
      </c>
      <c r="C48" s="20" t="s">
        <v>702</v>
      </c>
      <c r="D48" s="146">
        <v>1100000</v>
      </c>
      <c r="E48" s="20" t="s">
        <v>573</v>
      </c>
      <c r="F48" s="20" t="s">
        <v>574</v>
      </c>
      <c r="G48" s="8" t="str">
        <f t="shared" si="0"/>
        <v>GEBRETEKLE DAGNEW</v>
      </c>
    </row>
    <row r="49" spans="1:7" x14ac:dyDescent="0.25">
      <c r="A49" s="8">
        <v>42841.276458333334</v>
      </c>
      <c r="B49" s="20" t="s">
        <v>381</v>
      </c>
      <c r="C49" s="20" t="s">
        <v>643</v>
      </c>
      <c r="D49" s="146">
        <v>1520000</v>
      </c>
      <c r="E49" s="20" t="s">
        <v>685</v>
      </c>
      <c r="F49" s="20" t="s">
        <v>686</v>
      </c>
      <c r="G49" s="8" t="str">
        <f t="shared" si="0"/>
        <v>MAYBERRY BILL</v>
      </c>
    </row>
    <row r="50" spans="1:7" x14ac:dyDescent="0.25">
      <c r="A50" s="8">
        <v>42841.283645833333</v>
      </c>
      <c r="B50" s="20" t="s">
        <v>420</v>
      </c>
      <c r="C50" s="20" t="s">
        <v>703</v>
      </c>
      <c r="D50" s="146">
        <v>2550000</v>
      </c>
      <c r="E50" s="20" t="s">
        <v>517</v>
      </c>
      <c r="F50" s="20" t="s">
        <v>518</v>
      </c>
      <c r="G50" s="8" t="str">
        <f t="shared" si="0"/>
        <v>BADERTSCHER DIANE</v>
      </c>
    </row>
    <row r="51" spans="1:7" x14ac:dyDescent="0.25">
      <c r="A51" s="8">
        <v>42841.284780092596</v>
      </c>
      <c r="B51" s="20" t="s">
        <v>420</v>
      </c>
      <c r="C51" s="20" t="s">
        <v>703</v>
      </c>
      <c r="D51" s="146">
        <v>2550000</v>
      </c>
      <c r="E51" s="20" t="s">
        <v>517</v>
      </c>
      <c r="F51" s="20" t="s">
        <v>518</v>
      </c>
      <c r="G51" s="8" t="str">
        <f t="shared" si="0"/>
        <v>BADERTSCHER DIANE</v>
      </c>
    </row>
    <row r="52" spans="1:7" x14ac:dyDescent="0.25">
      <c r="A52" s="8">
        <v>42841.287673611114</v>
      </c>
      <c r="B52" s="20" t="s">
        <v>648</v>
      </c>
      <c r="C52" s="20" t="s">
        <v>704</v>
      </c>
      <c r="D52" s="146">
        <v>330000</v>
      </c>
      <c r="E52" s="20" t="s">
        <v>705</v>
      </c>
      <c r="F52" s="20" t="s">
        <v>706</v>
      </c>
      <c r="G52" s="8" t="str">
        <f t="shared" si="0"/>
        <v>PELLITIER GEORGE</v>
      </c>
    </row>
    <row r="53" spans="1:7" x14ac:dyDescent="0.25">
      <c r="A53" s="8">
        <v>42841.289340277777</v>
      </c>
      <c r="B53" s="20" t="s">
        <v>376</v>
      </c>
      <c r="C53" s="20" t="s">
        <v>707</v>
      </c>
      <c r="D53" s="146">
        <v>1830000</v>
      </c>
      <c r="E53" s="20" t="s">
        <v>680</v>
      </c>
      <c r="F53" s="20" t="s">
        <v>681</v>
      </c>
      <c r="G53" s="8" t="str">
        <f t="shared" si="0"/>
        <v>YORK EDGAR</v>
      </c>
    </row>
    <row r="54" spans="1:7" x14ac:dyDescent="0.25">
      <c r="A54" s="8">
        <v>42841.297094907408</v>
      </c>
      <c r="B54" s="20" t="s">
        <v>539</v>
      </c>
      <c r="C54" s="20" t="s">
        <v>644</v>
      </c>
      <c r="D54" s="146">
        <v>1990000</v>
      </c>
      <c r="E54" s="20" t="s">
        <v>568</v>
      </c>
      <c r="F54" s="20" t="s">
        <v>569</v>
      </c>
      <c r="G54" s="8" t="str">
        <f t="shared" si="0"/>
        <v>DAVIS WENDY</v>
      </c>
    </row>
    <row r="55" spans="1:7" x14ac:dyDescent="0.25">
      <c r="A55" s="8">
        <v>42841.299259259256</v>
      </c>
      <c r="B55" s="20" t="s">
        <v>372</v>
      </c>
      <c r="C55" s="20" t="s">
        <v>708</v>
      </c>
      <c r="D55" s="146">
        <v>2020000</v>
      </c>
      <c r="E55" s="20" t="s">
        <v>546</v>
      </c>
      <c r="F55" s="20" t="s">
        <v>450</v>
      </c>
      <c r="G55" s="8" t="str">
        <f t="shared" si="0"/>
        <v>SHOOK JOHN</v>
      </c>
    </row>
    <row r="56" spans="1:7" x14ac:dyDescent="0.25">
      <c r="A56" s="8">
        <v>42841.304548611108</v>
      </c>
      <c r="B56" s="20" t="s">
        <v>538</v>
      </c>
      <c r="C56" s="20" t="s">
        <v>645</v>
      </c>
      <c r="D56" s="146">
        <v>2140000</v>
      </c>
      <c r="E56" s="20" t="s">
        <v>544</v>
      </c>
      <c r="F56" s="20" t="s">
        <v>545</v>
      </c>
      <c r="G56" s="8" t="str">
        <f t="shared" si="0"/>
        <v>ROBINSON KADDIBA</v>
      </c>
    </row>
    <row r="57" spans="1:7" x14ac:dyDescent="0.25">
      <c r="A57" s="8">
        <v>42841.309710648151</v>
      </c>
      <c r="B57" s="20" t="s">
        <v>380</v>
      </c>
      <c r="C57" s="20" t="s">
        <v>709</v>
      </c>
      <c r="D57" s="146">
        <v>2260000</v>
      </c>
      <c r="E57" s="20" t="s">
        <v>522</v>
      </c>
      <c r="F57" s="20" t="s">
        <v>523</v>
      </c>
      <c r="G57" s="8" t="str">
        <f t="shared" si="0"/>
        <v>ARVIDSON DANIEL</v>
      </c>
    </row>
    <row r="58" spans="1:7" x14ac:dyDescent="0.25">
      <c r="A58" s="8">
        <v>42841.316122685188</v>
      </c>
      <c r="B58" s="20" t="s">
        <v>567</v>
      </c>
      <c r="C58" s="20" t="s">
        <v>710</v>
      </c>
      <c r="D58" s="146">
        <v>1100000</v>
      </c>
      <c r="E58" s="20" t="s">
        <v>573</v>
      </c>
      <c r="F58" s="20" t="s">
        <v>574</v>
      </c>
      <c r="G58" s="8" t="str">
        <f t="shared" si="0"/>
        <v>GEBRETEKLE DAGNEW</v>
      </c>
    </row>
    <row r="59" spans="1:7" x14ac:dyDescent="0.25">
      <c r="A59" s="8">
        <v>42841.316967592589</v>
      </c>
      <c r="B59" s="20" t="s">
        <v>412</v>
      </c>
      <c r="C59" s="20" t="s">
        <v>711</v>
      </c>
      <c r="D59" s="146">
        <v>1830000</v>
      </c>
      <c r="E59" s="20" t="s">
        <v>680</v>
      </c>
      <c r="F59" s="20" t="s">
        <v>681</v>
      </c>
      <c r="G59" s="8" t="str">
        <f t="shared" si="0"/>
        <v>YORK EDGAR</v>
      </c>
    </row>
    <row r="60" spans="1:7" x14ac:dyDescent="0.25">
      <c r="A60" s="8">
        <v>42841.318483796298</v>
      </c>
      <c r="B60" s="20" t="s">
        <v>423</v>
      </c>
      <c r="C60" s="20" t="s">
        <v>712</v>
      </c>
      <c r="D60" s="146">
        <v>2040000</v>
      </c>
      <c r="E60" s="20" t="s">
        <v>694</v>
      </c>
      <c r="F60" s="20" t="s">
        <v>695</v>
      </c>
      <c r="G60" s="8" t="str">
        <f t="shared" si="0"/>
        <v>MOSES BRADLEY</v>
      </c>
    </row>
    <row r="61" spans="1:7" x14ac:dyDescent="0.25">
      <c r="A61" s="8">
        <v>42841.320532407408</v>
      </c>
      <c r="B61" s="20" t="s">
        <v>640</v>
      </c>
      <c r="C61" s="20" t="s">
        <v>713</v>
      </c>
      <c r="D61" s="146">
        <v>330000</v>
      </c>
      <c r="E61" s="20" t="s">
        <v>705</v>
      </c>
      <c r="F61" s="20" t="s">
        <v>706</v>
      </c>
      <c r="G61" s="8" t="str">
        <f t="shared" si="0"/>
        <v>PELLITIER GEORGE</v>
      </c>
    </row>
    <row r="62" spans="1:7" x14ac:dyDescent="0.25">
      <c r="A62" s="8">
        <v>42841.329432870371</v>
      </c>
      <c r="B62" s="20" t="s">
        <v>482</v>
      </c>
      <c r="C62" s="20" t="s">
        <v>714</v>
      </c>
      <c r="D62" s="146">
        <v>1990000</v>
      </c>
      <c r="E62" s="20" t="s">
        <v>568</v>
      </c>
      <c r="F62" s="20" t="s">
        <v>569</v>
      </c>
      <c r="G62" s="8" t="str">
        <f t="shared" si="0"/>
        <v>DAVIS WENDY</v>
      </c>
    </row>
    <row r="63" spans="1:7" x14ac:dyDescent="0.25">
      <c r="A63" s="8">
        <v>42841.330034722225</v>
      </c>
      <c r="B63" s="20" t="s">
        <v>373</v>
      </c>
      <c r="C63" s="20" t="s">
        <v>715</v>
      </c>
      <c r="D63" s="146">
        <v>2020000</v>
      </c>
      <c r="E63" s="20" t="s">
        <v>546</v>
      </c>
      <c r="F63" s="20" t="s">
        <v>450</v>
      </c>
      <c r="G63" s="8" t="str">
        <f t="shared" si="0"/>
        <v>SHOOK JOHN</v>
      </c>
    </row>
    <row r="64" spans="1:7" x14ac:dyDescent="0.25">
      <c r="A64" s="26">
        <v>42841.330358796295</v>
      </c>
      <c r="B64" s="20" t="s">
        <v>376</v>
      </c>
      <c r="C64" s="20" t="s">
        <v>716</v>
      </c>
      <c r="D64" s="146">
        <v>1830000</v>
      </c>
      <c r="E64" s="20" t="s">
        <v>680</v>
      </c>
      <c r="F64" s="20" t="s">
        <v>681</v>
      </c>
      <c r="G64" s="8" t="str">
        <f t="shared" si="0"/>
        <v>YORK EDGAR</v>
      </c>
    </row>
    <row r="65" spans="1:7" x14ac:dyDescent="0.25">
      <c r="A65" s="8">
        <v>42841.342442129629</v>
      </c>
      <c r="B65" s="20" t="s">
        <v>536</v>
      </c>
      <c r="C65" s="20" t="s">
        <v>717</v>
      </c>
      <c r="D65" s="146">
        <v>2140000</v>
      </c>
      <c r="E65" s="20" t="s">
        <v>544</v>
      </c>
      <c r="F65" s="20" t="s">
        <v>545</v>
      </c>
      <c r="G65" s="8" t="str">
        <f t="shared" si="0"/>
        <v>ROBINSON KADDIBA</v>
      </c>
    </row>
    <row r="66" spans="1:7" x14ac:dyDescent="0.25">
      <c r="A66" s="8">
        <v>42841.347974537035</v>
      </c>
      <c r="B66" s="20" t="s">
        <v>477</v>
      </c>
      <c r="C66" s="20" t="s">
        <v>718</v>
      </c>
      <c r="D66" s="146">
        <v>1100000</v>
      </c>
      <c r="E66" s="20" t="s">
        <v>573</v>
      </c>
      <c r="F66" s="20" t="s">
        <v>574</v>
      </c>
      <c r="G66" s="8" t="str">
        <f t="shared" si="0"/>
        <v>GEBRETEKLE DAGNEW</v>
      </c>
    </row>
    <row r="67" spans="1:7" x14ac:dyDescent="0.25">
      <c r="A67" s="8">
        <v>42841.348321759258</v>
      </c>
      <c r="B67" s="20" t="s">
        <v>381</v>
      </c>
      <c r="C67" s="20" t="s">
        <v>719</v>
      </c>
      <c r="D67" s="146">
        <v>2260000</v>
      </c>
      <c r="E67" s="20" t="s">
        <v>522</v>
      </c>
      <c r="F67" s="20" t="s">
        <v>523</v>
      </c>
      <c r="G67" s="8" t="str">
        <f t="shared" ref="G67:G130" si="1">E67&amp;" "&amp;F67</f>
        <v>ARVIDSON DANIEL</v>
      </c>
    </row>
    <row r="68" spans="1:7" x14ac:dyDescent="0.25">
      <c r="A68" s="8">
        <v>42841.358217592591</v>
      </c>
      <c r="B68" s="20" t="s">
        <v>412</v>
      </c>
      <c r="C68" s="20" t="s">
        <v>720</v>
      </c>
      <c r="D68" s="146">
        <v>1830000</v>
      </c>
      <c r="E68" s="20" t="s">
        <v>680</v>
      </c>
      <c r="F68" s="20" t="s">
        <v>681</v>
      </c>
      <c r="G68" s="8" t="str">
        <f t="shared" si="1"/>
        <v>YORK EDGAR</v>
      </c>
    </row>
    <row r="69" spans="1:7" x14ac:dyDescent="0.25">
      <c r="A69" s="8">
        <v>42841.3596875</v>
      </c>
      <c r="B69" s="20" t="s">
        <v>420</v>
      </c>
      <c r="C69" s="20" t="s">
        <v>721</v>
      </c>
      <c r="D69" s="146">
        <v>2040000</v>
      </c>
      <c r="E69" s="20" t="s">
        <v>694</v>
      </c>
      <c r="F69" s="20" t="s">
        <v>695</v>
      </c>
      <c r="G69" s="8" t="str">
        <f t="shared" si="1"/>
        <v>MOSES BRADLEY</v>
      </c>
    </row>
    <row r="70" spans="1:7" x14ac:dyDescent="0.25">
      <c r="A70" s="8">
        <v>42841.359976851854</v>
      </c>
      <c r="B70" s="20" t="s">
        <v>648</v>
      </c>
      <c r="C70" s="20" t="s">
        <v>722</v>
      </c>
      <c r="D70" s="146">
        <v>1360000</v>
      </c>
      <c r="E70" s="20" t="s">
        <v>570</v>
      </c>
      <c r="F70" s="20" t="s">
        <v>571</v>
      </c>
      <c r="G70" s="8" t="str">
        <f t="shared" si="1"/>
        <v>SANTIZO D. EDY</v>
      </c>
    </row>
    <row r="71" spans="1:7" x14ac:dyDescent="0.25">
      <c r="A71" s="8">
        <v>42841.370057870372</v>
      </c>
      <c r="B71" s="20" t="s">
        <v>539</v>
      </c>
      <c r="C71" s="20" t="s">
        <v>723</v>
      </c>
      <c r="D71" s="146">
        <v>1990000</v>
      </c>
      <c r="E71" s="20" t="s">
        <v>568</v>
      </c>
      <c r="F71" s="20" t="s">
        <v>569</v>
      </c>
      <c r="G71" s="8" t="str">
        <f t="shared" si="1"/>
        <v>DAVIS WENDY</v>
      </c>
    </row>
    <row r="72" spans="1:7" x14ac:dyDescent="0.25">
      <c r="A72" s="8">
        <v>42841.370740740742</v>
      </c>
      <c r="B72" s="20" t="s">
        <v>372</v>
      </c>
      <c r="C72" s="20" t="s">
        <v>724</v>
      </c>
      <c r="D72" s="146">
        <v>2020000</v>
      </c>
      <c r="E72" s="20" t="s">
        <v>546</v>
      </c>
      <c r="F72" s="20" t="s">
        <v>450</v>
      </c>
      <c r="G72" s="8" t="str">
        <f t="shared" si="1"/>
        <v>SHOOK JOHN</v>
      </c>
    </row>
    <row r="73" spans="1:7" x14ac:dyDescent="0.25">
      <c r="A73" s="8">
        <v>42841.372037037036</v>
      </c>
      <c r="B73" s="20" t="s">
        <v>376</v>
      </c>
      <c r="C73" s="20" t="s">
        <v>725</v>
      </c>
      <c r="D73" s="146">
        <v>1830000</v>
      </c>
      <c r="E73" s="20" t="s">
        <v>680</v>
      </c>
      <c r="F73" s="20" t="s">
        <v>681</v>
      </c>
      <c r="G73" s="8" t="str">
        <f t="shared" si="1"/>
        <v>YORK EDGAR</v>
      </c>
    </row>
    <row r="74" spans="1:7" x14ac:dyDescent="0.25">
      <c r="A74" s="8">
        <v>42841.380208333336</v>
      </c>
      <c r="B74" s="20" t="s">
        <v>538</v>
      </c>
      <c r="C74" s="20" t="s">
        <v>646</v>
      </c>
      <c r="D74" s="146">
        <v>2140000</v>
      </c>
      <c r="E74" s="20" t="s">
        <v>544</v>
      </c>
      <c r="F74" s="20" t="s">
        <v>545</v>
      </c>
      <c r="G74" s="8" t="str">
        <f t="shared" si="1"/>
        <v>ROBINSON KADDIBA</v>
      </c>
    </row>
    <row r="75" spans="1:7" x14ac:dyDescent="0.25">
      <c r="A75" s="8">
        <v>42841.383356481485</v>
      </c>
      <c r="B75" s="20" t="s">
        <v>380</v>
      </c>
      <c r="C75" s="20" t="s">
        <v>726</v>
      </c>
      <c r="D75" s="146">
        <v>2260000</v>
      </c>
      <c r="E75" s="20" t="s">
        <v>522</v>
      </c>
      <c r="F75" s="20" t="s">
        <v>523</v>
      </c>
      <c r="G75" s="8" t="str">
        <f t="shared" si="1"/>
        <v>ARVIDSON DANIEL</v>
      </c>
    </row>
    <row r="76" spans="1:7" x14ac:dyDescent="0.25">
      <c r="A76" s="8">
        <v>42841.387604166666</v>
      </c>
      <c r="B76" s="20" t="s">
        <v>567</v>
      </c>
      <c r="C76" s="20" t="s">
        <v>727</v>
      </c>
      <c r="D76" s="146">
        <v>1100000</v>
      </c>
      <c r="E76" s="20" t="s">
        <v>573</v>
      </c>
      <c r="F76" s="20" t="s">
        <v>574</v>
      </c>
      <c r="G76" s="8" t="str">
        <f t="shared" si="1"/>
        <v>GEBRETEKLE DAGNEW</v>
      </c>
    </row>
    <row r="77" spans="1:7" x14ac:dyDescent="0.25">
      <c r="A77" s="8">
        <v>42841.391319444447</v>
      </c>
      <c r="B77" s="20" t="s">
        <v>640</v>
      </c>
      <c r="C77" s="20" t="s">
        <v>728</v>
      </c>
      <c r="D77" s="146">
        <v>1360000</v>
      </c>
      <c r="E77" s="20" t="s">
        <v>570</v>
      </c>
      <c r="F77" s="20" t="s">
        <v>571</v>
      </c>
      <c r="G77" s="8" t="str">
        <f t="shared" si="1"/>
        <v>SANTIZO D. EDY</v>
      </c>
    </row>
    <row r="78" spans="1:7" x14ac:dyDescent="0.25">
      <c r="A78" s="8">
        <v>42841.391481481478</v>
      </c>
      <c r="B78" s="20" t="s">
        <v>423</v>
      </c>
      <c r="C78" s="20" t="s">
        <v>729</v>
      </c>
      <c r="D78" s="146">
        <v>2550000</v>
      </c>
      <c r="E78" s="20" t="s">
        <v>517</v>
      </c>
      <c r="F78" s="20" t="s">
        <v>518</v>
      </c>
      <c r="G78" s="8" t="str">
        <f t="shared" si="1"/>
        <v>BADERTSCHER DIANE</v>
      </c>
    </row>
    <row r="79" spans="1:7" x14ac:dyDescent="0.25">
      <c r="A79" s="8">
        <v>42841.399756944447</v>
      </c>
      <c r="B79" s="20" t="s">
        <v>412</v>
      </c>
      <c r="C79" s="20" t="s">
        <v>730</v>
      </c>
      <c r="D79" s="146">
        <v>1830000</v>
      </c>
      <c r="E79" s="20" t="s">
        <v>680</v>
      </c>
      <c r="F79" s="20" t="s">
        <v>681</v>
      </c>
      <c r="G79" s="8" t="str">
        <f t="shared" si="1"/>
        <v>YORK EDGAR</v>
      </c>
    </row>
    <row r="80" spans="1:7" x14ac:dyDescent="0.25">
      <c r="A80" s="8">
        <v>42841.402268518519</v>
      </c>
      <c r="B80" s="20" t="s">
        <v>482</v>
      </c>
      <c r="C80" s="20" t="s">
        <v>731</v>
      </c>
      <c r="D80" s="146">
        <v>1990000</v>
      </c>
      <c r="E80" s="20" t="s">
        <v>568</v>
      </c>
      <c r="F80" s="20" t="s">
        <v>569</v>
      </c>
      <c r="G80" s="8" t="str">
        <f t="shared" si="1"/>
        <v>DAVIS WENDY</v>
      </c>
    </row>
    <row r="81" spans="1:7" x14ac:dyDescent="0.25">
      <c r="A81" s="8">
        <v>42841.402962962966</v>
      </c>
      <c r="B81" s="20" t="s">
        <v>373</v>
      </c>
      <c r="C81" s="20" t="s">
        <v>732</v>
      </c>
      <c r="D81" s="146">
        <v>2020000</v>
      </c>
      <c r="E81" s="20" t="s">
        <v>546</v>
      </c>
      <c r="F81" s="20" t="s">
        <v>450</v>
      </c>
      <c r="G81" s="8" t="str">
        <f t="shared" si="1"/>
        <v>SHOOK JOHN</v>
      </c>
    </row>
    <row r="82" spans="1:7" x14ac:dyDescent="0.25">
      <c r="A82" s="8">
        <v>42841.412187499998</v>
      </c>
      <c r="B82" s="20" t="s">
        <v>536</v>
      </c>
      <c r="C82" s="20" t="s">
        <v>733</v>
      </c>
      <c r="D82" s="146">
        <v>2140000</v>
      </c>
      <c r="E82" s="20" t="s">
        <v>544</v>
      </c>
      <c r="F82" s="20" t="s">
        <v>545</v>
      </c>
      <c r="G82" s="8" t="str">
        <f t="shared" si="1"/>
        <v>ROBINSON KADDIBA</v>
      </c>
    </row>
    <row r="83" spans="1:7" x14ac:dyDescent="0.25">
      <c r="A83" s="8">
        <v>42841.414722222224</v>
      </c>
      <c r="B83" s="20" t="s">
        <v>376</v>
      </c>
      <c r="C83" s="20" t="s">
        <v>734</v>
      </c>
      <c r="D83" s="146">
        <v>1830000</v>
      </c>
      <c r="E83" s="20" t="s">
        <v>680</v>
      </c>
      <c r="F83" s="20" t="s">
        <v>681</v>
      </c>
      <c r="G83" s="8" t="str">
        <f t="shared" si="1"/>
        <v>YORK EDGAR</v>
      </c>
    </row>
    <row r="84" spans="1:7" x14ac:dyDescent="0.25">
      <c r="A84" s="8">
        <v>42841.421458333331</v>
      </c>
      <c r="B84" s="20" t="s">
        <v>381</v>
      </c>
      <c r="C84" s="20" t="s">
        <v>647</v>
      </c>
      <c r="D84" s="146">
        <v>2260000</v>
      </c>
      <c r="E84" s="20" t="s">
        <v>522</v>
      </c>
      <c r="F84" s="20" t="s">
        <v>523</v>
      </c>
      <c r="G84" s="8" t="str">
        <f t="shared" si="1"/>
        <v>ARVIDSON DANIEL</v>
      </c>
    </row>
    <row r="85" spans="1:7" x14ac:dyDescent="0.25">
      <c r="A85" s="8">
        <v>42841.421701388892</v>
      </c>
      <c r="B85" s="20" t="s">
        <v>477</v>
      </c>
      <c r="C85" s="20" t="s">
        <v>735</v>
      </c>
      <c r="D85" s="146">
        <v>1100000</v>
      </c>
      <c r="E85" s="20" t="s">
        <v>573</v>
      </c>
      <c r="F85" s="20" t="s">
        <v>574</v>
      </c>
      <c r="G85" s="8" t="str">
        <f t="shared" si="1"/>
        <v>GEBRETEKLE DAGNEW</v>
      </c>
    </row>
    <row r="86" spans="1:7" x14ac:dyDescent="0.25">
      <c r="A86" s="8">
        <v>42841.428541666668</v>
      </c>
      <c r="B86" s="20" t="s">
        <v>736</v>
      </c>
      <c r="C86" s="20" t="s">
        <v>737</v>
      </c>
      <c r="D86" s="146">
        <v>2370000</v>
      </c>
      <c r="E86" s="20" t="s">
        <v>519</v>
      </c>
      <c r="F86" s="20" t="s">
        <v>520</v>
      </c>
      <c r="G86" s="8" t="str">
        <f t="shared" si="1"/>
        <v>DELGADO DIANAH</v>
      </c>
    </row>
    <row r="87" spans="1:7" x14ac:dyDescent="0.25">
      <c r="A87" s="8">
        <v>42841.430891203701</v>
      </c>
      <c r="B87" s="20" t="s">
        <v>420</v>
      </c>
      <c r="C87" s="20" t="s">
        <v>738</v>
      </c>
      <c r="D87" s="146">
        <v>2550000</v>
      </c>
      <c r="E87" s="20" t="s">
        <v>517</v>
      </c>
      <c r="F87" s="20" t="s">
        <v>518</v>
      </c>
      <c r="G87" s="8" t="str">
        <f t="shared" si="1"/>
        <v>BADERTSCHER DIANE</v>
      </c>
    </row>
    <row r="88" spans="1:7" x14ac:dyDescent="0.25">
      <c r="A88" s="8">
        <v>42841.432708333334</v>
      </c>
      <c r="B88" s="20" t="s">
        <v>648</v>
      </c>
      <c r="C88" s="20" t="s">
        <v>649</v>
      </c>
      <c r="D88" s="146">
        <v>2470000</v>
      </c>
      <c r="E88" s="20" t="s">
        <v>739</v>
      </c>
      <c r="F88" s="20" t="s">
        <v>740</v>
      </c>
      <c r="G88" s="8" t="str">
        <f t="shared" si="1"/>
        <v>ROMERO CHAD</v>
      </c>
    </row>
    <row r="89" spans="1:7" x14ac:dyDescent="0.25">
      <c r="A89" s="8">
        <v>42841.440729166665</v>
      </c>
      <c r="B89" s="20" t="s">
        <v>699</v>
      </c>
      <c r="C89" s="20" t="s">
        <v>737</v>
      </c>
      <c r="D89" s="146">
        <v>2370000</v>
      </c>
      <c r="E89" s="20" t="s">
        <v>519</v>
      </c>
      <c r="F89" s="20" t="s">
        <v>520</v>
      </c>
      <c r="G89" s="8" t="str">
        <f t="shared" si="1"/>
        <v>DELGADO DIANAH</v>
      </c>
    </row>
    <row r="90" spans="1:7" x14ac:dyDescent="0.25">
      <c r="A90" s="8">
        <v>42841.44222222222</v>
      </c>
      <c r="B90" s="20" t="s">
        <v>412</v>
      </c>
      <c r="C90" s="20" t="s">
        <v>741</v>
      </c>
      <c r="D90" s="146">
        <v>1830000</v>
      </c>
      <c r="E90" s="20" t="s">
        <v>680</v>
      </c>
      <c r="F90" s="20" t="s">
        <v>681</v>
      </c>
      <c r="G90" s="8" t="str">
        <f t="shared" si="1"/>
        <v>YORK EDGAR</v>
      </c>
    </row>
    <row r="91" spans="1:7" x14ac:dyDescent="0.25">
      <c r="A91" s="8">
        <v>42841.443159722221</v>
      </c>
      <c r="B91" s="20" t="s">
        <v>539</v>
      </c>
      <c r="C91" s="20" t="s">
        <v>742</v>
      </c>
      <c r="D91" s="146">
        <v>1990000</v>
      </c>
      <c r="E91" s="20" t="s">
        <v>568</v>
      </c>
      <c r="F91" s="20" t="s">
        <v>569</v>
      </c>
      <c r="G91" s="8" t="str">
        <f t="shared" si="1"/>
        <v>DAVIS WENDY</v>
      </c>
    </row>
    <row r="92" spans="1:7" x14ac:dyDescent="0.25">
      <c r="A92" s="8">
        <v>42841.4453587963</v>
      </c>
      <c r="B92" s="20" t="s">
        <v>430</v>
      </c>
      <c r="C92" s="20" t="s">
        <v>743</v>
      </c>
      <c r="D92" s="146">
        <v>2020000</v>
      </c>
      <c r="E92" s="20" t="s">
        <v>546</v>
      </c>
      <c r="F92" s="20" t="s">
        <v>450</v>
      </c>
      <c r="G92" s="8" t="str">
        <f t="shared" si="1"/>
        <v>SHOOK JOHN</v>
      </c>
    </row>
    <row r="93" spans="1:7" x14ac:dyDescent="0.25">
      <c r="A93" s="8">
        <v>42841.4533912037</v>
      </c>
      <c r="B93" s="20" t="s">
        <v>538</v>
      </c>
      <c r="C93" s="20" t="s">
        <v>744</v>
      </c>
      <c r="D93" s="146">
        <v>2140000</v>
      </c>
      <c r="E93" s="20" t="s">
        <v>544</v>
      </c>
      <c r="F93" s="20" t="s">
        <v>545</v>
      </c>
      <c r="G93" s="8" t="str">
        <f t="shared" si="1"/>
        <v>ROBINSON KADDIBA</v>
      </c>
    </row>
    <row r="94" spans="1:7" x14ac:dyDescent="0.25">
      <c r="A94" s="8">
        <v>42841.455428240741</v>
      </c>
      <c r="B94" s="20" t="s">
        <v>376</v>
      </c>
      <c r="C94" s="20" t="s">
        <v>745</v>
      </c>
      <c r="D94" s="146">
        <v>1830000</v>
      </c>
      <c r="E94" s="20" t="s">
        <v>680</v>
      </c>
      <c r="F94" s="20" t="s">
        <v>681</v>
      </c>
      <c r="G94" s="8" t="str">
        <f t="shared" si="1"/>
        <v>YORK EDGAR</v>
      </c>
    </row>
    <row r="95" spans="1:7" x14ac:dyDescent="0.25">
      <c r="A95" s="8">
        <v>42841.456585648149</v>
      </c>
      <c r="B95" s="20" t="s">
        <v>380</v>
      </c>
      <c r="C95" s="20" t="s">
        <v>746</v>
      </c>
      <c r="D95" s="146">
        <v>880000</v>
      </c>
      <c r="E95" s="20" t="s">
        <v>575</v>
      </c>
      <c r="F95" s="20" t="s">
        <v>196</v>
      </c>
      <c r="G95" s="8" t="str">
        <f t="shared" si="1"/>
        <v>STEWART MICHAEL</v>
      </c>
    </row>
    <row r="96" spans="1:7" x14ac:dyDescent="0.25">
      <c r="A96" s="8">
        <v>42841.462858796294</v>
      </c>
      <c r="B96" s="20" t="s">
        <v>567</v>
      </c>
      <c r="C96" s="20" t="s">
        <v>747</v>
      </c>
      <c r="D96" s="146">
        <v>1100000</v>
      </c>
      <c r="E96" s="20" t="s">
        <v>573</v>
      </c>
      <c r="F96" s="20" t="s">
        <v>574</v>
      </c>
      <c r="G96" s="8" t="str">
        <f t="shared" si="1"/>
        <v>GEBRETEKLE DAGNEW</v>
      </c>
    </row>
    <row r="97" spans="1:7" x14ac:dyDescent="0.25">
      <c r="A97" s="8">
        <v>42841.465069444443</v>
      </c>
      <c r="B97" s="20" t="s">
        <v>640</v>
      </c>
      <c r="C97" s="20" t="s">
        <v>748</v>
      </c>
      <c r="D97" s="146">
        <v>2470000</v>
      </c>
      <c r="E97" s="20" t="s">
        <v>739</v>
      </c>
      <c r="F97" s="20" t="s">
        <v>740</v>
      </c>
      <c r="G97" s="8" t="str">
        <f t="shared" si="1"/>
        <v>ROMERO CHAD</v>
      </c>
    </row>
    <row r="98" spans="1:7" x14ac:dyDescent="0.25">
      <c r="A98" s="8">
        <v>42841.466863425929</v>
      </c>
      <c r="B98" s="20" t="s">
        <v>423</v>
      </c>
      <c r="C98" s="20" t="s">
        <v>749</v>
      </c>
      <c r="D98" s="146">
        <v>920000</v>
      </c>
      <c r="E98" s="20" t="s">
        <v>568</v>
      </c>
      <c r="F98" s="20" t="s">
        <v>196</v>
      </c>
      <c r="G98" s="8" t="str">
        <f t="shared" si="1"/>
        <v>DAVIS MICHAEL</v>
      </c>
    </row>
    <row r="99" spans="1:7" x14ac:dyDescent="0.25">
      <c r="A99" s="8">
        <v>42841.477152777778</v>
      </c>
      <c r="B99" s="20" t="s">
        <v>482</v>
      </c>
      <c r="C99" s="20" t="s">
        <v>750</v>
      </c>
      <c r="D99" s="146">
        <v>1300000</v>
      </c>
      <c r="E99" s="20" t="s">
        <v>576</v>
      </c>
      <c r="F99" s="20" t="s">
        <v>577</v>
      </c>
      <c r="G99" s="8" t="str">
        <f t="shared" si="1"/>
        <v>LEVIN SCOTT</v>
      </c>
    </row>
    <row r="100" spans="1:7" x14ac:dyDescent="0.25">
      <c r="A100" s="8">
        <v>42841.478298611109</v>
      </c>
      <c r="B100" s="20" t="s">
        <v>427</v>
      </c>
      <c r="C100" s="20" t="s">
        <v>751</v>
      </c>
      <c r="D100" s="146">
        <v>2020000</v>
      </c>
      <c r="E100" s="20" t="s">
        <v>546</v>
      </c>
      <c r="F100" s="20" t="s">
        <v>450</v>
      </c>
      <c r="G100" s="8" t="str">
        <f t="shared" si="1"/>
        <v>SHOOK JOHN</v>
      </c>
    </row>
    <row r="101" spans="1:7" x14ac:dyDescent="0.25">
      <c r="A101" s="8">
        <v>42841.482789351852</v>
      </c>
      <c r="B101" s="20" t="s">
        <v>412</v>
      </c>
      <c r="C101" s="20" t="s">
        <v>752</v>
      </c>
      <c r="D101" s="146">
        <v>1830000</v>
      </c>
      <c r="E101" s="20" t="s">
        <v>680</v>
      </c>
      <c r="F101" s="20" t="s">
        <v>681</v>
      </c>
      <c r="G101" s="8" t="str">
        <f t="shared" si="1"/>
        <v>YORK EDGAR</v>
      </c>
    </row>
    <row r="102" spans="1:7" x14ac:dyDescent="0.25">
      <c r="A102" s="8">
        <v>42841.488275462965</v>
      </c>
      <c r="B102" s="20" t="s">
        <v>536</v>
      </c>
      <c r="C102" s="20" t="s">
        <v>753</v>
      </c>
      <c r="D102" s="146">
        <v>1770000</v>
      </c>
      <c r="E102" s="20" t="s">
        <v>549</v>
      </c>
      <c r="F102" s="20" t="s">
        <v>550</v>
      </c>
      <c r="G102" s="8" t="str">
        <f t="shared" si="1"/>
        <v>BRUDER RICHARD</v>
      </c>
    </row>
    <row r="103" spans="1:7" x14ac:dyDescent="0.25">
      <c r="A103" s="8">
        <v>42841.488402777781</v>
      </c>
      <c r="B103" s="20" t="s">
        <v>736</v>
      </c>
      <c r="C103" s="20" t="s">
        <v>754</v>
      </c>
      <c r="D103" s="146">
        <v>2480000</v>
      </c>
      <c r="E103" s="20" t="s">
        <v>453</v>
      </c>
      <c r="F103" s="20" t="s">
        <v>454</v>
      </c>
      <c r="G103" s="8" t="str">
        <f t="shared" si="1"/>
        <v>WHITED DUSTIN</v>
      </c>
    </row>
    <row r="104" spans="1:7" x14ac:dyDescent="0.25">
      <c r="A104" s="8">
        <v>42841.495555555557</v>
      </c>
      <c r="B104" s="20" t="s">
        <v>699</v>
      </c>
      <c r="C104" s="20" t="s">
        <v>754</v>
      </c>
      <c r="D104" s="146">
        <v>2480000</v>
      </c>
      <c r="E104" s="20" t="s">
        <v>453</v>
      </c>
      <c r="F104" s="20" t="s">
        <v>454</v>
      </c>
      <c r="G104" s="8" t="str">
        <f t="shared" si="1"/>
        <v>WHITED DUSTIN</v>
      </c>
    </row>
    <row r="105" spans="1:7" x14ac:dyDescent="0.25">
      <c r="A105" s="8">
        <v>42841.496099537035</v>
      </c>
      <c r="B105" s="20" t="s">
        <v>381</v>
      </c>
      <c r="C105" s="20" t="s">
        <v>755</v>
      </c>
      <c r="D105" s="146">
        <v>880000</v>
      </c>
      <c r="E105" s="20" t="s">
        <v>575</v>
      </c>
      <c r="F105" s="20" t="s">
        <v>196</v>
      </c>
      <c r="G105" s="8" t="str">
        <f t="shared" si="1"/>
        <v>STEWART MICHAEL</v>
      </c>
    </row>
    <row r="106" spans="1:7" x14ac:dyDescent="0.25">
      <c r="A106" s="8">
        <v>42841.496527777781</v>
      </c>
      <c r="B106" s="20" t="s">
        <v>477</v>
      </c>
      <c r="C106" s="20" t="s">
        <v>756</v>
      </c>
      <c r="D106" s="146">
        <v>2540000</v>
      </c>
      <c r="E106" s="20" t="s">
        <v>757</v>
      </c>
      <c r="F106" s="20" t="s">
        <v>758</v>
      </c>
      <c r="G106" s="8" t="str">
        <f t="shared" si="1"/>
        <v>MCREYNOLDS KYLE</v>
      </c>
    </row>
    <row r="107" spans="1:7" x14ac:dyDescent="0.25">
      <c r="A107" s="8">
        <v>42841.504942129628</v>
      </c>
      <c r="B107" s="20" t="s">
        <v>648</v>
      </c>
      <c r="C107" s="20" t="s">
        <v>759</v>
      </c>
      <c r="D107" s="146">
        <v>2470000</v>
      </c>
      <c r="E107" s="20" t="s">
        <v>739</v>
      </c>
      <c r="F107" s="20" t="s">
        <v>740</v>
      </c>
      <c r="G107" s="8" t="str">
        <f t="shared" si="1"/>
        <v>ROMERO CHAD</v>
      </c>
    </row>
    <row r="108" spans="1:7" x14ac:dyDescent="0.25">
      <c r="A108" s="8">
        <v>42841.505983796298</v>
      </c>
      <c r="B108" s="20" t="s">
        <v>420</v>
      </c>
      <c r="C108" s="20" t="s">
        <v>760</v>
      </c>
      <c r="D108" s="146">
        <v>920000</v>
      </c>
      <c r="E108" s="20" t="s">
        <v>568</v>
      </c>
      <c r="F108" s="20" t="s">
        <v>196</v>
      </c>
      <c r="G108" s="8" t="str">
        <f t="shared" si="1"/>
        <v>DAVIS MICHAEL</v>
      </c>
    </row>
    <row r="109" spans="1:7" x14ac:dyDescent="0.25">
      <c r="A109" s="8">
        <v>42841.506030092591</v>
      </c>
      <c r="B109" s="20" t="s">
        <v>372</v>
      </c>
      <c r="C109" s="20" t="s">
        <v>761</v>
      </c>
      <c r="D109" s="146">
        <v>2480000</v>
      </c>
      <c r="E109" s="20" t="s">
        <v>453</v>
      </c>
      <c r="F109" s="20" t="s">
        <v>454</v>
      </c>
      <c r="G109" s="8" t="str">
        <f t="shared" si="1"/>
        <v>WHITED DUSTIN</v>
      </c>
    </row>
    <row r="110" spans="1:7" x14ac:dyDescent="0.25">
      <c r="A110" s="8">
        <v>42841.510937500003</v>
      </c>
      <c r="B110" s="20" t="s">
        <v>373</v>
      </c>
      <c r="C110" s="20" t="s">
        <v>761</v>
      </c>
      <c r="D110" s="146">
        <v>2480000</v>
      </c>
      <c r="E110" s="20" t="s">
        <v>453</v>
      </c>
      <c r="F110" s="20" t="s">
        <v>454</v>
      </c>
      <c r="G110" s="8" t="str">
        <f t="shared" si="1"/>
        <v>WHITED DUSTIN</v>
      </c>
    </row>
    <row r="111" spans="1:7" x14ac:dyDescent="0.25">
      <c r="A111" s="8">
        <v>42841.513402777775</v>
      </c>
      <c r="B111" s="20" t="s">
        <v>539</v>
      </c>
      <c r="C111" s="20" t="s">
        <v>652</v>
      </c>
      <c r="D111" s="146">
        <v>1300000</v>
      </c>
      <c r="E111" s="20" t="s">
        <v>576</v>
      </c>
      <c r="F111" s="20" t="s">
        <v>577</v>
      </c>
      <c r="G111" s="8" t="str">
        <f t="shared" si="1"/>
        <v>LEVIN SCOTT</v>
      </c>
    </row>
    <row r="112" spans="1:7" x14ac:dyDescent="0.25">
      <c r="A112" s="8">
        <v>42841.514074074075</v>
      </c>
      <c r="B112" s="20" t="s">
        <v>376</v>
      </c>
      <c r="C112" s="20" t="s">
        <v>762</v>
      </c>
      <c r="D112" s="146">
        <v>1830000</v>
      </c>
      <c r="E112" s="20" t="s">
        <v>680</v>
      </c>
      <c r="F112" s="20" t="s">
        <v>681</v>
      </c>
      <c r="G112" s="8" t="str">
        <f t="shared" si="1"/>
        <v>YORK EDGAR</v>
      </c>
    </row>
    <row r="113" spans="1:7" x14ac:dyDescent="0.25">
      <c r="A113" s="8">
        <v>42841.520266203705</v>
      </c>
      <c r="B113" s="20" t="s">
        <v>430</v>
      </c>
      <c r="C113" s="20" t="s">
        <v>763</v>
      </c>
      <c r="D113" s="146">
        <v>2360000</v>
      </c>
      <c r="E113" s="20" t="s">
        <v>547</v>
      </c>
      <c r="F113" s="20" t="s">
        <v>548</v>
      </c>
      <c r="G113" s="8" t="str">
        <f t="shared" si="1"/>
        <v>BRANDNER MELINDA</v>
      </c>
    </row>
    <row r="114" spans="1:7" x14ac:dyDescent="0.25">
      <c r="A114" s="8">
        <v>42841.524560185186</v>
      </c>
      <c r="B114" s="20" t="s">
        <v>538</v>
      </c>
      <c r="C114" s="20" t="s">
        <v>764</v>
      </c>
      <c r="D114" s="146">
        <v>1770000</v>
      </c>
      <c r="E114" s="20" t="s">
        <v>549</v>
      </c>
      <c r="F114" s="20" t="s">
        <v>550</v>
      </c>
      <c r="G114" s="8" t="str">
        <f t="shared" si="1"/>
        <v>BRUDER RICHARD</v>
      </c>
    </row>
    <row r="115" spans="1:7" x14ac:dyDescent="0.25">
      <c r="A115" s="8">
        <v>42841.524583333332</v>
      </c>
      <c r="B115" s="20" t="s">
        <v>412</v>
      </c>
      <c r="C115" s="20" t="s">
        <v>765</v>
      </c>
      <c r="D115" s="146">
        <v>1830000</v>
      </c>
      <c r="E115" s="20" t="s">
        <v>680</v>
      </c>
      <c r="F115" s="20" t="s">
        <v>681</v>
      </c>
      <c r="G115" s="8" t="str">
        <f t="shared" si="1"/>
        <v>YORK EDGAR</v>
      </c>
    </row>
    <row r="116" spans="1:7" x14ac:dyDescent="0.25">
      <c r="A116" s="8">
        <v>42841.527858796297</v>
      </c>
      <c r="B116" s="20" t="s">
        <v>380</v>
      </c>
      <c r="C116" s="20" t="s">
        <v>766</v>
      </c>
      <c r="D116" s="146">
        <v>880000</v>
      </c>
      <c r="E116" s="20" t="s">
        <v>575</v>
      </c>
      <c r="F116" s="20" t="s">
        <v>196</v>
      </c>
      <c r="G116" s="8" t="str">
        <f t="shared" si="1"/>
        <v>STEWART MICHAEL</v>
      </c>
    </row>
    <row r="117" spans="1:7" x14ac:dyDescent="0.25">
      <c r="A117" s="8">
        <v>42841.533379629633</v>
      </c>
      <c r="B117" s="20" t="s">
        <v>567</v>
      </c>
      <c r="C117" s="20" t="s">
        <v>767</v>
      </c>
      <c r="D117" s="146">
        <v>2540000</v>
      </c>
      <c r="E117" s="20" t="s">
        <v>757</v>
      </c>
      <c r="F117" s="20" t="s">
        <v>758</v>
      </c>
      <c r="G117" s="8" t="str">
        <f t="shared" si="1"/>
        <v>MCREYNOLDS KYLE</v>
      </c>
    </row>
    <row r="118" spans="1:7" x14ac:dyDescent="0.25">
      <c r="A118" s="8">
        <v>42841.539120370369</v>
      </c>
      <c r="B118" s="20" t="s">
        <v>423</v>
      </c>
      <c r="C118" s="20" t="s">
        <v>768</v>
      </c>
      <c r="D118" s="146">
        <v>920000</v>
      </c>
      <c r="E118" s="20" t="s">
        <v>568</v>
      </c>
      <c r="F118" s="20" t="s">
        <v>196</v>
      </c>
      <c r="G118" s="8" t="str">
        <f t="shared" si="1"/>
        <v>DAVIS MICHAEL</v>
      </c>
    </row>
    <row r="119" spans="1:7" x14ac:dyDescent="0.25">
      <c r="A119" s="8">
        <v>42841.540960648148</v>
      </c>
      <c r="B119" s="20" t="s">
        <v>376</v>
      </c>
      <c r="C119" s="20" t="s">
        <v>769</v>
      </c>
      <c r="D119" s="146">
        <v>1830000</v>
      </c>
      <c r="E119" s="20" t="s">
        <v>680</v>
      </c>
      <c r="F119" s="20" t="s">
        <v>681</v>
      </c>
      <c r="G119" s="8" t="str">
        <f t="shared" si="1"/>
        <v>YORK EDGAR</v>
      </c>
    </row>
    <row r="120" spans="1:7" x14ac:dyDescent="0.25">
      <c r="A120" s="8">
        <v>42841.546134259261</v>
      </c>
      <c r="B120" s="20" t="s">
        <v>640</v>
      </c>
      <c r="C120" s="20" t="s">
        <v>770</v>
      </c>
      <c r="D120" s="146">
        <v>2470000</v>
      </c>
      <c r="E120" s="20" t="s">
        <v>739</v>
      </c>
      <c r="F120" s="20" t="s">
        <v>740</v>
      </c>
      <c r="G120" s="8" t="str">
        <f t="shared" si="1"/>
        <v>ROMERO CHAD</v>
      </c>
    </row>
    <row r="121" spans="1:7" x14ac:dyDescent="0.25">
      <c r="A121" s="8">
        <v>42841.547905092593</v>
      </c>
      <c r="B121" s="20" t="s">
        <v>482</v>
      </c>
      <c r="C121" s="20" t="s">
        <v>771</v>
      </c>
      <c r="D121" s="146">
        <v>1300000</v>
      </c>
      <c r="E121" s="20" t="s">
        <v>576</v>
      </c>
      <c r="F121" s="20" t="s">
        <v>577</v>
      </c>
      <c r="G121" s="8" t="str">
        <f t="shared" si="1"/>
        <v>LEVIN SCOTT</v>
      </c>
    </row>
    <row r="122" spans="1:7" x14ac:dyDescent="0.25">
      <c r="A122" s="8">
        <v>42841.55667824074</v>
      </c>
      <c r="B122" s="25" t="s">
        <v>427</v>
      </c>
      <c r="C122" s="20" t="s">
        <v>653</v>
      </c>
      <c r="D122" s="146">
        <v>2360000</v>
      </c>
      <c r="E122" s="20" t="s">
        <v>547</v>
      </c>
      <c r="F122" s="20" t="s">
        <v>548</v>
      </c>
      <c r="G122" s="8" t="str">
        <f t="shared" si="1"/>
        <v>BRANDNER MELINDA</v>
      </c>
    </row>
    <row r="123" spans="1:7" x14ac:dyDescent="0.25">
      <c r="A123" s="8">
        <v>42841.557303240741</v>
      </c>
      <c r="B123" s="20" t="s">
        <v>536</v>
      </c>
      <c r="C123" s="20" t="s">
        <v>772</v>
      </c>
      <c r="D123" s="146">
        <v>1770000</v>
      </c>
      <c r="E123" s="20" t="s">
        <v>549</v>
      </c>
      <c r="F123" s="20" t="s">
        <v>550</v>
      </c>
      <c r="G123" s="8" t="str">
        <f t="shared" si="1"/>
        <v>BRUDER RICHARD</v>
      </c>
    </row>
    <row r="124" spans="1:7" x14ac:dyDescent="0.25">
      <c r="A124" s="8">
        <v>42841.567384259259</v>
      </c>
      <c r="B124" s="20" t="s">
        <v>412</v>
      </c>
      <c r="C124" s="20" t="s">
        <v>773</v>
      </c>
      <c r="D124" s="146">
        <v>1830000</v>
      </c>
      <c r="E124" s="20" t="s">
        <v>680</v>
      </c>
      <c r="F124" s="20" t="s">
        <v>681</v>
      </c>
      <c r="G124" s="8" t="str">
        <f t="shared" si="1"/>
        <v>YORK EDGAR</v>
      </c>
    </row>
    <row r="125" spans="1:7" x14ac:dyDescent="0.25">
      <c r="A125" s="8">
        <v>42841.567858796298</v>
      </c>
      <c r="B125" s="20" t="s">
        <v>381</v>
      </c>
      <c r="C125" s="20" t="s">
        <v>774</v>
      </c>
      <c r="D125" s="146">
        <v>880000</v>
      </c>
      <c r="E125" s="20" t="s">
        <v>575</v>
      </c>
      <c r="F125" s="20" t="s">
        <v>196</v>
      </c>
      <c r="G125" s="8" t="str">
        <f t="shared" si="1"/>
        <v>STEWART MICHAEL</v>
      </c>
    </row>
    <row r="126" spans="1:7" x14ac:dyDescent="0.25">
      <c r="A126" s="8">
        <v>42841.569108796299</v>
      </c>
      <c r="B126" s="20" t="s">
        <v>477</v>
      </c>
      <c r="C126" s="20" t="s">
        <v>775</v>
      </c>
      <c r="D126" s="146">
        <v>2540000</v>
      </c>
      <c r="E126" s="20" t="s">
        <v>757</v>
      </c>
      <c r="F126" s="20" t="s">
        <v>758</v>
      </c>
      <c r="G126" s="8" t="str">
        <f t="shared" si="1"/>
        <v>MCREYNOLDS KYLE</v>
      </c>
    </row>
    <row r="127" spans="1:7" x14ac:dyDescent="0.25">
      <c r="A127" s="8">
        <v>42841.579074074078</v>
      </c>
      <c r="B127" s="20" t="s">
        <v>420</v>
      </c>
      <c r="C127" s="20" t="s">
        <v>776</v>
      </c>
      <c r="D127" s="146">
        <v>920000</v>
      </c>
      <c r="E127" s="20" t="s">
        <v>568</v>
      </c>
      <c r="F127" s="20" t="s">
        <v>196</v>
      </c>
      <c r="G127" s="8" t="str">
        <f t="shared" si="1"/>
        <v>DAVIS MICHAEL</v>
      </c>
    </row>
    <row r="128" spans="1:7" x14ac:dyDescent="0.25">
      <c r="A128" s="8">
        <v>42841.580300925925</v>
      </c>
      <c r="B128" s="20" t="s">
        <v>648</v>
      </c>
      <c r="C128" s="20" t="s">
        <v>654</v>
      </c>
      <c r="D128" s="146">
        <v>2470000</v>
      </c>
      <c r="E128" s="20" t="s">
        <v>739</v>
      </c>
      <c r="F128" s="20" t="s">
        <v>740</v>
      </c>
      <c r="G128" s="8" t="str">
        <f t="shared" si="1"/>
        <v>ROMERO CHAD</v>
      </c>
    </row>
    <row r="129" spans="1:7" x14ac:dyDescent="0.25">
      <c r="A129" s="8">
        <v>42841.588159722225</v>
      </c>
      <c r="B129" s="20" t="s">
        <v>539</v>
      </c>
      <c r="C129" s="20" t="s">
        <v>777</v>
      </c>
      <c r="D129" s="146">
        <v>1300000</v>
      </c>
      <c r="E129" s="20" t="s">
        <v>576</v>
      </c>
      <c r="F129" s="20" t="s">
        <v>577</v>
      </c>
      <c r="G129" s="8" t="str">
        <f t="shared" si="1"/>
        <v>LEVIN SCOTT</v>
      </c>
    </row>
    <row r="130" spans="1:7" x14ac:dyDescent="0.25">
      <c r="A130" s="8">
        <v>42841.589942129627</v>
      </c>
      <c r="B130" s="20" t="s">
        <v>430</v>
      </c>
      <c r="C130" s="20" t="s">
        <v>655</v>
      </c>
      <c r="D130" s="146">
        <v>2360000</v>
      </c>
      <c r="E130" s="20" t="s">
        <v>547</v>
      </c>
      <c r="F130" s="20" t="s">
        <v>548</v>
      </c>
      <c r="G130" s="8" t="str">
        <f t="shared" si="1"/>
        <v>BRANDNER MELINDA</v>
      </c>
    </row>
    <row r="131" spans="1:7" x14ac:dyDescent="0.25">
      <c r="A131" s="8">
        <v>42841.594247685185</v>
      </c>
      <c r="B131" s="20" t="s">
        <v>376</v>
      </c>
      <c r="C131" s="20" t="s">
        <v>778</v>
      </c>
      <c r="D131" s="146">
        <v>1540000</v>
      </c>
      <c r="E131" s="20" t="s">
        <v>580</v>
      </c>
      <c r="F131" s="20" t="s">
        <v>581</v>
      </c>
      <c r="G131" s="8" t="str">
        <f t="shared" ref="G131:G194" si="2">E131&amp;" "&amp;F131</f>
        <v>HELVIE ADAM</v>
      </c>
    </row>
    <row r="132" spans="1:7" x14ac:dyDescent="0.25">
      <c r="A132" s="8">
        <v>42841.595821759256</v>
      </c>
      <c r="B132" s="20" t="s">
        <v>538</v>
      </c>
      <c r="C132" s="20" t="s">
        <v>779</v>
      </c>
      <c r="D132" s="146">
        <v>1770000</v>
      </c>
      <c r="E132" s="20" t="s">
        <v>549</v>
      </c>
      <c r="F132" s="20" t="s">
        <v>550</v>
      </c>
      <c r="G132" s="8" t="str">
        <f t="shared" si="2"/>
        <v>BRUDER RICHARD</v>
      </c>
    </row>
    <row r="133" spans="1:7" x14ac:dyDescent="0.25">
      <c r="A133" s="8">
        <v>42841.601469907408</v>
      </c>
      <c r="B133" s="20" t="s">
        <v>380</v>
      </c>
      <c r="C133" s="20" t="s">
        <v>780</v>
      </c>
      <c r="D133" s="146">
        <v>880000</v>
      </c>
      <c r="E133" s="20" t="s">
        <v>575</v>
      </c>
      <c r="F133" s="20" t="s">
        <v>196</v>
      </c>
      <c r="G133" s="8" t="str">
        <f t="shared" si="2"/>
        <v>STEWART MICHAEL</v>
      </c>
    </row>
    <row r="134" spans="1:7" x14ac:dyDescent="0.25">
      <c r="A134" s="8">
        <v>42841.602233796293</v>
      </c>
      <c r="B134" s="20" t="s">
        <v>567</v>
      </c>
      <c r="C134" s="20" t="s">
        <v>656</v>
      </c>
      <c r="D134" s="146">
        <v>2540000</v>
      </c>
      <c r="E134" s="20" t="s">
        <v>757</v>
      </c>
      <c r="F134" s="20" t="s">
        <v>758</v>
      </c>
      <c r="G134" s="8" t="str">
        <f t="shared" si="2"/>
        <v>MCREYNOLDS KYLE</v>
      </c>
    </row>
    <row r="135" spans="1:7" x14ac:dyDescent="0.25">
      <c r="A135" s="8">
        <v>42841.609780092593</v>
      </c>
      <c r="B135" s="20" t="s">
        <v>640</v>
      </c>
      <c r="C135" s="20" t="s">
        <v>781</v>
      </c>
      <c r="D135" s="146">
        <v>2470000</v>
      </c>
      <c r="E135" s="20" t="s">
        <v>739</v>
      </c>
      <c r="F135" s="20" t="s">
        <v>740</v>
      </c>
      <c r="G135" s="8" t="str">
        <f t="shared" si="2"/>
        <v>ROMERO CHAD</v>
      </c>
    </row>
    <row r="136" spans="1:7" x14ac:dyDescent="0.25">
      <c r="A136" s="8">
        <v>42841.610659722224</v>
      </c>
      <c r="B136" s="20" t="s">
        <v>412</v>
      </c>
      <c r="C136" s="20" t="s">
        <v>782</v>
      </c>
      <c r="D136" s="146">
        <v>1540000</v>
      </c>
      <c r="E136" s="20" t="s">
        <v>580</v>
      </c>
      <c r="F136" s="20" t="s">
        <v>581</v>
      </c>
      <c r="G136" s="8" t="str">
        <f t="shared" si="2"/>
        <v>HELVIE ADAM</v>
      </c>
    </row>
    <row r="137" spans="1:7" x14ac:dyDescent="0.25">
      <c r="A137" s="8">
        <v>42841.61309027778</v>
      </c>
      <c r="B137" s="20" t="s">
        <v>423</v>
      </c>
      <c r="C137" s="20" t="s">
        <v>783</v>
      </c>
      <c r="D137" s="146">
        <v>920000</v>
      </c>
      <c r="E137" s="20" t="s">
        <v>568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42841.621504629627</v>
      </c>
      <c r="B138" s="20" t="s">
        <v>482</v>
      </c>
      <c r="C138" s="20" t="s">
        <v>784</v>
      </c>
      <c r="D138" s="146">
        <v>1300000</v>
      </c>
      <c r="E138" s="20" t="s">
        <v>576</v>
      </c>
      <c r="F138" s="20" t="s">
        <v>577</v>
      </c>
      <c r="G138" s="8" t="str">
        <f t="shared" si="2"/>
        <v>LEVIN SCOTT</v>
      </c>
    </row>
    <row r="139" spans="1:7" x14ac:dyDescent="0.25">
      <c r="A139" s="8">
        <v>42841.623229166667</v>
      </c>
      <c r="B139" s="20" t="s">
        <v>427</v>
      </c>
      <c r="C139" s="20" t="s">
        <v>785</v>
      </c>
      <c r="D139" s="146">
        <v>2360000</v>
      </c>
      <c r="E139" s="20" t="s">
        <v>547</v>
      </c>
      <c r="F139" s="20" t="s">
        <v>548</v>
      </c>
      <c r="G139" s="8" t="str">
        <f t="shared" si="2"/>
        <v>BRANDNER MELINDA</v>
      </c>
    </row>
    <row r="140" spans="1:7" x14ac:dyDescent="0.25">
      <c r="A140" s="8">
        <v>42841.631006944444</v>
      </c>
      <c r="B140" s="20" t="s">
        <v>536</v>
      </c>
      <c r="C140" s="20" t="s">
        <v>786</v>
      </c>
      <c r="D140" s="146">
        <v>1770000</v>
      </c>
      <c r="E140" s="20" t="s">
        <v>549</v>
      </c>
      <c r="F140" s="20" t="s">
        <v>550</v>
      </c>
      <c r="G140" s="8" t="str">
        <f t="shared" si="2"/>
        <v>BRUDER RICHARD</v>
      </c>
    </row>
    <row r="141" spans="1:7" x14ac:dyDescent="0.25">
      <c r="A141" s="8">
        <v>42841.637685185182</v>
      </c>
      <c r="B141" s="20" t="s">
        <v>376</v>
      </c>
      <c r="C141" s="20" t="s">
        <v>787</v>
      </c>
      <c r="D141" s="146">
        <v>1540000</v>
      </c>
      <c r="E141" s="20" t="s">
        <v>580</v>
      </c>
      <c r="F141" s="20" t="s">
        <v>581</v>
      </c>
      <c r="G141" s="8" t="str">
        <f t="shared" si="2"/>
        <v>HELVIE ADAM</v>
      </c>
    </row>
    <row r="142" spans="1:7" x14ac:dyDescent="0.25">
      <c r="A142" s="8">
        <v>42841.640636574077</v>
      </c>
      <c r="B142" s="20" t="s">
        <v>477</v>
      </c>
      <c r="C142" s="20" t="s">
        <v>788</v>
      </c>
      <c r="D142" s="146">
        <v>2540000</v>
      </c>
      <c r="E142" s="20" t="s">
        <v>757</v>
      </c>
      <c r="F142" s="20" t="s">
        <v>758</v>
      </c>
      <c r="G142" s="8" t="str">
        <f t="shared" si="2"/>
        <v>MCREYNOLDS KYLE</v>
      </c>
    </row>
    <row r="143" spans="1:7" x14ac:dyDescent="0.25">
      <c r="A143" s="8">
        <v>42841.641319444447</v>
      </c>
      <c r="B143" s="20" t="s">
        <v>381</v>
      </c>
      <c r="C143" s="20" t="s">
        <v>789</v>
      </c>
      <c r="D143" s="146">
        <v>880000</v>
      </c>
      <c r="E143" s="20" t="s">
        <v>575</v>
      </c>
      <c r="F143" s="20" t="s">
        <v>196</v>
      </c>
      <c r="G143" s="8" t="str">
        <f t="shared" si="2"/>
        <v>STEWART MICHAEL</v>
      </c>
    </row>
    <row r="144" spans="1:7" x14ac:dyDescent="0.25">
      <c r="A144" s="8">
        <v>42841.65048611111</v>
      </c>
      <c r="B144" s="20" t="s">
        <v>412</v>
      </c>
      <c r="C144" s="20" t="s">
        <v>790</v>
      </c>
      <c r="D144" s="146">
        <v>1540000</v>
      </c>
      <c r="E144" s="20" t="s">
        <v>580</v>
      </c>
      <c r="F144" s="20" t="s">
        <v>581</v>
      </c>
      <c r="G144" s="8" t="str">
        <f t="shared" si="2"/>
        <v>HELVIE ADAM</v>
      </c>
    </row>
    <row r="145" spans="1:7" x14ac:dyDescent="0.25">
      <c r="A145" s="8">
        <v>42841.651250000003</v>
      </c>
      <c r="B145" s="20" t="s">
        <v>648</v>
      </c>
      <c r="C145" s="20" t="s">
        <v>791</v>
      </c>
      <c r="D145" s="146">
        <v>2470000</v>
      </c>
      <c r="E145" s="20" t="s">
        <v>739</v>
      </c>
      <c r="F145" s="20" t="s">
        <v>740</v>
      </c>
      <c r="G145" s="8" t="str">
        <f t="shared" si="2"/>
        <v>ROMERO CHAD</v>
      </c>
    </row>
    <row r="146" spans="1:7" x14ac:dyDescent="0.25">
      <c r="A146" s="8">
        <v>42841.651516203703</v>
      </c>
      <c r="B146" s="20" t="s">
        <v>420</v>
      </c>
      <c r="C146" s="20" t="s">
        <v>792</v>
      </c>
      <c r="D146" s="146">
        <v>920000</v>
      </c>
      <c r="E146" s="20" t="s">
        <v>568</v>
      </c>
      <c r="F146" s="20" t="s">
        <v>196</v>
      </c>
      <c r="G146" s="8" t="str">
        <f t="shared" si="2"/>
        <v>DAVIS MICHAEL</v>
      </c>
    </row>
    <row r="147" spans="1:7" x14ac:dyDescent="0.25">
      <c r="A147" s="8">
        <v>42841.66269675926</v>
      </c>
      <c r="B147" s="20" t="s">
        <v>539</v>
      </c>
      <c r="C147" s="20" t="s">
        <v>793</v>
      </c>
      <c r="D147" s="146">
        <v>1300000</v>
      </c>
      <c r="E147" s="20" t="s">
        <v>576</v>
      </c>
      <c r="F147" s="20" t="s">
        <v>577</v>
      </c>
      <c r="G147" s="8" t="str">
        <f t="shared" si="2"/>
        <v>LEVIN SCOTT</v>
      </c>
    </row>
    <row r="148" spans="1:7" x14ac:dyDescent="0.25">
      <c r="A148" s="8">
        <v>42841.663726851853</v>
      </c>
      <c r="B148" s="20" t="s">
        <v>430</v>
      </c>
      <c r="C148" s="20" t="s">
        <v>657</v>
      </c>
      <c r="D148" s="146">
        <v>2360000</v>
      </c>
      <c r="E148" s="20" t="s">
        <v>547</v>
      </c>
      <c r="F148" s="20" t="s">
        <v>548</v>
      </c>
      <c r="G148" s="8" t="str">
        <f t="shared" si="2"/>
        <v>BRANDNER MELINDA</v>
      </c>
    </row>
    <row r="149" spans="1:7" x14ac:dyDescent="0.25">
      <c r="A149" s="8">
        <v>42841.667939814812</v>
      </c>
      <c r="B149" s="20" t="s">
        <v>538</v>
      </c>
      <c r="C149" s="20" t="s">
        <v>794</v>
      </c>
      <c r="D149" s="146">
        <v>1770000</v>
      </c>
      <c r="E149" s="20" t="s">
        <v>549</v>
      </c>
      <c r="F149" s="20" t="s">
        <v>550</v>
      </c>
      <c r="G149" s="8" t="str">
        <f t="shared" si="2"/>
        <v>BRUDER RICHARD</v>
      </c>
    </row>
    <row r="150" spans="1:7" x14ac:dyDescent="0.25">
      <c r="A150" s="8">
        <v>42841.674340277779</v>
      </c>
      <c r="B150" s="20" t="s">
        <v>380</v>
      </c>
      <c r="C150" s="20" t="s">
        <v>795</v>
      </c>
      <c r="D150" s="146">
        <v>880000</v>
      </c>
      <c r="E150" s="20" t="s">
        <v>575</v>
      </c>
      <c r="F150" s="20" t="s">
        <v>196</v>
      </c>
      <c r="G150" s="8" t="str">
        <f t="shared" si="2"/>
        <v>STEWART MICHAEL</v>
      </c>
    </row>
    <row r="151" spans="1:7" x14ac:dyDescent="0.25">
      <c r="A151" s="8">
        <v>42841.680393518516</v>
      </c>
      <c r="B151" s="20" t="s">
        <v>376</v>
      </c>
      <c r="C151" s="20" t="s">
        <v>796</v>
      </c>
      <c r="D151" s="146">
        <v>1540000</v>
      </c>
      <c r="E151" s="20" t="s">
        <v>580</v>
      </c>
      <c r="F151" s="20" t="s">
        <v>581</v>
      </c>
      <c r="G151" s="8" t="str">
        <f t="shared" si="2"/>
        <v>HELVIE ADAM</v>
      </c>
    </row>
    <row r="152" spans="1:7" x14ac:dyDescent="0.25">
      <c r="A152" s="8">
        <v>42841.681261574071</v>
      </c>
      <c r="B152" s="20" t="s">
        <v>567</v>
      </c>
      <c r="C152" s="20" t="s">
        <v>797</v>
      </c>
      <c r="D152" s="146">
        <v>2540000</v>
      </c>
      <c r="E152" s="20" t="s">
        <v>757</v>
      </c>
      <c r="F152" s="20" t="s">
        <v>758</v>
      </c>
      <c r="G152" s="8" t="str">
        <f t="shared" si="2"/>
        <v>MCREYNOLDS KYLE</v>
      </c>
    </row>
    <row r="153" spans="1:7" x14ac:dyDescent="0.25">
      <c r="A153" s="8">
        <v>42841.685532407406</v>
      </c>
      <c r="B153" s="20" t="s">
        <v>423</v>
      </c>
      <c r="C153" s="20" t="s">
        <v>798</v>
      </c>
      <c r="D153" s="146">
        <v>920000</v>
      </c>
      <c r="E153" s="20" t="s">
        <v>568</v>
      </c>
      <c r="F153" s="20" t="s">
        <v>196</v>
      </c>
      <c r="G153" s="8" t="str">
        <f t="shared" si="2"/>
        <v>DAVIS MICHAEL</v>
      </c>
    </row>
    <row r="154" spans="1:7" x14ac:dyDescent="0.25">
      <c r="A154" s="8">
        <v>42841.687905092593</v>
      </c>
      <c r="B154" s="20" t="s">
        <v>640</v>
      </c>
      <c r="C154" s="20" t="s">
        <v>799</v>
      </c>
      <c r="D154" s="146">
        <v>2470000</v>
      </c>
      <c r="E154" s="20" t="s">
        <v>739</v>
      </c>
      <c r="F154" s="20" t="s">
        <v>740</v>
      </c>
      <c r="G154" s="8" t="str">
        <f t="shared" si="2"/>
        <v>ROMERO CHAD</v>
      </c>
    </row>
    <row r="155" spans="1:7" x14ac:dyDescent="0.25">
      <c r="A155" s="8">
        <v>42841.692037037035</v>
      </c>
      <c r="B155" s="20" t="s">
        <v>412</v>
      </c>
      <c r="C155" s="20" t="s">
        <v>800</v>
      </c>
      <c r="D155" s="146">
        <v>1540000</v>
      </c>
      <c r="E155" s="20" t="s">
        <v>580</v>
      </c>
      <c r="F155" s="20" t="s">
        <v>581</v>
      </c>
      <c r="G155" s="8" t="str">
        <f t="shared" si="2"/>
        <v>HELVIE ADAM</v>
      </c>
    </row>
    <row r="156" spans="1:7" x14ac:dyDescent="0.25">
      <c r="A156" s="8">
        <v>42841.693067129629</v>
      </c>
      <c r="B156" s="20" t="s">
        <v>482</v>
      </c>
      <c r="C156" s="20" t="s">
        <v>801</v>
      </c>
      <c r="D156" s="146">
        <v>1300000</v>
      </c>
      <c r="E156" s="20" t="s">
        <v>576</v>
      </c>
      <c r="F156" s="20" t="s">
        <v>577</v>
      </c>
      <c r="G156" s="8" t="str">
        <f t="shared" si="2"/>
        <v>LEVIN SCOTT</v>
      </c>
    </row>
    <row r="157" spans="1:7" x14ac:dyDescent="0.25">
      <c r="A157" s="8">
        <v>42841.701180555552</v>
      </c>
      <c r="B157" s="20" t="s">
        <v>427</v>
      </c>
      <c r="C157" s="20" t="s">
        <v>658</v>
      </c>
      <c r="D157" s="146">
        <v>2360000</v>
      </c>
      <c r="E157" s="20" t="s">
        <v>547</v>
      </c>
      <c r="F157" s="20" t="s">
        <v>548</v>
      </c>
      <c r="G157" s="8" t="str">
        <f t="shared" si="2"/>
        <v>BRANDNER MELINDA</v>
      </c>
    </row>
    <row r="158" spans="1:7" x14ac:dyDescent="0.25">
      <c r="A158" s="8">
        <v>42841.704756944448</v>
      </c>
      <c r="B158" s="20" t="s">
        <v>536</v>
      </c>
      <c r="C158" s="20" t="s">
        <v>802</v>
      </c>
      <c r="D158" s="146">
        <v>1770000</v>
      </c>
      <c r="E158" s="20" t="s">
        <v>549</v>
      </c>
      <c r="F158" s="20" t="s">
        <v>550</v>
      </c>
      <c r="G158" s="8" t="str">
        <f t="shared" si="2"/>
        <v>BRUDER RICHARD</v>
      </c>
    </row>
    <row r="159" spans="1:7" x14ac:dyDescent="0.25">
      <c r="A159" s="8">
        <v>42841.705277777779</v>
      </c>
      <c r="B159" s="20" t="s">
        <v>372</v>
      </c>
      <c r="C159" s="20" t="s">
        <v>803</v>
      </c>
      <c r="D159" s="146">
        <v>2530000</v>
      </c>
      <c r="E159" s="20" t="s">
        <v>578</v>
      </c>
      <c r="F159" s="20" t="s">
        <v>579</v>
      </c>
      <c r="G159" s="8" t="str">
        <f t="shared" si="2"/>
        <v>LALONDE GREGORY</v>
      </c>
    </row>
    <row r="160" spans="1:7" x14ac:dyDescent="0.25">
      <c r="A160" s="8">
        <v>42841.715219907404</v>
      </c>
      <c r="B160" s="20" t="s">
        <v>381</v>
      </c>
      <c r="C160" s="20" t="s">
        <v>804</v>
      </c>
      <c r="D160" s="146">
        <v>880000</v>
      </c>
      <c r="E160" s="20" t="s">
        <v>575</v>
      </c>
      <c r="F160" s="20" t="s">
        <v>196</v>
      </c>
      <c r="G160" s="8" t="str">
        <f t="shared" si="2"/>
        <v>STEWART MICHAEL</v>
      </c>
    </row>
    <row r="161" spans="1:7" x14ac:dyDescent="0.25">
      <c r="A161" s="8">
        <v>42841.716874999998</v>
      </c>
      <c r="B161" s="20" t="s">
        <v>477</v>
      </c>
      <c r="C161" s="20" t="s">
        <v>805</v>
      </c>
      <c r="D161" s="146">
        <v>1800000</v>
      </c>
      <c r="E161" s="20" t="s">
        <v>392</v>
      </c>
      <c r="F161" s="20" t="s">
        <v>393</v>
      </c>
      <c r="G161" s="8" t="str">
        <f t="shared" si="2"/>
        <v>CHANDLER KELVIN</v>
      </c>
    </row>
    <row r="162" spans="1:7" x14ac:dyDescent="0.25">
      <c r="A162" s="8">
        <v>42841.720462962963</v>
      </c>
      <c r="B162" s="20" t="s">
        <v>376</v>
      </c>
      <c r="C162" s="20" t="s">
        <v>806</v>
      </c>
      <c r="D162" s="146">
        <v>1540000</v>
      </c>
      <c r="E162" s="20" t="s">
        <v>580</v>
      </c>
      <c r="F162" s="20" t="s">
        <v>581</v>
      </c>
      <c r="G162" s="8" t="str">
        <f t="shared" si="2"/>
        <v>HELVIE ADAM</v>
      </c>
    </row>
    <row r="163" spans="1:7" x14ac:dyDescent="0.25">
      <c r="A163" s="8">
        <v>42841.723645833335</v>
      </c>
      <c r="B163" s="20" t="s">
        <v>648</v>
      </c>
      <c r="C163" s="20" t="s">
        <v>807</v>
      </c>
      <c r="D163" s="146">
        <v>2600000</v>
      </c>
      <c r="E163" s="20" t="s">
        <v>582</v>
      </c>
      <c r="F163" s="20" t="s">
        <v>583</v>
      </c>
      <c r="G163" s="8" t="str">
        <f t="shared" si="2"/>
        <v>DAVIDSON DAVID</v>
      </c>
    </row>
    <row r="164" spans="1:7" x14ac:dyDescent="0.25">
      <c r="A164" s="8">
        <v>42841.724178240744</v>
      </c>
      <c r="B164" s="20" t="s">
        <v>420</v>
      </c>
      <c r="C164" s="20" t="s">
        <v>808</v>
      </c>
      <c r="D164" s="146">
        <v>920000</v>
      </c>
      <c r="E164" s="20" t="s">
        <v>568</v>
      </c>
      <c r="F164" s="20" t="s">
        <v>196</v>
      </c>
      <c r="G164" s="8" t="str">
        <f t="shared" si="2"/>
        <v>DAVIS MICHAEL</v>
      </c>
    </row>
    <row r="165" spans="1:7" x14ac:dyDescent="0.25">
      <c r="A165" s="8">
        <v>42841.733842592592</v>
      </c>
      <c r="B165" s="20" t="s">
        <v>412</v>
      </c>
      <c r="C165" s="20" t="s">
        <v>809</v>
      </c>
      <c r="D165" s="146">
        <v>1540000</v>
      </c>
      <c r="E165" s="20" t="s">
        <v>580</v>
      </c>
      <c r="F165" s="20" t="s">
        <v>581</v>
      </c>
      <c r="G165" s="8" t="str">
        <f t="shared" si="2"/>
        <v>HELVIE ADAM</v>
      </c>
    </row>
    <row r="166" spans="1:7" x14ac:dyDescent="0.25">
      <c r="A166" s="8">
        <v>42841.733877314815</v>
      </c>
      <c r="B166" s="20" t="s">
        <v>539</v>
      </c>
      <c r="C166" s="20" t="s">
        <v>810</v>
      </c>
      <c r="D166" s="146">
        <v>1300000</v>
      </c>
      <c r="E166" s="20" t="s">
        <v>576</v>
      </c>
      <c r="F166" s="20" t="s">
        <v>577</v>
      </c>
      <c r="G166" s="8" t="str">
        <f t="shared" si="2"/>
        <v>LEVIN SCOTT</v>
      </c>
    </row>
    <row r="167" spans="1:7" x14ac:dyDescent="0.25">
      <c r="A167" s="8">
        <v>42841.736944444441</v>
      </c>
      <c r="B167" s="20" t="s">
        <v>430</v>
      </c>
      <c r="C167" s="20" t="s">
        <v>811</v>
      </c>
      <c r="D167" s="146">
        <v>1810000</v>
      </c>
      <c r="E167" s="20" t="s">
        <v>394</v>
      </c>
      <c r="F167" s="20" t="s">
        <v>193</v>
      </c>
      <c r="G167" s="8" t="str">
        <f t="shared" si="2"/>
        <v>NEWELL JAMES</v>
      </c>
    </row>
    <row r="168" spans="1:7" x14ac:dyDescent="0.25">
      <c r="A168" s="8">
        <v>42841.742060185185</v>
      </c>
      <c r="B168" s="20" t="s">
        <v>399</v>
      </c>
      <c r="C168" s="20" t="s">
        <v>812</v>
      </c>
      <c r="D168" s="146">
        <v>2610000</v>
      </c>
      <c r="E168" s="20" t="s">
        <v>813</v>
      </c>
      <c r="F168" s="20" t="s">
        <v>814</v>
      </c>
      <c r="G168" s="8" t="str">
        <f t="shared" si="2"/>
        <v>MAGEE KENYA</v>
      </c>
    </row>
    <row r="169" spans="1:7" x14ac:dyDescent="0.25">
      <c r="A169" s="8">
        <v>42841.742696759262</v>
      </c>
      <c r="B169" s="20" t="s">
        <v>538</v>
      </c>
      <c r="C169" s="20" t="s">
        <v>815</v>
      </c>
      <c r="D169" s="146">
        <v>1770000</v>
      </c>
      <c r="E169" s="20" t="s">
        <v>549</v>
      </c>
      <c r="F169" s="20" t="s">
        <v>550</v>
      </c>
      <c r="G169" s="8" t="str">
        <f t="shared" si="2"/>
        <v>BRUDER RICHARD</v>
      </c>
    </row>
    <row r="170" spans="1:7" x14ac:dyDescent="0.25">
      <c r="A170" s="8">
        <v>42841.74596064815</v>
      </c>
      <c r="B170" s="20" t="s">
        <v>380</v>
      </c>
      <c r="C170" s="20" t="s">
        <v>816</v>
      </c>
      <c r="D170" s="146">
        <v>2360000</v>
      </c>
      <c r="E170" s="20" t="s">
        <v>547</v>
      </c>
      <c r="F170" s="20" t="s">
        <v>548</v>
      </c>
      <c r="G170" s="8" t="str">
        <f t="shared" si="2"/>
        <v>BRANDNER MELINDA</v>
      </c>
    </row>
    <row r="171" spans="1:7" x14ac:dyDescent="0.25">
      <c r="A171" s="8">
        <v>42841.756863425922</v>
      </c>
      <c r="B171" s="20" t="s">
        <v>567</v>
      </c>
      <c r="C171" s="20" t="s">
        <v>817</v>
      </c>
      <c r="D171" s="146">
        <v>1800000</v>
      </c>
      <c r="E171" s="20" t="s">
        <v>392</v>
      </c>
      <c r="F171" s="20" t="s">
        <v>393</v>
      </c>
      <c r="G171" s="8" t="str">
        <f t="shared" si="2"/>
        <v>CHANDLER KELVIN</v>
      </c>
    </row>
    <row r="172" spans="1:7" x14ac:dyDescent="0.25">
      <c r="A172" s="8">
        <v>42841.758750000001</v>
      </c>
      <c r="B172" s="20" t="s">
        <v>423</v>
      </c>
      <c r="C172" s="20" t="s">
        <v>818</v>
      </c>
      <c r="D172" s="146">
        <v>2630000</v>
      </c>
      <c r="E172" s="20" t="s">
        <v>475</v>
      </c>
      <c r="F172" s="20" t="s">
        <v>476</v>
      </c>
      <c r="G172" s="8" t="str">
        <f t="shared" si="2"/>
        <v>SAFIEF AEIMEN</v>
      </c>
    </row>
    <row r="173" spans="1:7" x14ac:dyDescent="0.25">
      <c r="A173" s="8">
        <v>42841.76158564815</v>
      </c>
      <c r="B173" s="20" t="s">
        <v>376</v>
      </c>
      <c r="C173" s="20" t="s">
        <v>819</v>
      </c>
      <c r="D173" s="146">
        <v>1540000</v>
      </c>
      <c r="E173" s="20" t="s">
        <v>580</v>
      </c>
      <c r="F173" s="20" t="s">
        <v>581</v>
      </c>
      <c r="G173" s="8" t="str">
        <f t="shared" si="2"/>
        <v>HELVIE ADAM</v>
      </c>
    </row>
    <row r="174" spans="1:7" x14ac:dyDescent="0.25">
      <c r="A174" s="8">
        <v>42841.762407407405</v>
      </c>
      <c r="B174" s="20" t="s">
        <v>640</v>
      </c>
      <c r="C174" s="20" t="s">
        <v>820</v>
      </c>
      <c r="D174" s="146">
        <v>2600000</v>
      </c>
      <c r="E174" s="20" t="s">
        <v>582</v>
      </c>
      <c r="F174" s="20" t="s">
        <v>583</v>
      </c>
      <c r="G174" s="8" t="str">
        <f t="shared" si="2"/>
        <v>DAVIDSON DAVID</v>
      </c>
    </row>
    <row r="175" spans="1:7" x14ac:dyDescent="0.25">
      <c r="A175" s="8">
        <v>42841.765798611108</v>
      </c>
      <c r="B175" s="20" t="s">
        <v>482</v>
      </c>
      <c r="C175" s="20" t="s">
        <v>821</v>
      </c>
      <c r="D175" s="146">
        <v>2000000</v>
      </c>
      <c r="E175" s="20" t="s">
        <v>374</v>
      </c>
      <c r="F175" s="20" t="s">
        <v>193</v>
      </c>
      <c r="G175" s="8" t="str">
        <f t="shared" si="2"/>
        <v>STAMBAUGH JAMES</v>
      </c>
    </row>
    <row r="176" spans="1:7" x14ac:dyDescent="0.25">
      <c r="A176" s="8">
        <v>42841.769375000003</v>
      </c>
      <c r="B176" s="20" t="s">
        <v>427</v>
      </c>
      <c r="C176" s="20" t="s">
        <v>822</v>
      </c>
      <c r="D176" s="146">
        <v>1810000</v>
      </c>
      <c r="E176" s="20" t="s">
        <v>394</v>
      </c>
      <c r="F176" s="20" t="s">
        <v>193</v>
      </c>
      <c r="G176" s="8" t="str">
        <f t="shared" si="2"/>
        <v>NEWELL JAMES</v>
      </c>
    </row>
    <row r="177" spans="1:7" x14ac:dyDescent="0.25">
      <c r="A177" s="8">
        <v>42841.776099537034</v>
      </c>
      <c r="B177" s="20" t="s">
        <v>412</v>
      </c>
      <c r="C177" s="20" t="s">
        <v>823</v>
      </c>
      <c r="D177" s="146">
        <v>1540000</v>
      </c>
      <c r="E177" s="20" t="s">
        <v>580</v>
      </c>
      <c r="F177" s="20" t="s">
        <v>581</v>
      </c>
      <c r="G177" s="8" t="str">
        <f t="shared" si="2"/>
        <v>HELVIE ADAM</v>
      </c>
    </row>
    <row r="178" spans="1:7" x14ac:dyDescent="0.25">
      <c r="A178" s="8">
        <v>42841.777546296296</v>
      </c>
      <c r="B178" s="20" t="s">
        <v>536</v>
      </c>
      <c r="C178" s="20" t="s">
        <v>824</v>
      </c>
      <c r="D178" s="146">
        <v>1770000</v>
      </c>
      <c r="E178" s="20" t="s">
        <v>549</v>
      </c>
      <c r="F178" s="20" t="s">
        <v>550</v>
      </c>
      <c r="G178" s="8" t="str">
        <f t="shared" si="2"/>
        <v>BRUDER RICHARD</v>
      </c>
    </row>
    <row r="179" spans="1:7" x14ac:dyDescent="0.25">
      <c r="A179" s="8">
        <v>42841.784189814818</v>
      </c>
      <c r="B179" s="20" t="s">
        <v>381</v>
      </c>
      <c r="C179" s="20" t="s">
        <v>825</v>
      </c>
      <c r="D179" s="146">
        <v>2360000</v>
      </c>
      <c r="E179" s="20" t="s">
        <v>547</v>
      </c>
      <c r="F179" s="20" t="s">
        <v>548</v>
      </c>
      <c r="G179" s="8" t="str">
        <f t="shared" si="2"/>
        <v>BRANDNER MELINDA</v>
      </c>
    </row>
    <row r="180" spans="1:7" x14ac:dyDescent="0.25">
      <c r="A180" s="8">
        <v>42841.790150462963</v>
      </c>
      <c r="B180" s="20" t="s">
        <v>420</v>
      </c>
      <c r="C180" s="20" t="s">
        <v>826</v>
      </c>
      <c r="D180" s="146">
        <v>2630000</v>
      </c>
      <c r="E180" s="20" t="s">
        <v>475</v>
      </c>
      <c r="F180" s="20" t="s">
        <v>476</v>
      </c>
      <c r="G180" s="8" t="str">
        <f t="shared" si="2"/>
        <v>SAFIEF AEIMEN</v>
      </c>
    </row>
    <row r="181" spans="1:7" x14ac:dyDescent="0.25">
      <c r="A181" s="8">
        <v>42841.790706018517</v>
      </c>
      <c r="B181" s="20" t="s">
        <v>477</v>
      </c>
      <c r="C181" s="20" t="s">
        <v>827</v>
      </c>
      <c r="D181" s="146">
        <v>1800000</v>
      </c>
      <c r="E181" s="20" t="s">
        <v>392</v>
      </c>
      <c r="F181" s="20" t="s">
        <v>393</v>
      </c>
      <c r="G181" s="8" t="str">
        <f t="shared" si="2"/>
        <v>CHANDLER KELVIN</v>
      </c>
    </row>
    <row r="182" spans="1:7" x14ac:dyDescent="0.25">
      <c r="A182" s="8">
        <v>42841.79886574074</v>
      </c>
      <c r="B182" s="20" t="s">
        <v>648</v>
      </c>
      <c r="C182" s="20" t="s">
        <v>828</v>
      </c>
      <c r="D182" s="146">
        <v>2600000</v>
      </c>
      <c r="E182" s="20" t="s">
        <v>582</v>
      </c>
      <c r="F182" s="20" t="s">
        <v>583</v>
      </c>
      <c r="G182" s="8" t="str">
        <f t="shared" si="2"/>
        <v>DAVIDSON DAVID</v>
      </c>
    </row>
    <row r="183" spans="1:7" x14ac:dyDescent="0.25">
      <c r="A183" s="8">
        <v>42841.803564814814</v>
      </c>
      <c r="B183" s="20" t="s">
        <v>376</v>
      </c>
      <c r="C183" s="20" t="s">
        <v>829</v>
      </c>
      <c r="D183" s="146">
        <v>1540000</v>
      </c>
      <c r="E183" s="20" t="s">
        <v>580</v>
      </c>
      <c r="F183" s="20" t="s">
        <v>581</v>
      </c>
      <c r="G183" s="8" t="str">
        <f t="shared" si="2"/>
        <v>HELVIE ADAM</v>
      </c>
    </row>
    <row r="184" spans="1:7" x14ac:dyDescent="0.25">
      <c r="A184" s="8">
        <v>42841.805092592593</v>
      </c>
      <c r="B184" s="20" t="s">
        <v>539</v>
      </c>
      <c r="C184" s="20" t="s">
        <v>830</v>
      </c>
      <c r="D184" s="146">
        <v>2000000</v>
      </c>
      <c r="E184" s="20" t="s">
        <v>374</v>
      </c>
      <c r="F184" s="20" t="s">
        <v>193</v>
      </c>
      <c r="G184" s="8" t="str">
        <f t="shared" si="2"/>
        <v>STAMBAUGH JAMES</v>
      </c>
    </row>
    <row r="185" spans="1:7" x14ac:dyDescent="0.25">
      <c r="A185" s="8">
        <v>42841.80877314815</v>
      </c>
      <c r="B185" s="20" t="s">
        <v>430</v>
      </c>
      <c r="C185" s="20" t="s">
        <v>831</v>
      </c>
      <c r="D185" s="146">
        <v>1810000</v>
      </c>
      <c r="E185" s="20" t="s">
        <v>394</v>
      </c>
      <c r="F185" s="20" t="s">
        <v>193</v>
      </c>
      <c r="G185" s="8" t="str">
        <f t="shared" si="2"/>
        <v>NEWELL JAMES</v>
      </c>
    </row>
    <row r="186" spans="1:7" x14ac:dyDescent="0.25">
      <c r="A186" s="8">
        <v>42841.817893518521</v>
      </c>
      <c r="B186" s="20" t="s">
        <v>412</v>
      </c>
      <c r="C186" s="20" t="s">
        <v>832</v>
      </c>
      <c r="D186" s="146">
        <v>1540000</v>
      </c>
      <c r="E186" s="20" t="s">
        <v>580</v>
      </c>
      <c r="F186" s="20" t="s">
        <v>581</v>
      </c>
      <c r="G186" s="8" t="str">
        <f t="shared" si="2"/>
        <v>HELVIE ADAM</v>
      </c>
    </row>
    <row r="187" spans="1:7" x14ac:dyDescent="0.25">
      <c r="A187" s="8">
        <v>42841.81931712963</v>
      </c>
      <c r="B187" s="20" t="s">
        <v>380</v>
      </c>
      <c r="C187" s="20" t="s">
        <v>833</v>
      </c>
      <c r="D187" s="146">
        <v>2360000</v>
      </c>
      <c r="E187" s="20" t="s">
        <v>547</v>
      </c>
      <c r="F187" s="20" t="s">
        <v>548</v>
      </c>
      <c r="G187" s="8" t="str">
        <f t="shared" si="2"/>
        <v>BRANDNER MELINDA</v>
      </c>
    </row>
    <row r="188" spans="1:7" x14ac:dyDescent="0.25">
      <c r="A188" s="8">
        <v>42841.829432870371</v>
      </c>
      <c r="B188" s="20" t="s">
        <v>423</v>
      </c>
      <c r="C188" s="20" t="s">
        <v>834</v>
      </c>
      <c r="D188" s="146">
        <v>2630000</v>
      </c>
      <c r="E188" s="20" t="s">
        <v>475</v>
      </c>
      <c r="F188" s="20" t="s">
        <v>476</v>
      </c>
      <c r="G188" s="8" t="str">
        <f t="shared" si="2"/>
        <v>SAFIEF AEIMEN</v>
      </c>
    </row>
    <row r="189" spans="1:7" x14ac:dyDescent="0.25">
      <c r="A189" s="8">
        <v>42841.829861111109</v>
      </c>
      <c r="B189" s="20" t="s">
        <v>567</v>
      </c>
      <c r="C189" s="20" t="s">
        <v>835</v>
      </c>
      <c r="D189" s="146">
        <v>1800000</v>
      </c>
      <c r="E189" s="20" t="s">
        <v>392</v>
      </c>
      <c r="F189" s="20" t="s">
        <v>393</v>
      </c>
      <c r="G189" s="8" t="str">
        <f t="shared" si="2"/>
        <v>CHANDLER KELVIN</v>
      </c>
    </row>
    <row r="190" spans="1:7" x14ac:dyDescent="0.25">
      <c r="A190" s="8">
        <v>42841.839039351849</v>
      </c>
      <c r="B190" s="20" t="s">
        <v>427</v>
      </c>
      <c r="C190" s="20" t="s">
        <v>659</v>
      </c>
      <c r="D190" s="146">
        <v>1810000</v>
      </c>
      <c r="E190" s="20" t="s">
        <v>394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42841.842777777776</v>
      </c>
      <c r="B191" s="20" t="s">
        <v>398</v>
      </c>
      <c r="C191" s="20" t="s">
        <v>836</v>
      </c>
      <c r="D191" s="146">
        <v>2000000</v>
      </c>
      <c r="E191" s="20" t="s">
        <v>374</v>
      </c>
      <c r="F191" s="20" t="s">
        <v>193</v>
      </c>
      <c r="G191" s="8" t="str">
        <f t="shared" si="2"/>
        <v>STAMBAUGH JAMES</v>
      </c>
    </row>
    <row r="192" spans="1:7" x14ac:dyDescent="0.25">
      <c r="A192" s="8">
        <v>42841.847025462965</v>
      </c>
      <c r="B192" s="20" t="s">
        <v>376</v>
      </c>
      <c r="C192" s="20" t="s">
        <v>837</v>
      </c>
      <c r="D192" s="146">
        <v>1540000</v>
      </c>
      <c r="E192" s="20" t="s">
        <v>580</v>
      </c>
      <c r="F192" s="20" t="s">
        <v>581</v>
      </c>
      <c r="G192" s="8" t="str">
        <f t="shared" si="2"/>
        <v>HELVIE ADAM</v>
      </c>
    </row>
    <row r="193" spans="1:7" x14ac:dyDescent="0.25">
      <c r="A193" s="8">
        <v>42841.859375</v>
      </c>
      <c r="B193" s="20" t="s">
        <v>412</v>
      </c>
      <c r="C193" s="20" t="s">
        <v>838</v>
      </c>
      <c r="D193" s="146">
        <v>1540000</v>
      </c>
      <c r="E193" s="20" t="s">
        <v>580</v>
      </c>
      <c r="F193" s="20" t="s">
        <v>581</v>
      </c>
      <c r="G193" s="8" t="str">
        <f t="shared" si="2"/>
        <v>HELVIE ADAM</v>
      </c>
    </row>
    <row r="194" spans="1:7" x14ac:dyDescent="0.25">
      <c r="A194" s="8">
        <v>42841.861770833333</v>
      </c>
      <c r="B194" s="20" t="s">
        <v>420</v>
      </c>
      <c r="C194" s="20" t="s">
        <v>839</v>
      </c>
      <c r="D194" s="146">
        <v>2630000</v>
      </c>
      <c r="E194" s="20" t="s">
        <v>475</v>
      </c>
      <c r="F194" s="20" t="s">
        <v>476</v>
      </c>
      <c r="G194" s="8" t="str">
        <f t="shared" si="2"/>
        <v>SAFIEF AEIMEN</v>
      </c>
    </row>
    <row r="195" spans="1:7" x14ac:dyDescent="0.25">
      <c r="A195" s="8">
        <v>42841.872673611113</v>
      </c>
      <c r="B195" s="20" t="s">
        <v>477</v>
      </c>
      <c r="C195" s="20" t="s">
        <v>840</v>
      </c>
      <c r="D195" s="146">
        <v>1800000</v>
      </c>
      <c r="E195" s="20" t="s">
        <v>392</v>
      </c>
      <c r="F195" s="20" t="s">
        <v>393</v>
      </c>
      <c r="G195" s="8" t="str">
        <f t="shared" ref="G195:G258" si="3">E195&amp;" "&amp;F195</f>
        <v>CHANDLER KELVIN</v>
      </c>
    </row>
    <row r="196" spans="1:7" x14ac:dyDescent="0.25">
      <c r="A196" s="8">
        <v>42841.889282407406</v>
      </c>
      <c r="B196" s="20" t="s">
        <v>376</v>
      </c>
      <c r="C196" s="20" t="s">
        <v>841</v>
      </c>
      <c r="D196" s="146">
        <v>1540000</v>
      </c>
      <c r="E196" s="20" t="s">
        <v>580</v>
      </c>
      <c r="F196" s="20" t="s">
        <v>581</v>
      </c>
      <c r="G196" s="8" t="str">
        <f t="shared" si="3"/>
        <v>HELVIE ADAM</v>
      </c>
    </row>
    <row r="197" spans="1:7" x14ac:dyDescent="0.25">
      <c r="A197" s="8">
        <v>42841.890613425923</v>
      </c>
      <c r="B197" s="20" t="s">
        <v>399</v>
      </c>
      <c r="C197" s="20" t="s">
        <v>660</v>
      </c>
      <c r="D197" s="146">
        <v>2000000</v>
      </c>
      <c r="E197" s="20" t="s">
        <v>374</v>
      </c>
      <c r="F197" s="20" t="s">
        <v>193</v>
      </c>
      <c r="G197" s="8" t="str">
        <f t="shared" si="3"/>
        <v>STAMBAUGH JAMES</v>
      </c>
    </row>
    <row r="198" spans="1:7" x14ac:dyDescent="0.25">
      <c r="A198" s="8">
        <v>42841.893009259256</v>
      </c>
      <c r="B198" s="20" t="s">
        <v>430</v>
      </c>
      <c r="C198" s="20" t="s">
        <v>842</v>
      </c>
      <c r="D198" s="146">
        <v>1810000</v>
      </c>
      <c r="E198" s="20" t="s">
        <v>394</v>
      </c>
      <c r="F198" s="20" t="s">
        <v>193</v>
      </c>
      <c r="G198" s="8" t="str">
        <f t="shared" si="3"/>
        <v>NEWELL JAMES</v>
      </c>
    </row>
    <row r="199" spans="1:7" x14ac:dyDescent="0.25">
      <c r="A199" s="8">
        <v>42841.900671296295</v>
      </c>
      <c r="B199" s="20" t="s">
        <v>412</v>
      </c>
      <c r="C199" s="20" t="s">
        <v>843</v>
      </c>
      <c r="D199" s="146">
        <v>1540000</v>
      </c>
      <c r="E199" s="20" t="s">
        <v>580</v>
      </c>
      <c r="F199" s="20" t="s">
        <v>581</v>
      </c>
      <c r="G199" s="8" t="str">
        <f t="shared" si="3"/>
        <v>HELVIE ADAM</v>
      </c>
    </row>
    <row r="200" spans="1:7" x14ac:dyDescent="0.25">
      <c r="A200" s="8">
        <v>42841.902974537035</v>
      </c>
      <c r="B200" s="20" t="s">
        <v>423</v>
      </c>
      <c r="C200" s="20" t="s">
        <v>844</v>
      </c>
      <c r="D200" s="146">
        <v>2630000</v>
      </c>
      <c r="E200" s="20" t="s">
        <v>475</v>
      </c>
      <c r="F200" s="20" t="s">
        <v>476</v>
      </c>
      <c r="G200" s="8" t="str">
        <f t="shared" si="3"/>
        <v>SAFIEF AEIMEN</v>
      </c>
    </row>
    <row r="201" spans="1:7" x14ac:dyDescent="0.25">
      <c r="A201" s="8">
        <v>42841.913310185184</v>
      </c>
      <c r="B201" s="20" t="s">
        <v>567</v>
      </c>
      <c r="C201" s="20" t="s">
        <v>845</v>
      </c>
      <c r="D201" s="146">
        <v>1800000</v>
      </c>
      <c r="E201" s="20" t="s">
        <v>392</v>
      </c>
      <c r="F201" s="20" t="s">
        <v>393</v>
      </c>
      <c r="G201" s="8" t="str">
        <f t="shared" si="3"/>
        <v>CHANDLER KELVIN</v>
      </c>
    </row>
    <row r="202" spans="1:7" x14ac:dyDescent="0.25">
      <c r="A202" s="26">
        <v>42841.923784722225</v>
      </c>
      <c r="B202" s="20" t="s">
        <v>482</v>
      </c>
      <c r="C202" s="20" t="s">
        <v>846</v>
      </c>
      <c r="D202" s="146">
        <v>2000000</v>
      </c>
      <c r="E202" s="20" t="s">
        <v>374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42841.924490740741</v>
      </c>
      <c r="B203" s="20" t="s">
        <v>482</v>
      </c>
      <c r="C203" s="20" t="s">
        <v>846</v>
      </c>
      <c r="D203" s="146">
        <v>2000000</v>
      </c>
      <c r="E203" s="20" t="s">
        <v>374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42841.930949074071</v>
      </c>
      <c r="B204" s="20" t="s">
        <v>376</v>
      </c>
      <c r="C204" s="20" t="s">
        <v>847</v>
      </c>
      <c r="D204" s="146">
        <v>1540000</v>
      </c>
      <c r="E204" s="20" t="s">
        <v>580</v>
      </c>
      <c r="F204" s="20" t="s">
        <v>581</v>
      </c>
      <c r="G204" s="8" t="str">
        <f t="shared" si="3"/>
        <v>HELVIE ADAM</v>
      </c>
    </row>
    <row r="205" spans="1:7" x14ac:dyDescent="0.25">
      <c r="A205" s="8">
        <v>42841.932037037041</v>
      </c>
      <c r="B205" s="20" t="s">
        <v>427</v>
      </c>
      <c r="C205" s="20" t="s">
        <v>848</v>
      </c>
      <c r="D205" s="146">
        <v>1810000</v>
      </c>
      <c r="E205" s="20" t="s">
        <v>394</v>
      </c>
      <c r="F205" s="20" t="s">
        <v>193</v>
      </c>
      <c r="G205" s="8" t="str">
        <f t="shared" si="3"/>
        <v>NEWELL JAMES</v>
      </c>
    </row>
    <row r="206" spans="1:7" x14ac:dyDescent="0.25">
      <c r="A206" s="8">
        <v>42841.941874999997</v>
      </c>
      <c r="B206" s="20" t="s">
        <v>412</v>
      </c>
      <c r="C206" s="20" t="s">
        <v>849</v>
      </c>
      <c r="D206" s="146">
        <v>1540000</v>
      </c>
      <c r="E206" s="20" t="s">
        <v>580</v>
      </c>
      <c r="F206" s="20" t="s">
        <v>581</v>
      </c>
      <c r="G206" s="8" t="str">
        <f t="shared" si="3"/>
        <v>HELVIE ADAM</v>
      </c>
    </row>
    <row r="207" spans="1:7" x14ac:dyDescent="0.25">
      <c r="A207" s="8">
        <v>42841.948796296296</v>
      </c>
      <c r="B207" s="20" t="s">
        <v>420</v>
      </c>
      <c r="C207" s="20" t="s">
        <v>850</v>
      </c>
      <c r="D207" s="146">
        <v>2630000</v>
      </c>
      <c r="E207" s="20" t="s">
        <v>475</v>
      </c>
      <c r="F207" s="20" t="s">
        <v>476</v>
      </c>
      <c r="G207" s="8" t="str">
        <f t="shared" si="3"/>
        <v>SAFIEF AEIMEN</v>
      </c>
    </row>
    <row r="208" spans="1:7" x14ac:dyDescent="0.25">
      <c r="A208" s="8">
        <v>42841.955914351849</v>
      </c>
      <c r="B208" s="20" t="s">
        <v>477</v>
      </c>
      <c r="C208" s="20" t="s">
        <v>851</v>
      </c>
      <c r="D208" s="146">
        <v>1800000</v>
      </c>
      <c r="E208" s="20" t="s">
        <v>392</v>
      </c>
      <c r="F208" s="20" t="s">
        <v>393</v>
      </c>
      <c r="G208" s="8" t="str">
        <f t="shared" si="3"/>
        <v>CHANDLER KELVIN</v>
      </c>
    </row>
    <row r="209" spans="1:7" x14ac:dyDescent="0.25">
      <c r="A209" s="8">
        <v>42841.971458333333</v>
      </c>
      <c r="B209" s="20" t="s">
        <v>539</v>
      </c>
      <c r="C209" s="20" t="s">
        <v>852</v>
      </c>
      <c r="D209" s="146">
        <v>2000000</v>
      </c>
      <c r="E209" s="20" t="s">
        <v>374</v>
      </c>
      <c r="F209" s="20" t="s">
        <v>193</v>
      </c>
      <c r="G209" s="8" t="str">
        <f t="shared" si="3"/>
        <v>STAMBAUGH JAMES</v>
      </c>
    </row>
    <row r="210" spans="1:7" x14ac:dyDescent="0.25">
      <c r="A210" s="8">
        <v>42841.975636574076</v>
      </c>
      <c r="B210" s="20" t="s">
        <v>430</v>
      </c>
      <c r="C210" s="20" t="s">
        <v>853</v>
      </c>
      <c r="D210" s="146">
        <v>1810000</v>
      </c>
      <c r="E210" s="20" t="s">
        <v>394</v>
      </c>
      <c r="F210" s="20" t="s">
        <v>193</v>
      </c>
      <c r="G210" s="8" t="str">
        <f t="shared" si="3"/>
        <v>NEWELL JAMES</v>
      </c>
    </row>
    <row r="211" spans="1:7" x14ac:dyDescent="0.25">
      <c r="A211" s="8">
        <v>42841.988240740742</v>
      </c>
      <c r="B211" s="20" t="s">
        <v>423</v>
      </c>
      <c r="C211" s="20" t="s">
        <v>854</v>
      </c>
      <c r="D211" s="146">
        <v>2630000</v>
      </c>
      <c r="E211" s="20" t="s">
        <v>475</v>
      </c>
      <c r="F211" s="20" t="s">
        <v>476</v>
      </c>
      <c r="G211" s="8" t="str">
        <f t="shared" si="3"/>
        <v>SAFIEF AEIMEN</v>
      </c>
    </row>
    <row r="212" spans="1:7" x14ac:dyDescent="0.25">
      <c r="A212" s="8">
        <v>42841.995972222219</v>
      </c>
      <c r="B212" s="20" t="s">
        <v>567</v>
      </c>
      <c r="C212" s="20" t="s">
        <v>855</v>
      </c>
      <c r="D212" s="146">
        <v>1800000</v>
      </c>
      <c r="E212" s="20" t="s">
        <v>392</v>
      </c>
      <c r="F212" s="20" t="s">
        <v>393</v>
      </c>
      <c r="G212" s="8" t="str">
        <f t="shared" si="3"/>
        <v>CHANDLER KELVIN</v>
      </c>
    </row>
    <row r="213" spans="1:7" x14ac:dyDescent="0.25">
      <c r="A213" s="8">
        <v>42842.006828703707</v>
      </c>
      <c r="B213" s="20" t="s">
        <v>482</v>
      </c>
      <c r="C213" s="20" t="s">
        <v>662</v>
      </c>
      <c r="D213" s="146">
        <v>2000000</v>
      </c>
      <c r="E213" s="20" t="s">
        <v>374</v>
      </c>
      <c r="F213" s="20" t="s">
        <v>193</v>
      </c>
      <c r="G213" s="8" t="str">
        <f t="shared" si="3"/>
        <v>STAMBAUGH JAMES</v>
      </c>
    </row>
    <row r="214" spans="1:7" x14ac:dyDescent="0.25">
      <c r="A214" s="8">
        <v>42842.015648148146</v>
      </c>
      <c r="B214" s="20" t="s">
        <v>427</v>
      </c>
      <c r="C214" s="20" t="s">
        <v>661</v>
      </c>
      <c r="D214" s="146">
        <v>1810000</v>
      </c>
      <c r="E214" s="20" t="s">
        <v>394</v>
      </c>
      <c r="F214" s="20" t="s">
        <v>193</v>
      </c>
      <c r="G214" s="8" t="str">
        <f t="shared" si="3"/>
        <v>NEWELL JAMES</v>
      </c>
    </row>
    <row r="215" spans="1:7" x14ac:dyDescent="0.25">
      <c r="A215" s="8">
        <v>42842.028807870367</v>
      </c>
      <c r="B215" s="20" t="s">
        <v>420</v>
      </c>
      <c r="C215" s="20" t="s">
        <v>856</v>
      </c>
      <c r="D215" s="146">
        <v>2630000</v>
      </c>
      <c r="E215" s="20" t="s">
        <v>475</v>
      </c>
      <c r="F215" s="20" t="s">
        <v>476</v>
      </c>
      <c r="G215" s="8" t="str">
        <f t="shared" si="3"/>
        <v>SAFIEF AEIMEN</v>
      </c>
    </row>
    <row r="216" spans="1:7" x14ac:dyDescent="0.25">
      <c r="A216" s="8">
        <v>42842.049490740741</v>
      </c>
      <c r="B216" s="20" t="s">
        <v>430</v>
      </c>
      <c r="C216" s="20" t="s">
        <v>663</v>
      </c>
      <c r="D216" s="146">
        <v>1810000</v>
      </c>
      <c r="E216" s="20" t="s">
        <v>394</v>
      </c>
      <c r="F216" s="20" t="s">
        <v>193</v>
      </c>
      <c r="G216" s="8" t="str">
        <f t="shared" si="3"/>
        <v>NEWELL JAMES</v>
      </c>
    </row>
    <row r="217" spans="1:7" x14ac:dyDescent="0.25">
      <c r="A217" s="8">
        <v>42842.054375</v>
      </c>
      <c r="B217" s="20" t="s">
        <v>539</v>
      </c>
      <c r="C217" s="20" t="s">
        <v>857</v>
      </c>
      <c r="D217" s="146">
        <v>2000000</v>
      </c>
      <c r="E217" s="20" t="s">
        <v>374</v>
      </c>
      <c r="F217" s="20" t="s">
        <v>193</v>
      </c>
      <c r="G217" s="8" t="str">
        <f t="shared" si="3"/>
        <v>STAMBAUGH JAMES</v>
      </c>
    </row>
    <row r="218" spans="1:7" x14ac:dyDescent="0.25">
      <c r="A218" s="8">
        <v>42842.069293981483</v>
      </c>
      <c r="B218" s="20" t="s">
        <v>423</v>
      </c>
      <c r="C218" s="20" t="s">
        <v>858</v>
      </c>
      <c r="D218" s="146">
        <v>2630000</v>
      </c>
      <c r="E218" s="20" t="s">
        <v>475</v>
      </c>
      <c r="F218" s="20" t="s">
        <v>476</v>
      </c>
      <c r="G218" s="8" t="str">
        <f t="shared" si="3"/>
        <v>SAFIEF AEIMEN</v>
      </c>
    </row>
    <row r="219" spans="1:7" x14ac:dyDescent="0.25">
      <c r="A219" s="8">
        <v>42842.076724537037</v>
      </c>
      <c r="B219" s="20" t="s">
        <v>398</v>
      </c>
      <c r="C219" s="20" t="s">
        <v>859</v>
      </c>
      <c r="D219" s="146">
        <v>0</v>
      </c>
      <c r="E219" s="20" t="s">
        <v>572</v>
      </c>
      <c r="F219" s="20" t="s">
        <v>485</v>
      </c>
      <c r="G219" s="8" t="str">
        <f t="shared" si="3"/>
        <v>HAUSER FRANK</v>
      </c>
    </row>
    <row r="220" spans="1:7" x14ac:dyDescent="0.25">
      <c r="A220" s="8">
        <v>42842.077777777777</v>
      </c>
      <c r="B220" s="20" t="s">
        <v>398</v>
      </c>
      <c r="C220" s="20" t="s">
        <v>859</v>
      </c>
      <c r="D220" s="146">
        <v>2680000</v>
      </c>
      <c r="E220" s="20" t="s">
        <v>417</v>
      </c>
      <c r="F220" s="20" t="s">
        <v>418</v>
      </c>
      <c r="G220" s="8" t="str">
        <f t="shared" si="3"/>
        <v>DUNCAN SHEILA</v>
      </c>
    </row>
    <row r="221" spans="1:7" x14ac:dyDescent="0.25">
      <c r="A221" s="8">
        <v>42842.078738425924</v>
      </c>
      <c r="B221" s="20" t="s">
        <v>398</v>
      </c>
      <c r="C221" s="20" t="s">
        <v>859</v>
      </c>
      <c r="D221" s="146">
        <v>2680000</v>
      </c>
      <c r="E221" s="20" t="s">
        <v>417</v>
      </c>
      <c r="F221" s="20" t="s">
        <v>418</v>
      </c>
      <c r="G221" s="8" t="str">
        <f t="shared" si="3"/>
        <v>DUNCAN SHEILA</v>
      </c>
    </row>
    <row r="222" spans="1:7" x14ac:dyDescent="0.25">
      <c r="A222" s="8">
        <v>42842.079826388886</v>
      </c>
      <c r="B222" s="20" t="s">
        <v>398</v>
      </c>
      <c r="C222" s="20" t="s">
        <v>859</v>
      </c>
      <c r="D222" s="146">
        <v>2680000</v>
      </c>
      <c r="E222" s="20" t="s">
        <v>417</v>
      </c>
      <c r="F222" s="20" t="s">
        <v>418</v>
      </c>
      <c r="G222" s="8" t="str">
        <f t="shared" si="3"/>
        <v>DUNCAN SHEILA</v>
      </c>
    </row>
    <row r="223" spans="1:7" x14ac:dyDescent="0.25">
      <c r="A223" s="8">
        <v>42842.088321759256</v>
      </c>
      <c r="B223" s="20" t="s">
        <v>482</v>
      </c>
      <c r="C223" s="20" t="s">
        <v>860</v>
      </c>
      <c r="D223" s="146">
        <v>2000000</v>
      </c>
      <c r="E223" s="20" t="s">
        <v>374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42842.114363425928</v>
      </c>
      <c r="B224" t="s">
        <v>399</v>
      </c>
      <c r="C224" t="s">
        <v>861</v>
      </c>
      <c r="D224" s="146">
        <v>2680000</v>
      </c>
      <c r="E224" t="s">
        <v>417</v>
      </c>
      <c r="F224" s="20" t="s">
        <v>418</v>
      </c>
      <c r="G224" s="8" t="str">
        <f t="shared" si="3"/>
        <v>DUNCAN SHEILA</v>
      </c>
    </row>
    <row r="225" spans="1:7" x14ac:dyDescent="0.25">
      <c r="A225" s="8">
        <v>42838.995381944442</v>
      </c>
      <c r="B225" t="s">
        <v>399</v>
      </c>
      <c r="C225" t="s">
        <v>541</v>
      </c>
      <c r="D225" s="146">
        <v>1800000</v>
      </c>
      <c r="E225" t="s">
        <v>392</v>
      </c>
      <c r="F225" s="20" t="s">
        <v>393</v>
      </c>
      <c r="G225" s="8" t="str">
        <f t="shared" si="3"/>
        <v>CHANDLER KELVIN</v>
      </c>
    </row>
    <row r="226" spans="1:7" x14ac:dyDescent="0.25">
      <c r="A226" s="8">
        <v>42838.997118055559</v>
      </c>
      <c r="B226" t="s">
        <v>482</v>
      </c>
      <c r="C226" t="s">
        <v>551</v>
      </c>
      <c r="D226" s="146">
        <v>2270000</v>
      </c>
      <c r="E226" t="s">
        <v>207</v>
      </c>
      <c r="F226" s="20" t="s">
        <v>208</v>
      </c>
      <c r="G226" s="8" t="str">
        <f t="shared" si="3"/>
        <v>BROWN JACOB</v>
      </c>
    </row>
    <row r="227" spans="1:7" x14ac:dyDescent="0.25">
      <c r="A227" s="8">
        <v>42839.010474537034</v>
      </c>
      <c r="B227" t="s">
        <v>382</v>
      </c>
      <c r="C227" t="s">
        <v>552</v>
      </c>
      <c r="D227" s="146">
        <v>2150000</v>
      </c>
      <c r="E227" t="s">
        <v>370</v>
      </c>
      <c r="F227" s="20" t="s">
        <v>371</v>
      </c>
      <c r="G227" s="8" t="str">
        <f t="shared" si="3"/>
        <v>SWANSON BRYCE</v>
      </c>
    </row>
    <row r="228" spans="1:7" x14ac:dyDescent="0.25">
      <c r="A228" s="8">
        <v>42839.015451388892</v>
      </c>
      <c r="B228" t="s">
        <v>538</v>
      </c>
      <c r="C228" t="s">
        <v>542</v>
      </c>
      <c r="D228" s="146">
        <v>1810000</v>
      </c>
      <c r="E228" t="s">
        <v>394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42839.029305555552</v>
      </c>
      <c r="B229" t="s">
        <v>398</v>
      </c>
      <c r="C229" t="s">
        <v>553</v>
      </c>
      <c r="D229" s="146">
        <v>1800000</v>
      </c>
      <c r="E229" t="s">
        <v>392</v>
      </c>
      <c r="F229" s="20" t="s">
        <v>393</v>
      </c>
      <c r="G229" s="8" t="str">
        <f t="shared" si="3"/>
        <v>CHANDLER KELVIN</v>
      </c>
    </row>
    <row r="230" spans="1:7" x14ac:dyDescent="0.25">
      <c r="A230" s="8">
        <v>42839.036851851852</v>
      </c>
      <c r="B230" t="s">
        <v>539</v>
      </c>
      <c r="C230" t="s">
        <v>554</v>
      </c>
      <c r="D230" s="146">
        <v>2270000</v>
      </c>
      <c r="E230" t="s">
        <v>207</v>
      </c>
      <c r="F230" s="20" t="s">
        <v>208</v>
      </c>
      <c r="G230" s="8" t="str">
        <f t="shared" si="3"/>
        <v>BROWN JACOB</v>
      </c>
    </row>
    <row r="231" spans="1:7" x14ac:dyDescent="0.25">
      <c r="A231" s="8">
        <v>42839.047152777777</v>
      </c>
      <c r="B231" t="s">
        <v>536</v>
      </c>
      <c r="C231" t="s">
        <v>555</v>
      </c>
      <c r="D231" s="146">
        <v>1810000</v>
      </c>
      <c r="E231" t="s">
        <v>394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42839.058067129627</v>
      </c>
      <c r="B232" t="s">
        <v>498</v>
      </c>
      <c r="C232" t="s">
        <v>556</v>
      </c>
      <c r="D232" s="146">
        <v>2150000</v>
      </c>
      <c r="E232" t="s">
        <v>370</v>
      </c>
      <c r="F232" s="20" t="s">
        <v>371</v>
      </c>
      <c r="G232" s="8" t="str">
        <f t="shared" si="3"/>
        <v>SWANSON BRYCE</v>
      </c>
    </row>
    <row r="233" spans="1:7" x14ac:dyDescent="0.25">
      <c r="A233" s="8">
        <v>42837.029317129629</v>
      </c>
      <c r="B233" t="s">
        <v>422</v>
      </c>
      <c r="C233" t="s">
        <v>499</v>
      </c>
      <c r="D233" s="146">
        <v>3000000</v>
      </c>
      <c r="E233" t="s">
        <v>484</v>
      </c>
      <c r="F233" s="20" t="s">
        <v>485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483</v>
      </c>
      <c r="C234" t="s">
        <v>500</v>
      </c>
      <c r="D234" s="146">
        <v>1800000</v>
      </c>
      <c r="E234" t="s">
        <v>392</v>
      </c>
      <c r="F234" s="20" t="s">
        <v>393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501</v>
      </c>
      <c r="D235" s="146">
        <v>2630000</v>
      </c>
      <c r="E235" t="s">
        <v>475</v>
      </c>
      <c r="F235" s="20" t="s">
        <v>476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399</v>
      </c>
      <c r="C236" t="s">
        <v>502</v>
      </c>
      <c r="D236" s="146">
        <v>3010000</v>
      </c>
      <c r="E236" t="s">
        <v>451</v>
      </c>
      <c r="F236" s="20" t="s">
        <v>452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421</v>
      </c>
      <c r="C237" t="s">
        <v>503</v>
      </c>
      <c r="D237" s="146">
        <v>3000000</v>
      </c>
      <c r="E237" t="s">
        <v>484</v>
      </c>
      <c r="F237" s="20" t="s">
        <v>485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427</v>
      </c>
      <c r="C238" t="s">
        <v>486</v>
      </c>
      <c r="D238" s="146">
        <v>3000000</v>
      </c>
      <c r="E238" t="s">
        <v>484</v>
      </c>
      <c r="F238" s="20" t="s">
        <v>485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482</v>
      </c>
      <c r="C239" t="s">
        <v>487</v>
      </c>
      <c r="D239" s="146">
        <v>3010000</v>
      </c>
      <c r="E239" t="s">
        <v>451</v>
      </c>
      <c r="F239" s="20" t="s">
        <v>452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430</v>
      </c>
      <c r="C240" t="s">
        <v>488</v>
      </c>
      <c r="D240" s="146">
        <v>3000000</v>
      </c>
      <c r="E240" t="s">
        <v>484</v>
      </c>
      <c r="F240" s="20" t="s">
        <v>485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462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461</v>
      </c>
      <c r="C242" t="s">
        <v>463</v>
      </c>
      <c r="D242" s="146">
        <v>2480000</v>
      </c>
      <c r="E242" t="s">
        <v>453</v>
      </c>
      <c r="F242" s="20" t="s">
        <v>454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422</v>
      </c>
      <c r="C243" t="s">
        <v>464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423</v>
      </c>
      <c r="C244" t="s">
        <v>465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466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421</v>
      </c>
      <c r="C246" t="s">
        <v>467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426</v>
      </c>
      <c r="C247" t="s">
        <v>468</v>
      </c>
      <c r="D247" s="146">
        <v>2480000</v>
      </c>
      <c r="E247" t="s">
        <v>453</v>
      </c>
      <c r="F247" s="20" t="s">
        <v>454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469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420</v>
      </c>
      <c r="C249" t="s">
        <v>470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461</v>
      </c>
      <c r="C250" t="s">
        <v>471</v>
      </c>
      <c r="D250" s="146">
        <v>2480000</v>
      </c>
      <c r="E250" t="s">
        <v>453</v>
      </c>
      <c r="F250" s="20" t="s">
        <v>454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423</v>
      </c>
      <c r="C251" t="s">
        <v>472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432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423</v>
      </c>
      <c r="C253" t="s">
        <v>433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431</v>
      </c>
      <c r="D254" s="146">
        <v>2680000</v>
      </c>
      <c r="E254" t="s">
        <v>417</v>
      </c>
      <c r="F254" s="20" t="s">
        <v>418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434</v>
      </c>
      <c r="D255" s="146">
        <v>2970000</v>
      </c>
      <c r="E255" t="s">
        <v>424</v>
      </c>
      <c r="F255" s="20" t="s">
        <v>425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429</v>
      </c>
      <c r="D256" s="146">
        <v>2680000</v>
      </c>
      <c r="E256" t="s">
        <v>417</v>
      </c>
      <c r="F256" s="20" t="s">
        <v>418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422</v>
      </c>
      <c r="C257" t="s">
        <v>435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420</v>
      </c>
      <c r="C258" t="s">
        <v>436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431</v>
      </c>
      <c r="D259" s="146">
        <v>2680000</v>
      </c>
      <c r="E259" t="s">
        <v>417</v>
      </c>
      <c r="F259" s="20" t="s">
        <v>418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411</v>
      </c>
      <c r="C260" t="s">
        <v>437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438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429</v>
      </c>
      <c r="D262" s="146">
        <v>2680000</v>
      </c>
      <c r="E262" t="s">
        <v>417</v>
      </c>
      <c r="F262" s="20" t="s">
        <v>418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412</v>
      </c>
      <c r="C263" t="s">
        <v>439</v>
      </c>
      <c r="D263" s="146">
        <v>2970000</v>
      </c>
      <c r="E263" t="s">
        <v>424</v>
      </c>
      <c r="F263" s="20" t="s">
        <v>425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429</v>
      </c>
      <c r="D264" s="146">
        <v>2680000</v>
      </c>
      <c r="E264" t="s">
        <v>417</v>
      </c>
      <c r="F264" s="20" t="s">
        <v>418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421</v>
      </c>
      <c r="C265" t="s">
        <v>428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431</v>
      </c>
      <c r="D266" s="146">
        <v>2680000</v>
      </c>
      <c r="E266" t="s">
        <v>417</v>
      </c>
      <c r="F266" s="20" t="s">
        <v>418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429</v>
      </c>
      <c r="D267" s="146">
        <v>2680000</v>
      </c>
      <c r="E267" t="s">
        <v>417</v>
      </c>
      <c r="F267" s="20" t="s">
        <v>418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440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441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431</v>
      </c>
      <c r="D270" s="146">
        <v>2680000</v>
      </c>
      <c r="E270" t="s">
        <v>417</v>
      </c>
      <c r="F270" s="20" t="s">
        <v>418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429</v>
      </c>
      <c r="D271" s="146">
        <v>2680000</v>
      </c>
      <c r="E271" t="s">
        <v>417</v>
      </c>
      <c r="F271" s="20" t="s">
        <v>418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442</v>
      </c>
      <c r="D272" s="146">
        <v>2970000</v>
      </c>
      <c r="E272" t="s">
        <v>424</v>
      </c>
      <c r="F272" s="20" t="s">
        <v>425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431</v>
      </c>
      <c r="D273" s="146">
        <v>2680000</v>
      </c>
      <c r="E273" t="s">
        <v>417</v>
      </c>
      <c r="F273" s="20" t="s">
        <v>418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429</v>
      </c>
      <c r="D274" s="146">
        <v>2680000</v>
      </c>
      <c r="E274" t="s">
        <v>417</v>
      </c>
      <c r="F274" s="20" t="s">
        <v>418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422</v>
      </c>
      <c r="C275" t="s">
        <v>443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431</v>
      </c>
      <c r="D276" s="146">
        <v>2680000</v>
      </c>
      <c r="E276" t="s">
        <v>417</v>
      </c>
      <c r="F276" s="20" t="s">
        <v>418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429</v>
      </c>
      <c r="D277" s="146">
        <v>2680000</v>
      </c>
      <c r="E277" t="s">
        <v>417</v>
      </c>
      <c r="F277" s="20" t="s">
        <v>418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431</v>
      </c>
      <c r="D278" s="146">
        <v>2680000</v>
      </c>
      <c r="E278" t="s">
        <v>417</v>
      </c>
      <c r="F278" s="20" t="s">
        <v>418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444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411</v>
      </c>
      <c r="C280" t="s">
        <v>445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412</v>
      </c>
      <c r="C281" t="s">
        <v>446</v>
      </c>
      <c r="D281" s="146">
        <v>2970000</v>
      </c>
      <c r="E281" t="s">
        <v>424</v>
      </c>
      <c r="F281" s="20" t="s">
        <v>425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421</v>
      </c>
      <c r="C282" t="s">
        <v>447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448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429</v>
      </c>
      <c r="D284" s="146">
        <v>2680000</v>
      </c>
      <c r="E284" t="s">
        <v>417</v>
      </c>
      <c r="F284" s="20" t="s">
        <v>418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429</v>
      </c>
      <c r="D285" s="146">
        <v>2680000</v>
      </c>
      <c r="E285" t="s">
        <v>417</v>
      </c>
      <c r="F285" s="20" t="s">
        <v>418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449</v>
      </c>
      <c r="D286" s="146">
        <v>2970000</v>
      </c>
      <c r="E286" t="s">
        <v>424</v>
      </c>
      <c r="F286" s="20" t="s">
        <v>425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557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52.84</v>
      </c>
      <c r="B2" s="164">
        <v>0.3</v>
      </c>
      <c r="C2" s="164">
        <v>26.47</v>
      </c>
      <c r="D2" s="8">
        <v>42841</v>
      </c>
      <c r="E2" s="164">
        <v>0.36</v>
      </c>
      <c r="F2" s="164" t="s">
        <v>489</v>
      </c>
      <c r="G2" s="164">
        <v>317.87</v>
      </c>
      <c r="H2" s="164">
        <v>8.9999999999999998E-4</v>
      </c>
      <c r="I2" s="164">
        <v>0.01</v>
      </c>
      <c r="J2" s="164" t="s">
        <v>559</v>
      </c>
      <c r="K2" s="164">
        <v>1017.25</v>
      </c>
      <c r="L2" s="164" t="s">
        <v>345</v>
      </c>
      <c r="M2" s="164">
        <v>52.84</v>
      </c>
      <c r="N2" s="164">
        <v>1492322400</v>
      </c>
      <c r="O2" s="164">
        <v>3.77</v>
      </c>
      <c r="P2" s="164">
        <v>61</v>
      </c>
      <c r="Q2" s="164">
        <v>3.67</v>
      </c>
      <c r="R2"/>
    </row>
    <row r="3" spans="1:18" x14ac:dyDescent="0.25">
      <c r="A3" s="164">
        <v>51</v>
      </c>
      <c r="B3" s="164">
        <v>0.27</v>
      </c>
      <c r="C3" s="164">
        <v>26.57</v>
      </c>
      <c r="D3" s="8">
        <v>42841.041666666664</v>
      </c>
      <c r="E3" s="164">
        <v>0.38</v>
      </c>
      <c r="F3" s="164" t="s">
        <v>489</v>
      </c>
      <c r="G3" s="164">
        <v>316.98</v>
      </c>
      <c r="H3" s="164">
        <v>0</v>
      </c>
      <c r="I3" s="164">
        <v>0</v>
      </c>
      <c r="J3" s="164"/>
      <c r="K3" s="164">
        <v>1017.7</v>
      </c>
      <c r="L3" s="164" t="s">
        <v>345</v>
      </c>
      <c r="M3" s="164">
        <v>51</v>
      </c>
      <c r="N3" s="164">
        <v>1492326000</v>
      </c>
      <c r="O3" s="164">
        <v>4.09</v>
      </c>
      <c r="P3" s="164">
        <v>86</v>
      </c>
      <c r="Q3" s="164">
        <v>2.97</v>
      </c>
      <c r="R3"/>
    </row>
    <row r="4" spans="1:18" x14ac:dyDescent="0.25">
      <c r="A4" s="164">
        <v>49.45</v>
      </c>
      <c r="B4" s="164">
        <v>0.24</v>
      </c>
      <c r="C4" s="164">
        <v>26.14</v>
      </c>
      <c r="D4" s="8">
        <v>42841.083333333336</v>
      </c>
      <c r="E4" s="164">
        <v>0.4</v>
      </c>
      <c r="F4" s="164" t="s">
        <v>456</v>
      </c>
      <c r="G4" s="164">
        <v>316.08</v>
      </c>
      <c r="H4" s="164">
        <v>0</v>
      </c>
      <c r="I4" s="164">
        <v>0</v>
      </c>
      <c r="J4" s="164"/>
      <c r="K4" s="164">
        <v>1018.13</v>
      </c>
      <c r="L4" s="164" t="s">
        <v>455</v>
      </c>
      <c r="M4" s="164">
        <v>49.45</v>
      </c>
      <c r="N4" s="164">
        <v>1492329600</v>
      </c>
      <c r="O4" s="164">
        <v>3.79</v>
      </c>
      <c r="P4" s="164">
        <v>128</v>
      </c>
      <c r="Q4" s="164">
        <v>1.76</v>
      </c>
      <c r="R4"/>
    </row>
    <row r="5" spans="1:18" x14ac:dyDescent="0.25">
      <c r="A5" s="164">
        <v>48.05</v>
      </c>
      <c r="B5" s="164">
        <v>0.21</v>
      </c>
      <c r="C5" s="164">
        <v>26.07</v>
      </c>
      <c r="D5" s="8">
        <v>42841.125</v>
      </c>
      <c r="E5" s="164">
        <v>0.42</v>
      </c>
      <c r="F5" s="164" t="s">
        <v>456</v>
      </c>
      <c r="G5" s="164">
        <v>315.18</v>
      </c>
      <c r="H5" s="164">
        <v>0</v>
      </c>
      <c r="I5" s="164">
        <v>0</v>
      </c>
      <c r="J5" s="164"/>
      <c r="K5" s="164">
        <v>1018.55</v>
      </c>
      <c r="L5" s="164" t="s">
        <v>455</v>
      </c>
      <c r="M5" s="164">
        <v>48.05</v>
      </c>
      <c r="N5" s="164">
        <v>1492333200</v>
      </c>
      <c r="O5" s="164">
        <v>3.69</v>
      </c>
      <c r="P5" s="164">
        <v>153</v>
      </c>
      <c r="Q5" s="164">
        <v>2.2400000000000002</v>
      </c>
      <c r="R5"/>
    </row>
    <row r="6" spans="1:18" x14ac:dyDescent="0.25">
      <c r="A6" s="164">
        <v>45.11</v>
      </c>
      <c r="B6" s="164">
        <v>0.3</v>
      </c>
      <c r="C6" s="164">
        <v>25.87</v>
      </c>
      <c r="D6" s="8">
        <v>42841.166666666664</v>
      </c>
      <c r="E6" s="164">
        <v>0.47</v>
      </c>
      <c r="F6" s="164" t="s">
        <v>489</v>
      </c>
      <c r="G6" s="164">
        <v>313.95</v>
      </c>
      <c r="H6" s="164">
        <v>0</v>
      </c>
      <c r="I6" s="164">
        <v>0</v>
      </c>
      <c r="J6" s="164"/>
      <c r="K6" s="164">
        <v>1018.84</v>
      </c>
      <c r="L6" s="164" t="s">
        <v>345</v>
      </c>
      <c r="M6" s="164">
        <v>45.11</v>
      </c>
      <c r="N6" s="164">
        <v>1492336800</v>
      </c>
      <c r="O6" s="164">
        <v>10</v>
      </c>
      <c r="P6" s="164">
        <v>172</v>
      </c>
      <c r="Q6" s="164">
        <v>1.87</v>
      </c>
      <c r="R6"/>
    </row>
    <row r="7" spans="1:18" x14ac:dyDescent="0.25">
      <c r="A7" s="164">
        <v>43.67</v>
      </c>
      <c r="B7" s="164">
        <v>0.45</v>
      </c>
      <c r="C7" s="164">
        <v>26.54</v>
      </c>
      <c r="D7" s="8">
        <v>42841.208333333336</v>
      </c>
      <c r="E7" s="164">
        <v>0.51</v>
      </c>
      <c r="F7" s="164" t="s">
        <v>489</v>
      </c>
      <c r="G7" s="164">
        <v>312.63</v>
      </c>
      <c r="H7" s="164">
        <v>0</v>
      </c>
      <c r="I7" s="164">
        <v>0</v>
      </c>
      <c r="J7" s="164"/>
      <c r="K7" s="164">
        <v>1019.06</v>
      </c>
      <c r="L7" s="164" t="s">
        <v>345</v>
      </c>
      <c r="M7" s="164">
        <v>43.67</v>
      </c>
      <c r="N7" s="164">
        <v>1492340400</v>
      </c>
      <c r="O7" s="164">
        <v>4.62</v>
      </c>
      <c r="P7" s="164">
        <v>195</v>
      </c>
      <c r="Q7" s="164">
        <v>2.25</v>
      </c>
      <c r="R7"/>
    </row>
    <row r="8" spans="1:18" x14ac:dyDescent="0.25">
      <c r="A8" s="164">
        <v>42.26</v>
      </c>
      <c r="B8" s="164">
        <v>0.54</v>
      </c>
      <c r="C8" s="164">
        <v>26.53</v>
      </c>
      <c r="D8" s="8">
        <v>42841.25</v>
      </c>
      <c r="E8" s="164">
        <v>0.53</v>
      </c>
      <c r="F8" s="164" t="s">
        <v>489</v>
      </c>
      <c r="G8" s="164">
        <v>311.77</v>
      </c>
      <c r="H8" s="164">
        <v>0</v>
      </c>
      <c r="I8" s="164">
        <v>0</v>
      </c>
      <c r="J8" s="164"/>
      <c r="K8" s="164">
        <v>1019.09</v>
      </c>
      <c r="L8" s="164" t="s">
        <v>345</v>
      </c>
      <c r="M8" s="164">
        <v>42.26</v>
      </c>
      <c r="N8" s="164">
        <v>1492344000</v>
      </c>
      <c r="O8" s="164">
        <v>4.75</v>
      </c>
      <c r="P8" s="164">
        <v>182</v>
      </c>
      <c r="Q8" s="164">
        <v>1.91</v>
      </c>
      <c r="R8"/>
    </row>
    <row r="9" spans="1:18" x14ac:dyDescent="0.25">
      <c r="A9" s="164">
        <v>42.4</v>
      </c>
      <c r="B9" s="164">
        <v>0.51</v>
      </c>
      <c r="C9" s="164">
        <v>27.59</v>
      </c>
      <c r="D9" s="8">
        <v>42841.291666666664</v>
      </c>
      <c r="E9" s="164">
        <v>0.55000000000000004</v>
      </c>
      <c r="F9" s="164" t="s">
        <v>558</v>
      </c>
      <c r="G9" s="164">
        <v>311.48</v>
      </c>
      <c r="H9" s="164">
        <v>0</v>
      </c>
      <c r="I9" s="164">
        <v>0</v>
      </c>
      <c r="J9" s="164"/>
      <c r="K9" s="164">
        <v>1018.75</v>
      </c>
      <c r="L9" s="164" t="s">
        <v>345</v>
      </c>
      <c r="M9" s="164">
        <v>42.4</v>
      </c>
      <c r="N9" s="164">
        <v>1492347600</v>
      </c>
      <c r="O9" s="164">
        <v>3.67</v>
      </c>
      <c r="P9" s="164">
        <v>140</v>
      </c>
      <c r="Q9" s="164">
        <v>2.4700000000000002</v>
      </c>
      <c r="R9"/>
    </row>
    <row r="10" spans="1:18" x14ac:dyDescent="0.25">
      <c r="A10" s="164">
        <v>47.92</v>
      </c>
      <c r="B10" s="164">
        <v>0.43</v>
      </c>
      <c r="C10" s="164">
        <v>28.79</v>
      </c>
      <c r="D10" s="8">
        <v>42841.333333333336</v>
      </c>
      <c r="E10" s="164">
        <v>0.47</v>
      </c>
      <c r="F10" s="164" t="s">
        <v>558</v>
      </c>
      <c r="G10" s="164">
        <v>311.64</v>
      </c>
      <c r="H10" s="164">
        <v>0</v>
      </c>
      <c r="I10" s="164">
        <v>0</v>
      </c>
      <c r="J10" s="164"/>
      <c r="K10" s="164">
        <v>1018.13</v>
      </c>
      <c r="L10" s="164" t="s">
        <v>345</v>
      </c>
      <c r="M10" s="164">
        <v>47.92</v>
      </c>
      <c r="N10" s="164">
        <v>1492351200</v>
      </c>
      <c r="O10" s="164">
        <v>3.21</v>
      </c>
      <c r="P10" s="164">
        <v>149</v>
      </c>
      <c r="Q10" s="164">
        <v>2.62</v>
      </c>
      <c r="R10"/>
    </row>
    <row r="11" spans="1:18" x14ac:dyDescent="0.25">
      <c r="A11" s="164">
        <v>53.57</v>
      </c>
      <c r="B11" s="164">
        <v>0.34</v>
      </c>
      <c r="C11" s="164">
        <v>29.63</v>
      </c>
      <c r="D11" s="8">
        <v>42841.375</v>
      </c>
      <c r="E11" s="164">
        <v>0.4</v>
      </c>
      <c r="F11" s="164" t="s">
        <v>558</v>
      </c>
      <c r="G11" s="164">
        <v>312.36</v>
      </c>
      <c r="H11" s="164">
        <v>0</v>
      </c>
      <c r="I11" s="164">
        <v>0</v>
      </c>
      <c r="J11" s="164"/>
      <c r="K11" s="164">
        <v>1017.33</v>
      </c>
      <c r="L11" s="164" t="s">
        <v>345</v>
      </c>
      <c r="M11" s="164">
        <v>53.57</v>
      </c>
      <c r="N11" s="164">
        <v>1492354800</v>
      </c>
      <c r="O11" s="164">
        <v>10</v>
      </c>
      <c r="P11" s="164">
        <v>151</v>
      </c>
      <c r="Q11" s="164">
        <v>3.31</v>
      </c>
      <c r="R11"/>
    </row>
    <row r="12" spans="1:18" x14ac:dyDescent="0.25">
      <c r="A12" s="164">
        <v>58.25</v>
      </c>
      <c r="B12" s="164">
        <v>0.4</v>
      </c>
      <c r="C12" s="164">
        <v>29.64</v>
      </c>
      <c r="D12" s="8">
        <v>42841.416666666664</v>
      </c>
      <c r="E12" s="164">
        <v>0.33</v>
      </c>
      <c r="F12" s="164" t="s">
        <v>558</v>
      </c>
      <c r="G12" s="164">
        <v>313.94</v>
      </c>
      <c r="H12" s="164">
        <v>0</v>
      </c>
      <c r="I12" s="164">
        <v>0</v>
      </c>
      <c r="J12" s="164"/>
      <c r="K12" s="164">
        <v>1016.53</v>
      </c>
      <c r="L12" s="164" t="s">
        <v>345</v>
      </c>
      <c r="M12" s="164">
        <v>58.25</v>
      </c>
      <c r="N12" s="164">
        <v>1492358400</v>
      </c>
      <c r="O12" s="164">
        <v>2.97</v>
      </c>
      <c r="P12" s="164">
        <v>147</v>
      </c>
      <c r="Q12" s="164">
        <v>2.83</v>
      </c>
      <c r="R12"/>
    </row>
    <row r="13" spans="1:18" x14ac:dyDescent="0.25">
      <c r="A13" s="164">
        <v>62.57</v>
      </c>
      <c r="B13" s="164">
        <v>0.43</v>
      </c>
      <c r="C13" s="164">
        <v>30.15</v>
      </c>
      <c r="D13" s="8">
        <v>42841.458333333336</v>
      </c>
      <c r="E13" s="164">
        <v>0.28999999999999998</v>
      </c>
      <c r="F13" s="164" t="s">
        <v>558</v>
      </c>
      <c r="G13" s="164">
        <v>316.08</v>
      </c>
      <c r="H13" s="164">
        <v>0</v>
      </c>
      <c r="I13" s="164">
        <v>0</v>
      </c>
      <c r="J13" s="164"/>
      <c r="K13" s="164">
        <v>1015.64</v>
      </c>
      <c r="L13" s="164" t="s">
        <v>345</v>
      </c>
      <c r="M13" s="164">
        <v>62.57</v>
      </c>
      <c r="N13" s="164">
        <v>1492362000</v>
      </c>
      <c r="O13" s="164">
        <v>3</v>
      </c>
      <c r="P13" s="164">
        <v>151</v>
      </c>
      <c r="Q13" s="164">
        <v>2.34</v>
      </c>
      <c r="R13"/>
    </row>
    <row r="14" spans="1:18" x14ac:dyDescent="0.25">
      <c r="A14" s="164">
        <v>66.3</v>
      </c>
      <c r="B14" s="164">
        <v>0.46</v>
      </c>
      <c r="C14" s="164">
        <v>30</v>
      </c>
      <c r="D14" s="8">
        <v>42841.5</v>
      </c>
      <c r="E14" s="164">
        <v>0.26</v>
      </c>
      <c r="F14" s="164" t="s">
        <v>558</v>
      </c>
      <c r="G14" s="164">
        <v>318.02</v>
      </c>
      <c r="H14" s="164">
        <v>0</v>
      </c>
      <c r="I14" s="164">
        <v>0</v>
      </c>
      <c r="J14" s="164"/>
      <c r="K14" s="164">
        <v>1014.84</v>
      </c>
      <c r="L14" s="164" t="s">
        <v>345</v>
      </c>
      <c r="M14" s="164">
        <v>66.3</v>
      </c>
      <c r="N14" s="164">
        <v>1492365600</v>
      </c>
      <c r="O14" s="164">
        <v>3.05</v>
      </c>
      <c r="P14" s="164">
        <v>97</v>
      </c>
      <c r="Q14" s="164">
        <v>1.05</v>
      </c>
      <c r="R14"/>
    </row>
    <row r="15" spans="1:18" x14ac:dyDescent="0.25">
      <c r="A15" s="164">
        <v>69.59</v>
      </c>
      <c r="B15" s="164">
        <v>0.46</v>
      </c>
      <c r="C15" s="164">
        <v>28.64</v>
      </c>
      <c r="D15" s="8">
        <v>42841.541666666664</v>
      </c>
      <c r="E15" s="164">
        <v>0.22</v>
      </c>
      <c r="F15" s="164" t="s">
        <v>558</v>
      </c>
      <c r="G15" s="164">
        <v>319.44</v>
      </c>
      <c r="H15" s="164">
        <v>0</v>
      </c>
      <c r="I15" s="164">
        <v>0</v>
      </c>
      <c r="J15" s="164"/>
      <c r="K15" s="164">
        <v>1014.17</v>
      </c>
      <c r="L15" s="164" t="s">
        <v>345</v>
      </c>
      <c r="M15" s="164">
        <v>69.59</v>
      </c>
      <c r="N15" s="164">
        <v>1492369200</v>
      </c>
      <c r="O15" s="164">
        <v>3.08</v>
      </c>
      <c r="P15" s="164">
        <v>56</v>
      </c>
      <c r="Q15" s="164">
        <v>2</v>
      </c>
      <c r="R15"/>
    </row>
    <row r="16" spans="1:18" x14ac:dyDescent="0.25">
      <c r="A16" s="164">
        <v>71.02</v>
      </c>
      <c r="B16" s="164">
        <v>0.45</v>
      </c>
      <c r="C16" s="164">
        <v>28.65</v>
      </c>
      <c r="D16" s="8">
        <v>42841.583333333336</v>
      </c>
      <c r="E16" s="164">
        <v>0.21</v>
      </c>
      <c r="F16" s="164" t="s">
        <v>558</v>
      </c>
      <c r="G16" s="164">
        <v>320.66000000000003</v>
      </c>
      <c r="H16" s="164">
        <v>0</v>
      </c>
      <c r="I16" s="164">
        <v>0</v>
      </c>
      <c r="J16" s="164"/>
      <c r="K16" s="164">
        <v>1013.54</v>
      </c>
      <c r="L16" s="164" t="s">
        <v>345</v>
      </c>
      <c r="M16" s="164">
        <v>71.02</v>
      </c>
      <c r="N16" s="164">
        <v>1492372800</v>
      </c>
      <c r="O16" s="164">
        <v>3.06</v>
      </c>
      <c r="P16" s="164">
        <v>62</v>
      </c>
      <c r="Q16" s="164">
        <v>2.31</v>
      </c>
      <c r="R16"/>
    </row>
    <row r="17" spans="1:18" x14ac:dyDescent="0.25">
      <c r="A17" s="164">
        <v>72.27</v>
      </c>
      <c r="B17" s="164">
        <v>0.46</v>
      </c>
      <c r="C17" s="164">
        <v>29.09</v>
      </c>
      <c r="D17" s="8">
        <v>42841.625</v>
      </c>
      <c r="E17" s="164">
        <v>0.2</v>
      </c>
      <c r="F17" s="164" t="s">
        <v>558</v>
      </c>
      <c r="G17" s="164">
        <v>321.92</v>
      </c>
      <c r="H17" s="164">
        <v>0</v>
      </c>
      <c r="I17" s="164">
        <v>0</v>
      </c>
      <c r="J17" s="164"/>
      <c r="K17" s="164">
        <v>1012.98</v>
      </c>
      <c r="L17" s="164" t="s">
        <v>345</v>
      </c>
      <c r="M17" s="164">
        <v>72.27</v>
      </c>
      <c r="N17" s="164">
        <v>1492376400</v>
      </c>
      <c r="O17" s="164">
        <v>3.02</v>
      </c>
      <c r="P17" s="164">
        <v>66</v>
      </c>
      <c r="Q17" s="164">
        <v>2.2200000000000002</v>
      </c>
      <c r="R17"/>
    </row>
    <row r="18" spans="1:18" x14ac:dyDescent="0.25">
      <c r="A18" s="164">
        <v>73.03</v>
      </c>
      <c r="B18" s="164">
        <v>0.51</v>
      </c>
      <c r="C18" s="164">
        <v>29.57</v>
      </c>
      <c r="D18" s="8">
        <v>42841.666666666664</v>
      </c>
      <c r="E18" s="164">
        <v>0.2</v>
      </c>
      <c r="F18" s="164" t="s">
        <v>558</v>
      </c>
      <c r="G18" s="164">
        <v>323.20999999999998</v>
      </c>
      <c r="H18" s="164">
        <v>0</v>
      </c>
      <c r="I18" s="164">
        <v>0</v>
      </c>
      <c r="J18" s="164"/>
      <c r="K18" s="164">
        <v>1012.42</v>
      </c>
      <c r="L18" s="164" t="s">
        <v>345</v>
      </c>
      <c r="M18" s="164">
        <v>73.03</v>
      </c>
      <c r="N18" s="164">
        <v>1492380000</v>
      </c>
      <c r="O18" s="164">
        <v>3.13</v>
      </c>
      <c r="P18" s="164">
        <v>56</v>
      </c>
      <c r="Q18" s="164">
        <v>2.21</v>
      </c>
      <c r="R18"/>
    </row>
    <row r="19" spans="1:18" x14ac:dyDescent="0.25">
      <c r="A19" s="164">
        <v>73.05</v>
      </c>
      <c r="B19" s="164">
        <v>0.56999999999999995</v>
      </c>
      <c r="C19" s="164">
        <v>30.24</v>
      </c>
      <c r="D19" s="8">
        <v>42841.708333333336</v>
      </c>
      <c r="E19" s="164">
        <v>0.21</v>
      </c>
      <c r="F19" s="164" t="s">
        <v>558</v>
      </c>
      <c r="G19" s="164">
        <v>324.55</v>
      </c>
      <c r="H19" s="164">
        <v>0</v>
      </c>
      <c r="I19" s="164">
        <v>0</v>
      </c>
      <c r="J19" s="164"/>
      <c r="K19" s="164">
        <v>1012</v>
      </c>
      <c r="L19" s="164" t="s">
        <v>345</v>
      </c>
      <c r="M19" s="164">
        <v>73.05</v>
      </c>
      <c r="N19" s="164">
        <v>1492383600</v>
      </c>
      <c r="O19" s="164">
        <v>5.27</v>
      </c>
      <c r="P19" s="164">
        <v>105</v>
      </c>
      <c r="Q19" s="164">
        <v>1.6</v>
      </c>
      <c r="R19"/>
    </row>
    <row r="20" spans="1:18" x14ac:dyDescent="0.25">
      <c r="A20" s="164">
        <v>69.5</v>
      </c>
      <c r="B20" s="164">
        <v>0.56999999999999995</v>
      </c>
      <c r="C20" s="164">
        <v>30.2</v>
      </c>
      <c r="D20" s="8">
        <v>42841.75</v>
      </c>
      <c r="E20" s="164">
        <v>0.23</v>
      </c>
      <c r="F20" s="164" t="s">
        <v>558</v>
      </c>
      <c r="G20" s="164">
        <v>326.22000000000003</v>
      </c>
      <c r="H20" s="164">
        <v>0</v>
      </c>
      <c r="I20" s="164">
        <v>0</v>
      </c>
      <c r="J20" s="164"/>
      <c r="K20" s="164">
        <v>1011.99</v>
      </c>
      <c r="L20" s="164" t="s">
        <v>345</v>
      </c>
      <c r="M20" s="164">
        <v>69.5</v>
      </c>
      <c r="N20" s="164">
        <v>1492387200</v>
      </c>
      <c r="O20" s="164">
        <v>5.49</v>
      </c>
      <c r="P20" s="164">
        <v>106</v>
      </c>
      <c r="Q20" s="164">
        <v>2.4500000000000002</v>
      </c>
      <c r="R20"/>
    </row>
    <row r="21" spans="1:18" x14ac:dyDescent="0.25">
      <c r="A21" s="164">
        <v>66.67</v>
      </c>
      <c r="B21" s="164">
        <v>0.49</v>
      </c>
      <c r="C21" s="164">
        <v>32.229999999999997</v>
      </c>
      <c r="D21" s="8">
        <v>42841.791666666664</v>
      </c>
      <c r="E21" s="164">
        <v>0.28000000000000003</v>
      </c>
      <c r="F21" s="164" t="s">
        <v>558</v>
      </c>
      <c r="G21" s="164">
        <v>328.5</v>
      </c>
      <c r="H21" s="164">
        <v>3.0999999999999999E-3</v>
      </c>
      <c r="I21" s="164">
        <v>0.1</v>
      </c>
      <c r="J21" s="164" t="s">
        <v>559</v>
      </c>
      <c r="K21" s="164">
        <v>1012.45</v>
      </c>
      <c r="L21" s="164" t="s">
        <v>345</v>
      </c>
      <c r="M21" s="164">
        <v>66.67</v>
      </c>
      <c r="N21" s="164">
        <v>1492390800</v>
      </c>
      <c r="O21" s="164">
        <v>5.96</v>
      </c>
      <c r="P21" s="164">
        <v>101</v>
      </c>
      <c r="Q21" s="164">
        <v>2.62</v>
      </c>
      <c r="R21"/>
    </row>
    <row r="22" spans="1:18" x14ac:dyDescent="0.25">
      <c r="A22" s="164">
        <v>63.46</v>
      </c>
      <c r="B22" s="164">
        <v>0.37</v>
      </c>
      <c r="C22" s="164">
        <v>32.32</v>
      </c>
      <c r="D22" s="8">
        <v>42841.833333333336</v>
      </c>
      <c r="E22" s="164">
        <v>0.31</v>
      </c>
      <c r="F22" s="164" t="s">
        <v>489</v>
      </c>
      <c r="G22" s="164">
        <v>331.1</v>
      </c>
      <c r="H22" s="164">
        <v>0</v>
      </c>
      <c r="I22" s="164">
        <v>0</v>
      </c>
      <c r="J22" s="164"/>
      <c r="K22" s="164">
        <v>1013.54</v>
      </c>
      <c r="L22" s="164" t="s">
        <v>345</v>
      </c>
      <c r="M22" s="164">
        <v>63.46</v>
      </c>
      <c r="N22" s="164">
        <v>1492394400</v>
      </c>
      <c r="O22" s="164">
        <v>6.72</v>
      </c>
      <c r="P22" s="164">
        <v>113</v>
      </c>
      <c r="Q22" s="164">
        <v>2.12</v>
      </c>
      <c r="R22"/>
    </row>
    <row r="23" spans="1:18" x14ac:dyDescent="0.25">
      <c r="A23" s="164">
        <v>60.54</v>
      </c>
      <c r="B23" s="164">
        <v>0.28999999999999998</v>
      </c>
      <c r="C23" s="164">
        <v>32.76</v>
      </c>
      <c r="D23" s="8">
        <v>42841.875</v>
      </c>
      <c r="E23" s="164">
        <v>0.35</v>
      </c>
      <c r="F23" s="164" t="s">
        <v>489</v>
      </c>
      <c r="G23" s="164">
        <v>333.44</v>
      </c>
      <c r="H23" s="164">
        <v>0</v>
      </c>
      <c r="I23" s="164">
        <v>0</v>
      </c>
      <c r="J23" s="164"/>
      <c r="K23" s="164">
        <v>1014.54</v>
      </c>
      <c r="L23" s="164" t="s">
        <v>345</v>
      </c>
      <c r="M23" s="164">
        <v>60.54</v>
      </c>
      <c r="N23" s="164">
        <v>1492398000</v>
      </c>
      <c r="O23" s="164">
        <v>7.6</v>
      </c>
      <c r="P23" s="164">
        <v>65</v>
      </c>
      <c r="Q23" s="164">
        <v>0.79</v>
      </c>
      <c r="R23"/>
    </row>
    <row r="24" spans="1:18" x14ac:dyDescent="0.25">
      <c r="A24" s="164">
        <v>57.48</v>
      </c>
      <c r="B24" s="164">
        <v>0.25</v>
      </c>
      <c r="C24" s="164">
        <v>32.159999999999997</v>
      </c>
      <c r="D24" s="8">
        <v>42841.916666666664</v>
      </c>
      <c r="E24" s="164">
        <v>0.38</v>
      </c>
      <c r="F24" s="164" t="s">
        <v>489</v>
      </c>
      <c r="G24" s="164">
        <v>335.49</v>
      </c>
      <c r="H24" s="164">
        <v>0</v>
      </c>
      <c r="I24" s="164">
        <v>0</v>
      </c>
      <c r="J24" s="164"/>
      <c r="K24" s="164">
        <v>1014.98</v>
      </c>
      <c r="L24" s="164" t="s">
        <v>345</v>
      </c>
      <c r="M24" s="164">
        <v>57.48</v>
      </c>
      <c r="N24" s="164">
        <v>1492401600</v>
      </c>
      <c r="O24" s="164">
        <v>10</v>
      </c>
      <c r="P24" s="164">
        <v>150</v>
      </c>
      <c r="Q24" s="164">
        <v>0.39</v>
      </c>
      <c r="R24"/>
    </row>
    <row r="25" spans="1:18" x14ac:dyDescent="0.25">
      <c r="A25" s="164">
        <v>55.51</v>
      </c>
      <c r="B25" s="164">
        <v>0.23</v>
      </c>
      <c r="C25" s="164">
        <v>31.7</v>
      </c>
      <c r="D25" s="8">
        <v>42841.958333333336</v>
      </c>
      <c r="E25" s="164">
        <v>0.4</v>
      </c>
      <c r="F25" s="164" t="s">
        <v>456</v>
      </c>
      <c r="G25" s="164">
        <v>337.26</v>
      </c>
      <c r="H25" s="164">
        <v>0</v>
      </c>
      <c r="I25" s="164">
        <v>0</v>
      </c>
      <c r="J25" s="164"/>
      <c r="K25" s="164">
        <v>1015.16</v>
      </c>
      <c r="L25" s="164" t="s">
        <v>455</v>
      </c>
      <c r="M25" s="164">
        <v>55.51</v>
      </c>
      <c r="N25" s="164">
        <v>1492405200</v>
      </c>
      <c r="O25" s="164">
        <v>5.66</v>
      </c>
      <c r="P25" s="164">
        <v>323</v>
      </c>
      <c r="Q25" s="164">
        <v>1.39</v>
      </c>
      <c r="R25"/>
    </row>
    <row r="26" spans="1:18" x14ac:dyDescent="0.25">
      <c r="A26" s="164">
        <v>53.38</v>
      </c>
      <c r="B26" s="164">
        <v>0.23</v>
      </c>
      <c r="C26" s="164">
        <v>27.23</v>
      </c>
      <c r="D26" s="8">
        <v>42842</v>
      </c>
      <c r="E26" s="164">
        <v>0.36</v>
      </c>
      <c r="F26" s="164" t="s">
        <v>456</v>
      </c>
      <c r="G26" s="164">
        <v>338.22</v>
      </c>
      <c r="H26" s="164">
        <v>0</v>
      </c>
      <c r="I26" s="164">
        <v>0</v>
      </c>
      <c r="J26" s="164"/>
      <c r="K26" s="164">
        <v>1015.44</v>
      </c>
      <c r="L26" s="164" t="s">
        <v>455</v>
      </c>
      <c r="M26" s="164">
        <v>53.38</v>
      </c>
      <c r="N26" s="164">
        <v>1492408800</v>
      </c>
      <c r="O26" s="164">
        <v>5.78</v>
      </c>
      <c r="P26" s="164">
        <v>302</v>
      </c>
      <c r="Q26" s="164">
        <v>2.84</v>
      </c>
      <c r="R26"/>
    </row>
    <row r="27" spans="1:18" x14ac:dyDescent="0.25">
      <c r="A27" s="164">
        <v>52.3</v>
      </c>
      <c r="B27" s="164">
        <v>0.14000000000000001</v>
      </c>
      <c r="C27" s="164">
        <v>23.64</v>
      </c>
      <c r="D27" s="8">
        <v>42842.041666666664</v>
      </c>
      <c r="E27" s="164">
        <v>0.32</v>
      </c>
      <c r="F27" s="164" t="s">
        <v>456</v>
      </c>
      <c r="G27" s="164">
        <v>337.36</v>
      </c>
      <c r="H27" s="164">
        <v>0</v>
      </c>
      <c r="I27" s="164">
        <v>0</v>
      </c>
      <c r="J27" s="164"/>
      <c r="K27" s="164">
        <v>1016.14</v>
      </c>
      <c r="L27" s="164" t="s">
        <v>455</v>
      </c>
      <c r="M27" s="164">
        <v>52.3</v>
      </c>
      <c r="N27" s="164">
        <v>1492412400</v>
      </c>
      <c r="O27" s="164">
        <v>5.99</v>
      </c>
      <c r="P27" s="164">
        <v>277</v>
      </c>
      <c r="Q27" s="164">
        <v>2.57</v>
      </c>
      <c r="R27"/>
    </row>
    <row r="28" spans="1:18" x14ac:dyDescent="0.25">
      <c r="A28" s="164">
        <v>51.01</v>
      </c>
      <c r="B28" s="164">
        <v>0.12</v>
      </c>
      <c r="C28" s="164">
        <v>21.28</v>
      </c>
      <c r="D28" s="8">
        <v>42842.083333333336</v>
      </c>
      <c r="E28" s="164">
        <v>0.31</v>
      </c>
      <c r="F28" s="164" t="s">
        <v>456</v>
      </c>
      <c r="G28" s="164">
        <v>336.51</v>
      </c>
      <c r="H28" s="164">
        <v>0</v>
      </c>
      <c r="I28" s="164">
        <v>0</v>
      </c>
      <c r="J28" s="164"/>
      <c r="K28" s="164">
        <v>1016.85</v>
      </c>
      <c r="L28" s="164" t="s">
        <v>455</v>
      </c>
      <c r="M28" s="164">
        <v>51.01</v>
      </c>
      <c r="N28" s="164">
        <v>1492416000</v>
      </c>
      <c r="O28" s="164">
        <v>5.5</v>
      </c>
      <c r="P28" s="164">
        <v>293</v>
      </c>
      <c r="Q28" s="164">
        <v>2.0299999999999998</v>
      </c>
      <c r="R28"/>
    </row>
    <row r="29" spans="1:18" x14ac:dyDescent="0.25">
      <c r="A29" s="164">
        <v>49.01</v>
      </c>
      <c r="B29" s="164">
        <v>0.12</v>
      </c>
      <c r="C29" s="164">
        <v>20.010000000000002</v>
      </c>
      <c r="D29" s="8">
        <v>42842.125</v>
      </c>
      <c r="E29" s="164">
        <v>0.31</v>
      </c>
      <c r="F29" s="164" t="s">
        <v>456</v>
      </c>
      <c r="G29" s="164">
        <v>335.65</v>
      </c>
      <c r="H29" s="164">
        <v>0</v>
      </c>
      <c r="I29" s="164">
        <v>0</v>
      </c>
      <c r="J29" s="164"/>
      <c r="K29" s="164">
        <v>1017.53</v>
      </c>
      <c r="L29" s="164" t="s">
        <v>455</v>
      </c>
      <c r="M29" s="164">
        <v>49.01</v>
      </c>
      <c r="N29" s="164">
        <v>1492419600</v>
      </c>
      <c r="O29" s="164">
        <v>4.0599999999999996</v>
      </c>
      <c r="P29" s="164">
        <v>86</v>
      </c>
      <c r="Q29" s="164">
        <v>0.97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42841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1003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1004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1005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1006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1007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1008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1009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1010</v>
      </c>
      <c r="J25" s="148" t="s">
        <v>150</v>
      </c>
      <c r="M25" s="164" t="b">
        <v>1</v>
      </c>
    </row>
    <row r="26" spans="3:24" x14ac:dyDescent="0.25">
      <c r="C26" t="s">
        <v>1011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C:\Users\stu\Documents\GitHub\eaglep3-reporting\EC\2017-04-16-refined-times.txt</v>
      </c>
    </row>
    <row r="27" spans="3:24" x14ac:dyDescent="0.25">
      <c r="C27" t="s">
        <v>1012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C:\Users\stu\Documents\GitHub\eaglep3-reporting\EC\2017-04-16-Enforcements.txt</v>
      </c>
    </row>
    <row r="28" spans="3:24" x14ac:dyDescent="0.25">
      <c r="C28" t="s">
        <v>1013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C:\Users\stu\Documents\GitHub\eaglep3-reporting\EC\2017-04-16-Runs-refined.txt</v>
      </c>
    </row>
    <row r="29" spans="3:24" x14ac:dyDescent="0.25"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C:\Users\stu\Documents\GitHub\eaglep3-reporting\EC\2017-04-16-Trips.txt</v>
      </c>
    </row>
    <row r="30" spans="3:24" x14ac:dyDescent="0.25"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C:\Users\stu\Documents\GitHub\eaglep3-reporting\EC\2017-04-16-Weather.txt</v>
      </c>
    </row>
    <row r="31" spans="3:24" x14ac:dyDescent="0.25">
      <c r="J31" s="148" t="s">
        <v>201</v>
      </c>
      <c r="M31" s="164" t="s">
        <v>202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2017-04-18T15:32:36Z</dcterms:modified>
</cp:coreProperties>
</file>