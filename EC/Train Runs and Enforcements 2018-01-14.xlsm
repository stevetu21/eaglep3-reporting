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Runs'!$A$12:$AG$609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5" i="1" l="1"/>
  <c r="K184" i="1"/>
  <c r="L184" i="1"/>
  <c r="M184" i="1"/>
  <c r="N184" i="1"/>
  <c r="V184" i="1"/>
  <c r="AA184" i="1"/>
  <c r="AB184" i="1"/>
  <c r="AC184" i="1"/>
  <c r="AD184" i="1"/>
  <c r="T184" i="1" s="1"/>
  <c r="AE184" i="1"/>
  <c r="AF184" i="1"/>
  <c r="AH184" i="1"/>
  <c r="AM184" i="1"/>
  <c r="AN184" i="1"/>
  <c r="AO184" i="1"/>
  <c r="X181" i="1"/>
  <c r="K180" i="1"/>
  <c r="L180" i="1"/>
  <c r="M180" i="1"/>
  <c r="N180" i="1"/>
  <c r="V180" i="1"/>
  <c r="AB180" i="1"/>
  <c r="AC180" i="1"/>
  <c r="AD180" i="1"/>
  <c r="T180" i="1" s="1"/>
  <c r="AE180" i="1"/>
  <c r="AF180" i="1"/>
  <c r="AH180" i="1"/>
  <c r="AM180" i="1"/>
  <c r="AN180" i="1"/>
  <c r="AO180" i="1"/>
  <c r="X160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K110" i="1"/>
  <c r="L110" i="1"/>
  <c r="M110" i="1"/>
  <c r="N110" i="1"/>
  <c r="V110" i="1"/>
  <c r="AA110" i="1"/>
  <c r="AB110" i="1"/>
  <c r="AC110" i="1"/>
  <c r="AD110" i="1"/>
  <c r="T110" i="1" s="1"/>
  <c r="AE110" i="1"/>
  <c r="AF110" i="1"/>
  <c r="AH110" i="1"/>
  <c r="AM110" i="1"/>
  <c r="AN110" i="1"/>
  <c r="AO110" i="1"/>
  <c r="K108" i="1"/>
  <c r="L108" i="1"/>
  <c r="M108" i="1"/>
  <c r="N108" i="1"/>
  <c r="V108" i="1"/>
  <c r="AA108" i="1"/>
  <c r="AB108" i="1"/>
  <c r="AC108" i="1"/>
  <c r="AD108" i="1"/>
  <c r="T108" i="1" s="1"/>
  <c r="AE108" i="1"/>
  <c r="AF108" i="1"/>
  <c r="AH108" i="1"/>
  <c r="AM108" i="1"/>
  <c r="AN108" i="1"/>
  <c r="AO108" i="1"/>
  <c r="K107" i="1"/>
  <c r="L107" i="1"/>
  <c r="M107" i="1"/>
  <c r="N107" i="1"/>
  <c r="V107" i="1"/>
  <c r="AA107" i="1"/>
  <c r="AB107" i="1"/>
  <c r="AC107" i="1"/>
  <c r="AD107" i="1"/>
  <c r="T107" i="1" s="1"/>
  <c r="AE107" i="1"/>
  <c r="AF107" i="1"/>
  <c r="AH107" i="1"/>
  <c r="AM107" i="1"/>
  <c r="AN107" i="1"/>
  <c r="AO107" i="1"/>
  <c r="K105" i="1"/>
  <c r="L105" i="1"/>
  <c r="M105" i="1"/>
  <c r="N105" i="1"/>
  <c r="V105" i="1"/>
  <c r="AA105" i="1"/>
  <c r="AB105" i="1"/>
  <c r="AC105" i="1"/>
  <c r="AD105" i="1"/>
  <c r="T105" i="1" s="1"/>
  <c r="AE105" i="1"/>
  <c r="AF105" i="1"/>
  <c r="AH105" i="1"/>
  <c r="AM105" i="1"/>
  <c r="AN105" i="1"/>
  <c r="AO105" i="1"/>
  <c r="K103" i="1"/>
  <c r="L103" i="1"/>
  <c r="M103" i="1"/>
  <c r="N103" i="1"/>
  <c r="V103" i="1"/>
  <c r="AA103" i="1"/>
  <c r="AB103" i="1"/>
  <c r="AC103" i="1"/>
  <c r="AD103" i="1"/>
  <c r="T103" i="1" s="1"/>
  <c r="AE103" i="1"/>
  <c r="AF103" i="1"/>
  <c r="AH103" i="1"/>
  <c r="AM103" i="1"/>
  <c r="AN103" i="1"/>
  <c r="AO103" i="1"/>
  <c r="K101" i="1"/>
  <c r="L101" i="1"/>
  <c r="M101" i="1"/>
  <c r="N101" i="1"/>
  <c r="V101" i="1"/>
  <c r="X101" i="1"/>
  <c r="AA101" i="1"/>
  <c r="AB101" i="1"/>
  <c r="AC101" i="1"/>
  <c r="AD101" i="1"/>
  <c r="T101" i="1" s="1"/>
  <c r="AE101" i="1"/>
  <c r="AF101" i="1"/>
  <c r="AH101" i="1"/>
  <c r="AM101" i="1"/>
  <c r="AN101" i="1"/>
  <c r="AO101" i="1"/>
  <c r="P83" i="1"/>
  <c r="P35" i="1"/>
  <c r="AO35" i="1"/>
  <c r="AN35" i="1"/>
  <c r="AM35" i="1"/>
  <c r="AH35" i="1"/>
  <c r="AF35" i="1"/>
  <c r="AE35" i="1"/>
  <c r="AD35" i="1"/>
  <c r="AC35" i="1"/>
  <c r="AB35" i="1"/>
  <c r="AA35" i="1"/>
  <c r="V35" i="1"/>
  <c r="M35" i="1"/>
  <c r="L35" i="1"/>
  <c r="K35" i="1"/>
  <c r="AG184" i="1"/>
  <c r="AG180" i="1"/>
  <c r="AG159" i="1"/>
  <c r="AG110" i="1"/>
  <c r="AG108" i="1"/>
  <c r="AG107" i="1"/>
  <c r="AG105" i="1"/>
  <c r="AG103" i="1"/>
  <c r="AG101" i="1"/>
  <c r="AG35" i="1"/>
  <c r="AI184" i="1" l="1"/>
  <c r="U184" i="1"/>
  <c r="S184" i="1" s="1"/>
  <c r="W184" i="1"/>
  <c r="X184" i="1"/>
  <c r="AA180" i="1"/>
  <c r="W180" i="1" s="1"/>
  <c r="AI180" i="1"/>
  <c r="U180" i="1"/>
  <c r="S180" i="1" s="1"/>
  <c r="X180" i="1"/>
  <c r="AI159" i="1"/>
  <c r="U159" i="1"/>
  <c r="S159" i="1" s="1"/>
  <c r="W159" i="1"/>
  <c r="X159" i="1"/>
  <c r="AI110" i="1"/>
  <c r="U110" i="1"/>
  <c r="S110" i="1" s="1"/>
  <c r="W110" i="1"/>
  <c r="U108" i="1"/>
  <c r="S108" i="1" s="1"/>
  <c r="AI108" i="1"/>
  <c r="W108" i="1"/>
  <c r="AI107" i="1"/>
  <c r="U107" i="1"/>
  <c r="S107" i="1" s="1"/>
  <c r="W107" i="1"/>
  <c r="AI105" i="1"/>
  <c r="U105" i="1"/>
  <c r="S105" i="1" s="1"/>
  <c r="W105" i="1"/>
  <c r="AI103" i="1"/>
  <c r="U103" i="1"/>
  <c r="S103" i="1" s="1"/>
  <c r="W103" i="1"/>
  <c r="W101" i="1"/>
  <c r="AI101" i="1"/>
  <c r="U101" i="1"/>
  <c r="S101" i="1" s="1"/>
  <c r="AI35" i="1"/>
  <c r="W35" i="1"/>
  <c r="T35" i="1"/>
  <c r="U35" i="1" s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X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AO18" i="1"/>
  <c r="K19" i="1"/>
  <c r="L19" i="1"/>
  <c r="M19" i="1"/>
  <c r="N19" i="1" s="1"/>
  <c r="T19" i="1"/>
  <c r="V19" i="1"/>
  <c r="X19" i="1"/>
  <c r="Y19" i="1"/>
  <c r="Z19" i="1"/>
  <c r="AA19" i="1" s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R10" i="3" s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T33" i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X35" i="1" s="1"/>
  <c r="AE34" i="1"/>
  <c r="AF34" i="1"/>
  <c r="AH34" i="1"/>
  <c r="AM34" i="1"/>
  <c r="AN34" i="1"/>
  <c r="AO34" i="1"/>
  <c r="K36" i="1"/>
  <c r="L36" i="1"/>
  <c r="M36" i="1"/>
  <c r="V36" i="1"/>
  <c r="Y36" i="1"/>
  <c r="Z36" i="1"/>
  <c r="AB36" i="1"/>
  <c r="AC36" i="1"/>
  <c r="AD36" i="1"/>
  <c r="X36" i="1" s="1"/>
  <c r="AE36" i="1"/>
  <c r="R14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S15" i="3" s="1"/>
  <c r="Y51" i="1"/>
  <c r="Z51" i="1"/>
  <c r="AB51" i="1"/>
  <c r="AC51" i="1"/>
  <c r="AD51" i="1"/>
  <c r="T51" i="1" s="1"/>
  <c r="AE51" i="1"/>
  <c r="R15" i="3" s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S16" i="3" s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S8" i="3" s="1"/>
  <c r="Y81" i="1"/>
  <c r="Z81" i="1"/>
  <c r="AB81" i="1"/>
  <c r="AC81" i="1"/>
  <c r="AD81" i="1"/>
  <c r="AE81" i="1"/>
  <c r="R8" i="3" s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V83" i="1"/>
  <c r="S13" i="3" s="1"/>
  <c r="Y83" i="1"/>
  <c r="Z83" i="1"/>
  <c r="AB83" i="1"/>
  <c r="AC83" i="1"/>
  <c r="AD83" i="1"/>
  <c r="AE83" i="1"/>
  <c r="R13" i="3" s="1"/>
  <c r="AF83" i="1"/>
  <c r="AH83" i="1"/>
  <c r="AM83" i="1"/>
  <c r="AN83" i="1"/>
  <c r="AO83" i="1"/>
  <c r="K84" i="1"/>
  <c r="L84" i="1"/>
  <c r="M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AO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R24" i="3" s="1"/>
  <c r="AF161" i="1"/>
  <c r="AH97" i="1"/>
  <c r="AM97" i="1"/>
  <c r="AN97" i="1"/>
  <c r="AO97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AO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AO99" i="1"/>
  <c r="K164" i="1"/>
  <c r="L164" i="1"/>
  <c r="M164" i="1"/>
  <c r="N164" i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AO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2" i="1"/>
  <c r="AM102" i="1"/>
  <c r="AN102" i="1"/>
  <c r="AO102" i="1"/>
  <c r="K166" i="1"/>
  <c r="L166" i="1"/>
  <c r="M166" i="1"/>
  <c r="N166" i="1"/>
  <c r="V166" i="1"/>
  <c r="Y166" i="1"/>
  <c r="Z166" i="1"/>
  <c r="AB166" i="1"/>
  <c r="AC166" i="1"/>
  <c r="AD166" i="1"/>
  <c r="T166" i="1" s="1"/>
  <c r="AE166" i="1"/>
  <c r="AF166" i="1"/>
  <c r="AH104" i="1"/>
  <c r="AM104" i="1"/>
  <c r="AN104" i="1"/>
  <c r="AO10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6" i="1"/>
  <c r="AM106" i="1"/>
  <c r="AN106" i="1"/>
  <c r="AO10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9" i="1"/>
  <c r="AM109" i="1"/>
  <c r="AN109" i="1"/>
  <c r="AO10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11" i="1"/>
  <c r="AM111" i="1"/>
  <c r="AN111" i="1"/>
  <c r="AO111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12" i="1"/>
  <c r="AM112" i="1"/>
  <c r="AN112" i="1"/>
  <c r="AO11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13" i="1"/>
  <c r="AM113" i="1"/>
  <c r="AN113" i="1"/>
  <c r="AO11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14" i="1"/>
  <c r="AM114" i="1"/>
  <c r="AN114" i="1"/>
  <c r="AO11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15" i="1"/>
  <c r="AM115" i="1"/>
  <c r="AN115" i="1"/>
  <c r="AO115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16" i="1"/>
  <c r="AM116" i="1"/>
  <c r="AN116" i="1"/>
  <c r="AO11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7" i="1"/>
  <c r="AM117" i="1"/>
  <c r="AN117" i="1"/>
  <c r="AO11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8" i="1"/>
  <c r="AM118" i="1"/>
  <c r="AN118" i="1"/>
  <c r="AO11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9" i="1"/>
  <c r="AM119" i="1"/>
  <c r="AN119" i="1"/>
  <c r="AO119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20" i="1"/>
  <c r="AM120" i="1"/>
  <c r="AN120" i="1"/>
  <c r="AO12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21" i="1"/>
  <c r="AM121" i="1"/>
  <c r="AN121" i="1"/>
  <c r="AO121" i="1"/>
  <c r="K179" i="1"/>
  <c r="L179" i="1"/>
  <c r="M179" i="1"/>
  <c r="N179" i="1" s="1"/>
  <c r="V179" i="1"/>
  <c r="S18" i="3" s="1"/>
  <c r="Y179" i="1"/>
  <c r="Z179" i="1"/>
  <c r="AB179" i="1"/>
  <c r="AC179" i="1"/>
  <c r="AD179" i="1"/>
  <c r="AE179" i="1"/>
  <c r="R21" i="3" s="1"/>
  <c r="AF179" i="1"/>
  <c r="AH122" i="1"/>
  <c r="AM122" i="1"/>
  <c r="AN122" i="1"/>
  <c r="AO12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3" i="1"/>
  <c r="AM123" i="1"/>
  <c r="AN123" i="1"/>
  <c r="AO123" i="1"/>
  <c r="K181" i="1"/>
  <c r="L181" i="1"/>
  <c r="M181" i="1"/>
  <c r="N181" i="1" s="1"/>
  <c r="V181" i="1"/>
  <c r="S19" i="3" s="1"/>
  <c r="Y181" i="1"/>
  <c r="Z181" i="1"/>
  <c r="AA181" i="1" s="1"/>
  <c r="AB181" i="1"/>
  <c r="AC181" i="1"/>
  <c r="AD181" i="1"/>
  <c r="AE181" i="1"/>
  <c r="R19" i="3" s="1"/>
  <c r="AF181" i="1"/>
  <c r="AH124" i="1"/>
  <c r="AM124" i="1"/>
  <c r="AN124" i="1"/>
  <c r="AO124" i="1"/>
  <c r="K182" i="1"/>
  <c r="L182" i="1"/>
  <c r="M182" i="1"/>
  <c r="N182" i="1" s="1"/>
  <c r="V182" i="1"/>
  <c r="S22" i="3" s="1"/>
  <c r="Y182" i="1"/>
  <c r="Z182" i="1"/>
  <c r="AB182" i="1"/>
  <c r="AC182" i="1"/>
  <c r="AD182" i="1"/>
  <c r="AE182" i="1"/>
  <c r="R22" i="3" s="1"/>
  <c r="AF182" i="1"/>
  <c r="AH125" i="1"/>
  <c r="AM125" i="1"/>
  <c r="AN125" i="1"/>
  <c r="AO12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6" i="1"/>
  <c r="AM126" i="1"/>
  <c r="AN126" i="1"/>
  <c r="AO12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7" i="1"/>
  <c r="AM127" i="1"/>
  <c r="AN127" i="1"/>
  <c r="AO127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8" i="1"/>
  <c r="AM128" i="1"/>
  <c r="AN128" i="1"/>
  <c r="AO12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9" i="1"/>
  <c r="AM129" i="1"/>
  <c r="AN129" i="1"/>
  <c r="AO129" i="1"/>
  <c r="K188" i="1"/>
  <c r="L188" i="1"/>
  <c r="M188" i="1"/>
  <c r="N188" i="1"/>
  <c r="V188" i="1"/>
  <c r="Y188" i="1"/>
  <c r="Z188" i="1"/>
  <c r="AB188" i="1"/>
  <c r="AC188" i="1"/>
  <c r="AD188" i="1"/>
  <c r="AE188" i="1"/>
  <c r="AF188" i="1"/>
  <c r="AH130" i="1"/>
  <c r="AM130" i="1"/>
  <c r="AN130" i="1"/>
  <c r="AO130" i="1"/>
  <c r="K189" i="1"/>
  <c r="L189" i="1"/>
  <c r="M189" i="1"/>
  <c r="N189" i="1" s="1"/>
  <c r="V189" i="1"/>
  <c r="S25" i="3" s="1"/>
  <c r="Y189" i="1"/>
  <c r="Z189" i="1"/>
  <c r="AB189" i="1"/>
  <c r="AC189" i="1"/>
  <c r="AD189" i="1"/>
  <c r="AE189" i="1"/>
  <c r="R26" i="3" s="1"/>
  <c r="AF189" i="1"/>
  <c r="AH131" i="1"/>
  <c r="AM131" i="1"/>
  <c r="AN131" i="1"/>
  <c r="AO131" i="1"/>
  <c r="K98" i="1"/>
  <c r="L98" i="1"/>
  <c r="M98" i="1"/>
  <c r="N98" i="1"/>
  <c r="V98" i="1"/>
  <c r="Y98" i="1"/>
  <c r="AA98" i="1" s="1"/>
  <c r="Z98" i="1"/>
  <c r="AB98" i="1"/>
  <c r="AC98" i="1"/>
  <c r="AD98" i="1"/>
  <c r="AE98" i="1"/>
  <c r="AF98" i="1"/>
  <c r="AH132" i="1"/>
  <c r="AM132" i="1"/>
  <c r="AN132" i="1"/>
  <c r="AO13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3" i="1"/>
  <c r="AM133" i="1"/>
  <c r="AN133" i="1"/>
  <c r="AO133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34" i="1"/>
  <c r="AM134" i="1"/>
  <c r="AN134" i="1"/>
  <c r="AO134" i="1"/>
  <c r="K192" i="1"/>
  <c r="L192" i="1"/>
  <c r="M192" i="1"/>
  <c r="N192" i="1" s="1"/>
  <c r="V192" i="1"/>
  <c r="S20" i="3" s="1"/>
  <c r="Y192" i="1"/>
  <c r="Z192" i="1"/>
  <c r="AB192" i="1"/>
  <c r="AC192" i="1"/>
  <c r="AD192" i="1"/>
  <c r="AE192" i="1"/>
  <c r="R20" i="3" s="1"/>
  <c r="AF192" i="1"/>
  <c r="AH135" i="1"/>
  <c r="AM135" i="1"/>
  <c r="AN135" i="1"/>
  <c r="AO135" i="1"/>
  <c r="K193" i="1"/>
  <c r="L193" i="1"/>
  <c r="M193" i="1"/>
  <c r="N193" i="1" s="1"/>
  <c r="V193" i="1"/>
  <c r="Y193" i="1"/>
  <c r="AA193" i="1" s="1"/>
  <c r="Z193" i="1"/>
  <c r="AB193" i="1"/>
  <c r="AC193" i="1"/>
  <c r="AD193" i="1"/>
  <c r="AE193" i="1"/>
  <c r="AF193" i="1"/>
  <c r="AH136" i="1"/>
  <c r="AM136" i="1"/>
  <c r="AN136" i="1"/>
  <c r="AO13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7" i="1"/>
  <c r="AM137" i="1"/>
  <c r="AN137" i="1"/>
  <c r="AO137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38" i="1"/>
  <c r="AM138" i="1"/>
  <c r="AN138" i="1"/>
  <c r="AO138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139" i="1"/>
  <c r="AM139" i="1"/>
  <c r="AN139" i="1"/>
  <c r="AO139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40" i="1"/>
  <c r="AM140" i="1"/>
  <c r="AN140" i="1"/>
  <c r="AO140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41" i="1"/>
  <c r="AM141" i="1"/>
  <c r="AN141" i="1"/>
  <c r="AO14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42" i="1"/>
  <c r="AM142" i="1"/>
  <c r="AN142" i="1"/>
  <c r="AO142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3" i="1"/>
  <c r="AM143" i="1"/>
  <c r="AN143" i="1"/>
  <c r="AO143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4" i="1"/>
  <c r="AM144" i="1"/>
  <c r="AN144" i="1"/>
  <c r="AO144" i="1"/>
  <c r="K210" i="1"/>
  <c r="L210" i="1"/>
  <c r="M210" i="1"/>
  <c r="N210" i="1" s="1"/>
  <c r="V210" i="1"/>
  <c r="S27" i="3" s="1"/>
  <c r="Y210" i="1"/>
  <c r="Z210" i="1"/>
  <c r="AB210" i="1"/>
  <c r="AC210" i="1"/>
  <c r="AD210" i="1"/>
  <c r="AE210" i="1"/>
  <c r="R27" i="3" s="1"/>
  <c r="AF210" i="1"/>
  <c r="AH145" i="1"/>
  <c r="AM145" i="1"/>
  <c r="AN145" i="1"/>
  <c r="AO14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46" i="1"/>
  <c r="AM146" i="1"/>
  <c r="AN146" i="1"/>
  <c r="AO146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AM148" i="1"/>
  <c r="AN148" i="1"/>
  <c r="AO148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AM151" i="1"/>
  <c r="AN151" i="1"/>
  <c r="AO151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52" i="1"/>
  <c r="AM152" i="1"/>
  <c r="AN152" i="1"/>
  <c r="AO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AM153" i="1"/>
  <c r="AN153" i="1"/>
  <c r="AO153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4" i="1"/>
  <c r="AM154" i="1"/>
  <c r="AN154" i="1"/>
  <c r="AO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AO155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56" i="1"/>
  <c r="AM156" i="1"/>
  <c r="AN156" i="1"/>
  <c r="AO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AO157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58" i="1"/>
  <c r="AM158" i="1"/>
  <c r="AN158" i="1"/>
  <c r="AO158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S17" i="3" s="1"/>
  <c r="Y123" i="1"/>
  <c r="Z123" i="1"/>
  <c r="AA123" i="1" s="1"/>
  <c r="AB123" i="1"/>
  <c r="AC123" i="1"/>
  <c r="AD123" i="1"/>
  <c r="AE123" i="1"/>
  <c r="R17" i="3" s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S7" i="3" s="1"/>
  <c r="Y126" i="1"/>
  <c r="Z126" i="1"/>
  <c r="AB126" i="1"/>
  <c r="AC126" i="1"/>
  <c r="AD126" i="1"/>
  <c r="AE126" i="1"/>
  <c r="R7" i="3" s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N129" i="1" s="1"/>
  <c r="V129" i="1"/>
  <c r="S11" i="3" s="1"/>
  <c r="Y129" i="1"/>
  <c r="Z129" i="1"/>
  <c r="AA129" i="1" s="1"/>
  <c r="AB129" i="1"/>
  <c r="AC129" i="1"/>
  <c r="AD129" i="1"/>
  <c r="AE129" i="1"/>
  <c r="R11" i="3" s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S12" i="3" s="1"/>
  <c r="Y136" i="1"/>
  <c r="Z136" i="1"/>
  <c r="AB136" i="1"/>
  <c r="AC136" i="1"/>
  <c r="AD136" i="1"/>
  <c r="AE136" i="1"/>
  <c r="R12" i="3" s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7" i="1"/>
  <c r="AM187" i="1"/>
  <c r="AN187" i="1"/>
  <c r="AO18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8" i="1"/>
  <c r="AM188" i="1"/>
  <c r="AN188" i="1"/>
  <c r="AO18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90" i="1"/>
  <c r="AM190" i="1"/>
  <c r="AN190" i="1"/>
  <c r="AO19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1" i="1"/>
  <c r="AM191" i="1"/>
  <c r="AN191" i="1"/>
  <c r="AO19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95" i="1"/>
  <c r="AM195" i="1"/>
  <c r="AN195" i="1"/>
  <c r="AO19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6" i="1"/>
  <c r="AM196" i="1"/>
  <c r="AN196" i="1"/>
  <c r="AO196" i="1"/>
  <c r="K157" i="1"/>
  <c r="L157" i="1"/>
  <c r="M157" i="1"/>
  <c r="N157" i="1" s="1"/>
  <c r="V157" i="1"/>
  <c r="Y157" i="1"/>
  <c r="Z157" i="1"/>
  <c r="AA157" i="1"/>
  <c r="AB157" i="1"/>
  <c r="AC157" i="1"/>
  <c r="AD157" i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98" i="1"/>
  <c r="AM198" i="1"/>
  <c r="AN198" i="1"/>
  <c r="AO198" i="1"/>
  <c r="K197" i="1"/>
  <c r="L197" i="1"/>
  <c r="M197" i="1"/>
  <c r="N197" i="1" s="1"/>
  <c r="V197" i="1"/>
  <c r="Y197" i="1"/>
  <c r="AA197" i="1" s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AA201" i="1" s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A207" i="1" s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M24" i="3"/>
  <c r="S24" i="3"/>
  <c r="U24" i="3"/>
  <c r="T24" i="3" s="1"/>
  <c r="V24" i="3"/>
  <c r="X24" i="3"/>
  <c r="M10" i="3"/>
  <c r="S10" i="3"/>
  <c r="U10" i="3"/>
  <c r="T10" i="3" s="1"/>
  <c r="V10" i="3"/>
  <c r="X10" i="3"/>
  <c r="M14" i="3"/>
  <c r="S14" i="3"/>
  <c r="U14" i="3"/>
  <c r="AC14" i="3" s="1"/>
  <c r="V14" i="3"/>
  <c r="X14" i="3"/>
  <c r="AD10" i="3"/>
  <c r="M15" i="3"/>
  <c r="U15" i="3"/>
  <c r="T15" i="3" s="1"/>
  <c r="V15" i="3"/>
  <c r="X15" i="3"/>
  <c r="M8" i="3"/>
  <c r="U8" i="3"/>
  <c r="T8" i="3" s="1"/>
  <c r="V8" i="3"/>
  <c r="X8" i="3"/>
  <c r="M16" i="3"/>
  <c r="R16" i="3"/>
  <c r="U16" i="3"/>
  <c r="T16" i="3" s="1"/>
  <c r="V16" i="3"/>
  <c r="X16" i="3"/>
  <c r="M13" i="3"/>
  <c r="U13" i="3"/>
  <c r="AC13" i="3" s="1"/>
  <c r="V13" i="3"/>
  <c r="X13" i="3"/>
  <c r="M18" i="3"/>
  <c r="U18" i="3"/>
  <c r="T18" i="3" s="1"/>
  <c r="V18" i="3"/>
  <c r="X18" i="3"/>
  <c r="M21" i="3"/>
  <c r="U21" i="3"/>
  <c r="T21" i="3" s="1"/>
  <c r="V21" i="3"/>
  <c r="X21" i="3"/>
  <c r="M19" i="3"/>
  <c r="U19" i="3"/>
  <c r="V19" i="3"/>
  <c r="X19" i="3"/>
  <c r="M22" i="3"/>
  <c r="U22" i="3"/>
  <c r="AC22" i="3" s="1"/>
  <c r="V22" i="3"/>
  <c r="X22" i="3"/>
  <c r="M7" i="3"/>
  <c r="U7" i="3"/>
  <c r="T7" i="3" s="1"/>
  <c r="V7" i="3"/>
  <c r="X7" i="3"/>
  <c r="M9" i="3"/>
  <c r="U9" i="3"/>
  <c r="T9" i="3" s="1"/>
  <c r="V9" i="3"/>
  <c r="X9" i="3"/>
  <c r="M17" i="3"/>
  <c r="U17" i="3"/>
  <c r="V17" i="3"/>
  <c r="X17" i="3"/>
  <c r="M12" i="3"/>
  <c r="U12" i="3"/>
  <c r="AC12" i="3" s="1"/>
  <c r="V12" i="3"/>
  <c r="X12" i="3"/>
  <c r="M11" i="3"/>
  <c r="U11" i="3"/>
  <c r="T11" i="3" s="1"/>
  <c r="V11" i="3"/>
  <c r="X11" i="3"/>
  <c r="M25" i="3"/>
  <c r="U25" i="3"/>
  <c r="T25" i="3" s="1"/>
  <c r="V25" i="3"/>
  <c r="X25" i="3"/>
  <c r="M26" i="3"/>
  <c r="U26" i="3"/>
  <c r="V26" i="3"/>
  <c r="X26" i="3"/>
  <c r="M20" i="3"/>
  <c r="U20" i="3"/>
  <c r="AC20" i="3" s="1"/>
  <c r="V20" i="3"/>
  <c r="X20" i="3"/>
  <c r="M27" i="3"/>
  <c r="U27" i="3"/>
  <c r="T27" i="3" s="1"/>
  <c r="V27" i="3"/>
  <c r="X27" i="3"/>
  <c r="AG116" i="1"/>
  <c r="AG179" i="1"/>
  <c r="AG191" i="1"/>
  <c r="AG121" i="1"/>
  <c r="AG94" i="1"/>
  <c r="AG148" i="1"/>
  <c r="AG91" i="1"/>
  <c r="AG145" i="1"/>
  <c r="AG199" i="1"/>
  <c r="AG203" i="1"/>
  <c r="AG215" i="1"/>
  <c r="AG16" i="1"/>
  <c r="AG20" i="1"/>
  <c r="AG24" i="1"/>
  <c r="AG32" i="1"/>
  <c r="AG37" i="1"/>
  <c r="AG41" i="1"/>
  <c r="AG63" i="1"/>
  <c r="AG67" i="1"/>
  <c r="AG75" i="1"/>
  <c r="AG83" i="1"/>
  <c r="AG56" i="1"/>
  <c r="AG112" i="1"/>
  <c r="AG123" i="1"/>
  <c r="AG172" i="1"/>
  <c r="AG97" i="1"/>
  <c r="AG189" i="1"/>
  <c r="AG109" i="1"/>
  <c r="AG88" i="1"/>
  <c r="AG134" i="1"/>
  <c r="AG51" i="1"/>
  <c r="AG93" i="1"/>
  <c r="AG139" i="1"/>
  <c r="AG155" i="1"/>
  <c r="AG156" i="1"/>
  <c r="AG207" i="1"/>
  <c r="AG208" i="1"/>
  <c r="AG17" i="1"/>
  <c r="AG21" i="1"/>
  <c r="AG25" i="1"/>
  <c r="AG29" i="1"/>
  <c r="AG33" i="1"/>
  <c r="AG38" i="1"/>
  <c r="AG42" i="1"/>
  <c r="AG64" i="1"/>
  <c r="AG68" i="1"/>
  <c r="AG72" i="1"/>
  <c r="AG76" i="1"/>
  <c r="AG80" i="1"/>
  <c r="AG84" i="1"/>
  <c r="AG50" i="1"/>
  <c r="AG58" i="1"/>
  <c r="AG196" i="1"/>
  <c r="AG210" i="1"/>
  <c r="AG114" i="1"/>
  <c r="AG119" i="1"/>
  <c r="AG125" i="1"/>
  <c r="AG131" i="1"/>
  <c r="AG96" i="1"/>
  <c r="AG173" i="1"/>
  <c r="AG177" i="1"/>
  <c r="AG181" i="1"/>
  <c r="AG186" i="1"/>
  <c r="AG98" i="1"/>
  <c r="AG195" i="1"/>
  <c r="AG113" i="1"/>
  <c r="AG127" i="1"/>
  <c r="AG53" i="1"/>
  <c r="AG90" i="1"/>
  <c r="AG162" i="1"/>
  <c r="AG136" i="1"/>
  <c r="AG144" i="1"/>
  <c r="AG59" i="1"/>
  <c r="AG87" i="1"/>
  <c r="AG95" i="1"/>
  <c r="AG133" i="1"/>
  <c r="AG141" i="1"/>
  <c r="AG149" i="1"/>
  <c r="AG157" i="1"/>
  <c r="AG150" i="1"/>
  <c r="AG158" i="1"/>
  <c r="AG204" i="1"/>
  <c r="AG55" i="1"/>
  <c r="AG211" i="1"/>
  <c r="AG212" i="1"/>
  <c r="AG27" i="1"/>
  <c r="AG70" i="1"/>
  <c r="AG82" i="1"/>
  <c r="AG192" i="1"/>
  <c r="AG111" i="1"/>
  <c r="AG128" i="1"/>
  <c r="AG168" i="1"/>
  <c r="AG175" i="1"/>
  <c r="AG188" i="1"/>
  <c r="AG209" i="1"/>
  <c r="AG86" i="1"/>
  <c r="AG166" i="1"/>
  <c r="AG57" i="1"/>
  <c r="AG137" i="1"/>
  <c r="AG153" i="1"/>
  <c r="AG200" i="1"/>
  <c r="AG47" i="1"/>
  <c r="AG28" i="1"/>
  <c r="AG71" i="1"/>
  <c r="AG79" i="1"/>
  <c r="AG48" i="1"/>
  <c r="AG194" i="1"/>
  <c r="AG104" i="1"/>
  <c r="AG117" i="1"/>
  <c r="AG130" i="1"/>
  <c r="AG169" i="1"/>
  <c r="AG176" i="1"/>
  <c r="AG185" i="1"/>
  <c r="AG193" i="1"/>
  <c r="AG124" i="1"/>
  <c r="AG45" i="1"/>
  <c r="AG160" i="1"/>
  <c r="AG142" i="1"/>
  <c r="AG85" i="1"/>
  <c r="AG165" i="1"/>
  <c r="AG147" i="1"/>
  <c r="AG201" i="1"/>
  <c r="AG202" i="1"/>
  <c r="AG205" i="1"/>
  <c r="AG14" i="1"/>
  <c r="AG18" i="1"/>
  <c r="AG22" i="1"/>
  <c r="AG26" i="1"/>
  <c r="AG30" i="1"/>
  <c r="AG34" i="1"/>
  <c r="AG39" i="1"/>
  <c r="AG43" i="1"/>
  <c r="AG65" i="1"/>
  <c r="AG69" i="1"/>
  <c r="AG73" i="1"/>
  <c r="AG77" i="1"/>
  <c r="AG81" i="1"/>
  <c r="AG44" i="1"/>
  <c r="AG52" i="1"/>
  <c r="AG60" i="1"/>
  <c r="AG99" i="1"/>
  <c r="AG106" i="1"/>
  <c r="AG115" i="1"/>
  <c r="AG120" i="1"/>
  <c r="AG126" i="1"/>
  <c r="AG167" i="1"/>
  <c r="AG170" i="1"/>
  <c r="AG174" i="1"/>
  <c r="AG178" i="1"/>
  <c r="AG182" i="1"/>
  <c r="AG187" i="1"/>
  <c r="AG190" i="1"/>
  <c r="AG100" i="1"/>
  <c r="AG118" i="1"/>
  <c r="AG129" i="1"/>
  <c r="AG61" i="1"/>
  <c r="AG92" i="1"/>
  <c r="AG164" i="1"/>
  <c r="AG138" i="1"/>
  <c r="AG146" i="1"/>
  <c r="AG49" i="1"/>
  <c r="AG89" i="1"/>
  <c r="AG161" i="1"/>
  <c r="AG135" i="1"/>
  <c r="AG143" i="1"/>
  <c r="AG151" i="1"/>
  <c r="AG197" i="1"/>
  <c r="AG152" i="1"/>
  <c r="AG198" i="1"/>
  <c r="AG206" i="1"/>
  <c r="AG214" i="1"/>
  <c r="AG213" i="1"/>
  <c r="AG216" i="1"/>
  <c r="AG15" i="1"/>
  <c r="AG19" i="1"/>
  <c r="AG23" i="1"/>
  <c r="AG31" i="1"/>
  <c r="AG36" i="1"/>
  <c r="AG40" i="1"/>
  <c r="AG62" i="1"/>
  <c r="AG66" i="1"/>
  <c r="AG74" i="1"/>
  <c r="AG78" i="1"/>
  <c r="AG46" i="1"/>
  <c r="AG54" i="1"/>
  <c r="AG102" i="1"/>
  <c r="AG122" i="1"/>
  <c r="AG171" i="1"/>
  <c r="AG183" i="1"/>
  <c r="AG132" i="1"/>
  <c r="AG140" i="1"/>
  <c r="AG163" i="1"/>
  <c r="AG154" i="1"/>
  <c r="W17" i="3"/>
  <c r="W22" i="3"/>
  <c r="W15" i="3"/>
  <c r="W24" i="3"/>
  <c r="W25" i="3"/>
  <c r="W10" i="3"/>
  <c r="W26" i="3"/>
  <c r="W12" i="3"/>
  <c r="W18" i="3"/>
  <c r="W8" i="3"/>
  <c r="W16" i="3"/>
  <c r="W14" i="3"/>
  <c r="W20" i="3"/>
  <c r="W7" i="3"/>
  <c r="W21" i="3"/>
  <c r="W19" i="3"/>
  <c r="W13" i="3"/>
  <c r="W27" i="3"/>
  <c r="W11" i="3"/>
  <c r="W9" i="3"/>
  <c r="R18" i="3" l="1"/>
  <c r="AD27" i="3"/>
  <c r="S9" i="3"/>
  <c r="R25" i="3"/>
  <c r="AA151" i="1"/>
  <c r="X82" i="1"/>
  <c r="X78" i="1"/>
  <c r="T70" i="1"/>
  <c r="X66" i="1"/>
  <c r="X62" i="1"/>
  <c r="X61" i="1"/>
  <c r="X59" i="1"/>
  <c r="X57" i="1"/>
  <c r="X55" i="1"/>
  <c r="X53" i="1"/>
  <c r="X51" i="1"/>
  <c r="X49" i="1"/>
  <c r="X47" i="1"/>
  <c r="X45" i="1"/>
  <c r="R9" i="3"/>
  <c r="AA206" i="1"/>
  <c r="AC27" i="3"/>
  <c r="S26" i="3"/>
  <c r="AA216" i="1"/>
  <c r="AA202" i="1"/>
  <c r="AA153" i="1"/>
  <c r="AA149" i="1"/>
  <c r="W149" i="1" s="1"/>
  <c r="AA111" i="1"/>
  <c r="AA209" i="1"/>
  <c r="AA99" i="1"/>
  <c r="AA188" i="1"/>
  <c r="X166" i="1"/>
  <c r="X164" i="1"/>
  <c r="X162" i="1"/>
  <c r="AA84" i="1"/>
  <c r="AA80" i="1"/>
  <c r="AA76" i="1"/>
  <c r="X74" i="1"/>
  <c r="T72" i="1"/>
  <c r="AA70" i="1"/>
  <c r="X27" i="1"/>
  <c r="AA154" i="1"/>
  <c r="AA150" i="1"/>
  <c r="W150" i="1" s="1"/>
  <c r="AA132" i="1"/>
  <c r="AA130" i="1"/>
  <c r="AA128" i="1"/>
  <c r="AA126" i="1"/>
  <c r="AA124" i="1"/>
  <c r="AA122" i="1"/>
  <c r="AA120" i="1"/>
  <c r="AA118" i="1"/>
  <c r="AA116" i="1"/>
  <c r="AA114" i="1"/>
  <c r="AA112" i="1"/>
  <c r="AA210" i="1"/>
  <c r="AA100" i="1"/>
  <c r="AA194" i="1"/>
  <c r="AA185" i="1"/>
  <c r="AA97" i="1"/>
  <c r="AA176" i="1"/>
  <c r="AA172" i="1"/>
  <c r="AA169" i="1"/>
  <c r="AA86" i="1"/>
  <c r="AA81" i="1"/>
  <c r="AA77" i="1"/>
  <c r="AA72" i="1"/>
  <c r="AA43" i="1"/>
  <c r="AA39" i="1"/>
  <c r="AA34" i="1"/>
  <c r="AA29" i="1"/>
  <c r="AD15" i="3"/>
  <c r="AD25" i="3"/>
  <c r="AD21" i="3"/>
  <c r="S21" i="3"/>
  <c r="AD14" i="3"/>
  <c r="AA208" i="1"/>
  <c r="AA212" i="1"/>
  <c r="AA66" i="1"/>
  <c r="T66" i="1"/>
  <c r="T64" i="1"/>
  <c r="T62" i="1"/>
  <c r="AA42" i="1"/>
  <c r="AA41" i="1"/>
  <c r="X41" i="1"/>
  <c r="AA33" i="1"/>
  <c r="AA30" i="1"/>
  <c r="AA215" i="1"/>
  <c r="AA214" i="1"/>
  <c r="AA205" i="1"/>
  <c r="AA204" i="1"/>
  <c r="AA198" i="1"/>
  <c r="W198" i="1" s="1"/>
  <c r="AA152" i="1"/>
  <c r="X84" i="1"/>
  <c r="X80" i="1"/>
  <c r="X76" i="1"/>
  <c r="X73" i="1"/>
  <c r="AA24" i="1"/>
  <c r="X23" i="1"/>
  <c r="AA20" i="1"/>
  <c r="AA18" i="1"/>
  <c r="T18" i="1"/>
  <c r="X16" i="1"/>
  <c r="AA189" i="1"/>
  <c r="AA187" i="1"/>
  <c r="AA182" i="1"/>
  <c r="AA178" i="1"/>
  <c r="AA174" i="1"/>
  <c r="AA170" i="1"/>
  <c r="AA167" i="1"/>
  <c r="X94" i="1"/>
  <c r="X92" i="1"/>
  <c r="X90" i="1"/>
  <c r="X88" i="1"/>
  <c r="X86" i="1"/>
  <c r="AA82" i="1"/>
  <c r="AA78" i="1"/>
  <c r="AA74" i="1"/>
  <c r="X69" i="1"/>
  <c r="X65" i="1"/>
  <c r="AA65" i="1"/>
  <c r="AA63" i="1"/>
  <c r="AA36" i="1"/>
  <c r="T27" i="1"/>
  <c r="AA25" i="1"/>
  <c r="AA21" i="1"/>
  <c r="AA156" i="1"/>
  <c r="AA192" i="1"/>
  <c r="AA190" i="1"/>
  <c r="AA183" i="1"/>
  <c r="AA179" i="1"/>
  <c r="AA175" i="1"/>
  <c r="AA171" i="1"/>
  <c r="AA168" i="1"/>
  <c r="AA83" i="1"/>
  <c r="AA79" i="1"/>
  <c r="AA75" i="1"/>
  <c r="AA73" i="1"/>
  <c r="AA26" i="1"/>
  <c r="AA22" i="1"/>
  <c r="AA16" i="1"/>
  <c r="AA203" i="1"/>
  <c r="AA148" i="1"/>
  <c r="AA147" i="1"/>
  <c r="W147" i="1" s="1"/>
  <c r="AA146" i="1"/>
  <c r="AA145" i="1"/>
  <c r="AA144" i="1"/>
  <c r="AA143" i="1"/>
  <c r="W143" i="1" s="1"/>
  <c r="AA142" i="1"/>
  <c r="AA141" i="1"/>
  <c r="AA140" i="1"/>
  <c r="AA139" i="1"/>
  <c r="W139" i="1" s="1"/>
  <c r="AA138" i="1"/>
  <c r="AA137" i="1"/>
  <c r="X163" i="1"/>
  <c r="X95" i="1"/>
  <c r="X91" i="1"/>
  <c r="X87" i="1"/>
  <c r="AA85" i="1"/>
  <c r="X71" i="1"/>
  <c r="AA69" i="1"/>
  <c r="T69" i="1"/>
  <c r="X67" i="1"/>
  <c r="T65" i="1"/>
  <c r="X63" i="1"/>
  <c r="AA62" i="1"/>
  <c r="X60" i="1"/>
  <c r="X56" i="1"/>
  <c r="X52" i="1"/>
  <c r="X48" i="1"/>
  <c r="X44" i="1"/>
  <c r="AA40" i="1"/>
  <c r="AA28" i="1"/>
  <c r="AA27" i="1"/>
  <c r="X43" i="1"/>
  <c r="X37" i="1"/>
  <c r="AA15" i="1"/>
  <c r="AA136" i="1"/>
  <c r="AA135" i="1"/>
  <c r="AA134" i="1"/>
  <c r="AA133" i="1"/>
  <c r="X165" i="1"/>
  <c r="X161" i="1"/>
  <c r="X93" i="1"/>
  <c r="X89" i="1"/>
  <c r="AA87" i="1"/>
  <c r="X85" i="1"/>
  <c r="AA71" i="1"/>
  <c r="AA67" i="1"/>
  <c r="AA64" i="1"/>
  <c r="X58" i="1"/>
  <c r="X54" i="1"/>
  <c r="X50" i="1"/>
  <c r="X46" i="1"/>
  <c r="AA38" i="1"/>
  <c r="AA32" i="1"/>
  <c r="AA31" i="1"/>
  <c r="AI216" i="1"/>
  <c r="AI212" i="1"/>
  <c r="AI210" i="1"/>
  <c r="AI215" i="1"/>
  <c r="AI213" i="1"/>
  <c r="AI211" i="1"/>
  <c r="AI207" i="1"/>
  <c r="AI47" i="1"/>
  <c r="U47" i="1"/>
  <c r="S47" i="1" s="1"/>
  <c r="AI214" i="1"/>
  <c r="AI55" i="1"/>
  <c r="U55" i="1"/>
  <c r="S55" i="1" s="1"/>
  <c r="AI209" i="1"/>
  <c r="AI205" i="1"/>
  <c r="AI208" i="1"/>
  <c r="AI206" i="1"/>
  <c r="W202" i="1"/>
  <c r="AI204" i="1"/>
  <c r="AI202" i="1"/>
  <c r="W200" i="1"/>
  <c r="AI200" i="1"/>
  <c r="AI198" i="1"/>
  <c r="W158" i="1"/>
  <c r="AI196" i="1"/>
  <c r="W156" i="1"/>
  <c r="AI194" i="1"/>
  <c r="W154" i="1"/>
  <c r="AI192" i="1"/>
  <c r="W152" i="1"/>
  <c r="AI190" i="1"/>
  <c r="AI203" i="1"/>
  <c r="W201" i="1"/>
  <c r="AI201" i="1"/>
  <c r="W199" i="1"/>
  <c r="AI199" i="1"/>
  <c r="W197" i="1"/>
  <c r="AI197" i="1"/>
  <c r="W157" i="1"/>
  <c r="AI195" i="1"/>
  <c r="W155" i="1"/>
  <c r="AI193" i="1"/>
  <c r="W153" i="1"/>
  <c r="AI191" i="1"/>
  <c r="W151" i="1"/>
  <c r="AI189" i="1"/>
  <c r="AI187" i="1"/>
  <c r="AI185" i="1"/>
  <c r="W145" i="1"/>
  <c r="AI182" i="1"/>
  <c r="AI179" i="1"/>
  <c r="W141" i="1"/>
  <c r="AI177" i="1"/>
  <c r="AI175" i="1"/>
  <c r="W137" i="1"/>
  <c r="AI173" i="1"/>
  <c r="W135" i="1"/>
  <c r="AI171" i="1"/>
  <c r="W133" i="1"/>
  <c r="AI102" i="1"/>
  <c r="U165" i="1"/>
  <c r="S165" i="1" s="1"/>
  <c r="AI99" i="1"/>
  <c r="U163" i="1"/>
  <c r="S163" i="1" s="1"/>
  <c r="AI97" i="1"/>
  <c r="U161" i="1"/>
  <c r="S161" i="1" s="1"/>
  <c r="AI95" i="1"/>
  <c r="U95" i="1"/>
  <c r="S95" i="1" s="1"/>
  <c r="AI93" i="1"/>
  <c r="U93" i="1"/>
  <c r="S93" i="1" s="1"/>
  <c r="AI91" i="1"/>
  <c r="U91" i="1"/>
  <c r="S91" i="1" s="1"/>
  <c r="AI89" i="1"/>
  <c r="U89" i="1"/>
  <c r="S89" i="1" s="1"/>
  <c r="AI87" i="1"/>
  <c r="U87" i="1"/>
  <c r="S87" i="1" s="1"/>
  <c r="AI85" i="1"/>
  <c r="U85" i="1"/>
  <c r="S85" i="1" s="1"/>
  <c r="AI57" i="1"/>
  <c r="U57" i="1"/>
  <c r="S57" i="1" s="1"/>
  <c r="AI49" i="1"/>
  <c r="U49" i="1"/>
  <c r="S49" i="1" s="1"/>
  <c r="AI59" i="1"/>
  <c r="U59" i="1"/>
  <c r="S59" i="1" s="1"/>
  <c r="AI51" i="1"/>
  <c r="U51" i="1"/>
  <c r="S51" i="1" s="1"/>
  <c r="AI188" i="1"/>
  <c r="AI186" i="1"/>
  <c r="AI183" i="1"/>
  <c r="AI181" i="1"/>
  <c r="AI178" i="1"/>
  <c r="AI176" i="1"/>
  <c r="AI174" i="1"/>
  <c r="AI172" i="1"/>
  <c r="AI104" i="1"/>
  <c r="U166" i="1"/>
  <c r="S166" i="1" s="1"/>
  <c r="AI100" i="1"/>
  <c r="U164" i="1"/>
  <c r="S164" i="1" s="1"/>
  <c r="AI98" i="1"/>
  <c r="U162" i="1"/>
  <c r="S162" i="1" s="1"/>
  <c r="AI96" i="1"/>
  <c r="U160" i="1"/>
  <c r="S160" i="1" s="1"/>
  <c r="AI94" i="1"/>
  <c r="U94" i="1"/>
  <c r="S94" i="1" s="1"/>
  <c r="AI92" i="1"/>
  <c r="U92" i="1"/>
  <c r="S92" i="1" s="1"/>
  <c r="AI90" i="1"/>
  <c r="U90" i="1"/>
  <c r="S90" i="1" s="1"/>
  <c r="AI88" i="1"/>
  <c r="U88" i="1"/>
  <c r="S88" i="1" s="1"/>
  <c r="AI86" i="1"/>
  <c r="U86" i="1"/>
  <c r="S86" i="1" s="1"/>
  <c r="AI61" i="1"/>
  <c r="U61" i="1"/>
  <c r="S61" i="1" s="1"/>
  <c r="AI53" i="1"/>
  <c r="U53" i="1"/>
  <c r="S53" i="1" s="1"/>
  <c r="AI45" i="1"/>
  <c r="U45" i="1"/>
  <c r="S45" i="1" s="1"/>
  <c r="AI170" i="1"/>
  <c r="AI167" i="1"/>
  <c r="AI165" i="1"/>
  <c r="AI162" i="1"/>
  <c r="AI158" i="1"/>
  <c r="AI155" i="1"/>
  <c r="AI150" i="1"/>
  <c r="AI147" i="1"/>
  <c r="AI144" i="1"/>
  <c r="AI141" i="1"/>
  <c r="AI138" i="1"/>
  <c r="AI136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09" i="1"/>
  <c r="AI106" i="1"/>
  <c r="AI169" i="1"/>
  <c r="AI168" i="1"/>
  <c r="AI166" i="1"/>
  <c r="AI164" i="1"/>
  <c r="AI163" i="1"/>
  <c r="AI161" i="1"/>
  <c r="AI160" i="1"/>
  <c r="AI157" i="1"/>
  <c r="AI156" i="1"/>
  <c r="AI154" i="1"/>
  <c r="AI153" i="1"/>
  <c r="AI152" i="1"/>
  <c r="AI151" i="1"/>
  <c r="AI149" i="1"/>
  <c r="AI148" i="1"/>
  <c r="AI146" i="1"/>
  <c r="AI145" i="1"/>
  <c r="AI143" i="1"/>
  <c r="AI142" i="1"/>
  <c r="AI140" i="1"/>
  <c r="AI139" i="1"/>
  <c r="AI137" i="1"/>
  <c r="AI135" i="1"/>
  <c r="AI60" i="1"/>
  <c r="U60" i="1"/>
  <c r="S60" i="1" s="1"/>
  <c r="AI58" i="1"/>
  <c r="U58" i="1"/>
  <c r="S58" i="1" s="1"/>
  <c r="AI56" i="1"/>
  <c r="U56" i="1"/>
  <c r="S56" i="1" s="1"/>
  <c r="AI54" i="1"/>
  <c r="U54" i="1"/>
  <c r="S54" i="1" s="1"/>
  <c r="AI52" i="1"/>
  <c r="U52" i="1"/>
  <c r="S52" i="1" s="1"/>
  <c r="AI50" i="1"/>
  <c r="U50" i="1"/>
  <c r="S50" i="1" s="1"/>
  <c r="AI48" i="1"/>
  <c r="U48" i="1"/>
  <c r="S48" i="1" s="1"/>
  <c r="AI46" i="1"/>
  <c r="U46" i="1"/>
  <c r="S46" i="1" s="1"/>
  <c r="AI44" i="1"/>
  <c r="U44" i="1"/>
  <c r="S44" i="1" s="1"/>
  <c r="AI84" i="1"/>
  <c r="AI83" i="1"/>
  <c r="AI82" i="1"/>
  <c r="AI81" i="1"/>
  <c r="AI80" i="1"/>
  <c r="AI79" i="1"/>
  <c r="AI78" i="1"/>
  <c r="AI77" i="1"/>
  <c r="AI76" i="1"/>
  <c r="AI75" i="1"/>
  <c r="AI74" i="1"/>
  <c r="U74" i="1"/>
  <c r="S74" i="1" s="1"/>
  <c r="AI73" i="1"/>
  <c r="U73" i="1"/>
  <c r="S73" i="1" s="1"/>
  <c r="AI72" i="1"/>
  <c r="U72" i="1"/>
  <c r="S72" i="1" s="1"/>
  <c r="AI71" i="1"/>
  <c r="U71" i="1"/>
  <c r="S71" i="1" s="1"/>
  <c r="AI70" i="1"/>
  <c r="U70" i="1"/>
  <c r="S70" i="1" s="1"/>
  <c r="AI69" i="1"/>
  <c r="U69" i="1"/>
  <c r="AI68" i="1"/>
  <c r="U68" i="1"/>
  <c r="S68" i="1" s="1"/>
  <c r="AI67" i="1"/>
  <c r="U67" i="1"/>
  <c r="S67" i="1" s="1"/>
  <c r="AI66" i="1"/>
  <c r="U66" i="1"/>
  <c r="S66" i="1" s="1"/>
  <c r="AI65" i="1"/>
  <c r="U65" i="1"/>
  <c r="S65" i="1" s="1"/>
  <c r="AI64" i="1"/>
  <c r="U64" i="1"/>
  <c r="S64" i="1" s="1"/>
  <c r="AI63" i="1"/>
  <c r="U63" i="1"/>
  <c r="S63" i="1" s="1"/>
  <c r="U62" i="1"/>
  <c r="S62" i="1" s="1"/>
  <c r="AI62" i="1"/>
  <c r="U43" i="1"/>
  <c r="S43" i="1" s="1"/>
  <c r="AI43" i="1"/>
  <c r="AI42" i="1"/>
  <c r="U41" i="1"/>
  <c r="S41" i="1" s="1"/>
  <c r="AI41" i="1"/>
  <c r="AI40" i="1"/>
  <c r="U39" i="1"/>
  <c r="S39" i="1" s="1"/>
  <c r="AI39" i="1"/>
  <c r="AI38" i="1"/>
  <c r="U37" i="1"/>
  <c r="S37" i="1" s="1"/>
  <c r="AI37" i="1"/>
  <c r="AI36" i="1"/>
  <c r="AI34" i="1"/>
  <c r="AI33" i="1"/>
  <c r="U33" i="1"/>
  <c r="S33" i="1" s="1"/>
  <c r="AI32" i="1"/>
  <c r="AI31" i="1"/>
  <c r="U31" i="1"/>
  <c r="S31" i="1" s="1"/>
  <c r="AI30" i="1"/>
  <c r="AI29" i="1"/>
  <c r="U29" i="1"/>
  <c r="S29" i="1" s="1"/>
  <c r="AI28" i="1"/>
  <c r="AI27" i="1"/>
  <c r="U27" i="1"/>
  <c r="S27" i="1" s="1"/>
  <c r="AI26" i="1"/>
  <c r="AI25" i="1"/>
  <c r="AI24" i="1"/>
  <c r="AI23" i="1"/>
  <c r="AI22" i="1"/>
  <c r="AI21" i="1"/>
  <c r="AI20" i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5" i="1"/>
  <c r="W213" i="1"/>
  <c r="W211" i="1"/>
  <c r="W207" i="1"/>
  <c r="W205" i="1"/>
  <c r="W203" i="1"/>
  <c r="W148" i="1"/>
  <c r="W146" i="1"/>
  <c r="W144" i="1"/>
  <c r="W142" i="1"/>
  <c r="W140" i="1"/>
  <c r="W138" i="1"/>
  <c r="W136" i="1"/>
  <c r="W134" i="1"/>
  <c r="W216" i="1"/>
  <c r="W214" i="1"/>
  <c r="W212" i="1"/>
  <c r="W208" i="1"/>
  <c r="W206" i="1"/>
  <c r="W204" i="1"/>
  <c r="T213" i="1"/>
  <c r="U213" i="1" s="1"/>
  <c r="S213" i="1" s="1"/>
  <c r="X213" i="1"/>
  <c r="T207" i="1"/>
  <c r="U207" i="1" s="1"/>
  <c r="S207" i="1" s="1"/>
  <c r="X207" i="1"/>
  <c r="W116" i="1"/>
  <c r="W100" i="1"/>
  <c r="W187" i="1"/>
  <c r="T146" i="1"/>
  <c r="U146" i="1" s="1"/>
  <c r="S146" i="1" s="1"/>
  <c r="X146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W131" i="1"/>
  <c r="W127" i="1"/>
  <c r="W123" i="1"/>
  <c r="W119" i="1"/>
  <c r="W115" i="1"/>
  <c r="W111" i="1"/>
  <c r="W209" i="1"/>
  <c r="W99" i="1"/>
  <c r="W193" i="1"/>
  <c r="W98" i="1"/>
  <c r="W186" i="1"/>
  <c r="W185" i="1"/>
  <c r="W183" i="1"/>
  <c r="W182" i="1"/>
  <c r="W181" i="1"/>
  <c r="W97" i="1"/>
  <c r="W179" i="1"/>
  <c r="W178" i="1"/>
  <c r="W177" i="1"/>
  <c r="W176" i="1"/>
  <c r="W175" i="1"/>
  <c r="W174" i="1"/>
  <c r="W173" i="1"/>
  <c r="W172" i="1"/>
  <c r="W171" i="1"/>
  <c r="W170" i="1"/>
  <c r="W96" i="1"/>
  <c r="W169" i="1"/>
  <c r="W168" i="1"/>
  <c r="W167" i="1"/>
  <c r="T215" i="1"/>
  <c r="U215" i="1" s="1"/>
  <c r="S215" i="1" s="1"/>
  <c r="X215" i="1"/>
  <c r="T211" i="1"/>
  <c r="U211" i="1" s="1"/>
  <c r="S211" i="1" s="1"/>
  <c r="X211" i="1"/>
  <c r="T205" i="1"/>
  <c r="U205" i="1" s="1"/>
  <c r="S205" i="1" s="1"/>
  <c r="X205" i="1"/>
  <c r="T203" i="1"/>
  <c r="U203" i="1" s="1"/>
  <c r="S203" i="1" s="1"/>
  <c r="X203" i="1"/>
  <c r="W132" i="1"/>
  <c r="W128" i="1"/>
  <c r="W124" i="1"/>
  <c r="W120" i="1"/>
  <c r="W112" i="1"/>
  <c r="W210" i="1"/>
  <c r="W194" i="1"/>
  <c r="W190" i="1"/>
  <c r="T148" i="1"/>
  <c r="U148" i="1" s="1"/>
  <c r="S148" i="1" s="1"/>
  <c r="X148" i="1"/>
  <c r="T144" i="1"/>
  <c r="U144" i="1" s="1"/>
  <c r="S144" i="1" s="1"/>
  <c r="X144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08" i="1"/>
  <c r="U208" i="1" s="1"/>
  <c r="S208" i="1" s="1"/>
  <c r="X208" i="1"/>
  <c r="T206" i="1"/>
  <c r="U206" i="1" s="1"/>
  <c r="S206" i="1" s="1"/>
  <c r="X206" i="1"/>
  <c r="T204" i="1"/>
  <c r="U204" i="1" s="1"/>
  <c r="S204" i="1" s="1"/>
  <c r="X204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W130" i="1"/>
  <c r="W126" i="1"/>
  <c r="W122" i="1"/>
  <c r="W118" i="1"/>
  <c r="W114" i="1"/>
  <c r="W109" i="1"/>
  <c r="W104" i="1"/>
  <c r="W196" i="1"/>
  <c r="W192" i="1"/>
  <c r="W18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W129" i="1"/>
  <c r="W125" i="1"/>
  <c r="W121" i="1"/>
  <c r="W117" i="1"/>
  <c r="W113" i="1"/>
  <c r="W106" i="1"/>
  <c r="W102" i="1"/>
  <c r="W195" i="1"/>
  <c r="W191" i="1"/>
  <c r="W188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T112" i="1"/>
  <c r="U112" i="1" s="1"/>
  <c r="S112" i="1" s="1"/>
  <c r="T111" i="1"/>
  <c r="U111" i="1" s="1"/>
  <c r="S111" i="1" s="1"/>
  <c r="T109" i="1"/>
  <c r="U109" i="1" s="1"/>
  <c r="S109" i="1" s="1"/>
  <c r="T106" i="1"/>
  <c r="U106" i="1" s="1"/>
  <c r="S106" i="1" s="1"/>
  <c r="T210" i="1"/>
  <c r="U210" i="1" s="1"/>
  <c r="S210" i="1" s="1"/>
  <c r="X210" i="1"/>
  <c r="T209" i="1"/>
  <c r="U209" i="1" s="1"/>
  <c r="S209" i="1" s="1"/>
  <c r="X209" i="1"/>
  <c r="T104" i="1"/>
  <c r="U104" i="1" s="1"/>
  <c r="S104" i="1" s="1"/>
  <c r="T102" i="1"/>
  <c r="U102" i="1" s="1"/>
  <c r="S102" i="1" s="1"/>
  <c r="T100" i="1"/>
  <c r="U100" i="1" s="1"/>
  <c r="S100" i="1" s="1"/>
  <c r="X100" i="1"/>
  <c r="T99" i="1"/>
  <c r="U99" i="1" s="1"/>
  <c r="S99" i="1" s="1"/>
  <c r="X99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98" i="1"/>
  <c r="U98" i="1" s="1"/>
  <c r="S98" i="1" s="1"/>
  <c r="X98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T97" i="1"/>
  <c r="U97" i="1" s="1"/>
  <c r="S97" i="1" s="1"/>
  <c r="X97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96" i="1"/>
  <c r="U96" i="1" s="1"/>
  <c r="S96" i="1" s="1"/>
  <c r="X96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83" i="1"/>
  <c r="U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W43" i="1"/>
  <c r="W69" i="1"/>
  <c r="W62" i="1"/>
  <c r="W84" i="1"/>
  <c r="T84" i="1"/>
  <c r="U84" i="1" s="1"/>
  <c r="W82" i="1"/>
  <c r="T82" i="1"/>
  <c r="U82" i="1" s="1"/>
  <c r="S82" i="1" s="1"/>
  <c r="W80" i="1"/>
  <c r="T80" i="1"/>
  <c r="U80" i="1" s="1"/>
  <c r="S80" i="1" s="1"/>
  <c r="W78" i="1"/>
  <c r="T78" i="1"/>
  <c r="U78" i="1" s="1"/>
  <c r="S78" i="1" s="1"/>
  <c r="W76" i="1"/>
  <c r="T76" i="1"/>
  <c r="U76" i="1" s="1"/>
  <c r="S76" i="1" s="1"/>
  <c r="W74" i="1"/>
  <c r="W72" i="1"/>
  <c r="W68" i="1"/>
  <c r="W65" i="1"/>
  <c r="W36" i="1"/>
  <c r="T28" i="1"/>
  <c r="U28" i="1" s="1"/>
  <c r="S28" i="1" s="1"/>
  <c r="X28" i="1"/>
  <c r="AA166" i="1"/>
  <c r="W166" i="1" s="1"/>
  <c r="AA165" i="1"/>
  <c r="W165" i="1" s="1"/>
  <c r="AA164" i="1"/>
  <c r="W164" i="1" s="1"/>
  <c r="AA163" i="1"/>
  <c r="W163" i="1" s="1"/>
  <c r="AA162" i="1"/>
  <c r="W162" i="1" s="1"/>
  <c r="AA161" i="1"/>
  <c r="W161" i="1" s="1"/>
  <c r="AA160" i="1"/>
  <c r="W160" i="1" s="1"/>
  <c r="AA95" i="1"/>
  <c r="W95" i="1" s="1"/>
  <c r="AA94" i="1"/>
  <c r="W94" i="1" s="1"/>
  <c r="AA93" i="1"/>
  <c r="W93" i="1" s="1"/>
  <c r="AA92" i="1"/>
  <c r="W92" i="1" s="1"/>
  <c r="AA91" i="1"/>
  <c r="W91" i="1" s="1"/>
  <c r="AA90" i="1"/>
  <c r="W90" i="1" s="1"/>
  <c r="AA89" i="1"/>
  <c r="W89" i="1" s="1"/>
  <c r="AA88" i="1"/>
  <c r="W88" i="1" s="1"/>
  <c r="W87" i="1"/>
  <c r="W86" i="1"/>
  <c r="W85" i="1"/>
  <c r="W71" i="1"/>
  <c r="W67" i="1"/>
  <c r="W64" i="1"/>
  <c r="W83" i="1"/>
  <c r="W81" i="1"/>
  <c r="W79" i="1"/>
  <c r="W77" i="1"/>
  <c r="W75" i="1"/>
  <c r="W73" i="1"/>
  <c r="W70" i="1"/>
  <c r="W66" i="1"/>
  <c r="W63" i="1"/>
  <c r="X38" i="1"/>
  <c r="T38" i="1"/>
  <c r="U38" i="1" s="1"/>
  <c r="S38" i="1" s="1"/>
  <c r="X39" i="1"/>
  <c r="X40" i="1"/>
  <c r="T40" i="1"/>
  <c r="U40" i="1" s="1"/>
  <c r="S40" i="1" s="1"/>
  <c r="W38" i="1"/>
  <c r="W37" i="1"/>
  <c r="T30" i="1"/>
  <c r="U30" i="1" s="1"/>
  <c r="S30" i="1" s="1"/>
  <c r="X30" i="1"/>
  <c r="X29" i="1"/>
  <c r="W42" i="1"/>
  <c r="W41" i="1"/>
  <c r="T36" i="1"/>
  <c r="U36" i="1" s="1"/>
  <c r="S35" i="1" s="1"/>
  <c r="T34" i="1"/>
  <c r="U34" i="1" s="1"/>
  <c r="S34" i="1" s="1"/>
  <c r="X34" i="1"/>
  <c r="X33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61" i="1"/>
  <c r="W61" i="1" s="1"/>
  <c r="AA60" i="1"/>
  <c r="W60" i="1" s="1"/>
  <c r="AA59" i="1"/>
  <c r="W59" i="1" s="1"/>
  <c r="AA58" i="1"/>
  <c r="W58" i="1" s="1"/>
  <c r="AA57" i="1"/>
  <c r="W57" i="1" s="1"/>
  <c r="AA56" i="1"/>
  <c r="W56" i="1" s="1"/>
  <c r="AA55" i="1"/>
  <c r="W55" i="1" s="1"/>
  <c r="AA54" i="1"/>
  <c r="W54" i="1" s="1"/>
  <c r="AA53" i="1"/>
  <c r="W53" i="1" s="1"/>
  <c r="AA52" i="1"/>
  <c r="W52" i="1" s="1"/>
  <c r="AA51" i="1"/>
  <c r="W51" i="1" s="1"/>
  <c r="AA50" i="1"/>
  <c r="W50" i="1" s="1"/>
  <c r="AA49" i="1"/>
  <c r="W49" i="1" s="1"/>
  <c r="AA48" i="1"/>
  <c r="W48" i="1" s="1"/>
  <c r="AA47" i="1"/>
  <c r="W47" i="1" s="1"/>
  <c r="AA46" i="1"/>
  <c r="W46" i="1" s="1"/>
  <c r="AA45" i="1"/>
  <c r="W45" i="1" s="1"/>
  <c r="AA44" i="1"/>
  <c r="W44" i="1" s="1"/>
  <c r="X42" i="1"/>
  <c r="T42" i="1"/>
  <c r="U42" i="1" s="1"/>
  <c r="S42" i="1" s="1"/>
  <c r="W40" i="1"/>
  <c r="W39" i="1"/>
  <c r="T32" i="1"/>
  <c r="U32" i="1" s="1"/>
  <c r="S32" i="1" s="1"/>
  <c r="X32" i="1"/>
  <c r="X31" i="1"/>
  <c r="W33" i="1"/>
  <c r="W31" i="1"/>
  <c r="W29" i="1"/>
  <c r="W27" i="1"/>
  <c r="W25" i="1"/>
  <c r="T25" i="1"/>
  <c r="U25" i="1" s="1"/>
  <c r="S25" i="1" s="1"/>
  <c r="W23" i="1"/>
  <c r="T23" i="1"/>
  <c r="U23" i="1" s="1"/>
  <c r="S23" i="1" s="1"/>
  <c r="W21" i="1"/>
  <c r="T21" i="1"/>
  <c r="U21" i="1" s="1"/>
  <c r="S21" i="1" s="1"/>
  <c r="W19" i="1"/>
  <c r="W17" i="1"/>
  <c r="W15" i="1"/>
  <c r="W34" i="1"/>
  <c r="W32" i="1"/>
  <c r="W30" i="1"/>
  <c r="W28" i="1"/>
  <c r="W26" i="1"/>
  <c r="W24" i="1"/>
  <c r="W22" i="1"/>
  <c r="W20" i="1"/>
  <c r="W18" i="1"/>
  <c r="W16" i="1"/>
  <c r="W14" i="1"/>
  <c r="AD17" i="3"/>
  <c r="AD11" i="3"/>
  <c r="AD26" i="3"/>
  <c r="T20" i="3"/>
  <c r="AC25" i="3"/>
  <c r="AE22" i="3"/>
  <c r="AE21" i="3"/>
  <c r="T17" i="3"/>
  <c r="AD19" i="3"/>
  <c r="AE18" i="3"/>
  <c r="AE17" i="3"/>
  <c r="T19" i="3"/>
  <c r="AE27" i="3"/>
  <c r="AE13" i="3"/>
  <c r="AE9" i="3"/>
  <c r="AE26" i="3"/>
  <c r="AD13" i="3"/>
  <c r="AD9" i="3"/>
  <c r="AC11" i="3"/>
  <c r="AC7" i="3"/>
  <c r="AC18" i="3"/>
  <c r="AE11" i="3"/>
  <c r="AD22" i="3"/>
  <c r="T12" i="3"/>
  <c r="AE19" i="3"/>
  <c r="AD18" i="3"/>
  <c r="T22" i="3"/>
  <c r="AE15" i="3"/>
  <c r="AC15" i="3"/>
  <c r="Y25" i="3"/>
  <c r="Y9" i="3"/>
  <c r="Y21" i="3"/>
  <c r="Y8" i="3"/>
  <c r="Y24" i="3"/>
  <c r="Y11" i="3"/>
  <c r="Y7" i="3"/>
  <c r="Y18" i="3"/>
  <c r="Y15" i="3"/>
  <c r="Y27" i="3"/>
  <c r="Y20" i="3"/>
  <c r="Y12" i="3"/>
  <c r="Y22" i="3"/>
  <c r="Y13" i="3"/>
  <c r="Y14" i="3"/>
  <c r="Y26" i="3"/>
  <c r="Y17" i="3"/>
  <c r="Y19" i="3"/>
  <c r="Y16" i="3"/>
  <c r="Y10" i="3"/>
  <c r="AC26" i="3"/>
  <c r="AD24" i="3"/>
  <c r="AC17" i="3"/>
  <c r="AD20" i="3"/>
  <c r="AC19" i="3"/>
  <c r="AD16" i="3"/>
  <c r="AC16" i="3"/>
  <c r="AD12" i="3"/>
  <c r="AC10" i="3"/>
  <c r="AD8" i="3"/>
  <c r="AC9" i="3"/>
  <c r="AC21" i="3"/>
  <c r="AE14" i="3"/>
  <c r="T13" i="3"/>
  <c r="AC8" i="3"/>
  <c r="AE10" i="3"/>
  <c r="T14" i="3"/>
  <c r="AC24" i="3"/>
  <c r="AE25" i="3"/>
  <c r="T26" i="3"/>
  <c r="AE24" i="3"/>
  <c r="AE20" i="3"/>
  <c r="AE16" i="3"/>
  <c r="AE12" i="3"/>
  <c r="AE8" i="3"/>
  <c r="S23" i="3"/>
  <c r="R23" i="3"/>
  <c r="M23" i="3"/>
  <c r="U23" i="3"/>
  <c r="V23" i="3"/>
  <c r="X23" i="3"/>
  <c r="S83" i="1" l="1"/>
  <c r="AE23" i="3"/>
  <c r="AC23" i="3"/>
  <c r="AD23" i="3"/>
  <c r="W23" i="3"/>
  <c r="T23" i="3" l="1"/>
  <c r="Y23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4" i="3" s="1"/>
  <c r="G41" i="4"/>
  <c r="G42" i="4"/>
  <c r="N10" i="3" s="1"/>
  <c r="G43" i="4"/>
  <c r="G44" i="4"/>
  <c r="N14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15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16" i="3" s="1"/>
  <c r="G99" i="4"/>
  <c r="G100" i="4"/>
  <c r="G101" i="4"/>
  <c r="N8" i="3" s="1"/>
  <c r="G102" i="4"/>
  <c r="G103" i="4"/>
  <c r="N13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23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19" i="3" s="1"/>
  <c r="G143" i="4"/>
  <c r="G144" i="4"/>
  <c r="G145" i="4"/>
  <c r="G146" i="4"/>
  <c r="G147" i="4"/>
  <c r="G148" i="4"/>
  <c r="N22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N17" i="3" s="1"/>
  <c r="G164" i="4"/>
  <c r="G165" i="4"/>
  <c r="G166" i="4"/>
  <c r="G167" i="4"/>
  <c r="G168" i="4"/>
  <c r="G169" i="4"/>
  <c r="G170" i="4"/>
  <c r="G171" i="4"/>
  <c r="N11" i="3" s="1"/>
  <c r="G172" i="4"/>
  <c r="G173" i="4"/>
  <c r="G174" i="4"/>
  <c r="G175" i="4"/>
  <c r="N12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20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27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1" i="3" l="1"/>
  <c r="N18" i="3"/>
  <c r="N25" i="3"/>
  <c r="N26" i="3"/>
  <c r="N7" i="3"/>
  <c r="N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<sst xmlns="http://schemas.openxmlformats.org/spreadsheetml/2006/main" count="2676" uniqueCount="1068">
  <si>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</si>
  <si>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</si>
  <si>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</si>
  <si>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</si>
  <si>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</si>
  <si>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</si>
  <si>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</si>
  <si>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</si>
  <si>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</si>
  <si>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</si>
  <si>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</si>
  <si>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</si>
  <si>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</si>
  <si>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</si>
  <si>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</si>
  <si>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</si>
  <si>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</si>
  <si>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</si>
  <si>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</si>
  <si>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</si>
  <si>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</si>
  <si>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</si>
  <si>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</si>
  <si>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</si>
  <si>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</si>
  <si>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</si>
  <si>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</si>
  <si>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</si>
  <si>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</si>
  <si>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</si>
  <si>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</si>
  <si>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</si>
  <si>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</si>
  <si>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</si>
  <si>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</si>
  <si>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</si>
  <si>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</si>
  <si>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</si>
  <si>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</si>
  <si>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</si>
  <si>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</si>
  <si>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</si>
  <si>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</si>
  <si>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</si>
  <si>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</si>
  <si>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</si>
  <si>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</si>
  <si>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</si>
  <si>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</si>
  <si>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</si>
  <si>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</si>
  <si>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</si>
  <si>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</si>
  <si>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</si>
  <si>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</si>
  <si>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</si>
  <si>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</si>
  <si>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</si>
  <si>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</si>
  <si>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</si>
  <si>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</si>
  <si>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</si>
  <si>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</si>
  <si>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</si>
  <si>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</si>
  <si>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</si>
  <si>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</si>
  <si>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</si>
  <si>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</si>
  <si>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</si>
  <si>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</si>
  <si>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</si>
  <si>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</si>
  <si>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</si>
  <si>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</si>
  <si>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</si>
  <si>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</si>
  <si>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</si>
  <si>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</si>
  <si>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</si>
  <si>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</si>
  <si>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</si>
  <si>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</si>
  <si>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</si>
  <si>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</si>
  <si>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</si>
  <si>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</si>
  <si>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</si>
  <si>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</si>
  <si>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</si>
  <si>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</si>
  <si>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</si>
  <si>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</si>
  <si>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</si>
  <si>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</si>
  <si>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</si>
  <si>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</si>
  <si>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</si>
  <si>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</si>
  <si>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</si>
  <si>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</si>
  <si>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</si>
  <si>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</si>
  <si>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</si>
  <si>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</si>
  <si>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</si>
  <si>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</si>
  <si>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</si>
  <si>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</si>
  <si>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</si>
  <si>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</si>
  <si>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</si>
  <si>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</si>
  <si>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</si>
  <si>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</si>
  <si>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</si>
  <si>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</si>
  <si>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</si>
  <si>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</si>
  <si>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</si>
  <si>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</si>
  <si>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</si>
  <si>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</si>
  <si>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</si>
  <si>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</si>
  <si>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</si>
  <si>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</si>
  <si>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</si>
  <si>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</si>
  <si>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</si>
  <si>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</si>
  <si>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</si>
  <si>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</si>
  <si>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</si>
  <si>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</si>
  <si>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</si>
  <si>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</si>
  <si>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</si>
  <si>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</si>
  <si>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</si>
  <si>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</si>
  <si>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</si>
  <si>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</si>
  <si>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</si>
  <si>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</si>
  <si>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</si>
  <si>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</si>
  <si>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</si>
  <si>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</si>
  <si>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</si>
  <si>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</si>
  <si>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</si>
  <si>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</si>
  <si>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</si>
  <si>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</si>
  <si>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</si>
  <si>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</si>
  <si>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</si>
  <si>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</si>
  <si>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</si>
  <si>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</si>
  <si>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</si>
  <si>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</si>
  <si>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</si>
  <si>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</si>
  <si>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</si>
  <si>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</si>
  <si>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</si>
  <si>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</si>
  <si>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</si>
  <si>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</si>
  <si>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</si>
  <si>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</si>
  <si>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</si>
  <si>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</si>
  <si>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</si>
  <si>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</si>
  <si>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</si>
  <si>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</si>
  <si>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</si>
  <si>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</si>
  <si>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</si>
  <si>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</si>
  <si>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</si>
  <si>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</si>
  <si>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</si>
  <si>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</si>
  <si>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</si>
  <si>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</si>
  <si>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</si>
  <si>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</si>
  <si>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</si>
  <si>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</si>
  <si>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</si>
  <si>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</si>
  <si>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</si>
  <si>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</si>
  <si>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</si>
  <si>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</si>
  <si>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</si>
  <si>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</si>
  <si>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</si>
  <si>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</si>
  <si>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</si>
  <si>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</si>
  <si>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</si>
  <si>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</si>
  <si>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</si>
  <si>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</si>
  <si>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</si>
  <si>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</si>
  <si>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</si>
  <si>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</si>
  <si>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</si>
  <si>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</si>
  <si>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</si>
  <si>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</si>
  <si>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</si>
  <si>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</si>
  <si>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</si>
  <si>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</si>
  <si>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</si>
  <si>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</si>
  <si>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</si>
  <si>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</si>
  <si>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</si>
  <si>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</si>
  <si>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</si>
  <si>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</si>
  <si>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</si>
  <si>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</si>
  <si>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</si>
  <si>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</si>
  <si>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</si>
  <si>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</si>
  <si>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</si>
  <si>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</si>
  <si>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</si>
  <si>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</si>
  <si>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</si>
  <si>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</si>
  <si>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</si>
  <si>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</si>
  <si>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</si>
  <si>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</si>
  <si>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</si>
  <si>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</si>
  <si>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</si>
  <si>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</si>
  <si>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</si>
  <si>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</si>
  <si>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</si>
  <si>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</si>
  <si>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</si>
  <si>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</si>
  <si>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</si>
  <si>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</si>
  <si>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</si>
  <si>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</si>
  <si>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</si>
  <si>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</si>
  <si>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</si>
  <si>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</si>
  <si>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</si>
  <si>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</si>
  <si>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</si>
  <si>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</si>
  <si>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</si>
  <si>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</si>
  <si>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</si>
  <si>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</si>
  <si>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</si>
  <si>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</si>
  <si>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</si>
  <si>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</si>
  <si>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</si>
  <si>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</si>
  <si>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</si>
  <si>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</si>
  <si>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</si>
  <si>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</si>
  <si>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</si>
  <si>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</si>
  <si>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</si>
  <si>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</si>
  <si>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</si>
  <si>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</si>
  <si>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</si>
  <si>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</si>
  <si>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</si>
  <si>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</si>
  <si>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</si>
  <si>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</si>
  <si>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</si>
  <si>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</si>
  <si>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</si>
  <si>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</si>
  <si>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</si>
  <si>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</si>
  <si>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</si>
  <si>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</si>
  <si>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</si>
  <si>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</si>
  <si>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</si>
  <si>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</si>
  <si>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</si>
  <si>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</si>
  <si>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</si>
  <si>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</si>
  <si>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</si>
  <si>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</si>
  <si>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</si>
  <si>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</si>
  <si>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</si>
  <si>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</si>
  <si>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</si>
  <si>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</si>
  <si>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</si>
  <si>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</si>
  <si>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</si>
  <si>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</si>
  <si>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</si>
  <si>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</si>
  <si>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</si>
  <si>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</si>
  <si>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</si>
  <si>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</si>
  <si>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</si>
  <si>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</si>
  <si>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</si>
  <si>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</si>
  <si>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</si>
  <si>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</si>
  <si>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</si>
  <si>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</si>
  <si>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</si>
  <si>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</si>
  <si>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</si>
  <si>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</si>
  <si>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</si>
  <si>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</si>
  <si>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</si>
  <si>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</si>
  <si>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</si>
  <si>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</si>
  <si>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</si>
  <si>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</si>
  <si>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</si>
  <si>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</si>
  <si>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</si>
  <si>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</si>
  <si>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</si>
  <si>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</si>
  <si>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</si>
  <si>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</si>
  <si>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</si>
  <si>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</si>
  <si>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</si>
  <si>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</si>
  <si>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</si>
  <si>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</si>
  <si>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</si>
  <si>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</si>
  <si>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</si>
  <si>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</si>
  <si>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</si>
  <si>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</si>
  <si>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</si>
  <si>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</si>
  <si>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</si>
  <si>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</si>
  <si>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</si>
  <si>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</si>
  <si>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</si>
  <si>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</si>
  <si>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</si>
  <si>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</si>
  <si>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</si>
  <si>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</si>
  <si>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</si>
  <si>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</si>
  <si>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</si>
  <si>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</si>
  <si>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</si>
  <si>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</si>
  <si>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</si>
  <si>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</si>
  <si>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</si>
  <si>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</si>
  <si>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</si>
  <si>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</si>
  <si>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</si>
  <si>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</si>
  <si>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</si>
  <si>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</si>
  <si>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</si>
  <si>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</si>
  <si>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</si>
  <si>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</si>
  <si>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</si>
  <si>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</si>
  <si>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</si>
  <si>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</si>
  <si>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</si>
  <si>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</si>
  <si>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</si>
  <si>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</si>
  <si>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</si>
  <si>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</si>
  <si>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</si>
  <si>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</si>
  <si>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</si>
  <si>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</si>
  <si>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</si>
  <si>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</si>
  <si>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</si>
  <si>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</si>
  <si>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</si>
  <si>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</si>
  <si>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</si>
  <si>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</si>
  <si>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</si>
  <si>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</si>
  <si>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</si>
  <si>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</si>
  <si>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</si>
  <si>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</si>
  <si>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</si>
  <si>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</si>
  <si>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</si>
  <si>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</si>
  <si>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</si>
  <si>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</si>
  <si>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rtdc.l.rtdc.4050:itc</t>
  </si>
  <si>
    <t>Wi-MAX data drop</t>
  </si>
  <si>
    <t>ANDERS</t>
  </si>
  <si>
    <t>STEVEN</t>
  </si>
  <si>
    <t>204:201</t>
  </si>
  <si>
    <t>204:205</t>
  </si>
  <si>
    <t>204:517</t>
  </si>
  <si>
    <t>DAVID</t>
  </si>
  <si>
    <t>rtdc.l.rtdc.4019:itc</t>
  </si>
  <si>
    <t>rtdc.l.rtdc.4020:itc</t>
  </si>
  <si>
    <t>204:214</t>
  </si>
  <si>
    <t>SWITCH UNKNOWN</t>
  </si>
  <si>
    <t>Track device (7)</t>
  </si>
  <si>
    <t>204:508</t>
  </si>
  <si>
    <t>rtdc.l.rtdc.4033:itc</t>
  </si>
  <si>
    <t>204:515</t>
  </si>
  <si>
    <t>204:498</t>
  </si>
  <si>
    <t>204:211</t>
  </si>
  <si>
    <t>clear-day</t>
  </si>
  <si>
    <t>Clear</t>
  </si>
  <si>
    <t>clear-night</t>
  </si>
  <si>
    <t>204:232942</t>
  </si>
  <si>
    <t>FORTUNATO</t>
  </si>
  <si>
    <t>FRANK</t>
  </si>
  <si>
    <t>204:233286</t>
  </si>
  <si>
    <t>rtdc.l.rtdc.4056:itc</t>
  </si>
  <si>
    <t>DONTE</t>
  </si>
  <si>
    <t>WEST</t>
  </si>
  <si>
    <t>BRYAN</t>
  </si>
  <si>
    <t>204:149</t>
  </si>
  <si>
    <t>204:233289</t>
  </si>
  <si>
    <t>204:233297</t>
  </si>
  <si>
    <t>204:181</t>
  </si>
  <si>
    <t>Partly Cloudy</t>
  </si>
  <si>
    <t>partly-cloudy-night</t>
  </si>
  <si>
    <t>204:154</t>
  </si>
  <si>
    <t>204:232963</t>
  </si>
  <si>
    <t>204:233000</t>
  </si>
  <si>
    <t>204:464</t>
  </si>
  <si>
    <t>204:495</t>
  </si>
  <si>
    <t>rtdc.l.rtdc.4025:itc</t>
  </si>
  <si>
    <t>rtdc.l.rtdc.4013:itc</t>
  </si>
  <si>
    <t>rtdc.l.rtdc.4026:itc</t>
  </si>
  <si>
    <t>204:477</t>
  </si>
  <si>
    <t>204:233259</t>
  </si>
  <si>
    <t>204:158</t>
  </si>
  <si>
    <t>204:537</t>
  </si>
  <si>
    <t>204:473</t>
  </si>
  <si>
    <t>204:453</t>
  </si>
  <si>
    <t>204:506</t>
  </si>
  <si>
    <t>204:232957</t>
  </si>
  <si>
    <t>204:232964</t>
  </si>
  <si>
    <t>300:23306</t>
  </si>
  <si>
    <t>GRADE CROSSING</t>
  </si>
  <si>
    <t>rtdc.l.rtdc.4054:itc</t>
  </si>
  <si>
    <t>Early Arrival</t>
  </si>
  <si>
    <t>DAVIDSON</t>
  </si>
  <si>
    <t>rtdc.l.rtdc.4053:itc</t>
  </si>
  <si>
    <t>STEWART</t>
  </si>
  <si>
    <t>LONG</t>
  </si>
  <si>
    <t>FULLER</t>
  </si>
  <si>
    <t>LORI</t>
  </si>
  <si>
    <t>SANTOS</t>
  </si>
  <si>
    <t>204:233291</t>
  </si>
  <si>
    <t>204:232955</t>
  </si>
  <si>
    <t>204:233268</t>
  </si>
  <si>
    <t>204:229</t>
  </si>
  <si>
    <t>204:227</t>
  </si>
  <si>
    <t>204:232</t>
  </si>
  <si>
    <t>300:23302</t>
  </si>
  <si>
    <t>204:165</t>
  </si>
  <si>
    <t>204:446</t>
  </si>
  <si>
    <t>204:144</t>
  </si>
  <si>
    <t>204:157</t>
  </si>
  <si>
    <t>rtdc.l.rtdc.4039:itc</t>
  </si>
  <si>
    <t>rtdc.l.rtdc.4040:itc</t>
  </si>
  <si>
    <t>ZEWDU</t>
  </si>
  <si>
    <t>DEREJE</t>
  </si>
  <si>
    <t>NEWELL</t>
  </si>
  <si>
    <t>204:435</t>
  </si>
  <si>
    <t>204:511</t>
  </si>
  <si>
    <t>204:232938</t>
  </si>
  <si>
    <t>LOPES</t>
  </si>
  <si>
    <t>KIMBERLY</t>
  </si>
  <si>
    <t>GEBRETEKLE</t>
  </si>
  <si>
    <t>DAGNEW</t>
  </si>
  <si>
    <t>HUFFSMITH</t>
  </si>
  <si>
    <t>MONTY</t>
  </si>
  <si>
    <t>HOLCOMB</t>
  </si>
  <si>
    <t>KAMDEN</t>
  </si>
  <si>
    <t>MCREYNOLDS</t>
  </si>
  <si>
    <t>KYLE</t>
  </si>
  <si>
    <t>precipType</t>
  </si>
  <si>
    <t>204:232961</t>
  </si>
  <si>
    <t>204:156</t>
  </si>
  <si>
    <t>204:519</t>
  </si>
  <si>
    <t>204:233272</t>
  </si>
  <si>
    <t>204:249</t>
  </si>
  <si>
    <t>204:520</t>
  </si>
  <si>
    <t>204:232940</t>
  </si>
  <si>
    <t>204:522</t>
  </si>
  <si>
    <t>204:233288</t>
  </si>
  <si>
    <t>204:198</t>
  </si>
  <si>
    <t>204:203</t>
  </si>
  <si>
    <t>204:233266</t>
  </si>
  <si>
    <t>204:233270</t>
  </si>
  <si>
    <t>204:221</t>
  </si>
  <si>
    <t>204:486</t>
  </si>
  <si>
    <t>204:160</t>
  </si>
  <si>
    <t>204:232946</t>
  </si>
  <si>
    <t>204:526</t>
  </si>
  <si>
    <t>204:196</t>
  </si>
  <si>
    <t>204:236</t>
  </si>
  <si>
    <t>204:458</t>
  </si>
  <si>
    <t>204:233264</t>
  </si>
  <si>
    <t>204:232925</t>
  </si>
  <si>
    <t>204:232987</t>
  </si>
  <si>
    <t>204:233243</t>
  </si>
  <si>
    <t>204:579</t>
  </si>
  <si>
    <t>300:23304</t>
  </si>
  <si>
    <t>300:58952</t>
  </si>
  <si>
    <t>204:166</t>
  </si>
  <si>
    <t>204:153</t>
  </si>
  <si>
    <t>204:444</t>
  </si>
  <si>
    <t>204:450</t>
  </si>
  <si>
    <t>300:58924</t>
  </si>
  <si>
    <t>204:439</t>
  </si>
  <si>
    <t>300:58950</t>
  </si>
  <si>
    <t>rtdc.l.rtdc.4005:itc</t>
  </si>
  <si>
    <t>TRACK WARRANT AUTHORITY</t>
  </si>
  <si>
    <t>Form based authority (4)</t>
  </si>
  <si>
    <t>rtdc.l.rtdc.4006:itc</t>
  </si>
  <si>
    <t>rtdc.l.rtdc.4034:itc</t>
  </si>
  <si>
    <t>rtdc.l.rtdc.4032:itc</t>
  </si>
  <si>
    <t>rtdc.l.rtdc.4031:itc</t>
  </si>
  <si>
    <t>TEMPORARY SPEED RESTRICTION</t>
  </si>
  <si>
    <t>rtdc.l.rtdc.4015:itc</t>
  </si>
  <si>
    <t>842-11</t>
  </si>
  <si>
    <t>849-11</t>
  </si>
  <si>
    <t>238-11</t>
  </si>
  <si>
    <t>rtdc.l.rtdc.4049:itc</t>
  </si>
  <si>
    <t>rtdc.l.rtdc.4042:itc</t>
  </si>
  <si>
    <t>rtdc.l.rtdc.4014:itc</t>
  </si>
  <si>
    <t>rtdc.l.rtdc.4016:itc</t>
  </si>
  <si>
    <t>rtdc.l.rtdc.4021:itc</t>
  </si>
  <si>
    <t>GONZALEZ</t>
  </si>
  <si>
    <t>ARMANDO</t>
  </si>
  <si>
    <t>BADERTSCHER</t>
  </si>
  <si>
    <t>DIANE</t>
  </si>
  <si>
    <t>ROBINSON</t>
  </si>
  <si>
    <t>KADDIBA</t>
  </si>
  <si>
    <t>ELBAUM</t>
  </si>
  <si>
    <t>MIKE</t>
  </si>
  <si>
    <t>218-11</t>
  </si>
  <si>
    <t>221-11</t>
  </si>
  <si>
    <t>906-11</t>
  </si>
  <si>
    <t>841-11</t>
  </si>
  <si>
    <t>303-11</t>
  </si>
  <si>
    <t>220-11</t>
  </si>
  <si>
    <t>840-11</t>
  </si>
  <si>
    <t>223-11</t>
  </si>
  <si>
    <t>305-11</t>
  </si>
  <si>
    <t>222-11</t>
  </si>
  <si>
    <t>225-11</t>
  </si>
  <si>
    <t>843-11</t>
  </si>
  <si>
    <t>227-11</t>
  </si>
  <si>
    <t>224-11</t>
  </si>
  <si>
    <t>226-11</t>
  </si>
  <si>
    <t>229-11</t>
  </si>
  <si>
    <t>845-11</t>
  </si>
  <si>
    <t>228-11</t>
  </si>
  <si>
    <t>844-11</t>
  </si>
  <si>
    <t>233-11</t>
  </si>
  <si>
    <t>230-11</t>
  </si>
  <si>
    <t>847-11</t>
  </si>
  <si>
    <t>235-11</t>
  </si>
  <si>
    <t>846-11</t>
  </si>
  <si>
    <t>232-11</t>
  </si>
  <si>
    <t>234-11</t>
  </si>
  <si>
    <t>237-11</t>
  </si>
  <si>
    <t>239-11</t>
  </si>
  <si>
    <t>236-11</t>
  </si>
  <si>
    <t>908-11</t>
  </si>
  <si>
    <t>241-11</t>
  </si>
  <si>
    <t>243-11</t>
  </si>
  <si>
    <t>240-11</t>
  </si>
  <si>
    <t>242-11</t>
  </si>
  <si>
    <t>313-11</t>
  </si>
  <si>
    <t>307-11</t>
  </si>
  <si>
    <t>244-11</t>
  </si>
  <si>
    <t>309-11</t>
  </si>
  <si>
    <t>311-11</t>
  </si>
  <si>
    <t>204:488</t>
  </si>
  <si>
    <t>204:233287</t>
  </si>
  <si>
    <t>204:232976</t>
  </si>
  <si>
    <t>204:471</t>
  </si>
  <si>
    <t>204:232943</t>
  </si>
  <si>
    <t>204:163</t>
  </si>
  <si>
    <t>204:233329</t>
  </si>
  <si>
    <t>204:233025</t>
  </si>
  <si>
    <t>204:524</t>
  </si>
  <si>
    <t>204:232923</t>
  </si>
  <si>
    <t>204:529</t>
  </si>
  <si>
    <t>204:232996</t>
  </si>
  <si>
    <t>204:233278</t>
  </si>
  <si>
    <t>204:232965</t>
  </si>
  <si>
    <t>204:233346</t>
  </si>
  <si>
    <t>204:233314</t>
  </si>
  <si>
    <t>204:232990</t>
  </si>
  <si>
    <t>204:513</t>
  </si>
  <si>
    <t>204:170</t>
  </si>
  <si>
    <t>204:232991</t>
  </si>
  <si>
    <t>204:460</t>
  </si>
  <si>
    <t>204:233280</t>
  </si>
  <si>
    <t>204:233340</t>
  </si>
  <si>
    <t>204:233015</t>
  </si>
  <si>
    <t>204:451</t>
  </si>
  <si>
    <t>204:232960</t>
  </si>
  <si>
    <t>204:232932</t>
  </si>
  <si>
    <t>204:509</t>
  </si>
  <si>
    <t>204:220</t>
  </si>
  <si>
    <t>204:546</t>
  </si>
  <si>
    <t>204:209</t>
  </si>
  <si>
    <t>204:233212</t>
  </si>
  <si>
    <t>204:233053</t>
  </si>
  <si>
    <t>204:191</t>
  </si>
  <si>
    <t>204:233300</t>
  </si>
  <si>
    <t>204:232981</t>
  </si>
  <si>
    <t>204:240</t>
  </si>
  <si>
    <t>204:577</t>
  </si>
  <si>
    <t>204:535</t>
  </si>
  <si>
    <t>204:544</t>
  </si>
  <si>
    <t>204:183</t>
  </si>
  <si>
    <t>204:559</t>
  </si>
  <si>
    <t>204:482</t>
  </si>
  <si>
    <t>204:1152</t>
  </si>
  <si>
    <t>300:23297</t>
  </si>
  <si>
    <t>300:58647</t>
  </si>
  <si>
    <t>204:459</t>
  </si>
  <si>
    <t>204:162</t>
  </si>
  <si>
    <t>204:148</t>
  </si>
  <si>
    <t>204:437</t>
  </si>
  <si>
    <t>300:58606</t>
  </si>
  <si>
    <t>300:58591</t>
  </si>
  <si>
    <t>300:58604</t>
  </si>
  <si>
    <t>Did not init due to extended Wi-MAX data drop</t>
  </si>
  <si>
    <t>rtdc.l.rtdc.4002:itc</t>
  </si>
  <si>
    <t>1801-14</t>
  </si>
  <si>
    <t>114-14</t>
  </si>
  <si>
    <t>123-14</t>
  </si>
  <si>
    <t>138-14</t>
  </si>
  <si>
    <t>167-14</t>
  </si>
  <si>
    <t>158-14</t>
  </si>
  <si>
    <t>169-14</t>
  </si>
  <si>
    <t>1819-14</t>
  </si>
  <si>
    <t>1821-14</t>
  </si>
  <si>
    <t>rtdc.l.rtdc.4001:itc</t>
  </si>
  <si>
    <t>1822-14</t>
  </si>
  <si>
    <t>211-14</t>
  </si>
  <si>
    <t>208-14</t>
  </si>
  <si>
    <t>221-14</t>
  </si>
  <si>
    <t>214-14</t>
  </si>
  <si>
    <t>1829-14</t>
  </si>
  <si>
    <t>1831-14</t>
  </si>
  <si>
    <t>1902-14</t>
  </si>
  <si>
    <t>245-13</t>
  </si>
  <si>
    <t>307-13</t>
  </si>
  <si>
    <t>rtdc.l.rtdc.4051:itc</t>
  </si>
  <si>
    <t>244-13</t>
  </si>
  <si>
    <t>309-13</t>
  </si>
  <si>
    <t>246-13</t>
  </si>
  <si>
    <t>rtdc.l.rtdc.4052:itc</t>
  </si>
  <si>
    <t>311-13</t>
  </si>
  <si>
    <t>313-13</t>
  </si>
  <si>
    <t>300-14</t>
  </si>
  <si>
    <t>101-14</t>
  </si>
  <si>
    <t>51-14</t>
  </si>
  <si>
    <t>302-14</t>
  </si>
  <si>
    <t>103-14</t>
  </si>
  <si>
    <t>304-14</t>
  </si>
  <si>
    <t>rtdc.l.rtdc.4027:itc</t>
  </si>
  <si>
    <t>102-14</t>
  </si>
  <si>
    <t>105-14</t>
  </si>
  <si>
    <t>306-14</t>
  </si>
  <si>
    <t>107-14</t>
  </si>
  <si>
    <t>308-14</t>
  </si>
  <si>
    <t>104-14</t>
  </si>
  <si>
    <t>109-14</t>
  </si>
  <si>
    <t>111-14</t>
  </si>
  <si>
    <t>106-14</t>
  </si>
  <si>
    <t>310-14</t>
  </si>
  <si>
    <t>312-14</t>
  </si>
  <si>
    <t>108-14</t>
  </si>
  <si>
    <t>113-14</t>
  </si>
  <si>
    <t>1901-14</t>
  </si>
  <si>
    <t>115-14</t>
  </si>
  <si>
    <t>110-14</t>
  </si>
  <si>
    <t>117-14</t>
  </si>
  <si>
    <t>112-14</t>
  </si>
  <si>
    <t>1800-14</t>
  </si>
  <si>
    <t>119-14</t>
  </si>
  <si>
    <t>121-14</t>
  </si>
  <si>
    <t>116-14</t>
  </si>
  <si>
    <t>1802-14</t>
  </si>
  <si>
    <t>118-14</t>
  </si>
  <si>
    <t>125-14</t>
  </si>
  <si>
    <t>120-14</t>
  </si>
  <si>
    <t>122-14</t>
  </si>
  <si>
    <t>127-14</t>
  </si>
  <si>
    <t>BROWN</t>
  </si>
  <si>
    <t>JACOB</t>
  </si>
  <si>
    <t>1803-14</t>
  </si>
  <si>
    <t>124-14</t>
  </si>
  <si>
    <t>129-14</t>
  </si>
  <si>
    <t>KILLION</t>
  </si>
  <si>
    <t>131-14</t>
  </si>
  <si>
    <t>1804-14</t>
  </si>
  <si>
    <t>133-14</t>
  </si>
  <si>
    <t>126-14</t>
  </si>
  <si>
    <t>128-14</t>
  </si>
  <si>
    <t>135-14</t>
  </si>
  <si>
    <t>130-14</t>
  </si>
  <si>
    <t>137-14</t>
  </si>
  <si>
    <t>1805-14</t>
  </si>
  <si>
    <t>LANGERAK</t>
  </si>
  <si>
    <t>WILLIAM</t>
  </si>
  <si>
    <t>132-14</t>
  </si>
  <si>
    <t>139-14</t>
  </si>
  <si>
    <t>134-14</t>
  </si>
  <si>
    <t>1806-14</t>
  </si>
  <si>
    <t>141-14</t>
  </si>
  <si>
    <t>136-14</t>
  </si>
  <si>
    <t>143-14</t>
  </si>
  <si>
    <t>1807-14</t>
  </si>
  <si>
    <t>145-14</t>
  </si>
  <si>
    <t>140-14</t>
  </si>
  <si>
    <t>1808-14</t>
  </si>
  <si>
    <t>147-14</t>
  </si>
  <si>
    <t>142-14</t>
  </si>
  <si>
    <t>149-14</t>
  </si>
  <si>
    <t>144-14</t>
  </si>
  <si>
    <t>151-14</t>
  </si>
  <si>
    <t>146-14</t>
  </si>
  <si>
    <t>1809-14</t>
  </si>
  <si>
    <t>153-14</t>
  </si>
  <si>
    <t>148-14</t>
  </si>
  <si>
    <t>150-14</t>
  </si>
  <si>
    <t>1810-14</t>
  </si>
  <si>
    <t>155-14</t>
  </si>
  <si>
    <t>152-14</t>
  </si>
  <si>
    <t>157-14</t>
  </si>
  <si>
    <t>159-14</t>
  </si>
  <si>
    <t>154-14</t>
  </si>
  <si>
    <t>1811-14</t>
  </si>
  <si>
    <t>161-14</t>
  </si>
  <si>
    <t>DAVIS</t>
  </si>
  <si>
    <t>156-14</t>
  </si>
  <si>
    <t>1812-14</t>
  </si>
  <si>
    <t>163-14</t>
  </si>
  <si>
    <t>165-14</t>
  </si>
  <si>
    <t>160-14</t>
  </si>
  <si>
    <t>CHANDLER</t>
  </si>
  <si>
    <t>KELVIN</t>
  </si>
  <si>
    <t>1813-14</t>
  </si>
  <si>
    <t>162-14</t>
  </si>
  <si>
    <t>164-14</t>
  </si>
  <si>
    <t>1814-14</t>
  </si>
  <si>
    <t>171-14</t>
  </si>
  <si>
    <t>166-14</t>
  </si>
  <si>
    <t>173-14</t>
  </si>
  <si>
    <t>168-14</t>
  </si>
  <si>
    <t>175-14</t>
  </si>
  <si>
    <t>1815-14</t>
  </si>
  <si>
    <t>170-14</t>
  </si>
  <si>
    <t>177-14</t>
  </si>
  <si>
    <t>172-14</t>
  </si>
  <si>
    <t>1816-14</t>
  </si>
  <si>
    <t>179-14</t>
  </si>
  <si>
    <t>174-14</t>
  </si>
  <si>
    <t>181-14</t>
  </si>
  <si>
    <t>183-14</t>
  </si>
  <si>
    <t>176-14</t>
  </si>
  <si>
    <t>1817-14</t>
  </si>
  <si>
    <t>178-14</t>
  </si>
  <si>
    <t>185-14</t>
  </si>
  <si>
    <t>180-14</t>
  </si>
  <si>
    <t>1818-14</t>
  </si>
  <si>
    <t>187-14</t>
  </si>
  <si>
    <t>182-14</t>
  </si>
  <si>
    <t>189-14</t>
  </si>
  <si>
    <t>184-14</t>
  </si>
  <si>
    <t>191-14</t>
  </si>
  <si>
    <t>186-14</t>
  </si>
  <si>
    <t>188-14</t>
  </si>
  <si>
    <t>193-14</t>
  </si>
  <si>
    <t>1820-14</t>
  </si>
  <si>
    <t>195-14</t>
  </si>
  <si>
    <t>197-14</t>
  </si>
  <si>
    <t>190-14</t>
  </si>
  <si>
    <t>192-14</t>
  </si>
  <si>
    <t>199-14</t>
  </si>
  <si>
    <t>194-14</t>
  </si>
  <si>
    <t>201-14</t>
  </si>
  <si>
    <t>61-14</t>
  </si>
  <si>
    <t>196-14</t>
  </si>
  <si>
    <t>203-14</t>
  </si>
  <si>
    <t>198-14</t>
  </si>
  <si>
    <t>205-14</t>
  </si>
  <si>
    <t>200-14</t>
  </si>
  <si>
    <t>207-14</t>
  </si>
  <si>
    <t>1823-14</t>
  </si>
  <si>
    <t>202-14</t>
  </si>
  <si>
    <t>209-14</t>
  </si>
  <si>
    <t>1824-14</t>
  </si>
  <si>
    <t>204-14</t>
  </si>
  <si>
    <t>63-14</t>
  </si>
  <si>
    <t>206-14</t>
  </si>
  <si>
    <t>213-14</t>
  </si>
  <si>
    <t>PAGE</t>
  </si>
  <si>
    <t>MARCUS</t>
  </si>
  <si>
    <t>215-14</t>
  </si>
  <si>
    <t>59-14</t>
  </si>
  <si>
    <t>1825-14</t>
  </si>
  <si>
    <t>210-14</t>
  </si>
  <si>
    <t>217-14</t>
  </si>
  <si>
    <t>HAMMOND</t>
  </si>
  <si>
    <t>JUSTYNN</t>
  </si>
  <si>
    <t>212-14</t>
  </si>
  <si>
    <t>1826-14</t>
  </si>
  <si>
    <t>219-14</t>
  </si>
  <si>
    <t>301-14</t>
  </si>
  <si>
    <t>216-14</t>
  </si>
  <si>
    <t>1827-14</t>
  </si>
  <si>
    <t>218-14</t>
  </si>
  <si>
    <t>303-14</t>
  </si>
  <si>
    <t>220-14</t>
  </si>
  <si>
    <t>223-14</t>
  </si>
  <si>
    <t>1828-14</t>
  </si>
  <si>
    <t>305-14</t>
  </si>
  <si>
    <t>222-14</t>
  </si>
  <si>
    <t>225-14</t>
  </si>
  <si>
    <t>224-14</t>
  </si>
  <si>
    <t>227-14</t>
  </si>
  <si>
    <t>1830-14</t>
  </si>
  <si>
    <t>226-14</t>
  </si>
  <si>
    <t>229-14</t>
  </si>
  <si>
    <t>231-14</t>
  </si>
  <si>
    <t>228-14</t>
  </si>
  <si>
    <t>1832-14</t>
  </si>
  <si>
    <t>230-14</t>
  </si>
  <si>
    <t>233-14</t>
  </si>
  <si>
    <t>1833-14</t>
  </si>
  <si>
    <t>232-14</t>
  </si>
  <si>
    <t>235-14</t>
  </si>
  <si>
    <t>1834-14</t>
  </si>
  <si>
    <t>234-14</t>
  </si>
  <si>
    <t>237-14</t>
  </si>
  <si>
    <t>1835-14</t>
  </si>
  <si>
    <t>239-14</t>
  </si>
  <si>
    <t>236-14</t>
  </si>
  <si>
    <t>238-14</t>
  </si>
  <si>
    <t>241-14</t>
  </si>
  <si>
    <t>240-14</t>
  </si>
  <si>
    <t>243-14</t>
  </si>
  <si>
    <t>75-14</t>
  </si>
  <si>
    <t>SANTIZO</t>
  </si>
  <si>
    <t>D. EDY</t>
  </si>
  <si>
    <t>313-14</t>
  </si>
  <si>
    <t>242-14</t>
  </si>
  <si>
    <t>307-14</t>
  </si>
  <si>
    <t>244-14</t>
  </si>
  <si>
    <t>77-14</t>
  </si>
  <si>
    <t>309-14</t>
  </si>
  <si>
    <t>311-14</t>
  </si>
  <si>
    <t>300-15</t>
  </si>
  <si>
    <t>precipAccumulation</t>
  </si>
  <si>
    <t>Mostly Cloudy</t>
  </si>
  <si>
    <t>snow</t>
  </si>
  <si>
    <t>204:781</t>
  </si>
  <si>
    <t>204:233303</t>
  </si>
  <si>
    <t>204:232967</t>
  </si>
  <si>
    <t>204:233238</t>
  </si>
  <si>
    <t>204:232936</t>
  </si>
  <si>
    <t>204:194</t>
  </si>
  <si>
    <t>204:462</t>
  </si>
  <si>
    <t>204:233372</t>
  </si>
  <si>
    <t>204:174</t>
  </si>
  <si>
    <t>204:238</t>
  </si>
  <si>
    <t>204:233337</t>
  </si>
  <si>
    <t>204:478</t>
  </si>
  <si>
    <t>204:233302</t>
  </si>
  <si>
    <t>204:233247</t>
  </si>
  <si>
    <t>204:252</t>
  </si>
  <si>
    <t>204:233253</t>
  </si>
  <si>
    <t>204:504</t>
  </si>
  <si>
    <t>204:233309</t>
  </si>
  <si>
    <t>204:232971</t>
  </si>
  <si>
    <t>204:280</t>
  </si>
  <si>
    <t>204:233263</t>
  </si>
  <si>
    <t>204:232945</t>
  </si>
  <si>
    <t>204:232944</t>
  </si>
  <si>
    <t>204:64698</t>
  </si>
  <si>
    <t>204:233293</t>
  </si>
  <si>
    <t>204:560</t>
  </si>
  <si>
    <t>204:233298</t>
  </si>
  <si>
    <t>204:232972</t>
  </si>
  <si>
    <t>204:150</t>
  </si>
  <si>
    <t>204:475</t>
  </si>
  <si>
    <t>204:232970</t>
  </si>
  <si>
    <t>204:287</t>
  </si>
  <si>
    <t>204:489</t>
  </si>
  <si>
    <t>204:233362</t>
  </si>
  <si>
    <t>204:233042</t>
  </si>
  <si>
    <t>204:233285</t>
  </si>
  <si>
    <t>204:232974</t>
  </si>
  <si>
    <t>204:233261</t>
  </si>
  <si>
    <t>204:232929</t>
  </si>
  <si>
    <t>204:233244</t>
  </si>
  <si>
    <t>204:233299</t>
  </si>
  <si>
    <t>204:293</t>
  </si>
  <si>
    <t>204:232985</t>
  </si>
  <si>
    <t>204:145</t>
  </si>
  <si>
    <t>204:233304</t>
  </si>
  <si>
    <t>204:132</t>
  </si>
  <si>
    <t>204:232930</t>
  </si>
  <si>
    <t>204:542</t>
  </si>
  <si>
    <t>204:192</t>
  </si>
  <si>
    <t>204:539</t>
  </si>
  <si>
    <t>204:233274</t>
  </si>
  <si>
    <t>204:233230</t>
  </si>
  <si>
    <t>204:232913</t>
  </si>
  <si>
    <t>204:232983</t>
  </si>
  <si>
    <t>204:161</t>
  </si>
  <si>
    <t>204:64696</t>
  </si>
  <si>
    <t>204:233205</t>
  </si>
  <si>
    <t>204:59438</t>
  </si>
  <si>
    <t>204:232896</t>
  </si>
  <si>
    <t>204:254</t>
  </si>
  <si>
    <t>204:233306</t>
  </si>
  <si>
    <t>204:232989</t>
  </si>
  <si>
    <t>204:187</t>
  </si>
  <si>
    <t>204:233295</t>
  </si>
  <si>
    <t>204:232975</t>
  </si>
  <si>
    <t>204:233317</t>
  </si>
  <si>
    <t>204:484</t>
  </si>
  <si>
    <t>204:233305</t>
  </si>
  <si>
    <t>204:233255</t>
  </si>
  <si>
    <t>300:58651</t>
  </si>
  <si>
    <t>204:146</t>
  </si>
  <si>
    <t>300:58961</t>
  </si>
  <si>
    <t>300:58954</t>
  </si>
  <si>
    <t>300:58641</t>
  </si>
  <si>
    <t>300:58969</t>
  </si>
  <si>
    <t>204:173</t>
  </si>
  <si>
    <t>300:58638</t>
  </si>
  <si>
    <t>300:58960</t>
  </si>
  <si>
    <t>300:58649</t>
  </si>
  <si>
    <t>300:58640</t>
  </si>
  <si>
    <t>300:58926</t>
  </si>
  <si>
    <t>204:142</t>
  </si>
  <si>
    <t>204:441</t>
  </si>
  <si>
    <t>300:58920</t>
  </si>
  <si>
    <t>204:178</t>
  </si>
  <si>
    <t>300:58615</t>
  </si>
  <si>
    <t>300:58914</t>
  </si>
  <si>
    <t>204:233234</t>
  </si>
  <si>
    <t>300:58596</t>
  </si>
  <si>
    <t>300:57233</t>
  </si>
  <si>
    <t>300:57234</t>
  </si>
  <si>
    <t>204:129</t>
  </si>
  <si>
    <t>300:58912</t>
  </si>
  <si>
    <t>300:58602</t>
  </si>
  <si>
    <t>300:57681</t>
  </si>
  <si>
    <t>300:30691</t>
  </si>
  <si>
    <t>300:58967</t>
  </si>
  <si>
    <t>300:57345</t>
  </si>
  <si>
    <t>300:48841</t>
  </si>
  <si>
    <t>204:232953</t>
  </si>
  <si>
    <t>204:233218</t>
  </si>
  <si>
    <t>204:232905</t>
  </si>
  <si>
    <t>204:176</t>
  </si>
  <si>
    <t>204:447</t>
  </si>
  <si>
    <t>204:531</t>
  </si>
  <si>
    <t>204:233240</t>
  </si>
  <si>
    <t>204:232915</t>
  </si>
  <si>
    <t>204:233341</t>
  </si>
  <si>
    <t>204:232898</t>
  </si>
  <si>
    <t>204:497</t>
  </si>
  <si>
    <t>204:232962</t>
  </si>
  <si>
    <t>204:265</t>
  </si>
  <si>
    <t>204:233380</t>
  </si>
  <si>
    <t>204:233040</t>
  </si>
  <si>
    <t>204:233011</t>
  </si>
  <si>
    <t>204:233276</t>
  </si>
  <si>
    <t>204:562</t>
  </si>
  <si>
    <t>204:233347</t>
  </si>
  <si>
    <t>204:233013</t>
  </si>
  <si>
    <t>204:553</t>
  </si>
  <si>
    <t>204:233334</t>
  </si>
  <si>
    <t>204:124</t>
  </si>
  <si>
    <t>204:557</t>
  </si>
  <si>
    <t>300:23493</t>
  </si>
  <si>
    <t>204:212</t>
  </si>
  <si>
    <t>300:31655</t>
  </si>
  <si>
    <t>300:23557</t>
  </si>
  <si>
    <t>300:23226</t>
  </si>
  <si>
    <t>204:404</t>
  </si>
  <si>
    <t>300:23491</t>
  </si>
  <si>
    <t>300:23368</t>
  </si>
  <si>
    <t>204:415</t>
  </si>
  <si>
    <t>300:23578</t>
  </si>
  <si>
    <t>300:23346</t>
  </si>
  <si>
    <t>204:4048</t>
  </si>
  <si>
    <t>204:3738</t>
  </si>
  <si>
    <t>204:1162</t>
  </si>
  <si>
    <t>300:23571</t>
  </si>
  <si>
    <t>204:1912</t>
  </si>
  <si>
    <t>204:1469</t>
  </si>
  <si>
    <t>300:23301</t>
  </si>
  <si>
    <t>204:1164</t>
  </si>
  <si>
    <t>start /low /b %USERPROFILE%\Documents\GitHub\eaglep3\Utilities\DownloadLogsFromS3.py --loco 4040 --day 2018-01-14</t>
  </si>
  <si>
    <t>start /low /b %USERPROFILE%\Documents\GitHub\eaglep3\Utilities\DownloadLogsFromS3.py --loco 4026 --day 2018-01-14</t>
  </si>
  <si>
    <t>start /low /b %USERPROFILE%\Documents\GitHub\eaglep3\Utilities\DownloadLogsFromS3.py --loco 4001 --day 2018-01-14</t>
  </si>
  <si>
    <t>start /low /b %USERPROFILE%\Documents\GitHub\eaglep3\Utilities\DownloadLogsFromS3.py --loco 4026 --day 2018-01-15</t>
  </si>
  <si>
    <t>start /low /b %USERPROFILE%\Documents\GitHub\eaglep3\Utilities\DownloadLogsFromS3.py --loco 4028 --day 2018-01-14</t>
  </si>
  <si>
    <t>start /low /b %USERPROFILE%\Documents\GitHub\eaglep3\Utilities\DownloadLogsFromS3.py --loco 4025 --day 2018-01-14</t>
  </si>
  <si>
    <t>start /low /b %USERPROFILE%\Documents\GitHub\eaglep3\Utilities\DownloadLogsFromS3.py --loco 4017 --day 2018-01-15</t>
  </si>
  <si>
    <t>start /low /b %USERPROFILE%\Documents\GitHub\eaglep3\Utilities\DownloadLogsFromS3.py --loco 4028 --day 2018-01-15</t>
  </si>
  <si>
    <t>start /low /b %USERPROFILE%\Documents\GitHub\eaglep3\Utilities\DownloadLogsFromS3.py --loco 4039 --day 2018-01-14</t>
  </si>
  <si>
    <t>start /low /b %USERPROFILE%\Documents\GitHub\eaglep3\Utilities\DownloadLogsFromS3.py --loco 4017 --day 2018-01-14</t>
  </si>
  <si>
    <t>start /low /b %USERPROFILE%\Documents\GitHub\eaglep3\Utilities\DownloadLogsFromS3.py --loco 4039 --day 2018-01-15</t>
  </si>
  <si>
    <t>start /low /b %USERPROFILE%\Documents\GitHub\eaglep3\Utilities\DownloadLogsFromS3.py --loco 4002 --day 2018-01-14</t>
  </si>
  <si>
    <t>start /low /b %USERPROFILE%\Documents\GitHub\eaglep3\Utilities\DownloadLogsFromS3.py --loco 4002 --day 2018-01-15</t>
  </si>
  <si>
    <t>Run completed, observed wheel tach slip/slide</t>
  </si>
  <si>
    <t>Premature downgrade CP Quebec 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</si>
</sst>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8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61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43114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43114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37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COUNTIFS($N$13:$N$9657,"&gt;0",$AG$13:$AG$9657,I1)</f>
        <v>142</v>
      </c>
      <c r="K5" s="39"/>
      <c r="L5" s="171"/>
      <c r="M5" s="40">
        <f>AVERAGEIFS($N$13:$N$9657,$AG$13:$AG$9657,I1)</f>
        <v>36.853286385401745</v>
      </c>
      <c r="N5" s="38">
        <f t="array" ref="N5">MIN(IF($AG$13:$AG$9657=I1,IF(ISNUMBER($N$13:$N$9657),IF($N$13:$N$9657&gt;0,$N$13:$N$9657))))</f>
        <v>33.999999995576218</v>
      </c>
      <c r="O5" s="3">
        <f t="array" ref="O5">MAX(IF($AG$13:$AG$9657=I1,IF(ISNUMBER($N$13:$N$9657),IF($N$13:$N$9657&gt;0,$N$13:$N$9657))))</f>
        <v>43.1499999971129</v>
      </c>
      <c r="P5" s="2"/>
      <c r="R5" s="162" t="s">
        <v>17</v>
      </c>
      <c r="S5" s="206">
        <f>COUNTIFS($N$13:$N$9657,"&gt;0",$AG$13:$AG$9657,R1)</f>
        <v>37</v>
      </c>
      <c r="T5" s="171"/>
      <c r="U5" s="194"/>
      <c r="V5" s="210">
        <f>AVERAGEIFS($N$13:$N$9657,$AG$13:$AG$9657,R1)</f>
        <v>14.957657658142617</v>
      </c>
      <c r="W5" s="211">
        <f t="array" ref="W5">MIN(IF($AG$13:$AG$9657=R1,IF(ISNUMBER($N$13:$N$9657),IF($N$13:$N$9657&gt;0,$N$13:$N$9657))))</f>
        <v>11.300000001210719</v>
      </c>
      <c r="X5" s="199">
        <f t="array" ref="X5">MAX(IF($AG$13:$AG$9657=R1,IF(ISNUMBER($N$13:$N$9657),IF($N$13:$N$9657&gt;0,$N$13:$N$9657))))</f>
        <v>29.383333339355886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COUNT($O$13:$O$415)</f>
        <v>0</v>
      </c>
      <c r="K6" s="39"/>
      <c r="L6" s="171"/>
      <c r="M6" s="40">
        <f>IFERROR(AVERAGE($O$13:$O$415),0)</f>
        <v>0</v>
      </c>
      <c r="N6" s="38">
        <f>MIN($O$13:$O$415)</f>
        <v>0</v>
      </c>
      <c r="O6" s="3">
        <f>MAX($O$13:$O$415)</f>
        <v>0</v>
      </c>
      <c r="P6" s="2"/>
      <c r="R6" s="163" t="s">
        <v>43</v>
      </c>
      <c r="S6" s="206">
        <f>COUNT($O$13:$O$415)</f>
        <v>0</v>
      </c>
      <c r="T6" s="171"/>
      <c r="U6" s="194"/>
      <c r="V6" s="210">
        <f>IFERROR(AVERAGE($O$13:$O$415),0)</f>
        <v>0</v>
      </c>
      <c r="W6" s="211">
        <f>MIN($O$13:$O$415)</f>
        <v>0</v>
      </c>
      <c r="X6" s="199">
        <f>MAX($O$13:$O$415)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COUNTIFS($P$13:$P$9657,"&gt;0",$AG$13:$AG$9657,I1)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COUNTIFS($P$13:$P$9657,"&gt;0",$AG$13:$AG$9657,R1)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36.853286385401745</v>
      </c>
      <c r="N8" s="38">
        <f>N5</f>
        <v>33.999999995576218</v>
      </c>
      <c r="O8" s="3">
        <f>O5</f>
        <v>43.1499999971129</v>
      </c>
      <c r="P8" s="2"/>
      <c r="R8" s="162" t="s">
        <v>16</v>
      </c>
      <c r="S8" s="206">
        <f>S5</f>
        <v>37</v>
      </c>
      <c r="T8" s="171"/>
      <c r="U8" s="194"/>
      <c r="V8" s="210">
        <f>V5</f>
        <v>14.957657658142617</v>
      </c>
      <c r="W8" s="211">
        <f>W5</f>
        <v>11.300000001210719</v>
      </c>
      <c r="X8" s="199">
        <f>X5</f>
        <v>29.383333339355886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- 2018-01-14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AVERAGE(S13:S154)</f>
        <v>0.99760191846522794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708</v>
      </c>
      <c r="B13" s="7">
        <v>4028</v>
      </c>
      <c r="C13" s="21" t="s">
        <v>191</v>
      </c>
      <c r="D13" s="21" t="s">
        <v>911</v>
      </c>
      <c r="E13" s="13">
        <v>43114.119131944448</v>
      </c>
      <c r="F13" s="13">
        <v>43114.135694444441</v>
      </c>
      <c r="G13" s="7">
        <v>71</v>
      </c>
      <c r="H13" s="21" t="s">
        <v>912</v>
      </c>
      <c r="I13" s="13">
        <v>43114.159398148149</v>
      </c>
      <c r="J13" s="7">
        <v>0</v>
      </c>
      <c r="K13" s="89" t="str">
        <f>IF(ISEVEN(B13),(B13-1)&amp;"/"&amp;B13,B13&amp;"/"&amp;(B13+1))</f>
        <v>4027/4028</v>
      </c>
      <c r="L13" s="184" t="str">
        <f>VLOOKUP(A13,'Trips&amp;Operators'!$C$1:$G$99911,5,FALSE)</f>
        <v>YORK EDGAR</v>
      </c>
      <c r="M13" s="6">
        <f>I13-F13</f>
        <v>2.3703703707724344E-2</v>
      </c>
      <c r="N13" s="7">
        <f>24*60*SUM($M13:$M13)</f>
        <v>34.133333339123055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-14T01:51:33-0700',mode:absolute,to:'2018-01-14T04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7.8100000000000003E-2</v>
      </c>
      <c r="Z13" s="203">
        <f>RIGHT(H13,LEN(H13)-4)/10000</f>
        <v>23.330300000000001</v>
      </c>
      <c r="AA13" s="203">
        <f>ABS(Z13-Y13)</f>
        <v>23.252200000000002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/stypes="app*4028*20180114*"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4028 --swversion DE.1.0.9.0 --startMP 204:781 --initTime 2018-01-14T02:51:33 --startdatetime 2018-01-14T03:15:24 --delay 71 --endMP 204:233303 --enddatetime 2018-01-14T03:49:32 --enforcementcount 0 &gt;&gt;%USERPROFILE%\Documents\GitHub\eaglep3-reporting\EC\2018-01-14-refined-times.txt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{"issue":{"subject":"","project_id":79,"tracker_id":40,"status_id":1,"priority_id":2,"assigned_to_id":338,"start_date":"2018-01-14","description":"","custom_fields":[{"id":1,"name":"Subdivision","value":"EC"},{"id":4,"name":"Milepost","value":"23.3303"},{"id":17,"name":"Train ID","value":"101-14"},{"id":16,"name":"Locomotive ID","value":"4028"},{"id":130,"name":"Impact","value":""},{"id":150,"name":"Time of Event (Mountain Time)","value":"03:49:32"},{"id":151,"name":"Denver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4028 --day 2018-01-14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-14T01:51:33-0700',mode:absolute,to:'2018-01-14T04:49:32-0700'))&amp;_a=(columns:!('Message%20ID',Summary),filters:!(),index:'emp_*',interval:auto,query:(query_string:(analyze_wildcard:!t,query:'%22rtdc.l.rtdc.4028%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714</v>
      </c>
      <c r="B14" s="225">
        <v>4027</v>
      </c>
      <c r="C14" s="227" t="s">
        <v>191</v>
      </c>
      <c r="D14" s="227" t="s">
        <v>913</v>
      </c>
      <c r="E14" s="226">
        <v>43114.160486111112</v>
      </c>
      <c r="F14" s="226">
        <v>43114.175196759257</v>
      </c>
      <c r="G14" s="225">
        <v>50</v>
      </c>
      <c r="H14" s="227" t="s">
        <v>541</v>
      </c>
      <c r="I14" s="226">
        <v>43114.199976851851</v>
      </c>
      <c r="J14" s="225">
        <v>0</v>
      </c>
      <c r="K14" s="237" t="str">
        <f>IF(ISEVEN(B14),(B14-1)&amp;"/"&amp;B14,B14&amp;"/"&amp;(B14+1))</f>
        <v>4027/4028</v>
      </c>
      <c r="L14" s="245" t="str">
        <f>VLOOKUP(A14,'Trips&amp;Operators'!$C$1:$G$99911,5,FALSE)</f>
        <v>YORK EDGAR</v>
      </c>
      <c r="M14" s="224">
        <f>I14-F14</f>
        <v>2.4780092593573499E-2</v>
      </c>
      <c r="N14" s="225">
        <f>24*60*SUM($M14:$M14)</f>
        <v>35.683333334745839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-14T02:51:06-0700',mode:absolute,to:'2018-01-14T05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23.296700000000001</v>
      </c>
      <c r="Z14" s="247">
        <f>RIGHT(H14,LEN(H14)-4)/10000</f>
        <v>1.6E-2</v>
      </c>
      <c r="AA14" s="247">
        <f>ABS(Z14-Y14)</f>
        <v>23.280700000000003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/stypes="app*4027*20180114*"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4027 --swversion DE.1.0.9.0 --startMP 204:232967 --initTime 2018-01-14T03:51:06 --startdatetime 2018-01-14T04:12:17 --delay 50 --endMP 204:160 --enddatetime 2018-01-14T04:47:58 --enforcementcount 0 &gt;&gt;%USERPROFILE%\Documents\GitHub\eaglep3-reporting\EC\2018-01-14-refined-times.txt</v>
      </c>
      <c r="AI14" s="238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{"issue":{"subject":"","project_id":79,"tracker_id":40,"status_id":1,"priority_id":2,"assigned_to_id":338,"start_date":"2018-01-14","description":"","custom_fields":[{"id":1,"name":"Subdivision","value":"EC"},{"id":4,"name":"Milepost","value":"0.016"},{"id":17,"name":"Train ID","value":"102-14"},{"id":16,"name":"Locomotive ID","value":"4027"},{"id":130,"name":"Impact","value":""},{"id":150,"name":"Time of Event (Mountain Time)","value":"04:47:58"},{"id":151,"name":"Denver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7">"start /low /b "&amp;dls3logs&amp;" --loco "&amp;B14&amp;" --day "&amp;TEXT(F14,"YYYY-MM-DD")</f>
        <v>start /low /b %USERPROFILE%\Documents\GitHub\eaglep3\Utilities\DownloadLogsFromS3.py --loco 4027 --day 2018-01-14</v>
      </c>
      <c r="AN14" s="24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11:47:58"},{"id":29,"name":"Sharepoint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-14T02:51:06-0700',mode:absolute,to:'2018-01-14T05:47:58-0700'))&amp;_a=(columns:!('Message%20ID',Summary),filters:!(),index:'emp_*',interval:auto,query:(query_string:(analyze_wildcard:!t,query:'%22rtdc.l.rtdc.4027%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711</v>
      </c>
      <c r="B15" s="225">
        <v>4018</v>
      </c>
      <c r="C15" s="227" t="s">
        <v>191</v>
      </c>
      <c r="D15" s="227" t="s">
        <v>472</v>
      </c>
      <c r="E15" s="226">
        <v>43114.150057870371</v>
      </c>
      <c r="F15" s="226">
        <v>43114.156412037039</v>
      </c>
      <c r="G15" s="225">
        <v>99</v>
      </c>
      <c r="H15" s="227" t="s">
        <v>914</v>
      </c>
      <c r="I15" s="226">
        <v>43114.181701388887</v>
      </c>
      <c r="J15" s="225">
        <v>0</v>
      </c>
      <c r="K15" s="237" t="str">
        <f>IF(ISEVEN(B15),(B15-1)&amp;"/"&amp;B15,B15&amp;"/"&amp;(B15+1))</f>
        <v>4017/4018</v>
      </c>
      <c r="L15" s="245" t="str">
        <f>VLOOKUP(A15,'Trips&amp;Operators'!$C$1:$G$99911,5,FALSE)</f>
        <v>WILLIAMS DONTE</v>
      </c>
      <c r="M15" s="224">
        <f>I15-F15</f>
        <v>2.5289351848186925E-2</v>
      </c>
      <c r="N15" s="225">
        <f>24*60*SUM($M15:$M15)</f>
        <v>36.416666661389172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-14T02:36:05-0700',mode:absolute,to:'2018-01-14T05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4.9500000000000002E-2</v>
      </c>
      <c r="Z15" s="247">
        <f>RIGHT(H15,LEN(H15)-4)/10000</f>
        <v>23.323799999999999</v>
      </c>
      <c r="AA15" s="247">
        <f>ABS(Z15-Y15)</f>
        <v>23.2743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/stypes="app*4018*20180114*"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103-14 --locoid 4018 --swversion DE.1.0.9.0 --startMP 204:495 --initTime 2018-01-14T03:36:05 --startdatetime 2018-01-14T03:45:14 --delay 99 --endMP 204:233238 --enddatetime 2018-01-14T04:21:39 --enforcementcount 0 &gt;&gt;%USERPROFILE%\Documents\GitHub\eaglep3-reporting\EC\2018-01-14-refined-times.txt</v>
      </c>
      <c r="AI1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{"issue":{"subject":"","project_id":79,"tracker_id":40,"status_id":1,"priority_id":2,"assigned_to_id":338,"start_date":"2018-01-14","description":"","custom_fields":[{"id":1,"name":"Subdivision","value":"EC"},{"id":4,"name":"Milepost","value":"23.3238"},{"id":17,"name":"Train ID","value":"103-14"},{"id":16,"name":"Locomotive ID","value":"4018"},{"id":130,"name":"Impact","value":""},{"id":150,"name":"Time of Event (Mountain Time)","value":"04:21:39"},{"id":151,"name":"Denver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4018 --day 2018-01-14</v>
      </c>
      <c r="AN1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11:21:39"},{"id":29,"name":"Sharepoint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-14T02:36:05-0700',mode:absolute,to:'2018-01-14T05:21:39-0700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719</v>
      </c>
      <c r="B16" s="225">
        <v>4017</v>
      </c>
      <c r="C16" s="227" t="s">
        <v>191</v>
      </c>
      <c r="D16" s="227" t="s">
        <v>915</v>
      </c>
      <c r="E16" s="226">
        <v>43114.191979166666</v>
      </c>
      <c r="F16" s="226">
        <v>43114.196006944447</v>
      </c>
      <c r="G16" s="225">
        <v>87</v>
      </c>
      <c r="H16" s="227" t="s">
        <v>916</v>
      </c>
      <c r="I16" s="226">
        <v>43114.221736111111</v>
      </c>
      <c r="J16" s="225">
        <v>0</v>
      </c>
      <c r="K16" s="237" t="str">
        <f>IF(ISEVEN(B16),(B16-1)&amp;"/"&amp;B16,B16&amp;"/"&amp;(B16+1))</f>
        <v>4017/4018</v>
      </c>
      <c r="L16" s="245" t="str">
        <f>VLOOKUP(A16,'Trips&amp;Operators'!$C$1:$G$99911,5,FALSE)</f>
        <v>WILLIAMS DONTE</v>
      </c>
      <c r="M16" s="224">
        <f>I16-F16</f>
        <v>2.5729166663950309E-2</v>
      </c>
      <c r="N16" s="225">
        <f>24*60*SUM($M16:$M16)</f>
        <v>37.049999996088445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-14T03:36:27-0700',mode:absolute,to:'2018-01-14T06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23.293600000000001</v>
      </c>
      <c r="Z16" s="247">
        <f>RIGHT(H16,LEN(H16)-4)/10000</f>
        <v>1.9400000000000001E-2</v>
      </c>
      <c r="AA16" s="247">
        <f>ABS(Z16-Y16)</f>
        <v>23.2742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/stypes="app*4017*20180114*"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104-14 --locoid 4017 --swversion DE.1.0.9.0 --startMP 204:232936 --initTime 2018-01-14T04:36:27 --startdatetime 2018-01-14T04:42:15 --delay 87 --endMP 204:194 --enddatetime 2018-01-14T05:19:18 --enforcementcount 0 &gt;&gt;%USERPROFILE%\Documents\GitHub\eaglep3-reporting\EC\2018-01-14-refined-times.txt</v>
      </c>
      <c r="AI1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{"issue":{"subject":"","project_id":79,"tracker_id":40,"status_id":1,"priority_id":2,"assigned_to_id":338,"start_date":"2018-01-14","description":"","custom_fields":[{"id":1,"name":"Subdivision","value":"EC"},{"id":4,"name":"Milepost","value":"0.0194"},{"id":17,"name":"Train ID","value":"104-14"},{"id":16,"name":"Locomotive ID","value":"4017"},{"id":130,"name":"Impact","value":""},{"id":150,"name":"Time of Event (Mountain Time)","value":"05:19:18"},{"id":151,"name":"Denver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4017 --day 2018-01-14</v>
      </c>
      <c r="AN1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-14T03:36:27-0700',mode:absolute,to:'2018-01-14T06:19:18-0700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715</v>
      </c>
      <c r="B17" s="225">
        <v>4050</v>
      </c>
      <c r="C17" s="227" t="s">
        <v>191</v>
      </c>
      <c r="D17" s="227" t="s">
        <v>917</v>
      </c>
      <c r="E17" s="226">
        <v>43114.165486111109</v>
      </c>
      <c r="F17" s="226">
        <v>43114.177256944444</v>
      </c>
      <c r="G17" s="225">
        <v>67</v>
      </c>
      <c r="H17" s="227" t="s">
        <v>918</v>
      </c>
      <c r="I17" s="226">
        <v>43114.201666666668</v>
      </c>
      <c r="J17" s="225">
        <v>0</v>
      </c>
      <c r="K17" s="237" t="str">
        <f>IF(ISEVEN(B17),(B17-1)&amp;"/"&amp;B17,B17&amp;"/"&amp;(B17+1))</f>
        <v>4049/4050</v>
      </c>
      <c r="L17" s="245" t="str">
        <f>VLOOKUP(A17,'Trips&amp;Operators'!$C$1:$G$99911,5,FALSE)</f>
        <v>GUZMAN DANNY</v>
      </c>
      <c r="M17" s="224">
        <f>I17-F17</f>
        <v>2.4409722223936114E-2</v>
      </c>
      <c r="N17" s="225">
        <f>24*60*SUM($M17:$M17)</f>
        <v>35.150000002468005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-14T02:58:18-0700',mode:absolute,to:'2018-01-14T05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4.6199999999999998E-2</v>
      </c>
      <c r="Z17" s="247">
        <f>RIGHT(H17,LEN(H17)-4)/10000</f>
        <v>23.337199999999999</v>
      </c>
      <c r="AA17" s="247">
        <f>ABS(Z17-Y17)</f>
        <v>23.291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/stypes="app*4050*20180114*"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105-14 --locoid 4050 --swversion DE.1.0.9.0 --startMP 204:462 --initTime 2018-01-14T03:58:18 --startdatetime 2018-01-14T04:15:15 --delay 67 --endMP 204:233372 --enddatetime 2018-01-14T04:50:24 --enforcementcount 0 &gt;&gt;%USERPROFILE%\Documents\GitHub\eaglep3-reporting\EC\2018-01-14-refined-times.txt</v>
      </c>
      <c r="AI1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{"issue":{"subject":"","project_id":79,"tracker_id":40,"status_id":1,"priority_id":2,"assigned_to_id":338,"start_date":"2018-01-14","description":"","custom_fields":[{"id":1,"name":"Subdivision","value":"EC"},{"id":4,"name":"Milepost","value":"23.3372"},{"id":17,"name":"Train ID","value":"105-14"},{"id":16,"name":"Locomotive ID","value":"4050"},{"id":130,"name":"Impact","value":""},{"id":150,"name":"Time of Event (Mountain Time)","value":"04:50:24"},{"id":151,"name":"Denver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4050 --day 2018-01-14</v>
      </c>
      <c r="AN1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11:50:24"},{"id":29,"name":"Sharepoint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-14T02:58:18-0700',mode:absolute,to:'2018-01-14T05:50:24-0700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722</v>
      </c>
      <c r="B18" s="225">
        <v>4049</v>
      </c>
      <c r="C18" s="227" t="s">
        <v>191</v>
      </c>
      <c r="D18" s="227" t="s">
        <v>657</v>
      </c>
      <c r="E18" s="226">
        <v>43114.202743055554</v>
      </c>
      <c r="F18" s="226">
        <v>43114.216840277775</v>
      </c>
      <c r="G18" s="225">
        <v>50</v>
      </c>
      <c r="H18" s="227" t="s">
        <v>919</v>
      </c>
      <c r="I18" s="226">
        <v>43114.2422337963</v>
      </c>
      <c r="J18" s="225">
        <v>0</v>
      </c>
      <c r="K18" s="237" t="str">
        <f>IF(ISEVEN(B18),(B18-1)&amp;"/"&amp;B18,B18&amp;"/"&amp;(B18+1))</f>
        <v>4049/4050</v>
      </c>
      <c r="L18" s="245" t="str">
        <f>VLOOKUP(A18,'Trips&amp;Operators'!$C$1:$G$99911,5,FALSE)</f>
        <v>GUZMAN DANNY</v>
      </c>
      <c r="M18" s="224">
        <f>I18-F18</f>
        <v>2.5393518524651881E-2</v>
      </c>
      <c r="N18" s="225">
        <f>24*60*SUM($M18:$M18)</f>
        <v>36.566666675498709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-14T03:51:57-0700',mode:absolute,to:'2018-01-14T06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23.305299999999999</v>
      </c>
      <c r="Z18" s="247">
        <f>RIGHT(H18,LEN(H18)-4)/10000</f>
        <v>1.7399999999999999E-2</v>
      </c>
      <c r="AA18" s="247">
        <f>ABS(Z18-Y18)</f>
        <v>23.2879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/stypes="app*4049*20180114*"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106-14 --locoid 4049 --swversion DE.1.0.9.0 --startMP 204:233053 --initTime 2018-01-14T04:51:57 --startdatetime 2018-01-14T05:12:15 --delay 50 --endMP 204:174 --enddatetime 2018-01-14T05:48:49 --enforcementcount 0 &gt;&gt;%USERPROFILE%\Documents\GitHub\eaglep3-reporting\EC\2018-01-14-refined-times.txt</v>
      </c>
      <c r="AI1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{"issue":{"subject":"","project_id":79,"tracker_id":40,"status_id":1,"priority_id":2,"assigned_to_id":338,"start_date":"2018-01-14","description":"","custom_fields":[{"id":1,"name":"Subdivision","value":"EC"},{"id":4,"name":"Milepost","value":"0.0174"},{"id":17,"name":"Train ID","value":"106-14"},{"id":16,"name":"Locomotive ID","value":"4049"},{"id":130,"name":"Impact","value":""},{"id":150,"name":"Time of Event (Mountain Time)","value":"05:48:49"},{"id":151,"name":"Denver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4049 --day 2018-01-14</v>
      </c>
      <c r="AN1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-14T03:51:57-0700',mode:absolute,to:'2018-01-14T06:48:49-0700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717</v>
      </c>
      <c r="B19" s="225">
        <v>4022</v>
      </c>
      <c r="C19" s="227" t="s">
        <v>191</v>
      </c>
      <c r="D19" s="227" t="s">
        <v>642</v>
      </c>
      <c r="E19" s="226">
        <v>43114.178055555552</v>
      </c>
      <c r="F19" s="226">
        <v>43114.187719907408</v>
      </c>
      <c r="G19" s="225">
        <v>64</v>
      </c>
      <c r="H19" s="227" t="s">
        <v>626</v>
      </c>
      <c r="I19" s="226">
        <v>43114.212893518517</v>
      </c>
      <c r="J19" s="225">
        <v>0</v>
      </c>
      <c r="K19" s="237" t="str">
        <f>IF(ISEVEN(B19),(B19-1)&amp;"/"&amp;B19,B19&amp;"/"&amp;(B19+1))</f>
        <v>4021/4022</v>
      </c>
      <c r="L19" s="245" t="str">
        <f>VLOOKUP(A19,'Trips&amp;Operators'!$C$1:$G$99911,5,FALSE)</f>
        <v>DAVIDSON DAVID</v>
      </c>
      <c r="M19" s="224">
        <f>I19-F19</f>
        <v>2.5173611109494232E-2</v>
      </c>
      <c r="N19" s="225">
        <f>24*60*SUM($M19:$M19)</f>
        <v>36.249999997671694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-14T03:16:24-0700',mode:absolute,to:'2018-01-14T06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5.1299999999999998E-2</v>
      </c>
      <c r="Z19" s="247">
        <f>RIGHT(H19,LEN(H19)-4)/10000</f>
        <v>23.328700000000001</v>
      </c>
      <c r="AA19" s="247">
        <f>ABS(Z19-Y19)</f>
        <v>23.2774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/stypes="app*4022*20180114*"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107-14 --locoid 4022 --swversion DE.1.0.9.0 --startMP 204:513 --initTime 2018-01-14T04:16:24 --startdatetime 2018-01-14T04:30:19 --delay 64 --endMP 204:233287 --enddatetime 2018-01-14T05:06:34 --enforcementcount 0 &gt;&gt;%USERPROFILE%\Documents\GitHub\eaglep3-reporting\EC\2018-01-14-refined-times.txt</v>
      </c>
      <c r="AI1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{"issue":{"subject":"","project_id":79,"tracker_id":40,"status_id":1,"priority_id":2,"assigned_to_id":338,"start_date":"2018-01-14","description":"","custom_fields":[{"id":1,"name":"Subdivision","value":"EC"},{"id":4,"name":"Milepost","value":"23.3287"},{"id":17,"name":"Train ID","value":"107-14"},{"id":16,"name":"Locomotive ID","value":"4022"},{"id":130,"name":"Impact","value":""},{"id":150,"name":"Time of Event (Mountain Time)","value":"05:06:34"},{"id":151,"name":"Denver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4022 --day 2018-01-14</v>
      </c>
      <c r="AN1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-14T03:16:24-0700',mode:absolute,to:'2018-01-14T06:06:34-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725</v>
      </c>
      <c r="B20" s="225">
        <v>4021</v>
      </c>
      <c r="C20" s="227" t="s">
        <v>191</v>
      </c>
      <c r="D20" s="227" t="s">
        <v>484</v>
      </c>
      <c r="E20" s="226">
        <v>43114.214212962965</v>
      </c>
      <c r="F20" s="226">
        <v>43114.227303240739</v>
      </c>
      <c r="G20" s="225">
        <v>65</v>
      </c>
      <c r="H20" s="227" t="s">
        <v>920</v>
      </c>
      <c r="I20" s="226">
        <v>43114.254004629627</v>
      </c>
      <c r="J20" s="225">
        <v>0</v>
      </c>
      <c r="K20" s="237" t="str">
        <f>IF(ISEVEN(B20),(B20-1)&amp;"/"&amp;B20,B20&amp;"/"&amp;(B20+1))</f>
        <v>4021/4022</v>
      </c>
      <c r="L20" s="245" t="str">
        <f>VLOOKUP(A20,'Trips&amp;Operators'!$C$1:$G$99911,5,FALSE)</f>
        <v>DAVIDSON DAVID</v>
      </c>
      <c r="M20" s="224">
        <f>I20-F20</f>
        <v>2.6701388887886424E-2</v>
      </c>
      <c r="N20" s="225">
        <f>24*60*SUM($M20:$M20)</f>
        <v>38.44999999855645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-14T04:08:28-0700',mode:absolute,to:'2018-01-14T07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23.296399999999998</v>
      </c>
      <c r="Z20" s="247">
        <f>RIGHT(H20,LEN(H20)-4)/10000</f>
        <v>2.3800000000000002E-2</v>
      </c>
      <c r="AA20" s="247">
        <f>ABS(Z20-Y20)</f>
        <v>23.272599999999997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/stypes="app*4021*20180114*"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108-14 --locoid 4021 --swversion DE.1.0.9.0 --startMP 204:232964 --initTime 2018-01-14T05:08:28 --startdatetime 2018-01-14T05:27:19 --delay 65 --endMP 204:238 --enddatetime 2018-01-14T06:05:46 --enforcementcount 0 &gt;&gt;%USERPROFILE%\Documents\GitHub\eaglep3-reporting\EC\2018-01-14-refined-times.txt</v>
      </c>
      <c r="AI2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{"issue":{"subject":"","project_id":79,"tracker_id":40,"status_id":1,"priority_id":2,"assigned_to_id":338,"start_date":"2018-01-14","description":"","custom_fields":[{"id":1,"name":"Subdivision","value":"EC"},{"id":4,"name":"Milepost","value":"0.0238"},{"id":17,"name":"Train ID","value":"108-14"},{"id":16,"name":"Locomotive ID","value":"4021"},{"id":130,"name":"Impact","value":""},{"id":150,"name":"Time of Event (Mountain Time)","value":"06:05:46"},{"id":151,"name":"Denver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4021 --day 2018-01-14</v>
      </c>
      <c r="AN2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-14T04:08:28-0700',mode:absolute,to:'2018-01-14T07:05:46-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720</v>
      </c>
      <c r="B21" s="225">
        <v>4040</v>
      </c>
      <c r="C21" s="227" t="s">
        <v>191</v>
      </c>
      <c r="D21" s="227" t="s">
        <v>667</v>
      </c>
      <c r="E21" s="226">
        <v>43114.193506944444</v>
      </c>
      <c r="F21" s="226">
        <v>43114.198101851849</v>
      </c>
      <c r="G21" s="225">
        <v>93</v>
      </c>
      <c r="H21" s="227" t="s">
        <v>921</v>
      </c>
      <c r="I21" s="226">
        <v>43114.222916666666</v>
      </c>
      <c r="J21" s="225">
        <v>0</v>
      </c>
      <c r="K21" s="237" t="str">
        <f>IF(ISEVEN(B21),(B21-1)&amp;"/"&amp;B21,B21&amp;"/"&amp;(B21+1))</f>
        <v>4039/4040</v>
      </c>
      <c r="L21" s="245" t="str">
        <f>VLOOKUP(A21,'Trips&amp;Operators'!$C$1:$G$99911,5,FALSE)</f>
        <v>GEBRETEKLE DAGNEW</v>
      </c>
      <c r="M21" s="224">
        <f>I21-F21</f>
        <v>2.4814814816636499E-2</v>
      </c>
      <c r="N21" s="225">
        <f>24*60*SUM($M21:$M21)</f>
        <v>35.733333335956559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-14T03:38:39-0700',mode:absolute,to:'2018-01-14T06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4.82E-2</v>
      </c>
      <c r="Z21" s="247">
        <f>RIGHT(H21,LEN(H21)-4)/10000</f>
        <v>23.3337</v>
      </c>
      <c r="AA21" s="247">
        <f>ABS(Z21-Y21)</f>
        <v>23.285499999999999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/stypes="app*4040*20180114*"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109-14 --locoid 4040 --swversion DE.1.0.9.0 --startMP 204:482 --initTime 2018-01-14T04:38:39 --startdatetime 2018-01-14T04:45:16 --delay 93 --endMP 204:233337 --enddatetime 2018-01-14T05:21:00 --enforcementcount 0 &gt;&gt;%USERPROFILE%\Documents\GitHub\eaglep3-reporting\EC\2018-01-14-refined-times.txt</v>
      </c>
      <c r="AI2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{"issue":{"subject":"","project_id":79,"tracker_id":40,"status_id":1,"priority_id":2,"assigned_to_id":338,"start_date":"2018-01-14","description":"","custom_fields":[{"id":1,"name":"Subdivision","value":"EC"},{"id":4,"name":"Milepost","value":"23.3337"},{"id":17,"name":"Train ID","value":"109-14"},{"id":16,"name":"Locomotive ID","value":"4040"},{"id":130,"name":"Impact","value":""},{"id":150,"name":"Time of Event (Mountain Time)","value":"05:21:00"},{"id":151,"name":"Denver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4040 --day 2018-01-14</v>
      </c>
      <c r="AN2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-14T03:38:39-0700',mode:absolute,to:'2018-01-14T06:21:00-0700'))&amp;_a=(columns:!('Message%20ID',Summary),filters:!(),index:'emp_*',interval:auto,query:(query_string:(analyze_wildcard:!t,query:'%22rtdc.l.rtdc.4040%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729</v>
      </c>
      <c r="B22" s="225">
        <v>4039</v>
      </c>
      <c r="C22" s="227" t="s">
        <v>191</v>
      </c>
      <c r="D22" s="227" t="s">
        <v>632</v>
      </c>
      <c r="E22" s="226">
        <v>43114.224212962959</v>
      </c>
      <c r="F22" s="226">
        <v>43114.237708333334</v>
      </c>
      <c r="G22" s="225">
        <v>51</v>
      </c>
      <c r="H22" s="227" t="s">
        <v>643</v>
      </c>
      <c r="I22" s="226">
        <v>43114.263437499998</v>
      </c>
      <c r="J22" s="225">
        <v>0</v>
      </c>
      <c r="K22" s="237" t="str">
        <f>IF(ISEVEN(B22),(B22-1)&amp;"/"&amp;B22,B22&amp;"/"&amp;(B22+1))</f>
        <v>4039/4040</v>
      </c>
      <c r="L22" s="245" t="str">
        <f>VLOOKUP(A22,'Trips&amp;Operators'!$C$1:$G$99911,5,FALSE)</f>
        <v>GEBRETEKLE DAGNEW</v>
      </c>
      <c r="M22" s="224">
        <f>I22-F22</f>
        <v>2.5729166663950309E-2</v>
      </c>
      <c r="N22" s="225">
        <f>24*60*SUM($M22:$M22)</f>
        <v>37.049999996088445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-14T04:22:52-0700',mode:absolute,to:'2018-01-14T07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23.302499999999998</v>
      </c>
      <c r="Z22" s="247">
        <f>RIGHT(H22,LEN(H22)-4)/10000</f>
        <v>1.7000000000000001E-2</v>
      </c>
      <c r="AA22" s="247">
        <f>ABS(Z22-Y22)</f>
        <v>23.285499999999999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/stypes="app*4039*20180114*"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110-14 --locoid 4039 --swversion DE.1.0.9.0 --startMP 204:233025 --initTime 2018-01-14T05:22:52 --startdatetime 2018-01-14T05:42:18 --delay 51 --endMP 204:170 --enddatetime 2018-01-14T06:19:21 --enforcementcount 0 &gt;&gt;%USERPROFILE%\Documents\GitHub\eaglep3-reporting\EC\2018-01-14-refined-times.txt</v>
      </c>
      <c r="AI2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{"issue":{"subject":"","project_id":79,"tracker_id":40,"status_id":1,"priority_id":2,"assigned_to_id":338,"start_date":"2018-01-14","description":"","custom_fields":[{"id":1,"name":"Subdivision","value":"EC"},{"id":4,"name":"Milepost","value":"0.017"},{"id":17,"name":"Train ID","value":"110-14"},{"id":16,"name":"Locomotive ID","value":"4039"},{"id":130,"name":"Impact","value":""},{"id":150,"name":"Time of Event (Mountain Time)","value":"06:19:21"},{"id":151,"name":"Denver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4039 --day 2018-01-14</v>
      </c>
      <c r="AN2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-14T04:22:52-0700',mode:absolute,to:'2018-01-14T07:19:21-0700'))&amp;_a=(columns:!('Message%20ID',Summary),filters:!(),index:'emp_*',interval:auto,query:(query_string:(analyze_wildcard:!t,query:'%22rtdc.l.rtdc.4039%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721</v>
      </c>
      <c r="B23" s="225">
        <v>4028</v>
      </c>
      <c r="C23" s="227" t="s">
        <v>191</v>
      </c>
      <c r="D23" s="227" t="s">
        <v>922</v>
      </c>
      <c r="E23" s="226">
        <v>43114.201307870368</v>
      </c>
      <c r="F23" s="226">
        <v>43114.208622685182</v>
      </c>
      <c r="G23" s="225">
        <v>44</v>
      </c>
      <c r="H23" s="227" t="s">
        <v>923</v>
      </c>
      <c r="I23" s="226">
        <v>43114.232858796298</v>
      </c>
      <c r="J23" s="225">
        <v>0</v>
      </c>
      <c r="K23" s="237" t="str">
        <f>IF(ISEVEN(B23),(B23-1)&amp;"/"&amp;B23,B23&amp;"/"&amp;(B23+1))</f>
        <v>4027/4028</v>
      </c>
      <c r="L23" s="245" t="str">
        <f>VLOOKUP(A23,'Trips&amp;Operators'!$C$1:$G$99911,5,FALSE)</f>
        <v>YORK EDGAR</v>
      </c>
      <c r="M23" s="224">
        <f>I23-F23</f>
        <v>2.4236111115897074E-2</v>
      </c>
      <c r="N23" s="225">
        <f>24*60*SUM($M23:$M23)</f>
        <v>34.900000006891787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-14T03:49:53-0700',mode:absolute,to:'2018-01-14T06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4.7800000000000002E-2</v>
      </c>
      <c r="Z23" s="247">
        <f>RIGHT(H23,LEN(H23)-4)/10000</f>
        <v>23.330200000000001</v>
      </c>
      <c r="AA23" s="247">
        <f>ABS(Z23-Y23)</f>
        <v>23.282400000000003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/stypes="app*4028*20180114*"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111-14 --locoid 4028 --swversion DE.1.0.9.0 --startMP 204:478 --initTime 2018-01-14T04:49:53 --startdatetime 2018-01-14T05:00:25 --delay 44 --endMP 204:233302 --enddatetime 2018-01-14T05:35:19 --enforcementcount 0 &gt;&gt;%USERPROFILE%\Documents\GitHub\eaglep3-reporting\EC\2018-01-14-refined-times.txt</v>
      </c>
      <c r="AI2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{"issue":{"subject":"","project_id":79,"tracker_id":40,"status_id":1,"priority_id":2,"assigned_to_id":338,"start_date":"2018-01-14","description":"","custom_fields":[{"id":1,"name":"Subdivision","value":"EC"},{"id":4,"name":"Milepost","value":"23.3302"},{"id":17,"name":"Train ID","value":"111-14"},{"id":16,"name":"Locomotive ID","value":"4028"},{"id":130,"name":"Impact","value":""},{"id":150,"name":"Time of Event (Mountain Time)","value":"05:35:19"},{"id":151,"name":"Denver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4028 --day 2018-01-14</v>
      </c>
      <c r="AN2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-14T03:49:53-0700',mode:absolute,to:'2018-01-14T06:35:19-0700'))&amp;_a=(columns:!('Message%20ID',Summary),filters:!(),index:'emp_*',interval:auto,query:(query_string:(analyze_wildcard:!t,query:'%22rtdc.l.rtdc.4028%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731</v>
      </c>
      <c r="B24" s="225">
        <v>4027</v>
      </c>
      <c r="C24" s="227" t="s">
        <v>191</v>
      </c>
      <c r="D24" s="227" t="s">
        <v>549</v>
      </c>
      <c r="E24" s="226">
        <v>43114.23400462963</v>
      </c>
      <c r="F24" s="226">
        <v>43114.248472222222</v>
      </c>
      <c r="G24" s="225">
        <v>43</v>
      </c>
      <c r="H24" s="227" t="s">
        <v>643</v>
      </c>
      <c r="I24" s="226">
        <v>43114.273935185185</v>
      </c>
      <c r="J24" s="225">
        <v>0</v>
      </c>
      <c r="K24" s="237" t="str">
        <f>IF(ISEVEN(B24),(B24-1)&amp;"/"&amp;B24,B24&amp;"/"&amp;(B24+1))</f>
        <v>4027/4028</v>
      </c>
      <c r="L24" s="245" t="str">
        <f>VLOOKUP(A24,'Trips&amp;Operators'!$C$1:$G$99911,5,FALSE)</f>
        <v>YORK EDGAR</v>
      </c>
      <c r="M24" s="224">
        <f>I24-F24</f>
        <v>2.5462962963501923E-2</v>
      </c>
      <c r="N24" s="225">
        <f>24*60*SUM($M24:$M24)</f>
        <v>36.666666667442769</v>
      </c>
      <c r="O24" s="225"/>
      <c r="P24" s="225"/>
      <c r="Q24" s="228"/>
      <c r="R24" s="242" t="s">
        <v>1066</v>
      </c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-14T04:36:58-0700',mode:absolute,to:'2018-01-14T07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23.2987</v>
      </c>
      <c r="Z24" s="247">
        <f>RIGHT(H24,LEN(H24)-4)/10000</f>
        <v>1.7000000000000001E-2</v>
      </c>
      <c r="AA24" s="247">
        <f>ABS(Z24-Y24)</f>
        <v>23.281700000000001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/stypes="app*4027*20180114*"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112-14 --locoid 4027 --swversion DE.1.0.9.0 --startMP 204:232987 --initTime 2018-01-14T05:36:58 --startdatetime 2018-01-14T05:57:48 --delay 43 --endMP 204:170 --enddatetime 2018-01-14T06:34:28 --enforcementcount 0 &gt;&gt;%USERPROFILE%\Documents\GitHub\eaglep3-reporting\EC\2018-01-14-refined-times.txt</v>
      </c>
      <c r="AI24" s="238" t="str">
        <f t="shared" si="6"/>
        <v>echo {"issue":{"subject":"Run completed, observed wheel tach slip/slide","project_id":79,"tracker_id":40,"status_id":1,"priority_id":2,"assigned_to_id":338,"start_date":"2018-01-14","description":"","custom_fields":[{"id":1,"name":"Subdivision","value":"EC"},{"id":4,"name":"Milepost","value":"0.017"},{"id":17,"name":"Train ID","value":"112-14"},{"id":16,"name":"Locomotive ID","value":"4027"},{"id":130,"name":"Impact","value":""},{"id":150,"name":"Time of Event (Mountain Time)","value":"06:34:28"},{"id":151,"name":"Denver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4027 --day 2018-01-14</v>
      </c>
      <c r="AN24" s="241" t="str">
        <f t="shared" si="8"/>
        <v>echo {"issue":{"subject":"Run completed, observed wheel tach slip/slide","project_id":30,"tracker_id":4,"status_id":1,"priority_id":1,"assigned_to_id":10,"start_date":"2018-01-14","description":"","custom_fields":[{"id":30,"name":"Category","value":"Issue"},{"id":3,"name":"Functional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-14T04:36:58-0700',mode:absolute,to:'2018-01-14T07:34:28-0700'))&amp;_a=(columns:!('Message%20ID',Summary),filters:!(),index:'emp_*',interval:auto,query:(query_string:(analyze_wildcard:!t,query:'%22rtdc.l.rtdc.4027%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726</v>
      </c>
      <c r="B25" s="225">
        <v>4026</v>
      </c>
      <c r="C25" s="227" t="s">
        <v>191</v>
      </c>
      <c r="D25" s="227" t="s">
        <v>439</v>
      </c>
      <c r="E25" s="226">
        <v>43114.216446759259</v>
      </c>
      <c r="F25" s="226">
        <v>43114.218969907408</v>
      </c>
      <c r="G25" s="225">
        <v>74</v>
      </c>
      <c r="H25" s="227" t="s">
        <v>924</v>
      </c>
      <c r="I25" s="226">
        <v>43114.24391203704</v>
      </c>
      <c r="J25" s="225">
        <v>0</v>
      </c>
      <c r="K25" s="237" t="str">
        <f>IF(ISEVEN(B25),(B25-1)&amp;"/"&amp;B25,B25&amp;"/"&amp;(B25+1))</f>
        <v>4025/4026</v>
      </c>
      <c r="L25" s="245" t="str">
        <f>VLOOKUP(A25,'Trips&amp;Operators'!$C$1:$G$99911,5,FALSE)</f>
        <v>LORI SANTOS</v>
      </c>
      <c r="M25" s="224">
        <f>I25-F25</f>
        <v>2.4942129632108845E-2</v>
      </c>
      <c r="N25" s="225">
        <f>24*60*SUM($M25:$M25)</f>
        <v>35.916666670236737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-14T04:11:41-0700',mode:absolute,to:'2018-01-14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5.1700000000000003E-2</v>
      </c>
      <c r="Z25" s="247">
        <f>RIGHT(H25,LEN(H25)-4)/10000</f>
        <v>23.3247</v>
      </c>
      <c r="AA25" s="247">
        <f>ABS(Z25-Y25)</f>
        <v>23.273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/stypes="app*4026*20180114*"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113-14 --locoid 4026 --swversion DE.1.0.9.0 --startMP 204:517 --initTime 2018-01-14T05:11:41 --startdatetime 2018-01-14T05:15:19 --delay 74 --endMP 204:233247 --enddatetime 2018-01-14T05:51:14 --enforcementcount 0 &gt;&gt;%USERPROFILE%\Documents\GitHub\eaglep3-reporting\EC\2018-01-14-refined-times.txt</v>
      </c>
      <c r="AI2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{"issue":{"subject":"","project_id":79,"tracker_id":40,"status_id":1,"priority_id":2,"assigned_to_id":338,"start_date":"2018-01-14","description":"","custom_fields":[{"id":1,"name":"Subdivision","value":"EC"},{"id":4,"name":"Milepost","value":"23.3247"},{"id":17,"name":"Train ID","value":"113-14"},{"id":16,"name":"Locomotive ID","value":"4026"},{"id":130,"name":"Impact","value":""},{"id":150,"name":"Time of Event (Mountain Time)","value":"05:51:14"},{"id":151,"name":"Denver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4026 --day 2018-01-14</v>
      </c>
      <c r="AN2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-14T04:11:41-0700',mode:absolute,to:'2018-01-14T06:51:14-0700'))&amp;_a=(columns:!('Message%20ID',Summary),filters:!(),index:'emp_*',interval:auto,query:(query_string:(analyze_wildcard:!t,query:'%22rtdc.l.rtdc.4026%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681</v>
      </c>
      <c r="B26" s="225">
        <v>4025</v>
      </c>
      <c r="C26" s="227" t="s">
        <v>191</v>
      </c>
      <c r="D26" s="227" t="s">
        <v>548</v>
      </c>
      <c r="E26" s="226">
        <v>43114.256226851852</v>
      </c>
      <c r="F26" s="226">
        <v>43114.258553240739</v>
      </c>
      <c r="G26" s="225">
        <v>58</v>
      </c>
      <c r="H26" s="227" t="s">
        <v>925</v>
      </c>
      <c r="I26" s="226">
        <v>43114.285763888889</v>
      </c>
      <c r="J26" s="225">
        <v>0</v>
      </c>
      <c r="K26" s="237" t="str">
        <f>IF(ISEVEN(B26),(B26-1)&amp;"/"&amp;B26,B26&amp;"/"&amp;(B26+1))</f>
        <v>4025/4026</v>
      </c>
      <c r="L26" s="245" t="str">
        <f>VLOOKUP(A26,'Trips&amp;Operators'!$C$1:$G$99911,5,FALSE)</f>
        <v>LORI SANTOS</v>
      </c>
      <c r="M26" s="224">
        <f>I26-F26</f>
        <v>2.7210648149775807E-2</v>
      </c>
      <c r="N26" s="225">
        <f>24*60*SUM($M26:$M26)</f>
        <v>39.183333335677162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-14T05:08:58-0700',mode:absolute,to:'2018-01-14T07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23.2925</v>
      </c>
      <c r="Z26" s="247">
        <f>RIGHT(H26,LEN(H26)-4)/10000</f>
        <v>2.52E-2</v>
      </c>
      <c r="AA26" s="247">
        <f>ABS(Z26-Y26)</f>
        <v>23.267299999999999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/stypes="app*4025*20180114*"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114-14 --locoid 4025 --swversion DE.1.0.9.0 --startMP 204:232925 --initTime 2018-01-14T06:08:58 --startdatetime 2018-01-14T06:12:19 --delay 58 --endMP 204:252 --enddatetime 2018-01-14T06:51:30 --enforcementcount 0 &gt;&gt;%USERPROFILE%\Documents\GitHub\eaglep3-reporting\EC\2018-01-14-refined-times.txt</v>
      </c>
      <c r="AI2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{"issue":{"subject":"","project_id":79,"tracker_id":40,"status_id":1,"priority_id":2,"assigned_to_id":338,"start_date":"2018-01-14","description":"","custom_fields":[{"id":1,"name":"Subdivision","value":"EC"},{"id":4,"name":"Milepost","value":"0.0252"},{"id":17,"name":"Train ID","value":"114-14"},{"id":16,"name":"Locomotive ID","value":"4025"},{"id":130,"name":"Impact","value":""},{"id":150,"name":"Time of Event (Mountain Time)","value":"06:51:30"},{"id":151,"name":"Denver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4025 --day 2018-01-14</v>
      </c>
      <c r="AN2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-14T05:08:58-0700',mode:absolute,to:'2018-01-14T07:51:30-0700'))&amp;_a=(columns:!('Message%20ID',Summary),filters:!(),index:'emp_*',interval:auto,query:(query_string:(analyze_wildcard:!t,query:'%22rtdc.l.rtdc.4025%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728</v>
      </c>
      <c r="B27" s="225">
        <v>4018</v>
      </c>
      <c r="C27" s="227" t="s">
        <v>191</v>
      </c>
      <c r="D27" s="227" t="s">
        <v>449</v>
      </c>
      <c r="E27" s="226">
        <v>43114.223553240743</v>
      </c>
      <c r="F27" s="226">
        <v>43114.229317129626</v>
      </c>
      <c r="G27" s="225">
        <v>77</v>
      </c>
      <c r="H27" s="227" t="s">
        <v>926</v>
      </c>
      <c r="I27" s="226">
        <v>43114.25440972222</v>
      </c>
      <c r="J27" s="225">
        <v>0</v>
      </c>
      <c r="K27" s="237" t="str">
        <f>IF(ISEVEN(B27),(B27-1)&amp;"/"&amp;B27,B27&amp;"/"&amp;(B27+1))</f>
        <v>4017/4018</v>
      </c>
      <c r="L27" s="245" t="str">
        <f>VLOOKUP(A27,'Trips&amp;Operators'!$C$1:$G$99911,5,FALSE)</f>
        <v>WILLIAMS DONTE</v>
      </c>
      <c r="M27" s="224">
        <f>I27-F27</f>
        <v>2.5092592593864538E-2</v>
      </c>
      <c r="N27" s="225">
        <f>24*60*SUM($M27:$M27)</f>
        <v>36.133333335164934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-14T04:21:55-0700',mode:absolute,to:'2018-01-14T07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4.9799999999999997E-2</v>
      </c>
      <c r="Z27" s="247">
        <f>RIGHT(H27,LEN(H27)-4)/10000</f>
        <v>23.325299999999999</v>
      </c>
      <c r="AA27" s="247">
        <f>ABS(Z27-Y27)</f>
        <v>23.275499999999997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/stypes="app*4018*20180114*"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115-14 --locoid 4018 --swversion DE.1.0.9.0 --startMP 204:498 --initTime 2018-01-14T05:21:55 --startdatetime 2018-01-14T05:30:13 --delay 77 --endMP 204:233253 --enddatetime 2018-01-14T06:06:21 --enforcementcount 0 &gt;&gt;%USERPROFILE%\Documents\GitHub\eaglep3-reporting\EC\2018-01-14-refined-times.txt</v>
      </c>
      <c r="AI2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{"issue":{"subject":"","project_id":79,"tracker_id":40,"status_id":1,"priority_id":2,"assigned_to_id":338,"start_date":"2018-01-14","description":"","custom_fields":[{"id":1,"name":"Subdivision","value":"EC"},{"id":4,"name":"Milepost","value":"23.3253"},{"id":17,"name":"Train ID","value":"115-14"},{"id":16,"name":"Locomotive ID","value":"4018"},{"id":130,"name":"Impact","value":""},{"id":150,"name":"Time of Event (Mountain Time)","value":"06:06:21"},{"id":151,"name":"Denver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4018 --day 2018-01-14</v>
      </c>
      <c r="AN2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-14T04:21:55-0700',mode:absolute,to:'2018-01-14T07:06:21-0700'))&amp;_a=(columns:!('Message%20ID',Summary),filters:!(),index:'emp_*',interval:auto,query:(query_string:(analyze_wildcard:!t,query:'%22rtdc.l.rtdc.4018%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735</v>
      </c>
      <c r="B28" s="225">
        <v>4017</v>
      </c>
      <c r="C28" s="227" t="s">
        <v>191</v>
      </c>
      <c r="D28" s="227" t="s">
        <v>514</v>
      </c>
      <c r="E28" s="226">
        <v>43114.264664351853</v>
      </c>
      <c r="F28" s="226">
        <v>43114.268923611111</v>
      </c>
      <c r="G28" s="225">
        <v>88</v>
      </c>
      <c r="H28" s="227" t="s">
        <v>536</v>
      </c>
      <c r="I28" s="226">
        <v>43114.294641203705</v>
      </c>
      <c r="J28" s="225">
        <v>0</v>
      </c>
      <c r="K28" s="237" t="str">
        <f>IF(ISEVEN(B28),(B28-1)&amp;"/"&amp;B28,B28&amp;"/"&amp;(B28+1))</f>
        <v>4017/4018</v>
      </c>
      <c r="L28" s="245" t="str">
        <f>VLOOKUP(A28,'Trips&amp;Operators'!$C$1:$G$99911,5,FALSE)</f>
        <v>WILLIAMS DONTE</v>
      </c>
      <c r="M28" s="224">
        <f>I28-F28</f>
        <v>2.5717592594446614E-2</v>
      </c>
      <c r="N28" s="225">
        <f>24*60*SUM($M28:$M28)</f>
        <v>37.033333336003125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-14T05:21:07-0700',mode:absolute,to:'2018-01-14T08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23.293800000000001</v>
      </c>
      <c r="Z28" s="247">
        <f>RIGHT(H28,LEN(H28)-4)/10000</f>
        <v>2.0299999999999999E-2</v>
      </c>
      <c r="AA28" s="247">
        <f>ABS(Z28-Y28)</f>
        <v>23.273500000000002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/stypes="app*4017*20180114*"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116-14 --locoid 4017 --swversion DE.1.0.9.0 --startMP 204:232938 --initTime 2018-01-14T06:21:07 --startdatetime 2018-01-14T06:27:15 --delay 88 --endMP 204:203 --enddatetime 2018-01-14T07:04:17 --enforcementcount 0 &gt;&gt;%USERPROFILE%\Documents\GitHub\eaglep3-reporting\EC\2018-01-14-refined-times.txt</v>
      </c>
      <c r="AI2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{"issue":{"subject":"","project_id":79,"tracker_id":40,"status_id":1,"priority_id":2,"assigned_to_id":338,"start_date":"2018-01-14","description":"","custom_fields":[{"id":1,"name":"Subdivision","value":"EC"},{"id":4,"name":"Milepost","value":"0.0203"},{"id":17,"name":"Train ID","value":"116-14"},{"id":16,"name":"Locomotive ID","value":"4017"},{"id":130,"name":"Impact","value":""},{"id":150,"name":"Time of Event (Mountain Time)","value":"07:04:17"},{"id":151,"name":"Denver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4017 --day 2018-01-14</v>
      </c>
      <c r="AN2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-14T05:21:07-0700',mode:absolute,to:'2018-01-14T08:04:17-0700'))&amp;_a=(columns:!('Message%20ID',Summary),filters:!(),index:'emp_*',interval:auto,query:(query_string:(analyze_wildcard:!t,query:'%22rtdc.l.rtdc.4017%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730</v>
      </c>
      <c r="B29" s="225">
        <v>4016</v>
      </c>
      <c r="C29" s="227" t="s">
        <v>191</v>
      </c>
      <c r="D29" s="227" t="s">
        <v>927</v>
      </c>
      <c r="E29" s="226">
        <v>43114.22991898148</v>
      </c>
      <c r="F29" s="226">
        <v>43114.239733796298</v>
      </c>
      <c r="G29" s="225">
        <v>86</v>
      </c>
      <c r="H29" s="227" t="s">
        <v>928</v>
      </c>
      <c r="I29" s="226">
        <v>43114.263703703706</v>
      </c>
      <c r="J29" s="225">
        <v>0</v>
      </c>
      <c r="K29" s="237" t="str">
        <f>IF(ISEVEN(B29),(B29-1)&amp;"/"&amp;B29,B29&amp;"/"&amp;(B29+1))</f>
        <v>4015/4016</v>
      </c>
      <c r="L29" s="245" t="str">
        <f>VLOOKUP(A29,'Trips&amp;Operators'!$C$1:$G$99911,5,FALSE)</f>
        <v>NEWELL JAMES</v>
      </c>
      <c r="M29" s="224">
        <f>I29-F29</f>
        <v>2.396990740817273E-2</v>
      </c>
      <c r="N29" s="225">
        <f>24*60*SUM($M29:$M29)</f>
        <v>34.516666667768732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-14T04:31:05-0700',mode:absolute,to:'2018-01-14T07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5.04E-2</v>
      </c>
      <c r="Z29" s="247">
        <f>RIGHT(H29,LEN(H29)-4)/10000</f>
        <v>23.3309</v>
      </c>
      <c r="AA29" s="247">
        <f>ABS(Z29-Y29)</f>
        <v>23.2805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/stypes="app*4016*20180114*"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117-14 --locoid 4016 --swversion DE.1.0.9.0 --startMP 204:504 --initTime 2018-01-14T05:31:05 --startdatetime 2018-01-14T05:45:13 --delay 86 --endMP 204:233309 --enddatetime 2018-01-14T06:19:44 --enforcementcount 0 &gt;&gt;%USERPROFILE%\Documents\GitHub\eaglep3-reporting\EC\2018-01-14-refined-times.txt</v>
      </c>
      <c r="AI2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{"issue":{"subject":"","project_id":79,"tracker_id":40,"status_id":1,"priority_id":2,"assigned_to_id":338,"start_date":"2018-01-14","description":"","custom_fields":[{"id":1,"name":"Subdivision","value":"EC"},{"id":4,"name":"Milepost","value":"23.3309"},{"id":17,"name":"Train ID","value":"117-14"},{"id":16,"name":"Locomotive ID","value":"4016"},{"id":130,"name":"Impact","value":""},{"id":150,"name":"Time of Event (Mountain Time)","value":"06:19:44"},{"id":151,"name":"Denver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4016 --day 2018-01-14</v>
      </c>
      <c r="AN2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-14T04:31:05-0700',mode:absolute,to:'2018-01-14T07:19:44-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737</v>
      </c>
      <c r="B30" s="225">
        <v>4015</v>
      </c>
      <c r="C30" s="227" t="s">
        <v>191</v>
      </c>
      <c r="D30" s="227" t="s">
        <v>929</v>
      </c>
      <c r="E30" s="226">
        <v>43114.273344907408</v>
      </c>
      <c r="F30" s="226">
        <v>43114.279317129629</v>
      </c>
      <c r="G30" s="225">
        <v>71</v>
      </c>
      <c r="H30" s="227" t="s">
        <v>930</v>
      </c>
      <c r="I30" s="226">
        <v>43114.30541666667</v>
      </c>
      <c r="J30" s="225">
        <v>0</v>
      </c>
      <c r="K30" s="237" t="str">
        <f>IF(ISEVEN(B30),(B30-1)&amp;"/"&amp;B30,B30&amp;"/"&amp;(B30+1))</f>
        <v>4015/4016</v>
      </c>
      <c r="L30" s="245" t="str">
        <f>VLOOKUP(A30,'Trips&amp;Operators'!$C$1:$G$99911,5,FALSE)</f>
        <v>NEWELL JAMES</v>
      </c>
      <c r="M30" s="224">
        <f>I30-F30</f>
        <v>2.6099537040863652E-2</v>
      </c>
      <c r="N30" s="225">
        <f>24*60*SUM($M30:$M30)</f>
        <v>37.583333338843659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-14T05:33:37-0700',mode:absolute,to:'2018-01-14T08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23.2971</v>
      </c>
      <c r="Z30" s="247">
        <f>RIGHT(H30,LEN(H30)-4)/10000</f>
        <v>2.8000000000000001E-2</v>
      </c>
      <c r="AA30" s="247">
        <f>ABS(Z30-Y30)</f>
        <v>23.269100000000002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/stypes="app*4015*20180114*"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118-14 --locoid 4015 --swversion DE.1.0.9.0 --startMP 204:232971 --initTime 2018-01-14T06:33:37 --startdatetime 2018-01-14T06:42:13 --delay 71 --endMP 204:280 --enddatetime 2018-01-14T07:19:48 --enforcementcount 0 &gt;&gt;%USERPROFILE%\Documents\GitHub\eaglep3-reporting\EC\2018-01-14-refined-times.txt</v>
      </c>
      <c r="AI3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{"issue":{"subject":"","project_id":79,"tracker_id":40,"status_id":1,"priority_id":2,"assigned_to_id":338,"start_date":"2018-01-14","description":"","custom_fields":[{"id":1,"name":"Subdivision","value":"EC"},{"id":4,"name":"Milepost","value":"0.028"},{"id":17,"name":"Train ID","value":"118-14"},{"id":16,"name":"Locomotive ID","value":"4015"},{"id":130,"name":"Impact","value":""},{"id":150,"name":"Time of Event (Mountain Time)","value":"07:19:48"},{"id":151,"name":"Denver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4015 --day 2018-01-14</v>
      </c>
      <c r="AN3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-14T05:33:37-0700',mode:absolute,to:'2018-01-14T08:19:48-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733</v>
      </c>
      <c r="B31" s="225">
        <v>4050</v>
      </c>
      <c r="C31" s="227" t="s">
        <v>191</v>
      </c>
      <c r="D31" s="227" t="s">
        <v>667</v>
      </c>
      <c r="E31" s="226">
        <v>43114.244606481479</v>
      </c>
      <c r="F31" s="226">
        <v>43114.250196759262</v>
      </c>
      <c r="G31" s="225">
        <v>58</v>
      </c>
      <c r="H31" s="227" t="s">
        <v>931</v>
      </c>
      <c r="I31" s="226">
        <v>43114.274930555555</v>
      </c>
      <c r="J31" s="225">
        <v>0</v>
      </c>
      <c r="K31" s="237" t="str">
        <f>IF(ISEVEN(B31),(B31-1)&amp;"/"&amp;B31,B31&amp;"/"&amp;(B31+1))</f>
        <v>4049/4050</v>
      </c>
      <c r="L31" s="245" t="str">
        <f>VLOOKUP(A31,'Trips&amp;Operators'!$C$1:$G$99911,5,FALSE)</f>
        <v>HOLCOMB KAMDEN</v>
      </c>
      <c r="M31" s="224">
        <f>I31-F31</f>
        <v>2.4733796293730848E-2</v>
      </c>
      <c r="N31" s="225">
        <f>24*60*SUM($M31:$M31)</f>
        <v>35.61666666297242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-14T04:52:14-0700',mode:absolute,to:'2018-01-14T07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4.82E-2</v>
      </c>
      <c r="Z31" s="247">
        <f>RIGHT(H31,LEN(H31)-4)/10000</f>
        <v>23.3263</v>
      </c>
      <c r="AA31" s="247">
        <f>ABS(Z31-Y31)</f>
        <v>23.278099999999998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/stypes="app*4050*20180114*"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119-14 --locoid 4050 --swversion DE.1.0.9.0 --startMP 204:482 --initTime 2018-01-14T05:52:14 --startdatetime 2018-01-14T06:00:17 --delay 58 --endMP 204:233263 --enddatetime 2018-01-14T06:35:54 --enforcementcount 0 &gt;&gt;%USERPROFILE%\Documents\GitHub\eaglep3-reporting\EC\2018-01-14-refined-times.txt</v>
      </c>
      <c r="AI3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{"issue":{"subject":"","project_id":79,"tracker_id":40,"status_id":1,"priority_id":2,"assigned_to_id":338,"start_date":"2018-01-14","description":"","custom_fields":[{"id":1,"name":"Subdivision","value":"EC"},{"id":4,"name":"Milepost","value":"23.3263"},{"id":17,"name":"Train ID","value":"119-14"},{"id":16,"name":"Locomotive ID","value":"4050"},{"id":130,"name":"Impact","value":""},{"id":150,"name":"Time of Event (Mountain Time)","value":"06:35:54"},{"id":151,"name":"Denver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4050 --day 2018-01-14</v>
      </c>
      <c r="AN3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-14T04:52:14-0700',mode:absolute,to:'2018-01-14T07:35:54-0700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739</v>
      </c>
      <c r="B32" s="225">
        <v>4049</v>
      </c>
      <c r="C32" s="227" t="s">
        <v>191</v>
      </c>
      <c r="D32" s="227" t="s">
        <v>932</v>
      </c>
      <c r="E32" s="226">
        <v>43114.285034722219</v>
      </c>
      <c r="F32" s="226">
        <v>43114.289768518516</v>
      </c>
      <c r="G32" s="225">
        <v>70</v>
      </c>
      <c r="H32" s="227" t="s">
        <v>535</v>
      </c>
      <c r="I32" s="226">
        <v>43114.315740740742</v>
      </c>
      <c r="J32" s="225">
        <v>0</v>
      </c>
      <c r="K32" s="237" t="str">
        <f>IF(ISEVEN(B32),(B32-1)&amp;"/"&amp;B32,B32&amp;"/"&amp;(B32+1))</f>
        <v>4049/4050</v>
      </c>
      <c r="L32" s="245" t="str">
        <f>VLOOKUP(A32,'Trips&amp;Operators'!$C$1:$G$99911,5,FALSE)</f>
        <v>HOLCOMB KAMDEN</v>
      </c>
      <c r="M32" s="224">
        <f>I32-F32</f>
        <v>2.5972222225391306E-2</v>
      </c>
      <c r="N32" s="225">
        <f>24*60*SUM($M32:$M32)</f>
        <v>37.400000004563481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-14T05:50:27-0700',mode:absolute,to:'2018-01-14T08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23.294499999999999</v>
      </c>
      <c r="Z32" s="247">
        <f>RIGHT(H32,LEN(H32)-4)/10000</f>
        <v>1.9800000000000002E-2</v>
      </c>
      <c r="AA32" s="247">
        <f>ABS(Z32-Y32)</f>
        <v>23.274699999999999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/stypes="app*4049*20180114*"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120-14 --locoid 4049 --swversion DE.1.0.9.0 --startMP 204:232945 --initTime 2018-01-14T06:50:27 --startdatetime 2018-01-14T06:57:16 --delay 70 --endMP 204:198 --enddatetime 2018-01-14T07:34:40 --enforcementcount 0 &gt;&gt;%USERPROFILE%\Documents\GitHub\eaglep3-reporting\EC\2018-01-14-refined-times.txt</v>
      </c>
      <c r="AI3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{"issue":{"subject":"","project_id":79,"tracker_id":40,"status_id":1,"priority_id":2,"assigned_to_id":338,"start_date":"2018-01-14","description":"","custom_fields":[{"id":1,"name":"Subdivision","value":"EC"},{"id":4,"name":"Milepost","value":"0.0198"},{"id":17,"name":"Train ID","value":"120-14"},{"id":16,"name":"Locomotive ID","value":"4049"},{"id":130,"name":"Impact","value":""},{"id":150,"name":"Time of Event (Mountain Time)","value":"07:34:40"},{"id":151,"name":"Denver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4049 --day 2018-01-14</v>
      </c>
      <c r="AN3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-14T05:50:27-0700',mode:absolute,to:'2018-01-14T08:34:40-0700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734</v>
      </c>
      <c r="B33" s="225">
        <v>4022</v>
      </c>
      <c r="C33" s="227" t="s">
        <v>191</v>
      </c>
      <c r="D33" s="227" t="s">
        <v>635</v>
      </c>
      <c r="E33" s="226">
        <v>43114.255474537036</v>
      </c>
      <c r="F33" s="226">
        <v>43114.260613425926</v>
      </c>
      <c r="G33" s="225">
        <v>60</v>
      </c>
      <c r="H33" s="227" t="s">
        <v>924</v>
      </c>
      <c r="I33" s="226">
        <v>43114.285381944443</v>
      </c>
      <c r="J33" s="225">
        <v>0</v>
      </c>
      <c r="K33" s="237" t="str">
        <f>IF(ISEVEN(B33),(B33-1)&amp;"/"&amp;B33,B33&amp;"/"&amp;(B33+1))</f>
        <v>4021/4022</v>
      </c>
      <c r="L33" s="245" t="str">
        <f>VLOOKUP(A33,'Trips&amp;Operators'!$C$1:$G$99911,5,FALSE)</f>
        <v>DAVIDSON DAVID</v>
      </c>
      <c r="M33" s="224">
        <f>I33-F33</f>
        <v>2.4768518516793847E-2</v>
      </c>
      <c r="N33" s="225">
        <f>24*60*SUM($M33:$M33)</f>
        <v>35.66666666418314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-14T05:07:53-0700',mode:absolute,to:'2018-01-14T07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5.2900000000000003E-2</v>
      </c>
      <c r="Z33" s="247">
        <f>RIGHT(H33,LEN(H33)-4)/10000</f>
        <v>23.3247</v>
      </c>
      <c r="AA33" s="247">
        <f>ABS(Z33-Y33)</f>
        <v>23.271799999999999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/stypes="app*4022*20180114*"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121-14 --locoid 4022 --swversion DE.1.0.9.0 --startMP 204:529 --initTime 2018-01-14T06:07:53 --startdatetime 2018-01-14T06:15:17 --delay 60 --endMP 204:233247 --enddatetime 2018-01-14T06:50:57 --enforcementcount 0 &gt;&gt;%USERPROFILE%\Documents\GitHub\eaglep3-reporting\EC\2018-01-14-refined-times.txt</v>
      </c>
      <c r="AI3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{"issue":{"subject":"","project_id":79,"tracker_id":40,"status_id":1,"priority_id":2,"assigned_to_id":338,"start_date":"2018-01-14","description":"","custom_fields":[{"id":1,"name":"Subdivision","value":"EC"},{"id":4,"name":"Milepost","value":"23.3247"},{"id":17,"name":"Train ID","value":"121-14"},{"id":16,"name":"Locomotive ID","value":"4022"},{"id":130,"name":"Impact","value":""},{"id":150,"name":"Time of Event (Mountain Time)","value":"06:50:57"},{"id":151,"name":"Denver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4022 --day 2018-01-14</v>
      </c>
      <c r="AN3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-14T05:07:53-0700',mode:absolute,to:'2018-01-14T07:50:57-0700'))&amp;_a=(columns:!('Message%20ID',Summary),filters:!(),index:'emp_*',interval:auto,query:(query_string:(analyze_wildcard:!t,query:'%22rtdc.l.rtdc.4022%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740</v>
      </c>
      <c r="B34" s="225">
        <v>4021</v>
      </c>
      <c r="C34" s="227" t="s">
        <v>191</v>
      </c>
      <c r="D34" s="227" t="s">
        <v>933</v>
      </c>
      <c r="E34" s="226">
        <v>43114.288310185184</v>
      </c>
      <c r="F34" s="226">
        <v>43114.30023148148</v>
      </c>
      <c r="G34" s="225">
        <v>51</v>
      </c>
      <c r="H34" s="227" t="s">
        <v>535</v>
      </c>
      <c r="I34" s="226">
        <v>43114.326956018522</v>
      </c>
      <c r="J34" s="225">
        <v>0</v>
      </c>
      <c r="K34" s="237" t="str">
        <f>IF(ISEVEN(B34),(B34-1)&amp;"/"&amp;B34,B34&amp;"/"&amp;(B34+1))</f>
        <v>4021/4022</v>
      </c>
      <c r="L34" s="245" t="str">
        <f>VLOOKUP(A34,'Trips&amp;Operators'!$C$1:$G$99911,5,FALSE)</f>
        <v>DAVIDSON DAVID</v>
      </c>
      <c r="M34" s="224">
        <f>I34-F34</f>
        <v>2.6724537041445728E-2</v>
      </c>
      <c r="N34" s="225">
        <f>24*60*SUM($M34:$M34)</f>
        <v>38.483333339681849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-14T05:55:10-0700',mode:absolute,to:'2018-01-14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23.2944</v>
      </c>
      <c r="Z34" s="247">
        <f>RIGHT(H34,LEN(H34)-4)/10000</f>
        <v>1.9800000000000002E-2</v>
      </c>
      <c r="AA34" s="247">
        <f>ABS(Z34-Y34)</f>
        <v>23.2746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/stypes="app*4021*20180114*"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122-14 --locoid 4021 --swversion DE.1.0.9.0 --startMP 204:232944 --initTime 2018-01-14T06:55:10 --startdatetime 2018-01-14T07:12:20 --delay 51 --endMP 204:198 --enddatetime 2018-01-14T07:50:49 --enforcementcount 0 &gt;&gt;%USERPROFILE%\Documents\GitHub\eaglep3-reporting\EC\2018-01-14-refined-times.txt</v>
      </c>
      <c r="AI34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{"issue":{"subject":"","project_id":79,"tracker_id":40,"status_id":1,"priority_id":2,"assigned_to_id":338,"start_date":"2018-01-14","description":"","custom_fields":[{"id":1,"name":"Subdivision","value":"EC"},{"id":4,"name":"Milepost","value":"0.0198"},{"id":17,"name":"Train ID","value":"122-14"},{"id":16,"name":"Locomotive ID","value":"4021"},{"id":130,"name":"Impact","value":""},{"id":150,"name":"Time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4021 --day 2018-01-14</v>
      </c>
      <c r="AN34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-14T05:55:10-0700',mode:absolute,to:'2018-01-14T08:50:49-0700'))&amp;_a=(columns:!('Message%20ID',Summary),filters:!(),index:'emp_*',interval:auto,query:(query_string:(analyze_wildcard:!t,query:'%22rtdc.l.rtdc.4021%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682</v>
      </c>
      <c r="B35" s="225">
        <v>4040</v>
      </c>
      <c r="C35" s="227" t="s">
        <v>191</v>
      </c>
      <c r="D35" s="227" t="s">
        <v>934</v>
      </c>
      <c r="E35" s="226">
        <v>43114.28125</v>
      </c>
      <c r="F35" s="226">
        <v>43114.271006944444</v>
      </c>
      <c r="G35" s="225">
        <v>40</v>
      </c>
      <c r="H35" s="227" t="s">
        <v>498</v>
      </c>
      <c r="I35" s="226">
        <v>43114.27952546296</v>
      </c>
      <c r="J35" s="225">
        <v>0</v>
      </c>
      <c r="K35" s="237" t="str">
        <f>IF(ISEVEN(B35),(B35-1)&amp;"/"&amp;B35,B35&amp;"/"&amp;(B35+1))</f>
        <v>4039/4040</v>
      </c>
      <c r="L35" s="245" t="str">
        <f>VLOOKUP(A35,'Trips&amp;Operators'!$C$1:$G$99911,5,FALSE)</f>
        <v>GEBRETEKLE DAGNEW</v>
      </c>
      <c r="M35" s="224">
        <f>I35-F35</f>
        <v>8.5185185162117705E-3</v>
      </c>
      <c r="N35" s="225"/>
      <c r="O35" s="225"/>
      <c r="P35" s="225">
        <f>24*60*SUM($M35:$M35)</f>
        <v>12.266666663344949</v>
      </c>
      <c r="Q35" s="228"/>
      <c r="R35" s="242" t="s">
        <v>434</v>
      </c>
      <c r="S35" s="249">
        <f>1/IF(AG35="EC",12,1)*SUM(U35:U35+U36)</f>
        <v>0.75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6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-14T05:45:00-0700',mode:absolute,to:'2018-01-14T07:42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247" t="str">
        <f>IF(AA35&lt;VLOOKUP(AG35,Variables!$AC$3:$AD$8,2,FALSE),"Y","N")</f>
        <v>Y</v>
      </c>
      <c r="X35" s="247">
        <f t="shared" ref="X35:X36" si="10">VALUE(LEFT(AD35,4))-VALUE(LEFT(AD34,4))</f>
        <v>1</v>
      </c>
      <c r="Y35" s="247">
        <v>7.2999999999999995E-2</v>
      </c>
      <c r="Z35" s="247">
        <v>5.7125000000000004</v>
      </c>
      <c r="AA35" s="247">
        <f>ABS(Z35-Y35)</f>
        <v>5.6395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/stypes="app*4040*20180114*" /stext=" 13:.+((SYSTEM_STATE.+slice.+state.+changed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ref="AH35" si="11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123-14 --locoid 4040 --swversion DE.1.0.9.0 --startMP 204:64698 --initTime 2018-01-14T06:45:00 --startdatetime 2018-01-14T06:30:15 --delay 40 --endMP 204:233268 --enddatetime 2018-01-14T06:42:31 --enforcementcount 0 &gt;&gt;%USERPROFILE%\Documents\GitHub\eaglep3-reporting\EC\2018-01-14-refined-times.txt</v>
      </c>
      <c r="AI35" s="238" t="str">
        <f t="shared" ref="AI35" si="12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drop","project_id":79,"tracker_id":40,"status_id":1,"priority_id":2,"assigned_to_id":338,"start_date":"2018-01-14","description":"","custom_fields":[{"id":1,"name":"Subdivision","value":"EC"},{"id":4,"name":"Milepost","value":"5.7125"},{"id":17,"name":"Train ID","value":"123-14"},{"id":16,"name":"Locomotive ID","value":"4040"},{"id":130,"name":"Impact","value":""},{"id":150,"name":"Time of Event (Mountain Time)","value":"06:42:31"},{"id":151,"name":"Denver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ref="AM35" si="13">"start /low /b "&amp;dls3logs&amp;" --loco "&amp;B35&amp;" --day "&amp;TEXT(F35,"YYYY-MM-DD")</f>
        <v>start /low /b %USERPROFILE%\Documents\GitHub\eaglep3\Utilities\DownloadLogsFromS3.py --loco 4040 --day 2018-01-14</v>
      </c>
      <c r="AN35" s="241" t="str">
        <f t="shared" ref="AN35" si="14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13:42:31"},{"id":29,"name":"Sharepoint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ref="AO35" si="15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-14T05:45:00-0700',mode:absolute,to:'2018-01-14T07:42:31-0700'))&amp;_a=(columns:!('Message%20ID',Summary),filters:!(),index:'emp_*',interval:auto,query:(query_string:(analyze_wildcard:!t,query:'%22rtdc.l.rtdc.4040%22')),sort:!(Time.ISO8601,asc))</v>
      </c>
      <c r="AP35" s="223"/>
      <c r="AQ35" s="223"/>
      <c r="AR35" s="223"/>
      <c r="AS35" s="223"/>
      <c r="AT35" s="223"/>
      <c r="AU35" s="223"/>
      <c r="AV35" s="223"/>
      <c r="AW35" s="223"/>
      <c r="AX35" s="223"/>
      <c r="AY35" s="223"/>
      <c r="AZ35" s="223"/>
      <c r="BA35" s="223"/>
      <c r="BB35" s="223"/>
      <c r="BC35" s="223"/>
      <c r="BD35" s="223"/>
      <c r="BE35" s="223"/>
      <c r="BF35" s="223"/>
      <c r="BG35" s="223"/>
      <c r="BH35" s="223"/>
      <c r="BI35" s="223"/>
      <c r="BJ35" s="223"/>
      <c r="BK35" s="223"/>
      <c r="BL35" s="223"/>
      <c r="BM35" s="223"/>
      <c r="BN35" s="223"/>
      <c r="BO35" s="223"/>
      <c r="BP35" s="223"/>
      <c r="BQ35" s="223"/>
      <c r="BR35" s="223"/>
      <c r="BS35" s="223"/>
      <c r="BT35" s="223"/>
      <c r="BU35" s="223"/>
      <c r="BV35" s="223"/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</row>
    <row r="36" spans="1:91" s="1" customFormat="1" x14ac:dyDescent="0.3">
      <c r="A36" s="229" t="s">
        <v>682</v>
      </c>
      <c r="B36" s="225">
        <v>4040</v>
      </c>
      <c r="C36" s="227" t="s">
        <v>191</v>
      </c>
      <c r="D36" s="227" t="s">
        <v>934</v>
      </c>
      <c r="E36" s="226">
        <v>43114.28125</v>
      </c>
      <c r="F36" s="226">
        <v>43114.282175925924</v>
      </c>
      <c r="G36" s="225">
        <v>40</v>
      </c>
      <c r="H36" s="227" t="s">
        <v>498</v>
      </c>
      <c r="I36" s="226">
        <v>43114.297268518516</v>
      </c>
      <c r="J36" s="225">
        <v>0</v>
      </c>
      <c r="K36" s="237" t="str">
        <f>IF(ISEVEN(B36),(B36-1)&amp;"/"&amp;B36,B36&amp;"/"&amp;(B36+1))</f>
        <v>4039/4040</v>
      </c>
      <c r="L36" s="245" t="str">
        <f>VLOOKUP(A36,'Trips&amp;Operators'!$C$1:$G$99911,5,FALSE)</f>
        <v>GEBRETEKLE DAGNEW</v>
      </c>
      <c r="M36" s="224">
        <f>I36-F36</f>
        <v>1.509259259182727E-2</v>
      </c>
      <c r="N36" s="225"/>
      <c r="O36" s="225"/>
      <c r="P36" s="225"/>
      <c r="Q36" s="228"/>
      <c r="R36" s="242" t="s">
        <v>434</v>
      </c>
      <c r="S36" s="249"/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3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-14T05:45:00-0700',mode:absolute,to:'2018-01-14T08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6" s="247" t="str">
        <f>IF(AA36&lt;VLOOKUP(AG36,Variables!$AC$3:$AD$8,2,FALSE),"Y","N")</f>
        <v>Y</v>
      </c>
      <c r="X36" s="247">
        <f t="shared" si="10"/>
        <v>0</v>
      </c>
      <c r="Y36" s="247">
        <f>RIGHT(D36,LEN(D36)-4)/10000</f>
        <v>6.4698000000000002</v>
      </c>
      <c r="Z36" s="247">
        <f>RIGHT(H36,LEN(H36)-4)/10000</f>
        <v>23.326799999999999</v>
      </c>
      <c r="AA36" s="247">
        <f>ABS(Z36-Y36)</f>
        <v>16.856999999999999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/stypes="app*4040*20180114*"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123-14 --locoid 4040 --swversion DE.1.0.9.0 --startMP 204:64698 --initTime 2018-01-14T06:45:00 --startdatetime 2018-01-14T06:46:20 --delay 40 --endMP 204:233268 --enddatetime 2018-01-14T07:08:04 --enforcementcount 0 &gt;&gt;%USERPROFILE%\Documents\GitHub\eaglep3-reporting\EC\2018-01-14-refined-times.txt</v>
      </c>
      <c r="AI36" s="238" t="str">
        <f t="shared" si="6"/>
        <v>echo {"issue":{"subject":"Wi-MAX data drop","project_id":79,"tracker_id":40,"status_id":1,"priority_id":2,"assigned_to_id":338,"start_date":"2018-01-14","description":"","custom_fields":[{"id":1,"name":"Subdivision","value":"EC"},{"id":4,"name":"Milepost","value":"23.3268"},{"id":17,"name":"Train ID","value":"123-14"},{"id":16,"name":"Locomotive ID","value":"4040"},{"id":130,"name":"Impact","value":""},{"id":150,"name":"Time of Event (Mountain Time)","value":"07:08:04"},{"id":151,"name":"Denver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4040 --day 2018-01-14</v>
      </c>
      <c r="AN36" s="241" t="str">
        <f t="shared" si="8"/>
        <v>echo {"issue":{"subject":"Wi-MAX data drop","project_id":30,"tracker_id":4,"status_id":1,"priority_id":1,"assigned_to_id":10,"start_date":"2018-01-14","description":"","custom_fields":[{"id":30,"name":"Category","value":"Issue"},{"id":3,"name":"Functional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-14T05:45:00-0700',mode:absolute,to:'2018-01-14T08:08:04-0700'))&amp;_a=(columns:!('Message%20ID',Summary),filters:!(),index:'emp_*',interval:auto,query:(query_string:(analyze_wildcard:!t,query:'%22rtdc.l.rtdc.4040%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745</v>
      </c>
      <c r="B37" s="225">
        <v>4039</v>
      </c>
      <c r="C37" s="227" t="s">
        <v>191</v>
      </c>
      <c r="D37" s="227" t="s">
        <v>483</v>
      </c>
      <c r="E37" s="226">
        <v>43114.298252314817</v>
      </c>
      <c r="F37" s="226">
        <v>43114.310624999998</v>
      </c>
      <c r="G37" s="225">
        <v>46</v>
      </c>
      <c r="H37" s="227" t="s">
        <v>462</v>
      </c>
      <c r="I37" s="226">
        <v>43114.335902777777</v>
      </c>
      <c r="J37" s="225">
        <v>0</v>
      </c>
      <c r="K37" s="237" t="str">
        <f>IF(ISEVEN(B37),(B37-1)&amp;"/"&amp;B37,B37&amp;"/"&amp;(B37+1))</f>
        <v>4039/4040</v>
      </c>
      <c r="L37" s="245" t="str">
        <f>VLOOKUP(A37,'Trips&amp;Operators'!$C$1:$G$99911,5,FALSE)</f>
        <v>GEBRETEKLE DAGNEW</v>
      </c>
      <c r="M37" s="224">
        <f>I37-F37</f>
        <v>2.527777777868323E-2</v>
      </c>
      <c r="N37" s="225">
        <f>24*60*SUM($M37:$M37)</f>
        <v>36.400000001303852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-14T06:09:29-0700',mode:absolute,to:'2018-01-14T09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23.2957</v>
      </c>
      <c r="Z37" s="247">
        <f>RIGHT(H37,LEN(H37)-4)/10000</f>
        <v>1.49E-2</v>
      </c>
      <c r="AA37" s="247">
        <f>ABS(Z37-Y37)</f>
        <v>23.280799999999999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/stypes="app*4039*20180114*"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124-14 --locoid 4039 --swversion DE.1.0.9.0 --startMP 204:232957 --initTime 2018-01-14T07:09:29 --startdatetime 2018-01-14T07:27:18 --delay 46 --endMP 204:149 --enddatetime 2018-01-14T08:03:42 --enforcementcount 0 &gt;&gt;%USERPROFILE%\Documents\GitHub\eaglep3-reporting\EC\2018-01-14-refined-times.txt</v>
      </c>
      <c r="AI3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{"issue":{"subject":"","project_id":79,"tracker_id":40,"status_id":1,"priority_id":2,"assigned_to_id":338,"start_date":"2018-01-14","description":"","custom_fields":[{"id":1,"name":"Subdivision","value":"EC"},{"id":4,"name":"Milepost","value":"0.0149"},{"id":17,"name":"Train ID","value":"124-14"},{"id":16,"name":"Locomotive ID","value":"4039"},{"id":130,"name":"Impact","value":""},{"id":150,"name":"Time of Event (Mountain Time)","value":"08:03:42"},{"id":151,"name":"Denver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4039 --day 2018-01-14</v>
      </c>
      <c r="AN3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-14T06:09:29-0700',mode:absolute,to:'2018-01-14T09:03:42-0700'))&amp;_a=(columns:!('Message%20ID',Summary),filters:!(),index:'emp_*',interval:auto,query:(query_string:(analyze_wildcard:!t,query:'%22rtdc.l.rtdc.4039%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738</v>
      </c>
      <c r="B38" s="225">
        <v>4028</v>
      </c>
      <c r="C38" s="227" t="s">
        <v>191</v>
      </c>
      <c r="D38" s="227" t="s">
        <v>480</v>
      </c>
      <c r="E38" s="226">
        <v>43114.274895833332</v>
      </c>
      <c r="F38" s="226">
        <v>43114.281458333331</v>
      </c>
      <c r="G38" s="225">
        <v>51</v>
      </c>
      <c r="H38" s="227" t="s">
        <v>935</v>
      </c>
      <c r="I38" s="226">
        <v>43114.305590277778</v>
      </c>
      <c r="J38" s="225">
        <v>0</v>
      </c>
      <c r="K38" s="237" t="str">
        <f>IF(ISEVEN(B38),(B38-1)&amp;"/"&amp;B38,B38&amp;"/"&amp;(B38+1))</f>
        <v>4027/4028</v>
      </c>
      <c r="L38" s="245" t="str">
        <f>VLOOKUP(A38,'Trips&amp;Operators'!$C$1:$G$99911,5,FALSE)</f>
        <v>YORK EDGAR</v>
      </c>
      <c r="M38" s="224">
        <f>I38-F38</f>
        <v>2.4131944446708076E-2</v>
      </c>
      <c r="N38" s="225">
        <f>24*60*SUM($M38:$M38)</f>
        <v>34.750000003259629</v>
      </c>
      <c r="O38" s="225"/>
      <c r="P38" s="225"/>
      <c r="Q38" s="228"/>
      <c r="R38" s="242" t="s">
        <v>1066</v>
      </c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-14T05:35:51-0700',mode:absolute,to:'2018-01-14T08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4.7300000000000002E-2</v>
      </c>
      <c r="Z38" s="247">
        <f>RIGHT(H38,LEN(H38)-4)/10000</f>
        <v>23.3293</v>
      </c>
      <c r="AA38" s="247">
        <f>ABS(Z38-Y38)</f>
        <v>23.282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/stypes="app*4028*20180114*"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125-14 --locoid 4028 --swversion DE.1.0.9.0 --startMP 204:473 --initTime 2018-01-14T06:35:51 --startdatetime 2018-01-14T06:45:18 --delay 51 --endMP 204:233293 --enddatetime 2018-01-14T07:20:03 --enforcementcount 0 &gt;&gt;%USERPROFILE%\Documents\GitHub\eaglep3-reporting\EC\2018-01-14-refined-times.txt</v>
      </c>
      <c r="AI38" s="238" t="str">
        <f t="shared" si="6"/>
        <v>echo {"issue":{"subject":"Run completed, observed wheel tach slip/slide","project_id":79,"tracker_id":40,"status_id":1,"priority_id":2,"assigned_to_id":338,"start_date":"2018-01-14","description":"","custom_fields":[{"id":1,"name":"Subdivision","value":"EC"},{"id":4,"name":"Milepost","value":"23.3293"},{"id":17,"name":"Train ID","value":"125-14"},{"id":16,"name":"Locomotive ID","value":"4028"},{"id":130,"name":"Impact","value":""},{"id":150,"name":"Time of Event (Mountain Time)","value":"07:20:03"},{"id":151,"name":"Denver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4028 --day 2018-01-14</v>
      </c>
      <c r="AN38" s="241" t="str">
        <f t="shared" si="8"/>
        <v>echo {"issue":{"subject":"Run completed, observed wheel tach slip/slide","project_id":30,"tracker_id":4,"status_id":1,"priority_id":1,"assigned_to_id":10,"start_date":"2018-01-14","description":"","custom_fields":[{"id":30,"name":"Category","value":"Issue"},{"id":3,"name":"Functional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-14T05:35:51-0700',mode:absolute,to:'2018-01-14T08:20:03-0700'))&amp;_a=(columns:!('Message%20ID',Summary),filters:!(),index:'emp_*',interval:auto,query:(query_string:(analyze_wildcard:!t,query:'%22rtdc.l.rtdc.4028%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751</v>
      </c>
      <c r="B39" s="225">
        <v>4027</v>
      </c>
      <c r="C39" s="227" t="s">
        <v>191</v>
      </c>
      <c r="D39" s="227" t="s">
        <v>913</v>
      </c>
      <c r="E39" s="226">
        <v>43114.319988425923</v>
      </c>
      <c r="F39" s="226">
        <v>43114.321736111109</v>
      </c>
      <c r="G39" s="225">
        <v>90</v>
      </c>
      <c r="H39" s="227" t="s">
        <v>630</v>
      </c>
      <c r="I39" s="226">
        <v>43114.347025462965</v>
      </c>
      <c r="J39" s="225">
        <v>0</v>
      </c>
      <c r="K39" s="237" t="str">
        <f>IF(ISEVEN(B39),(B39-1)&amp;"/"&amp;B39,B39&amp;"/"&amp;(B39+1))</f>
        <v>4027/4028</v>
      </c>
      <c r="L39" s="245" t="str">
        <f>VLOOKUP(A39,'Trips&amp;Operators'!$C$1:$G$99911,5,FALSE)</f>
        <v>YORK EDGAR</v>
      </c>
      <c r="M39" s="224">
        <f>I39-F39</f>
        <v>2.5289351855462883E-2</v>
      </c>
      <c r="N39" s="225">
        <f>24*60*SUM($M39:$M39)</f>
        <v>36.416666671866551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-14T06:40:47-0700',mode:absolute,to:'2018-01-14T09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23.296700000000001</v>
      </c>
      <c r="Z39" s="247">
        <f>RIGHT(H39,LEN(H39)-4)/10000</f>
        <v>1.6299999999999999E-2</v>
      </c>
      <c r="AA39" s="247">
        <f>ABS(Z39-Y39)</f>
        <v>23.2804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/stypes="app*4027*20180114*"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126-14 --locoid 4027 --swversion DE.1.0.9.0 --startMP 204:232967 --initTime 2018-01-14T07:40:47 --startdatetime 2018-01-14T07:43:18 --delay 90 --endMP 204:163 --enddatetime 2018-01-14T08:19:43 --enforcementcount 0 &gt;&gt;%USERPROFILE%\Documents\GitHub\eaglep3-reporting\EC\2018-01-14-refined-times.txt</v>
      </c>
      <c r="AI3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{"issue":{"subject":"","project_id":79,"tracker_id":40,"status_id":1,"priority_id":2,"assigned_to_id":338,"start_date":"2018-01-14","description":"","custom_fields":[{"id":1,"name":"Subdivision","value":"EC"},{"id":4,"name":"Milepost","value":"0.0163"},{"id":17,"name":"Train ID","value":"126-14"},{"id":16,"name":"Locomotive ID","value":"4027"},{"id":130,"name":"Impact","value":""},{"id":150,"name":"Time of Event (Mountain Time)","value":"08:19:43"},{"id":151,"name":"Denver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4027 --day 2018-01-14</v>
      </c>
      <c r="AN3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-14T06:40:47-0700',mode:absolute,to:'2018-01-14T09:19:43-0700'))&amp;_a=(columns:!('Message%20ID',Summary),filters:!(),index:'emp_*',interval:auto,query:(query_string:(analyze_wildcard:!t,query:'%22rtdc.l.rtdc.4027%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741</v>
      </c>
      <c r="B40" s="225">
        <v>4026</v>
      </c>
      <c r="C40" s="227" t="s">
        <v>191</v>
      </c>
      <c r="D40" s="227" t="s">
        <v>936</v>
      </c>
      <c r="E40" s="226">
        <v>43114.289293981485</v>
      </c>
      <c r="F40" s="226">
        <v>43114.291828703703</v>
      </c>
      <c r="G40" s="225">
        <v>76</v>
      </c>
      <c r="H40" s="227" t="s">
        <v>937</v>
      </c>
      <c r="I40" s="226">
        <v>43114.317199074074</v>
      </c>
      <c r="J40" s="225">
        <v>0</v>
      </c>
      <c r="K40" s="237" t="str">
        <f>IF(ISEVEN(B40),(B40-1)&amp;"/"&amp;B40,B40&amp;"/"&amp;(B40+1))</f>
        <v>4025/4026</v>
      </c>
      <c r="L40" s="245" t="str">
        <f>VLOOKUP(A40,'Trips&amp;Operators'!$C$1:$G$99911,5,FALSE)</f>
        <v>BROWN JACOB</v>
      </c>
      <c r="M40" s="224">
        <f>I40-F40</f>
        <v>2.5370370371092577E-2</v>
      </c>
      <c r="N40" s="225">
        <f>24*60*SUM($M40:$M40)</f>
        <v>36.53333333437331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-14T05:56:35-0700',mode:absolute,to:'2018-01-14T08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5.6000000000000001E-2</v>
      </c>
      <c r="Z40" s="247">
        <f>RIGHT(H40,LEN(H40)-4)/10000</f>
        <v>23.329799999999999</v>
      </c>
      <c r="AA40" s="247">
        <f>ABS(Z40-Y40)</f>
        <v>23.273799999999998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/stypes="app*4026*20180114*"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127-14 --locoid 4026 --swversion DE.1.0.9.0 --startMP 204:560 --initTime 2018-01-14T06:56:35 --startdatetime 2018-01-14T07:00:14 --delay 76 --endMP 204:233298 --enddatetime 2018-01-14T07:36:46 --enforcementcount 0 &gt;&gt;%USERPROFILE%\Documents\GitHub\eaglep3-reporting\EC\2018-01-14-refined-times.txt</v>
      </c>
      <c r="AI4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{"issue":{"subject":"","project_id":79,"tracker_id":40,"status_id":1,"priority_id":2,"assigned_to_id":338,"start_date":"2018-01-14","description":"","custom_fields":[{"id":1,"name":"Subdivision","value":"EC"},{"id":4,"name":"Milepost","value":"23.3298"},{"id":17,"name":"Train ID","value":"127-14"},{"id":16,"name":"Locomotive ID","value":"4026"},{"id":130,"name":"Impact","value":""},{"id":150,"name":"Time of Event (Mountain Time)","value":"07:36:46"},{"id":151,"name":"Denver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4026 --day 2018-01-14</v>
      </c>
      <c r="AN4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-14T05:56:35-0700',mode:absolute,to:'2018-01-14T08:36:46-0700'))&amp;_a=(columns:!('Message%20ID',Summary),filters:!(),index:'emp_*',interval:auto,query:(query_string:(analyze_wildcard:!t,query:'%22rtdc.l.rtdc.4026%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752</v>
      </c>
      <c r="B41" s="225">
        <v>4025</v>
      </c>
      <c r="C41" s="227" t="s">
        <v>191</v>
      </c>
      <c r="D41" s="227" t="s">
        <v>938</v>
      </c>
      <c r="E41" s="226">
        <v>43114.322569444441</v>
      </c>
      <c r="F41" s="226">
        <v>43114.331435185188</v>
      </c>
      <c r="G41" s="225">
        <v>68</v>
      </c>
      <c r="H41" s="227" t="s">
        <v>939</v>
      </c>
      <c r="I41" s="226">
        <v>43114.357627314814</v>
      </c>
      <c r="J41" s="225">
        <v>0</v>
      </c>
      <c r="K41" s="237" t="str">
        <f>IF(ISEVEN(B41),(B41-1)&amp;"/"&amp;B41,B41&amp;"/"&amp;(B41+1))</f>
        <v>4025/4026</v>
      </c>
      <c r="L41" s="245" t="str">
        <f>VLOOKUP(A41,'Trips&amp;Operators'!$C$1:$G$99911,5,FALSE)</f>
        <v>BROWN JACOB</v>
      </c>
      <c r="M41" s="224">
        <f>I41-F41</f>
        <v>2.619212962599704E-2</v>
      </c>
      <c r="N41" s="225">
        <f>24*60*SUM($M41:$M41)</f>
        <v>37.716666661435738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-14T06:44:30-0700',mode:absolute,to:'2018-01-14T09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23.2972</v>
      </c>
      <c r="Z41" s="247">
        <f>RIGHT(H41,LEN(H41)-4)/10000</f>
        <v>1.4999999999999999E-2</v>
      </c>
      <c r="AA41" s="247">
        <f>ABS(Z41-Y41)</f>
        <v>23.2822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/stypes="app*4025*20180114*"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128-14 --locoid 4025 --swversion DE.1.0.9.0 --startMP 204:232972 --initTime 2018-01-14T07:44:30 --startdatetime 2018-01-14T07:57:16 --delay 68 --endMP 204:150 --enddatetime 2018-01-14T08:34:59 --enforcementcount 0 &gt;&gt;%USERPROFILE%\Documents\GitHub\eaglep3-reporting\EC\2018-01-14-refined-times.txt</v>
      </c>
      <c r="AI4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{"issue":{"subject":"","project_id":79,"tracker_id":40,"status_id":1,"priority_id":2,"assigned_to_id":338,"start_date":"2018-01-14","description":"","custom_fields":[{"id":1,"name":"Subdivision","value":"EC"},{"id":4,"name":"Milepost","value":"0.015"},{"id":17,"name":"Train ID","value":"128-14"},{"id":16,"name":"Locomotive ID","value":"4025"},{"id":130,"name":"Impact","value":""},{"id":150,"name":"Time of Event (Mountain Time)","value":"08:34:59"},{"id":151,"name":"Denver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4025 --day 2018-01-14</v>
      </c>
      <c r="AN4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-14T06:44:30-0700',mode:absolute,to:'2018-01-14T09:34:59-0700'))&amp;_a=(columns:!('Message%20ID',Summary),filters:!(),index:'emp_*',interval:auto,query:(query_string:(analyze_wildcard:!t,query:'%22rtdc.l.rtdc.4025%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746</v>
      </c>
      <c r="B42" s="225">
        <v>4018</v>
      </c>
      <c r="C42" s="227" t="s">
        <v>191</v>
      </c>
      <c r="D42" s="227" t="s">
        <v>940</v>
      </c>
      <c r="E42" s="226">
        <v>43114.298206018517</v>
      </c>
      <c r="F42" s="226">
        <v>43114.302256944444</v>
      </c>
      <c r="G42" s="225">
        <v>95</v>
      </c>
      <c r="H42" s="227" t="s">
        <v>550</v>
      </c>
      <c r="I42" s="226">
        <v>43114.327002314814</v>
      </c>
      <c r="J42" s="225">
        <v>0</v>
      </c>
      <c r="K42" s="237" t="str">
        <f>IF(ISEVEN(B42),(B42-1)&amp;"/"&amp;B42,B42&amp;"/"&amp;(B42+1))</f>
        <v>4017/4018</v>
      </c>
      <c r="L42" s="245" t="str">
        <f>VLOOKUP(A42,'Trips&amp;Operators'!$C$1:$G$99911,5,FALSE)</f>
        <v>KILLION DAVID</v>
      </c>
      <c r="M42" s="224">
        <f>I42-F42</f>
        <v>2.47453703705105E-2</v>
      </c>
      <c r="N42" s="225">
        <f>24*60*SUM($M42:$M42)</f>
        <v>35.63333333353512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-14T06:09:25-0700',mode:absolute,to:'2018-01-14T08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4.7500000000000001E-2</v>
      </c>
      <c r="Z42" s="247">
        <f>RIGHT(H42,LEN(H42)-4)/10000</f>
        <v>23.324300000000001</v>
      </c>
      <c r="AA42" s="247">
        <f>ABS(Z42-Y42)</f>
        <v>23.276800000000001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/stypes="app*4018*20180114*"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129-14 --locoid 4018 --swversion DE.1.0.9.0 --startMP 204:475 --initTime 2018-01-14T07:09:25 --startdatetime 2018-01-14T07:15:15 --delay 95 --endMP 204:233243 --enddatetime 2018-01-14T07:50:53 --enforcementcount 0 &gt;&gt;%USERPROFILE%\Documents\GitHub\eaglep3-reporting\EC\2018-01-14-refined-times.txt</v>
      </c>
      <c r="AI4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{"issue":{"subject":"","project_id":79,"tracker_id":40,"status_id":1,"priority_id":2,"assigned_to_id":338,"start_date":"2018-01-14","description":"","custom_fields":[{"id":1,"name":"Subdivision","value":"EC"},{"id":4,"name":"Milepost","value":"23.3243"},{"id":17,"name":"Train ID","value":"129-14"},{"id":16,"name":"Locomotive ID","value":"4018"},{"id":130,"name":"Impact","value":""},{"id":150,"name":"Time of Event (Mountain Time)","value":"07:50:53"},{"id":151,"name":"Denver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4018 --day 2018-01-14</v>
      </c>
      <c r="AN4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-14T06:09:25-0700',mode:absolute,to:'2018-01-14T08:50:53-0700'))&amp;_a=(columns:!('Message%20ID',Summary),filters:!(),index:'emp_*',interval:auto,query:(query_string:(analyze_wildcard:!t,query:'%22rtdc.l.rtdc.4018%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754</v>
      </c>
      <c r="B43" s="225">
        <v>4017</v>
      </c>
      <c r="C43" s="227" t="s">
        <v>191</v>
      </c>
      <c r="D43" s="227" t="s">
        <v>915</v>
      </c>
      <c r="E43" s="226">
        <v>43114.332002314812</v>
      </c>
      <c r="F43" s="226">
        <v>43114.342245370368</v>
      </c>
      <c r="G43" s="225">
        <v>75</v>
      </c>
      <c r="H43" s="227" t="s">
        <v>450</v>
      </c>
      <c r="I43" s="226">
        <v>43114.368819444448</v>
      </c>
      <c r="J43" s="225">
        <v>0</v>
      </c>
      <c r="K43" s="237" t="str">
        <f>IF(ISEVEN(B43),(B43-1)&amp;"/"&amp;B43,B43&amp;"/"&amp;(B43+1))</f>
        <v>4017/4018</v>
      </c>
      <c r="L43" s="245" t="str">
        <f>VLOOKUP(A43,'Trips&amp;Operators'!$C$1:$G$99911,5,FALSE)</f>
        <v>KILLION DAVID</v>
      </c>
      <c r="M43" s="224">
        <f>I43-F43</f>
        <v>2.6574074079690035E-2</v>
      </c>
      <c r="N43" s="225">
        <f>24*60*SUM($M43:$M43)</f>
        <v>38.266666674753651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-14T06:58:05-0700',mode:absolute,to:'2018-01-14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23.293600000000001</v>
      </c>
      <c r="Z43" s="247">
        <f>RIGHT(H43,LEN(H43)-4)/10000</f>
        <v>2.1100000000000001E-2</v>
      </c>
      <c r="AA43" s="247">
        <f>ABS(Z43-Y43)</f>
        <v>23.272500000000001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/stypes="app*4017*20180114*"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130-14 --locoid 4017 --swversion DE.1.0.9.0 --startMP 204:232936 --initTime 2018-01-14T07:58:05 --startdatetime 2018-01-14T08:12:50 --delay 75 --endMP 204:211 --enddatetime 2018-01-14T08:51:06 --enforcementcount 0 &gt;&gt;%USERPROFILE%\Documents\GitHub\eaglep3-reporting\EC\2018-01-14-refined-times.txt</v>
      </c>
      <c r="AI4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{"issue":{"subject":"","project_id":79,"tracker_id":40,"status_id":1,"priority_id":2,"assigned_to_id":338,"start_date":"2018-01-14","description":"","custom_fields":[{"id":1,"name":"Subdivision","value":"EC"},{"id":4,"name":"Milepost","value":"0.0211"},{"id":17,"name":"Train ID","value":"130-14"},{"id":16,"name":"Locomotive ID","value":"4017"},{"id":130,"name":"Impact","value":""},{"id":150,"name":"Time of Event (Mountain Time)","value":"08:51:06"},{"id":151,"name":"Denver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4017 --day 2018-01-14</v>
      </c>
      <c r="AN4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-14T06:58:05-0700',mode:absolute,to:'2018-01-14T09:51:06-0700'))&amp;_a=(columns:!('Message%20ID',Summary),filters:!(),index:'emp_*',interval:auto,query:(query_string:(analyze_wildcard:!t,query:'%22rtdc.l.rtdc.4017%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748</v>
      </c>
      <c r="B44" s="225">
        <v>4016</v>
      </c>
      <c r="C44" s="227" t="s">
        <v>191</v>
      </c>
      <c r="D44" s="227" t="s">
        <v>551</v>
      </c>
      <c r="E44" s="226">
        <v>43114.306539351855</v>
      </c>
      <c r="F44" s="226">
        <v>43114.312650462962</v>
      </c>
      <c r="G44" s="225">
        <v>46</v>
      </c>
      <c r="H44" s="227" t="s">
        <v>646</v>
      </c>
      <c r="I44" s="226">
        <v>43114.337071759262</v>
      </c>
      <c r="J44" s="225">
        <v>0</v>
      </c>
      <c r="K44" s="237" t="str">
        <f>IF(ISEVEN(B44),(B44-1)&amp;"/"&amp;B44,B44&amp;"/"&amp;(B44+1))</f>
        <v>4015/4016</v>
      </c>
      <c r="L44" s="245" t="str">
        <f>VLOOKUP(A44,'Trips&amp;Operators'!$C$1:$G$99911,5,FALSE)</f>
        <v>NEWELL JAMES</v>
      </c>
      <c r="M44" s="224">
        <f>I44-F44</f>
        <v>2.4421296300715767E-2</v>
      </c>
      <c r="N44" s="225">
        <f>24*60*SUM($M44:$M44)</f>
        <v>35.166666673030704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-14T06:21:25-0700',mode:absolute,to:'2018-01-14T09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5.79E-2</v>
      </c>
      <c r="Z44" s="247">
        <f>RIGHT(H44,LEN(H44)-4)/10000</f>
        <v>23.327999999999999</v>
      </c>
      <c r="AA44" s="247">
        <f>ABS(Z44-Y44)</f>
        <v>23.270099999999999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/stypes="app*4016*20180114*"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131-14 --locoid 4016 --swversion DE.1.0.9.0 --startMP 204:579 --initTime 2018-01-14T07:21:25 --startdatetime 2018-01-14T07:30:13 --delay 46 --endMP 204:233280 --enddatetime 2018-01-14T08:05:23 --enforcementcount 0 &gt;&gt;%USERPROFILE%\Documents\GitHub\eaglep3-reporting\EC\2018-01-14-refined-times.txt</v>
      </c>
      <c r="AI44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{"issue":{"subject":"","project_id":79,"tracker_id":40,"status_id":1,"priority_id":2,"assigned_to_id":338,"start_date":"2018-01-14","description":"","custom_fields":[{"id":1,"name":"Subdivision","value":"EC"},{"id":4,"name":"Milepost","value":"23.328"},{"id":17,"name":"Train ID","value":"131-14"},{"id":16,"name":"Locomotive ID","value":"4016"},{"id":130,"name":"Impact","value":""},{"id":150,"name":"Time of Event (Mountain Time)","value":"08:05:23"},{"id":151,"name":"Denver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4016 --day 2018-01-14</v>
      </c>
      <c r="AN44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-14T06:21:25-0700',mode:absolute,to:'2018-01-14T09:05:23-0700'))&amp;_a=(columns:!('Message%20ID',Summary),filters:!(),index:'emp_*',interval:auto,query:(query_string:(analyze_wildcard:!t,query:'%22rtdc.l.rtdc.4016%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759</v>
      </c>
      <c r="B45" s="225">
        <v>4015</v>
      </c>
      <c r="C45" s="227" t="s">
        <v>191</v>
      </c>
      <c r="D45" s="227" t="s">
        <v>941</v>
      </c>
      <c r="E45" s="226">
        <v>43114.340624999997</v>
      </c>
      <c r="F45" s="226">
        <v>43114.352233796293</v>
      </c>
      <c r="G45" s="225">
        <v>54</v>
      </c>
      <c r="H45" s="227" t="s">
        <v>942</v>
      </c>
      <c r="I45" s="226">
        <v>43114.377060185187</v>
      </c>
      <c r="J45" s="225">
        <v>0</v>
      </c>
      <c r="K45" s="237" t="str">
        <f>IF(ISEVEN(B45),(B45-1)&amp;"/"&amp;B45,B45&amp;"/"&amp;(B45+1))</f>
        <v>4015/4016</v>
      </c>
      <c r="L45" s="245" t="str">
        <f>VLOOKUP(A45,'Trips&amp;Operators'!$C$1:$G$99911,5,FALSE)</f>
        <v>NEWELL JAMES</v>
      </c>
      <c r="M45" s="224">
        <f>I45-F45</f>
        <v>2.4826388893416151E-2</v>
      </c>
      <c r="N45" s="225">
        <f>24*60*SUM($M45:$M45)</f>
        <v>35.750000006519258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-14T07:10:30-0700',mode:absolute,to:'2018-01-14T10:02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23.297000000000001</v>
      </c>
      <c r="Z45" s="247">
        <f>RIGHT(H45,LEN(H45)-4)/10000</f>
        <v>2.87E-2</v>
      </c>
      <c r="AA45" s="247">
        <f>ABS(Z45-Y45)</f>
        <v>23.2683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/stypes="app*4015*20180114*"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132-14 --locoid 4015 --swversion DE.1.0.9.0 --startMP 204:232970 --initTime 2018-01-14T08:10:30 --startdatetime 2018-01-14T08:27:13 --delay 54 --endMP 204:287 --enddatetime 2018-01-14T09:02:58 --enforcementcount 0 &gt;&gt;%USERPROFILE%\Documents\GitHub\eaglep3-reporting\EC\2018-01-14-refined-times.txt</v>
      </c>
      <c r="AI4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{"issue":{"subject":"","project_id":79,"tracker_id":40,"status_id":1,"priority_id":2,"assigned_to_id":338,"start_date":"2018-01-14","description":"","custom_fields":[{"id":1,"name":"Subdivision","value":"EC"},{"id":4,"name":"Milepost","value":"0.0287"},{"id":17,"name":"Train ID","value":"132-14"},{"id":16,"name":"Locomotive ID","value":"4015"},{"id":130,"name":"Impact","value":""},{"id":150,"name":"Time of Event (Mountain Time)","value":"09:02:58"},{"id":151,"name":"Denver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4015 --day 2018-01-14</v>
      </c>
      <c r="AN4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-14T07:10:30-0700',mode:absolute,to:'2018-01-14T10:02:58-0700'))&amp;_a=(columns:!('Message%20ID',Summary),filters:!(),index:'emp_*',interval:auto,query:(query_string:(analyze_wildcard:!t,query:'%22rtdc.l.rtdc.4015%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750</v>
      </c>
      <c r="B46" s="225">
        <v>4050</v>
      </c>
      <c r="C46" s="227" t="s">
        <v>191</v>
      </c>
      <c r="D46" s="227" t="s">
        <v>943</v>
      </c>
      <c r="E46" s="226">
        <v>43114.318136574075</v>
      </c>
      <c r="F46" s="226">
        <v>43114.323136574072</v>
      </c>
      <c r="G46" s="225">
        <v>104</v>
      </c>
      <c r="H46" s="227" t="s">
        <v>944</v>
      </c>
      <c r="I46" s="226">
        <v>43114.347048611111</v>
      </c>
      <c r="J46" s="225">
        <v>0</v>
      </c>
      <c r="K46" s="237" t="str">
        <f>IF(ISEVEN(B46),(B46-1)&amp;"/"&amp;B46,B46&amp;"/"&amp;(B46+1))</f>
        <v>4049/4050</v>
      </c>
      <c r="L46" s="245" t="str">
        <f>VLOOKUP(A46,'Trips&amp;Operators'!$C$1:$G$99911,5,FALSE)</f>
        <v>GUZMAN DANNY</v>
      </c>
      <c r="M46" s="224">
        <f>I46-F46</f>
        <v>2.3912037038826384E-2</v>
      </c>
      <c r="N46" s="225">
        <f>24*60*SUM($M46:$M46)</f>
        <v>34.433333335909992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-14T06:38:07-0700',mode:absolute,to:'2018-01-14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4.8899999999999999E-2</v>
      </c>
      <c r="Z46" s="247">
        <f>RIGHT(H46,LEN(H46)-4)/10000</f>
        <v>23.336200000000002</v>
      </c>
      <c r="AA46" s="247">
        <f>ABS(Z46-Y46)</f>
        <v>23.287300000000002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/stypes="app*4050*20180114*"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133-14 --locoid 4050 --swversion DE.1.0.9.0 --startMP 204:489 --initTime 2018-01-14T07:38:07 --startdatetime 2018-01-14T07:45:19 --delay 104 --endMP 204:233362 --enddatetime 2018-01-14T08:19:45 --enforcementcount 0 &gt;&gt;%USERPROFILE%\Documents\GitHub\eaglep3-reporting\EC\2018-01-14-refined-times.txt</v>
      </c>
      <c r="AI4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{"issue":{"subject":"","project_id":79,"tracker_id":40,"status_id":1,"priority_id":2,"assigned_to_id":338,"start_date":"2018-01-14","description":"","custom_fields":[{"id":1,"name":"Subdivision","value":"EC"},{"id":4,"name":"Milepost","value":"23.3362"},{"id":17,"name":"Train ID","value":"133-14"},{"id":16,"name":"Locomotive ID","value":"4050"},{"id":130,"name":"Impact","value":""},{"id":150,"name":"Time of Event (Mountain Time)","value":"08:19:45"},{"id":151,"name":"Denver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4050 --day 2018-01-14</v>
      </c>
      <c r="AN4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-14T06:38:07-0700',mode:absolute,to:'2018-01-14T09:19:45-0700'))&amp;_a=(columns:!('Message%20ID',Summary),filters:!(),index:'emp_*',interval:auto,query:(query_string:(analyze_wildcard:!t,query:'%22rtdc.l.rtdc.4050%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761</v>
      </c>
      <c r="B47" s="225">
        <v>4049</v>
      </c>
      <c r="C47" s="227" t="s">
        <v>191</v>
      </c>
      <c r="D47" s="227" t="s">
        <v>945</v>
      </c>
      <c r="E47" s="226">
        <v>43114.350636574076</v>
      </c>
      <c r="F47" s="226">
        <v>43114.362662037034</v>
      </c>
      <c r="G47" s="225">
        <v>64</v>
      </c>
      <c r="H47" s="227" t="s">
        <v>536</v>
      </c>
      <c r="I47" s="226">
        <v>43114.388298611113</v>
      </c>
      <c r="J47" s="225">
        <v>0</v>
      </c>
      <c r="K47" s="237" t="str">
        <f>IF(ISEVEN(B47),(B47-1)&amp;"/"&amp;B47,B47&amp;"/"&amp;(B47+1))</f>
        <v>4049/4050</v>
      </c>
      <c r="L47" s="245" t="str">
        <f>VLOOKUP(A47,'Trips&amp;Operators'!$C$1:$G$99911,5,FALSE)</f>
        <v>GUZMAN DANNY</v>
      </c>
      <c r="M47" s="224">
        <f>I47-F47</f>
        <v>2.5636574078816921E-2</v>
      </c>
      <c r="N47" s="225">
        <f>24*60*SUM($M47:$M47)</f>
        <v>36.916666673496366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-14T07:24:55-0700',mode:absolute,to:'2018-01-14T10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23.304200000000002</v>
      </c>
      <c r="Z47" s="247">
        <f>RIGHT(H47,LEN(H47)-4)/10000</f>
        <v>2.0299999999999999E-2</v>
      </c>
      <c r="AA47" s="247">
        <f>ABS(Z47-Y47)</f>
        <v>23.283900000000003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/stypes="app*4049*20180114*"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134-14 --locoid 4049 --swversion DE.1.0.9.0 --startMP 204:233042 --initTime 2018-01-14T08:24:55 --startdatetime 2018-01-14T08:42:14 --delay 64 --endMP 204:203 --enddatetime 2018-01-14T09:19:09 --enforcementcount 0 &gt;&gt;%USERPROFILE%\Documents\GitHub\eaglep3-reporting\EC\2018-01-14-refined-times.txt</v>
      </c>
      <c r="AI4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{"issue":{"subject":"","project_id":79,"tracker_id":40,"status_id":1,"priority_id":2,"assigned_to_id":338,"start_date":"2018-01-14","description":"","custom_fields":[{"id":1,"name":"Subdivision","value":"EC"},{"id":4,"name":"Milepost","value":"0.0203"},{"id":17,"name":"Train ID","value":"134-14"},{"id":16,"name":"Locomotive ID","value":"4049"},{"id":130,"name":"Impact","value":""},{"id":150,"name":"Time of Event (Mountain Time)","value":"09:19:09"},{"id":151,"name":"Denver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4049 --day 2018-01-14</v>
      </c>
      <c r="AN4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-14T07:24:55-0700',mode:absolute,to:'2018-01-14T10:19:09-0700'))&amp;_a=(columns:!('Message%20ID',Summary),filters:!(),index:'emp_*',interval:auto,query:(query_string:(analyze_wildcard:!t,query:'%22rtdc.l.rtdc.4049%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753</v>
      </c>
      <c r="B48" s="225">
        <v>4022</v>
      </c>
      <c r="C48" s="227" t="s">
        <v>191</v>
      </c>
      <c r="D48" s="227" t="s">
        <v>448</v>
      </c>
      <c r="E48" s="226">
        <v>43114.328368055554</v>
      </c>
      <c r="F48" s="226">
        <v>43114.333564814813</v>
      </c>
      <c r="G48" s="225">
        <v>54</v>
      </c>
      <c r="H48" s="227" t="s">
        <v>946</v>
      </c>
      <c r="I48" s="226">
        <v>43114.358761574076</v>
      </c>
      <c r="J48" s="225">
        <v>0</v>
      </c>
      <c r="K48" s="237" t="str">
        <f>IF(ISEVEN(B48),(B48-1)&amp;"/"&amp;B48,B48&amp;"/"&amp;(B48+1))</f>
        <v>4021/4022</v>
      </c>
      <c r="L48" s="245" t="str">
        <f>VLOOKUP(A48,'Trips&amp;Operators'!$C$1:$G$99911,5,FALSE)</f>
        <v>DAVIDSON DAVID</v>
      </c>
      <c r="M48" s="224">
        <f>I48-F48</f>
        <v>2.5196759263053536E-2</v>
      </c>
      <c r="N48" s="225">
        <f>24*60*SUM($M48:$M48)</f>
        <v>36.283333338797092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-14T06:52:51-0700',mode:absolute,to:'2018-01-14T09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5.1499999999999997E-2</v>
      </c>
      <c r="Z48" s="247">
        <f>RIGHT(H48,LEN(H48)-4)/10000</f>
        <v>23.328499999999998</v>
      </c>
      <c r="AA48" s="247">
        <f>ABS(Z48-Y48)</f>
        <v>23.276999999999997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/stypes="app*4022*20180114*"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135-14 --locoid 4022 --swversion DE.1.0.9.0 --startMP 204:515 --initTime 2018-01-14T07:52:51 --startdatetime 2018-01-14T08:00:20 --delay 54 --endMP 204:233285 --enddatetime 2018-01-14T08:36:37 --enforcementcount 0 &gt;&gt;%USERPROFILE%\Documents\GitHub\eaglep3-reporting\EC\2018-01-14-refined-times.txt</v>
      </c>
      <c r="AI4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{"issue":{"subject":"","project_id":79,"tracker_id":40,"status_id":1,"priority_id":2,"assigned_to_id":338,"start_date":"2018-01-14","description":"","custom_fields":[{"id":1,"name":"Subdivision","value":"EC"},{"id":4,"name":"Milepost","value":"23.3285"},{"id":17,"name":"Train ID","value":"135-14"},{"id":16,"name":"Locomotive ID","value":"4022"},{"id":130,"name":"Impact","value":""},{"id":150,"name":"Time of Event (Mountain Time)","value":"08:36:37"},{"id":151,"name":"Denver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4022 --day 2018-01-14</v>
      </c>
      <c r="AN4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-14T06:52:51-0700',mode:absolute,to:'2018-01-14T09:36:37-0700'))&amp;_a=(columns:!('Message%20ID',Summary),filters:!(),index:'emp_*',interval:auto,query:(query_string:(analyze_wildcard:!t,query:'%22rtdc.l.rtdc.4022%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764</v>
      </c>
      <c r="B49" s="225">
        <v>4021</v>
      </c>
      <c r="C49" s="227" t="s">
        <v>191</v>
      </c>
      <c r="D49" s="227" t="s">
        <v>484</v>
      </c>
      <c r="E49" s="226">
        <v>43114.360358796293</v>
      </c>
      <c r="F49" s="226">
        <v>43114.372442129628</v>
      </c>
      <c r="G49" s="225">
        <v>57</v>
      </c>
      <c r="H49" s="227" t="s">
        <v>450</v>
      </c>
      <c r="I49" s="226">
        <v>43114.399085648147</v>
      </c>
      <c r="J49" s="225">
        <v>0</v>
      </c>
      <c r="K49" s="237" t="str">
        <f>IF(ISEVEN(B49),(B49-1)&amp;"/"&amp;B49,B49&amp;"/"&amp;(B49+1))</f>
        <v>4021/4022</v>
      </c>
      <c r="L49" s="245" t="str">
        <f>VLOOKUP(A49,'Trips&amp;Operators'!$C$1:$G$99911,5,FALSE)</f>
        <v>DAVIDSON DAVID</v>
      </c>
      <c r="M49" s="224">
        <f>I49-F49</f>
        <v>2.6643518518540077E-2</v>
      </c>
      <c r="N49" s="225">
        <f>24*60*SUM($M49:$M49)</f>
        <v>38.366666666697711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-14T07:38:55-0700',mode:absolute,to:'2018-01-14T10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23.296399999999998</v>
      </c>
      <c r="Z49" s="247">
        <f>RIGHT(H49,LEN(H49)-4)/10000</f>
        <v>2.1100000000000001E-2</v>
      </c>
      <c r="AA49" s="247">
        <f>ABS(Z49-Y49)</f>
        <v>23.275299999999998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/stypes="app*4021*20180114*"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136-14 --locoid 4021 --swversion DE.1.0.9.0 --startMP 204:232964 --initTime 2018-01-14T08:38:55 --startdatetime 2018-01-14T08:56:19 --delay 57 --endMP 204:211 --enddatetime 2018-01-14T09:34:41 --enforcementcount 0 &gt;&gt;%USERPROFILE%\Documents\GitHub\eaglep3-reporting\EC\2018-01-14-refined-times.txt</v>
      </c>
      <c r="AI4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{"issue":{"subject":"","project_id":79,"tracker_id":40,"status_id":1,"priority_id":2,"assigned_to_id":338,"start_date":"2018-01-14","description":"","custom_fields":[{"id":1,"name":"Subdivision","value":"EC"},{"id":4,"name":"Milepost","value":"0.0211"},{"id":17,"name":"Train ID","value":"136-14"},{"id":16,"name":"Locomotive ID","value":"4021"},{"id":130,"name":"Impact","value":""},{"id":150,"name":"Time of Event (Mountain Time)","value":"09:34:41"},{"id":151,"name":"Denver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4021 --day 2018-01-14</v>
      </c>
      <c r="AN4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-14T07:38:55-0700',mode:absolute,to:'2018-01-14T10:34:41-0700'))&amp;_a=(columns:!('Message%20ID',Summary),filters:!(),index:'emp_*',interval:auto,query:(query_string:(analyze_wildcard:!t,query:'%22rtdc.l.rtdc.4021%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755</v>
      </c>
      <c r="B50" s="225">
        <v>4040</v>
      </c>
      <c r="C50" s="227" t="s">
        <v>191</v>
      </c>
      <c r="D50" s="227" t="s">
        <v>645</v>
      </c>
      <c r="E50" s="226">
        <v>43114.338483796295</v>
      </c>
      <c r="F50" s="226">
        <v>43114.343935185185</v>
      </c>
      <c r="G50" s="225">
        <v>55</v>
      </c>
      <c r="H50" s="227" t="s">
        <v>928</v>
      </c>
      <c r="I50" s="226">
        <v>43114.367615740739</v>
      </c>
      <c r="J50" s="225">
        <v>0</v>
      </c>
      <c r="K50" s="237" t="str">
        <f>IF(ISEVEN(B50),(B50-1)&amp;"/"&amp;B50,B50&amp;"/"&amp;(B50+1))</f>
        <v>4039/4040</v>
      </c>
      <c r="L50" s="245" t="str">
        <f>VLOOKUP(A50,'Trips&amp;Operators'!$C$1:$G$99911,5,FALSE)</f>
        <v>GEBRETEKLE DAGNEW</v>
      </c>
      <c r="M50" s="224">
        <f>I50-F50</f>
        <v>2.3680555554165039E-2</v>
      </c>
      <c r="N50" s="225">
        <f>24*60*SUM($M50:$M50)</f>
        <v>34.099999997997656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-14T07:07:25-0700',mode:absolute,to:'2018-01-14T09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4.5999999999999999E-2</v>
      </c>
      <c r="Z50" s="247">
        <f>RIGHT(H50,LEN(H50)-4)/10000</f>
        <v>23.3309</v>
      </c>
      <c r="AA50" s="247">
        <f>ABS(Z50-Y50)</f>
        <v>23.2849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/stypes="app*4040*20180114*"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137-14 --locoid 4040 --swversion DE.1.0.9.0 --startMP 204:460 --initTime 2018-01-14T08:07:25 --startdatetime 2018-01-14T08:15:16 --delay 55 --endMP 204:233309 --enddatetime 2018-01-14T08:49:22 --enforcementcount 0 &gt;&gt;%USERPROFILE%\Documents\GitHub\eaglep3-reporting\EC\2018-01-14-refined-times.txt</v>
      </c>
      <c r="AI5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{"issue":{"subject":"","project_id":79,"tracker_id":40,"status_id":1,"priority_id":2,"assigned_to_id":338,"start_date":"2018-01-14","description":"","custom_fields":[{"id":1,"name":"Subdivision","value":"EC"},{"id":4,"name":"Milepost","value":"23.3309"},{"id":17,"name":"Train ID","value":"137-14"},{"id":16,"name":"Locomotive ID","value":"4040"},{"id":130,"name":"Impact","value":""},{"id":150,"name":"Time of Event (Mountain Time)","value":"08:49:22"},{"id":151,"name":"Denver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4040 --day 2018-01-14</v>
      </c>
      <c r="AN5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-14T07:07:25-0700',mode:absolute,to:'2018-01-14T09:49:22-0700'))&amp;_a=(columns:!('Message%20ID',Summary),filters:!(),index:'emp_*',interval:auto,query:(query_string:(analyze_wildcard:!t,query:'%22rtdc.l.rtdc.4040%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683</v>
      </c>
      <c r="B51" s="225">
        <v>4039</v>
      </c>
      <c r="C51" s="227" t="s">
        <v>191</v>
      </c>
      <c r="D51" s="227" t="s">
        <v>641</v>
      </c>
      <c r="E51" s="226">
        <v>43114.369120370371</v>
      </c>
      <c r="F51" s="226">
        <v>43114.383553240739</v>
      </c>
      <c r="G51" s="225">
        <v>49</v>
      </c>
      <c r="H51" s="227" t="s">
        <v>527</v>
      </c>
      <c r="I51" s="226">
        <v>43114.409444444442</v>
      </c>
      <c r="J51" s="225">
        <v>0</v>
      </c>
      <c r="K51" s="237" t="str">
        <f>IF(ISEVEN(B51),(B51-1)&amp;"/"&amp;B51,B51&amp;"/"&amp;(B51+1))</f>
        <v>4039/4040</v>
      </c>
      <c r="L51" s="245" t="str">
        <f>VLOOKUP(A51,'Trips&amp;Operators'!$C$1:$G$99911,5,FALSE)</f>
        <v>GEBRETEKLE DAGNEW</v>
      </c>
      <c r="M51" s="224">
        <f>I51-F51</f>
        <v>2.5891203702485655E-2</v>
      </c>
      <c r="N51" s="225">
        <f>24*60*SUM($M51:$M51)</f>
        <v>37.283333331579342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-14T07:51:32-0700',mode:absolute,to:'2018-01-14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23.298999999999999</v>
      </c>
      <c r="Z51" s="247">
        <f>RIGHT(H51,LEN(H51)-4)/10000</f>
        <v>1.5599999999999999E-2</v>
      </c>
      <c r="AA51" s="247">
        <f>ABS(Z51-Y51)</f>
        <v>23.2834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/stypes="app*4039*20180114*"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138-14 --locoid 4039 --swversion DE.1.0.9.0 --startMP 204:232990 --initTime 2018-01-14T08:51:32 --startdatetime 2018-01-14T09:12:19 --delay 49 --endMP 204:156 --enddatetime 2018-01-14T09:49:36 --enforcementcount 0 &gt;&gt;%USERPROFILE%\Documents\GitHub\eaglep3-reporting\EC\2018-01-14-refined-times.txt</v>
      </c>
      <c r="AI5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{"issue":{"subject":"","project_id":79,"tracker_id":40,"status_id":1,"priority_id":2,"assigned_to_id":338,"start_date":"2018-01-14","description":"","custom_fields":[{"id":1,"name":"Subdivision","value":"EC"},{"id":4,"name":"Milepost","value":"0.0156"},{"id":17,"name":"Train ID","value":"138-14"},{"id":16,"name":"Locomotive ID","value":"4039"},{"id":130,"name":"Impact","value":""},{"id":150,"name":"Time of Event (Mountain Time)","value":"09:49:36"},{"id":151,"name":"Denver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4039 --day 2018-01-14</v>
      </c>
      <c r="AN5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-14T07:51:32-0700',mode:absolute,to:'2018-01-14T10:49:36-0700'))&amp;_a=(columns:!('Message%20ID',Summary),filters:!(),index:'emp_*',interval:auto,query:(query_string:(analyze_wildcard:!t,query:'%22rtdc.l.rtdc.4039%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760</v>
      </c>
      <c r="B52" s="225">
        <v>4028</v>
      </c>
      <c r="C52" s="227" t="s">
        <v>191</v>
      </c>
      <c r="D52" s="227" t="s">
        <v>546</v>
      </c>
      <c r="E52" s="226">
        <v>43114.350636574076</v>
      </c>
      <c r="F52" s="226">
        <v>43114.354479166665</v>
      </c>
      <c r="G52" s="225">
        <v>96</v>
      </c>
      <c r="H52" s="227" t="s">
        <v>937</v>
      </c>
      <c r="I52" s="226">
        <v>43114.378344907411</v>
      </c>
      <c r="J52" s="225">
        <v>0</v>
      </c>
      <c r="K52" s="237" t="str">
        <f>IF(ISEVEN(B52),(B52-1)&amp;"/"&amp;B52,B52&amp;"/"&amp;(B52+1))</f>
        <v>4027/4028</v>
      </c>
      <c r="L52" s="245" t="str">
        <f>VLOOKUP(A52,'Trips&amp;Operators'!$C$1:$G$99911,5,FALSE)</f>
        <v>YORK EDGAR</v>
      </c>
      <c r="M52" s="224">
        <f>I52-F52</f>
        <v>2.3865740746259689E-2</v>
      </c>
      <c r="N52" s="225">
        <f>24*60*SUM($M52:$M52)</f>
        <v>34.366666674613953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-14T07:24:55-0700',mode:absolute,to:'2018-01-14T10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4.58E-2</v>
      </c>
      <c r="Z52" s="247">
        <f>RIGHT(H52,LEN(H52)-4)/10000</f>
        <v>23.329799999999999</v>
      </c>
      <c r="AA52" s="247">
        <f>ABS(Z52-Y52)</f>
        <v>23.283999999999999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/stypes="app*4028*20180114*"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139-14 --locoid 4028 --swversion DE.1.0.9.0 --startMP 204:458 --initTime 2018-01-14T08:24:55 --startdatetime 2018-01-14T08:30:27 --delay 96 --endMP 204:233298 --enddatetime 2018-01-14T09:04:49 --enforcementcount 0 &gt;&gt;%USERPROFILE%\Documents\GitHub\eaglep3-reporting\EC\2018-01-14-refined-times.txt</v>
      </c>
      <c r="AI5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{"issue":{"subject":"","project_id":79,"tracker_id":40,"status_id":1,"priority_id":2,"assigned_to_id":338,"start_date":"2018-01-14","description":"","custom_fields":[{"id":1,"name":"Subdivision","value":"EC"},{"id":4,"name":"Milepost","value":"23.3298"},{"id":17,"name":"Train ID","value":"139-14"},{"id":16,"name":"Locomotive ID","value":"4028"},{"id":130,"name":"Impact","value":""},{"id":150,"name":"Time of Event (Mountain Time)","value":"09:04:49"},{"id":151,"name":"Denver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4028 --day 2018-01-14</v>
      </c>
      <c r="AN5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-14T07:24:55-0700',mode:absolute,to:'2018-01-14T10:04:49-0700'))&amp;_a=(columns:!('Message%20ID',Summary),filters:!(),index:'emp_*',interval:auto,query:(query_string:(analyze_wildcard:!t,query:'%22rtdc.l.rtdc.4028%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768</v>
      </c>
      <c r="B53" s="225">
        <v>4027</v>
      </c>
      <c r="C53" s="227" t="s">
        <v>191</v>
      </c>
      <c r="D53" s="227" t="s">
        <v>947</v>
      </c>
      <c r="E53" s="226">
        <v>43114.379780092589</v>
      </c>
      <c r="F53" s="226">
        <v>43114.393993055557</v>
      </c>
      <c r="G53" s="225">
        <v>57</v>
      </c>
      <c r="H53" s="227" t="s">
        <v>665</v>
      </c>
      <c r="I53" s="226">
        <v>43114.418819444443</v>
      </c>
      <c r="J53" s="225">
        <v>0</v>
      </c>
      <c r="K53" s="237" t="str">
        <f>IF(ISEVEN(B53),(B53-1)&amp;"/"&amp;B53,B53&amp;"/"&amp;(B53+1))</f>
        <v>4027/4028</v>
      </c>
      <c r="L53" s="245" t="str">
        <f>VLOOKUP(A53,'Trips&amp;Operators'!$C$1:$G$99911,5,FALSE)</f>
        <v>YORK EDGAR</v>
      </c>
      <c r="M53" s="224">
        <f>I53-F53</f>
        <v>2.4826388886140194E-2</v>
      </c>
      <c r="N53" s="225">
        <f>24*60*SUM($M53:$M53)</f>
        <v>35.749999996041879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-14T08:06:53-0700',mode:absolute,to:'2018-01-14T11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23.2974</v>
      </c>
      <c r="Z53" s="247">
        <f>RIGHT(H53,LEN(H53)-4)/10000</f>
        <v>1.83E-2</v>
      </c>
      <c r="AA53" s="247">
        <f>ABS(Z53-Y53)</f>
        <v>23.2791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/stypes="app*4027*20180114*"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140-14 --locoid 4027 --swversion DE.1.0.9.0 --startMP 204:232974 --initTime 2018-01-14T09:06:53 --startdatetime 2018-01-14T09:27:21 --delay 57 --endMP 204:183 --enddatetime 2018-01-14T10:03:06 --enforcementcount 0 &gt;&gt;%USERPROFILE%\Documents\GitHub\eaglep3-reporting\EC\2018-01-14-refined-times.txt</v>
      </c>
      <c r="AI5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{"issue":{"subject":"","project_id":79,"tracker_id":40,"status_id":1,"priority_id":2,"assigned_to_id":338,"start_date":"2018-01-14","description":"","custom_fields":[{"id":1,"name":"Subdivision","value":"EC"},{"id":4,"name":"Milepost","value":"0.0183"},{"id":17,"name":"Train ID","value":"140-14"},{"id":16,"name":"Locomotive ID","value":"4027"},{"id":130,"name":"Impact","value":""},{"id":150,"name":"Time of Event (Mountain Time)","value":"10:03:06"},{"id":151,"name":"Denver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4027 --day 2018-01-14</v>
      </c>
      <c r="AN5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-14T08:06:53-0700',mode:absolute,to:'2018-01-14T11:03:06-0700'))&amp;_a=(columns:!('Message%20ID',Summary),filters:!(),index:'emp_*',interval:auto,query:(query_string:(analyze_wildcard:!t,query:'%22rtdc.l.rtdc.4027%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763</v>
      </c>
      <c r="B54" s="225">
        <v>4026</v>
      </c>
      <c r="C54" s="227" t="s">
        <v>191</v>
      </c>
      <c r="D54" s="227" t="s">
        <v>649</v>
      </c>
      <c r="E54" s="226">
        <v>43114.359675925924</v>
      </c>
      <c r="F54" s="226">
        <v>43114.364861111113</v>
      </c>
      <c r="G54" s="225">
        <v>72</v>
      </c>
      <c r="H54" s="227" t="s">
        <v>948</v>
      </c>
      <c r="I54" s="226">
        <v>43114.389027777775</v>
      </c>
      <c r="J54" s="225">
        <v>0</v>
      </c>
      <c r="K54" s="237" t="str">
        <f>IF(ISEVEN(B54),(B54-1)&amp;"/"&amp;B54,B54&amp;"/"&amp;(B54+1))</f>
        <v>4025/4026</v>
      </c>
      <c r="L54" s="245" t="str">
        <f>VLOOKUP(A54,'Trips&amp;Operators'!$C$1:$G$99911,5,FALSE)</f>
        <v>LORI SANTOS</v>
      </c>
      <c r="M54" s="224">
        <f>I54-F54</f>
        <v>2.4166666662495118E-2</v>
      </c>
      <c r="N54" s="225">
        <f>24*60*SUM($M54:$M54)</f>
        <v>34.799999993992969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-14T07:37:56-0700',mode:absolute,to:'2018-01-14T10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4.5100000000000001E-2</v>
      </c>
      <c r="Z54" s="247">
        <f>RIGHT(H54,LEN(H54)-4)/10000</f>
        <v>23.3261</v>
      </c>
      <c r="AA54" s="247">
        <f>ABS(Z54-Y54)</f>
        <v>23.280999999999999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/stypes="app*4026*20180114*"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141-14 --locoid 4026 --swversion DE.1.0.9.0 --startMP 204:451 --initTime 2018-01-14T08:37:56 --startdatetime 2018-01-14T08:45:24 --delay 72 --endMP 204:233261 --enddatetime 2018-01-14T09:20:12 --enforcementcount 0 &gt;&gt;%USERPROFILE%\Documents\GitHub\eaglep3-reporting\EC\2018-01-14-refined-times.txt</v>
      </c>
      <c r="AI54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{"issue":{"subject":"","project_id":79,"tracker_id":40,"status_id":1,"priority_id":2,"assigned_to_id":338,"start_date":"2018-01-14","description":"","custom_fields":[{"id":1,"name":"Subdivision","value":"EC"},{"id":4,"name":"Milepost","value":"23.3261"},{"id":17,"name":"Train ID","value":"141-14"},{"id":16,"name":"Locomotive ID","value":"4026"},{"id":130,"name":"Impact","value":""},{"id":150,"name":"Time of Event (Mountain Time)","value":"09:20:12"},{"id":151,"name":"Denver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4026 --day 2018-01-14</v>
      </c>
      <c r="AN54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-14T07:37:56-0700',mode:absolute,to:'2018-01-14T10:20:12-0700'))&amp;_a=(columns:!('Message%20ID',Summary),filters:!(),index:'emp_*',interval:auto,query:(query_string:(analyze_wildcard:!t,query:'%22rtdc.l.rtdc.4026%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771</v>
      </c>
      <c r="B55" s="225">
        <v>4025</v>
      </c>
      <c r="C55" s="227" t="s">
        <v>191</v>
      </c>
      <c r="D55" s="227" t="s">
        <v>949</v>
      </c>
      <c r="E55" s="226">
        <v>43114.399270833332</v>
      </c>
      <c r="F55" s="226">
        <v>43114.404409722221</v>
      </c>
      <c r="G55" s="225">
        <v>109</v>
      </c>
      <c r="H55" s="227" t="s">
        <v>920</v>
      </c>
      <c r="I55" s="226">
        <v>43114.430451388886</v>
      </c>
      <c r="J55" s="225">
        <v>0</v>
      </c>
      <c r="K55" s="237" t="str">
        <f>IF(ISEVEN(B55),(B55-1)&amp;"/"&amp;B55,B55&amp;"/"&amp;(B55+1))</f>
        <v>4025/4026</v>
      </c>
      <c r="L55" s="245" t="str">
        <f>VLOOKUP(A55,'Trips&amp;Operators'!$C$1:$G$99911,5,FALSE)</f>
        <v>LORI SANTOS</v>
      </c>
      <c r="M55" s="224">
        <f>I55-F55</f>
        <v>2.6041666664241347E-2</v>
      </c>
      <c r="N55" s="225">
        <f>24*60*SUM($M55:$M55)</f>
        <v>37.49999999650754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-14T08:34:57-0700',mode:absolute,to:'2018-01-14T11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23.292899999999999</v>
      </c>
      <c r="Z55" s="247">
        <f>RIGHT(H55,LEN(H55)-4)/10000</f>
        <v>2.3800000000000002E-2</v>
      </c>
      <c r="AA55" s="247">
        <f>ABS(Z55-Y55)</f>
        <v>23.269099999999998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/stypes="app*4025*20180114*"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142-14 --locoid 4025 --swversion DE.1.0.9.0 --startMP 204:232929 --initTime 2018-01-14T09:34:57 --startdatetime 2018-01-14T09:42:21 --delay 109 --endMP 204:238 --enddatetime 2018-01-14T10:19:51 --enforcementcount 0 &gt;&gt;%USERPROFILE%\Documents\GitHub\eaglep3-reporting\EC\2018-01-14-refined-times.txt</v>
      </c>
      <c r="AI5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{"issue":{"subject":"","project_id":79,"tracker_id":40,"status_id":1,"priority_id":2,"assigned_to_id":338,"start_date":"2018-01-14","description":"","custom_fields":[{"id":1,"name":"Subdivision","value":"EC"},{"id":4,"name":"Milepost","value":"0.0238"},{"id":17,"name":"Train ID","value":"142-14"},{"id":16,"name":"Locomotive ID","value":"4025"},{"id":130,"name":"Impact","value":""},{"id":150,"name":"Time of Event (Mountain Time)","value":"10:19:51"},{"id":151,"name":"Denver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4025 --day 2018-01-14</v>
      </c>
      <c r="AN5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-14T08:34:57-0700',mode:absolute,to:'2018-01-14T11:19:51-0700'))&amp;_a=(columns:!('Message%20ID',Summary),filters:!(),index:'emp_*',interval:auto,query:(query_string:(analyze_wildcard:!t,query:'%22rtdc.l.rtdc.4025%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765</v>
      </c>
      <c r="B56" s="225">
        <v>4018</v>
      </c>
      <c r="C56" s="227" t="s">
        <v>191</v>
      </c>
      <c r="D56" s="227" t="s">
        <v>533</v>
      </c>
      <c r="E56" s="226">
        <v>43114.370138888888</v>
      </c>
      <c r="F56" s="226">
        <v>43114.375162037039</v>
      </c>
      <c r="G56" s="225">
        <v>83</v>
      </c>
      <c r="H56" s="227" t="s">
        <v>950</v>
      </c>
      <c r="I56" s="226">
        <v>43114.400034722225</v>
      </c>
      <c r="J56" s="225">
        <v>0</v>
      </c>
      <c r="K56" s="237" t="str">
        <f>IF(ISEVEN(B56),(B56-1)&amp;"/"&amp;B56,B56&amp;"/"&amp;(B56+1))</f>
        <v>4017/4018</v>
      </c>
      <c r="L56" s="245" t="str">
        <f>VLOOKUP(A56,'Trips&amp;Operators'!$C$1:$G$99911,5,FALSE)</f>
        <v>WILLIAMS DONTE</v>
      </c>
      <c r="M56" s="224">
        <f>I56-F56</f>
        <v>2.4872685185982846E-2</v>
      </c>
      <c r="N56" s="225">
        <f>24*60*SUM($M56:$M56)</f>
        <v>35.816666667815298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-14T07:53:00-0700',mode:absolute,to:'2018-01-14T10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5.2200000000000003E-2</v>
      </c>
      <c r="Z56" s="247">
        <f>RIGHT(H56,LEN(H56)-4)/10000</f>
        <v>23.324400000000001</v>
      </c>
      <c r="AA56" s="247">
        <f>ABS(Z56-Y56)</f>
        <v>23.272200000000002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/stypes="app*4018*20180114*"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143-14 --locoid 4018 --swversion DE.1.0.9.0 --startMP 204:522 --initTime 2018-01-14T08:53:00 --startdatetime 2018-01-14T09:00:14 --delay 83 --endMP 204:233244 --enddatetime 2018-01-14T09:36:03 --enforcementcount 0 &gt;&gt;%USERPROFILE%\Documents\GitHub\eaglep3-reporting\EC\2018-01-14-refined-times.txt</v>
      </c>
      <c r="AI5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{"issue":{"subject":"","project_id":79,"tracker_id":40,"status_id":1,"priority_id":2,"assigned_to_id":338,"start_date":"2018-01-14","description":"","custom_fields":[{"id":1,"name":"Subdivision","value":"EC"},{"id":4,"name":"Milepost","value":"23.3244"},{"id":17,"name":"Train ID","value":"143-14"},{"id":16,"name":"Locomotive ID","value":"4018"},{"id":130,"name":"Impact","value":""},{"id":150,"name":"Time of Event (Mountain Time)","value":"09:36:03"},{"id":151,"name":"Denver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4018 --day 2018-01-14</v>
      </c>
      <c r="AN5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-14T07:53:00-0700',mode:absolute,to:'2018-01-14T10:36:03-0700'))&amp;_a=(columns:!('Message%20ID',Summary),filters:!(),index:'emp_*',interval:auto,query:(query_string:(analyze_wildcard:!t,query:'%22rtdc.l.rtdc.4018%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773</v>
      </c>
      <c r="B57" s="225">
        <v>4017</v>
      </c>
      <c r="C57" s="227" t="s">
        <v>191</v>
      </c>
      <c r="D57" s="227" t="s">
        <v>651</v>
      </c>
      <c r="E57" s="226">
        <v>43114.410208333335</v>
      </c>
      <c r="F57" s="226">
        <v>43114.41479166667</v>
      </c>
      <c r="G57" s="225">
        <v>95</v>
      </c>
      <c r="H57" s="227" t="s">
        <v>535</v>
      </c>
      <c r="I57" s="226">
        <v>43114.440150462964</v>
      </c>
      <c r="J57" s="225">
        <v>0</v>
      </c>
      <c r="K57" s="237" t="str">
        <f>IF(ISEVEN(B57),(B57-1)&amp;"/"&amp;B57,B57&amp;"/"&amp;(B57+1))</f>
        <v>4017/4018</v>
      </c>
      <c r="L57" s="245" t="str">
        <f>VLOOKUP(A57,'Trips&amp;Operators'!$C$1:$G$99911,5,FALSE)</f>
        <v>WILLIAMS DONTE</v>
      </c>
      <c r="M57" s="224">
        <f>I57-F57</f>
        <v>2.5358796294312924E-2</v>
      </c>
      <c r="N57" s="225">
        <f>24*60*SUM($M57:$M57)</f>
        <v>36.516666663810611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-14T08:50:42-0700',mode:absolute,to:'2018-01-14T11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23.293199999999999</v>
      </c>
      <c r="Z57" s="247">
        <f>RIGHT(H57,LEN(H57)-4)/10000</f>
        <v>1.9800000000000002E-2</v>
      </c>
      <c r="AA57" s="247">
        <f>ABS(Z57-Y57)</f>
        <v>23.273399999999999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/stypes="app*4017*20180114*"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144-14 --locoid 4017 --swversion DE.1.0.9.0 --startMP 204:232932 --initTime 2018-01-14T09:50:42 --startdatetime 2018-01-14T09:57:18 --delay 95 --endMP 204:198 --enddatetime 2018-01-14T10:33:49 --enforcementcount 0 &gt;&gt;%USERPROFILE%\Documents\GitHub\eaglep3-reporting\EC\2018-01-14-refined-times.txt</v>
      </c>
      <c r="AI5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{"issue":{"subject":"","project_id":79,"tracker_id":40,"status_id":1,"priority_id":2,"assigned_to_id":338,"start_date":"2018-01-14","description":"","custom_fields":[{"id":1,"name":"Subdivision","value":"EC"},{"id":4,"name":"Milepost","value":"0.0198"},{"id":17,"name":"Train ID","value":"144-14"},{"id":16,"name":"Locomotive ID","value":"4017"},{"id":130,"name":"Impact","value":""},{"id":150,"name":"Time of Event (Mountain Time)","value":"10:33:49"},{"id":151,"name":"Denver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4017 --day 2018-01-14</v>
      </c>
      <c r="AN5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-14T08:50:42-0700',mode:absolute,to:'2018-01-14T11:33:49-0700'))&amp;_a=(columns:!('Message%20ID',Summary),filters:!(),index:'emp_*',interval:auto,query:(query_string:(analyze_wildcard:!t,query:'%22rtdc.l.rtdc.4017%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767</v>
      </c>
      <c r="B58" s="225">
        <v>4016</v>
      </c>
      <c r="C58" s="227" t="s">
        <v>191</v>
      </c>
      <c r="D58" s="227" t="s">
        <v>662</v>
      </c>
      <c r="E58" s="226">
        <v>43114.378287037034</v>
      </c>
      <c r="F58" s="226">
        <v>43114.385555555556</v>
      </c>
      <c r="G58" s="225">
        <v>49</v>
      </c>
      <c r="H58" s="227" t="s">
        <v>951</v>
      </c>
      <c r="I58" s="226">
        <v>43114.409166666665</v>
      </c>
      <c r="J58" s="225">
        <v>0</v>
      </c>
      <c r="K58" s="237" t="str">
        <f>IF(ISEVEN(B58),(B58-1)&amp;"/"&amp;B58,B58&amp;"/"&amp;(B58+1))</f>
        <v>4015/4016</v>
      </c>
      <c r="L58" s="245" t="str">
        <f>VLOOKUP(A58,'Trips&amp;Operators'!$C$1:$G$99911,5,FALSE)</f>
        <v>NEWELL JAMES</v>
      </c>
      <c r="M58" s="224">
        <f>I58-F58</f>
        <v>2.361111110803904E-2</v>
      </c>
      <c r="N58" s="225">
        <f>24*60*SUM($M58:$M58)</f>
        <v>33.999999995576218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-14T08:04:44-0700',mode:absolute,to:'2018-01-14T10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5.7700000000000001E-2</v>
      </c>
      <c r="Z58" s="247">
        <f>RIGHT(H58,LEN(H58)-4)/10000</f>
        <v>23.329899999999999</v>
      </c>
      <c r="AA58" s="247">
        <f>ABS(Z58-Y58)</f>
        <v>23.272199999999998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/stypes="app*4016*20180114*"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145-14 --locoid 4016 --swversion DE.1.0.9.0 --startMP 204:577 --initTime 2018-01-14T09:04:44 --startdatetime 2018-01-14T09:15:12 --delay 49 --endMP 204:233299 --enddatetime 2018-01-14T09:49:12 --enforcementcount 0 &gt;&gt;%USERPROFILE%\Documents\GitHub\eaglep3-reporting\EC\2018-01-14-refined-times.txt</v>
      </c>
      <c r="AI5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{"issue":{"subject":"","project_id":79,"tracker_id":40,"status_id":1,"priority_id":2,"assigned_to_id":338,"start_date":"2018-01-14","description":"","custom_fields":[{"id":1,"name":"Subdivision","value":"EC"},{"id":4,"name":"Milepost","value":"23.3299"},{"id":17,"name":"Train ID","value":"145-14"},{"id":16,"name":"Locomotive ID","value":"4016"},{"id":130,"name":"Impact","value":""},{"id":150,"name":"Time of Event (Mountain Time)","value":"09:49:12"},{"id":151,"name":"Denver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4016 --day 2018-01-14</v>
      </c>
      <c r="AN5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-14T08:04:44-0700',mode:absolute,to:'2018-01-14T10:49:12-0700'))&amp;_a=(columns:!('Message%20ID',Summary),filters:!(),index:'emp_*',interval:auto,query:(query_string:(analyze_wildcard:!t,query:'%22rtdc.l.rtdc.4016%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775</v>
      </c>
      <c r="B59" s="225">
        <v>4015</v>
      </c>
      <c r="C59" s="227" t="s">
        <v>191</v>
      </c>
      <c r="D59" s="227" t="s">
        <v>638</v>
      </c>
      <c r="E59" s="226">
        <v>43114.412731481483</v>
      </c>
      <c r="F59" s="226">
        <v>43114.425138888888</v>
      </c>
      <c r="G59" s="225">
        <v>90</v>
      </c>
      <c r="H59" s="227" t="s">
        <v>952</v>
      </c>
      <c r="I59" s="226">
        <v>43114.450173611112</v>
      </c>
      <c r="J59" s="225">
        <v>0</v>
      </c>
      <c r="K59" s="237" t="str">
        <f>IF(ISEVEN(B59),(B59-1)&amp;"/"&amp;B59,B59&amp;"/"&amp;(B59+1))</f>
        <v>4015/4016</v>
      </c>
      <c r="L59" s="245" t="str">
        <f>VLOOKUP(A59,'Trips&amp;Operators'!$C$1:$G$99911,5,FALSE)</f>
        <v>NEWELL JAMES</v>
      </c>
      <c r="M59" s="224">
        <f>I59-F59</f>
        <v>2.5034722224518191E-2</v>
      </c>
      <c r="N59" s="225">
        <f>24*60*SUM($M59:$M59)</f>
        <v>36.050000003306195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-14T08:54:20-0700',mode:absolute,to:'2018-01-14T11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23.296500000000002</v>
      </c>
      <c r="Z59" s="247">
        <f>RIGHT(H59,LEN(H59)-4)/10000</f>
        <v>2.93E-2</v>
      </c>
      <c r="AA59" s="247">
        <f>ABS(Z59-Y59)</f>
        <v>23.267200000000003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/stypes="app*4015*20180114*"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146-14 --locoid 4015 --swversion DE.1.0.9.0 --startMP 204:232965 --initTime 2018-01-14T09:54:20 --startdatetime 2018-01-14T10:12:12 --delay 90 --endMP 204:293 --enddatetime 2018-01-14T10:48:15 --enforcementcount 0 &gt;&gt;%USERPROFILE%\Documents\GitHub\eaglep3-reporting\EC\2018-01-14-refined-times.txt</v>
      </c>
      <c r="AI5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{"issue":{"subject":"","project_id":79,"tracker_id":40,"status_id":1,"priority_id":2,"assigned_to_id":338,"start_date":"2018-01-14","description":"","custom_fields":[{"id":1,"name":"Subdivision","value":"EC"},{"id":4,"name":"Milepost","value":"0.0293"},{"id":17,"name":"Train ID","value":"146-14"},{"id":16,"name":"Locomotive ID","value":"4015"},{"id":130,"name":"Impact","value":""},{"id":150,"name":"Time of Event (Mountain Time)","value":"10:48:15"},{"id":151,"name":"Denver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4015 --day 2018-01-14</v>
      </c>
      <c r="AN5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-14T08:54:20-0700',mode:absolute,to:'2018-01-14T11:48:15-0700'))&amp;_a=(columns:!('Message%20ID',Summary),filters:!(),index:'emp_*',interval:auto,query:(query_string:(analyze_wildcard:!t,query:'%22rtdc.l.rtdc.4015%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770</v>
      </c>
      <c r="B60" s="225">
        <v>4050</v>
      </c>
      <c r="C60" s="227" t="s">
        <v>191</v>
      </c>
      <c r="D60" s="227" t="s">
        <v>448</v>
      </c>
      <c r="E60" s="226">
        <v>43114.392453703702</v>
      </c>
      <c r="F60" s="226">
        <v>43114.39603009259</v>
      </c>
      <c r="G60" s="225">
        <v>58</v>
      </c>
      <c r="H60" s="227" t="s">
        <v>659</v>
      </c>
      <c r="I60" s="226">
        <v>43114.420520833337</v>
      </c>
      <c r="J60" s="225">
        <v>0</v>
      </c>
      <c r="K60" s="237" t="str">
        <f>IF(ISEVEN(B60),(B60-1)&amp;"/"&amp;B60,B60&amp;"/"&amp;(B60+1))</f>
        <v>4049/4050</v>
      </c>
      <c r="L60" s="245" t="str">
        <f>VLOOKUP(A60,'Trips&amp;Operators'!$C$1:$G$99911,5,FALSE)</f>
        <v>GUZMAN DANNY</v>
      </c>
      <c r="M60" s="224">
        <f>I60-F60</f>
        <v>2.4490740746841766E-2</v>
      </c>
      <c r="N60" s="225">
        <f>24*60*SUM($M60:$M60)</f>
        <v>35.266666675452143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-14T08:25:08-0700',mode:absolute,to:'2018-01-14T11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5.1499999999999997E-2</v>
      </c>
      <c r="Z60" s="247">
        <f>RIGHT(H60,LEN(H60)-4)/10000</f>
        <v>23.33</v>
      </c>
      <c r="AA60" s="247">
        <f>ABS(Z60-Y60)</f>
        <v>23.278499999999998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/stypes="app*4050*20180114*"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147-14 --locoid 4050 --swversion DE.1.0.9.0 --startMP 204:515 --initTime 2018-01-14T09:25:08 --startdatetime 2018-01-14T09:30:17 --delay 58 --endMP 204:233300 --enddatetime 2018-01-14T10:05:33 --enforcementcount 0 &gt;&gt;%USERPROFILE%\Documents\GitHub\eaglep3-reporting\EC\2018-01-14-refined-times.txt</v>
      </c>
      <c r="AI6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{"issue":{"subject":"","project_id":79,"tracker_id":40,"status_id":1,"priority_id":2,"assigned_to_id":338,"start_date":"2018-01-14","description":"","custom_fields":[{"id":1,"name":"Subdivision","value":"EC"},{"id":4,"name":"Milepost","value":"23.33"},{"id":17,"name":"Train ID","value":"147-14"},{"id":16,"name":"Locomotive ID","value":"4050"},{"id":130,"name":"Impact","value":""},{"id":150,"name":"Time of Event (Mountain Time)","value":"10:05:33"},{"id":151,"name":"Denver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4050 --day 2018-01-14</v>
      </c>
      <c r="AN6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-14T08:25:08-0700',mode:absolute,to:'2018-01-14T11:05:33-0700'))&amp;_a=(columns:!('Message%20ID',Summary),filters:!(),index:'emp_*',interval:auto,query:(query_string:(analyze_wildcard:!t,query:'%22rtdc.l.rtdc.4050%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778</v>
      </c>
      <c r="B61" s="225">
        <v>4049</v>
      </c>
      <c r="C61" s="227" t="s">
        <v>191</v>
      </c>
      <c r="D61" s="227" t="s">
        <v>953</v>
      </c>
      <c r="E61" s="226">
        <v>43114.425219907411</v>
      </c>
      <c r="F61" s="226">
        <v>43114.435601851852</v>
      </c>
      <c r="G61" s="225">
        <v>47</v>
      </c>
      <c r="H61" s="227" t="s">
        <v>954</v>
      </c>
      <c r="I61" s="226">
        <v>43114.461157407408</v>
      </c>
      <c r="J61" s="225">
        <v>0</v>
      </c>
      <c r="K61" s="237" t="str">
        <f>IF(ISEVEN(B61),(B61-1)&amp;"/"&amp;B61,B61&amp;"/"&amp;(B61+1))</f>
        <v>4049/4050</v>
      </c>
      <c r="L61" s="245" t="str">
        <f>VLOOKUP(A61,'Trips&amp;Operators'!$C$1:$G$99911,5,FALSE)</f>
        <v>GUZMAN DANNY</v>
      </c>
      <c r="M61" s="224">
        <f>I61-F61</f>
        <v>2.5555555555911269E-2</v>
      </c>
      <c r="N61" s="225">
        <f>24*60*SUM($M61:$M61)</f>
        <v>36.800000000512227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-14T09:12:19-0700',mode:absolute,to:'2018-01-14T12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23.298500000000001</v>
      </c>
      <c r="Z61" s="247">
        <f>RIGHT(H61,LEN(H61)-4)/10000</f>
        <v>1.4500000000000001E-2</v>
      </c>
      <c r="AA61" s="247">
        <f>ABS(Z61-Y61)</f>
        <v>23.283999999999999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/stypes="app*4049*20180114*"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148-14 --locoid 4049 --swversion DE.1.0.9.0 --startMP 204:232985 --initTime 2018-01-14T10:12:19 --startdatetime 2018-01-14T10:27:16 --delay 47 --endMP 204:145 --enddatetime 2018-01-14T11:04:04 --enforcementcount 0 &gt;&gt;%USERPROFILE%\Documents\GitHub\eaglep3-reporting\EC\2018-01-14-refined-times.txt</v>
      </c>
      <c r="AI6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{"issue":{"subject":"","project_id":79,"tracker_id":40,"status_id":1,"priority_id":2,"assigned_to_id":338,"start_date":"2018-01-14","description":"","custom_fields":[{"id":1,"name":"Subdivision","value":"EC"},{"id":4,"name":"Milepost","value":"0.0145"},{"id":17,"name":"Train ID","value":"148-14"},{"id":16,"name":"Locomotive ID","value":"4049"},{"id":130,"name":"Impact","value":""},{"id":150,"name":"Time of Event (Mountain Time)","value":"11:04:04"},{"id":151,"name":"Denver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4049 --day 2018-01-14</v>
      </c>
      <c r="AN6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-14T09:12:19-0700',mode:absolute,to:'2018-01-14T12:04:04-0700'))&amp;_a=(columns:!('Message%20ID',Summary),filters:!(),index:'emp_*',interval:auto,query:(query_string:(analyze_wildcard:!t,query:'%22rtdc.l.rtdc.4049%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772</v>
      </c>
      <c r="B62" s="225">
        <v>4022</v>
      </c>
      <c r="C62" s="227" t="s">
        <v>191</v>
      </c>
      <c r="D62" s="227" t="s">
        <v>664</v>
      </c>
      <c r="E62" s="226">
        <v>43114.400405092594</v>
      </c>
      <c r="F62" s="226">
        <v>43114.406458333331</v>
      </c>
      <c r="G62" s="225">
        <v>60</v>
      </c>
      <c r="H62" s="227" t="s">
        <v>529</v>
      </c>
      <c r="I62" s="226">
        <v>43114.431041666663</v>
      </c>
      <c r="J62" s="225">
        <v>0</v>
      </c>
      <c r="K62" s="237" t="str">
        <f>IF(ISEVEN(B62),(B62-1)&amp;"/"&amp;B62,B62&amp;"/"&amp;(B62+1))</f>
        <v>4021/4022</v>
      </c>
      <c r="L62" s="245" t="str">
        <f>VLOOKUP(A62,'Trips&amp;Operators'!$C$1:$G$99911,5,FALSE)</f>
        <v>DAVIDSON DAVID</v>
      </c>
      <c r="M62" s="224">
        <f>I62-F62</f>
        <v>2.4583333331975155E-2</v>
      </c>
      <c r="N62" s="225">
        <f>24*60*SUM($M62:$M62)</f>
        <v>35.399999998044223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-14T08:36:35-0700',mode:absolute,to:'2018-01-14T11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5.4399999999999997E-2</v>
      </c>
      <c r="Z62" s="247">
        <f>RIGHT(H62,LEN(H62)-4)/10000</f>
        <v>23.327200000000001</v>
      </c>
      <c r="AA62" s="247">
        <f>ABS(Z62-Y62)</f>
        <v>23.2728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/stypes="app*4022*20180114*"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149-14 --locoid 4022 --swversion DE.1.0.9.0 --startMP 204:544 --initTime 2018-01-14T09:36:35 --startdatetime 2018-01-14T09:45:18 --delay 60 --endMP 204:233272 --enddatetime 2018-01-14T10:20:42 --enforcementcount 0 &gt;&gt;%USERPROFILE%\Documents\GitHub\eaglep3-reporting\EC\2018-01-14-refined-times.txt</v>
      </c>
      <c r="AI6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{"issue":{"subject":"","project_id":79,"tracker_id":40,"status_id":1,"priority_id":2,"assigned_to_id":338,"start_date":"2018-01-14","description":"","custom_fields":[{"id":1,"name":"Subdivision","value":"EC"},{"id":4,"name":"Milepost","value":"23.3272"},{"id":17,"name":"Train ID","value":"149-14"},{"id":16,"name":"Locomotive ID","value":"4022"},{"id":130,"name":"Impact","value":""},{"id":150,"name":"Time of Event (Mountain Time)","value":"10:20:42"},{"id":151,"name":"Denver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4022 --day 2018-01-14</v>
      </c>
      <c r="AN6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-14T08:36:35-0700',mode:absolute,to:'2018-01-14T11:20:42-0700'))&amp;_a=(columns:!('Message%20ID',Summary),filters:!(),index:'emp_*',interval:auto,query:(query_string:(analyze_wildcard:!t,query:'%22rtdc.l.rtdc.4022%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779</v>
      </c>
      <c r="B63" s="225">
        <v>4021</v>
      </c>
      <c r="C63" s="227" t="s">
        <v>191</v>
      </c>
      <c r="D63" s="227" t="s">
        <v>526</v>
      </c>
      <c r="E63" s="226">
        <v>43114.432754629626</v>
      </c>
      <c r="F63" s="226">
        <v>43114.446053240739</v>
      </c>
      <c r="G63" s="225">
        <v>60</v>
      </c>
      <c r="H63" s="227" t="s">
        <v>653</v>
      </c>
      <c r="I63" s="226">
        <v>43114.47278935185</v>
      </c>
      <c r="J63" s="225">
        <v>0</v>
      </c>
      <c r="K63" s="237" t="str">
        <f>IF(ISEVEN(B63),(B63-1)&amp;"/"&amp;B63,B63&amp;"/"&amp;(B63+1))</f>
        <v>4021/4022</v>
      </c>
      <c r="L63" s="245" t="str">
        <f>VLOOKUP(A63,'Trips&amp;Operators'!$C$1:$G$99911,5,FALSE)</f>
        <v>DAVIDSON DAVID</v>
      </c>
      <c r="M63" s="224">
        <f>I63-F63</f>
        <v>2.6736111110949423E-2</v>
      </c>
      <c r="N63" s="225">
        <f>24*60*SUM($M63:$M63)</f>
        <v>38.499999999767169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-14T09:23:10-0700',mode:absolute,to:'2018-01-14T12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23.296099999999999</v>
      </c>
      <c r="Z63" s="247">
        <f>RIGHT(H63,LEN(H63)-4)/10000</f>
        <v>2.1999999999999999E-2</v>
      </c>
      <c r="AA63" s="247">
        <f>ABS(Z63-Y63)</f>
        <v>23.274100000000001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/stypes="app*4021*20180114*"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150-14 --locoid 4021 --swversion DE.1.0.9.0 --startMP 204:232961 --initTime 2018-01-14T10:23:10 --startdatetime 2018-01-14T10:42:19 --delay 60 --endMP 204:220 --enddatetime 2018-01-14T11:20:49 --enforcementcount 0 &gt;&gt;%USERPROFILE%\Documents\GitHub\eaglep3-reporting\EC\2018-01-14-refined-times.txt</v>
      </c>
      <c r="AI6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{"issue":{"subject":"","project_id":79,"tracker_id":40,"status_id":1,"priority_id":2,"assigned_to_id":338,"start_date":"2018-01-14","description":"","custom_fields":[{"id":1,"name":"Subdivision","value":"EC"},{"id":4,"name":"Milepost","value":"0.022"},{"id":17,"name":"Train ID","value":"150-14"},{"id":16,"name":"Locomotive ID","value":"4021"},{"id":130,"name":"Impact","value":""},{"id":150,"name":"Time of Event (Mountain Time)","value":"11:20:49"},{"id":151,"name":"Denver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4021 --day 2018-01-14</v>
      </c>
      <c r="AN6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-14T09:23:10-0700',mode:absolute,to:'2018-01-14T12:20:49-0700'))&amp;_a=(columns:!('Message%20ID',Summary),filters:!(),index:'emp_*',interval:auto,query:(query_string:(analyze_wildcard:!t,query:'%22rtdc.l.rtdc.4021%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774</v>
      </c>
      <c r="B64" s="225">
        <v>4040</v>
      </c>
      <c r="C64" s="227" t="s">
        <v>191</v>
      </c>
      <c r="D64" s="227" t="s">
        <v>504</v>
      </c>
      <c r="E64" s="226">
        <v>43114.41269675926</v>
      </c>
      <c r="F64" s="226">
        <v>43114.41684027778</v>
      </c>
      <c r="G64" s="225">
        <v>62</v>
      </c>
      <c r="H64" s="227" t="s">
        <v>955</v>
      </c>
      <c r="I64" s="226">
        <v>43114.441203703704</v>
      </c>
      <c r="J64" s="225">
        <v>0</v>
      </c>
      <c r="K64" s="237" t="str">
        <f>IF(ISEVEN(B64),(B64-1)&amp;"/"&amp;B64,B64&amp;"/"&amp;(B64+1))</f>
        <v>4039/4040</v>
      </c>
      <c r="L64" s="245" t="str">
        <f>VLOOKUP(A64,'Trips&amp;Operators'!$C$1:$G$99911,5,FALSE)</f>
        <v>GEBRETEKLE DAGNEW</v>
      </c>
      <c r="M64" s="224">
        <f>I64-F64</f>
        <v>2.4363425924093463E-2</v>
      </c>
      <c r="N64" s="225">
        <f>24*60*SUM($M64:$M64)</f>
        <v>35.083333330694586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-14T08:54:17-0700',mode:absolute,to:'2018-01-14T11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4.4600000000000001E-2</v>
      </c>
      <c r="Z64" s="247">
        <f>RIGHT(H64,LEN(H64)-4)/10000</f>
        <v>23.330400000000001</v>
      </c>
      <c r="AA64" s="247">
        <f>ABS(Z64-Y64)</f>
        <v>23.285800000000002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/stypes="app*4040*20180114*"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151-14 --locoid 4040 --swversion DE.1.0.9.0 --startMP 204:446 --initTime 2018-01-14T09:54:17 --startdatetime 2018-01-14T10:00:15 --delay 62 --endMP 204:233304 --enddatetime 2018-01-14T10:35:20 --enforcementcount 0 &gt;&gt;%USERPROFILE%\Documents\GitHub\eaglep3-reporting\EC\2018-01-14-refined-times.txt</v>
      </c>
      <c r="AI64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{"issue":{"subject":"","project_id":79,"tracker_id":40,"status_id":1,"priority_id":2,"assigned_to_id":338,"start_date":"2018-01-14","description":"","custom_fields":[{"id":1,"name":"Subdivision","value":"EC"},{"id":4,"name":"Milepost","value":"23.3304"},{"id":17,"name":"Train ID","value":"151-14"},{"id":16,"name":"Locomotive ID","value":"4040"},{"id":130,"name":"Impact","value":""},{"id":150,"name":"Time of Event (Mountain Time)","value":"10:35:20"},{"id":151,"name":"Denver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4040 --day 2018-01-14</v>
      </c>
      <c r="AN64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-14T08:54:17-0700',mode:absolute,to:'2018-01-14T11:35:20-0700'))&amp;_a=(columns:!('Message%20ID',Summary),filters:!(),index:'emp_*',interval:auto,query:(query_string:(analyze_wildcard:!t,query:'%22rtdc.l.rtdc.4040%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782</v>
      </c>
      <c r="B65" s="225">
        <v>4039</v>
      </c>
      <c r="C65" s="227" t="s">
        <v>191</v>
      </c>
      <c r="D65" s="227" t="s">
        <v>953</v>
      </c>
      <c r="E65" s="226">
        <v>43114.44258101852</v>
      </c>
      <c r="F65" s="226">
        <v>43114.456435185188</v>
      </c>
      <c r="G65" s="225">
        <v>46</v>
      </c>
      <c r="H65" s="227" t="s">
        <v>956</v>
      </c>
      <c r="I65" s="226">
        <v>43114.481562499997</v>
      </c>
      <c r="J65" s="225">
        <v>0</v>
      </c>
      <c r="K65" s="237" t="str">
        <f>IF(ISEVEN(B65),(B65-1)&amp;"/"&amp;B65,B65&amp;"/"&amp;(B65+1))</f>
        <v>4039/4040</v>
      </c>
      <c r="L65" s="245" t="str">
        <f>VLOOKUP(A65,'Trips&amp;Operators'!$C$1:$G$99911,5,FALSE)</f>
        <v>GEBRETEKLE DAGNEW</v>
      </c>
      <c r="M65" s="224">
        <f>I65-F65</f>
        <v>2.512731480965158E-2</v>
      </c>
      <c r="N65" s="225">
        <f>24*60*SUM($M65:$M65)</f>
        <v>36.183333325898275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-14T09:37:19-0700',mode:absolute,to:'2018-01-14T12:33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23.298500000000001</v>
      </c>
      <c r="Z65" s="247">
        <f>RIGHT(H65,LEN(H65)-4)/10000</f>
        <v>1.32E-2</v>
      </c>
      <c r="AA65" s="247">
        <f>ABS(Z65-Y65)</f>
        <v>23.285299999999999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/stypes="app*4039*20180114*"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152-14 --locoid 4039 --swversion DE.1.0.9.0 --startMP 204:232985 --initTime 2018-01-14T10:37:19 --startdatetime 2018-01-14T10:57:16 --delay 46 --endMP 204:132 --enddatetime 2018-01-14T11:33:27 --enforcementcount 0 &gt;&gt;%USERPROFILE%\Documents\GitHub\eaglep3-reporting\EC\2018-01-14-refined-times.txt</v>
      </c>
      <c r="AI6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{"issue":{"subject":"","project_id":79,"tracker_id":40,"status_id":1,"priority_id":2,"assigned_to_id":338,"start_date":"2018-01-14","description":"","custom_fields":[{"id":1,"name":"Subdivision","value":"EC"},{"id":4,"name":"Milepost","value":"0.0132"},{"id":17,"name":"Train ID","value":"152-14"},{"id":16,"name":"Locomotive ID","value":"4039"},{"id":130,"name":"Impact","value":""},{"id":150,"name":"Time of Event (Mountain Time)","value":"11:33:27"},{"id":151,"name":"Denver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4039 --day 2018-01-14</v>
      </c>
      <c r="AN6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-14T09:37:19-0700',mode:absolute,to:'2018-01-14T12:33:27-0700'))&amp;_a=(columns:!('Message%20ID',Summary),filters:!(),index:'emp_*',interval:auto,query:(query_string:(analyze_wildcard:!t,query:'%22rtdc.l.rtdc.4039%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777</v>
      </c>
      <c r="B66" s="225">
        <v>4028</v>
      </c>
      <c r="C66" s="227" t="s">
        <v>191</v>
      </c>
      <c r="D66" s="227" t="s">
        <v>449</v>
      </c>
      <c r="E66" s="226">
        <v>43114.420590277776</v>
      </c>
      <c r="F66" s="226">
        <v>43114.42728009259</v>
      </c>
      <c r="G66" s="225">
        <v>131</v>
      </c>
      <c r="H66" s="227" t="s">
        <v>547</v>
      </c>
      <c r="I66" s="226">
        <v>43114.451203703706</v>
      </c>
      <c r="J66" s="225">
        <v>0</v>
      </c>
      <c r="K66" s="237" t="str">
        <f>IF(ISEVEN(B66),(B66-1)&amp;"/"&amp;B66,B66&amp;"/"&amp;(B66+1))</f>
        <v>4027/4028</v>
      </c>
      <c r="L66" s="245" t="str">
        <f>VLOOKUP(A66,'Trips&amp;Operators'!$C$1:$G$99911,5,FALSE)</f>
        <v>LOPES KIMBERLY</v>
      </c>
      <c r="M66" s="224">
        <f>I66-F66</f>
        <v>2.3923611115606036E-2</v>
      </c>
      <c r="N66" s="225">
        <f>24*60*SUM($M66:$M66)</f>
        <v>34.450000006472692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-14T09:05:39-0700',mode:absolute,to:'2018-01-14T11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4.9799999999999997E-2</v>
      </c>
      <c r="Z66" s="247">
        <f>RIGHT(H66,LEN(H66)-4)/10000</f>
        <v>23.3264</v>
      </c>
      <c r="AA66" s="247">
        <f>ABS(Z66-Y66)</f>
        <v>23.276599999999998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/stypes="app*4028*20180114*"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153-14 --locoid 4028 --swversion DE.1.0.9.0 --startMP 204:498 --initTime 2018-01-14T10:05:39 --startdatetime 2018-01-14T10:15:17 --delay 131 --endMP 204:233264 --enddatetime 2018-01-14T10:49:44 --enforcementcount 0 &gt;&gt;%USERPROFILE%\Documents\GitHub\eaglep3-reporting\EC\2018-01-14-refined-times.txt</v>
      </c>
      <c r="AI6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{"issue":{"subject":"","project_id":79,"tracker_id":40,"status_id":1,"priority_id":2,"assigned_to_id":338,"start_date":"2018-01-14","description":"","custom_fields":[{"id":1,"name":"Subdivision","value":"EC"},{"id":4,"name":"Milepost","value":"23.3264"},{"id":17,"name":"Train ID","value":"153-14"},{"id":16,"name":"Locomotive ID","value":"4028"},{"id":130,"name":"Impact","value":""},{"id":150,"name":"Time of Event (Mountain Time)","value":"10:49:44"},{"id":151,"name":"Denver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4028 --day 2018-01-14</v>
      </c>
      <c r="AN6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-14T09:05:39-0700',mode:absolute,to:'2018-01-14T11:49:44-0700'))&amp;_a=(columns:!('Message%20ID',Summary),filters:!(),index:'emp_*',interval:auto,query:(query_string:(analyze_wildcard:!t,query:'%22rtdc.l.rtdc.4028%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785</v>
      </c>
      <c r="B67" s="225">
        <v>4027</v>
      </c>
      <c r="C67" s="227" t="s">
        <v>191</v>
      </c>
      <c r="D67" s="227" t="s">
        <v>957</v>
      </c>
      <c r="E67" s="226">
        <v>43114.452349537038</v>
      </c>
      <c r="F67" s="226">
        <v>43114.466898148145</v>
      </c>
      <c r="G67" s="225">
        <v>64</v>
      </c>
      <c r="H67" s="227" t="s">
        <v>501</v>
      </c>
      <c r="I67" s="226">
        <v>43114.4925</v>
      </c>
      <c r="J67" s="225">
        <v>0</v>
      </c>
      <c r="K67" s="237" t="str">
        <f>IF(ISEVEN(B67),(B67-1)&amp;"/"&amp;B67,B67&amp;"/"&amp;(B67+1))</f>
        <v>4027/4028</v>
      </c>
      <c r="L67" s="245" t="str">
        <f>VLOOKUP(A67,'Trips&amp;Operators'!$C$1:$G$99911,5,FALSE)</f>
        <v>LOPES KIMBERLY</v>
      </c>
      <c r="M67" s="224">
        <f>I67-F67</f>
        <v>2.5601851855753921E-2</v>
      </c>
      <c r="N67" s="225">
        <f>24*60*SUM($M67:$M67)</f>
        <v>36.866666672285646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-14T09:51:23-0700',mode:absolute,to:'2018-01-14T12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23.292999999999999</v>
      </c>
      <c r="Z67" s="247">
        <f>RIGHT(H67,LEN(H67)-4)/10000</f>
        <v>2.3199999999999998E-2</v>
      </c>
      <c r="AA67" s="247">
        <f>ABS(Z67-Y67)</f>
        <v>23.2698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/stypes="app*4027*20180114*"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154-14 --locoid 4027 --swversion DE.1.0.9.0 --startMP 204:232930 --initTime 2018-01-14T10:51:23 --startdatetime 2018-01-14T11:12:20 --delay 64 --endMP 204:232 --enddatetime 2018-01-14T11:49:12 --enforcementcount 0 &gt;&gt;%USERPROFILE%\Documents\GitHub\eaglep3-reporting\EC\2018-01-14-refined-times.txt</v>
      </c>
      <c r="AI6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{"issue":{"subject":"","project_id":79,"tracker_id":40,"status_id":1,"priority_id":2,"assigned_to_id":338,"start_date":"2018-01-14","description":"","custom_fields":[{"id":1,"name":"Subdivision","value":"EC"},{"id":4,"name":"Milepost","value":"0.0232"},{"id":17,"name":"Train ID","value":"154-14"},{"id":16,"name":"Locomotive ID","value":"4027"},{"id":130,"name":"Impact","value":""},{"id":150,"name":"Time of Event (Mountain Time)","value":"11:49:12"},{"id":151,"name":"Denver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4027 --day 2018-01-14</v>
      </c>
      <c r="AN6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-14T09:51:23-0700',mode:absolute,to:'2018-01-14T12:49:12-0700'))&amp;_a=(columns:!('Message%20ID',Summary),filters:!(),index:'emp_*',interval:auto,query:(query_string:(analyze_wildcard:!t,query:'%22rtdc.l.rtdc.4027%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781</v>
      </c>
      <c r="B68" s="225">
        <v>4026</v>
      </c>
      <c r="C68" s="227" t="s">
        <v>191</v>
      </c>
      <c r="D68" s="227" t="s">
        <v>958</v>
      </c>
      <c r="E68" s="226">
        <v>43114.435243055559</v>
      </c>
      <c r="F68" s="226">
        <v>43114.437673611108</v>
      </c>
      <c r="G68" s="225">
        <v>58</v>
      </c>
      <c r="H68" s="227" t="s">
        <v>477</v>
      </c>
      <c r="I68" s="226">
        <v>43114.462627314817</v>
      </c>
      <c r="J68" s="225">
        <v>0</v>
      </c>
      <c r="K68" s="237" t="str">
        <f>IF(ISEVEN(B68),(B68-1)&amp;"/"&amp;B68,B68&amp;"/"&amp;(B68+1))</f>
        <v>4025/4026</v>
      </c>
      <c r="L68" s="245" t="str">
        <f>VLOOKUP(A68,'Trips&amp;Operators'!$C$1:$G$99911,5,FALSE)</f>
        <v>LORI SANTOS</v>
      </c>
      <c r="M68" s="224">
        <f>I68-F68</f>
        <v>2.4953703708888497E-2</v>
      </c>
      <c r="N68" s="225">
        <f>24*60*SUM($M68:$M68)</f>
        <v>35.933333340799436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-14T09:26:45-0700',mode:absolute,to:'2018-01-14T12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5.4199999999999998E-2</v>
      </c>
      <c r="Z68" s="247">
        <f>RIGHT(H68,LEN(H68)-4)/10000</f>
        <v>23.325900000000001</v>
      </c>
      <c r="AA68" s="247">
        <f>ABS(Z68-Y68)</f>
        <v>23.271699999999999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/stypes="app*4026*20180114*"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155-14 --locoid 4026 --swversion DE.1.0.9.0 --startMP 204:542 --initTime 2018-01-14T10:26:45 --startdatetime 2018-01-14T10:30:15 --delay 58 --endMP 204:233259 --enddatetime 2018-01-14T11:06:11 --enforcementcount 0 &gt;&gt;%USERPROFILE%\Documents\GitHub\eaglep3-reporting\EC\2018-01-14-refined-times.txt</v>
      </c>
      <c r="AI6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{"issue":{"subject":"","project_id":79,"tracker_id":40,"status_id":1,"priority_id":2,"assigned_to_id":338,"start_date":"2018-01-14","description":"","custom_fields":[{"id":1,"name":"Subdivision","value":"EC"},{"id":4,"name":"Milepost","value":"23.3259"},{"id":17,"name":"Train ID","value":"155-14"},{"id":16,"name":"Locomotive ID","value":"4026"},{"id":130,"name":"Impact","value":""},{"id":150,"name":"Time of Event (Mountain Time)","value":"11:06:11"},{"id":151,"name":"Denver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4026 --day 2018-01-14</v>
      </c>
      <c r="AN6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-14T09:26:45-0700',mode:absolute,to:'2018-01-14T12:06:11-0700'))&amp;_a=(columns:!('Message%20ID',Summary),filters:!(),index:'emp_*',interval:auto,query:(query_string:(analyze_wildcard:!t,query:'%22rtdc.l.rtdc.4026%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781</v>
      </c>
      <c r="B69" s="225">
        <v>4026</v>
      </c>
      <c r="C69" s="227" t="s">
        <v>191</v>
      </c>
      <c r="D69" s="227" t="s">
        <v>654</v>
      </c>
      <c r="E69" s="226">
        <v>43114.433668981481</v>
      </c>
      <c r="F69" s="226">
        <v>43114.437673611108</v>
      </c>
      <c r="G69" s="225">
        <v>57</v>
      </c>
      <c r="H69" s="227" t="s">
        <v>654</v>
      </c>
      <c r="I69" s="226">
        <v>43114.462627314817</v>
      </c>
      <c r="J69" s="225">
        <v>0</v>
      </c>
      <c r="K69" s="237" t="str">
        <f>IF(ISEVEN(B69),(B69-1)&amp;"/"&amp;B69,B69&amp;"/"&amp;(B69+1))</f>
        <v>4025/4026</v>
      </c>
      <c r="L69" s="245" t="str">
        <f>VLOOKUP(A69,'Trips&amp;Operators'!$C$1:$G$99911,5,FALSE)</f>
        <v>LORI SANTOS</v>
      </c>
      <c r="M69" s="224">
        <f>I69-F69</f>
        <v>2.4953703708888497E-2</v>
      </c>
      <c r="N69" s="225"/>
      <c r="O69" s="225"/>
      <c r="P69" s="225"/>
      <c r="Q69" s="228"/>
      <c r="R69" s="242"/>
      <c r="S69" s="249"/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-14T09:24:29-0700',mode:absolute,to:'2018-01-14T12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247" t="str">
        <f>IF(AA69&lt;VLOOKUP(AG69,Variables!$AC$3:$AD$8,2,FALSE),"Y","N")</f>
        <v>Y</v>
      </c>
      <c r="X69" s="247">
        <f>VALUE(LEFT(AD69,4))-VALUE(LEFT(AD68,4))</f>
        <v>0</v>
      </c>
      <c r="Y69" s="247">
        <f>RIGHT(D69,LEN(D69)-4)/10000</f>
        <v>5.4600000000000003E-2</v>
      </c>
      <c r="Z69" s="247">
        <f>RIGHT(H69,LEN(H69)-4)/10000</f>
        <v>5.4600000000000003E-2</v>
      </c>
      <c r="AA69" s="247">
        <f>ABS(Z69-Y69)</f>
        <v>0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/stypes="app*4026*20180114*"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155-14 --locoid 4026 --swversion DE.1.0.9.0 --startMP 204:546 --initTime 2018-01-14T10:24:29 --startdatetime 2018-01-14T10:30:15 --delay 57 --endMP 204:546 --enddatetime 2018-01-14T11:06:11 --enforcementcount 0 &gt;&gt;%USERPROFILE%\Documents\GitHub\eaglep3-reporting\EC\2018-01-14-refined-times.txt</v>
      </c>
      <c r="AI69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{"issue":{"subject":"","project_id":79,"tracker_id":40,"status_id":1,"priority_id":2,"assigned_to_id":338,"start_date":"2018-01-14","description":"","custom_fields":[{"id":1,"name":"Subdivision","value":"EC"},{"id":4,"name":"Milepost","value":"0.0546"},{"id":17,"name":"Train ID","value":"155-14"},{"id":16,"name":"Locomotive ID","value":"4026"},{"id":130,"name":"Impact","value":""},{"id":150,"name":"Time of Event (Mountain Time)","value":"11:06:11"},{"id":151,"name":"Denver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4026 --day 2018-01-14</v>
      </c>
      <c r="AN69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-14T09:24:29-0700',mode:absolute,to:'2018-01-14T12:06:11-0700'))&amp;_a=(columns:!('Message%20ID',Summary),filters:!(),index:'emp_*',interval:auto,query:(query_string:(analyze_wildcard:!t,query:'%22rtdc.l.rtdc.4026%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789</v>
      </c>
      <c r="B70" s="225">
        <v>4025</v>
      </c>
      <c r="C70" s="227" t="s">
        <v>191</v>
      </c>
      <c r="D70" s="227" t="s">
        <v>629</v>
      </c>
      <c r="E70" s="226">
        <v>43114.474965277775</v>
      </c>
      <c r="F70" s="226">
        <v>43114.477268518516</v>
      </c>
      <c r="G70" s="225">
        <v>49</v>
      </c>
      <c r="H70" s="227" t="s">
        <v>539</v>
      </c>
      <c r="I70" s="226">
        <v>43114.502962962964</v>
      </c>
      <c r="J70" s="225">
        <v>0</v>
      </c>
      <c r="K70" s="237" t="str">
        <f>IF(ISEVEN(B70),(B70-1)&amp;"/"&amp;B70,B70&amp;"/"&amp;(B70+1))</f>
        <v>4025/4026</v>
      </c>
      <c r="L70" s="245" t="str">
        <f>VLOOKUP(A70,'Trips&amp;Operators'!$C$1:$G$99911,5,FALSE)</f>
        <v>LORI SANTOS</v>
      </c>
      <c r="M70" s="224">
        <f>I70-F70</f>
        <v>2.5694444448163267E-2</v>
      </c>
      <c r="N70" s="225">
        <f>24*60*SUM($M70:$M70)</f>
        <v>37.000000005355105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-14T10:23:57-0700',mode:absolute,to:'2018-01-14T13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23.2943</v>
      </c>
      <c r="Z70" s="247">
        <f>RIGHT(H70,LEN(H70)-4)/10000</f>
        <v>2.2100000000000002E-2</v>
      </c>
      <c r="AA70" s="247">
        <f>ABS(Z70-Y70)</f>
        <v>23.272200000000002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/stypes="app*4025*20180114*"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156-14 --locoid 4025 --swversion DE.1.0.9.0 --startMP 204:232943 --initTime 2018-01-14T11:23:57 --startdatetime 2018-01-14T11:27:16 --delay 49 --endMP 204:221 --enddatetime 2018-01-14T12:04:16 --enforcementcount 0 &gt;&gt;%USERPROFILE%\Documents\GitHub\eaglep3-reporting\EC\2018-01-14-refined-times.txt</v>
      </c>
      <c r="AI70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{"issue":{"subject":"","project_id":79,"tracker_id":40,"status_id":1,"priority_id":2,"assigned_to_id":338,"start_date":"2018-01-14","description":"","custom_fields":[{"id":1,"name":"Subdivision","value":"EC"},{"id":4,"name":"Milepost","value":"0.0221"},{"id":17,"name":"Train ID","value":"156-14"},{"id":16,"name":"Locomotive ID","value":"4025"},{"id":130,"name":"Impact","value":""},{"id":150,"name":"Time of Event (Mountain Time)","value":"12:04:16"},{"id":151,"name":"Denver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4025 --day 2018-01-14</v>
      </c>
      <c r="AN70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-14T10:23:57-0700',mode:absolute,to:'2018-01-14T13:04:16-0700'))&amp;_a=(columns:!('Message%20ID',Summary),filters:!(),index:'emp_*',interval:auto,query:(query_string:(analyze_wildcard:!t,query:'%22rtdc.l.rtdc.4025%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783</v>
      </c>
      <c r="B71" s="225">
        <v>4018</v>
      </c>
      <c r="C71" s="227" t="s">
        <v>191</v>
      </c>
      <c r="D71" s="227" t="s">
        <v>543</v>
      </c>
      <c r="E71" s="226">
        <v>43114.442418981482</v>
      </c>
      <c r="F71" s="226">
        <v>43114.448136574072</v>
      </c>
      <c r="G71" s="225">
        <v>114</v>
      </c>
      <c r="H71" s="227" t="s">
        <v>496</v>
      </c>
      <c r="I71" s="226">
        <v>43114.472314814811</v>
      </c>
      <c r="J71" s="225">
        <v>0</v>
      </c>
      <c r="K71" s="237" t="str">
        <f>IF(ISEVEN(B71),(B71-1)&amp;"/"&amp;B71,B71&amp;"/"&amp;(B71+1))</f>
        <v>4017/4018</v>
      </c>
      <c r="L71" s="245" t="str">
        <f>VLOOKUP(A71,'Trips&amp;Operators'!$C$1:$G$99911,5,FALSE)</f>
        <v>STEWART MICHAEL</v>
      </c>
      <c r="M71" s="224">
        <f>I71-F71</f>
        <v>2.417824073927477E-2</v>
      </c>
      <c r="N71" s="225">
        <f>24*60*SUM($M71:$M71)</f>
        <v>34.816666664555669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-14T09:37:05-0700',mode:absolute,to:'2018-01-14T12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5.2600000000000001E-2</v>
      </c>
      <c r="Z71" s="247">
        <f>RIGHT(H71,LEN(H71)-4)/10000</f>
        <v>23.3291</v>
      </c>
      <c r="AA71" s="247">
        <f>ABS(Z71-Y71)</f>
        <v>23.276499999999999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/stypes="app*4018*20180114*"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157-14 --locoid 4018 --swversion DE.1.0.9.0 --startMP 204:526 --initTime 2018-01-14T10:37:05 --startdatetime 2018-01-14T10:45:19 --delay 114 --endMP 204:233291 --enddatetime 2018-01-14T11:20:08 --enforcementcount 0 &gt;&gt;%USERPROFILE%\Documents\GitHub\eaglep3-reporting\EC\2018-01-14-refined-times.txt</v>
      </c>
      <c r="AI71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{"issue":{"subject":"","project_id":79,"tracker_id":40,"status_id":1,"priority_id":2,"assigned_to_id":338,"start_date":"2018-01-14","description":"","custom_fields":[{"id":1,"name":"Subdivision","value":"EC"},{"id":4,"name":"Milepost","value":"23.3291"},{"id":17,"name":"Train ID","value":"157-14"},{"id":16,"name":"Locomotive ID","value":"4018"},{"id":130,"name":"Impact","value":""},{"id":150,"name":"Time of Event (Mountain Time)","value":"11:20:08"},{"id":151,"name":"Denver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4018 --day 2018-01-14</v>
      </c>
      <c r="AN71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-14T09:37:05-0700',mode:absolute,to:'2018-01-14T12:20:08-0700'))&amp;_a=(columns:!('Message%20ID',Summary),filters:!(),index:'emp_*',interval:auto,query:(query_string:(analyze_wildcard:!t,query:'%22rtdc.l.rtdc.4018%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685</v>
      </c>
      <c r="B72" s="225">
        <v>4017</v>
      </c>
      <c r="C72" s="227" t="s">
        <v>191</v>
      </c>
      <c r="D72" s="227" t="s">
        <v>638</v>
      </c>
      <c r="E72" s="226">
        <v>43114.479467592595</v>
      </c>
      <c r="F72" s="226">
        <v>43114.487719907411</v>
      </c>
      <c r="G72" s="225">
        <v>66</v>
      </c>
      <c r="H72" s="227" t="s">
        <v>959</v>
      </c>
      <c r="I72" s="226">
        <v>43114.514675925922</v>
      </c>
      <c r="J72" s="225">
        <v>0</v>
      </c>
      <c r="K72" s="237" t="str">
        <f>IF(ISEVEN(B72),(B72-1)&amp;"/"&amp;B72,B72&amp;"/"&amp;(B72+1))</f>
        <v>4017/4018</v>
      </c>
      <c r="L72" s="245" t="str">
        <f>VLOOKUP(A72,'Trips&amp;Operators'!$C$1:$G$99911,5,FALSE)</f>
        <v>STEWART MICHAEL</v>
      </c>
      <c r="M72" s="224">
        <f>I72-F72</f>
        <v>2.6956018511555158E-2</v>
      </c>
      <c r="N72" s="225">
        <f>24*60*SUM($M72:$M72)</f>
        <v>38.816666656639427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-14T10:30:26-0700',mode:absolute,to:'2018-01-14T13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23.296500000000002</v>
      </c>
      <c r="Z72" s="247">
        <f>RIGHT(H72,LEN(H72)-4)/10000</f>
        <v>1.9199999999999998E-2</v>
      </c>
      <c r="AA72" s="247">
        <f>ABS(Z72-Y72)</f>
        <v>23.2773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/stypes="app*4017*20180114*"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158-14 --locoid 4017 --swversion DE.1.0.9.0 --startMP 204:232965 --initTime 2018-01-14T11:30:26 --startdatetime 2018-01-14T11:42:19 --delay 66 --endMP 204:192 --enddatetime 2018-01-14T12:21:08 --enforcementcount 0 &gt;&gt;%USERPROFILE%\Documents\GitHub\eaglep3-reporting\EC\2018-01-14-refined-times.txt</v>
      </c>
      <c r="AI72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{"issue":{"subject":"","project_id":79,"tracker_id":40,"status_id":1,"priority_id":2,"assigned_to_id":338,"start_date":"2018-01-14","description":"","custom_fields":[{"id":1,"name":"Subdivision","value":"EC"},{"id":4,"name":"Milepost","value":"0.0192"},{"id":17,"name":"Train ID","value":"158-14"},{"id":16,"name":"Locomotive ID","value":"4017"},{"id":130,"name":"Impact","value":""},{"id":150,"name":"Time of Event (Mountain Time)","value":"12:21:08"},{"id":151,"name":"Denver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4017 --day 2018-01-14</v>
      </c>
      <c r="AN72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-14T10:30:26-0700',mode:absolute,to:'2018-01-14T13:21:08-0700'))&amp;_a=(columns:!('Message%20ID',Summary),filters:!(),index:'emp_*',interval:auto,query:(query_string:(analyze_wildcard:!t,query:'%22rtdc.l.rtdc.4017%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784</v>
      </c>
      <c r="B73" s="225">
        <v>4016</v>
      </c>
      <c r="C73" s="227" t="s">
        <v>191</v>
      </c>
      <c r="D73" s="227" t="s">
        <v>960</v>
      </c>
      <c r="E73" s="226">
        <v>43114.45107638889</v>
      </c>
      <c r="F73" s="226">
        <v>43114.458495370367</v>
      </c>
      <c r="G73" s="225">
        <v>62</v>
      </c>
      <c r="H73" s="227" t="s">
        <v>961</v>
      </c>
      <c r="I73" s="226">
        <v>43114.482766203706</v>
      </c>
      <c r="J73" s="225">
        <v>0</v>
      </c>
      <c r="K73" s="237" t="str">
        <f>IF(ISEVEN(B73),(B73-1)&amp;"/"&amp;B73,B73&amp;"/"&amp;(B73+1))</f>
        <v>4015/4016</v>
      </c>
      <c r="L73" s="245" t="str">
        <f>VLOOKUP(A73,'Trips&amp;Operators'!$C$1:$G$99911,5,FALSE)</f>
        <v>NEWELL JAMES</v>
      </c>
      <c r="M73" s="224">
        <f>I73-F73</f>
        <v>2.4270833338960074E-2</v>
      </c>
      <c r="N73" s="225">
        <f>24*60*SUM($M73:$M73)</f>
        <v>34.950000008102506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-14T09:49:33-0700',mode:absolute,to:'2018-01-14T12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5.3900000000000003E-2</v>
      </c>
      <c r="Z73" s="247">
        <f>RIGHT(H73,LEN(H73)-4)/10000</f>
        <v>23.327400000000001</v>
      </c>
      <c r="AA73" s="247">
        <f>ABS(Z73-Y73)</f>
        <v>23.273500000000002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/stypes="app*4016*20180114*"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159-14 --locoid 4016 --swversion DE.1.0.9.0 --startMP 204:539 --initTime 2018-01-14T10:49:33 --startdatetime 2018-01-14T11:00:14 --delay 62 --endMP 204:233274 --enddatetime 2018-01-14T11:35:11 --enforcementcount 0 &gt;&gt;%USERPROFILE%\Documents\GitHub\eaglep3-reporting\EC\2018-01-14-refined-times.txt</v>
      </c>
      <c r="AI73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{"issue":{"subject":"","project_id":79,"tracker_id":40,"status_id":1,"priority_id":2,"assigned_to_id":338,"start_date":"2018-01-14","description":"","custom_fields":[{"id":1,"name":"Subdivision","value":"EC"},{"id":4,"name":"Milepost","value":"23.3274"},{"id":17,"name":"Train ID","value":"159-14"},{"id":16,"name":"Locomotive ID","value":"4016"},{"id":130,"name":"Impact","value":""},{"id":150,"name":"Time of Event (Mountain Time)","value":"11:35:11"},{"id":151,"name":"Denver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4016 --day 2018-01-14</v>
      </c>
      <c r="AN73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-14T09:49:33-0700',mode:absolute,to:'2018-01-14T12:35:11-0700'))&amp;_a=(columns:!('Message%20ID',Summary),filters:!(),index:'emp_*',interval:auto,query:(query_string:(analyze_wildcard:!t,query:'%22rtdc.l.rtdc.4016%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793</v>
      </c>
      <c r="B74" s="225">
        <v>4015</v>
      </c>
      <c r="C74" s="227" t="s">
        <v>191</v>
      </c>
      <c r="D74" s="227" t="s">
        <v>483</v>
      </c>
      <c r="E74" s="226">
        <v>43114.486261574071</v>
      </c>
      <c r="F74" s="226">
        <v>43114.498055555552</v>
      </c>
      <c r="G74" s="225">
        <v>49</v>
      </c>
      <c r="H74" s="227" t="s">
        <v>443</v>
      </c>
      <c r="I74" s="226">
        <v>43114.523125</v>
      </c>
      <c r="J74" s="225">
        <v>0</v>
      </c>
      <c r="K74" s="237" t="str">
        <f>IF(ISEVEN(B74),(B74-1)&amp;"/"&amp;B74,B74&amp;"/"&amp;(B74+1))</f>
        <v>4015/4016</v>
      </c>
      <c r="L74" s="245" t="str">
        <f>VLOOKUP(A74,'Trips&amp;Operators'!$C$1:$G$99911,5,FALSE)</f>
        <v>NEWELL JAMES</v>
      </c>
      <c r="M74" s="224">
        <f>I74-F74</f>
        <v>2.5069444447581191E-2</v>
      </c>
      <c r="N74" s="225">
        <f>24*60*SUM($M74:$M74)</f>
        <v>36.100000004516914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-14T10:40:13-0700',mode:absolute,to:'2018-01-14T13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23.2957</v>
      </c>
      <c r="Z74" s="247">
        <f>RIGHT(H74,LEN(H74)-4)/10000</f>
        <v>2.1399999999999999E-2</v>
      </c>
      <c r="AA74" s="247">
        <f>ABS(Z74-Y74)</f>
        <v>23.2743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/stypes="app*4015*20180114*"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160-14 --locoid 4015 --swversion DE.1.0.9.0 --startMP 204:232957 --initTime 2018-01-14T11:40:13 --startdatetime 2018-01-14T11:57:12 --delay 49 --endMP 204:214 --enddatetime 2018-01-14T12:33:18 --enforcementcount 0 &gt;&gt;%USERPROFILE%\Documents\GitHub\eaglep3-reporting\EC\2018-01-14-refined-times.txt</v>
      </c>
      <c r="AI74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{"issue":{"subject":"","project_id":79,"tracker_id":40,"status_id":1,"priority_id":2,"assigned_to_id":338,"start_date":"2018-01-14","description":"","custom_fields":[{"id":1,"name":"Subdivision","value":"EC"},{"id":4,"name":"Milepost","value":"0.0214"},{"id":17,"name":"Train ID","value":"160-14"},{"id":16,"name":"Locomotive ID","value":"4015"},{"id":130,"name":"Impact","value":""},{"id":150,"name":"Time of Event (Mountain Time)","value":"12:33:18"},{"id":151,"name":"Denver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4015 --day 2018-01-14</v>
      </c>
      <c r="AN74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-14T10:40:13-0700',mode:absolute,to:'2018-01-14T13:33:18-0700'))&amp;_a=(columns:!('Message%20ID',Summary),filters:!(),index:'emp_*',interval:auto,query:(query_string:(analyze_wildcard:!t,query:'%22rtdc.l.rtdc.4015%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787</v>
      </c>
      <c r="B75" s="225">
        <v>4050</v>
      </c>
      <c r="C75" s="227" t="s">
        <v>191</v>
      </c>
      <c r="D75" s="227" t="s">
        <v>512</v>
      </c>
      <c r="E75" s="226">
        <v>43114.464687500003</v>
      </c>
      <c r="F75" s="226">
        <v>43114.4690625</v>
      </c>
      <c r="G75" s="225">
        <v>128</v>
      </c>
      <c r="H75" s="227" t="s">
        <v>464</v>
      </c>
      <c r="I75" s="226">
        <v>43114.49386574074</v>
      </c>
      <c r="J75" s="225">
        <v>0</v>
      </c>
      <c r="K75" s="237" t="str">
        <f>IF(ISEVEN(B75),(B75-1)&amp;"/"&amp;B75,B75&amp;"/"&amp;(B75+1))</f>
        <v>4049/4050</v>
      </c>
      <c r="L75" s="245" t="str">
        <f>VLOOKUP(A75,'Trips&amp;Operators'!$C$1:$G$99911,5,FALSE)</f>
        <v>DAVIS MICHAEL</v>
      </c>
      <c r="M75" s="224">
        <f>I75-F75</f>
        <v>2.4803240739856847E-2</v>
      </c>
      <c r="N75" s="225">
        <f>24*60*SUM($M75:$M75)</f>
        <v>35.716666665393859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-14T10:09:09-0700',mode:absolute,to:'2018-01-14T12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4.3499999999999997E-2</v>
      </c>
      <c r="Z75" s="247">
        <f>RIGHT(H75,LEN(H75)-4)/10000</f>
        <v>23.329699999999999</v>
      </c>
      <c r="AA75" s="247">
        <f>ABS(Z75-Y75)</f>
        <v>23.286199999999997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/stypes="app*4050*20180114*"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161-14 --locoid 4050 --swversion DE.1.0.9.0 --startMP 204:435 --initTime 2018-01-14T11:09:09 --startdatetime 2018-01-14T11:15:27 --delay 128 --endMP 204:233297 --enddatetime 2018-01-14T11:51:10 --enforcementcount 0 &gt;&gt;%USERPROFILE%\Documents\GitHub\eaglep3-reporting\EC\2018-01-14-refined-times.txt</v>
      </c>
      <c r="AI75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{"issue":{"subject":"","project_id":79,"tracker_id":40,"status_id":1,"priority_id":2,"assigned_to_id":338,"start_date":"2018-01-14","description":"","custom_fields":[{"id":1,"name":"Subdivision","value":"EC"},{"id":4,"name":"Milepost","value":"23.3297"},{"id":17,"name":"Train ID","value":"161-14"},{"id":16,"name":"Locomotive ID","value":"4050"},{"id":130,"name":"Impact","value":""},{"id":150,"name":"Time of Event (Mountain Time)","value":"11:51:10"},{"id":151,"name":"Denver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4050 --day 2018-01-14</v>
      </c>
      <c r="AN75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-14T10:09:09-0700',mode:absolute,to:'2018-01-14T12:51:10-0700'))&amp;_a=(columns:!('Message%20ID',Summary),filters:!(),index:'emp_*',interval:auto,query:(query_string:(analyze_wildcard:!t,query:'%22rtdc.l.rtdc.4050%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797</v>
      </c>
      <c r="B76" s="225">
        <v>4049</v>
      </c>
      <c r="C76" s="227" t="s">
        <v>191</v>
      </c>
      <c r="D76" s="227" t="s">
        <v>929</v>
      </c>
      <c r="E76" s="226">
        <v>43114.506099537037</v>
      </c>
      <c r="F76" s="226">
        <v>43114.508738425924</v>
      </c>
      <c r="G76" s="225">
        <v>101</v>
      </c>
      <c r="H76" s="227" t="s">
        <v>437</v>
      </c>
      <c r="I76" s="226">
        <v>43114.536643518521</v>
      </c>
      <c r="J76" s="225">
        <v>0</v>
      </c>
      <c r="K76" s="237" t="str">
        <f>IF(ISEVEN(B76),(B76-1)&amp;"/"&amp;B76,B76&amp;"/"&amp;(B76+1))</f>
        <v>4049/4050</v>
      </c>
      <c r="L76" s="245" t="str">
        <f>VLOOKUP(A76,'Trips&amp;Operators'!$C$1:$G$99911,5,FALSE)</f>
        <v>DAVIS MICHAEL</v>
      </c>
      <c r="M76" s="224">
        <f>I76-F76</f>
        <v>2.7905092596483883E-2</v>
      </c>
      <c r="N76" s="225">
        <f>24*60*SUM($M76:$M76)</f>
        <v>40.183333338936791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-14T11:08:47-0700',mode:absolute,to:'2018-01-14T13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23.2971</v>
      </c>
      <c r="Z76" s="247">
        <f>RIGHT(H76,LEN(H76)-4)/10000</f>
        <v>2.01E-2</v>
      </c>
      <c r="AA76" s="247">
        <f>ABS(Z76-Y76)</f>
        <v>23.277000000000001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/stypes="app*4049*20180114*"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162-14 --locoid 4049 --swversion DE.1.0.9.0 --startMP 204:232971 --initTime 2018-01-14T12:08:47 --startdatetime 2018-01-14T12:12:35 --delay 101 --endMP 204:201 --enddatetime 2018-01-14T12:52:46 --enforcementcount 0 &gt;&gt;%USERPROFILE%\Documents\GitHub\eaglep3-reporting\EC\2018-01-14-refined-times.txt</v>
      </c>
      <c r="AI76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{"issue":{"subject":"","project_id":79,"tracker_id":40,"status_id":1,"priority_id":2,"assigned_to_id":338,"start_date":"2018-01-14","description":"","custom_fields":[{"id":1,"name":"Subdivision","value":"EC"},{"id":4,"name":"Milepost","value":"0.0201"},{"id":17,"name":"Train ID","value":"162-14"},{"id":16,"name":"Locomotive ID","value":"4049"},{"id":130,"name":"Impact","value":""},{"id":150,"name":"Time of Event (Mountain Time)","value":"12:52:46"},{"id":151,"name":"Denver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4049 --day 2018-01-14</v>
      </c>
      <c r="AN76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-14T11:08:47-0700',mode:absolute,to:'2018-01-14T13:52:46-0700'))&amp;_a=(columns:!('Message%20ID',Summary),filters:!(),index:'emp_*',interval:auto,query:(query_string:(analyze_wildcard:!t,query:'%22rtdc.l.rtdc.4049%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791</v>
      </c>
      <c r="B77" s="225">
        <v>4022</v>
      </c>
      <c r="C77" s="227" t="s">
        <v>191</v>
      </c>
      <c r="D77" s="227" t="s">
        <v>482</v>
      </c>
      <c r="E77" s="226">
        <v>43114.475254629629</v>
      </c>
      <c r="F77" s="226">
        <v>43114.479386574072</v>
      </c>
      <c r="G77" s="225">
        <v>73</v>
      </c>
      <c r="H77" s="227" t="s">
        <v>935</v>
      </c>
      <c r="I77" s="226">
        <v>43114.504351851851</v>
      </c>
      <c r="J77" s="225">
        <v>0</v>
      </c>
      <c r="K77" s="237" t="str">
        <f>IF(ISEVEN(B77),(B77-1)&amp;"/"&amp;B77,B77&amp;"/"&amp;(B77+1))</f>
        <v>4021/4022</v>
      </c>
      <c r="L77" s="245" t="str">
        <f>VLOOKUP(A77,'Trips&amp;Operators'!$C$1:$G$99911,5,FALSE)</f>
        <v>SMITH MICHAEL</v>
      </c>
      <c r="M77" s="224">
        <f>I77-F77</f>
        <v>2.4965277778392192E-2</v>
      </c>
      <c r="N77" s="225">
        <f>24*60*SUM($M77:$M77)</f>
        <v>35.950000000884756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-14T10:24:22-0700',mode:absolute,to:'2018-01-14T13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5.0599999999999999E-2</v>
      </c>
      <c r="Z77" s="247">
        <f>RIGHT(H77,LEN(H77)-4)/10000</f>
        <v>23.3293</v>
      </c>
      <c r="AA77" s="247">
        <f>ABS(Z77-Y77)</f>
        <v>23.278700000000001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/stypes="app*4022*20180114*"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163-14 --locoid 4022 --swversion DE.1.0.9.0 --startMP 204:506 --initTime 2018-01-14T11:24:22 --startdatetime 2018-01-14T11:30:19 --delay 73 --endMP 204:233293 --enddatetime 2018-01-14T12:06:16 --enforcementcount 0 &gt;&gt;%USERPROFILE%\Documents\GitHub\eaglep3-reporting\EC\2018-01-14-refined-times.txt</v>
      </c>
      <c r="AI77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{"issue":{"subject":"","project_id":79,"tracker_id":40,"status_id":1,"priority_id":2,"assigned_to_id":338,"start_date":"2018-01-14","description":"","custom_fields":[{"id":1,"name":"Subdivision","value":"EC"},{"id":4,"name":"Milepost","value":"23.3293"},{"id":17,"name":"Train ID","value":"163-14"},{"id":16,"name":"Locomotive ID","value":"4022"},{"id":130,"name":"Impact","value":""},{"id":150,"name":"Time of Event (Mountain Time)","value":"12:06:16"},{"id":151,"name":"Denver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4022 --day 2018-01-14</v>
      </c>
      <c r="AN77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-14T10:24:22-0700',mode:absolute,to:'2018-01-14T13:06:16-0700'))&amp;_a=(columns:!('Message%20ID',Summary),filters:!(),index:'emp_*',interval:auto,query:(query_string:(analyze_wildcard:!t,query:'%22rtdc.l.rtdc.4022%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798</v>
      </c>
      <c r="B78" s="225">
        <v>4021</v>
      </c>
      <c r="C78" s="227" t="s">
        <v>191</v>
      </c>
      <c r="D78" s="227" t="s">
        <v>947</v>
      </c>
      <c r="E78" s="226">
        <v>43114.509826388887</v>
      </c>
      <c r="F78" s="226">
        <v>43114.518958333334</v>
      </c>
      <c r="G78" s="225">
        <v>83</v>
      </c>
      <c r="H78" s="227" t="s">
        <v>465</v>
      </c>
      <c r="I78" s="226">
        <v>43114.546377314815</v>
      </c>
      <c r="J78" s="225">
        <v>0</v>
      </c>
      <c r="K78" s="237" t="str">
        <f>IF(ISEVEN(B78),(B78-1)&amp;"/"&amp;B78,B78&amp;"/"&amp;(B78+1))</f>
        <v>4021/4022</v>
      </c>
      <c r="L78" s="245" t="str">
        <f>VLOOKUP(A78,'Trips&amp;Operators'!$C$1:$G$99911,5,FALSE)</f>
        <v>SMITH MICHAEL</v>
      </c>
      <c r="M78" s="224">
        <f>I78-F78</f>
        <v>2.7418981480877846E-2</v>
      </c>
      <c r="N78" s="225">
        <f>24*60*SUM($M78:$M78)</f>
        <v>39.483333332464099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-14T11:14:09-0700',mode:absolute,to:'2018-01-14T14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23.2974</v>
      </c>
      <c r="Z78" s="247">
        <f>RIGHT(H78,LEN(H78)-4)/10000</f>
        <v>1.8100000000000002E-2</v>
      </c>
      <c r="AA78" s="247">
        <f>ABS(Z78-Y78)</f>
        <v>23.279299999999999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/stypes="app*4021*20180114*"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5"/>
        <v>"%USERPROFILE%\Documents\GitHub\eaglep3\Utilities\RefineRTDCRunTimes.py" --tripid 164-14 --locoid 4021 --swversion DE.1.0.9.0 --startMP 204:232974 --initTime 2018-01-14T12:14:09 --startdatetime 2018-01-14T12:27:18 --delay 83 --endMP 204:181 --enddatetime 2018-01-14T13:06:47 --enforcementcount 0 &gt;&gt;%USERPROFILE%\Documents\GitHub\eaglep3-reporting\EC\2018-01-14-refined-times.txt</v>
      </c>
      <c r="AI78" s="238" t="str">
        <f t="shared" si="6"/>
        <v>echo {"issue":{"subject":"","project_id":79,"tracker_id":40,"status_id":1,"priority_id":2,"assigned_to_id":338,"start_date":"2018-01-14","description":"","custom_fields":[{"id":1,"name":"Subdivision","value":"EC"},{"id":4,"name":"Milepost","value":"0.0181"},{"id":17,"name":"Train ID","value":"164-14"},{"id":16,"name":"Locomotive ID","value":"4021"},{"id":130,"name":"Impact","value":""},{"id":150,"name":"Time of Event (Mountain Time)","value":"13:06:47"},{"id":151,"name":"Denver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7"/>
        <v>start /low /b %USERPROFILE%\Documents\GitHub\eaglep3\Utilities\DownloadLogsFromS3.py --loco 4021 --day 2018-01-14</v>
      </c>
      <c r="AN78" s="241" t="str">
        <f t="shared" si="8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9"/>
        <v>https://d0f6bd738d7f1b3e5a7ca70fe4ff75f0.us-east-1.aws.found.io/app/kibana#/discover/Steve-Slow-Train-Analysis-(2080s-and-2083s)?_g=(refreshInterval:(display:Off,pause:!f,section:0,value:0),time:(from:'2018-01-14T11:14:09-0700',mode:absolute,to:'2018-01-14T14:06:47-0700'))&amp;_a=(columns:!('Message%20ID',Summary),filters:!(),index:'emp_*',interval:auto,query:(query_string:(analyze_wildcard:!t,query:'%22rtdc.l.rtdc.4021%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792</v>
      </c>
      <c r="B79" s="225">
        <v>4040</v>
      </c>
      <c r="C79" s="227" t="s">
        <v>191</v>
      </c>
      <c r="D79" s="227" t="s">
        <v>649</v>
      </c>
      <c r="E79" s="226">
        <v>43114.484386574077</v>
      </c>
      <c r="F79" s="226">
        <v>43114.489756944444</v>
      </c>
      <c r="G79" s="225">
        <v>85</v>
      </c>
      <c r="H79" s="227" t="s">
        <v>962</v>
      </c>
      <c r="I79" s="226">
        <v>43114.514502314814</v>
      </c>
      <c r="J79" s="225">
        <v>0</v>
      </c>
      <c r="K79" s="237" t="str">
        <f>IF(ISEVEN(B79),(B79-1)&amp;"/"&amp;B79,B79&amp;"/"&amp;(B79+1))</f>
        <v>4039/4040</v>
      </c>
      <c r="L79" s="245" t="str">
        <f>VLOOKUP(A79,'Trips&amp;Operators'!$C$1:$G$99911,5,FALSE)</f>
        <v>BADERTSCHER DIANE</v>
      </c>
      <c r="M79" s="224">
        <f>I79-F79</f>
        <v>2.47453703705105E-2</v>
      </c>
      <c r="N79" s="225">
        <f>24*60*SUM($M79:$M79)</f>
        <v>35.63333333353512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-14T10:37:31-0700',mode:absolute,to:'2018-01-14T13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4.5100000000000001E-2</v>
      </c>
      <c r="Z79" s="247">
        <f>RIGHT(H79,LEN(H79)-4)/10000</f>
        <v>23.323</v>
      </c>
      <c r="AA79" s="247">
        <f>ABS(Z79-Y79)</f>
        <v>23.277899999999999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/stypes="app*4040*20180114*"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ref="AH79:AH148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165-14 --locoid 4040 --swversion DE.1.0.9.0 --startMP 204:451 --initTime 2018-01-14T11:37:31 --startdatetime 2018-01-14T11:45:15 --delay 85 --endMP 204:233230 --enddatetime 2018-01-14T12:20:53 --enforcementcount 0 &gt;&gt;%USERPROFILE%\Documents\GitHub\eaglep3-reporting\EC\2018-01-14-refined-times.txt</v>
      </c>
      <c r="AI79" s="238" t="str">
        <f t="shared" ref="AI79:AI148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{"issue":{"subject":"","project_id":79,"tracker_id":40,"status_id":1,"priority_id":2,"assigned_to_id":338,"start_date":"2018-01-14","description":"","custom_fields":[{"id":1,"name":"Subdivision","value":"EC"},{"id":4,"name":"Milepost","value":"23.323"},{"id":17,"name":"Train ID","value":"165-14"},{"id":16,"name":"Locomotive ID","value":"4040"},{"id":130,"name":"Impact","value":""},{"id":150,"name":"Time of Event (Mountain Time)","value":"12:20:53"},{"id":151,"name":"Denver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8" si="18">"start /low /b "&amp;dls3logs&amp;" --loco "&amp;B79&amp;" --day "&amp;TEXT(F79,"YYYY-MM-DD")</f>
        <v>start /low /b %USERPROFILE%\Documents\GitHub\eaglep3\Utilities\DownloadLogsFromS3.py --loco 4040 --day 2018-01-14</v>
      </c>
      <c r="AN79" s="241" t="str">
        <f t="shared" ref="AN79:AN148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8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-14T10:37:31-0700',mode:absolute,to:'2018-01-14T13:20:53-0700'))&amp;_a=(columns:!('Message%20ID',Summary),filters:!(),index:'emp_*',interval:auto,query:(query_string:(analyze_wildcard:!t,query:'%22rtdc.l.rtdc.4040%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801</v>
      </c>
      <c r="B80" s="225">
        <v>4039</v>
      </c>
      <c r="C80" s="227" t="s">
        <v>191</v>
      </c>
      <c r="D80" s="227" t="s">
        <v>963</v>
      </c>
      <c r="E80" s="226">
        <v>43114.524699074071</v>
      </c>
      <c r="F80" s="226">
        <v>43114.529340277775</v>
      </c>
      <c r="G80" s="225">
        <v>120</v>
      </c>
      <c r="H80" s="227" t="s">
        <v>438</v>
      </c>
      <c r="I80" s="226">
        <v>43114.557291666664</v>
      </c>
      <c r="J80" s="225">
        <v>0</v>
      </c>
      <c r="K80" s="237" t="str">
        <f>IF(ISEVEN(B80),(B80-1)&amp;"/"&amp;B80,B80&amp;"/"&amp;(B80+1))</f>
        <v>4039/4040</v>
      </c>
      <c r="L80" s="245" t="str">
        <f>VLOOKUP(A80,'Trips&amp;Operators'!$C$1:$G$99911,5,FALSE)</f>
        <v>BADERTSCHER DIANE</v>
      </c>
      <c r="M80" s="224">
        <f>I80-F80</f>
        <v>2.7951388889050577E-2</v>
      </c>
      <c r="N80" s="225">
        <f>24*60*SUM($M80:$M80)</f>
        <v>40.250000000232831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-14T11:35:34-0700',mode:absolute,to:'2018-01-14T14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23.2913</v>
      </c>
      <c r="Z80" s="247">
        <f>RIGHT(H80,LEN(H80)-4)/10000</f>
        <v>2.0500000000000001E-2</v>
      </c>
      <c r="AA80" s="247">
        <f>ABS(Z80-Y80)</f>
        <v>23.270800000000001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/stypes="app*4039*20180114*"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6"/>
        <v>"%USERPROFILE%\Documents\GitHub\eaglep3\Utilities\RefineRTDCRunTimes.py" --tripid 166-14 --locoid 4039 --swversion DE.1.0.9.0 --startMP 204:232913 --initTime 2018-01-14T12:35:34 --startdatetime 2018-01-14T12:42:15 --delay 120 --endMP 204:205 --enddatetime 2018-01-14T13:22:30 --enforcementcount 0 &gt;&gt;%USERPROFILE%\Documents\GitHub\eaglep3-reporting\EC\2018-01-14-refined-times.txt</v>
      </c>
      <c r="AI8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{"issue":{"subject":"","project_id":79,"tracker_id":40,"status_id":1,"priority_id":2,"assigned_to_id":338,"start_date":"2018-01-14","description":"","custom_fields":[{"id":1,"name":"Subdivision","value":"EC"},{"id":4,"name":"Milepost","value":"0.0205"},{"id":17,"name":"Train ID","value":"166-14"},{"id":16,"name":"Locomotive ID","value":"4039"},{"id":130,"name":"Impact","value":""},{"id":150,"name":"Time of Event (Mountain Time)","value":"13:22:30"},{"id":151,"name":"Denver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8"/>
        <v>start /low /b %USERPROFILE%\Documents\GitHub\eaglep3\Utilities\DownloadLogsFromS3.py --loco 4039 --day 2018-01-14</v>
      </c>
      <c r="AN80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20"/>
        <v>https://d0f6bd738d7f1b3e5a7ca70fe4ff75f0.us-east-1.aws.found.io/app/kibana#/discover/Steve-Slow-Train-Analysis-(2080s-and-2083s)?_g=(refreshInterval:(display:Off,pause:!f,section:0,value:0),time:(from:'2018-01-14T11:35:34-0700',mode:absolute,to:'2018-01-14T14:22:30-0700'))&amp;_a=(columns:!('Message%20ID',Summary),filters:!(),index:'emp_*',interval:auto,query:(query_string:(analyze_wildcard:!t,query:'%22rtdc.l.rtdc.4039%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684</v>
      </c>
      <c r="B81" s="225">
        <v>4028</v>
      </c>
      <c r="C81" s="227" t="s">
        <v>191</v>
      </c>
      <c r="D81" s="227" t="s">
        <v>927</v>
      </c>
      <c r="E81" s="226">
        <v>43114.495682870373</v>
      </c>
      <c r="F81" s="226">
        <v>43114.500486111108</v>
      </c>
      <c r="G81" s="225">
        <v>106</v>
      </c>
      <c r="H81" s="227" t="s">
        <v>637</v>
      </c>
      <c r="I81" s="226">
        <v>43114.527962962966</v>
      </c>
      <c r="J81" s="225">
        <v>0</v>
      </c>
      <c r="K81" s="237" t="str">
        <f>IF(ISEVEN(B81),(B81-1)&amp;"/"&amp;B81,B81&amp;"/"&amp;(B81+1))</f>
        <v>4027/4028</v>
      </c>
      <c r="L81" s="245" t="str">
        <f>VLOOKUP(A81,'Trips&amp;Operators'!$C$1:$G$99911,5,FALSE)</f>
        <v>CHANDLER KELVIN</v>
      </c>
      <c r="M81" s="224">
        <f>I81-F81</f>
        <v>2.7476851857500151E-2</v>
      </c>
      <c r="N81" s="225">
        <f>24*60*SUM($M81:$M81)</f>
        <v>39.566666674800217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-14T10:53:47-0700',mode:absolute,to:'2018-01-14T13:40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5.04E-2</v>
      </c>
      <c r="Z81" s="247">
        <f>RIGHT(H81,LEN(H81)-4)/10000</f>
        <v>23.3278</v>
      </c>
      <c r="AA81" s="247">
        <f>ABS(Z81-Y81)</f>
        <v>23.2774</v>
      </c>
      <c r="AB81" s="233" t="str">
        <f>VLOOKUP(A81,Enforcements!$C$7:$K$9,8,0)</f>
        <v>Bulletin (2)</v>
      </c>
      <c r="AC81" s="232" t="str">
        <f>VLOOKUP(A81,Enforcements!$C$7:$E$9,3,0)</f>
        <v>GRADE CROSSING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/stypes="app*4028*20180114*"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6"/>
        <v>"%USERPROFILE%\Documents\GitHub\eaglep3\Utilities\RefineRTDCRunTimes.py" --tripid 167-14 --locoid 4028 --swversion DE.1.0.9.0 --startMP 204:504 --initTime 2018-01-14T11:53:47 --startdatetime 2018-01-14T12:00:42 --delay 106 --endMP 204:233278 --enddatetime 2018-01-14T12:40:16 --enforcementcount 0 &gt;&gt;%USERPROFILE%\Documents\GitHub\eaglep3-reporting\EC\2018-01-14-refined-times.txt</v>
      </c>
      <c r="AI8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{"issue":{"subject":"","project_id":79,"tracker_id":40,"status_id":1,"priority_id":2,"assigned_to_id":338,"start_date":"2018-01-14","description":"","custom_fields":[{"id":1,"name":"Subdivision","value":"EC"},{"id":4,"name":"Milepost","value":"23.3278"},{"id":17,"name":"Train ID","value":"167-14"},{"id":16,"name":"Locomotive ID","value":"4028"},{"id":130,"name":"Impact","value":""},{"id":150,"name":"Time of Event (Mountain Time)","value":"12:40:16"},{"id":151,"name":"Denver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8"/>
        <v>start /low /b %USERPROFILE%\Documents\GitHub\eaglep3\Utilities\DownloadLogsFromS3.py --loco 4028 --day 2018-01-14</v>
      </c>
      <c r="AN81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20"/>
        <v>https://d0f6bd738d7f1b3e5a7ca70fe4ff75f0.us-east-1.aws.found.io/app/kibana#/discover/Steve-Slow-Train-Analysis-(2080s-and-2083s)?_g=(refreshInterval:(display:Off,pause:!f,section:0,value:0),time:(from:'2018-01-14T10:53:47-0700',mode:absolute,to:'2018-01-14T13:40:16-0700'))&amp;_a=(columns:!('Message%20ID',Summary),filters:!(),index:'emp_*',interval:auto,query:(query_string:(analyze_wildcard:!t,query:'%22rtdc.l.rtdc.4028%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803</v>
      </c>
      <c r="B82" s="225">
        <v>4027</v>
      </c>
      <c r="C82" s="227" t="s">
        <v>191</v>
      </c>
      <c r="D82" s="227" t="s">
        <v>964</v>
      </c>
      <c r="E82" s="226">
        <v>43114.536747685182</v>
      </c>
      <c r="F82" s="226">
        <v>43114.539803240739</v>
      </c>
      <c r="G82" s="225">
        <v>93</v>
      </c>
      <c r="H82" s="227" t="s">
        <v>965</v>
      </c>
      <c r="I82" s="226">
        <v>43114.566516203704</v>
      </c>
      <c r="J82" s="225">
        <v>0</v>
      </c>
      <c r="K82" s="237" t="str">
        <f>IF(ISEVEN(B82),(B82-1)&amp;"/"&amp;B82,B82&amp;"/"&amp;(B82+1))</f>
        <v>4027/4028</v>
      </c>
      <c r="L82" s="245" t="str">
        <f>VLOOKUP(A82,'Trips&amp;Operators'!$C$1:$G$99911,5,FALSE)</f>
        <v>CHANDLER KELVIN</v>
      </c>
      <c r="M82" s="224">
        <f>I82-F82</f>
        <v>2.6712962964666076E-2</v>
      </c>
      <c r="N82" s="225">
        <f>24*60*SUM($M82:$M82)</f>
        <v>38.466666669119149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-14T11:52:55-0700',mode:absolute,to:'2018-01-14T14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23.298300000000001</v>
      </c>
      <c r="Z82" s="247">
        <f>RIGHT(H82,LEN(H82)-4)/10000</f>
        <v>1.61E-2</v>
      </c>
      <c r="AA82" s="247">
        <f>ABS(Z82-Y82)</f>
        <v>23.2822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/stypes="app*4027*20180114*"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6"/>
        <v>"%USERPROFILE%\Documents\GitHub\eaglep3\Utilities\RefineRTDCRunTimes.py" --tripid 168-14 --locoid 4027 --swversion DE.1.0.9.0 --startMP 204:232983 --initTime 2018-01-14T12:52:55 --startdatetime 2018-01-14T12:57:19 --delay 93 --endMP 204:161 --enddatetime 2018-01-14T13:35:47 --enforcementcount 0 &gt;&gt;%USERPROFILE%\Documents\GitHub\eaglep3-reporting\EC\2018-01-14-refined-times.txt</v>
      </c>
      <c r="AI8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{"issue":{"subject":"","project_id":79,"tracker_id":40,"status_id":1,"priority_id":2,"assigned_to_id":338,"start_date":"2018-01-14","description":"","custom_fields":[{"id":1,"name":"Subdivision","value":"EC"},{"id":4,"name":"Milepost","value":"0.0161"},{"id":17,"name":"Train ID","value":"168-14"},{"id":16,"name":"Locomotive ID","value":"4027"},{"id":130,"name":"Impact","value":""},{"id":150,"name":"Time of Event (Mountain Time)","value":"13:35:47"},{"id":151,"name":"Denver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8"/>
        <v>start /low /b %USERPROFILE%\Documents\GitHub\eaglep3\Utilities\DownloadLogsFromS3.py --loco 4027 --day 2018-01-14</v>
      </c>
      <c r="AN82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20"/>
        <v>https://d0f6bd738d7f1b3e5a7ca70fe4ff75f0.us-east-1.aws.found.io/app/kibana#/discover/Steve-Slow-Train-Analysis-(2080s-and-2083s)?_g=(refreshInterval:(display:Off,pause:!f,section:0,value:0),time:(from:'2018-01-14T11:52:55-0700',mode:absolute,to:'2018-01-14T14:35:47-0700'))&amp;_a=(columns:!('Message%20ID',Summary),filters:!(),index:'emp_*',interval:auto,query:(query_string:(analyze_wildcard:!t,query:'%22rtdc.l.rtdc.4027%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686</v>
      </c>
      <c r="B83" s="225">
        <v>4026</v>
      </c>
      <c r="C83" s="227" t="s">
        <v>191</v>
      </c>
      <c r="D83" s="227" t="s">
        <v>966</v>
      </c>
      <c r="E83" s="226">
        <v>43114.52071759259</v>
      </c>
      <c r="F83" s="226">
        <v>43114.52175925926</v>
      </c>
      <c r="G83" s="225">
        <v>54</v>
      </c>
      <c r="H83" s="227" t="s">
        <v>967</v>
      </c>
      <c r="I83" s="226">
        <v>43114.536851851852</v>
      </c>
      <c r="J83" s="225">
        <v>0</v>
      </c>
      <c r="K83" s="237" t="str">
        <f>IF(ISEVEN(B83),(B83-1)&amp;"/"&amp;B83,B83&amp;"/"&amp;(B83+1))</f>
        <v>4025/4026</v>
      </c>
      <c r="L83" s="245" t="str">
        <f>VLOOKUP(A83,'Trips&amp;Operators'!$C$1:$G$99911,5,FALSE)</f>
        <v>WEST BRYAN</v>
      </c>
      <c r="M83" s="224">
        <f>I83-F83</f>
        <v>1.509259259182727E-2</v>
      </c>
      <c r="N83" s="225"/>
      <c r="O83" s="225"/>
      <c r="P83" s="225">
        <f>24*60*SUM($M83:$M83)</f>
        <v>21.733333332231268</v>
      </c>
      <c r="Q83" s="228"/>
      <c r="R83" s="242" t="s">
        <v>1067</v>
      </c>
      <c r="S83" s="249">
        <f>1/IF(AG83="EC",12,1)*SUM(U83:U83+U84)</f>
        <v>0.91666666666666663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-14T11:29:50-0700',mode:absolute,to:'2018-01-14T13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247" t="str">
        <f>IF(AA83&lt;VLOOKUP(AG83,Variables!$AC$3:$AD$8,2,FALSE),"Y","N")</f>
        <v>Y</v>
      </c>
      <c r="X83" s="247">
        <f>VALUE(LEFT(AD83,4))-VALUE(LEFT(AD82,4))</f>
        <v>1</v>
      </c>
      <c r="Y83" s="247">
        <f>RIGHT(D83,LEN(D83)-4)/10000</f>
        <v>6.4695999999999998</v>
      </c>
      <c r="Z83" s="247">
        <f>RIGHT(H83,LEN(H83)-4)/10000</f>
        <v>23.320499999999999</v>
      </c>
      <c r="AA83" s="247">
        <f>ABS(Z83-Y83)</f>
        <v>16.850899999999999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/stypes="app*4026*20180114*"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6"/>
        <v>"%USERPROFILE%\Documents\GitHub\eaglep3\Utilities\RefineRTDCRunTimes.py" --tripid 169-14 --locoid 4026 --swversion DE.1.0.9.0 --startMP 204:64696 --initTime 2018-01-14T12:29:50 --startdatetime 2018-01-14T12:31:20 --delay 54 --endMP 204:233205 --enddatetime 2018-01-14T12:53:04 --enforcementcount 0 &gt;&gt;%USERPROFILE%\Documents\GitHub\eaglep3-reporting\EC\2018-01-14-refined-times.txt</v>
      </c>
      <c r="AI83" s="238" t="str">
        <f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--insecure -X POST -H ""Content-Type: application/json"" -H ""X-Redmine-API-Key: "&amp;redm_api_key&amp;""" "&amp;redm_url&amp;" --data @-"</f>
        <v>echo {"issue":{"subject":"Premature downgrade CP Quebec 2N","project_id":79,"tracker_id":40,"status_id":1,"priority_id":2,"assigned_to_id":338,"start_date":"2018-01-14","description":"","custom_fields":[{"id":1,"name":"Subdivision","value":"EC"},{"id":4,"name":"Milepost","value":"23.3205"},{"id":17,"name":"Train ID","value":"169-14"},{"id":16,"name":"Locomotive ID","value":"4026"},{"id":130,"name":"Impact","value":""},{"id":150,"name":"Time of Event (Mountain Time)","value":"12:53:04"},{"id":151,"name":"Denver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8"/>
        <v>start /low /b %USERPROFILE%\Documents\GitHub\eaglep3\Utilities\DownloadLogsFromS3.py --loco 4026 --day 2018-01-14</v>
      </c>
      <c r="AN83" s="241" t="str">
        <f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{"issue":{"subject":"Premature downgrade CP Quebec 2N","project_id":30,"tracker_id":4,"status_id":1,"priority_id":1,"assigned_to_id":10,"start_date":"2018-01-14","description":"","custom_fields":[{"id":30,"name":"Category","value":"Issue"},{"id":3,"name":"Functional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20"/>
        <v>https://d0f6bd738d7f1b3e5a7ca70fe4ff75f0.us-east-1.aws.found.io/app/kibana#/discover/Steve-Slow-Train-Analysis-(2080s-and-2083s)?_g=(refreshInterval:(display:Off,pause:!f,section:0,value:0),time:(from:'2018-01-14T11:29:50-0700',mode:absolute,to:'2018-01-14T13:53:04-0700'))&amp;_a=(columns:!('Message%20ID',Summary),filters:!(),index:'emp_*',interval:auto,query:(query_string:(analyze_wildcard:!t,query:'%22rtdc.l.rtdc.4026%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686</v>
      </c>
      <c r="B84" s="225">
        <v>4026</v>
      </c>
      <c r="C84" s="227" t="s">
        <v>191</v>
      </c>
      <c r="D84" s="227" t="s">
        <v>633</v>
      </c>
      <c r="E84" s="226">
        <v>43114.505023148151</v>
      </c>
      <c r="F84" s="226">
        <v>43114.510763888888</v>
      </c>
      <c r="G84" s="225">
        <v>85</v>
      </c>
      <c r="H84" s="227" t="s">
        <v>968</v>
      </c>
      <c r="I84" s="226">
        <v>43114.519189814811</v>
      </c>
      <c r="J84" s="225">
        <v>0</v>
      </c>
      <c r="K84" s="237" t="str">
        <f>IF(ISEVEN(B84),(B84-1)&amp;"/"&amp;B84,B84&amp;"/"&amp;(B84+1))</f>
        <v>4025/4026</v>
      </c>
      <c r="L84" s="245" t="str">
        <f>VLOOKUP(A84,'Trips&amp;Operators'!$C$1:$G$99911,5,FALSE)</f>
        <v>WEST BRYAN</v>
      </c>
      <c r="M84" s="224">
        <f>I84-F84</f>
        <v>8.4259259238024242E-3</v>
      </c>
      <c r="N84" s="225"/>
      <c r="O84" s="225"/>
      <c r="P84" s="225"/>
      <c r="Q84" s="228"/>
      <c r="R84" s="242"/>
      <c r="S84" s="249"/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8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-14T11:07:14-0700',mode:absolute,to:'2018-01-14T13:27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247" t="str">
        <f>IF(AA84&lt;VLOOKUP(AG84,Variables!$AC$3:$AD$8,2,FALSE),"Y","N")</f>
        <v>Y</v>
      </c>
      <c r="X84" s="247">
        <f>VALUE(LEFT(AD84,4))-VALUE(LEFT(AD83,4))</f>
        <v>0</v>
      </c>
      <c r="Y84" s="247">
        <f>RIGHT(D84,LEN(D84)-4)/10000</f>
        <v>5.2400000000000002E-2</v>
      </c>
      <c r="Z84" s="247">
        <f>RIGHT(H84,LEN(H84)-4)/10000</f>
        <v>5.9438000000000004</v>
      </c>
      <c r="AA84" s="247">
        <f>ABS(Z84-Y84)</f>
        <v>5.8914000000000009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169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/stypes="app*4026*20180114*" /stext=" 19:.+((SYSTEM_STATE.+slice.+state.+changed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6"/>
        <v>"%USERPROFILE%\Documents\GitHub\eaglep3\Utilities\RefineRTDCRunTimes.py" --tripid 169-14 --locoid 4026 --swversion DE.1.0.9.0 --startMP 204:524 --initTime 2018-01-14T12:07:14 --startdatetime 2018-01-14T12:15:30 --delay 85 --endMP 204:59438 --enddatetime 2018-01-14T12:27:38 --enforcementcount 0 &gt;&gt;%USERPROFILE%\Documents\GitHub\eaglep3-reporting\EC\2018-01-14-refined-times.txt</v>
      </c>
      <c r="AI84" s="238" t="str">
        <f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{"issue":{"subject":"","project_id":79,"tracker_id":40,"status_id":1,"priority_id":2,"assigned_to_id":338,"start_date":"2018-01-14","description":"","custom_fields":[{"id":1,"name":"Subdivision","value":"EC"},{"id":4,"name":"Milepost","value":"5.9438"},{"id":17,"name":"Train ID","value":"169-14"},{"id":16,"name":"Locomotive ID","value":"4026"},{"id":130,"name":"Impact","value":""},{"id":150,"name":"Time of Event (Mountain Time)","value":"12:27:38"},{"id":151,"name":"Denver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8"/>
        <v>start /low /b %USERPROFILE%\Documents\GitHub\eaglep3\Utilities\DownloadLogsFromS3.py --loco 4026 --day 2018-01-14</v>
      </c>
      <c r="AN84" s="241" t="str">
        <f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19:27:38"},{"id":29,"name":"Sharepoint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20"/>
        <v>https://d0f6bd738d7f1b3e5a7ca70fe4ff75f0.us-east-1.aws.found.io/app/kibana#/discover/Steve-Slow-Train-Analysis-(2080s-and-2083s)?_g=(refreshInterval:(display:Off,pause:!f,section:0,value:0),time:(from:'2018-01-14T11:07:14-0700',mode:absolute,to:'2018-01-14T13:27:38-0700'))&amp;_a=(columns:!('Message%20ID',Summary),filters:!(),index:'emp_*',interval:auto,query:(query_string:(analyze_wildcard:!t,query:'%22rtdc.l.rtdc.4026%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806</v>
      </c>
      <c r="B85" s="225">
        <v>4025</v>
      </c>
      <c r="C85" s="227" t="s">
        <v>191</v>
      </c>
      <c r="D85" s="227" t="s">
        <v>969</v>
      </c>
      <c r="E85" s="226">
        <v>43114.545081018521</v>
      </c>
      <c r="F85" s="226">
        <v>43114.550266203703</v>
      </c>
      <c r="G85" s="225">
        <v>75</v>
      </c>
      <c r="H85" s="227" t="s">
        <v>970</v>
      </c>
      <c r="I85" s="226">
        <v>43114.576053240744</v>
      </c>
      <c r="J85" s="225">
        <v>0</v>
      </c>
      <c r="K85" s="237" t="str">
        <f>IF(ISEVEN(B85),(B85-1)&amp;"/"&amp;B85,B85&amp;"/"&amp;(B85+1))</f>
        <v>4025/4026</v>
      </c>
      <c r="L85" s="245" t="str">
        <f>VLOOKUP(A85,'Trips&amp;Operators'!$C$1:$G$99911,5,FALSE)</f>
        <v>WEST BRYAN</v>
      </c>
      <c r="M85" s="224">
        <f>I85-F85</f>
        <v>2.5787037040572613E-2</v>
      </c>
      <c r="N85" s="225">
        <f>24*60*SUM($M85:$M85)</f>
        <v>37.133333338424563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-14T12:04:55-0700',mode:absolute,to:'2018-01-14T14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23.2896</v>
      </c>
      <c r="Z85" s="247">
        <f>RIGHT(H85,LEN(H85)-4)/10000</f>
        <v>2.5399999999999999E-2</v>
      </c>
      <c r="AA85" s="247">
        <f>ABS(Z85-Y85)</f>
        <v>23.264199999999999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170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/stypes="app*4025*20180114*"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6"/>
        <v>"%USERPROFILE%\Documents\GitHub\eaglep3\Utilities\RefineRTDCRunTimes.py" --tripid 170-14 --locoid 4025 --swversion DE.1.0.9.0 --startMP 204:232896 --initTime 2018-01-14T13:04:55 --startdatetime 2018-01-14T13:12:23 --delay 75 --endMP 204:254 --enddatetime 2018-01-14T13:49:31 --enforcementcount 0 &gt;&gt;%USERPROFILE%\Documents\GitHub\eaglep3-reporting\EC\2018-01-14-refined-times.txt</v>
      </c>
      <c r="AI8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{"issue":{"subject":"","project_id":79,"tracker_id":40,"status_id":1,"priority_id":2,"assigned_to_id":338,"start_date":"2018-01-14","description":"","custom_fields":[{"id":1,"name":"Subdivision","value":"EC"},{"id":4,"name":"Milepost","value":"0.0254"},{"id":17,"name":"Train ID","value":"170-14"},{"id":16,"name":"Locomotive ID","value":"4025"},{"id":130,"name":"Impact","value":""},{"id":150,"name":"Time of Event (Mountain Time)","value":"13:49:31"},{"id":151,"name":"Denver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8"/>
        <v>start /low /b %USERPROFILE%\Documents\GitHub\eaglep3\Utilities\DownloadLogsFromS3.py --loco 4025 --day 2018-01-14</v>
      </c>
      <c r="AN85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20"/>
        <v>https://d0f6bd738d7f1b3e5a7ca70fe4ff75f0.us-east-1.aws.found.io/app/kibana#/discover/Steve-Slow-Train-Analysis-(2080s-and-2083s)?_g=(refreshInterval:(display:Off,pause:!f,section:0,value:0),time:(from:'2018-01-14T12:04:55-0700',mode:absolute,to:'2018-01-14T14:49:31-0700'))&amp;_a=(columns:!('Message%20ID',Summary),filters:!(),index:'emp_*',interval:auto,query:(query_string:(analyze_wildcard:!t,query:'%22rtdc.l.rtdc.4025%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800</v>
      </c>
      <c r="B86" s="225">
        <v>4018</v>
      </c>
      <c r="C86" s="227" t="s">
        <v>191</v>
      </c>
      <c r="D86" s="227" t="s">
        <v>625</v>
      </c>
      <c r="E86" s="226">
        <v>43114.51730324074</v>
      </c>
      <c r="F86" s="226">
        <v>43114.52107638889</v>
      </c>
      <c r="G86" s="225">
        <v>69</v>
      </c>
      <c r="H86" s="227" t="s">
        <v>971</v>
      </c>
      <c r="I86" s="226">
        <v>43114.545868055553</v>
      </c>
      <c r="J86" s="225">
        <v>0</v>
      </c>
      <c r="K86" s="237" t="str">
        <f>IF(ISEVEN(B86),(B86-1)&amp;"/"&amp;B86,B86&amp;"/"&amp;(B86+1))</f>
        <v>4017/4018</v>
      </c>
      <c r="L86" s="245" t="str">
        <f>VLOOKUP(A86,'Trips&amp;Operators'!$C$1:$G$99911,5,FALSE)</f>
        <v>STEWART MICHAEL</v>
      </c>
      <c r="M86" s="224">
        <f>I86-F86</f>
        <v>2.4791666663077194E-2</v>
      </c>
      <c r="N86" s="225">
        <f>24*60*SUM($M86:$M86)</f>
        <v>35.69999999483116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-14T11:24:55-0700',mode:absolute,to:'2018-01-14T14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4.8800000000000003E-2</v>
      </c>
      <c r="Z86" s="247">
        <f>RIGHT(H86,LEN(H86)-4)/10000</f>
        <v>23.3306</v>
      </c>
      <c r="AA86" s="247">
        <f>ABS(Z86-Y86)</f>
        <v>23.2818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171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/stypes="app*4018*20180114*"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6"/>
        <v>"%USERPROFILE%\Documents\GitHub\eaglep3\Utilities\RefineRTDCRunTimes.py" --tripid 171-14 --locoid 4018 --swversion DE.1.0.9.0 --startMP 204:488 --initTime 2018-01-14T12:24:55 --startdatetime 2018-01-14T12:30:21 --delay 69 --endMP 204:233306 --enddatetime 2018-01-14T13:06:03 --enforcementcount 0 &gt;&gt;%USERPROFILE%\Documents\GitHub\eaglep3-reporting\EC\2018-01-14-refined-times.txt</v>
      </c>
      <c r="AI8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{"issue":{"subject":"","project_id":79,"tracker_id":40,"status_id":1,"priority_id":2,"assigned_to_id":338,"start_date":"2018-01-14","description":"","custom_fields":[{"id":1,"name":"Subdivision","value":"EC"},{"id":4,"name":"Milepost","value":"23.3306"},{"id":17,"name":"Train ID","value":"171-14"},{"id":16,"name":"Locomotive ID","value":"4018"},{"id":130,"name":"Impact","value":""},{"id":150,"name":"Time of Event (Mountain Time)","value":"13:06:03"},{"id":151,"name":"Denver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8"/>
        <v>start /low /b %USERPROFILE%\Documents\GitHub\eaglep3\Utilities\DownloadLogsFromS3.py --loco 4018 --day 2018-01-14</v>
      </c>
      <c r="AN86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20"/>
        <v>https://d0f6bd738d7f1b3e5a7ca70fe4ff75f0.us-east-1.aws.found.io/app/kibana#/discover/Steve-Slow-Train-Analysis-(2080s-and-2083s)?_g=(refreshInterval:(display:Off,pause:!f,section:0,value:0),time:(from:'2018-01-14T11:24:55-0700',mode:absolute,to:'2018-01-14T14:06:03-0700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808</v>
      </c>
      <c r="B87" s="225">
        <v>4017</v>
      </c>
      <c r="C87" s="227" t="s">
        <v>191</v>
      </c>
      <c r="D87" s="227" t="s">
        <v>972</v>
      </c>
      <c r="E87" s="226">
        <v>43114.554849537039</v>
      </c>
      <c r="F87" s="226">
        <v>43114.560694444444</v>
      </c>
      <c r="G87" s="225">
        <v>54</v>
      </c>
      <c r="H87" s="227" t="s">
        <v>973</v>
      </c>
      <c r="I87" s="226">
        <v>43114.586851851855</v>
      </c>
      <c r="J87" s="225">
        <v>0</v>
      </c>
      <c r="K87" s="237" t="str">
        <f>IF(ISEVEN(B87),(B87-1)&amp;"/"&amp;B87,B87&amp;"/"&amp;(B87+1))</f>
        <v>4017/4018</v>
      </c>
      <c r="L87" s="245" t="str">
        <f>VLOOKUP(A87,'Trips&amp;Operators'!$C$1:$G$99911,5,FALSE)</f>
        <v>STEWART MICHAEL</v>
      </c>
      <c r="M87" s="224">
        <f>I87-F87</f>
        <v>2.6157407410209998E-2</v>
      </c>
      <c r="N87" s="225">
        <f>24*60*SUM($M87:$M87)</f>
        <v>37.666666670702398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-14T12:18:59-0700',mode:absolute,to:'2018-01-14T15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23.2989</v>
      </c>
      <c r="Z87" s="247">
        <f>RIGHT(H87,LEN(H87)-4)/10000</f>
        <v>1.8700000000000001E-2</v>
      </c>
      <c r="AA87" s="247">
        <f>ABS(Z87-Y87)</f>
        <v>23.280200000000001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172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/stypes="app*4017*20180114*"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6"/>
        <v>"%USERPROFILE%\Documents\GitHub\eaglep3\Utilities\RefineRTDCRunTimes.py" --tripid 172-14 --locoid 4017 --swversion DE.1.0.9.0 --startMP 204:232989 --initTime 2018-01-14T13:18:59 --startdatetime 2018-01-14T13:27:24 --delay 54 --endMP 204:187 --enddatetime 2018-01-14T14:05:04 --enforcementcount 0 &gt;&gt;%USERPROFILE%\Documents\GitHub\eaglep3-reporting\EC\2018-01-14-refined-times.txt</v>
      </c>
      <c r="AI8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{"issue":{"subject":"","project_id":79,"tracker_id":40,"status_id":1,"priority_id":2,"assigned_to_id":338,"start_date":"2018-01-14","description":"","custom_fields":[{"id":1,"name":"Subdivision","value":"EC"},{"id":4,"name":"Milepost","value":"0.0187"},{"id":17,"name":"Train ID","value":"172-14"},{"id":16,"name":"Locomotive ID","value":"4017"},{"id":130,"name":"Impact","value":""},{"id":150,"name":"Time of Event (Mountain Time)","value":"14:05:04"},{"id":151,"name":"Denver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8"/>
        <v>start /low /b %USERPROFILE%\Documents\GitHub\eaglep3\Utilities\DownloadLogsFromS3.py --loco 4017 --day 2018-01-14</v>
      </c>
      <c r="AN87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20"/>
        <v>https://d0f6bd738d7f1b3e5a7ca70fe4ff75f0.us-east-1.aws.found.io/app/kibana#/discover/Steve-Slow-Train-Analysis-(2080s-and-2083s)?_g=(refreshInterval:(display:Off,pause:!f,section:0,value:0),time:(from:'2018-01-14T12:18:59-0700',mode:absolute,to:'2018-01-14T15:05:04-0700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802</v>
      </c>
      <c r="B88" s="225">
        <v>4016</v>
      </c>
      <c r="C88" s="227" t="s">
        <v>191</v>
      </c>
      <c r="D88" s="227" t="s">
        <v>513</v>
      </c>
      <c r="E88" s="226">
        <v>43114.525335648148</v>
      </c>
      <c r="F88" s="226">
        <v>43114.531446759262</v>
      </c>
      <c r="G88" s="225">
        <v>95</v>
      </c>
      <c r="H88" s="227" t="s">
        <v>974</v>
      </c>
      <c r="I88" s="226">
        <v>43114.555347222224</v>
      </c>
      <c r="J88" s="225">
        <v>0</v>
      </c>
      <c r="K88" s="237" t="str">
        <f>IF(ISEVEN(B88),(B88-1)&amp;"/"&amp;B88,B88&amp;"/"&amp;(B88+1))</f>
        <v>4015/4016</v>
      </c>
      <c r="L88" s="245" t="str">
        <f>VLOOKUP(A88,'Trips&amp;Operators'!$C$1:$G$99911,5,FALSE)</f>
        <v>ANDERS STEVEN</v>
      </c>
      <c r="M88" s="224">
        <f>I88-F88</f>
        <v>2.3900462962046731E-2</v>
      </c>
      <c r="N88" s="225">
        <f>24*60*SUM($M88:$M88)</f>
        <v>34.416666665347293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-14T11:36:29-0700',mode:absolute,to:'2018-01-14T14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5.11E-2</v>
      </c>
      <c r="Z88" s="247">
        <f>RIGHT(H88,LEN(H88)-4)/10000</f>
        <v>23.329499999999999</v>
      </c>
      <c r="AA88" s="247">
        <f>ABS(Z88-Y88)</f>
        <v>23.278399999999998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173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/stypes="app*4016*20180114*"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6"/>
        <v>"%USERPROFILE%\Documents\GitHub\eaglep3\Utilities\RefineRTDCRunTimes.py" --tripid 173-14 --locoid 4016 --swversion DE.1.0.9.0 --startMP 204:511 --initTime 2018-01-14T12:36:29 --startdatetime 2018-01-14T12:45:17 --delay 95 --endMP 204:233295 --enddatetime 2018-01-14T13:19:42 --enforcementcount 0 &gt;&gt;%USERPROFILE%\Documents\GitHub\eaglep3-reporting\EC\2018-01-14-refined-times.txt</v>
      </c>
      <c r="AI8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{"issue":{"subject":"","project_id":79,"tracker_id":40,"status_id":1,"priority_id":2,"assigned_to_id":338,"start_date":"2018-01-14","description":"","custom_fields":[{"id":1,"name":"Subdivision","value":"EC"},{"id":4,"name":"Milepost","value":"23.3295"},{"id":17,"name":"Train ID","value":"173-14"},{"id":16,"name":"Locomotive ID","value":"4016"},{"id":130,"name":"Impact","value":""},{"id":150,"name":"Time of Event (Mountain Time)","value":"13:19:42"},{"id":151,"name":"Denver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8"/>
        <v>start /low /b %USERPROFILE%\Documents\GitHub\eaglep3\Utilities\DownloadLogsFromS3.py --loco 4016 --day 2018-01-14</v>
      </c>
      <c r="AN88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20"/>
        <v>https://d0f6bd738d7f1b3e5a7ca70fe4ff75f0.us-east-1.aws.found.io/app/kibana#/discover/Steve-Slow-Train-Analysis-(2080s-and-2083s)?_g=(refreshInterval:(display:Off,pause:!f,section:0,value:0),time:(from:'2018-01-14T11:36:29-0700',mode:absolute,to:'2018-01-14T14:19:42-0700'))&amp;_a=(columns:!('Message%20ID',Summary),filters:!(),index:'emp_*',interval:auto,query:(query_string:(analyze_wildcard:!t,query:'%22rtdc.l.rtdc.4016%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811</v>
      </c>
      <c r="B89" s="225">
        <v>4015</v>
      </c>
      <c r="C89" s="227" t="s">
        <v>191</v>
      </c>
      <c r="D89" s="227" t="s">
        <v>975</v>
      </c>
      <c r="E89" s="226">
        <v>43114.565115740741</v>
      </c>
      <c r="F89" s="226">
        <v>43114.571296296293</v>
      </c>
      <c r="G89" s="225">
        <v>88</v>
      </c>
      <c r="H89" s="227" t="s">
        <v>658</v>
      </c>
      <c r="I89" s="226">
        <v>43114.597800925927</v>
      </c>
      <c r="J89" s="225">
        <v>0</v>
      </c>
      <c r="K89" s="237" t="str">
        <f>IF(ISEVEN(B89),(B89-1)&amp;"/"&amp;B89,B89&amp;"/"&amp;(B89+1))</f>
        <v>4015/4016</v>
      </c>
      <c r="L89" s="245" t="str">
        <f>VLOOKUP(A89,'Trips&amp;Operators'!$C$1:$G$99911,5,FALSE)</f>
        <v>ANDERS STEVEN</v>
      </c>
      <c r="M89" s="224">
        <f>I89-F89</f>
        <v>2.6504629633564036E-2</v>
      </c>
      <c r="N89" s="225">
        <f>24*60*SUM($M89:$M89)</f>
        <v>38.166666672332212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-14T12:33:46-0700',mode:absolute,to:'2018-01-14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23.297499999999999</v>
      </c>
      <c r="Z89" s="247">
        <f>RIGHT(H89,LEN(H89)-4)/10000</f>
        <v>1.9099999999999999E-2</v>
      </c>
      <c r="AA89" s="247">
        <f>ABS(Z89-Y89)</f>
        <v>23.278399999999998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174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/stypes="app*4015*20180114*" /stext=" 21:.+((SYSTEM_STATE.+slice.+state.+changed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6"/>
        <v>"%USERPROFILE%\Documents\GitHub\eaglep3\Utilities\RefineRTDCRunTimes.py" --tripid 174-14 --locoid 4015 --swversion DE.1.0.9.0 --startMP 204:232975 --initTime 2018-01-14T13:33:46 --startdatetime 2018-01-14T13:42:40 --delay 88 --endMP 204:191 --enddatetime 2018-01-14T14:20:50 --enforcementcount 0 &gt;&gt;%USERPROFILE%\Documents\GitHub\eaglep3-reporting\EC\2018-01-14-refined-times.txt</v>
      </c>
      <c r="AI8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{"issue":{"subject":"","project_id":79,"tracker_id":40,"status_id":1,"priority_id":2,"assigned_to_id":338,"start_date":"2018-01-14","description":"","custom_fields":[{"id":1,"name":"Subdivision","value":"EC"},{"id":4,"name":"Milepost","value":"0.0191"},{"id":17,"name":"Train ID","value":"174-14"},{"id":16,"name":"Locomotive ID","value":"4015"},{"id":130,"name":"Impact","value":""},{"id":150,"name":"Time of Event (Mountain Time)","value":"14:20:50"},{"id":151,"name":"Denver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8"/>
        <v>start /low /b %USERPROFILE%\Documents\GitHub\eaglep3\Utilities\DownloadLogsFromS3.py --loco 4015 --day 2018-01-14</v>
      </c>
      <c r="AN89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20"/>
        <v>https://d0f6bd738d7f1b3e5a7ca70fe4ff75f0.us-east-1.aws.found.io/app/kibana#/discover/Steve-Slow-Train-Analysis-(2080s-and-2083s)?_g=(refreshInterval:(display:Off,pause:!f,section:0,value:0),time:(from:'2018-01-14T12:33:46-0700',mode:absolute,to:'2018-01-14T15:20:50-0700'))&amp;_a=(columns:!('Message%20ID',Summary),filters:!(),index:'emp_*',interval:auto,query:(query_string:(analyze_wildcard:!t,query:'%22rtdc.l.rtdc.4015%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804</v>
      </c>
      <c r="B90" s="225">
        <v>4050</v>
      </c>
      <c r="C90" s="227" t="s">
        <v>191</v>
      </c>
      <c r="D90" s="227" t="s">
        <v>625</v>
      </c>
      <c r="E90" s="226">
        <v>43114.539155092592</v>
      </c>
      <c r="F90" s="226">
        <v>43114.541979166665</v>
      </c>
      <c r="G90" s="225">
        <v>69</v>
      </c>
      <c r="H90" s="227" t="s">
        <v>976</v>
      </c>
      <c r="I90" s="226">
        <v>43114.567488425928</v>
      </c>
      <c r="J90" s="225">
        <v>0</v>
      </c>
      <c r="K90" s="237" t="str">
        <f>IF(ISEVEN(B90),(B90-1)&amp;"/"&amp;B90,B90&amp;"/"&amp;(B90+1))</f>
        <v>4049/4050</v>
      </c>
      <c r="L90" s="245" t="str">
        <f>VLOOKUP(A90,'Trips&amp;Operators'!$C$1:$G$99911,5,FALSE)</f>
        <v>DAVIS MICHAEL</v>
      </c>
      <c r="M90" s="224">
        <f>I90-F90</f>
        <v>2.5509259263344575E-2</v>
      </c>
      <c r="N90" s="225">
        <f>24*60*SUM($M90:$M90)</f>
        <v>36.733333339216188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-14T11:56:23-0700',mode:absolute,to:'2018-01-14T14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4.8800000000000003E-2</v>
      </c>
      <c r="Z90" s="247">
        <f>RIGHT(H90,LEN(H90)-4)/10000</f>
        <v>23.331700000000001</v>
      </c>
      <c r="AA90" s="247">
        <f>ABS(Z90-Y90)</f>
        <v>23.282900000000001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175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/stypes="app*4050*20180114*"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6"/>
        <v>"%USERPROFILE%\Documents\GitHub\eaglep3\Utilities\RefineRTDCRunTimes.py" --tripid 175-14 --locoid 4050 --swversion DE.1.0.9.0 --startMP 204:488 --initTime 2018-01-14T12:56:23 --startdatetime 2018-01-14T13:00:27 --delay 69 --endMP 204:233317 --enddatetime 2018-01-14T13:37:11 --enforcementcount 0 &gt;&gt;%USERPROFILE%\Documents\GitHub\eaglep3-reporting\EC\2018-01-14-refined-times.txt</v>
      </c>
      <c r="AI9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{"issue":{"subject":"","project_id":79,"tracker_id":40,"status_id":1,"priority_id":2,"assigned_to_id":338,"start_date":"2018-01-14","description":"","custom_fields":[{"id":1,"name":"Subdivision","value":"EC"},{"id":4,"name":"Milepost","value":"23.3317"},{"id":17,"name":"Train ID","value":"175-14"},{"id":16,"name":"Locomotive ID","value":"4050"},{"id":130,"name":"Impact","value":""},{"id":150,"name":"Time of Event (Mountain Time)","value":"13:37:11"},{"id":151,"name":"Denver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8"/>
        <v>start /low /b %USERPROFILE%\Documents\GitHub\eaglep3\Utilities\DownloadLogsFromS3.py --loco 4050 --day 2018-01-14</v>
      </c>
      <c r="AN90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20"/>
        <v>https://d0f6bd738d7f1b3e5a7ca70fe4ff75f0.us-east-1.aws.found.io/app/kibana#/discover/Steve-Slow-Train-Analysis-(2080s-and-2083s)?_g=(refreshInterval:(display:Off,pause:!f,section:0,value:0),time:(from:'2018-01-14T11:56:23-0700',mode:absolute,to:'2018-01-14T14:37:11-0700'))&amp;_a=(columns:!('Message%20ID',Summary),filters:!(),index:'emp_*',interval:auto,query:(query_string:(analyze_wildcard:!t,query:'%22rtdc.l.rtdc.4050%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814</v>
      </c>
      <c r="B91" s="225">
        <v>4049</v>
      </c>
      <c r="C91" s="227" t="s">
        <v>191</v>
      </c>
      <c r="D91" s="227" t="s">
        <v>549</v>
      </c>
      <c r="E91" s="226">
        <v>43114.578576388885</v>
      </c>
      <c r="F91" s="226">
        <v>43114.581655092596</v>
      </c>
      <c r="G91" s="225">
        <v>67</v>
      </c>
      <c r="H91" s="227" t="s">
        <v>536</v>
      </c>
      <c r="I91" s="226">
        <v>43114.608923611115</v>
      </c>
      <c r="J91" s="225">
        <v>0</v>
      </c>
      <c r="K91" s="237" t="str">
        <f>IF(ISEVEN(B91),(B91-1)&amp;"/"&amp;B91,B91&amp;"/"&amp;(B91+1))</f>
        <v>4049/4050</v>
      </c>
      <c r="L91" s="245" t="str">
        <f>VLOOKUP(A91,'Trips&amp;Operators'!$C$1:$G$99911,5,FALSE)</f>
        <v>DAVIS MICHAEL</v>
      </c>
      <c r="M91" s="224">
        <f>I91-F91</f>
        <v>2.7268518519122154E-2</v>
      </c>
      <c r="N91" s="225">
        <f>24*60*SUM($M91:$M91)</f>
        <v>39.266666667535901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-14T12:53:09-0700',mode:absolute,to:'2018-01-14T15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23.2987</v>
      </c>
      <c r="Z91" s="247">
        <f>RIGHT(H91,LEN(H91)-4)/10000</f>
        <v>2.0299999999999999E-2</v>
      </c>
      <c r="AA91" s="247">
        <f>ABS(Z91-Y91)</f>
        <v>23.278400000000001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176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/stypes="app*4049*20180114*"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6"/>
        <v>"%USERPROFILE%\Documents\GitHub\eaglep3\Utilities\RefineRTDCRunTimes.py" --tripid 176-14 --locoid 4049 --swversion DE.1.0.9.0 --startMP 204:232987 --initTime 2018-01-14T13:53:09 --startdatetime 2018-01-14T13:57:35 --delay 67 --endMP 204:203 --enddatetime 2018-01-14T14:36:51 --enforcementcount 0 &gt;&gt;%USERPROFILE%\Documents\GitHub\eaglep3-reporting\EC\2018-01-14-refined-times.txt</v>
      </c>
      <c r="AI9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{"issue":{"subject":"","project_id":79,"tracker_id":40,"status_id":1,"priority_id":2,"assigned_to_id":338,"start_date":"2018-01-14","description":"","custom_fields":[{"id":1,"name":"Subdivision","value":"EC"},{"id":4,"name":"Milepost","value":"0.0203"},{"id":17,"name":"Train ID","value":"176-14"},{"id":16,"name":"Locomotive ID","value":"4049"},{"id":130,"name":"Impact","value":""},{"id":150,"name":"Time of Event (Mountain Time)","value":"14:36:51"},{"id":151,"name":"Denver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8"/>
        <v>start /low /b %USERPROFILE%\Documents\GitHub\eaglep3\Utilities\DownloadLogsFromS3.py --loco 4049 --day 2018-01-14</v>
      </c>
      <c r="AN91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20"/>
        <v>https://d0f6bd738d7f1b3e5a7ca70fe4ff75f0.us-east-1.aws.found.io/app/kibana#/discover/Steve-Slow-Train-Analysis-(2080s-and-2083s)?_g=(refreshInterval:(display:Off,pause:!f,section:0,value:0),time:(from:'2018-01-14T12:53:09-0700',mode:absolute,to:'2018-01-14T15:36:51-0700'))&amp;_a=(columns:!('Message%20ID',Summary),filters:!(),index:'emp_*',interval:auto,query:(query_string:(analyze_wildcard:!t,query:'%22rtdc.l.rtdc.4049%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807</v>
      </c>
      <c r="B92" s="225">
        <v>4022</v>
      </c>
      <c r="C92" s="227" t="s">
        <v>191</v>
      </c>
      <c r="D92" s="227" t="s">
        <v>977</v>
      </c>
      <c r="E92" s="226">
        <v>43114.548541666663</v>
      </c>
      <c r="F92" s="226">
        <v>43114.552303240744</v>
      </c>
      <c r="G92" s="225">
        <v>55</v>
      </c>
      <c r="H92" s="227" t="s">
        <v>978</v>
      </c>
      <c r="I92" s="226">
        <v>43114.576597222222</v>
      </c>
      <c r="J92" s="225">
        <v>0</v>
      </c>
      <c r="K92" s="237" t="str">
        <f>IF(ISEVEN(B92),(B92-1)&amp;"/"&amp;B92,B92&amp;"/"&amp;(B92+1))</f>
        <v>4021/4022</v>
      </c>
      <c r="L92" s="245" t="str">
        <f>VLOOKUP(A92,'Trips&amp;Operators'!$C$1:$G$99911,5,FALSE)</f>
        <v>SMITH MICHAEL</v>
      </c>
      <c r="M92" s="224">
        <f>I92-F92</f>
        <v>2.4293981477967463E-2</v>
      </c>
      <c r="N92" s="225">
        <f>24*60*SUM($M92:$M92)</f>
        <v>34.983333328273147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-14T12:09:54-0700',mode:absolute,to:'2018-01-14T14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4.8399999999999999E-2</v>
      </c>
      <c r="Z92" s="247">
        <f>RIGHT(H92,LEN(H92)-4)/10000</f>
        <v>23.330500000000001</v>
      </c>
      <c r="AA92" s="247">
        <f>ABS(Z92-Y92)</f>
        <v>23.2821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177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/stypes="app*4022*20180114*" /stext=" 20:.+((SYSTEM_STATE.+slice.+state.+changed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6"/>
        <v>"%USERPROFILE%\Documents\GitHub\eaglep3\Utilities\RefineRTDCRunTimes.py" --tripid 177-14 --locoid 4022 --swversion DE.1.0.9.0 --startMP 204:484 --initTime 2018-01-14T13:09:54 --startdatetime 2018-01-14T13:15:19 --delay 55 --endMP 204:233305 --enddatetime 2018-01-14T13:50:18 --enforcementcount 0 &gt;&gt;%USERPROFILE%\Documents\GitHub\eaglep3-reporting\EC\2018-01-14-refined-times.txt</v>
      </c>
      <c r="AI9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{"issue":{"subject":"","project_id":79,"tracker_id":40,"status_id":1,"priority_id":2,"assigned_to_id":338,"start_date":"2018-01-14","description":"","custom_fields":[{"id":1,"name":"Subdivision","value":"EC"},{"id":4,"name":"Milepost","value":"23.3305"},{"id":17,"name":"Train ID","value":"177-14"},{"id":16,"name":"Locomotive ID","value":"4022"},{"id":130,"name":"Impact","value":""},{"id":150,"name":"Time of Event (Mountain Time)","value":"13:50:18"},{"id":151,"name":"Denver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8"/>
        <v>start /low /b %USERPROFILE%\Documents\GitHub\eaglep3\Utilities\DownloadLogsFromS3.py --loco 4022 --day 2018-01-14</v>
      </c>
      <c r="AN92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20"/>
        <v>https://d0f6bd738d7f1b3e5a7ca70fe4ff75f0.us-east-1.aws.found.io/app/kibana#/discover/Steve-Slow-Train-Analysis-(2080s-and-2083s)?_g=(refreshInterval:(display:Off,pause:!f,section:0,value:0),time:(from:'2018-01-14T12:09:54-0700',mode:absolute,to:'2018-01-14T14:50:18-0700'))&amp;_a=(columns:!('Message%20ID',Summary),filters:!(),index:'emp_*',interval:auto,query:(query_string:(analyze_wildcard:!t,query:'%22rtdc.l.rtdc.4022%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816</v>
      </c>
      <c r="B93" s="225">
        <v>4021</v>
      </c>
      <c r="C93" s="227" t="s">
        <v>191</v>
      </c>
      <c r="D93" s="227" t="s">
        <v>929</v>
      </c>
      <c r="E93" s="226">
        <v>43114.584594907406</v>
      </c>
      <c r="F93" s="226">
        <v>43114.591874999998</v>
      </c>
      <c r="G93" s="225">
        <v>63</v>
      </c>
      <c r="H93" s="227" t="s">
        <v>503</v>
      </c>
      <c r="I93" s="226">
        <v>43114.617673611108</v>
      </c>
      <c r="J93" s="225">
        <v>0</v>
      </c>
      <c r="K93" s="237" t="str">
        <f>IF(ISEVEN(B93),(B93-1)&amp;"/"&amp;B93,B93&amp;"/"&amp;(B93+1))</f>
        <v>4021/4022</v>
      </c>
      <c r="L93" s="245" t="str">
        <f>VLOOKUP(A93,'Trips&amp;Operators'!$C$1:$G$99911,5,FALSE)</f>
        <v>SMITH MICHAEL</v>
      </c>
      <c r="M93" s="224">
        <f>I93-F93</f>
        <v>2.5798611110076308E-2</v>
      </c>
      <c r="N93" s="225">
        <f>24*60*SUM($M93:$M93)</f>
        <v>37.149999998509884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-14T13:01:49-0700',mode:absolute,to:'2018-01-14T15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23.2971</v>
      </c>
      <c r="Z93" s="247">
        <f>RIGHT(H93,LEN(H93)-4)/10000</f>
        <v>1.6500000000000001E-2</v>
      </c>
      <c r="AA93" s="247">
        <f>ABS(Z93-Y93)</f>
        <v>23.2806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178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/stypes="app*4021*20180114*"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6"/>
        <v>"%USERPROFILE%\Documents\GitHub\eaglep3\Utilities\RefineRTDCRunTimes.py" --tripid 178-14 --locoid 4021 --swversion DE.1.0.9.0 --startMP 204:232971 --initTime 2018-01-14T14:01:49 --startdatetime 2018-01-14T14:12:18 --delay 63 --endMP 204:165 --enddatetime 2018-01-14T14:49:27 --enforcementcount 0 &gt;&gt;%USERPROFILE%\Documents\GitHub\eaglep3-reporting\EC\2018-01-14-refined-times.txt</v>
      </c>
      <c r="AI93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{"issue":{"subject":"","project_id":79,"tracker_id":40,"status_id":1,"priority_id":2,"assigned_to_id":338,"start_date":"2018-01-14","description":"","custom_fields":[{"id":1,"name":"Subdivision","value":"EC"},{"id":4,"name":"Milepost","value":"0.0165"},{"id":17,"name":"Train ID","value":"178-14"},{"id":16,"name":"Locomotive ID","value":"4021"},{"id":130,"name":"Impact","value":""},{"id":150,"name":"Time of Event (Mountain Time)","value":"14:49:27"},{"id":151,"name":"Denver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8"/>
        <v>start /low /b %USERPROFILE%\Documents\GitHub\eaglep3\Utilities\DownloadLogsFromS3.py --loco 4021 --day 2018-01-14</v>
      </c>
      <c r="AN93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20"/>
        <v>https://d0f6bd738d7f1b3e5a7ca70fe4ff75f0.us-east-1.aws.found.io/app/kibana#/discover/Steve-Slow-Train-Analysis-(2080s-and-2083s)?_g=(refreshInterval:(display:Off,pause:!f,section:0,value:0),time:(from:'2018-01-14T13:01:49-0700',mode:absolute,to:'2018-01-14T15:49:27-0700'))&amp;_a=(columns:!('Message%20ID',Summary),filters:!(),index:'emp_*',interval:auto,query:(query_string:(analyze_wildcard:!t,query:'%22rtdc.l.rtdc.4021%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810</v>
      </c>
      <c r="B94" s="225">
        <v>4040</v>
      </c>
      <c r="C94" s="227" t="s">
        <v>191</v>
      </c>
      <c r="D94" s="227" t="s">
        <v>446</v>
      </c>
      <c r="E94" s="226">
        <v>43114.559236111112</v>
      </c>
      <c r="F94" s="226">
        <v>43114.562835648147</v>
      </c>
      <c r="G94" s="225">
        <v>58</v>
      </c>
      <c r="H94" s="227" t="s">
        <v>979</v>
      </c>
      <c r="I94" s="226">
        <v>43114.58829861111</v>
      </c>
      <c r="J94" s="225">
        <v>0</v>
      </c>
      <c r="K94" s="237" t="str">
        <f>IF(ISEVEN(B94),(B94-1)&amp;"/"&amp;B94,B94&amp;"/"&amp;(B94+1))</f>
        <v>4039/4040</v>
      </c>
      <c r="L94" s="245" t="str">
        <f>VLOOKUP(A94,'Trips&amp;Operators'!$C$1:$G$99911,5,FALSE)</f>
        <v>BADERTSCHER DIANE</v>
      </c>
      <c r="M94" s="224">
        <f>I94-F94</f>
        <v>2.5462962963501923E-2</v>
      </c>
      <c r="N94" s="225">
        <f>24*60*SUM($M94:$M94)</f>
        <v>36.666666667442769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-14T12:25:18-0700',mode:absolute,to:'2018-01-14T15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5.0799999999999998E-2</v>
      </c>
      <c r="Z94" s="247">
        <f>RIGHT(H94,LEN(H94)-4)/10000</f>
        <v>23.325500000000002</v>
      </c>
      <c r="AA94" s="247">
        <f>ABS(Z94-Y94)</f>
        <v>23.274700000000003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179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/stypes="app*4040*20180114*"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6"/>
        <v>"%USERPROFILE%\Documents\GitHub\eaglep3\Utilities\RefineRTDCRunTimes.py" --tripid 179-14 --locoid 4040 --swversion DE.1.0.9.0 --startMP 204:508 --initTime 2018-01-14T13:25:18 --startdatetime 2018-01-14T13:30:29 --delay 58 --endMP 204:233255 --enddatetime 2018-01-14T14:07:09 --enforcementcount 0 &gt;&gt;%USERPROFILE%\Documents\GitHub\eaglep3-reporting\EC\2018-01-14-refined-times.txt</v>
      </c>
      <c r="AI9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{"issue":{"subject":"","project_id":79,"tracker_id":40,"status_id":1,"priority_id":2,"assigned_to_id":338,"start_date":"2018-01-14","description":"","custom_fields":[{"id":1,"name":"Subdivision","value":"EC"},{"id":4,"name":"Milepost","value":"23.3255"},{"id":17,"name":"Train ID","value":"179-14"},{"id":16,"name":"Locomotive ID","value":"4040"},{"id":130,"name":"Impact","value":""},{"id":150,"name":"Time of Event (Mountain Time)","value":"14:07:09"},{"id":151,"name":"Denver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8"/>
        <v>start /low /b %USERPROFILE%\Documents\GitHub\eaglep3\Utilities\DownloadLogsFromS3.py --loco 4040 --day 2018-01-14</v>
      </c>
      <c r="AN94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20"/>
        <v>https://d0f6bd738d7f1b3e5a7ca70fe4ff75f0.us-east-1.aws.found.io/app/kibana#/discover/Steve-Slow-Train-Analysis-(2080s-and-2083s)?_g=(refreshInterval:(display:Off,pause:!f,section:0,value:0),time:(from:'2018-01-14T12:25:18-0700',mode:absolute,to:'2018-01-14T15:07:09-0700'))&amp;_a=(columns:!('Message%20ID',Summary),filters:!(),index:'emp_*',interval:auto,query:(query_string:(analyze_wildcard:!t,query:'%22rtdc.l.rtdc.4040%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818</v>
      </c>
      <c r="B95" s="225">
        <v>4039</v>
      </c>
      <c r="C95" s="227" t="s">
        <v>191</v>
      </c>
      <c r="D95" s="227" t="s">
        <v>532</v>
      </c>
      <c r="E95" s="226">
        <v>43114.597546296296</v>
      </c>
      <c r="F95" s="226">
        <v>43114.602442129632</v>
      </c>
      <c r="G95" s="225">
        <v>71</v>
      </c>
      <c r="H95" s="227" t="s">
        <v>450</v>
      </c>
      <c r="I95" s="226">
        <v>43114.629351851851</v>
      </c>
      <c r="J95" s="225">
        <v>0</v>
      </c>
      <c r="K95" s="237" t="str">
        <f>IF(ISEVEN(B95),(B95-1)&amp;"/"&amp;B95,B95&amp;"/"&amp;(B95+1))</f>
        <v>4039/4040</v>
      </c>
      <c r="L95" s="245" t="str">
        <f>VLOOKUP(A95,'Trips&amp;Operators'!$C$1:$G$99911,5,FALSE)</f>
        <v>BADERTSCHER DIANE</v>
      </c>
      <c r="M95" s="224">
        <f>I95-F95</f>
        <v>2.6909722218988463E-2</v>
      </c>
      <c r="N95" s="225">
        <f>24*60*SUM($M95:$M95)</f>
        <v>38.749999995343387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-14T13:20:28-0700',mode:absolute,to:'2018-01-14T16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23.294</v>
      </c>
      <c r="Z95" s="247">
        <f>RIGHT(H95,LEN(H95)-4)/10000</f>
        <v>2.1100000000000001E-2</v>
      </c>
      <c r="AA95" s="247">
        <f>ABS(Z95-Y95)</f>
        <v>23.2729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180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/stypes="app*4039*20180114*" /stext=" 22:.+((SYSTEM_STATE.+slice.+state.+changed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6"/>
        <v>"%USERPROFILE%\Documents\GitHub\eaglep3\Utilities\RefineRTDCRunTimes.py" --tripid 180-14 --locoid 4039 --swversion DE.1.0.9.0 --startMP 204:232940 --initTime 2018-01-14T14:20:28 --startdatetime 2018-01-14T14:27:31 --delay 71 --endMP 204:211 --enddatetime 2018-01-14T15:06:16 --enforcementcount 0 &gt;&gt;%USERPROFILE%\Documents\GitHub\eaglep3-reporting\EC\2018-01-14-refined-times.txt</v>
      </c>
      <c r="AI9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{"issue":{"subject":"","project_id":79,"tracker_id":40,"status_id":1,"priority_id":2,"assigned_to_id":338,"start_date":"2018-01-14","description":"","custom_fields":[{"id":1,"name":"Subdivision","value":"EC"},{"id":4,"name":"Milepost","value":"0.0211"},{"id":17,"name":"Train ID","value":"180-14"},{"id":16,"name":"Locomotive ID","value":"4039"},{"id":130,"name":"Impact","value":""},{"id":150,"name":"Time of Event (Mountain Time)","value":"15:06:16"},{"id":151,"name":"Denver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8"/>
        <v>start /low /b %USERPROFILE%\Documents\GitHub\eaglep3\Utilities\DownloadLogsFromS3.py --loco 4039 --day 2018-01-14</v>
      </c>
      <c r="AN95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20"/>
        <v>https://d0f6bd738d7f1b3e5a7ca70fe4ff75f0.us-east-1.aws.found.io/app/kibana#/discover/Steve-Slow-Train-Analysis-(2080s-and-2083s)?_g=(refreshInterval:(display:Off,pause:!f,section:0,value:0),time:(from:'2018-01-14T13:20:28-0700',mode:absolute,to:'2018-01-14T16:06:16-0700'))&amp;_a=(columns:!('Message%20ID',Summary),filters:!(),index:'emp_*',interval:auto,query:(query_string:(analyze_wildcard:!t,query:'%22rtdc.l.rtdc.4039%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812</v>
      </c>
      <c r="B96" s="225">
        <v>4028</v>
      </c>
      <c r="C96" s="227" t="s">
        <v>191</v>
      </c>
      <c r="D96" s="227" t="s">
        <v>940</v>
      </c>
      <c r="E96" s="226">
        <v>43114.570335648146</v>
      </c>
      <c r="F96" s="226">
        <v>43114.573449074072</v>
      </c>
      <c r="G96" s="225">
        <v>52</v>
      </c>
      <c r="H96" s="227" t="s">
        <v>912</v>
      </c>
      <c r="I96" s="226">
        <v>43114.597928240742</v>
      </c>
      <c r="J96" s="225">
        <v>0</v>
      </c>
      <c r="K96" s="237" t="str">
        <f>IF(ISEVEN(B96),(B96-1)&amp;"/"&amp;B96,B96&amp;"/"&amp;(B96+1))</f>
        <v>4027/4028</v>
      </c>
      <c r="L96" s="245" t="str">
        <f>VLOOKUP(A96,'Trips&amp;Operators'!$C$1:$G$99911,5,FALSE)</f>
        <v>CHANDLER KELVIN</v>
      </c>
      <c r="M96" s="224">
        <f>I96-F96</f>
        <v>2.4479166670062114E-2</v>
      </c>
      <c r="N96" s="225">
        <f>24*60*SUM($M96:$M96)</f>
        <v>35.250000004889444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-14T12:41:17-0700',mode:absolute,to:'2018-01-14T15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4.7500000000000001E-2</v>
      </c>
      <c r="Z96" s="247">
        <f>RIGHT(H96,LEN(H96)-4)/10000</f>
        <v>23.330300000000001</v>
      </c>
      <c r="AA96" s="247">
        <f>ABS(Z96-Y96)</f>
        <v>23.282800000000002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181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/stypes="app*4028*20180114*"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6"/>
        <v>"%USERPROFILE%\Documents\GitHub\eaglep3\Utilities\RefineRTDCRunTimes.py" --tripid 181-14 --locoid 4028 --swversion DE.1.0.9.0 --startMP 204:475 --initTime 2018-01-14T13:41:17 --startdatetime 2018-01-14T13:45:46 --delay 52 --endMP 204:233303 --enddatetime 2018-01-14T14:21:01 --enforcementcount 0 &gt;&gt;%USERPROFILE%\Documents\GitHub\eaglep3-reporting\EC\2018-01-14-refined-times.txt</v>
      </c>
      <c r="AI9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{"issue":{"subject":"","project_id":79,"tracker_id":40,"status_id":1,"priority_id":2,"assigned_to_id":338,"start_date":"2018-01-14","description":"","custom_fields":[{"id":1,"name":"Subdivision","value":"EC"},{"id":4,"name":"Milepost","value":"23.3303"},{"id":17,"name":"Train ID","value":"181-14"},{"id":16,"name":"Locomotive ID","value":"4028"},{"id":130,"name":"Impact","value":""},{"id":150,"name":"Time of Event (Mountain Time)","value":"14:21:01"},{"id":151,"name":"Denver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8"/>
        <v>start /low /b %USERPROFILE%\Documents\GitHub\eaglep3\Utilities\DownloadLogsFromS3.py --loco 4028 --day 2018-01-14</v>
      </c>
      <c r="AN96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20"/>
        <v>https://d0f6bd738d7f1b3e5a7ca70fe4ff75f0.us-east-1.aws.found.io/app/kibana#/discover/Steve-Slow-Train-Analysis-(2080s-and-2083s)?_g=(refreshInterval:(display:Off,pause:!f,section:0,value:0),time:(from:'2018-01-14T12:41:17-0700',mode:absolute,to:'2018-01-14T15:21:01-0700'))&amp;_a=(columns:!('Message%20ID',Summary),filters:!(),index:'emp_*',interval:auto,query:(query_string:(analyze_wildcard:!t,query:'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821</v>
      </c>
      <c r="B97" s="225">
        <v>4027</v>
      </c>
      <c r="C97" s="227" t="s">
        <v>191</v>
      </c>
      <c r="D97" s="227" t="s">
        <v>469</v>
      </c>
      <c r="E97" s="226">
        <v>43114.604513888888</v>
      </c>
      <c r="F97" s="226">
        <v>43114.612824074073</v>
      </c>
      <c r="G97" s="225">
        <v>74</v>
      </c>
      <c r="H97" s="227" t="s">
        <v>995</v>
      </c>
      <c r="I97" s="226">
        <v>43114.641377314816</v>
      </c>
      <c r="J97" s="225">
        <v>0</v>
      </c>
      <c r="K97" s="237" t="str">
        <f>IF(ISEVEN(B97),(B97-1)&amp;"/"&amp;B97,B97&amp;"/"&amp;(B97+1))</f>
        <v>4027/4028</v>
      </c>
      <c r="L97" s="245" t="str">
        <f>VLOOKUP(A97,'Trips&amp;Operators'!$C$1:$G$99911,5,FALSE)</f>
        <v>CHANDLER KELVIN</v>
      </c>
      <c r="M97" s="224">
        <f>I97-F97</f>
        <v>2.8553240743349306E-2</v>
      </c>
      <c r="N97" s="225">
        <f>24*60*SUM($M97:$M97)</f>
        <v>41.116666670423001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-14T13:30:30-0700',mode:absolute,to:'2018-01-14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23.296299999999999</v>
      </c>
      <c r="Z97" s="247">
        <f>RIGHT(H97,LEN(H97)-4)/10000</f>
        <v>1.78E-2</v>
      </c>
      <c r="AA97" s="247">
        <f>ABS(Z97-Y97)</f>
        <v>23.278499999999998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182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/stypes="app*4027*20180114*"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6"/>
        <v>"%USERPROFILE%\Documents\GitHub\eaglep3\Utilities\RefineRTDCRunTimes.py" --tripid 182-14 --locoid 4027 --swversion DE.1.0.9.0 --startMP 204:232963 --initTime 2018-01-14T14:30:30 --startdatetime 2018-01-14T14:42:28 --delay 74 --endMP 204:178 --enddatetime 2018-01-14T15:23:35 --enforcementcount 0 &gt;&gt;%USERPROFILE%\Documents\GitHub\eaglep3-reporting\EC\2018-01-14-refined-times.txt</v>
      </c>
      <c r="AI9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{"issue":{"subject":"","project_id":79,"tracker_id":40,"status_id":1,"priority_id":2,"assigned_to_id":338,"start_date":"2018-01-14","description":"","custom_fields":[{"id":1,"name":"Subdivision","value":"EC"},{"id":4,"name":"Milepost","value":"0.0178"},{"id":17,"name":"Train ID","value":"182-14"},{"id":16,"name":"Locomotive ID","value":"4027"},{"id":130,"name":"Impact","value":""},{"id":150,"name":"Time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8"/>
        <v>start /low /b %USERPROFILE%\Documents\GitHub\eaglep3\Utilities\DownloadLogsFromS3.py --loco 4027 --day 2018-01-14</v>
      </c>
      <c r="AN97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20"/>
        <v>https://d0f6bd738d7f1b3e5a7ca70fe4ff75f0.us-east-1.aws.found.io/app/kibana#/discover/Steve-Slow-Train-Analysis-(2080s-and-2083s)?_g=(refreshInterval:(display:Off,pause:!f,section:0,value:0),time:(from:'2018-01-14T13:30:30-0700',mode:absolute,to:'2018-01-14T16:23:35-0700'))&amp;_a=(columns:!('Message%20ID',Summary),filters:!(),index:'emp_*',interval:auto,query:(query_string:(analyze_wildcard:!t,query:'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813</v>
      </c>
      <c r="B98" s="225">
        <v>4026</v>
      </c>
      <c r="C98" s="227" t="s">
        <v>191</v>
      </c>
      <c r="D98" s="227" t="s">
        <v>936</v>
      </c>
      <c r="E98" s="226">
        <v>43114.578275462962</v>
      </c>
      <c r="F98" s="226">
        <v>43114.583645833336</v>
      </c>
      <c r="G98" s="225">
        <v>49</v>
      </c>
      <c r="H98" s="227" t="s">
        <v>998</v>
      </c>
      <c r="I98" s="226">
        <v>43114.608275462961</v>
      </c>
      <c r="J98" s="225">
        <v>0</v>
      </c>
      <c r="K98" s="237" t="str">
        <f>IF(ISEVEN(B98),(B98-1)&amp;"/"&amp;B98,B98&amp;"/"&amp;(B98+1))</f>
        <v>4025/4026</v>
      </c>
      <c r="L98" s="245" t="str">
        <f>VLOOKUP(A98,'Trips&amp;Operators'!$C$1:$G$99911,5,FALSE)</f>
        <v>WEST BRYAN</v>
      </c>
      <c r="M98" s="224">
        <f>I98-F98</f>
        <v>2.4629629624541849E-2</v>
      </c>
      <c r="N98" s="225">
        <f>24*60*SUM($M98:$M98)</f>
        <v>35.466666659340262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-14T12:52:43-0700',mode:absolute,to:'2018-01-14T15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5.6000000000000001E-2</v>
      </c>
      <c r="Z98" s="247">
        <f>RIGHT(H98,LEN(H98)-4)/10000</f>
        <v>23.323399999999999</v>
      </c>
      <c r="AA98" s="247">
        <f>ABS(Z98-Y98)</f>
        <v>23.267399999999999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183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/stypes="app*4026*20180114*" /stext=" 21:.+((SYSTEM_STATE.+slice.+state.+changed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6"/>
        <v>"%USERPROFILE%\Documents\GitHub\eaglep3\Utilities\RefineRTDCRunTimes.py" --tripid 183-14 --locoid 4026 --swversion DE.1.0.9.0 --startMP 204:560 --initTime 2018-01-14T13:52:43 --startdatetime 2018-01-14T14:00:27 --delay 49 --endMP 204:233234 --enddatetime 2018-01-14T14:35:55 --enforcementcount 0 &gt;&gt;%USERPROFILE%\Documents\GitHub\eaglep3-reporting\EC\2018-01-14-refined-times.txt</v>
      </c>
      <c r="AI9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{"issue":{"subject":"","project_id":79,"tracker_id":40,"status_id":1,"priority_id":2,"assigned_to_id":338,"start_date":"2018-01-14","description":"","custom_fields":[{"id":1,"name":"Subdivision","value":"EC"},{"id":4,"name":"Milepost","value":"23.3234"},{"id":17,"name":"Train ID","value":"183-14"},{"id":16,"name":"Locomotive ID","value":"4026"},{"id":130,"name":"Impact","value":""},{"id":150,"name":"Time of Event (Mountain Time)","value":"14:35:55"},{"id":151,"name":"Denver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8"/>
        <v>start /low /b %USERPROFILE%\Documents\GitHub\eaglep3\Utilities\DownloadLogsFromS3.py --loco 4026 --day 2018-01-14</v>
      </c>
      <c r="AN98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20"/>
        <v>https://d0f6bd738d7f1b3e5a7ca70fe4ff75f0.us-east-1.aws.found.io/app/kibana#/discover/Steve-Slow-Train-Analysis-(2080s-and-2083s)?_g=(refreshInterval:(display:Off,pause:!f,section:0,value:0),time:(from:'2018-01-14T12:52:43-0700',mode:absolute,to:'2018-01-14T15:35:55-0700'))&amp;_a=(columns:!('Message%20ID',Summary),filters:!(),index:'emp_*',interval:auto,query:(query_string:(analyze_wildcard:!t,query:'%22rtdc.l.rtdc.4026%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823</v>
      </c>
      <c r="B99" s="225">
        <v>4025</v>
      </c>
      <c r="C99" s="227" t="s">
        <v>191</v>
      </c>
      <c r="D99" s="227" t="s">
        <v>634</v>
      </c>
      <c r="E99" s="226">
        <v>43114.616099537037</v>
      </c>
      <c r="F99" s="226">
        <v>43114.62327546296</v>
      </c>
      <c r="G99" s="225">
        <v>51</v>
      </c>
      <c r="H99" s="227" t="s">
        <v>970</v>
      </c>
      <c r="I99" s="226">
        <v>43114.648773148147</v>
      </c>
      <c r="J99" s="225">
        <v>0</v>
      </c>
      <c r="K99" s="237" t="str">
        <f>IF(ISEVEN(B99),(B99-1)&amp;"/"&amp;B99,B99&amp;"/"&amp;(B99+1))</f>
        <v>4025/4026</v>
      </c>
      <c r="L99" s="245" t="str">
        <f>VLOOKUP(A99,'Trips&amp;Operators'!$C$1:$G$99911,5,FALSE)</f>
        <v>WEST BRYAN</v>
      </c>
      <c r="M99" s="224">
        <f>I99-F99</f>
        <v>2.5497685186564922E-2</v>
      </c>
      <c r="N99" s="225">
        <f>24*60*SUM($M99:$M99)</f>
        <v>36.716666668653488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-14T13:47:11-0700',mode:absolute,to:'2018-01-14T16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23.292300000000001</v>
      </c>
      <c r="Z99" s="247">
        <f>RIGHT(H99,LEN(H99)-4)/10000</f>
        <v>2.5399999999999999E-2</v>
      </c>
      <c r="AA99" s="247">
        <f>ABS(Z99-Y99)</f>
        <v>23.2669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184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/stypes="app*4025*20180114*"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6"/>
        <v>"%USERPROFILE%\Documents\GitHub\eaglep3\Utilities\RefineRTDCRunTimes.py" --tripid 184-14 --locoid 4025 --swversion DE.1.0.9.0 --startMP 204:232923 --initTime 2018-01-14T14:47:11 --startdatetime 2018-01-14T14:57:31 --delay 51 --endMP 204:254 --enddatetime 2018-01-14T15:34:14 --enforcementcount 0 &gt;&gt;%USERPROFILE%\Documents\GitHub\eaglep3-reporting\EC\2018-01-14-refined-times.txt</v>
      </c>
      <c r="AI9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{"issue":{"subject":"","project_id":79,"tracker_id":40,"status_id":1,"priority_id":2,"assigned_to_id":338,"start_date":"2018-01-14","description":"","custom_fields":[{"id":1,"name":"Subdivision","value":"EC"},{"id":4,"name":"Milepost","value":"0.0254"},{"id":17,"name":"Train ID","value":"184-14"},{"id":16,"name":"Locomotive ID","value":"4025"},{"id":130,"name":"Impact","value":""},{"id":150,"name":"Time of Event (Mountain Time)","value":"15:34:14"},{"id":151,"name":"Denver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8"/>
        <v>start /low /b %USERPROFILE%\Documents\GitHub\eaglep3\Utilities\DownloadLogsFromS3.py --loco 4025 --day 2018-01-14</v>
      </c>
      <c r="AN99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20"/>
        <v>https://d0f6bd738d7f1b3e5a7ca70fe4ff75f0.us-east-1.aws.found.io/app/kibana#/discover/Steve-Slow-Train-Analysis-(2080s-and-2083s)?_g=(refreshInterval:(display:Off,pause:!f,section:0,value:0),time:(from:'2018-01-14T13:47:11-0700',mode:absolute,to:'2018-01-14T16:34:14-0700'))&amp;_a=(columns:!('Message%20ID',Summary),filters:!(),index:'emp_*',interval:auto,query:(query_string:(analyze_wildcard:!t,query:'%22rtdc.l.rtdc.4025%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817</v>
      </c>
      <c r="B100" s="225">
        <v>4018</v>
      </c>
      <c r="C100" s="227" t="s">
        <v>191</v>
      </c>
      <c r="D100" s="227" t="s">
        <v>472</v>
      </c>
      <c r="E100" s="226">
        <v>43114.589317129627</v>
      </c>
      <c r="F100" s="226">
        <v>43114.593935185185</v>
      </c>
      <c r="G100" s="225">
        <v>53</v>
      </c>
      <c r="H100" s="227" t="s">
        <v>931</v>
      </c>
      <c r="I100" s="226">
        <v>43114.618275462963</v>
      </c>
      <c r="J100" s="225">
        <v>0</v>
      </c>
      <c r="K100" s="237" t="str">
        <f>IF(ISEVEN(B100),(B100-1)&amp;"/"&amp;B100,B100&amp;"/"&amp;(B100+1))</f>
        <v>4017/4018</v>
      </c>
      <c r="L100" s="245" t="str">
        <f>VLOOKUP(A100,'Trips&amp;Operators'!$C$1:$G$99911,5,FALSE)</f>
        <v>STEWART MICHAEL</v>
      </c>
      <c r="M100" s="224">
        <f>I100-F100</f>
        <v>2.4340277777810115E-2</v>
      </c>
      <c r="N100" s="225">
        <f>24*60*SUM($M100:$M100)</f>
        <v>35.050000000046566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-14T13:08:37-0700',mode:absolute,to:'2018-01-14T15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4.9500000000000002E-2</v>
      </c>
      <c r="Z100" s="247">
        <f>RIGHT(H100,LEN(H100)-4)/10000</f>
        <v>23.3263</v>
      </c>
      <c r="AA100" s="247">
        <f>ABS(Z100-Y100)</f>
        <v>23.276800000000001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185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/stypes="app*4018*20180114*" /stext=" 21:.+((SYSTEM_STATE.+slice.+state.+changed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6"/>
        <v>"%USERPROFILE%\Documents\GitHub\eaglep3\Utilities\RefineRTDCRunTimes.py" --tripid 185-14 --locoid 4018 --swversion DE.1.0.9.0 --startMP 204:495 --initTime 2018-01-14T14:08:37 --startdatetime 2018-01-14T14:15:16 --delay 53 --endMP 204:233263 --enddatetime 2018-01-14T14:50:19 --enforcementcount 0 &gt;&gt;%USERPROFILE%\Documents\GitHub\eaglep3-reporting\EC\2018-01-14-refined-times.txt</v>
      </c>
      <c r="AI10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{"issue":{"subject":"","project_id":79,"tracker_id":40,"status_id":1,"priority_id":2,"assigned_to_id":338,"start_date":"2018-01-14","description":"","custom_fields":[{"id":1,"name":"Subdivision","value":"EC"},{"id":4,"name":"Milepost","value":"23.3263"},{"id":17,"name":"Train ID","value":"185-14"},{"id":16,"name":"Locomotive ID","value":"4018"},{"id":130,"name":"Impact","value":""},{"id":150,"name":"Time of Event (Mountain Time)","value":"14:50:19"},{"id":151,"name":"Denver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8"/>
        <v>start /low /b %USERPROFILE%\Documents\GitHub\eaglep3\Utilities\DownloadLogsFromS3.py --loco 4018 --day 2018-01-14</v>
      </c>
      <c r="AN100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20"/>
        <v>https://d0f6bd738d7f1b3e5a7ca70fe4ff75f0.us-east-1.aws.found.io/app/kibana#/discover/Steve-Slow-Train-Analysis-(2080s-and-2083s)?_g=(refreshInterval:(display:Off,pause:!f,section:0,value:0),time:(from:'2018-01-14T13:08:37-0700',mode:absolute,to:'2018-01-14T15:50:19-0700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825</v>
      </c>
      <c r="B101" s="225">
        <v>4017</v>
      </c>
      <c r="C101" s="227" t="s">
        <v>191</v>
      </c>
      <c r="D101" s="227" t="s">
        <v>472</v>
      </c>
      <c r="E101" s="226">
        <v>43114.589317129627</v>
      </c>
      <c r="F101" s="226">
        <v>43114.633587962962</v>
      </c>
      <c r="G101" s="225">
        <v>53</v>
      </c>
      <c r="H101" s="227" t="s">
        <v>931</v>
      </c>
      <c r="I101" s="226">
        <v>43114.662916666668</v>
      </c>
      <c r="J101" s="225">
        <v>0</v>
      </c>
      <c r="K101" s="237" t="str">
        <f>IF(ISEVEN(B101),(B101-1)&amp;"/"&amp;B101,B101&amp;"/"&amp;(B101+1))</f>
        <v>4017/4018</v>
      </c>
      <c r="L101" s="245" t="str">
        <f>VLOOKUP(A101,'Trips&amp;Operators'!$C$1:$G$99911,5,FALSE)</f>
        <v>STEWART MICHAEL</v>
      </c>
      <c r="M101" s="224">
        <f>I101-F101</f>
        <v>2.9328703705687076E-2</v>
      </c>
      <c r="N101" s="225">
        <f>24*60*SUM($M101:$M101)</f>
        <v>42.233333336189389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-14T13:08:37-0700',mode:absolute,to:'2018-01-14T16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v>23.2685</v>
      </c>
      <c r="Z101" s="247">
        <v>1.8700000000000001E-2</v>
      </c>
      <c r="AA101" s="247">
        <f>ABS(Z101-Y101)</f>
        <v>23.2498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186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/stypes="app*4017*20180114*"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ref="AH101" si="21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186-14 --locoid 4017 --swversion DE.1.0.9.0 --startMP 204:495 --initTime 2018-01-14T14:08:37 --startdatetime 2018-01-14T15:12:22 --delay 53 --endMP 204:233263 --enddatetime 2018-01-14T15:54:36 --enforcementcount 0 &gt;&gt;%USERPROFILE%\Documents\GitHub\eaglep3-reporting\EC\2018-01-14-refined-times.txt</v>
      </c>
      <c r="AI101" s="238" t="str">
        <f t="shared" ref="AI101" si="22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{"issue":{"subject":"","project_id":79,"tracker_id":40,"status_id":1,"priority_id":2,"assigned_to_id":338,"start_date":"2018-01-14","description":"","custom_fields":[{"id":1,"name":"Subdivision","value":"EC"},{"id":4,"name":"Milepost","value":"0.0187"},{"id":17,"name":"Train ID","value":"186-14"},{"id":16,"name":"Locomotive ID","value":"4017"},{"id":130,"name":"Impact","value":""},{"id":150,"name":"Time of Event (Mountain Time)","value":"15:54:36"},{"id":151,"name":"Denver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ref="AM101" si="23">"start /low /b "&amp;dls3logs&amp;" --loco "&amp;B101&amp;" --day "&amp;TEXT(F101,"YYYY-MM-DD")</f>
        <v>start /low /b %USERPROFILE%\Documents\GitHub\eaglep3\Utilities\DownloadLogsFromS3.py --loco 4017 --day 2018-01-14</v>
      </c>
      <c r="AN101" s="241" t="str">
        <f t="shared" ref="AN101" si="24"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ref="AO101" si="25"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-14T13:08:37-0700',mode:absolute,to:'2018-01-14T16:54:36-0700'))&amp;_a=(columns:!('Message%20ID',Summary),filters:!(),index:'emp_*',interval:auto,query:(query_string:(analyze_wildcard:!t,query:'%22rtdc.l.rtdc.4017%22')),sort:!(Time.ISO8601,asc))</v>
      </c>
      <c r="AP101" s="223"/>
      <c r="AQ101" s="223"/>
      <c r="AR101" s="223"/>
      <c r="AS101" s="223"/>
      <c r="AT101" s="223"/>
      <c r="AU101" s="223"/>
      <c r="AV101" s="223"/>
      <c r="AW101" s="223"/>
      <c r="AX101" s="223"/>
      <c r="AY101" s="223"/>
      <c r="AZ101" s="223"/>
      <c r="BA101" s="223"/>
      <c r="BB101" s="223"/>
      <c r="BC101" s="223"/>
      <c r="BD101" s="223"/>
      <c r="BE101" s="223"/>
      <c r="BF101" s="223"/>
      <c r="BG101" s="223"/>
      <c r="BH101" s="223"/>
      <c r="BI101" s="223"/>
      <c r="BJ101" s="223"/>
      <c r="BK101" s="223"/>
      <c r="BL101" s="223"/>
      <c r="BM101" s="223"/>
      <c r="BN101" s="223"/>
      <c r="BO101" s="223"/>
      <c r="BP101" s="223"/>
      <c r="BQ101" s="223"/>
      <c r="BR101" s="223"/>
      <c r="BS101" s="223"/>
      <c r="BT101" s="223"/>
      <c r="BU101" s="223"/>
      <c r="BV101" s="223"/>
      <c r="BW101" s="223"/>
      <c r="BX101" s="223"/>
      <c r="BY101" s="223"/>
      <c r="BZ101" s="223"/>
      <c r="CA101" s="223"/>
      <c r="CB101" s="223"/>
      <c r="CC101" s="223"/>
      <c r="CD101" s="223"/>
      <c r="CE101" s="223"/>
      <c r="CF101" s="223"/>
      <c r="CG101" s="223"/>
      <c r="CH101" s="223"/>
      <c r="CI101" s="223"/>
      <c r="CJ101" s="223"/>
      <c r="CK101" s="223"/>
      <c r="CL101" s="223"/>
      <c r="CM101" s="223"/>
    </row>
    <row r="102" spans="1:91" s="1" customFormat="1" x14ac:dyDescent="0.3">
      <c r="A102" s="229" t="s">
        <v>820</v>
      </c>
      <c r="B102" s="225">
        <v>4016</v>
      </c>
      <c r="C102" s="227" t="s">
        <v>191</v>
      </c>
      <c r="D102" s="227" t="s">
        <v>446</v>
      </c>
      <c r="E102" s="226">
        <v>43114.6015625</v>
      </c>
      <c r="F102" s="226">
        <v>43114.604479166665</v>
      </c>
      <c r="G102" s="225">
        <v>62</v>
      </c>
      <c r="H102" s="227" t="s">
        <v>646</v>
      </c>
      <c r="I102" s="226">
        <v>43114.629120370373</v>
      </c>
      <c r="J102" s="225">
        <v>0</v>
      </c>
      <c r="K102" s="237" t="str">
        <f>IF(ISEVEN(B102),(B102-1)&amp;"/"&amp;B102,B102&amp;"/"&amp;(B102+1))</f>
        <v>4015/4016</v>
      </c>
      <c r="L102" s="245" t="str">
        <f>VLOOKUP(A102,'Trips&amp;Operators'!$C$1:$G$99911,5,FALSE)</f>
        <v>ANDERS STEVEN</v>
      </c>
      <c r="M102" s="224">
        <f>I102-F102</f>
        <v>2.4641203708597459E-2</v>
      </c>
      <c r="N102" s="225">
        <f>24*60*SUM($M102:$M102)</f>
        <v>35.483333340380341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-14T13:26:15-0700',mode:absolute,to:'2018-01-14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247" t="str">
        <f>IF(AA102&lt;VLOOKUP(AG102,Variables!$AC$3:$AD$8,2,FALSE),"Y","N")</f>
        <v>N</v>
      </c>
      <c r="X102" s="247">
        <f t="shared" ref="X102:X113" si="26">VALUE(LEFT(AD102,4))-VALUE(LEFT(AD101,4))</f>
        <v>1</v>
      </c>
      <c r="Y102" s="247">
        <f>RIGHT(D102,LEN(D102)-4)/10000</f>
        <v>5.0799999999999998E-2</v>
      </c>
      <c r="Z102" s="247">
        <f>RIGHT(H102,LEN(H102)-4)/10000</f>
        <v>23.327999999999999</v>
      </c>
      <c r="AA102" s="247">
        <f>ABS(Z102-Y102)</f>
        <v>23.277200000000001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187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/stypes="app*4016*20180114*"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6"/>
        <v>"%USERPROFILE%\Documents\GitHub\eaglep3\Utilities\RefineRTDCRunTimes.py" --tripid 187-14 --locoid 4016 --swversion DE.1.0.9.0 --startMP 204:508 --initTime 2018-01-14T14:26:15 --startdatetime 2018-01-14T14:30:27 --delay 62 --endMP 204:233280 --enddatetime 2018-01-14T15:05:56 --enforcementcount 0 &gt;&gt;%USERPROFILE%\Documents\GitHub\eaglep3-reporting\EC\2018-01-14-refined-times.txt</v>
      </c>
      <c r="AI10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{"issue":{"subject":"","project_id":79,"tracker_id":40,"status_id":1,"priority_id":2,"assigned_to_id":338,"start_date":"2018-01-14","description":"","custom_fields":[{"id":1,"name":"Subdivision","value":"EC"},{"id":4,"name":"Milepost","value":"23.328"},{"id":17,"name":"Train ID","value":"187-14"},{"id":16,"name":"Locomotive ID","value":"4016"},{"id":130,"name":"Impact","value":""},{"id":150,"name":"Time of Event (Mountain Time)","value":"15:05:56"},{"id":151,"name":"Denver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8"/>
        <v>start /low /b %USERPROFILE%\Documents\GitHub\eaglep3\Utilities\DownloadLogsFromS3.py --loco 4016 --day 2018-01-14</v>
      </c>
      <c r="AN102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20"/>
        <v>https://d0f6bd738d7f1b3e5a7ca70fe4ff75f0.us-east-1.aws.found.io/app/kibana#/discover/Steve-Slow-Train-Analysis-(2080s-and-2083s)?_g=(refreshInterval:(display:Off,pause:!f,section:0,value:0),time:(from:'2018-01-14T13:26:15-0700',mode:absolute,to:'2018-01-14T16:05:56-0700'))&amp;_a=(columns:!('Message%20ID',Summary),filters:!(),index:'emp_*',interval:auto,query:(query_string:(analyze_wildcard:!t,query:'%22rtdc.l.rtdc.4016%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826</v>
      </c>
      <c r="B103" s="225">
        <v>4015</v>
      </c>
      <c r="C103" s="227" t="s">
        <v>191</v>
      </c>
      <c r="D103" s="227" t="s">
        <v>446</v>
      </c>
      <c r="E103" s="226">
        <v>43114.6015625</v>
      </c>
      <c r="F103" s="226">
        <v>43114.644490740742</v>
      </c>
      <c r="G103" s="225">
        <v>62</v>
      </c>
      <c r="H103" s="227" t="s">
        <v>646</v>
      </c>
      <c r="I103" s="226">
        <v>43114.673773148148</v>
      </c>
      <c r="J103" s="225">
        <v>0</v>
      </c>
      <c r="K103" s="237" t="str">
        <f>IF(ISEVEN(B103),(B103-1)&amp;"/"&amp;B103,B103&amp;"/"&amp;(B103+1))</f>
        <v>4015/4016</v>
      </c>
      <c r="L103" s="245" t="str">
        <f>VLOOKUP(A103,'Trips&amp;Operators'!$C$1:$G$99911,5,FALSE)</f>
        <v>ANDERS STEVEN</v>
      </c>
      <c r="M103" s="224">
        <f>I103-F103</f>
        <v>2.9282407405844424E-2</v>
      </c>
      <c r="N103" s="225">
        <f>24*60*SUM($M103:$M103)</f>
        <v>42.16666666441597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-14T13:26:15-0700',mode:absolute,to:'2018-01-14T17:10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247" t="str">
        <f>IF(AA103&lt;VLOOKUP(AG103,Variables!$AC$3:$AD$8,2,FALSE),"Y","N")</f>
        <v>N</v>
      </c>
      <c r="X103" s="247">
        <f t="shared" si="26"/>
        <v>1</v>
      </c>
      <c r="Y103" s="247">
        <v>23.276599999999998</v>
      </c>
      <c r="Z103" s="247">
        <v>1.9599999999999999E-2</v>
      </c>
      <c r="AA103" s="247">
        <f>ABS(Z103-Y103)</f>
        <v>23.256999999999998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188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/stypes="app*4015*20180114*"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ref="AH103" si="27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188-14 --locoid 4015 --swversion DE.1.0.9.0 --startMP 204:508 --initTime 2018-01-14T14:26:15 --startdatetime 2018-01-14T15:28:04 --delay 62 --endMP 204:233280 --enddatetime 2018-01-14T16:10:14 --enforcementcount 0 &gt;&gt;%USERPROFILE%\Documents\GitHub\eaglep3-reporting\EC\2018-01-14-refined-times.txt</v>
      </c>
      <c r="AI103" s="238" t="str">
        <f t="shared" ref="AI103" si="28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{"issue":{"subject":"","project_id":79,"tracker_id":40,"status_id":1,"priority_id":2,"assigned_to_id":338,"start_date":"2018-01-14","description":"","custom_fields":[{"id":1,"name":"Subdivision","value":"EC"},{"id":4,"name":"Milepost","value":"0.0196"},{"id":17,"name":"Train ID","value":"188-14"},{"id":16,"name":"Locomotive ID","value":"4015"},{"id":130,"name":"Impact","value":""},{"id":150,"name":"Time of Event (Mountain Time)","value":"16:10:14"},{"id":151,"name":"Denver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ref="AM103" si="29">"start /low /b "&amp;dls3logs&amp;" --loco "&amp;B103&amp;" --day "&amp;TEXT(F103,"YYYY-MM-DD")</f>
        <v>start /low /b %USERPROFILE%\Documents\GitHub\eaglep3\Utilities\DownloadLogsFromS3.py --loco 4015 --day 2018-01-14</v>
      </c>
      <c r="AN103" s="241" t="str">
        <f t="shared" ref="AN103" si="30"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ref="AO103" si="31"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-14T13:26:15-0700',mode:absolute,to:'2018-01-14T17:10:14-0700'))&amp;_a=(columns:!('Message%20ID',Summary),filters:!(),index:'emp_*',interval:auto,query:(query_string:(analyze_wildcard:!t,query:'%22rtdc.l.rtdc.4015%22')),sort:!(Time.ISO8601,asc))</v>
      </c>
      <c r="AP103" s="223"/>
      <c r="AQ103" s="223"/>
      <c r="AR103" s="223"/>
      <c r="AS103" s="223"/>
      <c r="AT103" s="223"/>
      <c r="AU103" s="223"/>
      <c r="AV103" s="223"/>
      <c r="AW103" s="223"/>
      <c r="AX103" s="223"/>
      <c r="AY103" s="223"/>
      <c r="AZ103" s="223"/>
      <c r="BA103" s="223"/>
      <c r="BB103" s="223"/>
      <c r="BC103" s="223"/>
      <c r="BD103" s="223"/>
      <c r="BE103" s="223"/>
      <c r="BF103" s="223"/>
      <c r="BG103" s="223"/>
      <c r="BH103" s="223"/>
      <c r="BI103" s="223"/>
      <c r="BJ103" s="223"/>
      <c r="BK103" s="223"/>
      <c r="BL103" s="223"/>
      <c r="BM103" s="223"/>
      <c r="BN103" s="223"/>
      <c r="BO103" s="223"/>
      <c r="BP103" s="223"/>
      <c r="BQ103" s="223"/>
      <c r="BR103" s="223"/>
      <c r="BS103" s="223"/>
      <c r="BT103" s="223"/>
      <c r="BU103" s="223"/>
      <c r="BV103" s="223"/>
      <c r="BW103" s="223"/>
      <c r="BX103" s="223"/>
      <c r="BY103" s="223"/>
      <c r="BZ103" s="223"/>
      <c r="CA103" s="223"/>
      <c r="CB103" s="223"/>
      <c r="CC103" s="223"/>
      <c r="CD103" s="223"/>
      <c r="CE103" s="223"/>
      <c r="CF103" s="223"/>
      <c r="CG103" s="223"/>
      <c r="CH103" s="223"/>
      <c r="CI103" s="223"/>
      <c r="CJ103" s="223"/>
      <c r="CK103" s="223"/>
      <c r="CL103" s="223"/>
      <c r="CM103" s="223"/>
    </row>
    <row r="104" spans="1:91" s="1" customFormat="1" x14ac:dyDescent="0.3">
      <c r="A104" s="229" t="s">
        <v>822</v>
      </c>
      <c r="B104" s="225">
        <v>4050</v>
      </c>
      <c r="C104" s="227" t="s">
        <v>191</v>
      </c>
      <c r="D104" s="227" t="s">
        <v>642</v>
      </c>
      <c r="E104" s="226">
        <v>43114.612824074073</v>
      </c>
      <c r="F104" s="226">
        <v>43114.614930555559</v>
      </c>
      <c r="G104" s="225">
        <v>55</v>
      </c>
      <c r="H104" s="227" t="s">
        <v>640</v>
      </c>
      <c r="I104" s="226">
        <v>43114.639837962961</v>
      </c>
      <c r="J104" s="225">
        <v>0</v>
      </c>
      <c r="K104" s="237" t="str">
        <f>IF(ISEVEN(B104),(B104-1)&amp;"/"&amp;B104,B104&amp;"/"&amp;(B104+1))</f>
        <v>4049/4050</v>
      </c>
      <c r="L104" s="245" t="str">
        <f>VLOOKUP(A104,'Trips&amp;Operators'!$C$1:$G$99911,5,FALSE)</f>
        <v>DAVIS MICHAEL</v>
      </c>
      <c r="M104" s="224">
        <f>I104-F104</f>
        <v>2.4907407401769888E-2</v>
      </c>
      <c r="N104" s="225">
        <f>24*60*SUM($M104:$M104)</f>
        <v>35.866666658548638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-14T13:42:28-0700',mode:absolute,to:'2018-01-14T16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247" t="str">
        <f>IF(AA104&lt;VLOOKUP(AG104,Variables!$AC$3:$AD$8,2,FALSE),"Y","N")</f>
        <v>N</v>
      </c>
      <c r="X104" s="247">
        <f t="shared" si="26"/>
        <v>1</v>
      </c>
      <c r="Y104" s="247">
        <f>RIGHT(D104,LEN(D104)-4)/10000</f>
        <v>5.1299999999999998E-2</v>
      </c>
      <c r="Z104" s="247">
        <f>RIGHT(H104,LEN(H104)-4)/10000</f>
        <v>23.331399999999999</v>
      </c>
      <c r="AA104" s="247">
        <f>ABS(Z104-Y104)</f>
        <v>23.280099999999997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189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/stypes="app*4050*20180114*"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6"/>
        <v>"%USERPROFILE%\Documents\GitHub\eaglep3\Utilities\RefineRTDCRunTimes.py" --tripid 189-14 --locoid 4050 --swversion DE.1.0.9.0 --startMP 204:513 --initTime 2018-01-14T14:42:28 --startdatetime 2018-01-14T14:45:30 --delay 55 --endMP 204:233314 --enddatetime 2018-01-14T15:21:22 --enforcementcount 0 &gt;&gt;%USERPROFILE%\Documents\GitHub\eaglep3-reporting\EC\2018-01-14-refined-times.txt</v>
      </c>
      <c r="AI10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{"issue":{"subject":"","project_id":79,"tracker_id":40,"status_id":1,"priority_id":2,"assigned_to_id":338,"start_date":"2018-01-14","description":"","custom_fields":[{"id":1,"name":"Subdivision","value":"EC"},{"id":4,"name":"Milepost","value":"23.3314"},{"id":17,"name":"Train ID","value":"189-14"},{"id":16,"name":"Locomotive ID","value":"4050"},{"id":130,"name":"Impact","value":""},{"id":150,"name":"Time of Event (Mountain Time)","value":"15:21:22"},{"id":151,"name":"Denver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8"/>
        <v>start /low /b %USERPROFILE%\Documents\GitHub\eaglep3\Utilities\DownloadLogsFromS3.py --loco 4050 --day 2018-01-14</v>
      </c>
      <c r="AN104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20"/>
        <v>https://d0f6bd738d7f1b3e5a7ca70fe4ff75f0.us-east-1.aws.found.io/app/kibana#/discover/Steve-Slow-Train-Analysis-(2080s-and-2083s)?_g=(refreshInterval:(display:Off,pause:!f,section:0,value:0),time:(from:'2018-01-14T13:42:28-0700',mode:absolute,to:'2018-01-14T16:21:22-0700'))&amp;_a=(columns:!('Message%20ID',Summary),filters:!(),index:'emp_*',interval:auto,query:(query_string:(analyze_wildcard:!t,query:'%22rtdc.l.rtdc.4050%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29" t="s">
        <v>831</v>
      </c>
      <c r="B105" s="225">
        <v>4049</v>
      </c>
      <c r="C105" s="227" t="s">
        <v>191</v>
      </c>
      <c r="D105" s="227" t="s">
        <v>642</v>
      </c>
      <c r="E105" s="226">
        <v>43114.612824074073</v>
      </c>
      <c r="F105" s="226">
        <v>43114.654502314814</v>
      </c>
      <c r="G105" s="225">
        <v>55</v>
      </c>
      <c r="H105" s="227" t="s">
        <v>640</v>
      </c>
      <c r="I105" s="226">
        <v>43114.684432870374</v>
      </c>
      <c r="J105" s="225">
        <v>0</v>
      </c>
      <c r="K105" s="237" t="str">
        <f>IF(ISEVEN(B105),(B105-1)&amp;"/"&amp;B105,B105&amp;"/"&amp;(B105+1))</f>
        <v>4049/4050</v>
      </c>
      <c r="L105" s="245" t="str">
        <f>VLOOKUP(A105,'Trips&amp;Operators'!$C$1:$G$99911,5,FALSE)</f>
        <v>DAVIS MICHAEL</v>
      </c>
      <c r="M105" s="224">
        <f>I105-F105</f>
        <v>2.9930555559985805E-2</v>
      </c>
      <c r="N105" s="225">
        <f>24*60*SUM($M105:$M105)</f>
        <v>43.10000000637956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-14T13:42:28-0700',mode:absolute,to:'2018-01-14T17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247" t="str">
        <f>IF(AA105&lt;VLOOKUP(AG105,Variables!$AC$3:$AD$8,2,FALSE),"Y","N")</f>
        <v>N</v>
      </c>
      <c r="X105" s="247">
        <f t="shared" si="26"/>
        <v>1</v>
      </c>
      <c r="Y105" s="247">
        <v>23.2758</v>
      </c>
      <c r="Z105" s="247">
        <v>2.12E-2</v>
      </c>
      <c r="AA105" s="247">
        <f>ABS(Z105-Y105)</f>
        <v>23.2546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190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/stypes="app*4049*20180114*"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ref="AH105" si="32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190-14 --locoid 4049 --swversion DE.1.0.9.0 --startMP 204:513 --initTime 2018-01-14T14:42:28 --startdatetime 2018-01-14T15:42:29 --delay 55 --endMP 204:233314 --enddatetime 2018-01-14T16:25:35 --enforcementcount 0 &gt;&gt;%USERPROFILE%\Documents\GitHub\eaglep3-reporting\EC\2018-01-14-refined-times.txt</v>
      </c>
      <c r="AI105" s="238" t="str">
        <f t="shared" ref="AI105" si="33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{"issue":{"subject":"","project_id":79,"tracker_id":40,"status_id":1,"priority_id":2,"assigned_to_id":338,"start_date":"2018-01-14","description":"","custom_fields":[{"id":1,"name":"Subdivision","value":"EC"},{"id":4,"name":"Milepost","value":"0.0212"},{"id":17,"name":"Train ID","value":"190-14"},{"id":16,"name":"Locomotive ID","value":"4049"},{"id":130,"name":"Impact","value":""},{"id":150,"name":"Time of Event (Mountain Time)","value":"16:25:35"},{"id":151,"name":"Denver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ref="AM105" si="34">"start /low /b "&amp;dls3logs&amp;" --loco "&amp;B105&amp;" --day "&amp;TEXT(F105,"YYYY-MM-DD")</f>
        <v>start /low /b %USERPROFILE%\Documents\GitHub\eaglep3\Utilities\DownloadLogsFromS3.py --loco 4049 --day 2018-01-14</v>
      </c>
      <c r="AN105" s="241" t="str">
        <f t="shared" ref="AN105" si="35"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ref="AO105" si="36"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-14T13:42:28-0700',mode:absolute,to:'2018-01-14T17:25:35-0700'))&amp;_a=(columns:!('Message%20ID',Summary),filters:!(),index:'emp_*',interval:auto,query:(query_string:(analyze_wildcard:!t,query:'%22rtdc.l.rtdc.4049%22')),sort:!(Time.ISO8601,asc))</v>
      </c>
      <c r="AP105" s="223"/>
      <c r="AQ105" s="223"/>
      <c r="AR105" s="223"/>
      <c r="AS105" s="223"/>
      <c r="AT105" s="223"/>
      <c r="AU105" s="223"/>
      <c r="AV105" s="223"/>
      <c r="AW105" s="223"/>
      <c r="AX105" s="223"/>
      <c r="AY105" s="223"/>
      <c r="AZ105" s="223"/>
      <c r="BA105" s="223"/>
      <c r="BB105" s="223"/>
      <c r="BC105" s="223"/>
      <c r="BD105" s="223"/>
      <c r="BE105" s="223"/>
      <c r="BF105" s="223"/>
      <c r="BG105" s="223"/>
      <c r="BH105" s="223"/>
      <c r="BI105" s="223"/>
      <c r="BJ105" s="223"/>
      <c r="BK105" s="223"/>
      <c r="BL105" s="223"/>
      <c r="BM105" s="223"/>
      <c r="BN105" s="223"/>
      <c r="BO105" s="223"/>
      <c r="BP105" s="223"/>
      <c r="BQ105" s="223"/>
      <c r="BR105" s="223"/>
      <c r="BS105" s="223"/>
      <c r="BT105" s="223"/>
      <c r="BU105" s="223"/>
      <c r="BV105" s="223"/>
      <c r="BW105" s="223"/>
      <c r="BX105" s="223"/>
      <c r="BY105" s="223"/>
      <c r="BZ105" s="223"/>
      <c r="CA105" s="223"/>
      <c r="CB105" s="223"/>
      <c r="CC105" s="223"/>
      <c r="CD105" s="223"/>
      <c r="CE105" s="223"/>
      <c r="CF105" s="223"/>
      <c r="CG105" s="223"/>
      <c r="CH105" s="223"/>
      <c r="CI105" s="223"/>
      <c r="CJ105" s="223"/>
      <c r="CK105" s="223"/>
      <c r="CL105" s="223"/>
      <c r="CM105" s="223"/>
    </row>
    <row r="106" spans="1:91" s="1" customFormat="1" x14ac:dyDescent="0.3">
      <c r="A106" s="229" t="s">
        <v>824</v>
      </c>
      <c r="B106" s="225">
        <v>4022</v>
      </c>
      <c r="C106" s="227" t="s">
        <v>191</v>
      </c>
      <c r="D106" s="227" t="s">
        <v>476</v>
      </c>
      <c r="E106" s="226">
        <v>43114.621111111112</v>
      </c>
      <c r="F106" s="226">
        <v>43114.625219907408</v>
      </c>
      <c r="G106" s="225">
        <v>60</v>
      </c>
      <c r="H106" s="227" t="s">
        <v>464</v>
      </c>
      <c r="I106" s="226">
        <v>43114.650138888886</v>
      </c>
      <c r="J106" s="225">
        <v>0</v>
      </c>
      <c r="K106" s="237" t="str">
        <f>IF(ISEVEN(B106),(B106-1)&amp;"/"&amp;B106,B106&amp;"/"&amp;(B106+1))</f>
        <v>4021/4022</v>
      </c>
      <c r="L106" s="245" t="str">
        <f>VLOOKUP(A106,'Trips&amp;Operators'!$C$1:$G$99911,5,FALSE)</f>
        <v>SMITH MICHAEL</v>
      </c>
      <c r="M106" s="224">
        <f>I106-F106</f>
        <v>2.491898147854954E-2</v>
      </c>
      <c r="N106" s="225">
        <f>24*60*SUM($M106:$M106)</f>
        <v>35.883333329111338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-14T13:54:24-0700',mode:absolute,to:'2018-01-14T16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247" t="str">
        <f>IF(AA106&lt;VLOOKUP(AG106,Variables!$AC$3:$AD$8,2,FALSE),"Y","N")</f>
        <v>N</v>
      </c>
      <c r="X106" s="247">
        <f t="shared" si="26"/>
        <v>1</v>
      </c>
      <c r="Y106" s="247">
        <f>RIGHT(D106,LEN(D106)-4)/10000</f>
        <v>4.7699999999999999E-2</v>
      </c>
      <c r="Z106" s="247">
        <f>RIGHT(H106,LEN(H106)-4)/10000</f>
        <v>23.329699999999999</v>
      </c>
      <c r="AA106" s="247">
        <f>ABS(Z106-Y106)</f>
        <v>23.282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191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/stypes="app*4022*20180114*"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6"/>
        <v>"%USERPROFILE%\Documents\GitHub\eaglep3\Utilities\RefineRTDCRunTimes.py" --tripid 191-14 --locoid 4022 --swversion DE.1.0.9.0 --startMP 204:477 --initTime 2018-01-14T14:54:24 --startdatetime 2018-01-14T15:00:19 --delay 60 --endMP 204:233297 --enddatetime 2018-01-14T15:36:12 --enforcementcount 0 &gt;&gt;%USERPROFILE%\Documents\GitHub\eaglep3-reporting\EC\2018-01-14-refined-times.txt</v>
      </c>
      <c r="AI10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{"issue":{"subject":"","project_id":79,"tracker_id":40,"status_id":1,"priority_id":2,"assigned_to_id":338,"start_date":"2018-01-14","description":"","custom_fields":[{"id":1,"name":"Subdivision","value":"EC"},{"id":4,"name":"Milepost","value":"23.3297"},{"id":17,"name":"Train ID","value":"191-14"},{"id":16,"name":"Locomotive ID","value":"4022"},{"id":130,"name":"Impact","value":""},{"id":150,"name":"Time of Event (Mountain Time)","value":"15:36:12"},{"id":151,"name":"Denver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8"/>
        <v>start /low /b %USERPROFILE%\Documents\GitHub\eaglep3\Utilities\DownloadLogsFromS3.py --loco 4022 --day 2018-01-14</v>
      </c>
      <c r="AN106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20"/>
        <v>https://d0f6bd738d7f1b3e5a7ca70fe4ff75f0.us-east-1.aws.found.io/app/kibana#/discover/Steve-Slow-Train-Analysis-(2080s-and-2083s)?_g=(refreshInterval:(display:Off,pause:!f,section:0,value:0),time:(from:'2018-01-14T13:54:24-0700',mode:absolute,to:'2018-01-14T16:36:12-0700'))&amp;_a=(columns:!('Message%20ID',Summary),filters:!(),index:'emp_*',interval:auto,query:(query_string:(analyze_wildcard:!t,query:'%22rtdc.l.rtdc.4022%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3">
      <c r="A107" s="229" t="s">
        <v>832</v>
      </c>
      <c r="B107" s="225">
        <v>4021</v>
      </c>
      <c r="C107" s="227" t="s">
        <v>191</v>
      </c>
      <c r="D107" s="227" t="s">
        <v>476</v>
      </c>
      <c r="E107" s="226">
        <v>43114.621111111112</v>
      </c>
      <c r="F107" s="226">
        <v>43114.664988425924</v>
      </c>
      <c r="G107" s="225">
        <v>60</v>
      </c>
      <c r="H107" s="227" t="s">
        <v>464</v>
      </c>
      <c r="I107" s="226">
        <v>43114.693749999999</v>
      </c>
      <c r="J107" s="225">
        <v>0</v>
      </c>
      <c r="K107" s="237" t="str">
        <f>IF(ISEVEN(B107),(B107-1)&amp;"/"&amp;B107,B107&amp;"/"&amp;(B107+1))</f>
        <v>4021/4022</v>
      </c>
      <c r="L107" s="245" t="str">
        <f>VLOOKUP(A107,'Trips&amp;Operators'!$C$1:$G$99911,5,FALSE)</f>
        <v>SMITH MICHAEL</v>
      </c>
      <c r="M107" s="224">
        <f>I107-F107</f>
        <v>2.8761574074451346E-2</v>
      </c>
      <c r="N107" s="225">
        <f>24*60*SUM($M107:$M107)</f>
        <v>41.416666667209938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-14T13:54:24-0700',mode:absolute,to:'2018-01-14T17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247" t="str">
        <f>IF(AA107&lt;VLOOKUP(AG107,Variables!$AC$3:$AD$8,2,FALSE),"Y","N")</f>
        <v>N</v>
      </c>
      <c r="X107" s="247">
        <f t="shared" si="26"/>
        <v>1</v>
      </c>
      <c r="Y107" s="247">
        <v>23.281500000000001</v>
      </c>
      <c r="Z107" s="247">
        <v>2.4299999999999999E-2</v>
      </c>
      <c r="AA107" s="247">
        <f>ABS(Z107-Y107)</f>
        <v>23.257200000000001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192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/stypes="app*4021*20180114*"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ref="AH107" si="37"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192-14 --locoid 4021 --swversion DE.1.0.9.0 --startMP 204:477 --initTime 2018-01-14T14:54:24 --startdatetime 2018-01-14T15:57:35 --delay 60 --endMP 204:233297 --enddatetime 2018-01-14T16:39:00 --enforcementcount 0 &gt;&gt;%USERPROFILE%\Documents\GitHub\eaglep3-reporting\EC\2018-01-14-refined-times.txt</v>
      </c>
      <c r="AI107" s="238" t="str">
        <f t="shared" ref="AI107" si="38"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{"issue":{"subject":"","project_id":79,"tracker_id":40,"status_id":1,"priority_id":2,"assigned_to_id":338,"start_date":"2018-01-14","description":"","custom_fields":[{"id":1,"name":"Subdivision","value":"EC"},{"id":4,"name":"Milepost","value":"0.0243"},{"id":17,"name":"Train ID","value":"192-14"},{"id":16,"name":"Locomotive ID","value":"4021"},{"id":130,"name":"Impact","value":""},{"id":150,"name":"Time of Event (Mountain Time)","value":"16:39:00"},{"id":151,"name":"Denver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ref="AM107" si="39">"start /low /b "&amp;dls3logs&amp;" --loco "&amp;B107&amp;" --day "&amp;TEXT(F107,"YYYY-MM-DD")</f>
        <v>start /low /b %USERPROFILE%\Documents\GitHub\eaglep3\Utilities\DownloadLogsFromS3.py --loco 4021 --day 2018-01-14</v>
      </c>
      <c r="AN107" s="241" t="str">
        <f t="shared" ref="AN107" si="40"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ref="AO107" si="41"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-14T13:54:24-0700',mode:absolute,to:'2018-01-14T17:39:00-0700'))&amp;_a=(columns:!('Message%20ID',Summary),filters:!(),index:'emp_*',interval:auto,query:(query_string:(analyze_wildcard:!t,query:'%22rtdc.l.rtdc.4021%22')),sort:!(Time.ISO8601,asc))</v>
      </c>
      <c r="AP107" s="223"/>
      <c r="AQ107" s="223"/>
      <c r="AR107" s="223"/>
      <c r="AS107" s="223"/>
      <c r="AT107" s="223"/>
      <c r="AU107" s="223"/>
      <c r="AV107" s="223"/>
      <c r="AW107" s="223"/>
      <c r="AX107" s="223"/>
      <c r="AY107" s="223"/>
      <c r="AZ107" s="223"/>
      <c r="BA107" s="223"/>
      <c r="BB107" s="223"/>
      <c r="BC107" s="223"/>
      <c r="BD107" s="223"/>
      <c r="BE107" s="223"/>
      <c r="BF107" s="223"/>
      <c r="BG107" s="223"/>
      <c r="BH107" s="223"/>
      <c r="BI107" s="223"/>
      <c r="BJ107" s="223"/>
      <c r="BK107" s="223"/>
      <c r="BL107" s="223"/>
      <c r="BM107" s="223"/>
      <c r="BN107" s="223"/>
      <c r="BO107" s="223"/>
      <c r="BP107" s="223"/>
      <c r="BQ107" s="223"/>
      <c r="BR107" s="223"/>
      <c r="BS107" s="223"/>
      <c r="BT107" s="223"/>
      <c r="BU107" s="223"/>
      <c r="BV107" s="223"/>
      <c r="BW107" s="223"/>
      <c r="BX107" s="223"/>
      <c r="BY107" s="223"/>
      <c r="BZ107" s="223"/>
      <c r="CA107" s="223"/>
      <c r="CB107" s="223"/>
      <c r="CC107" s="223"/>
      <c r="CD107" s="223"/>
      <c r="CE107" s="223"/>
      <c r="CF107" s="223"/>
      <c r="CG107" s="223"/>
      <c r="CH107" s="223"/>
      <c r="CI107" s="223"/>
      <c r="CJ107" s="223"/>
      <c r="CK107" s="223"/>
      <c r="CL107" s="223"/>
      <c r="CM107" s="223"/>
    </row>
    <row r="108" spans="1:91" s="1" customFormat="1" x14ac:dyDescent="0.3">
      <c r="A108" s="229" t="s">
        <v>827</v>
      </c>
      <c r="B108" s="225">
        <v>4040</v>
      </c>
      <c r="C108" s="227" t="s">
        <v>191</v>
      </c>
      <c r="D108" s="227" t="s">
        <v>476</v>
      </c>
      <c r="E108" s="226">
        <v>43114.621111111112</v>
      </c>
      <c r="F108" s="226">
        <v>43114.63559027778</v>
      </c>
      <c r="G108" s="225">
        <v>60</v>
      </c>
      <c r="H108" s="227" t="s">
        <v>464</v>
      </c>
      <c r="I108" s="226">
        <v>43114.663055555553</v>
      </c>
      <c r="J108" s="225">
        <v>0</v>
      </c>
      <c r="K108" s="237" t="str">
        <f>IF(ISEVEN(B108),(B108-1)&amp;"/"&amp;B108,B108&amp;"/"&amp;(B108+1))</f>
        <v>4039/4040</v>
      </c>
      <c r="L108" s="245" t="str">
        <f>VLOOKUP(A108,'Trips&amp;Operators'!$C$1:$G$99911,5,FALSE)</f>
        <v>BADERTSCHER DIANE</v>
      </c>
      <c r="M108" s="224">
        <f>I108-F108</f>
        <v>2.7465277773444541E-2</v>
      </c>
      <c r="N108" s="225">
        <f>24*60*SUM($M108:$M108)</f>
        <v>39.549999993760139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-14T13:54:24-0700',mode:absolute,to:'2018-01-14T16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247" t="str">
        <f>IF(AA108&lt;VLOOKUP(AG108,Variables!$AC$3:$AD$8,2,FALSE),"Y","N")</f>
        <v>N</v>
      </c>
      <c r="X108" s="247">
        <f t="shared" si="26"/>
        <v>1</v>
      </c>
      <c r="Y108" s="247">
        <v>7.4999999999999997E-2</v>
      </c>
      <c r="Z108" s="247">
        <v>23.3276</v>
      </c>
      <c r="AA108" s="247">
        <f>ABS(Z108-Y108)</f>
        <v>23.252600000000001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193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/stypes="app*4040*20180114*" /stext=" 22:.+((SYSTEM_STATE.+slice.+state.+changed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ref="AH108" si="42"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193-14 --locoid 4040 --swversion DE.1.0.9.0 --startMP 204:477 --initTime 2018-01-14T14:54:24 --startdatetime 2018-01-14T15:15:15 --delay 60 --endMP 204:233297 --enddatetime 2018-01-14T15:54:48 --enforcementcount 0 &gt;&gt;%USERPROFILE%\Documents\GitHub\eaglep3-reporting\EC\2018-01-14-refined-times.txt</v>
      </c>
      <c r="AI108" s="238" t="str">
        <f t="shared" ref="AI108" si="43"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{"issue":{"subject":"","project_id":79,"tracker_id":40,"status_id":1,"priority_id":2,"assigned_to_id":338,"start_date":"2018-01-14","description":"","custom_fields":[{"id":1,"name":"Subdivision","value":"EC"},{"id":4,"name":"Milepost","value":"23.3276"},{"id":17,"name":"Train ID","value":"193-14"},{"id":16,"name":"Locomotive ID","value":"4040"},{"id":130,"name":"Impact","value":""},{"id":150,"name":"Time of Event (Mountain Time)","value":"15:54:48"},{"id":151,"name":"Denver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ref="AM108" si="44">"start /low /b "&amp;dls3logs&amp;" --loco "&amp;B108&amp;" --day "&amp;TEXT(F108,"YYYY-MM-DD")</f>
        <v>start /low /b %USERPROFILE%\Documents\GitHub\eaglep3\Utilities\DownloadLogsFromS3.py --loco 4040 --day 2018-01-14</v>
      </c>
      <c r="AN108" s="241" t="str">
        <f t="shared" ref="AN108" si="45"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ref="AO108" si="46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-14T13:54:24-0700',mode:absolute,to:'2018-01-14T16:54:48-0700'))&amp;_a=(columns:!('Message%20ID',Summary),filters:!(),index:'emp_*',interval:auto,query:(query_string:(analyze_wildcard:!t,query:'%22rtdc.l.rtdc.4040%22')),sort:!(Time.ISO8601,asc))</v>
      </c>
      <c r="AP108" s="223"/>
      <c r="AQ108" s="223"/>
      <c r="AR108" s="223"/>
      <c r="AS108" s="223"/>
      <c r="AT108" s="223"/>
      <c r="AU108" s="223"/>
      <c r="AV108" s="223"/>
      <c r="AW108" s="223"/>
      <c r="AX108" s="223"/>
      <c r="AY108" s="223"/>
      <c r="AZ108" s="223"/>
      <c r="BA108" s="223"/>
      <c r="BB108" s="223"/>
      <c r="BC108" s="223"/>
      <c r="BD108" s="223"/>
      <c r="BE108" s="223"/>
      <c r="BF108" s="223"/>
      <c r="BG108" s="223"/>
      <c r="BH108" s="223"/>
      <c r="BI108" s="223"/>
      <c r="BJ108" s="223"/>
      <c r="BK108" s="223"/>
      <c r="BL108" s="223"/>
      <c r="BM108" s="223"/>
      <c r="BN108" s="223"/>
      <c r="BO108" s="223"/>
      <c r="BP108" s="223"/>
      <c r="BQ108" s="223"/>
      <c r="BR108" s="223"/>
      <c r="BS108" s="223"/>
      <c r="BT108" s="223"/>
      <c r="BU108" s="223"/>
      <c r="BV108" s="223"/>
      <c r="BW108" s="223"/>
      <c r="BX108" s="223"/>
      <c r="BY108" s="223"/>
      <c r="BZ108" s="223"/>
      <c r="CA108" s="223"/>
      <c r="CB108" s="223"/>
      <c r="CC108" s="223"/>
      <c r="CD108" s="223"/>
      <c r="CE108" s="223"/>
      <c r="CF108" s="223"/>
      <c r="CG108" s="223"/>
      <c r="CH108" s="223"/>
      <c r="CI108" s="223"/>
      <c r="CJ108" s="223"/>
      <c r="CK108" s="223"/>
      <c r="CL108" s="223"/>
      <c r="CM108" s="223"/>
    </row>
    <row r="109" spans="1:91" s="1" customFormat="1" x14ac:dyDescent="0.3">
      <c r="A109" s="229" t="s">
        <v>834</v>
      </c>
      <c r="B109" s="225">
        <v>4039</v>
      </c>
      <c r="C109" s="227" t="s">
        <v>191</v>
      </c>
      <c r="D109" s="227" t="s">
        <v>1010</v>
      </c>
      <c r="E109" s="226">
        <v>43114.671620370369</v>
      </c>
      <c r="F109" s="226">
        <v>43114.675173611111</v>
      </c>
      <c r="G109" s="225">
        <v>89</v>
      </c>
      <c r="H109" s="227" t="s">
        <v>655</v>
      </c>
      <c r="I109" s="226">
        <v>43114.703541666669</v>
      </c>
      <c r="J109" s="225">
        <v>0</v>
      </c>
      <c r="K109" s="237" t="str">
        <f>IF(ISEVEN(B109),(B109-1)&amp;"/"&amp;B109,B109&amp;"/"&amp;(B109+1))</f>
        <v>4039/4040</v>
      </c>
      <c r="L109" s="245" t="str">
        <f>VLOOKUP(A109,'Trips&amp;Operators'!$C$1:$G$99911,5,FALSE)</f>
        <v>BADERTSCHER DIANE</v>
      </c>
      <c r="M109" s="224">
        <f>I109-F109</f>
        <v>2.8368055558530614E-2</v>
      </c>
      <c r="N109" s="225">
        <f>24*60*SUM($M109:$M109)</f>
        <v>40.850000004284084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-14T15:07:08-0700',mode:absolute,to:'2018-01-14T17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47" t="str">
        <f>IF(AA109&lt;VLOOKUP(AG109,Variables!$AC$3:$AD$8,2,FALSE),"Y","N")</f>
        <v>N</v>
      </c>
      <c r="X109" s="247">
        <f t="shared" si="26"/>
        <v>1</v>
      </c>
      <c r="Y109" s="247">
        <f>RIGHT(D109,LEN(D109)-4)/10000</f>
        <v>23.295300000000001</v>
      </c>
      <c r="Z109" s="247">
        <f>RIGHT(H109,LEN(H109)-4)/10000</f>
        <v>2.0899999999999998E-2</v>
      </c>
      <c r="AA109" s="247">
        <f>ABS(Z109-Y109)</f>
        <v>23.2744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194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/stypes="app*4039*20180114*"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6"/>
        <v>"%USERPROFILE%\Documents\GitHub\eaglep3\Utilities\RefineRTDCRunTimes.py" --tripid 194-14 --locoid 4039 --swversion DE.1.0.9.0 --startMP 204:232953 --initTime 2018-01-14T16:07:08 --startdatetime 2018-01-14T16:12:15 --delay 89 --endMP 204:209 --enddatetime 2018-01-14T16:53:06 --enforcementcount 0 &gt;&gt;%USERPROFILE%\Documents\GitHub\eaglep3-reporting\EC\2018-01-14-refined-times.txt</v>
      </c>
      <c r="AI10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{"issue":{"subject":"","project_id":79,"tracker_id":40,"status_id":1,"priority_id":2,"assigned_to_id":338,"start_date":"2018-01-14","description":"","custom_fields":[{"id":1,"name":"Subdivision","value":"EC"},{"id":4,"name":"Milepost","value":"0.0209"},{"id":17,"name":"Train ID","value":"194-14"},{"id":16,"name":"Locomotive ID","value":"4039"},{"id":130,"name":"Impact","value":""},{"id":150,"name":"Time of Event (Mountain Time)","value":"16:53:06"},{"id":151,"name":"Denver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8"/>
        <v>start /low /b %USERPROFILE%\Documents\GitHub\eaglep3\Utilities\DownloadLogsFromS3.py --loco 4039 --day 2018-01-14</v>
      </c>
      <c r="AN109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20"/>
        <v>https://d0f6bd738d7f1b3e5a7ca70fe4ff75f0.us-east-1.aws.found.io/app/kibana#/discover/Steve-Slow-Train-Analysis-(2080s-and-2083s)?_g=(refreshInterval:(display:Off,pause:!f,section:0,value:0),time:(from:'2018-01-14T15:07:08-0700',mode:absolute,to:'2018-01-14T17:53:06-0700'))&amp;_a=(columns:!('Message%20ID',Summary),filters:!(),index:'emp_*',interval:auto,query:(query_string:(analyze_wildcard:!t,query:'%22rtdc.l.rtdc.4039%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3">
      <c r="A110" s="229" t="s">
        <v>829</v>
      </c>
      <c r="B110" s="225">
        <v>4028</v>
      </c>
      <c r="C110" s="227" t="s">
        <v>191</v>
      </c>
      <c r="D110" s="227" t="s">
        <v>1010</v>
      </c>
      <c r="E110" s="226">
        <v>43114.671620370369</v>
      </c>
      <c r="F110" s="226">
        <v>43114.646365740744</v>
      </c>
      <c r="G110" s="225">
        <v>89</v>
      </c>
      <c r="H110" s="227" t="s">
        <v>655</v>
      </c>
      <c r="I110" s="226">
        <v>43114.674745370372</v>
      </c>
      <c r="J110" s="225">
        <v>0</v>
      </c>
      <c r="K110" s="237" t="str">
        <f>IF(ISEVEN(B110),(B110-1)&amp;"/"&amp;B110,B110&amp;"/"&amp;(B110+1))</f>
        <v>4027/4028</v>
      </c>
      <c r="L110" s="245" t="str">
        <f>VLOOKUP(A110,'Trips&amp;Operators'!$C$1:$G$99911,5,FALSE)</f>
        <v>CHANDLER KELVIN</v>
      </c>
      <c r="M110" s="224">
        <f>I110-F110</f>
        <v>2.8379629628034309E-2</v>
      </c>
      <c r="N110" s="225">
        <f>24*60*SUM($M110:$M110)</f>
        <v>40.866666664369404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-14T15:07:08-0700',mode:absolute,to:'2018-01-14T17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247" t="str">
        <f>IF(AA110&lt;VLOOKUP(AG110,Variables!$AC$3:$AD$8,2,FALSE),"Y","N")</f>
        <v>N</v>
      </c>
      <c r="X110" s="247">
        <f t="shared" si="26"/>
        <v>1</v>
      </c>
      <c r="Y110" s="247">
        <v>7.1499999999999994E-2</v>
      </c>
      <c r="Z110" s="247">
        <v>23.33</v>
      </c>
      <c r="AA110" s="247">
        <f>ABS(Z110-Y110)</f>
        <v>23.258499999999998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195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/stypes="app*4028*20180114*"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ref="AH110" si="47"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195-14 --locoid 4028 --swversion DE.1.0.9.0 --startMP 204:232953 --initTime 2018-01-14T16:07:08 --startdatetime 2018-01-14T15:30:46 --delay 89 --endMP 204:209 --enddatetime 2018-01-14T16:11:38 --enforcementcount 0 &gt;&gt;%USERPROFILE%\Documents\GitHub\eaglep3-reporting\EC\2018-01-14-refined-times.txt</v>
      </c>
      <c r="AI110" s="238" t="str">
        <f t="shared" ref="AI110" si="48"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{"issue":{"subject":"","project_id":79,"tracker_id":40,"status_id":1,"priority_id":2,"assigned_to_id":338,"start_date":"2018-01-14","description":"","custom_fields":[{"id":1,"name":"Subdivision","value":"EC"},{"id":4,"name":"Milepost","value":"23.33"},{"id":17,"name":"Train ID","value":"195-14"},{"id":16,"name":"Locomotive ID","value":"4028"},{"id":130,"name":"Impact","value":""},{"id":150,"name":"Time of Event (Mountain Time)","value":"16:11:38"},{"id":151,"name":"Denver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ref="AM110" si="49">"start /low /b "&amp;dls3logs&amp;" --loco "&amp;B110&amp;" --day "&amp;TEXT(F110,"YYYY-MM-DD")</f>
        <v>start /low /b %USERPROFILE%\Documents\GitHub\eaglep3\Utilities\DownloadLogsFromS3.py --loco 4028 --day 2018-01-14</v>
      </c>
      <c r="AN110" s="241" t="str">
        <f t="shared" ref="AN110" si="50"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23:11:38"},{"id":29,"name":"Sharepoint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ref="AO110" si="51"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Message%20ID',Summary),filters:!(),index:'emp_*',interval:auto,query:"&amp;"(query_string:(analyze_wildcard:!t,query:'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-14T15:07:08-0700',mode:absolute,to:'2018-01-14T17:11:38-0700'))&amp;_a=(columns:!('Message%20ID',Summary),filters:!(),index:'emp_*',interval:auto,query:(query_string:(analyze_wildcard:!t,query:'%22rtdc.l.rtdc.4028%22')),sort:!(Time.ISO8601,asc))</v>
      </c>
      <c r="AP110" s="223"/>
      <c r="AQ110" s="223"/>
      <c r="AR110" s="223"/>
      <c r="AS110" s="223"/>
      <c r="AT110" s="223"/>
      <c r="AU110" s="223"/>
      <c r="AV110" s="223"/>
      <c r="AW110" s="223"/>
      <c r="AX110" s="223"/>
      <c r="AY110" s="223"/>
      <c r="AZ110" s="223"/>
      <c r="BA110" s="223"/>
      <c r="BB110" s="223"/>
      <c r="BC110" s="223"/>
      <c r="BD110" s="223"/>
      <c r="BE110" s="223"/>
      <c r="BF110" s="223"/>
      <c r="BG110" s="223"/>
      <c r="BH110" s="223"/>
      <c r="BI110" s="223"/>
      <c r="BJ110" s="223"/>
      <c r="BK110" s="223"/>
      <c r="BL110" s="223"/>
      <c r="BM110" s="223"/>
      <c r="BN110" s="223"/>
      <c r="BO110" s="223"/>
      <c r="BP110" s="223"/>
      <c r="BQ110" s="223"/>
      <c r="BR110" s="223"/>
      <c r="BS110" s="223"/>
      <c r="BT110" s="223"/>
      <c r="BU110" s="223"/>
      <c r="BV110" s="223"/>
      <c r="BW110" s="223"/>
      <c r="BX110" s="223"/>
      <c r="BY110" s="223"/>
      <c r="BZ110" s="223"/>
      <c r="CA110" s="223"/>
      <c r="CB110" s="223"/>
      <c r="CC110" s="223"/>
      <c r="CD110" s="223"/>
      <c r="CE110" s="223"/>
      <c r="CF110" s="223"/>
      <c r="CG110" s="223"/>
      <c r="CH110" s="223"/>
      <c r="CI110" s="223"/>
      <c r="CJ110" s="223"/>
      <c r="CK110" s="223"/>
      <c r="CL110" s="223"/>
      <c r="CM110" s="223"/>
    </row>
    <row r="111" spans="1:91" s="1" customFormat="1" x14ac:dyDescent="0.3">
      <c r="A111" s="229" t="s">
        <v>837</v>
      </c>
      <c r="B111" s="225">
        <v>4027</v>
      </c>
      <c r="C111" s="227" t="s">
        <v>191</v>
      </c>
      <c r="D111" s="227" t="s">
        <v>627</v>
      </c>
      <c r="E111" s="226">
        <v>43114.68277777778</v>
      </c>
      <c r="F111" s="226">
        <v>43114.685601851852</v>
      </c>
      <c r="G111" s="225">
        <v>81</v>
      </c>
      <c r="H111" s="227" t="s">
        <v>541</v>
      </c>
      <c r="I111" s="226">
        <v>43114.712685185186</v>
      </c>
      <c r="J111" s="225">
        <v>0</v>
      </c>
      <c r="K111" s="237" t="str">
        <f>IF(ISEVEN(B111),(B111-1)&amp;"/"&amp;B111,B111&amp;"/"&amp;(B111+1))</f>
        <v>4027/4028</v>
      </c>
      <c r="L111" s="245" t="str">
        <f>VLOOKUP(A111,'Trips&amp;Operators'!$C$1:$G$99911,5,FALSE)</f>
        <v>CHANDLER KELVIN</v>
      </c>
      <c r="M111" s="224">
        <f>I111-F111</f>
        <v>2.7083333334303461E-2</v>
      </c>
      <c r="N111" s="225">
        <f>24*60*SUM($M111:$M111)</f>
        <v>39.000000001396984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-14T15:23:12-0700',mode:absolute,to:'2018-01-14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247" t="str">
        <f>IF(AA111&lt;VLOOKUP(AG111,Variables!$AC$3:$AD$8,2,FALSE),"Y","N")</f>
        <v>N</v>
      </c>
      <c r="X111" s="247">
        <f t="shared" si="26"/>
        <v>1</v>
      </c>
      <c r="Y111" s="247">
        <f>RIGHT(D111,LEN(D111)-4)/10000</f>
        <v>23.297599999999999</v>
      </c>
      <c r="Z111" s="247">
        <f>RIGHT(H111,LEN(H111)-4)/10000</f>
        <v>1.6E-2</v>
      </c>
      <c r="AA111" s="247">
        <f>ABS(Z111-Y111)</f>
        <v>23.281600000000001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196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/stypes="app*4027*20180115*"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6"/>
        <v>"%USERPROFILE%\Documents\GitHub\eaglep3\Utilities\RefineRTDCRunTimes.py" --tripid 196-14 --locoid 4027 --swversion DE.1.0.9.0 --startMP 204:232976 --initTime 2018-01-14T16:23:12 --startdatetime 2018-01-14T16:27:16 --delay 81 --endMP 204:160 --enddatetime 2018-01-14T17:06:16 --enforcementcount 0 &gt;&gt;%USERPROFILE%\Documents\GitHub\eaglep3-reporting\EC\2018-01-14-refined-times.txt</v>
      </c>
      <c r="AI11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{"issue":{"subject":"","project_id":79,"tracker_id":40,"status_id":1,"priority_id":2,"assigned_to_id":338,"start_date":"2018-01-14","description":"","custom_fields":[{"id":1,"name":"Subdivision","value":"EC"},{"id":4,"name":"Milepost","value":"0.016"},{"id":17,"name":"Train ID","value":"196-14"},{"id":16,"name":"Locomotive ID","value":"4027"},{"id":130,"name":"Impact","value":""},{"id":150,"name":"Time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8"/>
        <v>start /low /b %USERPROFILE%\Documents\GitHub\eaglep3\Utilities\DownloadLogsFromS3.py --loco 4027 --day 2018-01-14</v>
      </c>
      <c r="AN111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20"/>
        <v>https://d0f6bd738d7f1b3e5a7ca70fe4ff75f0.us-east-1.aws.found.io/app/kibana#/discover/Steve-Slow-Train-Analysis-(2080s-and-2083s)?_g=(refreshInterval:(display:Off,pause:!f,section:0,value:0),time:(from:'2018-01-14T15:23:12-0700',mode:absolute,to:'2018-01-14T18:06:16-0700'))&amp;_a=(columns:!('Message%20ID',Summary),filters:!(),index:'emp_*',interval:auto,query:(query_string:(analyze_wildcard:!t,query:'%22rtdc.l.rtdc.4027%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830</v>
      </c>
      <c r="B112" s="225">
        <v>4026</v>
      </c>
      <c r="C112" s="227" t="s">
        <v>191</v>
      </c>
      <c r="D112" s="227" t="s">
        <v>960</v>
      </c>
      <c r="E112" s="226">
        <v>43114.651828703703</v>
      </c>
      <c r="F112" s="226">
        <v>43114.656539351854</v>
      </c>
      <c r="G112" s="225">
        <v>60</v>
      </c>
      <c r="H112" s="227" t="s">
        <v>1011</v>
      </c>
      <c r="I112" s="226">
        <v>43114.68341435185</v>
      </c>
      <c r="J112" s="225">
        <v>0</v>
      </c>
      <c r="K112" s="237" t="str">
        <f>IF(ISEVEN(B112),(B112-1)&amp;"/"&amp;B112,B112&amp;"/"&amp;(B112+1))</f>
        <v>4025/4026</v>
      </c>
      <c r="L112" s="245" t="str">
        <f>VLOOKUP(A112,'Trips&amp;Operators'!$C$1:$G$99911,5,FALSE)</f>
        <v>WEST BRYAN</v>
      </c>
      <c r="M112" s="224">
        <f>I112-F112</f>
        <v>2.6874999995925464E-2</v>
      </c>
      <c r="N112" s="225">
        <f>24*60*SUM($M112:$M112)</f>
        <v>38.699999994132668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-14T14:38:38-0700',mode:absolute,to:'2018-01-14T17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247" t="str">
        <f>IF(AA112&lt;VLOOKUP(AG112,Variables!$AC$3:$AD$8,2,FALSE),"Y","N")</f>
        <v>N</v>
      </c>
      <c r="X112" s="247">
        <f t="shared" si="26"/>
        <v>1</v>
      </c>
      <c r="Y112" s="247">
        <f>RIGHT(D112,LEN(D112)-4)/10000</f>
        <v>5.3900000000000003E-2</v>
      </c>
      <c r="Z112" s="247">
        <f>RIGHT(H112,LEN(H112)-4)/10000</f>
        <v>23.3218</v>
      </c>
      <c r="AA112" s="247">
        <f>ABS(Z112-Y112)</f>
        <v>23.267900000000001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197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/stypes="app*4026*20180114*"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6"/>
        <v>"%USERPROFILE%\Documents\GitHub\eaglep3\Utilities\RefineRTDCRunTimes.py" --tripid 197-14 --locoid 4026 --swversion DE.1.0.9.0 --startMP 204:539 --initTime 2018-01-14T15:38:38 --startdatetime 2018-01-14T15:45:25 --delay 60 --endMP 204:233218 --enddatetime 2018-01-14T16:24:07 --enforcementcount 0 &gt;&gt;%USERPROFILE%\Documents\GitHub\eaglep3-reporting\EC\2018-01-14-refined-times.txt</v>
      </c>
      <c r="AI11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{"issue":{"subject":"","project_id":79,"tracker_id":40,"status_id":1,"priority_id":2,"assigned_to_id":338,"start_date":"2018-01-14","description":"","custom_fields":[{"id":1,"name":"Subdivision","value":"EC"},{"id":4,"name":"Milepost","value":"23.3218"},{"id":17,"name":"Train ID","value":"197-14"},{"id":16,"name":"Locomotive ID","value":"4026"},{"id":130,"name":"Impact","value":""},{"id":150,"name":"Time of Event (Mountain Time)","value":"16:24:07"},{"id":151,"name":"Denver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8"/>
        <v>start /low /b %USERPROFILE%\Documents\GitHub\eaglep3\Utilities\DownloadLogsFromS3.py --loco 4026 --day 2018-01-14</v>
      </c>
      <c r="AN112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20"/>
        <v>https://d0f6bd738d7f1b3e5a7ca70fe4ff75f0.us-east-1.aws.found.io/app/kibana#/discover/Steve-Slow-Train-Analysis-(2080s-and-2083s)?_g=(refreshInterval:(display:Off,pause:!f,section:0,value:0),time:(from:'2018-01-14T14:38:38-0700',mode:absolute,to:'2018-01-14T17:24:07-0700'))&amp;_a=(columns:!('Message%20ID',Summary),filters:!(),index:'emp_*',interval:auto,query:(query_string:(analyze_wildcard:!t,query:'%22rtdc.l.rtdc.4026%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839</v>
      </c>
      <c r="B113" s="225">
        <v>4025</v>
      </c>
      <c r="C113" s="227" t="s">
        <v>191</v>
      </c>
      <c r="D113" s="227" t="s">
        <v>1012</v>
      </c>
      <c r="E113" s="226">
        <v>43114.692835648151</v>
      </c>
      <c r="F113" s="226">
        <v>43114.696180555555</v>
      </c>
      <c r="G113" s="225">
        <v>68</v>
      </c>
      <c r="H113" s="227" t="s">
        <v>970</v>
      </c>
      <c r="I113" s="226">
        <v>43114.722037037034</v>
      </c>
      <c r="J113" s="225">
        <v>0</v>
      </c>
      <c r="K113" s="237" t="str">
        <f>IF(ISEVEN(B113),(B113-1)&amp;"/"&amp;B113,B113&amp;"/"&amp;(B113+1))</f>
        <v>4025/4026</v>
      </c>
      <c r="L113" s="245" t="str">
        <f>VLOOKUP(A113,'Trips&amp;Operators'!$C$1:$G$99911,5,FALSE)</f>
        <v>WEST BRYAN</v>
      </c>
      <c r="M113" s="224">
        <f>I113-F113</f>
        <v>2.5856481479422655E-2</v>
      </c>
      <c r="N113" s="225">
        <f>24*60*SUM($M113:$M113)</f>
        <v>37.233333330368623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-14T15:37:41-0700',mode:absolute,to:'2018-01-14T18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247" t="str">
        <f>IF(AA113&lt;VLOOKUP(AG113,Variables!$AC$3:$AD$8,2,FALSE),"Y","N")</f>
        <v>N</v>
      </c>
      <c r="X113" s="247">
        <f t="shared" si="26"/>
        <v>1</v>
      </c>
      <c r="Y113" s="247">
        <f>RIGHT(D113,LEN(D113)-4)/10000</f>
        <v>23.290500000000002</v>
      </c>
      <c r="Z113" s="247">
        <f>RIGHT(H113,LEN(H113)-4)/10000</f>
        <v>2.5399999999999999E-2</v>
      </c>
      <c r="AA113" s="247">
        <f>ABS(Z113-Y113)</f>
        <v>23.2651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198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/stypes="app*4025*20180115*"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6"/>
        <v>"%USERPROFILE%\Documents\GitHub\eaglep3\Utilities\RefineRTDCRunTimes.py" --tripid 198-14 --locoid 4025 --swversion DE.1.0.9.0 --startMP 204:232905 --initTime 2018-01-14T16:37:41 --startdatetime 2018-01-14T16:42:30 --delay 68 --endMP 204:254 --enddatetime 2018-01-14T17:19:44 --enforcementcount 0 &gt;&gt;%USERPROFILE%\Documents\GitHub\eaglep3-reporting\EC\2018-01-14-refined-times.txt</v>
      </c>
      <c r="AI113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{"issue":{"subject":"","project_id":79,"tracker_id":40,"status_id":1,"priority_id":2,"assigned_to_id":338,"start_date":"2018-01-14","description":"","custom_fields":[{"id":1,"name":"Subdivision","value":"EC"},{"id":4,"name":"Milepost","value":"0.0254"},{"id":17,"name":"Train ID","value":"198-14"},{"id":16,"name":"Locomotive ID","value":"4025"},{"id":130,"name":"Impact","value":""},{"id":150,"name":"Time of Event (Mountain Time)","value":"17:19:44"},{"id":151,"name":"Denver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8"/>
        <v>start /low /b %USERPROFILE%\Documents\GitHub\eaglep3\Utilities\DownloadLogsFromS3.py --loco 4025 --day 2018-01-14</v>
      </c>
      <c r="AN113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20"/>
        <v>https://d0f6bd738d7f1b3e5a7ca70fe4ff75f0.us-east-1.aws.found.io/app/kibana#/discover/Steve-Slow-Train-Analysis-(2080s-and-2083s)?_g=(refreshInterval:(display:Off,pause:!f,section:0,value:0),time:(from:'2018-01-14T15:37:41-0700',mode:absolute,to:'2018-01-14T18:19:44-0700'))&amp;_a=(columns:!('Message%20ID',Summary),filters:!(),index:'emp_*',interval:auto,query:(query_string:(analyze_wildcard:!t,query:'%22rtdc.l.rtdc.4025%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833</v>
      </c>
      <c r="B114" s="225">
        <v>4018</v>
      </c>
      <c r="C114" s="227" t="s">
        <v>191</v>
      </c>
      <c r="D114" s="227" t="s">
        <v>652</v>
      </c>
      <c r="E114" s="226">
        <v>43114.665243055555</v>
      </c>
      <c r="F114" s="226">
        <v>43114.666875000003</v>
      </c>
      <c r="G114" s="225">
        <v>47</v>
      </c>
      <c r="H114" s="227" t="s">
        <v>946</v>
      </c>
      <c r="I114" s="226">
        <v>43114.692488425928</v>
      </c>
      <c r="J114" s="225">
        <v>0</v>
      </c>
      <c r="K114" s="237" t="str">
        <f>IF(ISEVEN(B114),(B114-1)&amp;"/"&amp;B114,B114&amp;"/"&amp;(B114+1))</f>
        <v>4017/4018</v>
      </c>
      <c r="L114" s="245" t="str">
        <f>VLOOKUP(A114,'Trips&amp;Operators'!$C$1:$G$99911,5,FALSE)</f>
        <v>STEWART MICHAEL</v>
      </c>
      <c r="M114" s="224">
        <f>I114-F114</f>
        <v>2.5613425925257616E-2</v>
      </c>
      <c r="N114" s="225">
        <f>24*60*SUM($M114:$M114)</f>
        <v>36.883333332370967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-14T14:57:57-0700',mode:absolute,to:'2018-01-14T17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5.0900000000000001E-2</v>
      </c>
      <c r="Z114" s="247">
        <f>RIGHT(H114,LEN(H114)-4)/10000</f>
        <v>23.328499999999998</v>
      </c>
      <c r="AA114" s="247">
        <f>ABS(Z114-Y114)</f>
        <v>23.2776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199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/stypes="app*4018*20180114*"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6"/>
        <v>"%USERPROFILE%\Documents\GitHub\eaglep3\Utilities\RefineRTDCRunTimes.py" --tripid 199-14 --locoid 4018 --swversion DE.1.0.9.0 --startMP 204:509 --initTime 2018-01-14T15:57:57 --startdatetime 2018-01-14T16:00:18 --delay 47 --endMP 204:233285 --enddatetime 2018-01-14T16:37:11 --enforcementcount 0 &gt;&gt;%USERPROFILE%\Documents\GitHub\eaglep3-reporting\EC\2018-01-14-refined-times.txt</v>
      </c>
      <c r="AI11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{"issue":{"subject":"","project_id":79,"tracker_id":40,"status_id":1,"priority_id":2,"assigned_to_id":338,"start_date":"2018-01-14","description":"","custom_fields":[{"id":1,"name":"Subdivision","value":"EC"},{"id":4,"name":"Milepost","value":"23.3285"},{"id":17,"name":"Train ID","value":"199-14"},{"id":16,"name":"Locomotive ID","value":"4018"},{"id":130,"name":"Impact","value":""},{"id":150,"name":"Time of Event (Mountain Time)","value":"16:37:11"},{"id":151,"name":"Denver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8"/>
        <v>start /low /b %USERPROFILE%\Documents\GitHub\eaglep3\Utilities\DownloadLogsFromS3.py --loco 4018 --day 2018-01-14</v>
      </c>
      <c r="AN114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20"/>
        <v>https://d0f6bd738d7f1b3e5a7ca70fe4ff75f0.us-east-1.aws.found.io/app/kibana#/discover/Steve-Slow-Train-Analysis-(2080s-and-2083s)?_g=(refreshInterval:(display:Off,pause:!f,section:0,value:0),time:(from:'2018-01-14T14:57:57-0700',mode:absolute,to:'2018-01-14T17:37:11-0700'))&amp;_a=(columns:!('Message%20ID',Summary),filters:!(),index:'emp_*',interval:auto,query:(query_string:(analyze_wildcard:!t,query:'%22rtdc.l.rtdc.4018%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3">
      <c r="A115" s="229" t="s">
        <v>841</v>
      </c>
      <c r="B115" s="225">
        <v>4017</v>
      </c>
      <c r="C115" s="227" t="s">
        <v>191</v>
      </c>
      <c r="D115" s="227" t="s">
        <v>972</v>
      </c>
      <c r="E115" s="226">
        <v>43114.702037037037</v>
      </c>
      <c r="F115" s="226">
        <v>43114.706504629627</v>
      </c>
      <c r="G115" s="225">
        <v>55</v>
      </c>
      <c r="H115" s="227" t="s">
        <v>1013</v>
      </c>
      <c r="I115" s="226">
        <v>43114.733217592591</v>
      </c>
      <c r="J115" s="225">
        <v>0</v>
      </c>
      <c r="K115" s="237" t="str">
        <f>IF(ISEVEN(B115),(B115-1)&amp;"/"&amp;B115,B115&amp;"/"&amp;(B115+1))</f>
        <v>4017/4018</v>
      </c>
      <c r="L115" s="245" t="str">
        <f>VLOOKUP(A115,'Trips&amp;Operators'!$C$1:$G$99911,5,FALSE)</f>
        <v>STEWART MICHAEL</v>
      </c>
      <c r="M115" s="224">
        <f>I115-F115</f>
        <v>2.6712962964666076E-2</v>
      </c>
      <c r="N115" s="225">
        <f>24*60*SUM($M115:$M115)</f>
        <v>38.466666669119149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-14T15:50:56-0700',mode:absolute,to:'2018-01-14T18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23.2989</v>
      </c>
      <c r="Z115" s="247">
        <f>RIGHT(H115,LEN(H115)-4)/10000</f>
        <v>1.7600000000000001E-2</v>
      </c>
      <c r="AA115" s="247">
        <f>ABS(Z115-Y115)</f>
        <v>23.281299999999998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200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/stypes="app*4017*20180115*"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6"/>
        <v>"%USERPROFILE%\Documents\GitHub\eaglep3\Utilities\RefineRTDCRunTimes.py" --tripid 200-14 --locoid 4017 --swversion DE.1.0.9.0 --startMP 204:232989 --initTime 2018-01-14T16:50:56 --startdatetime 2018-01-14T16:57:22 --delay 55 --endMP 204:176 --enddatetime 2018-01-14T17:35:50 --enforcementcount 0 &gt;&gt;%USERPROFILE%\Documents\GitHub\eaglep3-reporting\EC\2018-01-14-refined-times.txt</v>
      </c>
      <c r="AI11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{"issue":{"subject":"","project_id":79,"tracker_id":40,"status_id":1,"priority_id":2,"assigned_to_id":338,"start_date":"2018-01-14","description":"","custom_fields":[{"id":1,"name":"Subdivision","value":"EC"},{"id":4,"name":"Milepost","value":"0.0176"},{"id":17,"name":"Train ID","value":"200-14"},{"id":16,"name":"Locomotive ID","value":"4017"},{"id":130,"name":"Impact","value":""},{"id":150,"name":"Time of Event (Mountain Time)","value":"17:35:50"},{"id":151,"name":"Denver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18"/>
        <v>start /low /b %USERPROFILE%\Documents\GitHub\eaglep3\Utilities\DownloadLogsFromS3.py --loco 4017 --day 2018-01-14</v>
      </c>
      <c r="AN115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20"/>
        <v>https://d0f6bd738d7f1b3e5a7ca70fe4ff75f0.us-east-1.aws.found.io/app/kibana#/discover/Steve-Slow-Train-Analysis-(2080s-and-2083s)?_g=(refreshInterval:(display:Off,pause:!f,section:0,value:0),time:(from:'2018-01-14T15:50:56-0700',mode:absolute,to:'2018-01-14T18:35:50-0700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835</v>
      </c>
      <c r="B116" s="225">
        <v>4016</v>
      </c>
      <c r="C116" s="227" t="s">
        <v>191</v>
      </c>
      <c r="D116" s="227" t="s">
        <v>1014</v>
      </c>
      <c r="E116" s="226">
        <v>43114.675532407404</v>
      </c>
      <c r="F116" s="226">
        <v>43114.677372685182</v>
      </c>
      <c r="G116" s="225">
        <v>56</v>
      </c>
      <c r="H116" s="227" t="s">
        <v>463</v>
      </c>
      <c r="I116" s="226">
        <v>43114.702905092592</v>
      </c>
      <c r="J116" s="225">
        <v>0</v>
      </c>
      <c r="K116" s="237" t="str">
        <f>IF(ISEVEN(B116),(B116-1)&amp;"/"&amp;B116,B116&amp;"/"&amp;(B116+1))</f>
        <v>4015/4016</v>
      </c>
      <c r="L116" s="245" t="str">
        <f>VLOOKUP(A116,'Trips&amp;Operators'!$C$1:$G$99911,5,FALSE)</f>
        <v>ANDERS STEVEN</v>
      </c>
      <c r="M116" s="224">
        <f>I116-F116</f>
        <v>2.5532407409627922E-2</v>
      </c>
      <c r="N116" s="225">
        <f>24*60*SUM($M116:$M116)</f>
        <v>36.766666669864208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-14T15:12:46-0700',mode:absolute,to:'2018-01-14T17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4.4699999999999997E-2</v>
      </c>
      <c r="Z116" s="247">
        <f>RIGHT(H116,LEN(H116)-4)/10000</f>
        <v>23.328900000000001</v>
      </c>
      <c r="AA116" s="247">
        <f>ABS(Z116-Y116)</f>
        <v>23.284200000000002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201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/stypes="app*4016*20180114*" /stext=" 23:.+((SYSTEM_STATE.+slice.+state.+changed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6"/>
        <v>"%USERPROFILE%\Documents\GitHub\eaglep3\Utilities\RefineRTDCRunTimes.py" --tripid 201-14 --locoid 4016 --swversion DE.1.0.9.0 --startMP 204:447 --initTime 2018-01-14T16:12:46 --startdatetime 2018-01-14T16:15:25 --delay 56 --endMP 204:233289 --enddatetime 2018-01-14T16:52:11 --enforcementcount 0 &gt;&gt;%USERPROFILE%\Documents\GitHub\eaglep3-reporting\EC\2018-01-14-refined-times.txt</v>
      </c>
      <c r="AI11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{"issue":{"subject":"","project_id":79,"tracker_id":40,"status_id":1,"priority_id":2,"assigned_to_id":338,"start_date":"2018-01-14","description":"","custom_fields":[{"id":1,"name":"Subdivision","value":"EC"},{"id":4,"name":"Milepost","value":"23.3289"},{"id":17,"name":"Train ID","value":"201-14"},{"id":16,"name":"Locomotive ID","value":"4016"},{"id":130,"name":"Impact","value":""},{"id":150,"name":"Time of Event (Mountain Time)","value":"16:52:11"},{"id":151,"name":"Denver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8"/>
        <v>start /low /b %USERPROFILE%\Documents\GitHub\eaglep3\Utilities\DownloadLogsFromS3.py --loco 4016 --day 2018-01-14</v>
      </c>
      <c r="AN116" s="241" t="str">
        <f t="shared" si="19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20"/>
        <v>https://d0f6bd738d7f1b3e5a7ca70fe4ff75f0.us-east-1.aws.found.io/app/kibana#/discover/Steve-Slow-Train-Analysis-(2080s-and-2083s)?_g=(refreshInterval:(display:Off,pause:!f,section:0,value:0),time:(from:'2018-01-14T15:12:46-0700',mode:absolute,to:'2018-01-14T17:52:11-0700'))&amp;_a=(columns:!('Message%20ID',Summary),filters:!(),index:'emp_*',interval:auto,query:(query_string:(analyze_wildcard:!t,query:'%22rtdc.l.rtdc.4016%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844</v>
      </c>
      <c r="B117" s="225">
        <v>4015</v>
      </c>
      <c r="C117" s="227" t="s">
        <v>191</v>
      </c>
      <c r="D117" s="227" t="s">
        <v>638</v>
      </c>
      <c r="E117" s="226">
        <v>43114.714328703703</v>
      </c>
      <c r="F117" s="226">
        <v>43114.750543981485</v>
      </c>
      <c r="G117" s="225">
        <v>59</v>
      </c>
      <c r="H117" s="227" t="s">
        <v>545</v>
      </c>
      <c r="I117" s="226">
        <v>43114.775671296295</v>
      </c>
      <c r="J117" s="225">
        <v>0</v>
      </c>
      <c r="K117" s="237" t="str">
        <f>IF(ISEVEN(B117),(B117-1)&amp;"/"&amp;B117,B117&amp;"/"&amp;(B117+1))</f>
        <v>4015/4016</v>
      </c>
      <c r="L117" s="245" t="str">
        <f>VLOOKUP(A117,'Trips&amp;Operators'!$C$1:$G$99911,5,FALSE)</f>
        <v>ANDERS STEVEN</v>
      </c>
      <c r="M117" s="224">
        <f>I117-F117</f>
        <v>2.512731480965158E-2</v>
      </c>
      <c r="N117" s="225">
        <f>24*60*SUM($M117:$M117)</f>
        <v>36.183333325898275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-14T16:08:38-0700',mode:absolute,to:'2018-01-14T19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23.296500000000002</v>
      </c>
      <c r="Z117" s="247">
        <f>RIGHT(H117,LEN(H117)-4)/10000</f>
        <v>2.3599999999999999E-2</v>
      </c>
      <c r="AA117" s="247">
        <f>ABS(Z117-Y117)</f>
        <v>23.272900000000003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202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/stypes="app*4015*20180115*"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6"/>
        <v>"%USERPROFILE%\Documents\GitHub\eaglep3\Utilities\RefineRTDCRunTimes.py" --tripid 202-14 --locoid 4015 --swversion DE.1.0.9.0 --startMP 204:232965 --initTime 2018-01-14T17:08:38 --startdatetime 2018-01-14T18:00:47 --delay 59 --endMP 204:236 --enddatetime 2018-01-14T18:36:58 --enforcementcount 0 &gt;&gt;%USERPROFILE%\Documents\GitHub\eaglep3-reporting\EC\2018-01-14-refined-times.txt</v>
      </c>
      <c r="AI11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{"issue":{"subject":"","project_id":79,"tracker_id":40,"status_id":1,"priority_id":2,"assigned_to_id":338,"start_date":"2018-01-14","description":"","custom_fields":[{"id":1,"name":"Subdivision","value":"EC"},{"id":4,"name":"Milepost","value":"0.0236"},{"id":17,"name":"Train ID","value":"202-14"},{"id":16,"name":"Locomotive ID","value":"4015"},{"id":130,"name":"Impact","value":""},{"id":150,"name":"Time of Event (Mountain Time)","value":"18:36:58"},{"id":151,"name":"Denver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8"/>
        <v>start /low /b %USERPROFILE%\Documents\GitHub\eaglep3\Utilities\DownloadLogsFromS3.py --loco 4015 --day 2018-01-14</v>
      </c>
      <c r="AN117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20"/>
        <v>https://d0f6bd738d7f1b3e5a7ca70fe4ff75f0.us-east-1.aws.found.io/app/kibana#/discover/Steve-Slow-Train-Analysis-(2080s-and-2083s)?_g=(refreshInterval:(display:Off,pause:!f,section:0,value:0),time:(from:'2018-01-14T16:08:38-0700',mode:absolute,to:'2018-01-14T19:36:58-0700'))&amp;_a=(columns:!('Message%20ID',Summary),filters:!(),index:'emp_*',interval:auto,query:(query_string:(analyze_wildcard:!t,query:'%22rtdc.l.rtdc.4015%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838</v>
      </c>
      <c r="B118" s="225">
        <v>4050</v>
      </c>
      <c r="C118" s="227" t="s">
        <v>191</v>
      </c>
      <c r="D118" s="227" t="s">
        <v>1015</v>
      </c>
      <c r="E118" s="226">
        <v>43114.68613425926</v>
      </c>
      <c r="F118" s="226">
        <v>43114.687939814816</v>
      </c>
      <c r="G118" s="225">
        <v>53</v>
      </c>
      <c r="H118" s="227" t="s">
        <v>974</v>
      </c>
      <c r="I118" s="226">
        <v>43114.71366898148</v>
      </c>
      <c r="J118" s="225">
        <v>0</v>
      </c>
      <c r="K118" s="237" t="str">
        <f>IF(ISEVEN(B118),(B118-1)&amp;"/"&amp;B118,B118&amp;"/"&amp;(B118+1))</f>
        <v>4049/4050</v>
      </c>
      <c r="L118" s="245" t="str">
        <f>VLOOKUP(A118,'Trips&amp;Operators'!$C$1:$G$99911,5,FALSE)</f>
        <v>DAVIS MICHAEL</v>
      </c>
      <c r="M118" s="224">
        <f>I118-F118</f>
        <v>2.5729166663950309E-2</v>
      </c>
      <c r="N118" s="225">
        <f>24*60*SUM($M118:$M118)</f>
        <v>37.049999996088445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-14T15:28:02-0700',mode:absolute,to:'2018-01-14T18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5.3100000000000001E-2</v>
      </c>
      <c r="Z118" s="247">
        <f>RIGHT(H118,LEN(H118)-4)/10000</f>
        <v>23.329499999999999</v>
      </c>
      <c r="AA118" s="247">
        <f>ABS(Z118-Y118)</f>
        <v>23.276399999999999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203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/stypes="app*4050*20180115*"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6"/>
        <v>"%USERPROFILE%\Documents\GitHub\eaglep3\Utilities\RefineRTDCRunTimes.py" --tripid 203-14 --locoid 4050 --swversion DE.1.0.9.0 --startMP 204:531 --initTime 2018-01-14T16:28:02 --startdatetime 2018-01-14T16:30:38 --delay 53 --endMP 204:233295 --enddatetime 2018-01-14T17:07:41 --enforcementcount 0 &gt;&gt;%USERPROFILE%\Documents\GitHub\eaglep3-reporting\EC\2018-01-14-refined-times.txt</v>
      </c>
      <c r="AI11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{"issue":{"subject":"","project_id":79,"tracker_id":40,"status_id":1,"priority_id":2,"assigned_to_id":338,"start_date":"2018-01-14","description":"","custom_fields":[{"id":1,"name":"Subdivision","value":"EC"},{"id":4,"name":"Milepost","value":"23.3295"},{"id":17,"name":"Train ID","value":"203-14"},{"id":16,"name":"Locomotive ID","value":"4050"},{"id":130,"name":"Impact","value":""},{"id":150,"name":"Time of Event (Mountain Time)","value":"17:07:41"},{"id":151,"name":"Denver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8"/>
        <v>start /low /b %USERPROFILE%\Documents\GitHub\eaglep3\Utilities\DownloadLogsFromS3.py --loco 4050 --day 2018-01-14</v>
      </c>
      <c r="AN118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20"/>
        <v>https://d0f6bd738d7f1b3e5a7ca70fe4ff75f0.us-east-1.aws.found.io/app/kibana#/discover/Steve-Slow-Train-Analysis-(2080s-and-2083s)?_g=(refreshInterval:(display:Off,pause:!f,section:0,value:0),time:(from:'2018-01-14T15:28:02-0700',mode:absolute,to:'2018-01-14T18:07:41-0700'))&amp;_a=(columns:!('Message%20ID',Summary),filters:!(),index:'emp_*',interval:auto,query:(query_string:(analyze_wildcard:!t,query:'%22rtdc.l.rtdc.4050%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847</v>
      </c>
      <c r="B119" s="225">
        <v>4049</v>
      </c>
      <c r="C119" s="227" t="s">
        <v>191</v>
      </c>
      <c r="D119" s="227" t="s">
        <v>644</v>
      </c>
      <c r="E119" s="226">
        <v>43114.72552083333</v>
      </c>
      <c r="F119" s="226">
        <v>43114.727418981478</v>
      </c>
      <c r="G119" s="225">
        <v>60</v>
      </c>
      <c r="H119" s="227" t="s">
        <v>437</v>
      </c>
      <c r="I119" s="226">
        <v>43114.755358796298</v>
      </c>
      <c r="J119" s="225">
        <v>0</v>
      </c>
      <c r="K119" s="237" t="str">
        <f>IF(ISEVEN(B119),(B119-1)&amp;"/"&amp;B119,B119&amp;"/"&amp;(B119+1))</f>
        <v>4049/4050</v>
      </c>
      <c r="L119" s="245" t="str">
        <f>VLOOKUP(A119,'Trips&amp;Operators'!$C$1:$G$99911,5,FALSE)</f>
        <v>DAVIS MICHAEL</v>
      </c>
      <c r="M119" s="224">
        <f>I119-F119</f>
        <v>2.7939814819546882E-2</v>
      </c>
      <c r="N119" s="225">
        <f>24*60*SUM($M119:$M119)</f>
        <v>40.23333334014751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-14T16:24:45-0700',mode:absolute,to:'2018-01-14T19:07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23.299099999999999</v>
      </c>
      <c r="Z119" s="247">
        <f>RIGHT(H119,LEN(H119)-4)/10000</f>
        <v>2.01E-2</v>
      </c>
      <c r="AA119" s="247">
        <f>ABS(Z119-Y119)</f>
        <v>23.279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204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/stypes="app*4049*20180115*"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6"/>
        <v>"%USERPROFILE%\Documents\GitHub\eaglep3\Utilities\RefineRTDCRunTimes.py" --tripid 204-14 --locoid 4049 --swversion DE.1.0.9.0 --startMP 204:232991 --initTime 2018-01-14T17:24:45 --startdatetime 2018-01-14T17:27:29 --delay 60 --endMP 204:201 --enddatetime 2018-01-14T18:07:43 --enforcementcount 0 &gt;&gt;%USERPROFILE%\Documents\GitHub\eaglep3-reporting\EC\2018-01-14-refined-times.txt</v>
      </c>
      <c r="AI11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{"issue":{"subject":"","project_id":79,"tracker_id":40,"status_id":1,"priority_id":2,"assigned_to_id":338,"start_date":"2018-01-14","description":"","custom_fields":[{"id":1,"name":"Subdivision","value":"EC"},{"id":4,"name":"Milepost","value":"0.0201"},{"id":17,"name":"Train ID","value":"204-14"},{"id":16,"name":"Locomotive ID","value":"4049"},{"id":130,"name":"Impact","value":""},{"id":150,"name":"Time of Event (Mountain Time)","value":"18:07:43"},{"id":151,"name":"Denver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8"/>
        <v>start /low /b %USERPROFILE%\Documents\GitHub\eaglep3\Utilities\DownloadLogsFromS3.py --loco 4049 --day 2018-01-14</v>
      </c>
      <c r="AN119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20"/>
        <v>https://d0f6bd738d7f1b3e5a7ca70fe4ff75f0.us-east-1.aws.found.io/app/kibana#/discover/Steve-Slow-Train-Analysis-(2080s-and-2083s)?_g=(refreshInterval:(display:Off,pause:!f,section:0,value:0),time:(from:'2018-01-14T16:24:45-0700',mode:absolute,to:'2018-01-14T19:07:43-0700'))&amp;_a=(columns:!('Message%20ID',Summary),filters:!(),index:'emp_*',interval:auto,query:(query_string:(analyze_wildcard:!t,query:'%22rtdc.l.rtdc.4049%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840</v>
      </c>
      <c r="B120" s="225">
        <v>4022</v>
      </c>
      <c r="C120" s="227" t="s">
        <v>191</v>
      </c>
      <c r="D120" s="227" t="s">
        <v>528</v>
      </c>
      <c r="E120" s="226">
        <v>43114.695243055554</v>
      </c>
      <c r="F120" s="226">
        <v>43114.698125000003</v>
      </c>
      <c r="G120" s="225">
        <v>99</v>
      </c>
      <c r="H120" s="227" t="s">
        <v>457</v>
      </c>
      <c r="I120" s="226">
        <v>43114.722581018519</v>
      </c>
      <c r="J120" s="225">
        <v>0</v>
      </c>
      <c r="K120" s="237" t="str">
        <f>IF(ISEVEN(B120),(B120-1)&amp;"/"&amp;B120,B120&amp;"/"&amp;(B120+1))</f>
        <v>4021/4022</v>
      </c>
      <c r="L120" s="245" t="str">
        <f>VLOOKUP(A120,'Trips&amp;Operators'!$C$1:$G$99911,5,FALSE)</f>
        <v>SMITH MICHAEL</v>
      </c>
      <c r="M120" s="224">
        <f>I120-F120</f>
        <v>2.4456018516502809E-2</v>
      </c>
      <c r="N120" s="225">
        <f>24*60*SUM($M120:$M120)</f>
        <v>35.216666663764045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-14T15:41:09-0700',mode:absolute,to:'2018-01-14T18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5.1900000000000002E-2</v>
      </c>
      <c r="Z120" s="247">
        <f>RIGHT(H120,LEN(H120)-4)/10000</f>
        <v>23.328600000000002</v>
      </c>
      <c r="AA120" s="247">
        <f>ABS(Z120-Y120)</f>
        <v>23.276700000000002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205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/stypes="app*4022*20180115*"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6"/>
        <v>"%USERPROFILE%\Documents\GitHub\eaglep3\Utilities\RefineRTDCRunTimes.py" --tripid 205-14 --locoid 4022 --swversion DE.1.0.9.0 --startMP 204:519 --initTime 2018-01-14T16:41:09 --startdatetime 2018-01-14T16:45:18 --delay 99 --endMP 204:233286 --enddatetime 2018-01-14T17:20:31 --enforcementcount 0 &gt;&gt;%USERPROFILE%\Documents\GitHub\eaglep3-reporting\EC\2018-01-14-refined-times.txt</v>
      </c>
      <c r="AI12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{"issue":{"subject":"","project_id":79,"tracker_id":40,"status_id":1,"priority_id":2,"assigned_to_id":338,"start_date":"2018-01-14","description":"","custom_fields":[{"id":1,"name":"Subdivision","value":"EC"},{"id":4,"name":"Milepost","value":"23.3286"},{"id":17,"name":"Train ID","value":"205-14"},{"id":16,"name":"Locomotive ID","value":"4022"},{"id":130,"name":"Impact","value":""},{"id":150,"name":"Time of Event (Mountain Time)","value":"17:20:31"},{"id":151,"name":"Denver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8"/>
        <v>start /low /b %USERPROFILE%\Documents\GitHub\eaglep3\Utilities\DownloadLogsFromS3.py --loco 4022 --day 2018-01-14</v>
      </c>
      <c r="AN120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20"/>
        <v>https://d0f6bd738d7f1b3e5a7ca70fe4ff75f0.us-east-1.aws.found.io/app/kibana#/discover/Steve-Slow-Train-Analysis-(2080s-and-2083s)?_g=(refreshInterval:(display:Off,pause:!f,section:0,value:0),time:(from:'2018-01-14T15:41:09-0700',mode:absolute,to:'2018-01-14T18:20:31-0700'))&amp;_a=(columns:!('Message%20ID',Summary),filters:!(),index:'emp_*',interval:auto,query:(query_string:(analyze_wildcard:!t,query:'%22rtdc.l.rtdc.4022%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849</v>
      </c>
      <c r="B121" s="225">
        <v>4021</v>
      </c>
      <c r="C121" s="227" t="s">
        <v>191</v>
      </c>
      <c r="D121" s="227" t="s">
        <v>1010</v>
      </c>
      <c r="E121" s="226">
        <v>43114.729317129626</v>
      </c>
      <c r="F121" s="226">
        <v>43114.737719907411</v>
      </c>
      <c r="G121" s="225">
        <v>85</v>
      </c>
      <c r="H121" s="227" t="s">
        <v>658</v>
      </c>
      <c r="I121" s="226">
        <v>43114.764652777776</v>
      </c>
      <c r="J121" s="225">
        <v>0</v>
      </c>
      <c r="K121" s="237" t="str">
        <f>IF(ISEVEN(B121),(B121-1)&amp;"/"&amp;B121,B121&amp;"/"&amp;(B121+1))</f>
        <v>4021/4022</v>
      </c>
      <c r="L121" s="245" t="str">
        <f>VLOOKUP(A121,'Trips&amp;Operators'!$C$1:$G$99911,5,FALSE)</f>
        <v>SMITH MICHAEL</v>
      </c>
      <c r="M121" s="224">
        <f>I121-F121</f>
        <v>2.693287036527181E-2</v>
      </c>
      <c r="N121" s="225">
        <f>24*60*SUM($M121:$M121)</f>
        <v>38.783333325991407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-14T16:30:13-0700',mode:absolute,to:'2018-01-14T19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23.295300000000001</v>
      </c>
      <c r="Z121" s="247">
        <f>RIGHT(H121,LEN(H121)-4)/10000</f>
        <v>1.9099999999999999E-2</v>
      </c>
      <c r="AA121" s="247">
        <f>ABS(Z121-Y121)</f>
        <v>23.276199999999999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206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/stypes="app*4021*20180115*"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6"/>
        <v>"%USERPROFILE%\Documents\GitHub\eaglep3\Utilities\RefineRTDCRunTimes.py" --tripid 206-14 --locoid 4021 --swversion DE.1.0.9.0 --startMP 204:232953 --initTime 2018-01-14T17:30:13 --startdatetime 2018-01-14T17:42:19 --delay 85 --endMP 204:191 --enddatetime 2018-01-14T18:21:06 --enforcementcount 0 &gt;&gt;%USERPROFILE%\Documents\GitHub\eaglep3-reporting\EC\2018-01-14-refined-times.txt</v>
      </c>
      <c r="AI12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{"issue":{"subject":"","project_id":79,"tracker_id":40,"status_id":1,"priority_id":2,"assigned_to_id":338,"start_date":"2018-01-14","description":"","custom_fields":[{"id":1,"name":"Subdivision","value":"EC"},{"id":4,"name":"Milepost","value":"0.0191"},{"id":17,"name":"Train ID","value":"206-14"},{"id":16,"name":"Locomotive ID","value":"4021"},{"id":130,"name":"Impact","value":""},{"id":150,"name":"Time of Event (Mountain Time)","value":"18:21:06"},{"id":151,"name":"Denver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18"/>
        <v>start /low /b %USERPROFILE%\Documents\GitHub\eaglep3\Utilities\DownloadLogsFromS3.py --loco 4021 --day 2018-01-14</v>
      </c>
      <c r="AN121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20"/>
        <v>https://d0f6bd738d7f1b3e5a7ca70fe4ff75f0.us-east-1.aws.found.io/app/kibana#/discover/Steve-Slow-Train-Analysis-(2080s-and-2083s)?_g=(refreshInterval:(display:Off,pause:!f,section:0,value:0),time:(from:'2018-01-14T16:30:13-0700',mode:absolute,to:'2018-01-14T19:21:06-0700'))&amp;_a=(columns:!('Message%20ID',Summary),filters:!(),index:'emp_*',interval:auto,query:(query_string:(analyze_wildcard:!t,query:'%22rtdc.l.rtdc.4021%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842</v>
      </c>
      <c r="B122" s="225">
        <v>4040</v>
      </c>
      <c r="C122" s="227" t="s">
        <v>191</v>
      </c>
      <c r="D122" s="227" t="s">
        <v>448</v>
      </c>
      <c r="E122" s="226">
        <v>43114.705752314818</v>
      </c>
      <c r="F122" s="226">
        <v>43114.708495370367</v>
      </c>
      <c r="G122" s="225">
        <v>53</v>
      </c>
      <c r="H122" s="227" t="s">
        <v>1016</v>
      </c>
      <c r="I122" s="226">
        <v>43114.734571759262</v>
      </c>
      <c r="J122" s="225">
        <v>0</v>
      </c>
      <c r="K122" s="237" t="str">
        <f>IF(ISEVEN(B122),(B122-1)&amp;"/"&amp;B122,B122&amp;"/"&amp;(B122+1))</f>
        <v>4039/4040</v>
      </c>
      <c r="L122" s="245" t="str">
        <f>VLOOKUP(A122,'Trips&amp;Operators'!$C$1:$G$99911,5,FALSE)</f>
        <v>BADERTSCHER DIANE</v>
      </c>
      <c r="M122" s="224">
        <f>I122-F122</f>
        <v>2.6076388894580305E-2</v>
      </c>
      <c r="N122" s="225">
        <f>24*60*SUM($M122:$M122)</f>
        <v>37.550000008195639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-14T15:56:17-0700',mode:absolute,to:'2018-01-14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5.1499999999999997E-2</v>
      </c>
      <c r="Z122" s="247">
        <f>RIGHT(H122,LEN(H122)-4)/10000</f>
        <v>23.324000000000002</v>
      </c>
      <c r="AA122" s="247">
        <f>ABS(Z122-Y122)</f>
        <v>23.272500000000001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207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/stypes="app*4040*20180115*"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6"/>
        <v>"%USERPROFILE%\Documents\GitHub\eaglep3\Utilities\RefineRTDCRunTimes.py" --tripid 207-14 --locoid 4040 --swversion DE.1.0.9.0 --startMP 204:515 --initTime 2018-01-14T16:56:17 --startdatetime 2018-01-14T17:00:14 --delay 53 --endMP 204:233240 --enddatetime 2018-01-14T17:37:47 --enforcementcount 0 &gt;&gt;%USERPROFILE%\Documents\GitHub\eaglep3-reporting\EC\2018-01-14-refined-times.txt</v>
      </c>
      <c r="AI12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{"issue":{"subject":"","project_id":79,"tracker_id":40,"status_id":1,"priority_id":2,"assigned_to_id":338,"start_date":"2018-01-14","description":"","custom_fields":[{"id":1,"name":"Subdivision","value":"EC"},{"id":4,"name":"Milepost","value":"23.324"},{"id":17,"name":"Train ID","value":"207-14"},{"id":16,"name":"Locomotive ID","value":"4040"},{"id":130,"name":"Impact","value":""},{"id":150,"name":"Time of Event (Mountain Time)","value":"17:37:47"},{"id":151,"name":"Denver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8"/>
        <v>start /low /b %USERPROFILE%\Documents\GitHub\eaglep3\Utilities\DownloadLogsFromS3.py --loco 4040 --day 2018-01-14</v>
      </c>
      <c r="AN122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20"/>
        <v>https://d0f6bd738d7f1b3e5a7ca70fe4ff75f0.us-east-1.aws.found.io/app/kibana#/discover/Steve-Slow-Train-Analysis-(2080s-and-2083s)?_g=(refreshInterval:(display:Off,pause:!f,section:0,value:0),time:(from:'2018-01-14T15:56:17-0700',mode:absolute,to:'2018-01-14T18:37:47-0700'))&amp;_a=(columns:!('Message%20ID',Summary),filters:!(),index:'emp_*',interval:auto,query:(query_string:(analyze_wildcard:!t,query:'%22rtdc.l.rtdc.4040%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692</v>
      </c>
      <c r="B123" s="225">
        <v>4039</v>
      </c>
      <c r="C123" s="227" t="s">
        <v>191</v>
      </c>
      <c r="D123" s="227" t="s">
        <v>1017</v>
      </c>
      <c r="E123" s="226">
        <v>43114.742789351854</v>
      </c>
      <c r="F123" s="226">
        <v>43114.748229166667</v>
      </c>
      <c r="G123" s="225">
        <v>135</v>
      </c>
      <c r="H123" s="227" t="s">
        <v>970</v>
      </c>
      <c r="I123" s="226">
        <v>43114.778194444443</v>
      </c>
      <c r="J123" s="225">
        <v>0</v>
      </c>
      <c r="K123" s="237" t="str">
        <f>IF(ISEVEN(B123),(B123-1)&amp;"/"&amp;B123,B123&amp;"/"&amp;(B123+1))</f>
        <v>4039/4040</v>
      </c>
      <c r="L123" s="245" t="str">
        <f>VLOOKUP(A123,'Trips&amp;Operators'!$C$1:$G$99911,5,FALSE)</f>
        <v>BADERTSCHER DIANE</v>
      </c>
      <c r="M123" s="224">
        <f>I123-F123</f>
        <v>2.9965277775772847E-2</v>
      </c>
      <c r="N123" s="225">
        <f>24*60*SUM($M123:$M123)</f>
        <v>43.1499999971129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-14T16:49:37-0700',mode:absolute,to:'2018-01-14T19:40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23.291499999999999</v>
      </c>
      <c r="Z123" s="247">
        <f>RIGHT(H123,LEN(H123)-4)/10000</f>
        <v>2.5399999999999999E-2</v>
      </c>
      <c r="AA123" s="247">
        <f>ABS(Z123-Y123)</f>
        <v>23.266099999999998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208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/stypes="app*4039*20180115*"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6"/>
        <v>"%USERPROFILE%\Documents\GitHub\eaglep3\Utilities\RefineRTDCRunTimes.py" --tripid 208-14 --locoid 4039 --swversion DE.1.0.9.0 --startMP 204:232915 --initTime 2018-01-14T17:49:37 --startdatetime 2018-01-14T17:57:27 --delay 135 --endMP 204:254 --enddatetime 2018-01-14T18:40:36 --enforcementcount 0 &gt;&gt;%USERPROFILE%\Documents\GitHub\eaglep3-reporting\EC\2018-01-14-refined-times.txt</v>
      </c>
      <c r="AI123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{"issue":{"subject":"","project_id":79,"tracker_id":40,"status_id":1,"priority_id":2,"assigned_to_id":338,"start_date":"2018-01-14","description":"","custom_fields":[{"id":1,"name":"Subdivision","value":"EC"},{"id":4,"name":"Milepost","value":"0.0254"},{"id":17,"name":"Train ID","value":"208-14"},{"id":16,"name":"Locomotive ID","value":"4039"},{"id":130,"name":"Impact","value":""},{"id":150,"name":"Time of Event (Mountain Time)","value":"18:40:36"},{"id":151,"name":"Denver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18"/>
        <v>start /low /b %USERPROFILE%\Documents\GitHub\eaglep3\Utilities\DownloadLogsFromS3.py --loco 4039 --day 2018-01-14</v>
      </c>
      <c r="AN123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20"/>
        <v>https://d0f6bd738d7f1b3e5a7ca70fe4ff75f0.us-east-1.aws.found.io/app/kibana#/discover/Steve-Slow-Train-Analysis-(2080s-and-2083s)?_g=(refreshInterval:(display:Off,pause:!f,section:0,value:0),time:(from:'2018-01-14T16:49:37-0700',mode:absolute,to:'2018-01-14T19:40:36-0700'))&amp;_a=(columns:!('Message%20ID',Summary),filters:!(),index:'emp_*',interval:auto,query:(query_string:(analyze_wildcard:!t,query:'%22rtdc.l.rtdc.4039%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845</v>
      </c>
      <c r="B124" s="225">
        <v>4028</v>
      </c>
      <c r="C124" s="227" t="s">
        <v>191</v>
      </c>
      <c r="D124" s="227" t="s">
        <v>540</v>
      </c>
      <c r="E124" s="226">
        <v>43114.714282407411</v>
      </c>
      <c r="F124" s="226">
        <v>43114.719074074077</v>
      </c>
      <c r="G124" s="225">
        <v>78</v>
      </c>
      <c r="H124" s="227" t="s">
        <v>1018</v>
      </c>
      <c r="I124" s="226">
        <v>43114.743379629632</v>
      </c>
      <c r="J124" s="225">
        <v>0</v>
      </c>
      <c r="K124" s="237" t="str">
        <f>IF(ISEVEN(B124),(B124-1)&amp;"/"&amp;B124,B124&amp;"/"&amp;(B124+1))</f>
        <v>4027/4028</v>
      </c>
      <c r="L124" s="245" t="str">
        <f>VLOOKUP(A124,'Trips&amp;Operators'!$C$1:$G$99911,5,FALSE)</f>
        <v>MAGEE KENYA</v>
      </c>
      <c r="M124" s="224">
        <f>I124-F124</f>
        <v>2.4305555554747116E-2</v>
      </c>
      <c r="N124" s="225">
        <f>24*60*SUM($M124:$M124)</f>
        <v>34.999999998835847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-14T16:08:34-0700',mode:absolute,to:'2018-01-14T18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4.8599999999999997E-2</v>
      </c>
      <c r="Z124" s="247">
        <f>RIGHT(H124,LEN(H124)-4)/10000</f>
        <v>23.334099999999999</v>
      </c>
      <c r="AA124" s="247">
        <f>ABS(Z124-Y124)</f>
        <v>23.285499999999999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209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/stypes="app*4028*20180115*" /stext=" 00:.+((SYSTEM_STATE.+slice.+state.+changed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6"/>
        <v>"%USERPROFILE%\Documents\GitHub\eaglep3\Utilities\RefineRTDCRunTimes.py" --tripid 209-14 --locoid 4028 --swversion DE.1.0.9.0 --startMP 204:486 --initTime 2018-01-14T17:08:34 --startdatetime 2018-01-14T17:15:28 --delay 78 --endMP 204:233341 --enddatetime 2018-01-14T17:50:28 --enforcementcount 0 &gt;&gt;%USERPROFILE%\Documents\GitHub\eaglep3-reporting\EC\2018-01-14-refined-times.txt</v>
      </c>
      <c r="AI12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{"issue":{"subject":"","project_id":79,"tracker_id":40,"status_id":1,"priority_id":2,"assigned_to_id":338,"start_date":"2018-01-14","description":"","custom_fields":[{"id":1,"name":"Subdivision","value":"EC"},{"id":4,"name":"Milepost","value":"23.3341"},{"id":17,"name":"Train ID","value":"209-14"},{"id":16,"name":"Locomotive ID","value":"4028"},{"id":130,"name":"Impact","value":""},{"id":150,"name":"Time of Event (Mountain Time)","value":"17:50:28"},{"id":151,"name":"Denver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8"/>
        <v>start /low /b %USERPROFILE%\Documents\GitHub\eaglep3\Utilities\DownloadLogsFromS3.py --loco 4028 --day 2018-01-14</v>
      </c>
      <c r="AN124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20"/>
        <v>https://d0f6bd738d7f1b3e5a7ca70fe4ff75f0.us-east-1.aws.found.io/app/kibana#/discover/Steve-Slow-Train-Analysis-(2080s-and-2083s)?_g=(refreshInterval:(display:Off,pause:!f,section:0,value:0),time:(from:'2018-01-14T16:08:34-0700',mode:absolute,to:'2018-01-14T18:50:28-0700'))&amp;_a=(columns:!('Message%20ID',Summary),filters:!(),index:'emp_*',interval:auto,query:(query_string:(analyze_wildcard:!t,query:'%22rtdc.l.rtdc.4028%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856</v>
      </c>
      <c r="B125" s="225">
        <v>4027</v>
      </c>
      <c r="C125" s="227" t="s">
        <v>191</v>
      </c>
      <c r="D125" s="227" t="s">
        <v>636</v>
      </c>
      <c r="E125" s="226">
        <v>43114.75640046296</v>
      </c>
      <c r="F125" s="226">
        <v>43114.758553240739</v>
      </c>
      <c r="G125" s="225">
        <v>74</v>
      </c>
      <c r="H125" s="227" t="s">
        <v>535</v>
      </c>
      <c r="I125" s="226">
        <v>43114.784733796296</v>
      </c>
      <c r="J125" s="225">
        <v>0</v>
      </c>
      <c r="K125" s="237" t="str">
        <f>IF(ISEVEN(B125),(B125-1)&amp;"/"&amp;B125,B125&amp;"/"&amp;(B125+1))</f>
        <v>4027/4028</v>
      </c>
      <c r="L125" s="245" t="str">
        <f>VLOOKUP(A125,'Trips&amp;Operators'!$C$1:$G$99911,5,FALSE)</f>
        <v>MAGEE KENYA</v>
      </c>
      <c r="M125" s="224">
        <f>I125-F125</f>
        <v>2.6180555556493346E-2</v>
      </c>
      <c r="N125" s="225">
        <f>24*60*SUM($M125:$M125)</f>
        <v>37.700000001350418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-14T17:09:13-0700',mode:absolute,to:'2018-01-14T19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23.299600000000002</v>
      </c>
      <c r="Z125" s="247">
        <f>RIGHT(H125,LEN(H125)-4)/10000</f>
        <v>1.9800000000000002E-2</v>
      </c>
      <c r="AA125" s="247">
        <f>ABS(Z125-Y125)</f>
        <v>23.279800000000002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210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/stypes="app*4027*20180115*"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6"/>
        <v>"%USERPROFILE%\Documents\GitHub\eaglep3\Utilities\RefineRTDCRunTimes.py" --tripid 210-14 --locoid 4027 --swversion DE.1.0.9.0 --startMP 204:232996 --initTime 2018-01-14T18:09:13 --startdatetime 2018-01-14T18:12:19 --delay 74 --endMP 204:198 --enddatetime 2018-01-14T18:50:01 --enforcementcount 0 &gt;&gt;%USERPROFILE%\Documents\GitHub\eaglep3-reporting\EC\2018-01-14-refined-times.txt</v>
      </c>
      <c r="AI12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{"issue":{"subject":"","project_id":79,"tracker_id":40,"status_id":1,"priority_id":2,"assigned_to_id":338,"start_date":"2018-01-14","description":"","custom_fields":[{"id":1,"name":"Subdivision","value":"EC"},{"id":4,"name":"Milepost","value":"0.0198"},{"id":17,"name":"Train ID","value":"210-14"},{"id":16,"name":"Locomotive ID","value":"4027"},{"id":130,"name":"Impact","value":""},{"id":150,"name":"Time of Event (Mountain Time)","value":"18:50:01"},{"id":151,"name":"Denver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8"/>
        <v>start /low /b %USERPROFILE%\Documents\GitHub\eaglep3\Utilities\DownloadLogsFromS3.py --loco 4027 --day 2018-01-14</v>
      </c>
      <c r="AN125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20"/>
        <v>https://d0f6bd738d7f1b3e5a7ca70fe4ff75f0.us-east-1.aws.found.io/app/kibana#/discover/Steve-Slow-Train-Analysis-(2080s-and-2083s)?_g=(refreshInterval:(display:Off,pause:!f,section:0,value:0),time:(from:'2018-01-14T17:09:13-0700',mode:absolute,to:'2018-01-14T19:50:01-0700'))&amp;_a=(columns:!('Message%20ID',Summary),filters:!(),index:'emp_*',interval:auto,query:(query_string:(analyze_wildcard:!t,query:'%22rtdc.l.rtdc.4027%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691</v>
      </c>
      <c r="B126" s="225">
        <v>4026</v>
      </c>
      <c r="C126" s="227" t="s">
        <v>191</v>
      </c>
      <c r="D126" s="227" t="s">
        <v>666</v>
      </c>
      <c r="E126" s="226">
        <v>43114.725185185183</v>
      </c>
      <c r="F126" s="226">
        <v>43114.728761574072</v>
      </c>
      <c r="G126" s="225">
        <v>90</v>
      </c>
      <c r="H126" s="227" t="s">
        <v>656</v>
      </c>
      <c r="I126" s="226">
        <v>43114.757233796299</v>
      </c>
      <c r="J126" s="225">
        <v>0</v>
      </c>
      <c r="K126" s="237" t="str">
        <f>IF(ISEVEN(B126),(B126-1)&amp;"/"&amp;B126,B126&amp;"/"&amp;(B126+1))</f>
        <v>4025/4026</v>
      </c>
      <c r="L126" s="245" t="str">
        <f>VLOOKUP(A126,'Trips&amp;Operators'!$C$1:$G$99911,5,FALSE)</f>
        <v>WEST BRYAN</v>
      </c>
      <c r="M126" s="224">
        <f>I126-F126</f>
        <v>2.8472222227719612E-2</v>
      </c>
      <c r="N126" s="225">
        <f>24*60*SUM($M126:$M126)</f>
        <v>41.000000007916242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-14T16:24:16-0700',mode:absolute,to:'2018-01-14T19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5.5899999999999998E-2</v>
      </c>
      <c r="Z126" s="247">
        <f>RIGHT(H126,LEN(H126)-4)/10000</f>
        <v>23.321200000000001</v>
      </c>
      <c r="AA126" s="247">
        <f>ABS(Z126-Y126)</f>
        <v>23.2653</v>
      </c>
      <c r="AB126" s="233" t="str">
        <f>VLOOKUP(A126,Enforcements!$C$7:$K$9,8,0)</f>
        <v>Bulletin (2)</v>
      </c>
      <c r="AC126" s="232" t="str">
        <f>VLOOKUP(A126,Enforcements!$C$7:$E$9,3,0)</f>
        <v>GRADE CROSSING</v>
      </c>
      <c r="AD126" s="243">
        <f>VALUE(LEFT(A126,LEN(A126)-3))</f>
        <v>211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/stypes="app*4026*20180115*"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6"/>
        <v>"%USERPROFILE%\Documents\GitHub\eaglep3\Utilities\RefineRTDCRunTimes.py" --tripid 211-14 --locoid 4026 --swversion DE.1.0.9.0 --startMP 204:559 --initTime 2018-01-14T17:24:16 --startdatetime 2018-01-14T17:29:25 --delay 90 --endMP 204:233212 --enddatetime 2018-01-14T18:10:25 --enforcementcount 0 &gt;&gt;%USERPROFILE%\Documents\GitHub\eaglep3-reporting\EC\2018-01-14-refined-times.txt</v>
      </c>
      <c r="AI12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{"issue":{"subject":"","project_id":79,"tracker_id":40,"status_id":1,"priority_id":2,"assigned_to_id":338,"start_date":"2018-01-14","description":"","custom_fields":[{"id":1,"name":"Subdivision","value":"EC"},{"id":4,"name":"Milepost","value":"23.3212"},{"id":17,"name":"Train ID","value":"211-14"},{"id":16,"name":"Locomotive ID","value":"4026"},{"id":130,"name":"Impact","value":""},{"id":150,"name":"Time of Event (Mountain Time)","value":"18:10:25"},{"id":151,"name":"Denver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8"/>
        <v>start /low /b %USERPROFILE%\Documents\GitHub\eaglep3\Utilities\DownloadLogsFromS3.py --loco 4026 --day 2018-01-14</v>
      </c>
      <c r="AN126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20"/>
        <v>https://d0f6bd738d7f1b3e5a7ca70fe4ff75f0.us-east-1.aws.found.io/app/kibana#/discover/Steve-Slow-Train-Analysis-(2080s-and-2083s)?_g=(refreshInterval:(display:Off,pause:!f,section:0,value:0),time:(from:'2018-01-14T16:24:16-0700',mode:absolute,to:'2018-01-14T19:10:25-0700'))&amp;_a=(columns:!('Message%20ID',Summary),filters:!(),index:'emp_*',interval:auto,query:(query_string:(analyze_wildcard:!t,query:'%22rtdc.l.rtdc.4026%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860</v>
      </c>
      <c r="B127" s="225">
        <v>4025</v>
      </c>
      <c r="C127" s="227" t="s">
        <v>191</v>
      </c>
      <c r="D127" s="227" t="s">
        <v>1019</v>
      </c>
      <c r="E127" s="226">
        <v>43114.763136574074</v>
      </c>
      <c r="F127" s="226">
        <v>43114.769224537034</v>
      </c>
      <c r="G127" s="225">
        <v>224</v>
      </c>
      <c r="H127" s="227" t="s">
        <v>925</v>
      </c>
      <c r="I127" s="226">
        <v>43114.794988425929</v>
      </c>
      <c r="J127" s="225">
        <v>0</v>
      </c>
      <c r="K127" s="237" t="str">
        <f>IF(ISEVEN(B127),(B127-1)&amp;"/"&amp;B127,B127&amp;"/"&amp;(B127+1))</f>
        <v>4025/4026</v>
      </c>
      <c r="L127" s="245" t="str">
        <f>VLOOKUP(A127,'Trips&amp;Operators'!$C$1:$G$99911,5,FALSE)</f>
        <v>WEST BRYAN</v>
      </c>
      <c r="M127" s="224">
        <f>I127-F127</f>
        <v>2.5763888894289266E-2</v>
      </c>
      <c r="N127" s="225">
        <f>24*60*SUM($M127:$M127)</f>
        <v>37.100000007776543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-14T17:18:55-0700',mode:absolute,to:'2018-01-14T20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23.2898</v>
      </c>
      <c r="Z127" s="247">
        <f>RIGHT(H127,LEN(H127)-4)/10000</f>
        <v>2.52E-2</v>
      </c>
      <c r="AA127" s="247">
        <f>ABS(Z127-Y127)</f>
        <v>23.264599999999998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212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/stypes="app*4025*20180115*"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6"/>
        <v>"%USERPROFILE%\Documents\GitHub\eaglep3\Utilities\RefineRTDCRunTimes.py" --tripid 212-14 --locoid 4025 --swversion DE.1.0.9.0 --startMP 204:232898 --initTime 2018-01-14T18:18:55 --startdatetime 2018-01-14T18:27:41 --delay 224 --endMP 204:252 --enddatetime 2018-01-14T19:04:47 --enforcementcount 0 &gt;&gt;%USERPROFILE%\Documents\GitHub\eaglep3-reporting\EC\2018-01-14-refined-times.txt</v>
      </c>
      <c r="AI12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{"issue":{"subject":"","project_id":79,"tracker_id":40,"status_id":1,"priority_id":2,"assigned_to_id":338,"start_date":"2018-01-14","description":"","custom_fields":[{"id":1,"name":"Subdivision","value":"EC"},{"id":4,"name":"Milepost","value":"0.0252"},{"id":17,"name":"Train ID","value":"212-14"},{"id":16,"name":"Locomotive ID","value":"4025"},{"id":130,"name":"Impact","value":""},{"id":150,"name":"Time of Event (Mountain Time)","value":"19:04:47"},{"id":151,"name":"Denver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8"/>
        <v>start /low /b %USERPROFILE%\Documents\GitHub\eaglep3\Utilities\DownloadLogsFromS3.py --loco 4025 --day 2018-01-14</v>
      </c>
      <c r="AN127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20"/>
        <v>https://d0f6bd738d7f1b3e5a7ca70fe4ff75f0.us-east-1.aws.found.io/app/kibana#/discover/Steve-Slow-Train-Analysis-(2080s-and-2083s)?_g=(refreshInterval:(display:Off,pause:!f,section:0,value:0),time:(from:'2018-01-14T17:18:55-0700',mode:absolute,to:'2018-01-14T20:04:47-0700'))&amp;_a=(columns:!('Message%20ID',Summary),filters:!(),index:'emp_*',interval:auto,query:(query_string:(analyze_wildcard:!t,query:'%22rtdc.l.rtdc.4025%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850</v>
      </c>
      <c r="B128" s="225">
        <v>4018</v>
      </c>
      <c r="C128" s="227" t="s">
        <v>191</v>
      </c>
      <c r="D128" s="227" t="s">
        <v>449</v>
      </c>
      <c r="E128" s="226">
        <v>43114.736307870371</v>
      </c>
      <c r="F128" s="226">
        <v>43114.739733796298</v>
      </c>
      <c r="G128" s="225">
        <v>75</v>
      </c>
      <c r="H128" s="227" t="s">
        <v>537</v>
      </c>
      <c r="I128" s="226">
        <v>43114.763969907406</v>
      </c>
      <c r="J128" s="225">
        <v>0</v>
      </c>
      <c r="K128" s="237" t="str">
        <f>IF(ISEVEN(B128),(B128-1)&amp;"/"&amp;B128,B128&amp;"/"&amp;(B128+1))</f>
        <v>4017/4018</v>
      </c>
      <c r="L128" s="245" t="str">
        <f>VLOOKUP(A128,'Trips&amp;Operators'!$C$1:$G$99911,5,FALSE)</f>
        <v>PAGE MARCUS</v>
      </c>
      <c r="M128" s="224">
        <f>I128-F128</f>
        <v>2.4236111108621117E-2</v>
      </c>
      <c r="N128" s="225">
        <f>24*60*SUM($M128:$M128)</f>
        <v>34.899999996414408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-14T16:40:17-0700',mode:absolute,to:'2018-01-14T19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4.9799999999999997E-2</v>
      </c>
      <c r="Z128" s="247">
        <f>RIGHT(H128,LEN(H128)-4)/10000</f>
        <v>23.326599999999999</v>
      </c>
      <c r="AA128" s="247">
        <f>ABS(Z128-Y128)</f>
        <v>23.276799999999998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213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/stypes="app*4018*20180115*"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6"/>
        <v>"%USERPROFILE%\Documents\GitHub\eaglep3\Utilities\RefineRTDCRunTimes.py" --tripid 213-14 --locoid 4018 --swversion DE.1.0.9.0 --startMP 204:498 --initTime 2018-01-14T17:40:17 --startdatetime 2018-01-14T17:45:13 --delay 75 --endMP 204:233266 --enddatetime 2018-01-14T18:20:07 --enforcementcount 0 &gt;&gt;%USERPROFILE%\Documents\GitHub\eaglep3-reporting\EC\2018-01-14-refined-times.txt</v>
      </c>
      <c r="AI12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{"issue":{"subject":"","project_id":79,"tracker_id":40,"status_id":1,"priority_id":2,"assigned_to_id":338,"start_date":"2018-01-14","description":"","custom_fields":[{"id":1,"name":"Subdivision","value":"EC"},{"id":4,"name":"Milepost","value":"23.3266"},{"id":17,"name":"Train ID","value":"213-14"},{"id":16,"name":"Locomotive ID","value":"4018"},{"id":130,"name":"Impact","value":""},{"id":150,"name":"Time of Event (Mountain Time)","value":"18:20:07"},{"id":151,"name":"Denver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8"/>
        <v>start /low /b %USERPROFILE%\Documents\GitHub\eaglep3\Utilities\DownloadLogsFromS3.py --loco 4018 --day 2018-01-14</v>
      </c>
      <c r="AN128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20"/>
        <v>https://d0f6bd738d7f1b3e5a7ca70fe4ff75f0.us-east-1.aws.found.io/app/kibana#/discover/Steve-Slow-Train-Analysis-(2080s-and-2083s)?_g=(refreshInterval:(display:Off,pause:!f,section:0,value:0),time:(from:'2018-01-14T16:40:17-0700',mode:absolute,to:'2018-01-14T19:20:07-0700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694</v>
      </c>
      <c r="B129" s="225">
        <v>4017</v>
      </c>
      <c r="C129" s="227" t="s">
        <v>191</v>
      </c>
      <c r="D129" s="227" t="s">
        <v>542</v>
      </c>
      <c r="E129" s="226">
        <v>43114.765034722222</v>
      </c>
      <c r="F129" s="226">
        <v>43114.779328703706</v>
      </c>
      <c r="G129" s="225">
        <v>64</v>
      </c>
      <c r="H129" s="227" t="s">
        <v>1013</v>
      </c>
      <c r="I129" s="226">
        <v>43114.805162037039</v>
      </c>
      <c r="J129" s="225">
        <v>0</v>
      </c>
      <c r="K129" s="237" t="str">
        <f>IF(ISEVEN(B129),(B129-1)&amp;"/"&amp;B129,B129&amp;"/"&amp;(B129+1))</f>
        <v>4017/4018</v>
      </c>
      <c r="L129" s="245" t="str">
        <f>VLOOKUP(A129,'Trips&amp;Operators'!$C$1:$G$99911,5,FALSE)</f>
        <v>PAGE MARCUS</v>
      </c>
      <c r="M129" s="224">
        <f>I129-F129</f>
        <v>2.5833333333139308E-2</v>
      </c>
      <c r="N129" s="225">
        <f>24*60*SUM($M129:$M129)</f>
        <v>37.199999999720603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-14T17:21:39-0700',mode:absolute,to:'2018-01-14T20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23.294599999999999</v>
      </c>
      <c r="Z129" s="247">
        <f>RIGHT(H129,LEN(H129)-4)/10000</f>
        <v>1.7600000000000001E-2</v>
      </c>
      <c r="AA129" s="247">
        <f>ABS(Z129-Y129)</f>
        <v>23.276999999999997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214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/stypes="app*4017*20180115*"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6"/>
        <v>"%USERPROFILE%\Documents\GitHub\eaglep3\Utilities\RefineRTDCRunTimes.py" --tripid 214-14 --locoid 4017 --swversion DE.1.0.9.0 --startMP 204:232946 --initTime 2018-01-14T18:21:39 --startdatetime 2018-01-14T18:42:14 --delay 64 --endMP 204:176 --enddatetime 2018-01-14T19:19:26 --enforcementcount 0 &gt;&gt;%USERPROFILE%\Documents\GitHub\eaglep3-reporting\EC\2018-01-14-refined-times.txt</v>
      </c>
      <c r="AI12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{"issue":{"subject":"","project_id":79,"tracker_id":40,"status_id":1,"priority_id":2,"assigned_to_id":338,"start_date":"2018-01-14","description":"","custom_fields":[{"id":1,"name":"Subdivision","value":"EC"},{"id":4,"name":"Milepost","value":"0.0176"},{"id":17,"name":"Train ID","value":"214-14"},{"id":16,"name":"Locomotive ID","value":"4017"},{"id":130,"name":"Impact","value":""},{"id":150,"name":"Time of Event (Mountain Time)","value":"19:19:26"},{"id":151,"name":"Denver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8"/>
        <v>start /low /b %USERPROFILE%\Documents\GitHub\eaglep3\Utilities\DownloadLogsFromS3.py --loco 4017 --day 2018-01-14</v>
      </c>
      <c r="AN129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20"/>
        <v>https://d0f6bd738d7f1b3e5a7ca70fe4ff75f0.us-east-1.aws.found.io/app/kibana#/discover/Steve-Slow-Train-Analysis-(2080s-and-2083s)?_g=(refreshInterval:(display:Off,pause:!f,section:0,value:0),time:(from:'2018-01-14T17:21:39-0700',mode:absolute,to:'2018-01-14T20:19:26-0700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853</v>
      </c>
      <c r="B130" s="225">
        <v>4016</v>
      </c>
      <c r="C130" s="227" t="s">
        <v>191</v>
      </c>
      <c r="D130" s="227" t="s">
        <v>635</v>
      </c>
      <c r="E130" s="226">
        <v>43114.745787037034</v>
      </c>
      <c r="F130" s="226">
        <v>43114.750543981485</v>
      </c>
      <c r="G130" s="225">
        <v>260</v>
      </c>
      <c r="H130" s="227" t="s">
        <v>547</v>
      </c>
      <c r="I130" s="226">
        <v>43114.775671296295</v>
      </c>
      <c r="J130" s="225">
        <v>0</v>
      </c>
      <c r="K130" s="237" t="str">
        <f>IF(ISEVEN(B130),(B130-1)&amp;"/"&amp;B130,B130&amp;"/"&amp;(B130+1))</f>
        <v>4015/4016</v>
      </c>
      <c r="L130" s="245" t="str">
        <f>VLOOKUP(A130,'Trips&amp;Operators'!$C$1:$G$99911,5,FALSE)</f>
        <v>ANDERS STEVEN</v>
      </c>
      <c r="M130" s="224">
        <f>I130-F130</f>
        <v>2.512731480965158E-2</v>
      </c>
      <c r="N130" s="225">
        <f>24*60*SUM($M130:$M130)</f>
        <v>36.183333325898275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-14T16:53:56-0700',mode:absolute,to:'2018-01-14T19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5.2900000000000003E-2</v>
      </c>
      <c r="Z130" s="247">
        <f>RIGHT(H130,LEN(H130)-4)/10000</f>
        <v>23.3264</v>
      </c>
      <c r="AA130" s="247">
        <f>ABS(Z130-Y130)</f>
        <v>23.273499999999999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215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s3://rtdc.mdm.uploadarchive.raw/RTDC4016/ "%USERPROFILE%\AppData\Local\Temp\OnboardLogs"\RTDC4016\2018-01-14 --exclude "*" --recursive --include "*20180114*" &amp; "%USERPROFILE%\Documents\GitHub\mrs-test-scripts\Headless Mode &amp; Sideloading\WalkAndUnGZ.bat" "%USERPROFILE%\AppData\Local\Temp\OnboardLogs"\RTDC4016\2018-01-14 &amp; aws s3 cp s3://rtdc.mdm.uploadarchive.raw/RTDC4016/ "%USERPROFILE%\AppData\Local\Temp\OnboardLogs"\RTDC4016\2018-01-15 --exclude "*" --recursive --include "*20180115*" &amp; "%USERPROFILE%\Documents\GitHub\mrs-test-scripts\Headless Mode &amp; Sideloading\WalkAndUnGZ.bat" "%USERPROFILE%\AppData\Local\Temp\OnboardLogs"\RTDC4016\2018-01-15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/stypes="app*4016*20180115*"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6"/>
        <v>"%USERPROFILE%\Documents\GitHub\eaglep3\Utilities\RefineRTDCRunTimes.py" --tripid 215-14 --locoid 4016 --swversion DE.1.0.9.0 --startMP 204:529 --initTime 2018-01-14T17:53:56 --startdatetime 2018-01-14T18:00:47 --delay 260 --endMP 204:233264 --enddatetime 2018-01-14T18:36:58 --enforcementcount 0 &gt;&gt;%USERPROFILE%\Documents\GitHub\eaglep3-reporting\EC\2018-01-14-refined-times.txt</v>
      </c>
      <c r="AI13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{"issue":{"subject":"","project_id":79,"tracker_id":40,"status_id":1,"priority_id":2,"assigned_to_id":338,"start_date":"2018-01-14","description":"","custom_fields":[{"id":1,"name":"Subdivision","value":"EC"},{"id":4,"name":"Milepost","value":"23.3264"},{"id":17,"name":"Train ID","value":"215-14"},{"id":16,"name":"Locomotive ID","value":"4016"},{"id":130,"name":"Impact","value":""},{"id":150,"name":"Time of Event (Mountain Time)","value":"18:36:58"},{"id":151,"name":"Denver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8"/>
        <v>start /low /b %USERPROFILE%\Documents\GitHub\eaglep3\Utilities\DownloadLogsFromS3.py --loco 4016 --day 2018-01-14</v>
      </c>
      <c r="AN130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20"/>
        <v>https://d0f6bd738d7f1b3e5a7ca70fe4ff75f0.us-east-1.aws.found.io/app/kibana#/discover/Steve-Slow-Train-Analysis-(2080s-and-2083s)?_g=(refreshInterval:(display:Off,pause:!f,section:0,value:0),time:(from:'2018-01-14T16:53:56-0700',mode:absolute,to:'2018-01-14T19:36:58-0700'))&amp;_a=(columns:!('Message%20ID',Summary),filters:!(),index:'emp_*',interval:auto,query:(query_string:(analyze_wildcard:!t,query:'%22rtdc.l.rtdc.4016%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864</v>
      </c>
      <c r="B131" s="225">
        <v>4015</v>
      </c>
      <c r="C131" s="227" t="s">
        <v>191</v>
      </c>
      <c r="D131" s="227" t="s">
        <v>650</v>
      </c>
      <c r="E131" s="226">
        <v>43114.788321759261</v>
      </c>
      <c r="F131" s="226">
        <v>43114.790011574078</v>
      </c>
      <c r="G131" s="225">
        <v>65</v>
      </c>
      <c r="H131" s="227" t="s">
        <v>530</v>
      </c>
      <c r="I131" s="226">
        <v>43114.816712962966</v>
      </c>
      <c r="J131" s="225">
        <v>0</v>
      </c>
      <c r="K131" s="237" t="str">
        <f>IF(ISEVEN(B131),(B131-1)&amp;"/"&amp;B131,B131&amp;"/"&amp;(B131+1))</f>
        <v>4015/4016</v>
      </c>
      <c r="L131" s="245" t="str">
        <f>VLOOKUP(A131,'Trips&amp;Operators'!$C$1:$G$99911,5,FALSE)</f>
        <v>ANDERS STEVEN</v>
      </c>
      <c r="M131" s="224">
        <f>I131-F131</f>
        <v>2.6701388887886424E-2</v>
      </c>
      <c r="N131" s="225">
        <f>24*60*SUM($M131:$M131)</f>
        <v>38.44999999855645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-14T17:55:11-0700',mode:absolute,to:'2018-01-14T20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23.295999999999999</v>
      </c>
      <c r="Z131" s="247">
        <f>RIGHT(H131,LEN(H131)-4)/10000</f>
        <v>2.4899999999999999E-2</v>
      </c>
      <c r="AA131" s="247">
        <f>ABS(Z131-Y131)</f>
        <v>23.271100000000001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216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/stypes="app*4015*20180115*"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6"/>
        <v>"%USERPROFILE%\Documents\GitHub\eaglep3\Utilities\RefineRTDCRunTimes.py" --tripid 216-14 --locoid 4015 --swversion DE.1.0.9.0 --startMP 204:232960 --initTime 2018-01-14T18:55:11 --startdatetime 2018-01-14T18:57:37 --delay 65 --endMP 204:249 --enddatetime 2018-01-14T19:36:04 --enforcementcount 0 &gt;&gt;%USERPROFILE%\Documents\GitHub\eaglep3-reporting\EC\2018-01-14-refined-times.txt</v>
      </c>
      <c r="AI13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{"issue":{"subject":"","project_id":79,"tracker_id":40,"status_id":1,"priority_id":2,"assigned_to_id":338,"start_date":"2018-01-14","description":"","custom_fields":[{"id":1,"name":"Subdivision","value":"EC"},{"id":4,"name":"Milepost","value":"0.0249"},{"id":17,"name":"Train ID","value":"216-14"},{"id":16,"name":"Locomotive ID","value":"4015"},{"id":130,"name":"Impact","value":""},{"id":150,"name":"Time of Event (Mountain Time)","value":"19:36:04"},{"id":151,"name":"Denver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8"/>
        <v>start /low /b %USERPROFILE%\Documents\GitHub\eaglep3\Utilities\DownloadLogsFromS3.py --loco 4015 --day 2018-01-14</v>
      </c>
      <c r="AN131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20"/>
        <v>https://d0f6bd738d7f1b3e5a7ca70fe4ff75f0.us-east-1.aws.found.io/app/kibana#/discover/Steve-Slow-Train-Analysis-(2080s-and-2083s)?_g=(refreshInterval:(display:Off,pause:!f,section:0,value:0),time:(from:'2018-01-14T17:55:11-0700',mode:absolute,to:'2018-01-14T20:36:04-0700'))&amp;_a=(columns:!('Message%20ID',Summary),filters:!(),index:'emp_*',interval:auto,query:(query_string:(analyze_wildcard:!t,query:'%22rtdc.l.rtdc.4015%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857</v>
      </c>
      <c r="B132" s="225">
        <v>4050</v>
      </c>
      <c r="C132" s="227" t="s">
        <v>191</v>
      </c>
      <c r="D132" s="227" t="s">
        <v>642</v>
      </c>
      <c r="E132" s="226">
        <v>43114.757164351853</v>
      </c>
      <c r="F132" s="226">
        <v>43114.760636574072</v>
      </c>
      <c r="G132" s="225">
        <v>142</v>
      </c>
      <c r="H132" s="227" t="s">
        <v>967</v>
      </c>
      <c r="I132" s="226">
        <v>43114.784814814811</v>
      </c>
      <c r="J132" s="225">
        <v>0</v>
      </c>
      <c r="K132" s="237" t="str">
        <f>IF(ISEVEN(B132),(B132-1)&amp;"/"&amp;B132,B132&amp;"/"&amp;(B132+1))</f>
        <v>4049/4050</v>
      </c>
      <c r="L132" s="245" t="str">
        <f>VLOOKUP(A132,'Trips&amp;Operators'!$C$1:$G$99911,5,FALSE)</f>
        <v>HAMMOND JUSTYNN</v>
      </c>
      <c r="M132" s="224">
        <f>I132-F132</f>
        <v>2.417824073927477E-2</v>
      </c>
      <c r="N132" s="225">
        <f>24*60*SUM($M132:$M132)</f>
        <v>34.816666664555669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-14T17:10:19-0700',mode:absolute,to:'2018-01-14T19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5.1299999999999998E-2</v>
      </c>
      <c r="Z132" s="247">
        <f>RIGHT(H132,LEN(H132)-4)/10000</f>
        <v>23.320499999999999</v>
      </c>
      <c r="AA132" s="247">
        <f>ABS(Z132-Y132)</f>
        <v>23.269199999999998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217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/stypes="app*4050*20180115*" /stext=" 01:.+((SYSTEM_STATE.+slice.+state.+changed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6"/>
        <v>"%USERPROFILE%\Documents\GitHub\eaglep3\Utilities\RefineRTDCRunTimes.py" --tripid 217-14 --locoid 4050 --swversion DE.1.0.9.0 --startMP 204:513 --initTime 2018-01-14T18:10:19 --startdatetime 2018-01-14T18:15:19 --delay 142 --endMP 204:233205 --enddatetime 2018-01-14T18:50:08 --enforcementcount 0 &gt;&gt;%USERPROFILE%\Documents\GitHub\eaglep3-reporting\EC\2018-01-14-refined-times.txt</v>
      </c>
      <c r="AI13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{"issue":{"subject":"","project_id":79,"tracker_id":40,"status_id":1,"priority_id":2,"assigned_to_id":338,"start_date":"2018-01-14","description":"","custom_fields":[{"id":1,"name":"Subdivision","value":"EC"},{"id":4,"name":"Milepost","value":"23.3205"},{"id":17,"name":"Train ID","value":"217-14"},{"id":16,"name":"Locomotive ID","value":"4050"},{"id":130,"name":"Impact","value":""},{"id":150,"name":"Time of Event (Mountain Time)","value":"18:50:08"},{"id":151,"name":"Denver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8"/>
        <v>start /low /b %USERPROFILE%\Documents\GitHub\eaglep3\Utilities\DownloadLogsFromS3.py --loco 4050 --day 2018-01-14</v>
      </c>
      <c r="AN132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20"/>
        <v>https://d0f6bd738d7f1b3e5a7ca70fe4ff75f0.us-east-1.aws.found.io/app/kibana#/discover/Steve-Slow-Train-Analysis-(2080s-and-2083s)?_g=(refreshInterval:(display:Off,pause:!f,section:0,value:0),time:(from:'2018-01-14T17:10:19-0700',mode:absolute,to:'2018-01-14T19:50:08-0700'))&amp;_a=(columns:!('Message%20ID',Summary),filters:!(),index:'emp_*',interval:auto,query:(query_string:(analyze_wildcard:!t,query:'%22rtdc.l.rtdc.4050%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866</v>
      </c>
      <c r="B133" s="225">
        <v>4049</v>
      </c>
      <c r="C133" s="227" t="s">
        <v>191</v>
      </c>
      <c r="D133" s="227" t="s">
        <v>915</v>
      </c>
      <c r="E133" s="226">
        <v>43114.79488425926</v>
      </c>
      <c r="F133" s="226">
        <v>43114.800219907411</v>
      </c>
      <c r="G133" s="225">
        <v>86</v>
      </c>
      <c r="H133" s="227" t="s">
        <v>450</v>
      </c>
      <c r="I133" s="226">
        <v>43114.82571759259</v>
      </c>
      <c r="J133" s="225">
        <v>0</v>
      </c>
      <c r="K133" s="237" t="str">
        <f>IF(ISEVEN(B133),(B133-1)&amp;"/"&amp;B133,B133&amp;"/"&amp;(B133+1))</f>
        <v>4049/4050</v>
      </c>
      <c r="L133" s="245" t="str">
        <f>VLOOKUP(A133,'Trips&amp;Operators'!$C$1:$G$99911,5,FALSE)</f>
        <v>HAMMOND JUSTYNN</v>
      </c>
      <c r="M133" s="224">
        <f>I133-F133</f>
        <v>2.5497685179288965E-2</v>
      </c>
      <c r="N133" s="225">
        <f>24*60*SUM($M133:$M133)</f>
        <v>36.716666658176109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-14T18:04:38-0700',mode:absolute,to:'2018-01-14T20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23.293600000000001</v>
      </c>
      <c r="Z133" s="247">
        <f>RIGHT(H133,LEN(H133)-4)/10000</f>
        <v>2.1100000000000001E-2</v>
      </c>
      <c r="AA133" s="247">
        <f>ABS(Z133-Y133)</f>
        <v>23.272500000000001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218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/stypes="app*4049*20180115*"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6"/>
        <v>"%USERPROFILE%\Documents\GitHub\eaglep3\Utilities\RefineRTDCRunTimes.py" --tripid 218-14 --locoid 4049 --swversion DE.1.0.9.0 --startMP 204:232936 --initTime 2018-01-14T19:04:38 --startdatetime 2018-01-14T19:12:19 --delay 86 --endMP 204:211 --enddatetime 2018-01-14T19:49:02 --enforcementcount 0 &gt;&gt;%USERPROFILE%\Documents\GitHub\eaglep3-reporting\EC\2018-01-14-refined-times.txt</v>
      </c>
      <c r="AI133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{"issue":{"subject":"","project_id":79,"tracker_id":40,"status_id":1,"priority_id":2,"assigned_to_id":338,"start_date":"2018-01-14","description":"","custom_fields":[{"id":1,"name":"Subdivision","value":"EC"},{"id":4,"name":"Milepost","value":"0.0211"},{"id":17,"name":"Train ID","value":"218-14"},{"id":16,"name":"Locomotive ID","value":"4049"},{"id":130,"name":"Impact","value":""},{"id":150,"name":"Time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8"/>
        <v>start /low /b %USERPROFILE%\Documents\GitHub\eaglep3\Utilities\DownloadLogsFromS3.py --loco 4049 --day 2018-01-14</v>
      </c>
      <c r="AN133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20"/>
        <v>https://d0f6bd738d7f1b3e5a7ca70fe4ff75f0.us-east-1.aws.found.io/app/kibana#/discover/Steve-Slow-Train-Analysis-(2080s-and-2083s)?_g=(refreshInterval:(display:Off,pause:!f,section:0,value:0),time:(from:'2018-01-14T18:04:38-0700',mode:absolute,to:'2018-01-14T20:49:02-0700'))&amp;_a=(columns:!('Message%20ID',Summary),filters:!(),index:'emp_*',interval:auto,query:(query_string:(analyze_wildcard:!t,query:'%22rtdc.l.rtdc.4049%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862</v>
      </c>
      <c r="B134" s="225">
        <v>4022</v>
      </c>
      <c r="C134" s="227" t="s">
        <v>191</v>
      </c>
      <c r="D134" s="227" t="s">
        <v>1020</v>
      </c>
      <c r="E134" s="226">
        <v>43114.766851851855</v>
      </c>
      <c r="F134" s="226">
        <v>43114.771006944444</v>
      </c>
      <c r="G134" s="225">
        <v>74</v>
      </c>
      <c r="H134" s="227" t="s">
        <v>538</v>
      </c>
      <c r="I134" s="226">
        <v>43114.79582175926</v>
      </c>
      <c r="J134" s="225">
        <v>0</v>
      </c>
      <c r="K134" s="237" t="str">
        <f>IF(ISEVEN(B134),(B134-1)&amp;"/"&amp;B134,B134&amp;"/"&amp;(B134+1))</f>
        <v>4021/4022</v>
      </c>
      <c r="L134" s="245" t="str">
        <f>VLOOKUP(A134,'Trips&amp;Operators'!$C$1:$G$99911,5,FALSE)</f>
        <v>GUNTHIER ERIC</v>
      </c>
      <c r="M134" s="224">
        <f>I134-F134</f>
        <v>2.4814814816636499E-2</v>
      </c>
      <c r="N134" s="225">
        <f>24*60*SUM($M134:$M134)</f>
        <v>35.733333335956559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-14T17:24:16-0700',mode:absolute,to:'2018-01-14T20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4.9700000000000001E-2</v>
      </c>
      <c r="Z134" s="247">
        <f>RIGHT(H134,LEN(H134)-4)/10000</f>
        <v>23.327000000000002</v>
      </c>
      <c r="AA134" s="247">
        <f>ABS(Z134-Y134)</f>
        <v>23.2773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219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/stypes="app*4022*20180115*"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6"/>
        <v>"%USERPROFILE%\Documents\GitHub\eaglep3\Utilities\RefineRTDCRunTimes.py" --tripid 219-14 --locoid 4022 --swversion DE.1.0.9.0 --startMP 204:497 --initTime 2018-01-14T18:24:16 --startdatetime 2018-01-14T18:30:15 --delay 74 --endMP 204:233270 --enddatetime 2018-01-14T19:05:59 --enforcementcount 0 &gt;&gt;%USERPROFILE%\Documents\GitHub\eaglep3-reporting\EC\2018-01-14-refined-times.txt</v>
      </c>
      <c r="AI13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{"issue":{"subject":"","project_id":79,"tracker_id":40,"status_id":1,"priority_id":2,"assigned_to_id":338,"start_date":"2018-01-14","description":"","custom_fields":[{"id":1,"name":"Subdivision","value":"EC"},{"id":4,"name":"Milepost","value":"23.327"},{"id":17,"name":"Train ID","value":"219-14"},{"id":16,"name":"Locomotive ID","value":"4022"},{"id":130,"name":"Impact","value":""},{"id":150,"name":"Time of Event (Mountain Time)","value":"19:05:59"},{"id":151,"name":"Denver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8"/>
        <v>start /low /b %USERPROFILE%\Documents\GitHub\eaglep3\Utilities\DownloadLogsFromS3.py --loco 4022 --day 2018-01-14</v>
      </c>
      <c r="AN134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20"/>
        <v>https://d0f6bd738d7f1b3e5a7ca70fe4ff75f0.us-east-1.aws.found.io/app/kibana#/discover/Steve-Slow-Train-Analysis-(2080s-and-2083s)?_g=(refreshInterval:(display:Off,pause:!f,section:0,value:0),time:(from:'2018-01-14T17:24:16-0700',mode:absolute,to:'2018-01-14T20:05:59-0700'))&amp;_a=(columns:!('Message%20ID',Summary),filters:!(),index:'emp_*',interval:auto,query:(query_string:(analyze_wildcard:!t,query:'%22rtdc.l.rtdc.4022%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868</v>
      </c>
      <c r="B135" s="225">
        <v>4021</v>
      </c>
      <c r="C135" s="227" t="s">
        <v>191</v>
      </c>
      <c r="D135" s="227" t="s">
        <v>1021</v>
      </c>
      <c r="E135" s="226">
        <v>43114.797430555554</v>
      </c>
      <c r="F135" s="226">
        <v>43114.810590277775</v>
      </c>
      <c r="G135" s="225">
        <v>602</v>
      </c>
      <c r="H135" s="227" t="s">
        <v>1022</v>
      </c>
      <c r="I135" s="226">
        <v>43114.836770833332</v>
      </c>
      <c r="J135" s="225">
        <v>0</v>
      </c>
      <c r="K135" s="237" t="str">
        <f>IF(ISEVEN(B135),(B135-1)&amp;"/"&amp;B135,B135&amp;"/"&amp;(B135+1))</f>
        <v>4021/4022</v>
      </c>
      <c r="L135" s="245" t="str">
        <f>VLOOKUP(A135,'Trips&amp;Operators'!$C$1:$G$99911,5,FALSE)</f>
        <v>GUNTHIER ERIC</v>
      </c>
      <c r="M135" s="224">
        <f>I135-F135</f>
        <v>2.6180555556493346E-2</v>
      </c>
      <c r="N135" s="225">
        <f>24*60*SUM($M135:$M135)</f>
        <v>37.700000001350418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-14T18:08:18-0700',mode:absolute,to:'2018-01-14T21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23.296199999999999</v>
      </c>
      <c r="Z135" s="247">
        <f>RIGHT(H135,LEN(H135)-4)/10000</f>
        <v>2.6499999999999999E-2</v>
      </c>
      <c r="AA135" s="247">
        <f>ABS(Z135-Y135)</f>
        <v>23.2697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220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/stypes="app*4021*20180115*"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6"/>
        <v>"%USERPROFILE%\Documents\GitHub\eaglep3\Utilities\RefineRTDCRunTimes.py" --tripid 220-14 --locoid 4021 --swversion DE.1.0.9.0 --startMP 204:232962 --initTime 2018-01-14T19:08:18 --startdatetime 2018-01-14T19:27:15 --delay 602 --endMP 204:265 --enddatetime 2018-01-14T20:04:57 --enforcementcount 0 &gt;&gt;%USERPROFILE%\Documents\GitHub\eaglep3-reporting\EC\2018-01-14-refined-times.txt</v>
      </c>
      <c r="AI13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{"issue":{"subject":"","project_id":79,"tracker_id":40,"status_id":1,"priority_id":2,"assigned_to_id":338,"start_date":"2018-01-14","description":"","custom_fields":[{"id":1,"name":"Subdivision","value":"EC"},{"id":4,"name":"Milepost","value":"0.0265"},{"id":17,"name":"Train ID","value":"220-14"},{"id":16,"name":"Locomotive ID","value":"4021"},{"id":130,"name":"Impact","value":""},{"id":150,"name":"Time of Event (Mountain Time)","value":"20:04:57"},{"id":151,"name":"Denver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8"/>
        <v>start /low /b %USERPROFILE%\Documents\GitHub\eaglep3\Utilities\DownloadLogsFromS3.py --loco 4021 --day 2018-01-14</v>
      </c>
      <c r="AN135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20"/>
        <v>https://d0f6bd738d7f1b3e5a7ca70fe4ff75f0.us-east-1.aws.found.io/app/kibana#/discover/Steve-Slow-Train-Analysis-(2080s-and-2083s)?_g=(refreshInterval:(display:Off,pause:!f,section:0,value:0),time:(from:'2018-01-14T18:08:18-0700',mode:absolute,to:'2018-01-14T21:04:57-0700'))&amp;_a=(columns:!('Message%20ID',Summary),filters:!(),index:'emp_*',interval:auto,query:(query_string:(analyze_wildcard:!t,query:'%22rtdc.l.rtdc.4021%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693</v>
      </c>
      <c r="B136" s="225">
        <v>4028</v>
      </c>
      <c r="C136" s="227" t="s">
        <v>191</v>
      </c>
      <c r="D136" s="227" t="s">
        <v>482</v>
      </c>
      <c r="E136" s="226">
        <v>43114.786296296297</v>
      </c>
      <c r="F136" s="226">
        <v>43114.791851851849</v>
      </c>
      <c r="G136" s="225">
        <v>55</v>
      </c>
      <c r="H136" s="227" t="s">
        <v>1023</v>
      </c>
      <c r="I136" s="226">
        <v>43114.816469907404</v>
      </c>
      <c r="J136" s="225">
        <v>0</v>
      </c>
      <c r="K136" s="237" t="str">
        <f>IF(ISEVEN(B136),(B136-1)&amp;"/"&amp;B136,B136&amp;"/"&amp;(B136+1))</f>
        <v>4027/4028</v>
      </c>
      <c r="L136" s="245" t="str">
        <f>VLOOKUP(A136,'Trips&amp;Operators'!$C$1:$G$99911,5,FALSE)</f>
        <v>MAGEE KENYA</v>
      </c>
      <c r="M136" s="224">
        <f>I136-F136</f>
        <v>2.4618055555038154E-2</v>
      </c>
      <c r="N136" s="225">
        <f>24*60*SUM($M136:$M136)</f>
        <v>35.449999999254942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-14T17:52:16-0700',mode:absolute,to:'2018-01-14T20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5.0599999999999999E-2</v>
      </c>
      <c r="Z136" s="247">
        <f>RIGHT(H136,LEN(H136)-4)/10000</f>
        <v>23.338000000000001</v>
      </c>
      <c r="AA136" s="247">
        <f>ABS(Z136-Y136)</f>
        <v>23.287400000000002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221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/stypes="app*4028*20180115*" /stext=" 02:.+((SYSTEM_STATE.+slice.+state.+changed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6"/>
        <v>"%USERPROFILE%\Documents\GitHub\eaglep3\Utilities\RefineRTDCRunTimes.py" --tripid 221-14 --locoid 4028 --swversion DE.1.0.9.0 --startMP 204:506 --initTime 2018-01-14T18:52:16 --startdatetime 2018-01-14T19:00:16 --delay 55 --endMP 204:233380 --enddatetime 2018-01-14T19:35:43 --enforcementcount 0 &gt;&gt;%USERPROFILE%\Documents\GitHub\eaglep3-reporting\EC\2018-01-14-refined-times.txt</v>
      </c>
      <c r="AI13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{"issue":{"subject":"","project_id":79,"tracker_id":40,"status_id":1,"priority_id":2,"assigned_to_id":338,"start_date":"2018-01-14","description":"","custom_fields":[{"id":1,"name":"Subdivision","value":"EC"},{"id":4,"name":"Milepost","value":"23.338"},{"id":17,"name":"Train ID","value":"221-14"},{"id":16,"name":"Locomotive ID","value":"4028"},{"id":130,"name":"Impact","value":""},{"id":150,"name":"Time of Event (Mountain Time)","value":"19:35:43"},{"id":151,"name":"Denver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8"/>
        <v>start /low /b %USERPROFILE%\Documents\GitHub\eaglep3\Utilities\DownloadLogsFromS3.py --loco 4028 --day 2018-01-14</v>
      </c>
      <c r="AN136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20"/>
        <v>https://d0f6bd738d7f1b3e5a7ca70fe4ff75f0.us-east-1.aws.found.io/app/kibana#/discover/Steve-Slow-Train-Analysis-(2080s-and-2083s)?_g=(refreshInterval:(display:Off,pause:!f,section:0,value:0),time:(from:'2018-01-14T17:52:16-0700',mode:absolute,to:'2018-01-14T20:35:43-0700'))&amp;_a=(columns:!('Message%20ID',Summary),filters:!(),index:'emp_*',interval:auto,query:(query_string:(analyze_wildcard:!t,query:'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872</v>
      </c>
      <c r="B137" s="225">
        <v>4027</v>
      </c>
      <c r="C137" s="227" t="s">
        <v>191</v>
      </c>
      <c r="D137" s="227" t="s">
        <v>1024</v>
      </c>
      <c r="E137" s="226">
        <v>43114.824189814812</v>
      </c>
      <c r="F137" s="226">
        <v>43114.831712962965</v>
      </c>
      <c r="G137" s="225">
        <v>82</v>
      </c>
      <c r="H137" s="227" t="s">
        <v>501</v>
      </c>
      <c r="I137" s="226">
        <v>43114.857523148145</v>
      </c>
      <c r="J137" s="225">
        <v>0</v>
      </c>
      <c r="K137" s="237" t="str">
        <f>IF(ISEVEN(B137),(B137-1)&amp;"/"&amp;B137,B137&amp;"/"&amp;(B137+1))</f>
        <v>4027/4028</v>
      </c>
      <c r="L137" s="245" t="str">
        <f>VLOOKUP(A137,'Trips&amp;Operators'!$C$1:$G$99911,5,FALSE)</f>
        <v>MAGEE KENYA</v>
      </c>
      <c r="M137" s="224">
        <f>I137-F137</f>
        <v>2.5810185179580003E-2</v>
      </c>
      <c r="N137" s="225">
        <f>24*60*SUM($M137:$M137)</f>
        <v>37.166666658595204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-14T18:46:50-0700',mode:absolute,to:'2018-01-14T21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23.303999999999998</v>
      </c>
      <c r="Z137" s="247">
        <f>RIGHT(H137,LEN(H137)-4)/10000</f>
        <v>2.3199999999999998E-2</v>
      </c>
      <c r="AA137" s="247">
        <f>ABS(Z137-Y137)</f>
        <v>23.280799999999999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222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/stypes="app*4027*20180115*"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6"/>
        <v>"%USERPROFILE%\Documents\GitHub\eaglep3\Utilities\RefineRTDCRunTimes.py" --tripid 222-14 --locoid 4027 --swversion DE.1.0.9.0 --startMP 204:233040 --initTime 2018-01-14T19:46:50 --startdatetime 2018-01-14T19:57:40 --delay 82 --endMP 204:232 --enddatetime 2018-01-14T20:34:50 --enforcementcount 0 &gt;&gt;%USERPROFILE%\Documents\GitHub\eaglep3-reporting\EC\2018-01-14-refined-times.txt</v>
      </c>
      <c r="AI13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{"issue":{"subject":"","project_id":79,"tracker_id":40,"status_id":1,"priority_id":2,"assigned_to_id":338,"start_date":"2018-01-14","description":"","custom_fields":[{"id":1,"name":"Subdivision","value":"EC"},{"id":4,"name":"Milepost","value":"0.0232"},{"id":17,"name":"Train ID","value":"222-14"},{"id":16,"name":"Locomotive ID","value":"4027"},{"id":130,"name":"Impact","value":""},{"id":150,"name":"Time of Event (Mountain Time)","value":"20:34:50"},{"id":151,"name":"Denver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8"/>
        <v>start /low /b %USERPROFILE%\Documents\GitHub\eaglep3\Utilities\DownloadLogsFromS3.py --loco 4027 --day 2018-01-14</v>
      </c>
      <c r="AN137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20"/>
        <v>https://d0f6bd738d7f1b3e5a7ca70fe4ff75f0.us-east-1.aws.found.io/app/kibana#/discover/Steve-Slow-Train-Analysis-(2080s-and-2083s)?_g=(refreshInterval:(display:Off,pause:!f,section:0,value:0),time:(from:'2018-01-14T18:46:50-0700',mode:absolute,to:'2018-01-14T21:34:50-0700'))&amp;_a=(columns:!('Message%20ID',Summary),filters:!(),index:'emp_*',interval:auto,query:(query_string:(analyze_wildcard:!t,query:'%22rtdc.l.rtdc.4027%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869</v>
      </c>
      <c r="B138" s="225">
        <v>4018</v>
      </c>
      <c r="C138" s="227" t="s">
        <v>191</v>
      </c>
      <c r="D138" s="227" t="s">
        <v>439</v>
      </c>
      <c r="E138" s="226">
        <v>43114.806863425925</v>
      </c>
      <c r="F138" s="226">
        <v>43114.812662037039</v>
      </c>
      <c r="G138" s="225">
        <v>65</v>
      </c>
      <c r="H138" s="227" t="s">
        <v>631</v>
      </c>
      <c r="I138" s="226">
        <v>43114.836759259262</v>
      </c>
      <c r="J138" s="225">
        <v>0</v>
      </c>
      <c r="K138" s="237" t="str">
        <f>IF(ISEVEN(B138),(B138-1)&amp;"/"&amp;B138,B138&amp;"/"&amp;(B138+1))</f>
        <v>4017/4018</v>
      </c>
      <c r="L138" s="245" t="str">
        <f>VLOOKUP(A138,'Trips&amp;Operators'!$C$1:$G$99911,5,FALSE)</f>
        <v>PAGE MARCUS</v>
      </c>
      <c r="M138" s="224">
        <f>I138-F138</f>
        <v>2.4097222223645076E-2</v>
      </c>
      <c r="N138" s="225">
        <f>24*60*SUM($M138:$M138)</f>
        <v>34.70000000204891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-14T18:21:53-0700',mode:absolute,to:'2018-01-14T21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5.1700000000000003E-2</v>
      </c>
      <c r="Z138" s="247">
        <f>RIGHT(H138,LEN(H138)-4)/10000</f>
        <v>23.332899999999999</v>
      </c>
      <c r="AA138" s="247">
        <f>ABS(Z138-Y138)</f>
        <v>23.281199999999998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223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/stypes="app*4018*20180115*"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6"/>
        <v>"%USERPROFILE%\Documents\GitHub\eaglep3\Utilities\RefineRTDCRunTimes.py" --tripid 223-14 --locoid 4018 --swversion DE.1.0.9.0 --startMP 204:517 --initTime 2018-01-14T19:21:53 --startdatetime 2018-01-14T19:30:14 --delay 65 --endMP 204:233329 --enddatetime 2018-01-14T20:04:56 --enforcementcount 0 &gt;&gt;%USERPROFILE%\Documents\GitHub\eaglep3-reporting\EC\2018-01-14-refined-times.txt</v>
      </c>
      <c r="AI13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{"issue":{"subject":"","project_id":79,"tracker_id":40,"status_id":1,"priority_id":2,"assigned_to_id":338,"start_date":"2018-01-14","description":"","custom_fields":[{"id":1,"name":"Subdivision","value":"EC"},{"id":4,"name":"Milepost","value":"23.3329"},{"id":17,"name":"Train ID","value":"223-14"},{"id":16,"name":"Locomotive ID","value":"4018"},{"id":130,"name":"Impact","value":""},{"id":150,"name":"Time of Event (Mountain Time)","value":"20:04:56"},{"id":151,"name":"Denver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8"/>
        <v>start /low /b %USERPROFILE%\Documents\GitHub\eaglep3\Utilities\DownloadLogsFromS3.py --loco 4018 --day 2018-01-14</v>
      </c>
      <c r="AN138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20"/>
        <v>https://d0f6bd738d7f1b3e5a7ca70fe4ff75f0.us-east-1.aws.found.io/app/kibana#/discover/Steve-Slow-Train-Analysis-(2080s-and-2083s)?_g=(refreshInterval:(display:Off,pause:!f,section:0,value:0),time:(from:'2018-01-14T18:21:53-0700',mode:absolute,to:'2018-01-14T21:04:56-0700'))&amp;_a=(columns:!('Message%20ID',Summary),filters:!(),index:'emp_*',interval:auto,query:(query_string:(analyze_wildcard:!t,query:'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874</v>
      </c>
      <c r="B139" s="225">
        <v>4017</v>
      </c>
      <c r="C139" s="227" t="s">
        <v>191</v>
      </c>
      <c r="D139" s="227" t="s">
        <v>1025</v>
      </c>
      <c r="E139" s="226">
        <v>43114.838055555556</v>
      </c>
      <c r="F139" s="226">
        <v>43114.85224537037</v>
      </c>
      <c r="G139" s="225">
        <v>52</v>
      </c>
      <c r="H139" s="227" t="s">
        <v>665</v>
      </c>
      <c r="I139" s="226">
        <v>43114.877488425926</v>
      </c>
      <c r="J139" s="225">
        <v>0</v>
      </c>
      <c r="K139" s="237" t="str">
        <f>IF(ISEVEN(B139),(B139-1)&amp;"/"&amp;B139,B139&amp;"/"&amp;(B139+1))</f>
        <v>4017/4018</v>
      </c>
      <c r="L139" s="245" t="str">
        <f>VLOOKUP(A139,'Trips&amp;Operators'!$C$1:$G$99911,5,FALSE)</f>
        <v>PAGE MARCUS</v>
      </c>
      <c r="M139" s="224">
        <f>I139-F139</f>
        <v>2.5243055555620231E-2</v>
      </c>
      <c r="N139" s="225">
        <f>24*60*SUM($M139:$M139)</f>
        <v>36.350000000093132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-14T19:06:48-0700',mode:absolute,to:'2018-01-14T22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23.301100000000002</v>
      </c>
      <c r="Z139" s="247">
        <f>RIGHT(H139,LEN(H139)-4)/10000</f>
        <v>1.83E-2</v>
      </c>
      <c r="AA139" s="247">
        <f>ABS(Z139-Y139)</f>
        <v>23.282800000000002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224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/stypes="app*4017*20180115*"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6"/>
        <v>"%USERPROFILE%\Documents\GitHub\eaglep3\Utilities\RefineRTDCRunTimes.py" --tripid 224-14 --locoid 4017 --swversion DE.1.0.9.0 --startMP 204:233011 --initTime 2018-01-14T20:06:48 --startdatetime 2018-01-14T20:27:14 --delay 52 --endMP 204:183 --enddatetime 2018-01-14T21:03:35 --enforcementcount 0 &gt;&gt;%USERPROFILE%\Documents\GitHub\eaglep3-reporting\EC\2018-01-14-refined-times.txt</v>
      </c>
      <c r="AI139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{"issue":{"subject":"","project_id":79,"tracker_id":40,"status_id":1,"priority_id":2,"assigned_to_id":338,"start_date":"2018-01-14","description":"","custom_fields":[{"id":1,"name":"Subdivision","value":"EC"},{"id":4,"name":"Milepost","value":"0.0183"},{"id":17,"name":"Train ID","value":"224-14"},{"id":16,"name":"Locomotive ID","value":"4017"},{"id":130,"name":"Impact","value":""},{"id":150,"name":"Time of Event (Mountain Time)","value":"21:03:35"},{"id":151,"name":"Denver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8"/>
        <v>start /low /b %USERPROFILE%\Documents\GitHub\eaglep3\Utilities\DownloadLogsFromS3.py --loco 4017 --day 2018-01-14</v>
      </c>
      <c r="AN139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20"/>
        <v>https://d0f6bd738d7f1b3e5a7ca70fe4ff75f0.us-east-1.aws.found.io/app/kibana#/discover/Steve-Slow-Train-Analysis-(2080s-and-2083s)?_g=(refreshInterval:(display:Off,pause:!f,section:0,value:0),time:(from:'2018-01-14T19:06:48-0700',mode:absolute,to:'2018-01-14T22:03:35-0700'))&amp;_a=(columns:!('Message%20ID',Summary),filters:!(),index:'emp_*',interval:auto,query:(query_string:(analyze_wildcard:!t,query:'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873</v>
      </c>
      <c r="B140" s="225">
        <v>4050</v>
      </c>
      <c r="C140" s="227" t="s">
        <v>191</v>
      </c>
      <c r="D140" s="227" t="s">
        <v>448</v>
      </c>
      <c r="E140" s="226">
        <v>43114.83</v>
      </c>
      <c r="F140" s="226">
        <v>43114.833553240744</v>
      </c>
      <c r="G140" s="225">
        <v>54</v>
      </c>
      <c r="H140" s="227" t="s">
        <v>1026</v>
      </c>
      <c r="I140" s="226">
        <v>43114.857465277775</v>
      </c>
      <c r="J140" s="225">
        <v>0</v>
      </c>
      <c r="K140" s="237" t="str">
        <f>IF(ISEVEN(B140),(B140-1)&amp;"/"&amp;B140,B140&amp;"/"&amp;(B140+1))</f>
        <v>4049/4050</v>
      </c>
      <c r="L140" s="245" t="str">
        <f>VLOOKUP(A140,'Trips&amp;Operators'!$C$1:$G$99911,5,FALSE)</f>
        <v>HAMMOND JUSTYNN</v>
      </c>
      <c r="M140" s="224">
        <f>I140-F140</f>
        <v>2.3912037031550426E-2</v>
      </c>
      <c r="N140" s="225">
        <f>24*60*SUM($M140:$M140)</f>
        <v>34.433333325432613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-14T18:55:12-0700',mode:absolute,to:'2018-01-14T21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5.1499999999999997E-2</v>
      </c>
      <c r="Z140" s="247">
        <f>RIGHT(H140,LEN(H140)-4)/10000</f>
        <v>23.3276</v>
      </c>
      <c r="AA140" s="247">
        <f>ABS(Z140-Y140)</f>
        <v>23.2761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225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/stypes="app*4050*20180115*"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6"/>
        <v>"%USERPROFILE%\Documents\GitHub\eaglep3\Utilities\RefineRTDCRunTimes.py" --tripid 225-14 --locoid 4050 --swversion DE.1.0.9.0 --startMP 204:515 --initTime 2018-01-14T19:55:12 --startdatetime 2018-01-14T20:00:19 --delay 54 --endMP 204:233276 --enddatetime 2018-01-14T20:34:45 --enforcementcount 0 &gt;&gt;%USERPROFILE%\Documents\GitHub\eaglep3-reporting\EC\2018-01-14-refined-times.txt</v>
      </c>
      <c r="AI140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{"issue":{"subject":"","project_id":79,"tracker_id":40,"status_id":1,"priority_id":2,"assigned_to_id":338,"start_date":"2018-01-14","description":"","custom_fields":[{"id":1,"name":"Subdivision","value":"EC"},{"id":4,"name":"Milepost","value":"23.3276"},{"id":17,"name":"Train ID","value":"225-14"},{"id":16,"name":"Locomotive ID","value":"4050"},{"id":130,"name":"Impact","value":""},{"id":150,"name":"Time of Event (Mountain Time)","value":"20:34:45"},{"id":151,"name":"Denver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8"/>
        <v>start /low /b %USERPROFILE%\Documents\GitHub\eaglep3\Utilities\DownloadLogsFromS3.py --loco 4050 --day 2018-01-14</v>
      </c>
      <c r="AN140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20"/>
        <v>https://d0f6bd738d7f1b3e5a7ca70fe4ff75f0.us-east-1.aws.found.io/app/kibana#/discover/Steve-Slow-Train-Analysis-(2080s-and-2083s)?_g=(refreshInterval:(display:Off,pause:!f,section:0,value:0),time:(from:'2018-01-14T18:55:12-0700',mode:absolute,to:'2018-01-14T21:34:45-0700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877</v>
      </c>
      <c r="B141" s="225">
        <v>4049</v>
      </c>
      <c r="C141" s="227" t="s">
        <v>191</v>
      </c>
      <c r="D141" s="227" t="s">
        <v>454</v>
      </c>
      <c r="E141" s="226">
        <v>43114.866006944445</v>
      </c>
      <c r="F141" s="226">
        <v>43114.873113425929</v>
      </c>
      <c r="G141" s="225">
        <v>76</v>
      </c>
      <c r="H141" s="227" t="s">
        <v>443</v>
      </c>
      <c r="I141" s="226">
        <v>43114.898344907408</v>
      </c>
      <c r="J141" s="225">
        <v>0</v>
      </c>
      <c r="K141" s="237" t="str">
        <f>IF(ISEVEN(B141),(B141-1)&amp;"/"&amp;B141,B141&amp;"/"&amp;(B141+1))</f>
        <v>4049/4050</v>
      </c>
      <c r="L141" s="245" t="str">
        <f>VLOOKUP(A141,'Trips&amp;Operators'!$C$1:$G$99911,5,FALSE)</f>
        <v>HAMMOND JUSTYNN</v>
      </c>
      <c r="M141" s="224">
        <f>I141-F141</f>
        <v>2.5231481478840578E-2</v>
      </c>
      <c r="N141" s="225">
        <f>24*60*SUM($M141:$M141)</f>
        <v>36.333333329530433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-14T19:47:03-0700',mode:absolute,to:'2018-01-14T22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23.2942</v>
      </c>
      <c r="Z141" s="247">
        <f>RIGHT(H141,LEN(H141)-4)/10000</f>
        <v>2.1399999999999999E-2</v>
      </c>
      <c r="AA141" s="247">
        <f>ABS(Z141-Y141)</f>
        <v>23.2728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226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/stypes="app*4049*20180115*"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6"/>
        <v>"%USERPROFILE%\Documents\GitHub\eaglep3\Utilities\RefineRTDCRunTimes.py" --tripid 226-14 --locoid 4049 --swversion DE.1.0.9.0 --startMP 204:232942 --initTime 2018-01-14T20:47:03 --startdatetime 2018-01-14T20:57:17 --delay 76 --endMP 204:214 --enddatetime 2018-01-14T21:33:37 --enforcementcount 0 &gt;&gt;%USERPROFILE%\Documents\GitHub\eaglep3-reporting\EC\2018-01-14-refined-times.txt</v>
      </c>
      <c r="AI141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{"issue":{"subject":"","project_id":79,"tracker_id":40,"status_id":1,"priority_id":2,"assigned_to_id":338,"start_date":"2018-01-14","description":"","custom_fields":[{"id":1,"name":"Subdivision","value":"EC"},{"id":4,"name":"Milepost","value":"0.0214"},{"id":17,"name":"Train ID","value":"226-14"},{"id":16,"name":"Locomotive ID","value":"4049"},{"id":130,"name":"Impact","value":""},{"id":150,"name":"Time of Event (Mountain Time)","value":"21:33:37"},{"id":151,"name":"Denver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8"/>
        <v>start /low /b %USERPROFILE%\Documents\GitHub\eaglep3\Utilities\DownloadLogsFromS3.py --loco 4049 --day 2018-01-14</v>
      </c>
      <c r="AN141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0"/>
        <v>https://d0f6bd738d7f1b3e5a7ca70fe4ff75f0.us-east-1.aws.found.io/app/kibana#/discover/Steve-Slow-Train-Analysis-(2080s-and-2083s)?_g=(refreshInterval:(display:Off,pause:!f,section:0,value:0),time:(from:'2018-01-14T19:47:03-0700',mode:absolute,to:'2018-01-14T22:33:37-0700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875</v>
      </c>
      <c r="B142" s="225">
        <v>4022</v>
      </c>
      <c r="C142" s="227" t="s">
        <v>191</v>
      </c>
      <c r="D142" s="227" t="s">
        <v>1027</v>
      </c>
      <c r="E142" s="226">
        <v>43114.838090277779</v>
      </c>
      <c r="F142" s="226">
        <v>43114.854386574072</v>
      </c>
      <c r="G142" s="225">
        <v>716</v>
      </c>
      <c r="H142" s="227" t="s">
        <v>626</v>
      </c>
      <c r="I142" s="226">
        <v>43114.879074074073</v>
      </c>
      <c r="J142" s="225">
        <v>0</v>
      </c>
      <c r="K142" s="237" t="str">
        <f>IF(ISEVEN(B142),(B142-1)&amp;"/"&amp;B142,B142&amp;"/"&amp;(B142+1))</f>
        <v>4021/4022</v>
      </c>
      <c r="L142" s="245" t="str">
        <f>VLOOKUP(A142,'Trips&amp;Operators'!$C$1:$G$99911,5,FALSE)</f>
        <v>GUNTHIER ERIC</v>
      </c>
      <c r="M142" s="224">
        <f>I142-F142</f>
        <v>2.4687500001164153E-2</v>
      </c>
      <c r="N142" s="225">
        <f>24*60*SUM($M142:$M142)</f>
        <v>35.550000001676381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-14T19:06:51-0700',mode:absolute,to:'2018-01-14T22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5.62E-2</v>
      </c>
      <c r="Z142" s="247">
        <f>RIGHT(H142,LEN(H142)-4)/10000</f>
        <v>23.328700000000001</v>
      </c>
      <c r="AA142" s="247">
        <f>ABS(Z142-Y142)</f>
        <v>23.272500000000001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227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/stypes="app*4022*20180115*"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6"/>
        <v>"%USERPROFILE%\Documents\GitHub\eaglep3\Utilities\RefineRTDCRunTimes.py" --tripid 227-14 --locoid 4022 --swversion DE.1.0.9.0 --startMP 204:562 --initTime 2018-01-14T20:06:51 --startdatetime 2018-01-14T20:30:19 --delay 716 --endMP 204:233287 --enddatetime 2018-01-14T21:05:52 --enforcementcount 0 &gt;&gt;%USERPROFILE%\Documents\GitHub\eaglep3-reporting\EC\2018-01-14-refined-times.txt</v>
      </c>
      <c r="AI142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{"issue":{"subject":"","project_id":79,"tracker_id":40,"status_id":1,"priority_id":2,"assigned_to_id":338,"start_date":"2018-01-14","description":"","custom_fields":[{"id":1,"name":"Subdivision","value":"EC"},{"id":4,"name":"Milepost","value":"23.3287"},{"id":17,"name":"Train ID","value":"227-14"},{"id":16,"name":"Locomotive ID","value":"4022"},{"id":130,"name":"Impact","value":""},{"id":150,"name":"Time of Event (Mountain Time)","value":"21:05:52"},{"id":151,"name":"Denver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8"/>
        <v>start /low /b %USERPROFILE%\Documents\GitHub\eaglep3\Utilities\DownloadLogsFromS3.py --loco 4022 --day 2018-01-14</v>
      </c>
      <c r="AN142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0"/>
        <v>https://d0f6bd738d7f1b3e5a7ca70fe4ff75f0.us-east-1.aws.found.io/app/kibana#/discover/Steve-Slow-Train-Analysis-(2080s-and-2083s)?_g=(refreshInterval:(display:Off,pause:!f,section:0,value:0),time:(from:'2018-01-14T19:06:51-0700',mode:absolute,to:'2018-01-14T22:05:52-0700'))&amp;_a=(columns:!('Message%20ID',Summary),filters:!(),index:'emp_*',interval:auto,query:(query_string:(analyze_wildcard:!t,query:'%22rtdc.l.rtdc.4022%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880</v>
      </c>
      <c r="B143" s="225">
        <v>4021</v>
      </c>
      <c r="C143" s="227" t="s">
        <v>191</v>
      </c>
      <c r="D143" s="227" t="s">
        <v>947</v>
      </c>
      <c r="E143" s="226">
        <v>43114.883391203701</v>
      </c>
      <c r="F143" s="226">
        <v>43114.893935185188</v>
      </c>
      <c r="G143" s="225">
        <v>54</v>
      </c>
      <c r="H143" s="227" t="s">
        <v>925</v>
      </c>
      <c r="I143" s="226">
        <v>43114.920011574075</v>
      </c>
      <c r="J143" s="225">
        <v>0</v>
      </c>
      <c r="K143" s="237" t="str">
        <f>IF(ISEVEN(B143),(B143-1)&amp;"/"&amp;B143,B143&amp;"/"&amp;(B143+1))</f>
        <v>4021/4022</v>
      </c>
      <c r="L143" s="245" t="str">
        <f>VLOOKUP(A143,'Trips&amp;Operators'!$C$1:$G$99911,5,FALSE)</f>
        <v>GUNTHIER ERIC</v>
      </c>
      <c r="M143" s="224">
        <f>I143-F143</f>
        <v>2.6076388887304347E-2</v>
      </c>
      <c r="N143" s="225">
        <f>24*60*SUM($M143:$M143)</f>
        <v>37.54999999771826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-14T20:12:05-0700',mode:absolute,to:'2018-01-14T23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23.2974</v>
      </c>
      <c r="Z143" s="247">
        <f>RIGHT(H143,LEN(H143)-4)/10000</f>
        <v>2.52E-2</v>
      </c>
      <c r="AA143" s="247">
        <f>ABS(Z143-Y143)</f>
        <v>23.272199999999998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228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/stypes="app*4021*20180115*"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6"/>
        <v>"%USERPROFILE%\Documents\GitHub\eaglep3\Utilities\RefineRTDCRunTimes.py" --tripid 228-14 --locoid 4021 --swversion DE.1.0.9.0 --startMP 204:232974 --initTime 2018-01-14T21:12:05 --startdatetime 2018-01-14T21:27:16 --delay 54 --endMP 204:252 --enddatetime 2018-01-14T22:04:49 --enforcementcount 0 &gt;&gt;%USERPROFILE%\Documents\GitHub\eaglep3-reporting\EC\2018-01-14-refined-times.txt</v>
      </c>
      <c r="AI143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{"issue":{"subject":"","project_id":79,"tracker_id":40,"status_id":1,"priority_id":2,"assigned_to_id":338,"start_date":"2018-01-14","description":"","custom_fields":[{"id":1,"name":"Subdivision","value":"EC"},{"id":4,"name":"Milepost","value":"0.0252"},{"id":17,"name":"Train ID","value":"228-14"},{"id":16,"name":"Locomotive ID","value":"4021"},{"id":130,"name":"Impact","value":""},{"id":150,"name":"Time of Event (Mountain Time)","value":"22:04:49"},{"id":151,"name":"Denver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18"/>
        <v>start /low /b %USERPROFILE%\Documents\GitHub\eaglep3\Utilities\DownloadLogsFromS3.py --loco 4021 --day 2018-01-14</v>
      </c>
      <c r="AN143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20"/>
        <v>https://d0f6bd738d7f1b3e5a7ca70fe4ff75f0.us-east-1.aws.found.io/app/kibana#/discover/Steve-Slow-Train-Analysis-(2080s-and-2083s)?_g=(refreshInterval:(display:Off,pause:!f,section:0,value:0),time:(from:'2018-01-14T20:12:05-0700',mode:absolute,to:'2018-01-14T23:04:49-0700'))&amp;_a=(columns:!('Message%20ID',Summary),filters:!(),index:'emp_*',interval:auto,query:(query_string:(analyze_wildcard:!t,query:'%22rtdc.l.rtdc.4021%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878</v>
      </c>
      <c r="B144" s="225">
        <v>4028</v>
      </c>
      <c r="C144" s="227" t="s">
        <v>191</v>
      </c>
      <c r="D144" s="227" t="s">
        <v>663</v>
      </c>
      <c r="E144" s="226">
        <v>43114.872106481482</v>
      </c>
      <c r="F144" s="226">
        <v>43114.875578703701</v>
      </c>
      <c r="G144" s="225">
        <v>67</v>
      </c>
      <c r="H144" s="227" t="s">
        <v>1028</v>
      </c>
      <c r="I144" s="226">
        <v>43114.89984953704</v>
      </c>
      <c r="J144" s="225">
        <v>0</v>
      </c>
      <c r="K144" s="237" t="str">
        <f>IF(ISEVEN(B144),(B144-1)&amp;"/"&amp;B144,B144&amp;"/"&amp;(B144+1))</f>
        <v>4027/4028</v>
      </c>
      <c r="L144" s="245" t="str">
        <f>VLOOKUP(A144,'Trips&amp;Operators'!$C$1:$G$99911,5,FALSE)</f>
        <v>MAGEE KENYA</v>
      </c>
      <c r="M144" s="224">
        <f>I144-F144</f>
        <v>2.4270833338960074E-2</v>
      </c>
      <c r="N144" s="225">
        <f>24*60*SUM($M144:$M144)</f>
        <v>34.950000008102506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-14T19:55:50-0700',mode:absolute,to:'2018-01-14T22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5.3499999999999999E-2</v>
      </c>
      <c r="Z144" s="247">
        <f>RIGHT(H144,LEN(H144)-4)/10000</f>
        <v>23.334700000000002</v>
      </c>
      <c r="AA144" s="247">
        <f>ABS(Z144-Y144)</f>
        <v>23.281200000000002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229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/stypes="app*4028*20180115*" /stext=" 04:.+((SYSTEM_STATE.+slice.+state.+changed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6"/>
        <v>"%USERPROFILE%\Documents\GitHub\eaglep3\Utilities\RefineRTDCRunTimes.py" --tripid 229-14 --locoid 4028 --swversion DE.1.0.9.0 --startMP 204:535 --initTime 2018-01-14T20:55:50 --startdatetime 2018-01-14T21:00:50 --delay 67 --endMP 204:233347 --enddatetime 2018-01-14T21:35:47 --enforcementcount 0 &gt;&gt;%USERPROFILE%\Documents\GitHub\eaglep3-reporting\EC\2018-01-14-refined-times.txt</v>
      </c>
      <c r="AI144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{"issue":{"subject":"","project_id":79,"tracker_id":40,"status_id":1,"priority_id":2,"assigned_to_id":338,"start_date":"2018-01-14","description":"","custom_fields":[{"id":1,"name":"Subdivision","value":"EC"},{"id":4,"name":"Milepost","value":"23.3347"},{"id":17,"name":"Train ID","value":"229-14"},{"id":16,"name":"Locomotive ID","value":"4028"},{"id":130,"name":"Impact","value":""},{"id":150,"name":"Time of Event (Mountain Time)","value":"21:35:47"},{"id":151,"name":"Denver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18"/>
        <v>start /low /b %USERPROFILE%\Documents\GitHub\eaglep3\Utilities\DownloadLogsFromS3.py --loco 4028 --day 2018-01-14</v>
      </c>
      <c r="AN144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0"/>
        <v>https://d0f6bd738d7f1b3e5a7ca70fe4ff75f0.us-east-1.aws.found.io/app/kibana#/discover/Steve-Slow-Train-Analysis-(2080s-and-2083s)?_g=(refreshInterval:(display:Off,pause:!f,section:0,value:0),time:(from:'2018-01-14T19:55:50-0700',mode:absolute,to:'2018-01-14T22:35:47-0700'))&amp;_a=(columns:!('Message%20ID',Summary),filters:!(),index:'emp_*',interval:auto,query:(query_string:(analyze_wildcard:!t,query:'%22rtdc.l.rtdc.4028%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882</v>
      </c>
      <c r="B145" s="225">
        <v>4027</v>
      </c>
      <c r="C145" s="227" t="s">
        <v>191</v>
      </c>
      <c r="D145" s="227" t="s">
        <v>648</v>
      </c>
      <c r="E145" s="226">
        <v>43114.907743055555</v>
      </c>
      <c r="F145" s="226">
        <v>43114.914872685185</v>
      </c>
      <c r="G145" s="225">
        <v>104</v>
      </c>
      <c r="H145" s="227" t="s">
        <v>499</v>
      </c>
      <c r="I145" s="226">
        <v>43114.94195601852</v>
      </c>
      <c r="J145" s="225">
        <v>0</v>
      </c>
      <c r="K145" s="237" t="str">
        <f>IF(ISEVEN(B145),(B145-1)&amp;"/"&amp;B145,B145&amp;"/"&amp;(B145+1))</f>
        <v>4027/4028</v>
      </c>
      <c r="L145" s="245" t="str">
        <f>VLOOKUP(A145,'Trips&amp;Operators'!$C$1:$G$99911,5,FALSE)</f>
        <v>MAGEE KENYA</v>
      </c>
      <c r="M145" s="224">
        <f>I145-F145</f>
        <v>2.7083333334303461E-2</v>
      </c>
      <c r="N145" s="225">
        <f>24*60*SUM($M145:$M145)</f>
        <v>39.000000001396984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-14T20:47:09-0700',mode:absolute,to:'2018-01-14T23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23.301500000000001</v>
      </c>
      <c r="Z145" s="247">
        <f>RIGHT(H145,LEN(H145)-4)/10000</f>
        <v>2.29E-2</v>
      </c>
      <c r="AA145" s="247">
        <f>ABS(Z145-Y145)</f>
        <v>23.278600000000001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230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/stypes="app*4027*20180115*"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6"/>
        <v>"%USERPROFILE%\Documents\GitHub\eaglep3\Utilities\RefineRTDCRunTimes.py" --tripid 230-14 --locoid 4027 --swversion DE.1.0.9.0 --startMP 204:233015 --initTime 2018-01-14T21:47:09 --startdatetime 2018-01-14T21:57:25 --delay 104 --endMP 204:229 --enddatetime 2018-01-14T22:36:25 --enforcementcount 0 &gt;&gt;%USERPROFILE%\Documents\GitHub\eaglep3-reporting\EC\2018-01-14-refined-times.txt</v>
      </c>
      <c r="AI145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{"issue":{"subject":"","project_id":79,"tracker_id":40,"status_id":1,"priority_id":2,"assigned_to_id":338,"start_date":"2018-01-14","description":"","custom_fields":[{"id":1,"name":"Subdivision","value":"EC"},{"id":4,"name":"Milepost","value":"0.0229"},{"id":17,"name":"Train ID","value":"230-14"},{"id":16,"name":"Locomotive ID","value":"4027"},{"id":130,"name":"Impact","value":""},{"id":150,"name":"Time of Event (Mountain Time)","value":"22:36:25"},{"id":151,"name":"Denver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18"/>
        <v>start /low /b %USERPROFILE%\Documents\GitHub\eaglep3\Utilities\DownloadLogsFromS3.py --loco 4027 --day 2018-01-14</v>
      </c>
      <c r="AN145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0"/>
        <v>https://d0f6bd738d7f1b3e5a7ca70fe4ff75f0.us-east-1.aws.found.io/app/kibana#/discover/Steve-Slow-Train-Analysis-(2080s-and-2083s)?_g=(refreshInterval:(display:Off,pause:!f,section:0,value:0),time:(from:'2018-01-14T20:47:09-0700',mode:absolute,to:'2018-01-14T23:36:25-0700'))&amp;_a=(columns:!('Message%20ID',Summary),filters:!(),index:'emp_*',interval:auto,query:(query_string:(analyze_wildcard:!t,query:'%22rtdc.l.rtdc.4027%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879</v>
      </c>
      <c r="B146" s="225">
        <v>4018</v>
      </c>
      <c r="C146" s="227" t="s">
        <v>191</v>
      </c>
      <c r="D146" s="227" t="s">
        <v>449</v>
      </c>
      <c r="E146" s="226">
        <v>43114.88144675926</v>
      </c>
      <c r="F146" s="226">
        <v>43114.895983796298</v>
      </c>
      <c r="G146" s="225">
        <v>55</v>
      </c>
      <c r="H146" s="227" t="s">
        <v>647</v>
      </c>
      <c r="I146" s="226">
        <v>43114.920185185183</v>
      </c>
      <c r="J146" s="225">
        <v>0</v>
      </c>
      <c r="K146" s="237" t="str">
        <f>IF(ISEVEN(B146),(B146-1)&amp;"/"&amp;B146,B146&amp;"/"&amp;(B146+1))</f>
        <v>4017/4018</v>
      </c>
      <c r="L146" s="245" t="str">
        <f>VLOOKUP(A146,'Trips&amp;Operators'!$C$1:$G$99911,5,FALSE)</f>
        <v>PAGE MARCUS</v>
      </c>
      <c r="M146" s="224">
        <f>I146-F146</f>
        <v>2.4201388885558117E-2</v>
      </c>
      <c r="N146" s="225">
        <f>24*60*SUM($M146:$M146)</f>
        <v>34.849999995203689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-14T20:09:17-0700',mode:absolute,to:'2018-01-14T23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4.9799999999999997E-2</v>
      </c>
      <c r="Z146" s="247">
        <f>RIGHT(H146,LEN(H146)-4)/10000</f>
        <v>23.334</v>
      </c>
      <c r="AA146" s="247">
        <f>ABS(Z146-Y146)</f>
        <v>23.284199999999998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231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/stypes="app*4018*20180115*"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6"/>
        <v>"%USERPROFILE%\Documents\GitHub\eaglep3\Utilities\RefineRTDCRunTimes.py" --tripid 231-14 --locoid 4018 --swversion DE.1.0.9.0 --startMP 204:498 --initTime 2018-01-14T21:09:17 --startdatetime 2018-01-14T21:30:13 --delay 55 --endMP 204:233340 --enddatetime 2018-01-14T22:05:04 --enforcementcount 0 &gt;&gt;%USERPROFILE%\Documents\GitHub\eaglep3-reporting\EC\2018-01-14-refined-times.txt</v>
      </c>
      <c r="AI146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{"issue":{"subject":"","project_id":79,"tracker_id":40,"status_id":1,"priority_id":2,"assigned_to_id":338,"start_date":"2018-01-14","description":"","custom_fields":[{"id":1,"name":"Subdivision","value":"EC"},{"id":4,"name":"Milepost","value":"23.334"},{"id":17,"name":"Train ID","value":"231-14"},{"id":16,"name":"Locomotive ID","value":"4018"},{"id":130,"name":"Impact","value":""},{"id":150,"name":"Time of Event (Mountain Time)","value":"22:05:04"},{"id":151,"name":"Denver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18"/>
        <v>start /low /b %USERPROFILE%\Documents\GitHub\eaglep3\Utilities\DownloadLogsFromS3.py --loco 4018 --day 2018-01-14</v>
      </c>
      <c r="AN146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0"/>
        <v>https://d0f6bd738d7f1b3e5a7ca70fe4ff75f0.us-east-1.aws.found.io/app/kibana#/discover/Steve-Slow-Train-Analysis-(2080s-and-2083s)?_g=(refreshInterval:(display:Off,pause:!f,section:0,value:0),time:(from:'2018-01-14T20:09:17-0700',mode:absolute,to:'2018-01-14T23:05:04-0700'))&amp;_a=(columns:!('Message%20ID',Summary),filters:!(),index:'emp_*',interval:auto,query:(query_string:(analyze_wildcard:!t,query:'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885</v>
      </c>
      <c r="B147" s="225">
        <v>4017</v>
      </c>
      <c r="C147" s="227" t="s">
        <v>191</v>
      </c>
      <c r="D147" s="227" t="s">
        <v>1029</v>
      </c>
      <c r="E147" s="226">
        <v>43114.921273148146</v>
      </c>
      <c r="F147" s="226">
        <v>43114.935578703706</v>
      </c>
      <c r="G147" s="225">
        <v>54</v>
      </c>
      <c r="H147" s="227" t="s">
        <v>536</v>
      </c>
      <c r="I147" s="226">
        <v>43114.961527777778</v>
      </c>
      <c r="J147" s="225">
        <v>0</v>
      </c>
      <c r="K147" s="237" t="str">
        <f>IF(ISEVEN(B147),(B147-1)&amp;"/"&amp;B147,B147&amp;"/"&amp;(B147+1))</f>
        <v>4017/4018</v>
      </c>
      <c r="L147" s="245" t="str">
        <f>VLOOKUP(A147,'Trips&amp;Operators'!$C$1:$G$99911,5,FALSE)</f>
        <v>PAGE MARCUS</v>
      </c>
      <c r="M147" s="224">
        <f>I147-F147</f>
        <v>2.5949074071832001E-2</v>
      </c>
      <c r="N147" s="225">
        <f>24*60*SUM($M147:$M147)</f>
        <v>37.366666663438082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-14T21:06:38-0700',mode:absolute,to:'2018-01-15T00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23.301300000000001</v>
      </c>
      <c r="Z147" s="247">
        <f>RIGHT(H147,LEN(H147)-4)/10000</f>
        <v>2.0299999999999999E-2</v>
      </c>
      <c r="AA147" s="247">
        <f>ABS(Z147-Y147)</f>
        <v>23.281000000000002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232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/stypes="app*4017*20180115*"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16"/>
        <v>"%USERPROFILE%\Documents\GitHub\eaglep3\Utilities\RefineRTDCRunTimes.py" --tripid 232-14 --locoid 4017 --swversion DE.1.0.9.0 --startMP 204:233013 --initTime 2018-01-14T22:06:38 --startdatetime 2018-01-14T22:27:14 --delay 54 --endMP 204:203 --enddatetime 2018-01-14T23:04:36 --enforcementcount 0 &gt;&gt;%USERPROFILE%\Documents\GitHub\eaglep3-reporting\EC\2018-01-14-refined-times.txt</v>
      </c>
      <c r="AI147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{"issue":{"subject":"","project_id":79,"tracker_id":40,"status_id":1,"priority_id":2,"assigned_to_id":338,"start_date":"2018-01-14","description":"","custom_fields":[{"id":1,"name":"Subdivision","value":"EC"},{"id":4,"name":"Milepost","value":"0.0203"},{"id":17,"name":"Train ID","value":"232-14"},{"id":16,"name":"Locomotive ID","value":"4017"},{"id":130,"name":"Impact","value":""},{"id":150,"name":"Time of Event (Mountain Time)","value":"23:04:36"},{"id":151,"name":"Denver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18"/>
        <v>start /low /b %USERPROFILE%\Documents\GitHub\eaglep3\Utilities\DownloadLogsFromS3.py --loco 4017 --day 2018-01-14</v>
      </c>
      <c r="AN147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20"/>
        <v>https://d0f6bd738d7f1b3e5a7ca70fe4ff75f0.us-east-1.aws.found.io/app/kibana#/discover/Steve-Slow-Train-Analysis-(2080s-and-2083s)?_g=(refreshInterval:(display:Off,pause:!f,section:0,value:0),time:(from:'2018-01-14T21:06:38-0700',mode:absolute,to:'2018-01-15T00:04:36-0700'))&amp;_a=(columns:!('Message%20ID',Summary),filters:!(),index:'emp_*',interval:auto,query:(query_string:(analyze_wildcard:!t,query:'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883</v>
      </c>
      <c r="B148" s="225">
        <v>4050</v>
      </c>
      <c r="C148" s="227" t="s">
        <v>191</v>
      </c>
      <c r="D148" s="227" t="s">
        <v>531</v>
      </c>
      <c r="E148" s="226">
        <v>43114.909942129627</v>
      </c>
      <c r="F148" s="226">
        <v>43114.916875000003</v>
      </c>
      <c r="G148" s="225">
        <v>55</v>
      </c>
      <c r="H148" s="227" t="s">
        <v>637</v>
      </c>
      <c r="I148" s="226">
        <v>43114.94121527778</v>
      </c>
      <c r="J148" s="225">
        <v>0</v>
      </c>
      <c r="K148" s="237" t="str">
        <f>IF(ISEVEN(B148),(B148-1)&amp;"/"&amp;B148,B148&amp;"/"&amp;(B148+1))</f>
        <v>4049/4050</v>
      </c>
      <c r="L148" s="245" t="str">
        <f>VLOOKUP(A148,'Trips&amp;Operators'!$C$1:$G$99911,5,FALSE)</f>
        <v>HAMMOND JUSTYNN</v>
      </c>
      <c r="M148" s="224">
        <f>I148-F148</f>
        <v>2.4340277777810115E-2</v>
      </c>
      <c r="N148" s="225">
        <f>24*60*SUM($M148:$M148)</f>
        <v>35.050000000046566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-14T20:50:19-0700',mode:absolute,to:'2018-01-14T23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5.1999999999999998E-2</v>
      </c>
      <c r="Z148" s="247">
        <f>RIGHT(H148,LEN(H148)-4)/10000</f>
        <v>23.3278</v>
      </c>
      <c r="AA148" s="247">
        <f>ABS(Z148-Y148)</f>
        <v>23.2758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233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s3://rtdc.mdm.uploadarchive.raw/RTDC4050/ "%USERPROFILE%\AppData\Local\Temp\OnboardLogs"\RTDC4050\2018-01-14 --exclude "*" --recursive --include "*20180114*" &amp; "%USERPROFILE%\Documents\GitHub\mrs-test-scripts\Headless Mode &amp; Sideloading\WalkAndUnGZ.bat" "%USERPROFILE%\AppData\Local\Temp\OnboardLogs"\RTDC4050\2018-01-14 &amp; 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/stypes="app*4050*20180115*" /stext=" 05:.+((SYSTEM_STATE.+slice.+state.+changed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6"/>
        <v>"%USERPROFILE%\Documents\GitHub\eaglep3\Utilities\RefineRTDCRunTimes.py" --tripid 233-14 --locoid 4050 --swversion DE.1.0.9.0 --startMP 204:520 --initTime 2018-01-14T21:50:19 --startdatetime 2018-01-14T22:00:18 --delay 55 --endMP 204:233278 --enddatetime 2018-01-14T22:35:21 --enforcementcount 0 &gt;&gt;%USERPROFILE%\Documents\GitHub\eaglep3-reporting\EC\2018-01-14-refined-times.txt</v>
      </c>
      <c r="AI148" s="238" t="str">
        <f t="shared" si="17"/>
        <v>echo {"issue":{"subject":"","project_id":79,"tracker_id":40,"status_id":1,"priority_id":2,"assigned_to_id":338,"start_date":"2018-01-14","description":"","custom_fields":[{"id":1,"name":"Subdivision","value":"EC"},{"id":4,"name":"Milepost","value":"23.3278"},{"id":17,"name":"Train ID","value":"233-14"},{"id":16,"name":"Locomotive ID","value":"4050"},{"id":130,"name":"Impact","value":""},{"id":150,"name":"Time of Event (Mountain Time)","value":"22:35:21"},{"id":151,"name":"Denver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18"/>
        <v>start /low /b %USERPROFILE%\Documents\GitHub\eaglep3\Utilities\DownloadLogsFromS3.py --loco 4050 --day 2018-01-14</v>
      </c>
      <c r="AN148" s="241" t="str">
        <f t="shared" si="19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20"/>
        <v>https://d0f6bd738d7f1b3e5a7ca70fe4ff75f0.us-east-1.aws.found.io/app/kibana#/discover/Steve-Slow-Train-Analysis-(2080s-and-2083s)?_g=(refreshInterval:(display:Off,pause:!f,section:0,value:0),time:(from:'2018-01-14T20:50:19-0700',mode:absolute,to:'2018-01-14T23:35:21-0700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888</v>
      </c>
      <c r="B149" s="225">
        <v>4049</v>
      </c>
      <c r="C149" s="227" t="s">
        <v>191</v>
      </c>
      <c r="D149" s="227" t="s">
        <v>542</v>
      </c>
      <c r="E149" s="226">
        <v>43114.951111111113</v>
      </c>
      <c r="F149" s="226">
        <v>43114.956435185188</v>
      </c>
      <c r="G149" s="225">
        <v>56</v>
      </c>
      <c r="H149" s="227" t="s">
        <v>539</v>
      </c>
      <c r="I149" s="226">
        <v>43114.981782407405</v>
      </c>
      <c r="J149" s="225">
        <v>0</v>
      </c>
      <c r="K149" s="237" t="str">
        <f>IF(ISEVEN(B149),(B149-1)&amp;"/"&amp;B149,B149&amp;"/"&amp;(B149+1))</f>
        <v>4049/4050</v>
      </c>
      <c r="L149" s="245" t="str">
        <f>VLOOKUP(A149,'Trips&amp;Operators'!$C$1:$G$99911,5,FALSE)</f>
        <v>HAMMOND JUSTYNN</v>
      </c>
      <c r="M149" s="224">
        <f>I149-F149</f>
        <v>2.5347222217533272E-2</v>
      </c>
      <c r="N149" s="225">
        <f>24*60*SUM($M149:$M149)</f>
        <v>36.499999993247911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-14T21:49:36-0700',mode:absolute,to:'2018-01-15T00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23.294599999999999</v>
      </c>
      <c r="Z149" s="247">
        <f>RIGHT(H149,LEN(H149)-4)/10000</f>
        <v>2.2100000000000002E-2</v>
      </c>
      <c r="AA149" s="247">
        <f>ABS(Z149-Y149)</f>
        <v>23.272500000000001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234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/stypes="app*4049*20180115*"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:AH215" si="52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234-14 --locoid 4049 --swversion DE.1.0.9.0 --startMP 204:232946 --initTime 2018-01-14T22:49:36 --startdatetime 2018-01-14T22:57:16 --delay 56 --endMP 204:221 --enddatetime 2018-01-14T23:33:46 --enforcementcount 0 &gt;&gt;%USERPROFILE%\Documents\GitHub\eaglep3-reporting\EC\2018-01-14-refined-times.txt</v>
      </c>
      <c r="AI149" s="238" t="str">
        <f t="shared" ref="AI149:AI215" si="53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{"issue":{"subject":"","project_id":79,"tracker_id":40,"status_id":1,"priority_id":2,"assigned_to_id":338,"start_date":"2018-01-14","description":"","custom_fields":[{"id":1,"name":"Subdivision","value":"EC"},{"id":4,"name":"Milepost","value":"0.0221"},{"id":17,"name":"Train ID","value":"234-14"},{"id":16,"name":"Locomotive ID","value":"4049"},{"id":130,"name":"Impact","value":""},{"id":150,"name":"Time of Event (Mountain Time)","value":"23:33:46"},{"id":151,"name":"Denver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ref="AM149:AM215" si="54">"start /low /b "&amp;dls3logs&amp;" --loco "&amp;B149&amp;" --day "&amp;TEXT(F149,"YYYY-MM-DD")</f>
        <v>start /low /b %USERPROFILE%\Documents\GitHub\eaglep3\Utilities\DownloadLogsFromS3.py --loco 4049 --day 2018-01-14</v>
      </c>
      <c r="AN149" s="241" t="str">
        <f t="shared" ref="AN149:AN215" si="55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:AO215" si="56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-14T21:49:36-0700',mode:absolute,to:'2018-01-15T00:33:46-0700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886</v>
      </c>
      <c r="B150" s="225">
        <v>4022</v>
      </c>
      <c r="C150" s="227" t="s">
        <v>191</v>
      </c>
      <c r="D150" s="227" t="s">
        <v>1030</v>
      </c>
      <c r="E150" s="226">
        <v>43114.924062500002</v>
      </c>
      <c r="F150" s="226">
        <v>43114.937650462962</v>
      </c>
      <c r="G150" s="225">
        <v>718</v>
      </c>
      <c r="H150" s="227" t="s">
        <v>464</v>
      </c>
      <c r="I150" s="226">
        <v>43114.961840277778</v>
      </c>
      <c r="J150" s="225">
        <v>0</v>
      </c>
      <c r="K150" s="237" t="str">
        <f>IF(ISEVEN(B150),(B150-1)&amp;"/"&amp;B150,B150&amp;"/"&amp;(B150+1))</f>
        <v>4021/4022</v>
      </c>
      <c r="L150" s="245" t="str">
        <f>VLOOKUP(A150,'Trips&amp;Operators'!$C$1:$G$99911,5,FALSE)</f>
        <v>GUNTHIER ERIC</v>
      </c>
      <c r="M150" s="224">
        <f>I150-F150</f>
        <v>2.4189814816054422E-2</v>
      </c>
      <c r="N150" s="225">
        <f>24*60*SUM($M150:$M150)</f>
        <v>34.833333335118368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-14T21:10:39-0700',mode:absolute,to:'2018-01-15T00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5.5300000000000002E-2</v>
      </c>
      <c r="Z150" s="247">
        <f>RIGHT(H150,LEN(H150)-4)/10000</f>
        <v>23.329699999999999</v>
      </c>
      <c r="AA150" s="247">
        <f>ABS(Z150-Y150)</f>
        <v>23.2744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235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s3://rtdc.mdm.uploadarchive.raw/RTDC4022/ "%USERPROFILE%\AppData\Local\Temp\OnboardLogs"\RTDC4022\2018-01-14 --exclude "*" --recursive --include "*20180114*" &amp; "%USERPROFILE%\Documents\GitHub\mrs-test-scripts\Headless Mode &amp; Sideloading\WalkAndUnGZ.bat" "%USERPROFILE%\AppData\Local\Temp\OnboardLogs"\RTDC4022\2018-01-14 &amp; 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/stypes="app*4022*20180115*"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52"/>
        <v>"%USERPROFILE%\Documents\GitHub\eaglep3\Utilities\RefineRTDCRunTimes.py" --tripid 235-14 --locoid 4022 --swversion DE.1.0.9.0 --startMP 204:553 --initTime 2018-01-14T22:10:39 --startdatetime 2018-01-14T22:30:13 --delay 718 --endMP 204:233297 --enddatetime 2018-01-14T23:05:03 --enforcementcount 0 &gt;&gt;%USERPROFILE%\Documents\GitHub\eaglep3-reporting\EC\2018-01-14-refined-times.txt</v>
      </c>
      <c r="AI150" s="238" t="str">
        <f t="shared" si="53"/>
        <v>echo {"issue":{"subject":"","project_id":79,"tracker_id":40,"status_id":1,"priority_id":2,"assigned_to_id":338,"start_date":"2018-01-14","description":"","custom_fields":[{"id":1,"name":"Subdivision","value":"EC"},{"id":4,"name":"Milepost","value":"23.3297"},{"id":17,"name":"Train ID","value":"235-14"},{"id":16,"name":"Locomotive ID","value":"4022"},{"id":130,"name":"Impact","value":""},{"id":150,"name":"Time of Event (Mountain Time)","value":"23:05:03"},{"id":151,"name":"Denver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54"/>
        <v>start /low /b %USERPROFILE%\Documents\GitHub\eaglep3\Utilities\DownloadLogsFromS3.py --loco 4022 --day 2018-01-14</v>
      </c>
      <c r="AN150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56"/>
        <v>https://d0f6bd738d7f1b3e5a7ca70fe4ff75f0.us-east-1.aws.found.io/app/kibana#/discover/Steve-Slow-Train-Analysis-(2080s-and-2083s)?_g=(refreshInterval:(display:Off,pause:!f,section:0,value:0),time:(from:'2018-01-14T21:10:39-0700',mode:absolute,to:'2018-01-15T00:05:03-0700'))&amp;_a=(columns:!('Message%20ID',Summary),filters:!(),index:'emp_*',interval:auto,query:(query_string:(analyze_wildcard:!t,query:'%22rtdc.l.rtdc.4022%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892</v>
      </c>
      <c r="B151" s="225">
        <v>4021</v>
      </c>
      <c r="C151" s="227" t="s">
        <v>191</v>
      </c>
      <c r="D151" s="227" t="s">
        <v>660</v>
      </c>
      <c r="E151" s="226">
        <v>43114.972488425927</v>
      </c>
      <c r="F151" s="226">
        <v>43114.977233796293</v>
      </c>
      <c r="G151" s="225">
        <v>77</v>
      </c>
      <c r="H151" s="227" t="s">
        <v>661</v>
      </c>
      <c r="I151" s="226">
        <v>43115.003020833334</v>
      </c>
      <c r="J151" s="225">
        <v>0</v>
      </c>
      <c r="K151" s="237" t="str">
        <f>IF(ISEVEN(B151),(B151-1)&amp;"/"&amp;B151,B151&amp;"/"&amp;(B151+1))</f>
        <v>4021/4022</v>
      </c>
      <c r="L151" s="245" t="str">
        <f>VLOOKUP(A151,'Trips&amp;Operators'!$C$1:$G$99911,5,FALSE)</f>
        <v>GUNTHIER ERIC</v>
      </c>
      <c r="M151" s="224">
        <f>I151-F151</f>
        <v>2.5787037040572613E-2</v>
      </c>
      <c r="N151" s="225">
        <f>24*60*SUM($M151:$M151)</f>
        <v>37.133333338424563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-14T22:20:23-0700',mode:absolute,to:'2018-01-15T01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23.298100000000002</v>
      </c>
      <c r="Z151" s="247">
        <f>RIGHT(H151,LEN(H151)-4)/10000</f>
        <v>2.4E-2</v>
      </c>
      <c r="AA151" s="247">
        <f>ABS(Z151-Y151)</f>
        <v>23.274100000000001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236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/stypes="app*4021*20180115*"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52"/>
        <v>"%USERPROFILE%\Documents\GitHub\eaglep3\Utilities\RefineRTDCRunTimes.py" --tripid 236-14 --locoid 4021 --swversion DE.1.0.9.0 --startMP 204:232981 --initTime 2018-01-14T23:20:23 --startdatetime 2018-01-14T23:27:13 --delay 77 --endMP 204:240 --enddatetime 2018-01-15T00:04:21 --enforcementcount 0 &gt;&gt;%USERPROFILE%\Documents\GitHub\eaglep3-reporting\EC\2018-01-14-refined-times.txt</v>
      </c>
      <c r="AI151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{"issue":{"subject":"","project_id":79,"tracker_id":40,"status_id":1,"priority_id":2,"assigned_to_id":338,"start_date":"2018-01-15","description":"","custom_fields":[{"id":1,"name":"Subdivision","value":"EC"},{"id":4,"name":"Milepost","value":"0.024"},{"id":17,"name":"Train ID","value":"236-14"},{"id":16,"name":"Locomotive ID","value":"4021"},{"id":130,"name":"Impact","value":""},{"id":150,"name":"Time of Event (Mountain Time)","value":"00:04:21"},{"id":151,"name":"Denver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54"/>
        <v>start /low /b %USERPROFILE%\Documents\GitHub\eaglep3\Utilities\DownloadLogsFromS3.py --loco 4021 --day 2018-01-14</v>
      </c>
      <c r="AN151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56"/>
        <v>https://d0f6bd738d7f1b3e5a7ca70fe4ff75f0.us-east-1.aws.found.io/app/kibana#/discover/Steve-Slow-Train-Analysis-(2080s-and-2083s)?_g=(refreshInterval:(display:Off,pause:!f,section:0,value:0),time:(from:'2018-01-14T22:20:23-0700',mode:absolute,to:'2018-01-15T01:04:21-0700'))&amp;_a=(columns:!('Message%20ID',Summary),filters:!(),index:'emp_*',interval:auto,query:(query_string:(analyze_wildcard:!t,query:'%22rtdc.l.rtdc.4021%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889</v>
      </c>
      <c r="B152" s="225">
        <v>4028</v>
      </c>
      <c r="C152" s="227" t="s">
        <v>191</v>
      </c>
      <c r="D152" s="227" t="s">
        <v>663</v>
      </c>
      <c r="E152" s="226">
        <v>43114.952511574076</v>
      </c>
      <c r="F152" s="226">
        <v>43114.958587962959</v>
      </c>
      <c r="G152" s="225">
        <v>82</v>
      </c>
      <c r="H152" s="227" t="s">
        <v>1031</v>
      </c>
      <c r="I152" s="226">
        <v>43114.983275462961</v>
      </c>
      <c r="J152" s="225">
        <v>0</v>
      </c>
      <c r="K152" s="237" t="str">
        <f>IF(ISEVEN(B152),(B152-1)&amp;"/"&amp;B152,B152&amp;"/"&amp;(B152+1))</f>
        <v>4027/4028</v>
      </c>
      <c r="L152" s="245" t="str">
        <f>VLOOKUP(A152,'Trips&amp;Operators'!$C$1:$G$99911,5,FALSE)</f>
        <v>MAGEE KENYA</v>
      </c>
      <c r="M152" s="224">
        <f>I152-F152</f>
        <v>2.4687500001164153E-2</v>
      </c>
      <c r="N152" s="225">
        <f>24*60*SUM($M152:$M152)</f>
        <v>35.550000001676381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-14T21:51:37-0700',mode:absolute,to:'2018-01-15T00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5.3499999999999999E-2</v>
      </c>
      <c r="Z152" s="247">
        <f>RIGHT(H152,LEN(H152)-4)/10000</f>
        <v>23.333400000000001</v>
      </c>
      <c r="AA152" s="247">
        <f>ABS(Z152-Y152)</f>
        <v>23.279900000000001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237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/stypes="app*4028*20180115*"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52"/>
        <v>"%USERPROFILE%\Documents\GitHub\eaglep3\Utilities\RefineRTDCRunTimes.py" --tripid 237-14 --locoid 4028 --swversion DE.1.0.9.0 --startMP 204:535 --initTime 2018-01-14T22:51:37 --startdatetime 2018-01-14T23:00:22 --delay 82 --endMP 204:233334 --enddatetime 2018-01-14T23:35:55 --enforcementcount 0 &gt;&gt;%USERPROFILE%\Documents\GitHub\eaglep3-reporting\EC\2018-01-14-refined-times.txt</v>
      </c>
      <c r="AI152" s="238" t="str">
        <f t="shared" si="53"/>
        <v>echo {"issue":{"subject":"","project_id":79,"tracker_id":40,"status_id":1,"priority_id":2,"assigned_to_id":338,"start_date":"2018-01-14","description":"","custom_fields":[{"id":1,"name":"Subdivision","value":"EC"},{"id":4,"name":"Milepost","value":"23.3334"},{"id":17,"name":"Train ID","value":"237-14"},{"id":16,"name":"Locomotive ID","value":"4028"},{"id":130,"name":"Impact","value":""},{"id":150,"name":"Time of Event (Mountain Time)","value":"23:35:55"},{"id":151,"name":"Denver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54"/>
        <v>start /low /b %USERPROFILE%\Documents\GitHub\eaglep3\Utilities\DownloadLogsFromS3.py --loco 4028 --day 2018-01-14</v>
      </c>
      <c r="AN152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56"/>
        <v>https://d0f6bd738d7f1b3e5a7ca70fe4ff75f0.us-east-1.aws.found.io/app/kibana#/discover/Steve-Slow-Train-Analysis-(2080s-and-2083s)?_g=(refreshInterval:(display:Off,pause:!f,section:0,value:0),time:(from:'2018-01-14T21:51:37-0700',mode:absolute,to:'2018-01-15T00:35:55-0700'))&amp;_a=(columns:!('Message%20ID',Summary),filters:!(),index:'emp_*',interval:auto,query:(query_string:(analyze_wildcard:!t,query:'%22rtdc.l.rtdc.4028%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893</v>
      </c>
      <c r="B153" s="225">
        <v>4027</v>
      </c>
      <c r="C153" s="227" t="s">
        <v>191</v>
      </c>
      <c r="D153" s="227" t="s">
        <v>470</v>
      </c>
      <c r="E153" s="226">
        <v>43114.994097222225</v>
      </c>
      <c r="F153" s="226">
        <v>43114.998425925929</v>
      </c>
      <c r="G153" s="225">
        <v>72</v>
      </c>
      <c r="H153" s="227" t="s">
        <v>1013</v>
      </c>
      <c r="I153" s="226">
        <v>43115.024837962963</v>
      </c>
      <c r="J153" s="225">
        <v>0</v>
      </c>
      <c r="K153" s="237" t="str">
        <f>IF(ISEVEN(B153),(B153-1)&amp;"/"&amp;B153,B153&amp;"/"&amp;(B153+1))</f>
        <v>4027/4028</v>
      </c>
      <c r="L153" s="245" t="str">
        <f>VLOOKUP(A153,'Trips&amp;Operators'!$C$1:$G$99911,5,FALSE)</f>
        <v>MAGEE KENYA</v>
      </c>
      <c r="M153" s="224">
        <f>I153-F153</f>
        <v>2.6412037033878732E-2</v>
      </c>
      <c r="N153" s="225">
        <f>24*60*SUM($M153:$M153)</f>
        <v>38.033333328785375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-14T22:51:30-0700',mode:absolute,to:'2018-01-15T01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23.3</v>
      </c>
      <c r="Z153" s="247">
        <f>RIGHT(H153,LEN(H153)-4)/10000</f>
        <v>1.7600000000000001E-2</v>
      </c>
      <c r="AA153" s="247">
        <f>ABS(Z153-Y153)</f>
        <v>23.282399999999999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238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s3://rtdc.mdm.uploadarchive.raw/RTDC4027/ "%USERPROFILE%\AppData\Local\Temp\OnboardLogs"\RTDC4027\2018-01-14 --exclude "*" --recursive --include "*20180114*" &amp; "%USERPROFILE%\Documents\GitHub\mrs-test-scripts\Headless Mode &amp; Sideloading\WalkAndUnGZ.bat" "%USERPROFILE%\AppData\Local\Temp\OnboardLogs"\RTDC4027\2018-01-14 &amp; aws s3 cp s3://rtdc.mdm.uploadarchive.raw/RTDC4027/ "%USERPROFILE%\AppData\Local\Temp\OnboardLogs"\RTDC4027\2018-01-15 --exclude "*" --recursive --include "*20180115*" &amp; "%USERPROFILE%\Documents\GitHub\mrs-test-scripts\Headless Mode &amp; Sideloading\WalkAndUnGZ.bat" "%USERPROFILE%\AppData\Local\Temp\OnboardLogs"\RTDC4027\2018-01-15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/stypes="app*4027*20180115*"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52"/>
        <v>"%USERPROFILE%\Documents\GitHub\eaglep3\Utilities\RefineRTDCRunTimes.py" --tripid 238-14 --locoid 4027 --swversion DE.1.0.9.0 --startMP 204:233000 --initTime 2018-01-14T23:51:30 --startdatetime 2018-01-14T23:57:44 --delay 72 --endMP 204:176 --enddatetime 2018-01-15T00:35:46 --enforcementcount 0 &gt;&gt;%USERPROFILE%\Documents\GitHub\eaglep3-reporting\EC\2018-01-14-refined-times.txt</v>
      </c>
      <c r="AI153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{"issue":{"subject":"","project_id":79,"tracker_id":40,"status_id":1,"priority_id":2,"assigned_to_id":338,"start_date":"2018-01-15","description":"","custom_fields":[{"id":1,"name":"Subdivision","value":"EC"},{"id":4,"name":"Milepost","value":"0.0176"},{"id":17,"name":"Train ID","value":"238-14"},{"id":16,"name":"Locomotive ID","value":"4027"},{"id":130,"name":"Impact","value":""},{"id":150,"name":"Time of Event (Mountain Time)","value":"00:35:46"},{"id":151,"name":"Denver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54"/>
        <v>start /low /b %USERPROFILE%\Documents\GitHub\eaglep3\Utilities\DownloadLogsFromS3.py --loco 4027 --day 2018-01-14</v>
      </c>
      <c r="AN153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56"/>
        <v>https://d0f6bd738d7f1b3e5a7ca70fe4ff75f0.us-east-1.aws.found.io/app/kibana#/discover/Steve-Slow-Train-Analysis-(2080s-and-2083s)?_g=(refreshInterval:(display:Off,pause:!f,section:0,value:0),time:(from:'2018-01-14T22:51:30-0700',mode:absolute,to:'2018-01-15T01:35:46-0700'))&amp;_a=(columns:!('Message%20ID',Summary),filters:!(),index:'emp_*',interval:auto,query:(query_string:(analyze_wildcard:!t,query:'%22rtdc.l.rtdc.4027%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891</v>
      </c>
      <c r="B154" s="225">
        <v>4018</v>
      </c>
      <c r="C154" s="227" t="s">
        <v>191</v>
      </c>
      <c r="D154" s="227" t="s">
        <v>472</v>
      </c>
      <c r="E154" s="226">
        <v>43114.96329861111</v>
      </c>
      <c r="F154" s="226">
        <v>43114.979317129626</v>
      </c>
      <c r="G154" s="225">
        <v>75</v>
      </c>
      <c r="H154" s="227" t="s">
        <v>639</v>
      </c>
      <c r="I154" s="226">
        <v>43115.003912037035</v>
      </c>
      <c r="J154" s="225">
        <v>0</v>
      </c>
      <c r="K154" s="237" t="str">
        <f>IF(ISEVEN(B154),(B154-1)&amp;"/"&amp;B154,B154&amp;"/"&amp;(B154+1))</f>
        <v>4017/4018</v>
      </c>
      <c r="L154" s="245" t="str">
        <f>VLOOKUP(A154,'Trips&amp;Operators'!$C$1:$G$99911,5,FALSE)</f>
        <v>PAGE MARCUS</v>
      </c>
      <c r="M154" s="224">
        <f>I154-F154</f>
        <v>2.4594907408754807E-2</v>
      </c>
      <c r="N154" s="225">
        <f>24*60*SUM($M154:$M154)</f>
        <v>35.416666668606922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-14T22:07:09-0700',mode:absolute,to:'2018-01-15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4.9500000000000002E-2</v>
      </c>
      <c r="Z154" s="247">
        <f>RIGHT(H154,LEN(H154)-4)/10000</f>
        <v>23.334599999999998</v>
      </c>
      <c r="AA154" s="247">
        <f>ABS(Z154-Y154)</f>
        <v>23.2851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239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 &amp; 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/stypes="app*4018*20180115*"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52"/>
        <v>"%USERPROFILE%\Documents\GitHub\eaglep3\Utilities\RefineRTDCRunTimes.py" --tripid 239-14 --locoid 4018 --swversion DE.1.0.9.0 --startMP 204:495 --initTime 2018-01-14T23:07:09 --startdatetime 2018-01-14T23:30:13 --delay 75 --endMP 204:233346 --enddatetime 2018-01-15T00:05:38 --enforcementcount 0 &gt;&gt;%USERPROFILE%\Documents\GitHub\eaglep3-reporting\EC\2018-01-14-refined-times.txt</v>
      </c>
      <c r="AI154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{"issue":{"subject":"","project_id":79,"tracker_id":40,"status_id":1,"priority_id":2,"assigned_to_id":338,"start_date":"2018-01-15","description":"","custom_fields":[{"id":1,"name":"Subdivision","value":"EC"},{"id":4,"name":"Milepost","value":"23.3346"},{"id":17,"name":"Train ID","value":"239-14"},{"id":16,"name":"Locomotive ID","value":"4018"},{"id":130,"name":"Impact","value":""},{"id":150,"name":"Time of Event (Mountain Time)","value":"00:05:38"},{"id":151,"name":"Denver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54"/>
        <v>start /low /b %USERPROFILE%\Documents\GitHub\eaglep3\Utilities\DownloadLogsFromS3.py --loco 4018 --day 2018-01-14</v>
      </c>
      <c r="AN154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56"/>
        <v>https://d0f6bd738d7f1b3e5a7ca70fe4ff75f0.us-east-1.aws.found.io/app/kibana#/discover/Steve-Slow-Train-Analysis-(2080s-and-2083s)?_g=(refreshInterval:(display:Off,pause:!f,section:0,value:0),time:(from:'2018-01-14T22:07:09-0700',mode:absolute,to:'2018-01-15T01:05:38-0700'))&amp;_a=(columns:!('Message%20ID',Summary),filters:!(),index:'emp_*',interval:auto,query:(query_string:(analyze_wildcard:!t,query:'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895</v>
      </c>
      <c r="B155" s="225">
        <v>4017</v>
      </c>
      <c r="C155" s="227" t="s">
        <v>191</v>
      </c>
      <c r="D155" s="227" t="s">
        <v>632</v>
      </c>
      <c r="E155" s="226">
        <v>43115.005439814813</v>
      </c>
      <c r="F155" s="226">
        <v>43115.018912037034</v>
      </c>
      <c r="G155" s="225">
        <v>52</v>
      </c>
      <c r="H155" s="227" t="s">
        <v>1032</v>
      </c>
      <c r="I155" s="226">
        <v>43115.044594907406</v>
      </c>
      <c r="J155" s="225">
        <v>0</v>
      </c>
      <c r="K155" s="237" t="str">
        <f>IF(ISEVEN(B155),(B155-1)&amp;"/"&amp;B155,B155&amp;"/"&amp;(B155+1))</f>
        <v>4017/4018</v>
      </c>
      <c r="L155" s="245" t="str">
        <f>VLOOKUP(A155,'Trips&amp;Operators'!$C$1:$G$99911,5,FALSE)</f>
        <v>PAGE MARCUS</v>
      </c>
      <c r="M155" s="224">
        <f>I155-F155</f>
        <v>2.5682870371383615E-2</v>
      </c>
      <c r="N155" s="225">
        <f>24*60*SUM($M155:$M155)</f>
        <v>36.983333334792405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-14T23:07:50-0700',mode:absolute,to:'2018-01-15T02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23.302499999999998</v>
      </c>
      <c r="Z155" s="247">
        <f>RIGHT(H155,LEN(H155)-4)/10000</f>
        <v>1.24E-2</v>
      </c>
      <c r="AA155" s="247">
        <f>ABS(Z155-Y155)</f>
        <v>23.290099999999999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240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 &amp; aws s3 cp s3://rtdc.mdm.uploadarchive.raw/RTDC4017/ "%USERPROFILE%\AppData\Local\Temp\OnboardLogs"\RTDC4017\2018-01-16 --exclude "*" --recursive --include "*20180116*" &amp; "%USERPROFILE%\Documents\GitHub\mrs-test-scripts\Headless Mode &amp; Sideloading\WalkAndUnGZ.bat" "%USERPROFILE%\AppData\Local\Temp\OnboardLogs"\RTDC4017\2018-01-16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/stypes="app*4017*20180115*"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52"/>
        <v>"%USERPROFILE%\Documents\GitHub\eaglep3\Utilities\RefineRTDCRunTimes.py" --tripid 240-14 --locoid 4017 --swversion DE.1.0.9.0 --startMP 204:233025 --initTime 2018-01-15T00:07:50 --startdatetime 2018-01-15T00:27:14 --delay 52 --endMP 204:124 --enddatetime 2018-01-15T01:04:13 --enforcementcount 0 &gt;&gt;%USERPROFILE%\Documents\GitHub\eaglep3-reporting\EC\2018-01-14-refined-times.txt</v>
      </c>
      <c r="AI155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{"issue":{"subject":"","project_id":79,"tracker_id":40,"status_id":1,"priority_id":2,"assigned_to_id":338,"start_date":"2018-01-15","description":"","custom_fields":[{"id":1,"name":"Subdivision","value":"EC"},{"id":4,"name":"Milepost","value":"0.0124"},{"id":17,"name":"Train ID","value":"240-14"},{"id":16,"name":"Locomotive ID","value":"4017"},{"id":130,"name":"Impact","value":""},{"id":150,"name":"Time of Event (Mountain Time)","value":"01:04:13"},{"id":151,"name":"Denver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54"/>
        <v>start /low /b %USERPROFILE%\Documents\GitHub\eaglep3\Utilities\DownloadLogsFromS3.py --loco 4017 --day 2018-01-15</v>
      </c>
      <c r="AN155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56"/>
        <v>https://d0f6bd738d7f1b3e5a7ca70fe4ff75f0.us-east-1.aws.found.io/app/kibana#/discover/Steve-Slow-Train-Analysis-(2080s-and-2083s)?_g=(refreshInterval:(display:Off,pause:!f,section:0,value:0),time:(from:'2018-01-14T23:07:50-0700',mode:absolute,to:'2018-01-15T02:04:13-0700'))&amp;_a=(columns:!('Message%20ID',Summary),filters:!(),index:'emp_*',interval:auto,query:(query_string:(analyze_wildcard:!t,query:'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894</v>
      </c>
      <c r="B156" s="225">
        <v>4050</v>
      </c>
      <c r="C156" s="227" t="s">
        <v>191</v>
      </c>
      <c r="D156" s="227" t="s">
        <v>479</v>
      </c>
      <c r="E156" s="226">
        <v>43114.995057870372</v>
      </c>
      <c r="F156" s="226">
        <v>43115.000324074077</v>
      </c>
      <c r="G156" s="225">
        <v>64</v>
      </c>
      <c r="H156" s="227" t="s">
        <v>931</v>
      </c>
      <c r="I156" s="226">
        <v>43115.024548611109</v>
      </c>
      <c r="J156" s="225">
        <v>0</v>
      </c>
      <c r="K156" s="237" t="str">
        <f>IF(ISEVEN(B156),(B156-1)&amp;"/"&amp;B156,B156&amp;"/"&amp;(B156+1))</f>
        <v>4049/4050</v>
      </c>
      <c r="L156" s="245" t="str">
        <f>VLOOKUP(A156,'Trips&amp;Operators'!$C$1:$G$99911,5,FALSE)</f>
        <v>HAMMOND JUSTYNN</v>
      </c>
      <c r="M156" s="224">
        <f>I156-F156</f>
        <v>2.4224537031841464E-2</v>
      </c>
      <c r="N156" s="225">
        <f>24*60*SUM($M156:$M156)</f>
        <v>34.883333325851709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-14T22:52:53-0700',mode:absolute,to:'2018-01-15T01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5.3699999999999998E-2</v>
      </c>
      <c r="Z156" s="247">
        <f>RIGHT(H156,LEN(H156)-4)/10000</f>
        <v>23.3263</v>
      </c>
      <c r="AA156" s="247">
        <f>ABS(Z156-Y156)</f>
        <v>23.272600000000001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241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 &amp; aws s3 cp s3://rtdc.mdm.uploadarchive.raw/RTDC4050/ "%USERPROFILE%\AppData\Local\Temp\OnboardLogs"\RTDC4050\2018-01-16 --exclude "*" --recursive --include "*20180116*" &amp; "%USERPROFILE%\Documents\GitHub\mrs-test-scripts\Headless Mode &amp; Sideloading\WalkAndUnGZ.bat" "%USERPROFILE%\AppData\Local\Temp\OnboardLogs"\RTDC4050\2018-01-16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/stypes="app*4050*20180115*"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52"/>
        <v>"%USERPROFILE%\Documents\GitHub\eaglep3\Utilities\RefineRTDCRunTimes.py" --tripid 241-14 --locoid 4050 --swversion DE.1.0.9.0 --startMP 204:537 --initTime 2018-01-14T23:52:53 --startdatetime 2018-01-15T00:00:28 --delay 64 --endMP 204:233263 --enddatetime 2018-01-15T00:35:21 --enforcementcount 0 &gt;&gt;%USERPROFILE%\Documents\GitHub\eaglep3-reporting\EC\2018-01-14-refined-times.txt</v>
      </c>
      <c r="AI156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{"issue":{"subject":"","project_id":79,"tracker_id":40,"status_id":1,"priority_id":2,"assigned_to_id":338,"start_date":"2018-01-15","description":"","custom_fields":[{"id":1,"name":"Subdivision","value":"EC"},{"id":4,"name":"Milepost","value":"23.3263"},{"id":17,"name":"Train ID","value":"241-14"},{"id":16,"name":"Locomotive ID","value":"4050"},{"id":130,"name":"Impact","value":""},{"id":150,"name":"Time of Event (Mountain Time)","value":"00:35:21"},{"id":151,"name":"Denver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54"/>
        <v>start /low /b %USERPROFILE%\Documents\GitHub\eaglep3\Utilities\DownloadLogsFromS3.py --loco 4050 --day 2018-01-15</v>
      </c>
      <c r="AN156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07:35:21"},{"id":29,"name":"Sharepoint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56"/>
        <v>https://d0f6bd738d7f1b3e5a7ca70fe4ff75f0.us-east-1.aws.found.io/app/kibana#/discover/Steve-Slow-Train-Analysis-(2080s-and-2083s)?_g=(refreshInterval:(display:Off,pause:!f,section:0,value:0),time:(from:'2018-01-14T22:52:53-0700',mode:absolute,to:'2018-01-15T01:35:21-0700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901</v>
      </c>
      <c r="B157" s="225">
        <v>4049</v>
      </c>
      <c r="C157" s="227" t="s">
        <v>191</v>
      </c>
      <c r="D157" s="227" t="s">
        <v>497</v>
      </c>
      <c r="E157" s="226">
        <v>43115.03434027778</v>
      </c>
      <c r="F157" s="226">
        <v>43115.039756944447</v>
      </c>
      <c r="G157" s="225">
        <v>58</v>
      </c>
      <c r="H157" s="227" t="s">
        <v>506</v>
      </c>
      <c r="I157" s="226">
        <v>43115.065254629626</v>
      </c>
      <c r="J157" s="225">
        <v>0</v>
      </c>
      <c r="K157" s="237" t="str">
        <f>IF(ISEVEN(B157),(B157-1)&amp;"/"&amp;B157,B157&amp;"/"&amp;(B157+1))</f>
        <v>4049/4050</v>
      </c>
      <c r="L157" s="245" t="str">
        <f>VLOOKUP(A157,'Trips&amp;Operators'!$C$1:$G$99911,5,FALSE)</f>
        <v>HAMMOND JUSTYNN</v>
      </c>
      <c r="M157" s="224">
        <f>I157-F157</f>
        <v>2.5497685179288965E-2</v>
      </c>
      <c r="N157" s="225">
        <f>24*60*SUM($M157:$M157)</f>
        <v>36.716666658176109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-14T23:49:27-0700',mode:absolute,to:'2018-01-15T02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23.295500000000001</v>
      </c>
      <c r="Z157" s="247">
        <f>RIGHT(H157,LEN(H157)-4)/10000</f>
        <v>1.5699999999999999E-2</v>
      </c>
      <c r="AA157" s="247">
        <f>ABS(Z157-Y157)</f>
        <v>23.279800000000002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242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 &amp; aws s3 cp s3://rtdc.mdm.uploadarchive.raw/RTDC4049/ "%USERPROFILE%\AppData\Local\Temp\OnboardLogs"\RTDC4049\2018-01-16 --exclude "*" --recursive --include "*20180116*" &amp; "%USERPROFILE%\Documents\GitHub\mrs-test-scripts\Headless Mode &amp; Sideloading\WalkAndUnGZ.bat" "%USERPROFILE%\AppData\Local\Temp\OnboardLogs"\RTDC4049\2018-01-16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/stypes="app*4049*20180115*"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52"/>
        <v>"%USERPROFILE%\Documents\GitHub\eaglep3\Utilities\RefineRTDCRunTimes.py" --tripid 242-14 --locoid 4049 --swversion DE.1.0.9.0 --startMP 204:232955 --initTime 2018-01-15T00:49:27 --startdatetime 2018-01-15T00:57:15 --delay 58 --endMP 204:157 --enddatetime 2018-01-15T01:33:58 --enforcementcount 0 &gt;&gt;%USERPROFILE%\Documents\GitHub\eaglep3-reporting\EC\2018-01-14-refined-times.txt</v>
      </c>
      <c r="AI157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{"issue":{"subject":"","project_id":79,"tracker_id":40,"status_id":1,"priority_id":2,"assigned_to_id":338,"start_date":"2018-01-15","description":"","custom_fields":[{"id":1,"name":"Subdivision","value":"EC"},{"id":4,"name":"Milepost","value":"0.0157"},{"id":17,"name":"Train ID","value":"242-14"},{"id":16,"name":"Locomotive ID","value":"4049"},{"id":130,"name":"Impact","value":""},{"id":150,"name":"Time of Event (Mountain Time)","value":"01:33:58"},{"id":151,"name":"Denver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54"/>
        <v>start /low /b %USERPROFILE%\Documents\GitHub\eaglep3\Utilities\DownloadLogsFromS3.py --loco 4049 --day 2018-01-15</v>
      </c>
      <c r="AN157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56"/>
        <v>https://d0f6bd738d7f1b3e5a7ca70fe4ff75f0.us-east-1.aws.found.io/app/kibana#/discover/Steve-Slow-Train-Analysis-(2080s-and-2083s)?_g=(refreshInterval:(display:Off,pause:!f,section:0,value:0),time:(from:'2018-01-14T23:49:27-0700',mode:absolute,to:'2018-01-15T02:33:58-0700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29" t="s">
        <v>896</v>
      </c>
      <c r="B158" s="225">
        <v>4022</v>
      </c>
      <c r="C158" s="227" t="s">
        <v>191</v>
      </c>
      <c r="D158" s="227" t="s">
        <v>1033</v>
      </c>
      <c r="E158" s="226">
        <v>43115.005624999998</v>
      </c>
      <c r="F158" s="226">
        <v>43115.021087962959</v>
      </c>
      <c r="G158" s="225">
        <v>716</v>
      </c>
      <c r="H158" s="227" t="s">
        <v>534</v>
      </c>
      <c r="I158" s="226">
        <v>43115.045069444444</v>
      </c>
      <c r="J158" s="225">
        <v>0</v>
      </c>
      <c r="K158" s="237" t="str">
        <f>IF(ISEVEN(B158),(B158-1)&amp;"/"&amp;B158,B158&amp;"/"&amp;(B158+1))</f>
        <v>4021/4022</v>
      </c>
      <c r="L158" s="245" t="str">
        <f>VLOOKUP(A158,'Trips&amp;Operators'!$C$1:$G$99911,5,FALSE)</f>
        <v>GUNTHIER ERIC</v>
      </c>
      <c r="M158" s="224">
        <f>I158-F158</f>
        <v>2.3981481484952383E-2</v>
      </c>
      <c r="N158" s="225">
        <f>24*60*SUM($M158:$M158)</f>
        <v>34.533333338331431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-14T23:08:06-0700',mode:absolute,to:'2018-01-15T02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5.57E-2</v>
      </c>
      <c r="Z158" s="247">
        <f>RIGHT(H158,LEN(H158)-4)/10000</f>
        <v>23.328800000000001</v>
      </c>
      <c r="AA158" s="247">
        <f>ABS(Z158-Y158)</f>
        <v>23.273099999999999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 &amp; aws s3 cp s3://rtdc.mdm.uploadarchive.raw/RTDC4022/ "%USERPROFILE%\AppData\Local\Temp\OnboardLogs"\RTDC4022\2018-01-16 --exclude "*" --recursive --include "*20180116*" &amp; "%USERPROFILE%\Documents\GitHub\mrs-test-scripts\Headless Mode &amp; Sideloading\WalkAndUnGZ.bat" "%USERPROFILE%\AppData\Local\Temp\OnboardLogs"\RTDC4022\2018-01-16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/stypes="app*4022*20180115*"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52"/>
        <v>"%USERPROFILE%\Documents\GitHub\eaglep3\Utilities\RefineRTDCRunTimes.py" --tripid 243-14 --locoid 4022 --swversion DE.1.0.9.0 --startMP 204:557 --initTime 2018-01-15T00:08:06 --startdatetime 2018-01-15T00:30:22 --delay 716 --endMP 204:233288 --enddatetime 2018-01-15T01:04:54 --enforcementcount 0 &gt;&gt;%USERPROFILE%\Documents\GitHub\eaglep3-reporting\EC\2018-01-14-refined-times.txt</v>
      </c>
      <c r="AI158" s="238" t="str">
        <f t="shared" si="53"/>
        <v>echo {"issue":{"subject":"","project_id":79,"tracker_id":40,"status_id":1,"priority_id":2,"assigned_to_id":338,"start_date":"2018-01-15","description":"","custom_fields":[{"id":1,"name":"Subdivision","value":"EC"},{"id":4,"name":"Milepost","value":"23.3288"},{"id":17,"name":"Train ID","value":"243-14"},{"id":16,"name":"Locomotive ID","value":"4022"},{"id":130,"name":"Impact","value":""},{"id":150,"name":"Time of Event (Mountain Time)","value":"01:04:54"},{"id":151,"name":"Denver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54"/>
        <v>start /low /b %USERPROFILE%\Documents\GitHub\eaglep3\Utilities\DownloadLogsFromS3.py --loco 4022 --day 2018-01-15</v>
      </c>
      <c r="AN158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56"/>
        <v>https://d0f6bd738d7f1b3e5a7ca70fe4ff75f0.us-east-1.aws.found.io/app/kibana#/discover/Steve-Slow-Train-Analysis-(2080s-and-2083s)?_g=(refreshInterval:(display:Off,pause:!f,section:0,value:0),time:(from:'2018-01-14T23:08:06-0700',mode:absolute,to:'2018-01-15T02:04:54-0700'))&amp;_a=(columns:!('Message%20ID',Summary),filters:!(),index:'emp_*',interval:auto,query:(query_string:(analyze_wildcard:!t,query:'%22rtdc.l.rtdc.4022%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903</v>
      </c>
      <c r="B159" s="225">
        <v>4021</v>
      </c>
      <c r="C159" s="227" t="s">
        <v>191</v>
      </c>
      <c r="D159" s="227" t="s">
        <v>1033</v>
      </c>
      <c r="E159" s="226">
        <v>43115.005624999998</v>
      </c>
      <c r="F159" s="226">
        <v>43115.060601851852</v>
      </c>
      <c r="G159" s="225">
        <v>716</v>
      </c>
      <c r="H159" s="227" t="s">
        <v>534</v>
      </c>
      <c r="I159" s="226">
        <v>43115.086053240739</v>
      </c>
      <c r="J159" s="225">
        <v>0</v>
      </c>
      <c r="K159" s="237" t="str">
        <f>IF(ISEVEN(B159),(B159-1)&amp;"/"&amp;B159,B159&amp;"/"&amp;(B159+1))</f>
        <v>4021/4022</v>
      </c>
      <c r="L159" s="245" t="str">
        <f>VLOOKUP(A159,'Trips&amp;Operators'!$C$1:$G$99911,5,FALSE)</f>
        <v>GUNTHIER ERIC</v>
      </c>
      <c r="M159" s="224">
        <f>I159-F159</f>
        <v>2.545138888672227E-2</v>
      </c>
      <c r="N159" s="225">
        <f>24*60*SUM($M159:$M159)</f>
        <v>36.649999996880069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-14T23:08:06-0700',mode:absolute,to:'2018-01-15T03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v>23.273700000000002</v>
      </c>
      <c r="Z159" s="247">
        <v>1.35E-2</v>
      </c>
      <c r="AA159" s="247">
        <f>ABS(Z159-Y159)</f>
        <v>23.260200000000001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 &amp; aws s3 cp s3://rtdc.mdm.uploadarchive.raw/RTDC4021/ "%USERPROFILE%\AppData\Local\Temp\OnboardLogs"\RTDC4021\2018-01-16 --exclude "*" --recursive --include "*20180116*" &amp; "%USERPROFILE%\Documents\GitHub\mrs-test-scripts\Headless Mode &amp; Sideloading\WalkAndUnGZ.bat" "%USERPROFILE%\AppData\Local\Temp\OnboardLogs"\RTDC4021\2018-01-16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/stypes="app*4021*20180115*"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ref="AH159" si="57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244-14 --locoid 4021 --swversion DE.1.0.9.0 --startMP 204:557 --initTime 2018-01-15T00:08:06 --startdatetime 2018-01-15T01:27:16 --delay 716 --endMP 204:233288 --enddatetime 2018-01-15T02:03:55 --enforcementcount 0 &gt;&gt;%USERPROFILE%\Documents\GitHub\eaglep3-reporting\EC\2018-01-14-refined-times.txt</v>
      </c>
      <c r="AI159" s="238" t="str">
        <f t="shared" ref="AI159" si="58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{"issue":{"subject":"","project_id":79,"tracker_id":40,"status_id":1,"priority_id":2,"assigned_to_id":338,"start_date":"2018-01-15","description":"","custom_fields":[{"id":1,"name":"Subdivision","value":"EC"},{"id":4,"name":"Milepost","value":"0.0135"},{"id":17,"name":"Train ID","value":"244-14"},{"id":16,"name":"Locomotive ID","value":"4021"},{"id":130,"name":"Impact","value":""},{"id":150,"name":"Time of Event (Mountain Time)","value":"02:03:55"},{"id":151,"name":"Denver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59">"start /low /b "&amp;dls3logs&amp;" --loco "&amp;B159&amp;" --day "&amp;TEXT(F159,"YYYY-MM-DD")</f>
        <v>start /low /b %USERPROFILE%\Documents\GitHub\eaglep3\Utilities\DownloadLogsFromS3.py --loco 4021 --day 2018-01-15</v>
      </c>
      <c r="AN159" s="241" t="str">
        <f t="shared" ref="AN159" si="60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09:03:55"},{"id":29,"name":"Sharepoint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61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-14T23:08:06-0700',mode:absolute,to:'2018-01-15T03:03:55-0700'))&amp;_a=(columns:!('Message%20ID',Summary),filters:!(),index:'emp_*',interval:auto,query:(query_string:(analyze_wildcard:!t,query:'%22rtdc.l.rtdc.4021%22')),sort:!(Time.ISO8601,asc))</v>
      </c>
    </row>
    <row r="160" spans="1:91" s="223" customFormat="1" x14ac:dyDescent="0.3">
      <c r="A160" s="229" t="s">
        <v>732</v>
      </c>
      <c r="B160" s="225">
        <v>4001</v>
      </c>
      <c r="C160" s="227" t="s">
        <v>191</v>
      </c>
      <c r="D160" s="227" t="s">
        <v>980</v>
      </c>
      <c r="E160" s="226">
        <v>43114.2340625</v>
      </c>
      <c r="F160" s="226">
        <v>43114.235659722224</v>
      </c>
      <c r="G160" s="225">
        <v>57</v>
      </c>
      <c r="H160" s="227" t="s">
        <v>981</v>
      </c>
      <c r="I160" s="226">
        <v>43114.246412037035</v>
      </c>
      <c r="J160" s="225">
        <v>0</v>
      </c>
      <c r="K160" s="237" t="str">
        <f>IF(ISEVEN(B160),(B160-1)&amp;"/"&amp;B160,B160&amp;"/"&amp;(B160+1))</f>
        <v>4001/4002</v>
      </c>
      <c r="L160" s="245" t="str">
        <f>VLOOKUP(A160,'Trips&amp;Operators'!$C$1:$G$99911,5,FALSE)</f>
        <v>GONZALEZ ARMANDO</v>
      </c>
      <c r="M160" s="224">
        <f>I160-F160</f>
        <v>1.0752314810815733E-2</v>
      </c>
      <c r="N160" s="225">
        <f>24*60*SUM($M160:$M160)</f>
        <v>15.483333327574655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-14T04:37:03-0700',mode:absolute,to:'2018-01-14T06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1556</v>
      </c>
      <c r="Y160" s="247">
        <f>RIGHT(D160,LEN(D160)-4)/10000</f>
        <v>5.8651</v>
      </c>
      <c r="Z160" s="247">
        <f>RIGHT(H160,LEN(H160)-4)/10000</f>
        <v>1.46E-2</v>
      </c>
      <c r="AA160" s="247">
        <f>ABS(Z160-Y160)</f>
        <v>5.8505000000000003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/stypes="app*4001*20180114*"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52"/>
        <v>"%USERPROFILE%\Documents\GitHub\eaglep3\Utilities\RefineRTDCRunTimes.py" --tripid 1800-14 --locoid 4001 --swversion DE.1.0.9.0 --startMP 300:58651 --initTime 2018-01-14T05:37:03 --startdatetime 2018-01-14T05:39:21 --delay 57 --endMP 204:146 --enddatetime 2018-01-14T05:54:50 --enforcementcount 0 &gt;&gt;%USERPROFILE%\Documents\GitHub\eaglep3-reporting\EC\2018-01-14-refined-times.txt</v>
      </c>
      <c r="AI160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{"issue":{"subject":"","project_id":79,"tracker_id":40,"status_id":1,"priority_id":2,"assigned_to_id":338,"start_date":"2018-01-14","description":"","custom_fields":[{"id":1,"name":"Subdivision","value":"NW"},{"id":4,"name":"Milepost","value":"0.0146"},{"id":17,"name":"Train ID","value":"1800-14"},{"id":16,"name":"Locomotive ID","value":"4001"},{"id":130,"name":"Impact","value":""},{"id":150,"name":"Time of Event (Mountain Time)","value":"05:54:50"},{"id":151,"name":"Denver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54"/>
        <v>start /low /b %USERPROFILE%\Documents\GitHub\eaglep3\Utilities\DownloadLogsFromS3.py --loco 4001 --day 2018-01-14</v>
      </c>
      <c r="AN160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56"/>
        <v>https://d0f6bd738d7f1b3e5a7ca70fe4ff75f0.us-east-1.aws.found.io/app/kibana#/discover/Steve-Slow-Train-Analysis-(2080s-and-2083s)?_g=(refreshInterval:(display:Off,pause:!f,section:0,value:0),time:(from:'2018-01-14T04:37:03-0700',mode:absolute,to:'2018-01-14T06:54:50-0700'))&amp;_a=(columns:!('Message%20ID',Summary),filters:!(),index:'emp_*',interval:auto,query:(query_string:(analyze_wildcard:!t,query:'%22rtdc.l.rtdc.4001%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680</v>
      </c>
      <c r="B161" s="225">
        <v>4002</v>
      </c>
      <c r="C161" s="227" t="s">
        <v>191</v>
      </c>
      <c r="D161" s="227" t="s">
        <v>674</v>
      </c>
      <c r="E161" s="226">
        <v>43114.248020833336</v>
      </c>
      <c r="F161" s="226">
        <v>43114.256423611114</v>
      </c>
      <c r="G161" s="225">
        <v>71</v>
      </c>
      <c r="H161" s="227" t="s">
        <v>560</v>
      </c>
      <c r="I161" s="226">
        <v>43114.266099537039</v>
      </c>
      <c r="J161" s="225">
        <v>0</v>
      </c>
      <c r="K161" s="237" t="str">
        <f>IF(ISEVEN(B161),(B161-1)&amp;"/"&amp;B161,B161&amp;"/"&amp;(B161+1))</f>
        <v>4001/4002</v>
      </c>
      <c r="L161" s="245" t="str">
        <f>VLOOKUP(A161,'Trips&amp;Operators'!$C$1:$G$99911,5,FALSE)</f>
        <v>GONZALEZ ARMANDO</v>
      </c>
      <c r="M161" s="224">
        <f>I161-F161</f>
        <v>9.6759259249665774E-3</v>
      </c>
      <c r="N161" s="225">
        <f>24*60*SUM($M161:$M161)</f>
        <v>13.933333331951872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-14T04:57:09-0700',mode:absolute,to:'2018-01-14T07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4.3700000000000003E-2</v>
      </c>
      <c r="Z161" s="247">
        <f>RIGHT(H161,LEN(H161)-4)/10000</f>
        <v>5.8949999999999996</v>
      </c>
      <c r="AA161" s="247">
        <f>ABS(Z161-Y161)</f>
        <v>5.8512999999999993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/stypes="app*4002*20180114*"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52"/>
        <v>"%USERPROFILE%\Documents\GitHub\eaglep3\Utilities\RefineRTDCRunTimes.py" --tripid 1801-14 --locoid 4002 --swversion DE.1.0.9.0 --startMP 204:437 --initTime 2018-01-14T05:57:09 --startdatetime 2018-01-14T06:09:15 --delay 71 --endMP 300:58950 --enddatetime 2018-01-14T06:23:11 --enforcementcount 0 &gt;&gt;%USERPROFILE%\Documents\GitHub\eaglep3-reporting\EC\2018-01-14-refined-times.txt</v>
      </c>
      <c r="AI161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{"issue":{"subject":"","project_id":79,"tracker_id":40,"status_id":1,"priority_id":2,"assigned_to_id":338,"start_date":"2018-01-14","description":"","custom_fields":[{"id":1,"name":"Subdivision","value":"NW"},{"id":4,"name":"Milepost","value":"5.895"},{"id":17,"name":"Train ID","value":"1801-14"},{"id":16,"name":"Locomotive ID","value":"4002"},{"id":130,"name":"Impact","value":""},{"id":150,"name":"Time of Event (Mountain Time)","value":"06:23:11"},{"id":151,"name":"Denver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54"/>
        <v>start /low /b %USERPROFILE%\Documents\GitHub\eaglep3\Utilities\DownloadLogsFromS3.py --loco 4002 --day 2018-01-14</v>
      </c>
      <c r="AN161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56"/>
        <v>https://d0f6bd738d7f1b3e5a7ca70fe4ff75f0.us-east-1.aws.found.io/app/kibana#/discover/Steve-Slow-Train-Analysis-(2080s-and-2083s)?_g=(refreshInterval:(display:Off,pause:!f,section:0,value:0),time:(from:'2018-01-14T04:57:09-0700',mode:absolute,to:'2018-01-14T07:23:11-0700'))&amp;_a=(columns:!('Message%20ID',Summary),filters:!(),index:'emp_*',interval:auto,query:(query_string:(analyze_wildcard:!t,query:'%22rtdc.l.rtdc.4002%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736</v>
      </c>
      <c r="B162" s="225">
        <v>4001</v>
      </c>
      <c r="C162" s="227" t="s">
        <v>191</v>
      </c>
      <c r="D162" s="227" t="s">
        <v>670</v>
      </c>
      <c r="E162" s="226">
        <v>43114.269004629627</v>
      </c>
      <c r="F162" s="226">
        <v>43114.279386574075</v>
      </c>
      <c r="G162" s="225">
        <v>52</v>
      </c>
      <c r="H162" s="227" t="s">
        <v>506</v>
      </c>
      <c r="I162" s="226">
        <v>43114.287858796299</v>
      </c>
      <c r="J162" s="225">
        <v>0</v>
      </c>
      <c r="K162" s="237" t="str">
        <f>IF(ISEVEN(B162),(B162-1)&amp;"/"&amp;B162,B162&amp;"/"&amp;(B162+1))</f>
        <v>4001/4002</v>
      </c>
      <c r="L162" s="245" t="str">
        <f>VLOOKUP(A162,'Trips&amp;Operators'!$C$1:$G$99911,5,FALSE)</f>
        <v>GONZALEZ ARMANDO</v>
      </c>
      <c r="M162" s="224">
        <f>I162-F162</f>
        <v>8.4722222236450762E-3</v>
      </c>
      <c r="N162" s="225">
        <f>24*60*SUM($M162:$M162)</f>
        <v>12.20000000204891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-14T05:27:22-0700',mode:absolute,to:'2018-01-14T07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5.8647</v>
      </c>
      <c r="Z162" s="247">
        <f>RIGHT(H162,LEN(H162)-4)/10000</f>
        <v>1.5699999999999999E-2</v>
      </c>
      <c r="AA162" s="247">
        <f>ABS(Z162-Y162)</f>
        <v>5.8490000000000002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/stypes="app*4001*20180114*"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52"/>
        <v>"%USERPROFILE%\Documents\GitHub\eaglep3\Utilities\RefineRTDCRunTimes.py" --tripid 1802-14 --locoid 4001 --swversion DE.1.0.9.0 --startMP 300:58647 --initTime 2018-01-14T06:27:22 --startdatetime 2018-01-14T06:42:19 --delay 52 --endMP 204:157 --enddatetime 2018-01-14T06:54:31 --enforcementcount 0 &gt;&gt;%USERPROFILE%\Documents\GitHub\eaglep3-reporting\EC\2018-01-14-refined-times.txt</v>
      </c>
      <c r="AI162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{"issue":{"subject":"","project_id":79,"tracker_id":40,"status_id":1,"priority_id":2,"assigned_to_id":338,"start_date":"2018-01-14","description":"","custom_fields":[{"id":1,"name":"Subdivision","value":"NW"},{"id":4,"name":"Milepost","value":"0.0157"},{"id":17,"name":"Train ID","value":"1802-14"},{"id":16,"name":"Locomotive ID","value":"4001"},{"id":130,"name":"Impact","value":""},{"id":150,"name":"Time of Event (Mountain Time)","value":"06:54:31"},{"id":151,"name":"Denver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54"/>
        <v>start /low /b %USERPROFILE%\Documents\GitHub\eaglep3\Utilities\DownloadLogsFromS3.py --loco 4001 --day 2018-01-14</v>
      </c>
      <c r="AN162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56"/>
        <v>https://d0f6bd738d7f1b3e5a7ca70fe4ff75f0.us-east-1.aws.found.io/app/kibana#/discover/Steve-Slow-Train-Analysis-(2080s-and-2083s)?_g=(refreshInterval:(display:Off,pause:!f,section:0,value:0),time:(from:'2018-01-14T05:27:22-0700',mode:absolute,to:'2018-01-14T07:54:31-0700'))&amp;_a=(columns:!('Message%20ID',Summary),filters:!(),index:'emp_*',interval:auto,query:(query_string:(analyze_wildcard:!t,query:'%22rtdc.l.rtdc.4001%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744</v>
      </c>
      <c r="B163" s="225">
        <v>4002</v>
      </c>
      <c r="C163" s="227" t="s">
        <v>191</v>
      </c>
      <c r="D163" s="227" t="s">
        <v>671</v>
      </c>
      <c r="E163" s="226">
        <v>43114.294560185182</v>
      </c>
      <c r="F163" s="226">
        <v>43114.298101851855</v>
      </c>
      <c r="G163" s="225">
        <v>61</v>
      </c>
      <c r="H163" s="227" t="s">
        <v>982</v>
      </c>
      <c r="I163" s="226">
        <v>43114.307881944442</v>
      </c>
      <c r="J163" s="225">
        <v>0</v>
      </c>
      <c r="K163" s="237" t="str">
        <f>IF(ISEVEN(B163),(B163-1)&amp;"/"&amp;B163,B163&amp;"/"&amp;(B163+1))</f>
        <v>4001/4002</v>
      </c>
      <c r="L163" s="245" t="str">
        <f>VLOOKUP(A163,'Trips&amp;Operators'!$C$1:$G$99911,5,FALSE)</f>
        <v>GONZALEZ ARMANDO</v>
      </c>
      <c r="M163" s="224">
        <f>I163-F163</f>
        <v>9.7800925868796185E-3</v>
      </c>
      <c r="N163" s="225">
        <f>24*60*SUM($M163:$M163)</f>
        <v>14.083333325106651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-14T06:04:10-0700',mode:absolute,to:'2018-01-14T08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4.5900000000000003E-2</v>
      </c>
      <c r="Z163" s="247">
        <f>RIGHT(H163,LEN(H163)-4)/10000</f>
        <v>5.8960999999999997</v>
      </c>
      <c r="AA163" s="247">
        <f>ABS(Z163-Y163)</f>
        <v>5.8502000000000001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/stypes="app*4002*20180114*"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52"/>
        <v>"%USERPROFILE%\Documents\GitHub\eaglep3\Utilities\RefineRTDCRunTimes.py" --tripid 1803-14 --locoid 4002 --swversion DE.1.0.9.0 --startMP 204:459 --initTime 2018-01-14T07:04:10 --startdatetime 2018-01-14T07:09:16 --delay 61 --endMP 300:58961 --enddatetime 2018-01-14T07:23:21 --enforcementcount 0 &gt;&gt;%USERPROFILE%\Documents\GitHub\eaglep3-reporting\EC\2018-01-14-refined-times.txt</v>
      </c>
      <c r="AI163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{"issue":{"subject":"","project_id":79,"tracker_id":40,"status_id":1,"priority_id":2,"assigned_to_id":338,"start_date":"2018-01-14","description":"","custom_fields":[{"id":1,"name":"Subdivision","value":"NW"},{"id":4,"name":"Milepost","value":"5.8961"},{"id":17,"name":"Train ID","value":"1803-14"},{"id":16,"name":"Locomotive ID","value":"4002"},{"id":130,"name":"Impact","value":""},{"id":150,"name":"Time of Event (Mountain Time)","value":"07:23:21"},{"id":151,"name":"Denver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54"/>
        <v>start /low /b %USERPROFILE%\Documents\GitHub\eaglep3\Utilities\DownloadLogsFromS3.py --loco 4002 --day 2018-01-14</v>
      </c>
      <c r="AN163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56"/>
        <v>https://d0f6bd738d7f1b3e5a7ca70fe4ff75f0.us-east-1.aws.found.io/app/kibana#/discover/Steve-Slow-Train-Analysis-(2080s-and-2083s)?_g=(refreshInterval:(display:Off,pause:!f,section:0,value:0),time:(from:'2018-01-14T06:04:10-0700',mode:absolute,to:'2018-01-14T08:23:21-0700'))&amp;_a=(columns:!('Message%20ID',Summary),filters:!(),index:'emp_*',interval:auto,query:(query_string:(analyze_wildcard:!t,query:'%22rtdc.l.rtdc.4002%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749</v>
      </c>
      <c r="B164" s="225">
        <v>4001</v>
      </c>
      <c r="C164" s="227" t="s">
        <v>191</v>
      </c>
      <c r="D164" s="227" t="s">
        <v>670</v>
      </c>
      <c r="E164" s="226">
        <v>43114.309178240743</v>
      </c>
      <c r="F164" s="226">
        <v>43114.321597222224</v>
      </c>
      <c r="G164" s="225">
        <v>59</v>
      </c>
      <c r="H164" s="227" t="s">
        <v>478</v>
      </c>
      <c r="I164" s="226">
        <v>43114.329583333332</v>
      </c>
      <c r="J164" s="225">
        <v>0</v>
      </c>
      <c r="K164" s="237" t="str">
        <f>IF(ISEVEN(B164),(B164-1)&amp;"/"&amp;B164,B164&amp;"/"&amp;(B164+1))</f>
        <v>4001/4002</v>
      </c>
      <c r="L164" s="245" t="str">
        <f>VLOOKUP(A164,'Trips&amp;Operators'!$C$1:$G$99911,5,FALSE)</f>
        <v>GONZALEZ ARMANDO</v>
      </c>
      <c r="M164" s="224">
        <f>I164-F164</f>
        <v>7.9861111080390401E-3</v>
      </c>
      <c r="N164" s="225">
        <f>24*60*SUM($M164:$M164)</f>
        <v>11.499999995576218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-14T06:25:13-0700',mode:absolute,to:'2018-01-14T08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5.8647</v>
      </c>
      <c r="Z164" s="247">
        <f>RIGHT(H164,LEN(H164)-4)/10000</f>
        <v>1.5800000000000002E-2</v>
      </c>
      <c r="AA164" s="247">
        <f>ABS(Z164-Y164)</f>
        <v>5.8489000000000004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/stypes="app*4001*20180114*"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52"/>
        <v>"%USERPROFILE%\Documents\GitHub\eaglep3\Utilities\RefineRTDCRunTimes.py" --tripid 1804-14 --locoid 4001 --swversion DE.1.0.9.0 --startMP 300:58647 --initTime 2018-01-14T07:25:13 --startdatetime 2018-01-14T07:43:06 --delay 59 --endMP 204:158 --enddatetime 2018-01-14T07:54:36 --enforcementcount 0 &gt;&gt;%USERPROFILE%\Documents\GitHub\eaglep3-reporting\EC\2018-01-14-refined-times.txt</v>
      </c>
      <c r="AI164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{"issue":{"subject":"","project_id":79,"tracker_id":40,"status_id":1,"priority_id":2,"assigned_to_id":338,"start_date":"2018-01-14","description":"","custom_fields":[{"id":1,"name":"Subdivision","value":"NW"},{"id":4,"name":"Milepost","value":"0.0158"},{"id":17,"name":"Train ID","value":"1804-14"},{"id":16,"name":"Locomotive ID","value":"4001"},{"id":130,"name":"Impact","value":""},{"id":150,"name":"Time of Event (Mountain Time)","value":"07:54:36"},{"id":151,"name":"Denver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54"/>
        <v>start /low /b %USERPROFILE%\Documents\GitHub\eaglep3\Utilities\DownloadLogsFromS3.py --loco 4001 --day 2018-01-14</v>
      </c>
      <c r="AN164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56"/>
        <v>https://d0f6bd738d7f1b3e5a7ca70fe4ff75f0.us-east-1.aws.found.io/app/kibana#/discover/Steve-Slow-Train-Analysis-(2080s-and-2083s)?_g=(refreshInterval:(display:Off,pause:!f,section:0,value:0),time:(from:'2018-01-14T06:25:13-0700',mode:absolute,to:'2018-01-14T08:54:36-0700'))&amp;_a=(columns:!('Message%20ID',Summary),filters:!(),index:'emp_*',interval:auto,query:(query_string:(analyze_wildcard:!t,query:'%22rtdc.l.rtdc.4001%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756</v>
      </c>
      <c r="B165" s="225">
        <v>4002</v>
      </c>
      <c r="C165" s="227" t="s">
        <v>191</v>
      </c>
      <c r="D165" s="227" t="s">
        <v>917</v>
      </c>
      <c r="E165" s="226">
        <v>43114.337372685186</v>
      </c>
      <c r="F165" s="226">
        <v>43114.340486111112</v>
      </c>
      <c r="G165" s="225">
        <v>208</v>
      </c>
      <c r="H165" s="227" t="s">
        <v>983</v>
      </c>
      <c r="I165" s="226">
        <v>43114.350740740738</v>
      </c>
      <c r="J165" s="225">
        <v>0</v>
      </c>
      <c r="K165" s="237" t="str">
        <f>IF(ISEVEN(B165),(B165-1)&amp;"/"&amp;B165,B165&amp;"/"&amp;(B165+1))</f>
        <v>4001/4002</v>
      </c>
      <c r="L165" s="245" t="str">
        <f>VLOOKUP(A165,'Trips&amp;Operators'!$C$1:$G$99911,5,FALSE)</f>
        <v>LANGERAK WILLIAM</v>
      </c>
      <c r="M165" s="224">
        <f>I165-F165</f>
        <v>1.0254629625706002E-2</v>
      </c>
      <c r="N165" s="225">
        <f>24*60*SUM($M165:$M165)</f>
        <v>14.766666661016643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-14T07:05:49-0700',mode:absolute,to:'2018-01-14T09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4.6199999999999998E-2</v>
      </c>
      <c r="Z165" s="247">
        <f>RIGHT(H165,LEN(H165)-4)/10000</f>
        <v>5.8954000000000004</v>
      </c>
      <c r="AA165" s="247">
        <f>ABS(Z165-Y165)</f>
        <v>5.8492000000000006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/stypes="app*4002*20180114*"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52"/>
        <v>"%USERPROFILE%\Documents\GitHub\eaglep3\Utilities\RefineRTDCRunTimes.py" --tripid 1805-14 --locoid 4002 --swversion DE.1.0.9.0 --startMP 204:462 --initTime 2018-01-14T08:05:49 --startdatetime 2018-01-14T08:10:18 --delay 208 --endMP 300:58954 --enddatetime 2018-01-14T08:25:04 --enforcementcount 0 &gt;&gt;%USERPROFILE%\Documents\GitHub\eaglep3-reporting\EC\2018-01-14-refined-times.txt</v>
      </c>
      <c r="AI165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{"issue":{"subject":"","project_id":79,"tracker_id":40,"status_id":1,"priority_id":2,"assigned_to_id":338,"start_date":"2018-01-14","description":"","custom_fields":[{"id":1,"name":"Subdivision","value":"NW"},{"id":4,"name":"Milepost","value":"5.8954"},{"id":17,"name":"Train ID","value":"1805-14"},{"id":16,"name":"Locomotive ID","value":"4002"},{"id":130,"name":"Impact","value":""},{"id":150,"name":"Time of Event (Mountain Time)","value":"08:25:04"},{"id":151,"name":"Denver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54"/>
        <v>start /low /b %USERPROFILE%\Documents\GitHub\eaglep3\Utilities\DownloadLogsFromS3.py --loco 4002 --day 2018-01-14</v>
      </c>
      <c r="AN165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56"/>
        <v>https://d0f6bd738d7f1b3e5a7ca70fe4ff75f0.us-east-1.aws.found.io/app/kibana#/discover/Steve-Slow-Train-Analysis-(2080s-and-2083s)?_g=(refreshInterval:(display:Off,pause:!f,section:0,value:0),time:(from:'2018-01-14T07:05:49-0700',mode:absolute,to:'2018-01-14T09:25:04-0700'))&amp;_a=(columns:!('Message%20ID',Summary),filters:!(),index:'emp_*',interval:auto,query:(query_string:(analyze_wildcard:!t,query:'%22rtdc.l.rtdc.4002%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762</v>
      </c>
      <c r="B166" s="225">
        <v>4001</v>
      </c>
      <c r="C166" s="227" t="s">
        <v>191</v>
      </c>
      <c r="D166" s="227" t="s">
        <v>984</v>
      </c>
      <c r="E166" s="226">
        <v>43114.352326388886</v>
      </c>
      <c r="F166" s="226">
        <v>43114.362164351849</v>
      </c>
      <c r="G166" s="225">
        <v>73</v>
      </c>
      <c r="H166" s="227" t="s">
        <v>555</v>
      </c>
      <c r="I166" s="226">
        <v>43114.37164351852</v>
      </c>
      <c r="J166" s="225">
        <v>0</v>
      </c>
      <c r="K166" s="237" t="str">
        <f>IF(ISEVEN(B166),(B166-1)&amp;"/"&amp;B166,B166&amp;"/"&amp;(B166+1))</f>
        <v>4001/4002</v>
      </c>
      <c r="L166" s="245" t="str">
        <f>VLOOKUP(A166,'Trips&amp;Operators'!$C$1:$G$99911,5,FALSE)</f>
        <v>LANGERAK WILLIAM</v>
      </c>
      <c r="M166" s="224">
        <f>I166-F166</f>
        <v>9.4791666706441902E-3</v>
      </c>
      <c r="N166" s="225">
        <f>24*60*SUM($M166:$M166)</f>
        <v>13.650000005727634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-14T07:27:21-0700',mode:absolute,to:'2018-01-14T09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5.8640999999999996</v>
      </c>
      <c r="Z166" s="247">
        <f>RIGHT(H166,LEN(H166)-4)/10000</f>
        <v>1.5299999999999999E-2</v>
      </c>
      <c r="AA166" s="247">
        <f>ABS(Z166-Y166)</f>
        <v>5.8487999999999998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/stypes="app*4001*20180114*" /stext=" 15:.+((SYSTEM_STATE.+slice.+state.+changed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52"/>
        <v>"%USERPROFILE%\Documents\GitHub\eaglep3\Utilities\RefineRTDCRunTimes.py" --tripid 1806-14 --locoid 4001 --swversion DE.1.0.9.0 --startMP 300:58641 --initTime 2018-01-14T08:27:21 --startdatetime 2018-01-14T08:41:31 --delay 73 --endMP 204:153 --enddatetime 2018-01-14T08:55:10 --enforcementcount 0 &gt;&gt;%USERPROFILE%\Documents\GitHub\eaglep3-reporting\EC\2018-01-14-refined-times.txt</v>
      </c>
      <c r="AI166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{"issue":{"subject":"","project_id":79,"tracker_id":40,"status_id":1,"priority_id":2,"assigned_to_id":338,"start_date":"2018-01-14","description":"","custom_fields":[{"id":1,"name":"Subdivision","value":"NW"},{"id":4,"name":"Milepost","value":"0.0153"},{"id":17,"name":"Train ID","value":"1806-14"},{"id":16,"name":"Locomotive ID","value":"4001"},{"id":130,"name":"Impact","value":""},{"id":150,"name":"Time of Event (Mountain Time)","value":"08:55:10"},{"id":151,"name":"Denver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54"/>
        <v>start /low /b %USERPROFILE%\Documents\GitHub\eaglep3\Utilities\DownloadLogsFromS3.py --loco 4001 --day 2018-01-14</v>
      </c>
      <c r="AN166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15:55:10"},{"id":29,"name":"Sharepoint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56"/>
        <v>https://d0f6bd738d7f1b3e5a7ca70fe4ff75f0.us-east-1.aws.found.io/app/kibana#/discover/Steve-Slow-Train-Analysis-(2080s-and-2083s)?_g=(refreshInterval:(display:Off,pause:!f,section:0,value:0),time:(from:'2018-01-14T07:27:21-0700',mode:absolute,to:'2018-01-14T09:55:10-0700'))&amp;_a=(columns:!('Message%20ID',Summary),filters:!(),index:'emp_*',interval:auto,query:(query_string:(analyze_wildcard:!t,query:'%22rtdc.l.rtdc.4001%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766</v>
      </c>
      <c r="B167" s="225">
        <v>4002</v>
      </c>
      <c r="C167" s="227" t="s">
        <v>191</v>
      </c>
      <c r="D167" s="227" t="s">
        <v>645</v>
      </c>
      <c r="E167" s="226">
        <v>43114.376956018517</v>
      </c>
      <c r="F167" s="226">
        <v>43114.38144675926</v>
      </c>
      <c r="G167" s="225">
        <v>68</v>
      </c>
      <c r="H167" s="227" t="s">
        <v>985</v>
      </c>
      <c r="I167" s="226">
        <v>43114.390729166669</v>
      </c>
      <c r="J167" s="225">
        <v>0</v>
      </c>
      <c r="K167" s="237" t="str">
        <f>IF(ISEVEN(B167),(B167-1)&amp;"/"&amp;B167,B167&amp;"/"&amp;(B167+1))</f>
        <v>4001/4002</v>
      </c>
      <c r="L167" s="245" t="str">
        <f>VLOOKUP(A167,'Trips&amp;Operators'!$C$1:$G$99911,5,FALSE)</f>
        <v>GONZALEZ ARMANDO</v>
      </c>
      <c r="M167" s="224">
        <f>I167-F167</f>
        <v>9.2824074090458453E-3</v>
      </c>
      <c r="N167" s="225">
        <f>24*60*SUM($M167:$M167)</f>
        <v>13.366666669026017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-14T08:02:49-0700',mode:absolute,to:'2018-01-14T10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4.5999999999999999E-2</v>
      </c>
      <c r="Z167" s="247">
        <f>RIGHT(H167,LEN(H167)-4)/10000</f>
        <v>5.8968999999999996</v>
      </c>
      <c r="AA167" s="247">
        <f>ABS(Z167-Y167)</f>
        <v>5.8508999999999993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/stypes="app*4002*20180114*"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52"/>
        <v>"%USERPROFILE%\Documents\GitHub\eaglep3\Utilities\RefineRTDCRunTimes.py" --tripid 1807-14 --locoid 4002 --swversion DE.1.0.9.0 --startMP 204:460 --initTime 2018-01-14T09:02:49 --startdatetime 2018-01-14T09:09:17 --delay 68 --endMP 300:58969 --enddatetime 2018-01-14T09:22:39 --enforcementcount 0 &gt;&gt;%USERPROFILE%\Documents\GitHub\eaglep3-reporting\EC\2018-01-14-refined-times.txt</v>
      </c>
      <c r="AI167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{"issue":{"subject":"","project_id":79,"tracker_id":40,"status_id":1,"priority_id":2,"assigned_to_id":338,"start_date":"2018-01-14","description":"","custom_fields":[{"id":1,"name":"Subdivision","value":"NW"},{"id":4,"name":"Milepost","value":"5.8969"},{"id":17,"name":"Train ID","value":"1807-14"},{"id":16,"name":"Locomotive ID","value":"4002"},{"id":130,"name":"Impact","value":""},{"id":150,"name":"Time of Event (Mountain Time)","value":"09:22:39"},{"id":151,"name":"Denver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54"/>
        <v>start /low /b %USERPROFILE%\Documents\GitHub\eaglep3\Utilities\DownloadLogsFromS3.py --loco 4002 --day 2018-01-14</v>
      </c>
      <c r="AN167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56"/>
        <v>https://d0f6bd738d7f1b3e5a7ca70fe4ff75f0.us-east-1.aws.found.io/app/kibana#/discover/Steve-Slow-Train-Analysis-(2080s-and-2083s)?_g=(refreshInterval:(display:Off,pause:!f,section:0,value:0),time:(from:'2018-01-14T08:02:49-0700',mode:absolute,to:'2018-01-14T10:22:39-0700'))&amp;_a=(columns:!('Message%20ID',Summary),filters:!(),index:'emp_*',interval:auto,query:(query_string:(analyze_wildcard:!t,query:'%22rtdc.l.rtdc.4002%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769</v>
      </c>
      <c r="B168" s="225">
        <v>4001</v>
      </c>
      <c r="C168" s="227" t="s">
        <v>191</v>
      </c>
      <c r="D168" s="227" t="s">
        <v>670</v>
      </c>
      <c r="E168" s="226">
        <v>43114.392002314817</v>
      </c>
      <c r="F168" s="226">
        <v>43114.404918981483</v>
      </c>
      <c r="G168" s="225">
        <v>61</v>
      </c>
      <c r="H168" s="227" t="s">
        <v>986</v>
      </c>
      <c r="I168" s="226">
        <v>43114.412777777776</v>
      </c>
      <c r="J168" s="225">
        <v>0</v>
      </c>
      <c r="K168" s="237" t="str">
        <f>IF(ISEVEN(B168),(B168-1)&amp;"/"&amp;B168,B168&amp;"/"&amp;(B168+1))</f>
        <v>4001/4002</v>
      </c>
      <c r="L168" s="245" t="str">
        <f>VLOOKUP(A168,'Trips&amp;Operators'!$C$1:$G$99911,5,FALSE)</f>
        <v>GONZALEZ ARMANDO</v>
      </c>
      <c r="M168" s="224">
        <f>I168-F168</f>
        <v>7.8587962925666943E-3</v>
      </c>
      <c r="N168" s="225">
        <f>24*60*SUM($M168:$M168)</f>
        <v>11.31666666129604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-14T08:24:29-0700',mode:absolute,to:'2018-01-14T10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5.8647</v>
      </c>
      <c r="Z168" s="247">
        <f>RIGHT(H168,LEN(H168)-4)/10000</f>
        <v>1.7299999999999999E-2</v>
      </c>
      <c r="AA168" s="247">
        <f>ABS(Z168-Y168)</f>
        <v>5.8474000000000004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/stypes="app*4001*20180114*" /stext=" 16:.+((SYSTEM_STATE.+slice.+state.+changed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52"/>
        <v>"%USERPROFILE%\Documents\GitHub\eaglep3\Utilities\RefineRTDCRunTimes.py" --tripid 1808-14 --locoid 4001 --swversion DE.1.0.9.0 --startMP 300:58647 --initTime 2018-01-14T09:24:29 --startdatetime 2018-01-14T09:43:05 --delay 61 --endMP 204:173 --enddatetime 2018-01-14T09:54:24 --enforcementcount 0 &gt;&gt;%USERPROFILE%\Documents\GitHub\eaglep3-reporting\EC\2018-01-14-refined-times.txt</v>
      </c>
      <c r="AI168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{"issue":{"subject":"","project_id":79,"tracker_id":40,"status_id":1,"priority_id":2,"assigned_to_id":338,"start_date":"2018-01-14","description":"","custom_fields":[{"id":1,"name":"Subdivision","value":"NW"},{"id":4,"name":"Milepost","value":"0.0173"},{"id":17,"name":"Train ID","value":"1808-14"},{"id":16,"name":"Locomotive ID","value":"4001"},{"id":130,"name":"Impact","value":""},{"id":150,"name":"Time of Event (Mountain Time)","value":"09:54:24"},{"id":151,"name":"Denver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54"/>
        <v>start /low /b %USERPROFILE%\Documents\GitHub\eaglep3\Utilities\DownloadLogsFromS3.py --loco 4001 --day 2018-01-14</v>
      </c>
      <c r="AN168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16:54:24"},{"id":29,"name":"Sharepoint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56"/>
        <v>https://d0f6bd738d7f1b3e5a7ca70fe4ff75f0.us-east-1.aws.found.io/app/kibana#/discover/Steve-Slow-Train-Analysis-(2080s-and-2083s)?_g=(refreshInterval:(display:Off,pause:!f,section:0,value:0),time:(from:'2018-01-14T08:24:29-0700',mode:absolute,to:'2018-01-14T10:54:24-0700'))&amp;_a=(columns:!('Message%20ID',Summary),filters:!(),index:'emp_*',interval:auto,query:(query_string:(analyze_wildcard:!t,query:'%22rtdc.l.rtdc.4001%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776</v>
      </c>
      <c r="B169" s="225">
        <v>4002</v>
      </c>
      <c r="C169" s="227" t="s">
        <v>191</v>
      </c>
      <c r="D169" s="227" t="s">
        <v>628</v>
      </c>
      <c r="E169" s="226">
        <v>43114.419756944444</v>
      </c>
      <c r="F169" s="226">
        <v>43114.423090277778</v>
      </c>
      <c r="G169" s="225">
        <v>59</v>
      </c>
      <c r="H169" s="227" t="s">
        <v>560</v>
      </c>
      <c r="I169" s="226">
        <v>43114.432650462964</v>
      </c>
      <c r="J169" s="225">
        <v>0</v>
      </c>
      <c r="K169" s="237" t="str">
        <f>IF(ISEVEN(B169),(B169-1)&amp;"/"&amp;B169,B169&amp;"/"&amp;(B169+1))</f>
        <v>4001/4002</v>
      </c>
      <c r="L169" s="245" t="str">
        <f>VLOOKUP(A169,'Trips&amp;Operators'!$C$1:$G$99911,5,FALSE)</f>
        <v>GONZALEZ ARMANDO</v>
      </c>
      <c r="M169" s="224">
        <f>I169-F169</f>
        <v>9.560185186273884E-3</v>
      </c>
      <c r="N169" s="225">
        <f>24*60*SUM($M169:$M169)</f>
        <v>13.766666668234393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-14T09:04:27-0700',mode:absolute,to:'2018-01-14T11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4.7100000000000003E-2</v>
      </c>
      <c r="Z169" s="247">
        <f>RIGHT(H169,LEN(H169)-4)/10000</f>
        <v>5.8949999999999996</v>
      </c>
      <c r="AA169" s="247">
        <f>ABS(Z169-Y169)</f>
        <v>5.8478999999999992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/stypes="app*4002*20180114*"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52"/>
        <v>"%USERPROFILE%\Documents\GitHub\eaglep3\Utilities\RefineRTDCRunTimes.py" --tripid 1809-14 --locoid 4002 --swversion DE.1.0.9.0 --startMP 204:471 --initTime 2018-01-14T10:04:27 --startdatetime 2018-01-14T10:09:15 --delay 59 --endMP 300:58950 --enddatetime 2018-01-14T10:23:01 --enforcementcount 0 &gt;&gt;%USERPROFILE%\Documents\GitHub\eaglep3-reporting\EC\2018-01-14-refined-times.txt</v>
      </c>
      <c r="AI169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{"issue":{"subject":"","project_id":79,"tracker_id":40,"status_id":1,"priority_id":2,"assigned_to_id":338,"start_date":"2018-01-14","description":"","custom_fields":[{"id":1,"name":"Subdivision","value":"NW"},{"id":4,"name":"Milepost","value":"5.895"},{"id":17,"name":"Train ID","value":"1809-14"},{"id":16,"name":"Locomotive ID","value":"4002"},{"id":130,"name":"Impact","value":""},{"id":150,"name":"Time of Event (Mountain Time)","value":"10:23:01"},{"id":151,"name":"Denver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54"/>
        <v>start /low /b %USERPROFILE%\Documents\GitHub\eaglep3\Utilities\DownloadLogsFromS3.py --loco 4002 --day 2018-01-14</v>
      </c>
      <c r="AN169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56"/>
        <v>https://d0f6bd738d7f1b3e5a7ca70fe4ff75f0.us-east-1.aws.found.io/app/kibana#/discover/Steve-Slow-Train-Analysis-(2080s-and-2083s)?_g=(refreshInterval:(display:Off,pause:!f,section:0,value:0),time:(from:'2018-01-14T09:04:27-0700',mode:absolute,to:'2018-01-14T11:23:01-0700'))&amp;_a=(columns:!('Message%20ID',Summary),filters:!(),index:'emp_*',interval:auto,query:(query_string:(analyze_wildcard:!t,query:'%22rtdc.l.rtdc.4002%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780</v>
      </c>
      <c r="B170" s="225">
        <v>4001</v>
      </c>
      <c r="C170" s="227" t="s">
        <v>191</v>
      </c>
      <c r="D170" s="227" t="s">
        <v>987</v>
      </c>
      <c r="E170" s="226">
        <v>43114.433622685188</v>
      </c>
      <c r="F170" s="226">
        <v>43114.446585648147</v>
      </c>
      <c r="G170" s="225">
        <v>49</v>
      </c>
      <c r="H170" s="227" t="s">
        <v>505</v>
      </c>
      <c r="I170" s="226">
        <v>43114.454432870371</v>
      </c>
      <c r="J170" s="225">
        <v>0</v>
      </c>
      <c r="K170" s="237" t="str">
        <f>IF(ISEVEN(B170),(B170-1)&amp;"/"&amp;B170,B170&amp;"/"&amp;(B170+1))</f>
        <v>4001/4002</v>
      </c>
      <c r="L170" s="245" t="str">
        <f>VLOOKUP(A170,'Trips&amp;Operators'!$C$1:$G$99911,5,FALSE)</f>
        <v>GONZALEZ ARMANDO</v>
      </c>
      <c r="M170" s="224">
        <f>I170-F170</f>
        <v>7.8472222230629995E-3</v>
      </c>
      <c r="N170" s="225">
        <f>24*60*SUM($M170:$M170)</f>
        <v>11.300000001210719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-14T09:24:25-0700',mode:absolute,to:'2018-01-14T11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5.8638000000000003</v>
      </c>
      <c r="Z170" s="247">
        <f>RIGHT(H170,LEN(H170)-4)/10000</f>
        <v>1.44E-2</v>
      </c>
      <c r="AA170" s="247">
        <f>ABS(Z170-Y170)</f>
        <v>5.8494000000000002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/stypes="app*4001*20180114*" /stext=" 17:.+((SYSTEM_STATE.+slice.+state.+changed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52"/>
        <v>"%USERPROFILE%\Documents\GitHub\eaglep3\Utilities\RefineRTDCRunTimes.py" --tripid 1810-14 --locoid 4001 --swversion DE.1.0.9.0 --startMP 300:58638 --initTime 2018-01-14T10:24:25 --startdatetime 2018-01-14T10:43:05 --delay 49 --endMP 204:144 --enddatetime 2018-01-14T10:54:23 --enforcementcount 0 &gt;&gt;%USERPROFILE%\Documents\GitHub\eaglep3-reporting\EC\2018-01-14-refined-times.txt</v>
      </c>
      <c r="AI170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{"issue":{"subject":"","project_id":79,"tracker_id":40,"status_id":1,"priority_id":2,"assigned_to_id":338,"start_date":"2018-01-14","description":"","custom_fields":[{"id":1,"name":"Subdivision","value":"NW"},{"id":4,"name":"Milepost","value":"0.0144"},{"id":17,"name":"Train ID","value":"1810-14"},{"id":16,"name":"Locomotive ID","value":"4001"},{"id":130,"name":"Impact","value":""},{"id":150,"name":"Time of Event (Mountain Time)","value":"10:54:23"},{"id":151,"name":"Denver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54"/>
        <v>start /low /b %USERPROFILE%\Documents\GitHub\eaglep3\Utilities\DownloadLogsFromS3.py --loco 4001 --day 2018-01-14</v>
      </c>
      <c r="AN170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17:54:23"},{"id":29,"name":"Sharepoint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56"/>
        <v>https://d0f6bd738d7f1b3e5a7ca70fe4ff75f0.us-east-1.aws.found.io/app/kibana#/discover/Steve-Slow-Train-Analysis-(2080s-and-2083s)?_g=(refreshInterval:(display:Off,pause:!f,section:0,value:0),time:(from:'2018-01-14T09:24:25-0700',mode:absolute,to:'2018-01-14T11:54:23-0700'))&amp;_a=(columns:!('Message%20ID',Summary),filters:!(),index:'emp_*',interval:auto,query:(query_string:(analyze_wildcard:!t,query:'%22rtdc.l.rtdc.4001%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786</v>
      </c>
      <c r="B171" s="225">
        <v>4002</v>
      </c>
      <c r="C171" s="227" t="s">
        <v>191</v>
      </c>
      <c r="D171" s="227" t="s">
        <v>480</v>
      </c>
      <c r="E171" s="226">
        <v>43114.455833333333</v>
      </c>
      <c r="F171" s="226">
        <v>43114.464745370373</v>
      </c>
      <c r="G171" s="225">
        <v>62</v>
      </c>
      <c r="H171" s="227" t="s">
        <v>988</v>
      </c>
      <c r="I171" s="226">
        <v>43114.474039351851</v>
      </c>
      <c r="J171" s="225">
        <v>0</v>
      </c>
      <c r="K171" s="237" t="str">
        <f>IF(ISEVEN(B171),(B171-1)&amp;"/"&amp;B171,B171&amp;"/"&amp;(B171+1))</f>
        <v>4001/4002</v>
      </c>
      <c r="L171" s="245" t="str">
        <f>VLOOKUP(A171,'Trips&amp;Operators'!$C$1:$G$99911,5,FALSE)</f>
        <v>GONZALEZ ARMANDO</v>
      </c>
      <c r="M171" s="224">
        <f>I171-F171</f>
        <v>9.29398147854954E-3</v>
      </c>
      <c r="N171" s="225">
        <f>24*60*SUM($M171:$M171)</f>
        <v>13.383333329111338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-14T09:56:24-0700',mode:absolute,to:'2018-01-14T12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4.7300000000000002E-2</v>
      </c>
      <c r="Z171" s="247">
        <f>RIGHT(H171,LEN(H171)-4)/10000</f>
        <v>5.8959999999999999</v>
      </c>
      <c r="AA171" s="247">
        <f>ABS(Z171-Y171)</f>
        <v>5.8487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/stypes="app*4002*20180114*"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52"/>
        <v>"%USERPROFILE%\Documents\GitHub\eaglep3\Utilities\RefineRTDCRunTimes.py" --tripid 1811-14 --locoid 4002 --swversion DE.1.0.9.0 --startMP 204:473 --initTime 2018-01-14T10:56:24 --startdatetime 2018-01-14T11:09:14 --delay 62 --endMP 300:58960 --enddatetime 2018-01-14T11:22:37 --enforcementcount 0 &gt;&gt;%USERPROFILE%\Documents\GitHub\eaglep3-reporting\EC\2018-01-14-refined-times.txt</v>
      </c>
      <c r="AI171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{"issue":{"subject":"","project_id":79,"tracker_id":40,"status_id":1,"priority_id":2,"assigned_to_id":338,"start_date":"2018-01-14","description":"","custom_fields":[{"id":1,"name":"Subdivision","value":"NW"},{"id":4,"name":"Milepost","value":"5.896"},{"id":17,"name":"Train ID","value":"1811-14"},{"id":16,"name":"Locomotive ID","value":"4002"},{"id":130,"name":"Impact","value":""},{"id":150,"name":"Time of Event (Mountain Time)","value":"11:22:37"},{"id":151,"name":"Denver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54"/>
        <v>start /low /b %USERPROFILE%\Documents\GitHub\eaglep3\Utilities\DownloadLogsFromS3.py --loco 4002 --day 2018-01-14</v>
      </c>
      <c r="AN171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56"/>
        <v>https://d0f6bd738d7f1b3e5a7ca70fe4ff75f0.us-east-1.aws.found.io/app/kibana#/discover/Steve-Slow-Train-Analysis-(2080s-and-2083s)?_g=(refreshInterval:(display:Off,pause:!f,section:0,value:0),time:(from:'2018-01-14T09:56:24-0700',mode:absolute,to:'2018-01-14T12:22:37-0700'))&amp;_a=(columns:!('Message%20ID',Summary),filters:!(),index:'emp_*',interval:auto,query:(query_string:(analyze_wildcard:!t,query:'%22rtdc.l.rtdc.4002%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790</v>
      </c>
      <c r="B172" s="225">
        <v>4001</v>
      </c>
      <c r="C172" s="227" t="s">
        <v>191</v>
      </c>
      <c r="D172" s="227" t="s">
        <v>989</v>
      </c>
      <c r="E172" s="226">
        <v>43114.475023148145</v>
      </c>
      <c r="F172" s="226">
        <v>43114.488043981481</v>
      </c>
      <c r="G172" s="225">
        <v>56</v>
      </c>
      <c r="H172" s="227" t="s">
        <v>554</v>
      </c>
      <c r="I172" s="226">
        <v>43114.496111111112</v>
      </c>
      <c r="J172" s="225">
        <v>0</v>
      </c>
      <c r="K172" s="237" t="str">
        <f>IF(ISEVEN(B172),(B172-1)&amp;"/"&amp;B172,B172&amp;"/"&amp;(B172+1))</f>
        <v>4001/4002</v>
      </c>
      <c r="L172" s="245" t="str">
        <f>VLOOKUP(A172,'Trips&amp;Operators'!$C$1:$G$99911,5,FALSE)</f>
        <v>GONZALEZ ARMANDO</v>
      </c>
      <c r="M172" s="224">
        <f>I172-F172</f>
        <v>8.0671296309446916E-3</v>
      </c>
      <c r="N172" s="225">
        <f>24*60*SUM($M172:$M172)</f>
        <v>11.616666668560356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-14T10:24:02-0700',mode:absolute,to:'2018-01-14T12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5.8648999999999996</v>
      </c>
      <c r="Z172" s="247">
        <f>RIGHT(H172,LEN(H172)-4)/10000</f>
        <v>1.66E-2</v>
      </c>
      <c r="AA172" s="247">
        <f>ABS(Z172-Y172)</f>
        <v>5.8482999999999992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/stypes="app*4001*20180114*" /stext=" 18:.+((SYSTEM_STATE.+slice.+state.+changed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52"/>
        <v>"%USERPROFILE%\Documents\GitHub\eaglep3\Utilities\RefineRTDCRunTimes.py" --tripid 1812-14 --locoid 4001 --swversion DE.1.0.9.0 --startMP 300:58649 --initTime 2018-01-14T11:24:02 --startdatetime 2018-01-14T11:42:47 --delay 56 --endMP 204:166 --enddatetime 2018-01-14T11:54:24 --enforcementcount 0 &gt;&gt;%USERPROFILE%\Documents\GitHub\eaglep3-reporting\EC\2018-01-14-refined-times.txt</v>
      </c>
      <c r="AI172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{"issue":{"subject":"","project_id":79,"tracker_id":40,"status_id":1,"priority_id":2,"assigned_to_id":338,"start_date":"2018-01-14","description":"","custom_fields":[{"id":1,"name":"Subdivision","value":"NW"},{"id":4,"name":"Milepost","value":"0.0166"},{"id":17,"name":"Train ID","value":"1812-14"},{"id":16,"name":"Locomotive ID","value":"4001"},{"id":130,"name":"Impact","value":""},{"id":150,"name":"Time of Event (Mountain Time)","value":"11:54:24"},{"id":151,"name":"Denver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54"/>
        <v>start /low /b %USERPROFILE%\Documents\GitHub\eaglep3\Utilities\DownloadLogsFromS3.py --loco 4001 --day 2018-01-14</v>
      </c>
      <c r="AN172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18:54:24"},{"id":29,"name":"Sharepoint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56"/>
        <v>https://d0f6bd738d7f1b3e5a7ca70fe4ff75f0.us-east-1.aws.found.io/app/kibana#/discover/Steve-Slow-Train-Analysis-(2080s-and-2083s)?_g=(refreshInterval:(display:Off,pause:!f,section:0,value:0),time:(from:'2018-01-14T10:24:02-0700',mode:absolute,to:'2018-01-14T12:54:24-0700'))&amp;_a=(columns:!('Message%20ID',Summary),filters:!(),index:'emp_*',interval:auto,query:(query_string:(analyze_wildcard:!t,query:'%22rtdc.l.rtdc.4001%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796</v>
      </c>
      <c r="B173" s="225">
        <v>4002</v>
      </c>
      <c r="C173" s="227" t="s">
        <v>191</v>
      </c>
      <c r="D173" s="227" t="s">
        <v>645</v>
      </c>
      <c r="E173" s="226">
        <v>43114.502557870372</v>
      </c>
      <c r="F173" s="226">
        <v>43114.506539351853</v>
      </c>
      <c r="G173" s="225">
        <v>73</v>
      </c>
      <c r="H173" s="227" t="s">
        <v>553</v>
      </c>
      <c r="I173" s="226">
        <v>43114.516168981485</v>
      </c>
      <c r="J173" s="225">
        <v>0</v>
      </c>
      <c r="K173" s="237" t="str">
        <f>IF(ISEVEN(B173),(B173-1)&amp;"/"&amp;B173,B173&amp;"/"&amp;(B173+1))</f>
        <v>4001/4002</v>
      </c>
      <c r="L173" s="245" t="str">
        <f>VLOOKUP(A173,'Trips&amp;Operators'!$C$1:$G$99911,5,FALSE)</f>
        <v>GONZALEZ ARMANDO</v>
      </c>
      <c r="M173" s="224">
        <f>I173-F173</f>
        <v>9.6296296323998831E-3</v>
      </c>
      <c r="N173" s="225">
        <f>24*60*SUM($M173:$M173)</f>
        <v>13.866666670655832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-14T11:03:41-0700',mode:absolute,to:'2018-01-14T13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4.5999999999999999E-2</v>
      </c>
      <c r="Z173" s="247">
        <f>RIGHT(H173,LEN(H173)-4)/10000</f>
        <v>5.8952</v>
      </c>
      <c r="AA173" s="247">
        <f>ABS(Z173-Y173)</f>
        <v>5.8491999999999997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/stypes="app*4002*20180114*"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52"/>
        <v>"%USERPROFILE%\Documents\GitHub\eaglep3\Utilities\RefineRTDCRunTimes.py" --tripid 1813-14 --locoid 4002 --swversion DE.1.0.9.0 --startMP 204:460 --initTime 2018-01-14T12:03:41 --startdatetime 2018-01-14T12:09:25 --delay 73 --endMP 300:58952 --enddatetime 2018-01-14T12:23:17 --enforcementcount 0 &gt;&gt;%USERPROFILE%\Documents\GitHub\eaglep3-reporting\EC\2018-01-14-refined-times.txt</v>
      </c>
      <c r="AI173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{"issue":{"subject":"","project_id":79,"tracker_id":40,"status_id":1,"priority_id":2,"assigned_to_id":338,"start_date":"2018-01-14","description":"","custom_fields":[{"id":1,"name":"Subdivision","value":"NW"},{"id":4,"name":"Milepost","value":"5.8952"},{"id":17,"name":"Train ID","value":"1813-14"},{"id":16,"name":"Locomotive ID","value":"4002"},{"id":130,"name":"Impact","value":""},{"id":150,"name":"Time of Event (Mountain Time)","value":"12:23:17"},{"id":151,"name":"Denver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54"/>
        <v>start /low /b %USERPROFILE%\Documents\GitHub\eaglep3\Utilities\DownloadLogsFromS3.py --loco 4002 --day 2018-01-14</v>
      </c>
      <c r="AN173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56"/>
        <v>https://d0f6bd738d7f1b3e5a7ca70fe4ff75f0.us-east-1.aws.found.io/app/kibana#/discover/Steve-Slow-Train-Analysis-(2080s-and-2083s)?_g=(refreshInterval:(display:Off,pause:!f,section:0,value:0),time:(from:'2018-01-14T11:03:41-0700',mode:absolute,to:'2018-01-14T13:23:17-0700'))&amp;_a=(columns:!('Message%20ID',Summary),filters:!(),index:'emp_*',interval:auto,query:(query_string:(analyze_wildcard:!t,query:'%22rtdc.l.rtdc.4002%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799</v>
      </c>
      <c r="B174" s="225">
        <v>4001</v>
      </c>
      <c r="C174" s="227" t="s">
        <v>191</v>
      </c>
      <c r="D174" s="227" t="s">
        <v>990</v>
      </c>
      <c r="E174" s="226">
        <v>43114.517488425925</v>
      </c>
      <c r="F174" s="226">
        <v>43114.529016203705</v>
      </c>
      <c r="G174" s="225">
        <v>49</v>
      </c>
      <c r="H174" s="227" t="s">
        <v>478</v>
      </c>
      <c r="I174" s="226">
        <v>43114.537604166668</v>
      </c>
      <c r="J174" s="225">
        <v>0</v>
      </c>
      <c r="K174" s="237" t="str">
        <f>IF(ISEVEN(B174),(B174-1)&amp;"/"&amp;B174,B174&amp;"/"&amp;(B174+1))</f>
        <v>4001/4002</v>
      </c>
      <c r="L174" s="245" t="str">
        <f>VLOOKUP(A174,'Trips&amp;Operators'!$C$1:$G$99911,5,FALSE)</f>
        <v>GONZALEZ ARMANDO</v>
      </c>
      <c r="M174" s="224">
        <f>I174-F174</f>
        <v>8.5879629623377696E-3</v>
      </c>
      <c r="N174" s="225">
        <f>24*60*SUM($M174:$M174)</f>
        <v>12.366666665766388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-14T11:25:11-0700',mode:absolute,to:'2018-01-14T13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5.8639999999999999</v>
      </c>
      <c r="Z174" s="247">
        <f>RIGHT(H174,LEN(H174)-4)/10000</f>
        <v>1.5800000000000002E-2</v>
      </c>
      <c r="AA174" s="247">
        <f>ABS(Z174-Y174)</f>
        <v>5.8482000000000003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/stypes="app*4001*20180114*"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52"/>
        <v>"%USERPROFILE%\Documents\GitHub\eaglep3\Utilities\RefineRTDCRunTimes.py" --tripid 1814-14 --locoid 4001 --swversion DE.1.0.9.0 --startMP 300:58640 --initTime 2018-01-14T12:25:11 --startdatetime 2018-01-14T12:41:47 --delay 49 --endMP 204:158 --enddatetime 2018-01-14T12:54:09 --enforcementcount 0 &gt;&gt;%USERPROFILE%\Documents\GitHub\eaglep3-reporting\EC\2018-01-14-refined-times.txt</v>
      </c>
      <c r="AI174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{"issue":{"subject":"","project_id":79,"tracker_id":40,"status_id":1,"priority_id":2,"assigned_to_id":338,"start_date":"2018-01-14","description":"","custom_fields":[{"id":1,"name":"Subdivision","value":"NW"},{"id":4,"name":"Milepost","value":"0.0158"},{"id":17,"name":"Train ID","value":"1814-14"},{"id":16,"name":"Locomotive ID","value":"4001"},{"id":130,"name":"Impact","value":""},{"id":150,"name":"Time of Event (Mountain Time)","value":"12:54:09"},{"id":151,"name":"Denver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54"/>
        <v>start /low /b %USERPROFILE%\Documents\GitHub\eaglep3\Utilities\DownloadLogsFromS3.py --loco 4001 --day 2018-01-14</v>
      </c>
      <c r="AN174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19:54:09"},{"id":29,"name":"Sharepoint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56"/>
        <v>https://d0f6bd738d7f1b3e5a7ca70fe4ff75f0.us-east-1.aws.found.io/app/kibana#/discover/Steve-Slow-Train-Analysis-(2080s-and-2083s)?_g=(refreshInterval:(display:Off,pause:!f,section:0,value:0),time:(from:'2018-01-14T11:25:11-0700',mode:absolute,to:'2018-01-14T13:54:09-0700'))&amp;_a=(columns:!('Message%20ID',Summary),filters:!(),index:'emp_*',interval:auto,query:(query_string:(analyze_wildcard:!t,query:'%22rtdc.l.rtdc.4001%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805</v>
      </c>
      <c r="B175" s="225">
        <v>4002</v>
      </c>
      <c r="C175" s="227" t="s">
        <v>191</v>
      </c>
      <c r="D175" s="227" t="s">
        <v>917</v>
      </c>
      <c r="E175" s="226">
        <v>43114.545127314814</v>
      </c>
      <c r="F175" s="226">
        <v>43114.548090277778</v>
      </c>
      <c r="G175" s="225">
        <v>52</v>
      </c>
      <c r="H175" s="227" t="s">
        <v>982</v>
      </c>
      <c r="I175" s="226">
        <v>43114.557719907411</v>
      </c>
      <c r="J175" s="225">
        <v>0</v>
      </c>
      <c r="K175" s="237" t="str">
        <f>IF(ISEVEN(B175),(B175-1)&amp;"/"&amp;B175,B175&amp;"/"&amp;(B175+1))</f>
        <v>4001/4002</v>
      </c>
      <c r="L175" s="245" t="str">
        <f>VLOOKUP(A175,'Trips&amp;Operators'!$C$1:$G$99911,5,FALSE)</f>
        <v>GONZALEZ ARMANDO</v>
      </c>
      <c r="M175" s="224">
        <f>I175-F175</f>
        <v>9.6296296323998831E-3</v>
      </c>
      <c r="N175" s="225">
        <f>24*60*SUM($M175:$M175)</f>
        <v>13.866666670655832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-14T12:04:59-0700',mode:absolute,to:'2018-01-14T14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4.6199999999999998E-2</v>
      </c>
      <c r="Z175" s="247">
        <f>RIGHT(H175,LEN(H175)-4)/10000</f>
        <v>5.8960999999999997</v>
      </c>
      <c r="AA175" s="247">
        <f>ABS(Z175-Y175)</f>
        <v>5.8498999999999999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/stypes="app*4002*20180114*"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52"/>
        <v>"%USERPROFILE%\Documents\GitHub\eaglep3\Utilities\RefineRTDCRunTimes.py" --tripid 1815-14 --locoid 4002 --swversion DE.1.0.9.0 --startMP 204:462 --initTime 2018-01-14T13:04:59 --startdatetime 2018-01-14T13:09:15 --delay 52 --endMP 300:58961 --enddatetime 2018-01-14T13:23:07 --enforcementcount 0 &gt;&gt;%USERPROFILE%\Documents\GitHub\eaglep3-reporting\EC\2018-01-14-refined-times.txt</v>
      </c>
      <c r="AI175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{"issue":{"subject":"","project_id":79,"tracker_id":40,"status_id":1,"priority_id":2,"assigned_to_id":338,"start_date":"2018-01-14","description":"","custom_fields":[{"id":1,"name":"Subdivision","value":"NW"},{"id":4,"name":"Milepost","value":"5.8961"},{"id":17,"name":"Train ID","value":"1815-14"},{"id":16,"name":"Locomotive ID","value":"4002"},{"id":130,"name":"Impact","value":""},{"id":150,"name":"Time of Event (Mountain Time)","value":"13:23:07"},{"id":151,"name":"Denver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54"/>
        <v>start /low /b %USERPROFILE%\Documents\GitHub\eaglep3\Utilities\DownloadLogsFromS3.py --loco 4002 --day 2018-01-14</v>
      </c>
      <c r="AN175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56"/>
        <v>https://d0f6bd738d7f1b3e5a7ca70fe4ff75f0.us-east-1.aws.found.io/app/kibana#/discover/Steve-Slow-Train-Analysis-(2080s-and-2083s)?_g=(refreshInterval:(display:Off,pause:!f,section:0,value:0),time:(from:'2018-01-14T12:04:59-0700',mode:absolute,to:'2018-01-14T14:23:07-0700'))&amp;_a=(columns:!('Message%20ID',Summary),filters:!(),index:'emp_*',interval:auto,query:(query_string:(analyze_wildcard:!t,query:'%22rtdc.l.rtdc.4002%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809</v>
      </c>
      <c r="B176" s="225">
        <v>4001</v>
      </c>
      <c r="C176" s="227" t="s">
        <v>191</v>
      </c>
      <c r="D176" s="227" t="s">
        <v>980</v>
      </c>
      <c r="E176" s="226">
        <v>43114.558749999997</v>
      </c>
      <c r="F176" s="226">
        <v>43114.570405092592</v>
      </c>
      <c r="G176" s="225">
        <v>51</v>
      </c>
      <c r="H176" s="227" t="s">
        <v>555</v>
      </c>
      <c r="I176" s="226">
        <v>43114.579386574071</v>
      </c>
      <c r="J176" s="225">
        <v>0</v>
      </c>
      <c r="K176" s="237" t="str">
        <f>IF(ISEVEN(B176),(B176-1)&amp;"/"&amp;B176,B176&amp;"/"&amp;(B176+1))</f>
        <v>4001/4002</v>
      </c>
      <c r="L176" s="245" t="str">
        <f>VLOOKUP(A176,'Trips&amp;Operators'!$C$1:$G$99911,5,FALSE)</f>
        <v>GONZALEZ ARMANDO</v>
      </c>
      <c r="M176" s="224">
        <f>I176-F176</f>
        <v>8.9814814782585017E-3</v>
      </c>
      <c r="N176" s="225">
        <f>24*60*SUM($M176:$M176)</f>
        <v>12.933333328692243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-14T12:24:36-0700',mode:absolute,to:'2018-01-14T14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5.8651</v>
      </c>
      <c r="Z176" s="247">
        <f>RIGHT(H176,LEN(H176)-4)/10000</f>
        <v>1.5299999999999999E-2</v>
      </c>
      <c r="AA176" s="247">
        <f>ABS(Z176-Y176)</f>
        <v>5.8498000000000001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/stypes="app*4001*20180114*" /stext=" 20:.+((SYSTEM_STATE.+slice.+state.+changed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52"/>
        <v>"%USERPROFILE%\Documents\GitHub\eaglep3\Utilities\RefineRTDCRunTimes.py" --tripid 1816-14 --locoid 4001 --swversion DE.1.0.9.0 --startMP 300:58651 --initTime 2018-01-14T13:24:36 --startdatetime 2018-01-14T13:41:23 --delay 51 --endMP 204:153 --enddatetime 2018-01-14T13:54:19 --enforcementcount 0 &gt;&gt;%USERPROFILE%\Documents\GitHub\eaglep3-reporting\EC\2018-01-14-refined-times.txt</v>
      </c>
      <c r="AI176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{"issue":{"subject":"","project_id":79,"tracker_id":40,"status_id":1,"priority_id":2,"assigned_to_id":338,"start_date":"2018-01-14","description":"","custom_fields":[{"id":1,"name":"Subdivision","value":"NW"},{"id":4,"name":"Milepost","value":"0.0153"},{"id":17,"name":"Train ID","value":"1816-14"},{"id":16,"name":"Locomotive ID","value":"4001"},{"id":130,"name":"Impact","value":""},{"id":150,"name":"Time of Event (Mountain Time)","value":"13:54:19"},{"id":151,"name":"Denver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54"/>
        <v>start /low /b %USERPROFILE%\Documents\GitHub\eaglep3\Utilities\DownloadLogsFromS3.py --loco 4001 --day 2018-01-14</v>
      </c>
      <c r="AN176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20:54:19"},{"id":29,"name":"Sharepoint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56"/>
        <v>https://d0f6bd738d7f1b3e5a7ca70fe4ff75f0.us-east-1.aws.found.io/app/kibana#/discover/Steve-Slow-Train-Analysis-(2080s-and-2083s)?_g=(refreshInterval:(display:Off,pause:!f,section:0,value:0),time:(from:'2018-01-14T12:24:36-0700',mode:absolute,to:'2018-01-14T14:54:19-0700'))&amp;_a=(columns:!('Message%20ID',Summary),filters:!(),index:'emp_*',interval:auto,query:(query_string:(analyze_wildcard:!t,query:'%22rtdc.l.rtdc.4001%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815</v>
      </c>
      <c r="B177" s="225">
        <v>4002</v>
      </c>
      <c r="C177" s="227" t="s">
        <v>191</v>
      </c>
      <c r="D177" s="227" t="s">
        <v>645</v>
      </c>
      <c r="E177" s="226">
        <v>43114.583553240744</v>
      </c>
      <c r="F177" s="226">
        <v>43114.589745370373</v>
      </c>
      <c r="G177" s="225">
        <v>81</v>
      </c>
      <c r="H177" s="227" t="s">
        <v>991</v>
      </c>
      <c r="I177" s="226">
        <v>43114.599224537036</v>
      </c>
      <c r="J177" s="225">
        <v>0</v>
      </c>
      <c r="K177" s="237" t="str">
        <f>IF(ISEVEN(B177),(B177-1)&amp;"/"&amp;B177,B177&amp;"/"&amp;(B177+1))</f>
        <v>4001/4002</v>
      </c>
      <c r="L177" s="245" t="str">
        <f>VLOOKUP(A177,'Trips&amp;Operators'!$C$1:$G$99911,5,FALSE)</f>
        <v>ELBAUM MIKE</v>
      </c>
      <c r="M177" s="224">
        <f>I177-F177</f>
        <v>9.4791666633682325E-3</v>
      </c>
      <c r="N177" s="225">
        <f>24*60*SUM($M177:$M177)</f>
        <v>13.649999995250255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-14T13:00:19-0700',mode:absolute,to:'2018-01-14T15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4.5999999999999999E-2</v>
      </c>
      <c r="Z177" s="247">
        <f>RIGHT(H177,LEN(H177)-4)/10000</f>
        <v>5.8925999999999998</v>
      </c>
      <c r="AA177" s="247">
        <f>ABS(Z177-Y177)</f>
        <v>5.8465999999999996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/stypes="app*4002*20180114*"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52"/>
        <v>"%USERPROFILE%\Documents\GitHub\eaglep3\Utilities\RefineRTDCRunTimes.py" --tripid 1817-14 --locoid 4002 --swversion DE.1.0.9.0 --startMP 204:460 --initTime 2018-01-14T14:00:19 --startdatetime 2018-01-14T14:09:14 --delay 81 --endMP 300:58926 --enddatetime 2018-01-14T14:22:53 --enforcementcount 0 &gt;&gt;%USERPROFILE%\Documents\GitHub\eaglep3-reporting\EC\2018-01-14-refined-times.txt</v>
      </c>
      <c r="AI177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{"issue":{"subject":"","project_id":79,"tracker_id":40,"status_id":1,"priority_id":2,"assigned_to_id":338,"start_date":"2018-01-14","description":"","custom_fields":[{"id":1,"name":"Subdivision","value":"NW"},{"id":4,"name":"Milepost","value":"5.8926"},{"id":17,"name":"Train ID","value":"1817-14"},{"id":16,"name":"Locomotive ID","value":"4002"},{"id":130,"name":"Impact","value":""},{"id":150,"name":"Time of Event (Mountain Time)","value":"14:22:53"},{"id":151,"name":"Denver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54"/>
        <v>start /low /b %USERPROFILE%\Documents\GitHub\eaglep3\Utilities\DownloadLogsFromS3.py --loco 4002 --day 2018-01-14</v>
      </c>
      <c r="AN177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56"/>
        <v>https://d0f6bd738d7f1b3e5a7ca70fe4ff75f0.us-east-1.aws.found.io/app/kibana#/discover/Steve-Slow-Train-Analysis-(2080s-and-2083s)?_g=(refreshInterval:(display:Off,pause:!f,section:0,value:0),time:(from:'2018-01-14T13:00:19-0700',mode:absolute,to:'2018-01-14T15:22:53-0700'))&amp;_a=(columns:!('Message%20ID',Summary),filters:!(),index:'emp_*',interval:auto,query:(query_string:(analyze_wildcard:!t,query:'%22rtdc.l.rtdc.4002%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819</v>
      </c>
      <c r="B178" s="225">
        <v>4001</v>
      </c>
      <c r="C178" s="227" t="s">
        <v>191</v>
      </c>
      <c r="D178" s="227" t="s">
        <v>675</v>
      </c>
      <c r="E178" s="226">
        <v>43114.600034722222</v>
      </c>
      <c r="F178" s="226">
        <v>43114.613229166665</v>
      </c>
      <c r="G178" s="225">
        <v>62</v>
      </c>
      <c r="H178" s="227" t="s">
        <v>992</v>
      </c>
      <c r="I178" s="226">
        <v>43114.621296296296</v>
      </c>
      <c r="J178" s="225">
        <v>0</v>
      </c>
      <c r="K178" s="237" t="str">
        <f>IF(ISEVEN(B178),(B178-1)&amp;"/"&amp;B178,B178&amp;"/"&amp;(B178+1))</f>
        <v>4001/4002</v>
      </c>
      <c r="L178" s="245" t="str">
        <f>VLOOKUP(A178,'Trips&amp;Operators'!$C$1:$G$99911,5,FALSE)</f>
        <v>ELBAUM MIKE</v>
      </c>
      <c r="M178" s="224">
        <f>I178-F178</f>
        <v>8.0671296309446916E-3</v>
      </c>
      <c r="N178" s="225">
        <f>24*60*SUM($M178:$M178)</f>
        <v>11.616666668560356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-14T13:24:03-0700',mode:absolute,to:'2018-01-14T15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5.8605999999999998</v>
      </c>
      <c r="Z178" s="247">
        <f>RIGHT(H178,LEN(H178)-4)/10000</f>
        <v>1.4200000000000001E-2</v>
      </c>
      <c r="AA178" s="247">
        <f>ABS(Z178-Y178)</f>
        <v>5.8464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1818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/stypes="app*4001*20180114*" /stext=" 21:.+((SYSTEM_STATE.+slice.+state.+changed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52"/>
        <v>"%USERPROFILE%\Documents\GitHub\eaglep3\Utilities\RefineRTDCRunTimes.py" --tripid 1818-14 --locoid 4001 --swversion DE.1.0.9.0 --startMP 300:58606 --initTime 2018-01-14T14:24:03 --startdatetime 2018-01-14T14:43:03 --delay 62 --endMP 204:142 --enddatetime 2018-01-14T14:54:40 --enforcementcount 0 &gt;&gt;%USERPROFILE%\Documents\GitHub\eaglep3-reporting\EC\2018-01-14-refined-times.txt</v>
      </c>
      <c r="AI178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{"issue":{"subject":"","project_id":79,"tracker_id":40,"status_id":1,"priority_id":2,"assigned_to_id":338,"start_date":"2018-01-14","description":"","custom_fields":[{"id":1,"name":"Subdivision","value":"NW"},{"id":4,"name":"Milepost","value":"0.0142"},{"id":17,"name":"Train ID","value":"1818-14"},{"id":16,"name":"Locomotive ID","value":"4001"},{"id":130,"name":"Impact","value":""},{"id":150,"name":"Time of Event (Mountain Time)","value":"14:54:40"},{"id":151,"name":"Denver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54"/>
        <v>start /low /b %USERPROFILE%\Documents\GitHub\eaglep3\Utilities\DownloadLogsFromS3.py --loco 4001 --day 2018-01-14</v>
      </c>
      <c r="AN178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56"/>
        <v>https://d0f6bd738d7f1b3e5a7ca70fe4ff75f0.us-east-1.aws.found.io/app/kibana#/discover/Steve-Slow-Train-Analysis-(2080s-and-2083s)?_g=(refreshInterval:(display:Off,pause:!f,section:0,value:0),time:(from:'2018-01-14T13:24:03-0700',mode:absolute,to:'2018-01-14T15:54:40-0700'))&amp;_a=(columns:!('Message%20ID',Summary),filters:!(),index:'emp_*',interval:auto,query:(query_string:(analyze_wildcard:!t,query:'%22rtdc.l.rtdc.4001%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687</v>
      </c>
      <c r="B179" s="225">
        <v>4002</v>
      </c>
      <c r="C179" s="227" t="s">
        <v>191</v>
      </c>
      <c r="D179" s="227" t="s">
        <v>993</v>
      </c>
      <c r="E179" s="226">
        <v>43114.622291666667</v>
      </c>
      <c r="F179" s="226">
        <v>43114.631412037037</v>
      </c>
      <c r="G179" s="225">
        <v>60</v>
      </c>
      <c r="H179" s="227" t="s">
        <v>994</v>
      </c>
      <c r="I179" s="226">
        <v>43114.641655092593</v>
      </c>
      <c r="J179" s="225">
        <v>0</v>
      </c>
      <c r="K179" s="237" t="str">
        <f>IF(ISEVEN(B179),(B179-1)&amp;"/"&amp;B179,B179&amp;"/"&amp;(B179+1))</f>
        <v>4001/4002</v>
      </c>
      <c r="L179" s="245" t="str">
        <f>VLOOKUP(A179,'Trips&amp;Operators'!$C$1:$G$99911,5,FALSE)</f>
        <v>ELBAUM MIKE</v>
      </c>
      <c r="M179" s="224">
        <f>I179-F179</f>
        <v>1.0243055556202307E-2</v>
      </c>
      <c r="N179" s="225">
        <f>24*60*SUM($M179:$M179)</f>
        <v>14.750000000931323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-14T13:56:06-0700',mode:absolute,to:'2018-01-14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4.41E-2</v>
      </c>
      <c r="Z179" s="247">
        <f>RIGHT(H179,LEN(H179)-4)/10000</f>
        <v>5.8920000000000003</v>
      </c>
      <c r="AA179" s="247">
        <f>ABS(Z179-Y179)</f>
        <v>5.8479000000000001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1819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/stypes="app*4002*20180114*"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52"/>
        <v>"%USERPROFILE%\Documents\GitHub\eaglep3\Utilities\RefineRTDCRunTimes.py" --tripid 1819-14 --locoid 4002 --swversion DE.1.0.9.0 --startMP 204:441 --initTime 2018-01-14T14:56:06 --startdatetime 2018-01-14T15:09:14 --delay 60 --endMP 300:58920 --enddatetime 2018-01-14T15:23:59 --enforcementcount 0 &gt;&gt;%USERPROFILE%\Documents\GitHub\eaglep3-reporting\EC\2018-01-14-refined-times.txt</v>
      </c>
      <c r="AI179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{"issue":{"subject":"","project_id":79,"tracker_id":40,"status_id":1,"priority_id":2,"assigned_to_id":338,"start_date":"2018-01-14","description":"","custom_fields":[{"id":1,"name":"Subdivision","value":"NW"},{"id":4,"name":"Milepost","value":"5.892"},{"id":17,"name":"Train ID","value":"1819-14"},{"id":16,"name":"Locomotive ID","value":"4002"},{"id":130,"name":"Impact","value":""},{"id":150,"name":"Time of Event (Mountain Time)","value":"15:23:59"},{"id":151,"name":"Denver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54"/>
        <v>start /low /b %USERPROFILE%\Documents\GitHub\eaglep3\Utilities\DownloadLogsFromS3.py --loco 4002 --day 2018-01-14</v>
      </c>
      <c r="AN179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56"/>
        <v>https://d0f6bd738d7f1b3e5a7ca70fe4ff75f0.us-east-1.aws.found.io/app/kibana#/discover/Steve-Slow-Train-Analysis-(2080s-and-2083s)?_g=(refreshInterval:(display:Off,pause:!f,section:0,value:0),time:(from:'2018-01-14T13:56:06-0700',mode:absolute,to:'2018-01-14T16:23:59-0700'))&amp;_a=(columns:!('Message%20ID',Summary),filters:!(),index:'emp_*',interval:auto,query:(query_string:(analyze_wildcard:!t,query:'%22rtdc.l.rtdc.4002%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828</v>
      </c>
      <c r="B180" s="225">
        <v>4001</v>
      </c>
      <c r="C180" s="227" t="s">
        <v>191</v>
      </c>
      <c r="D180" s="227" t="s">
        <v>993</v>
      </c>
      <c r="E180" s="226">
        <v>43114.622291666667</v>
      </c>
      <c r="F180" s="226">
        <v>43114.654895833337</v>
      </c>
      <c r="G180" s="225">
        <v>60</v>
      </c>
      <c r="H180" s="227" t="s">
        <v>994</v>
      </c>
      <c r="I180" s="226">
        <v>43114.662881944445</v>
      </c>
      <c r="J180" s="225">
        <v>0</v>
      </c>
      <c r="K180" s="237" t="str">
        <f>IF(ISEVEN(B180),(B180-1)&amp;"/"&amp;B180,B180&amp;"/"&amp;(B180+1))</f>
        <v>4001/4002</v>
      </c>
      <c r="L180" s="245" t="str">
        <f>VLOOKUP(A180,'Trips&amp;Operators'!$C$1:$G$99911,5,FALSE)</f>
        <v>ELBAUM MIKE</v>
      </c>
      <c r="M180" s="224">
        <f>I180-F180</f>
        <v>7.9861111080390401E-3</v>
      </c>
      <c r="N180" s="225">
        <f>24*60*SUM($M180:$M180)</f>
        <v>11.499999995576218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-14T13:56:06-0700',mode:absolute,to:'2018-01-14T16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v>5.8318000000000003</v>
      </c>
      <c r="Z180" s="247">
        <v>1.4800000000000001E-2</v>
      </c>
      <c r="AA180" s="247">
        <f>ABS(Z180-Y180)</f>
        <v>5.8170000000000002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1820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/stypes="app*4001*20180114*" /stext=" 22:.+((SYSTEM_STATE.+slice.+state.+changed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ref="AH180" si="62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1820-14 --locoid 4001 --swversion DE.1.0.9.0 --startMP 204:441 --initTime 2018-01-14T14:56:06 --startdatetime 2018-01-14T15:43:03 --delay 60 --endMP 300:58920 --enddatetime 2018-01-14T15:54:33 --enforcementcount 0 &gt;&gt;%USERPROFILE%\Documents\GitHub\eaglep3-reporting\EC\2018-01-14-refined-times.txt</v>
      </c>
      <c r="AI180" s="238" t="str">
        <f t="shared" ref="AI180" si="63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{"issue":{"subject":"","project_id":79,"tracker_id":40,"status_id":1,"priority_id":2,"assigned_to_id":338,"start_date":"2018-01-14","description":"","custom_fields":[{"id":1,"name":"Subdivision","value":"NW"},{"id":4,"name":"Milepost","value":"0.0148"},{"id":17,"name":"Train ID","value":"1820-14"},{"id":16,"name":"Locomotive ID","value":"4001"},{"id":130,"name":"Impact","value":""},{"id":150,"name":"Time of Event (Mountain Time)","value":"15:54:33"},{"id":151,"name":"Denver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ref="AM180" si="64">"start /low /b "&amp;dls3logs&amp;" --loco "&amp;B180&amp;" --day "&amp;TEXT(F180,"YYYY-MM-DD")</f>
        <v>start /low /b %USERPROFILE%\Documents\GitHub\eaglep3\Utilities\DownloadLogsFromS3.py --loco 4001 --day 2018-01-14</v>
      </c>
      <c r="AN180" s="241" t="str">
        <f t="shared" ref="AN180" si="65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ref="AO180" si="66"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-14T13:56:06-0700',mode:absolute,to:'2018-01-14T16:54:33-0700'))&amp;_a=(columns:!('Message%20ID',Summary),filters:!(),index:'emp_*',interval:auto,query:(query_string:(analyze_wildcard:!t,query:'%22rtdc.l.rtdc.4001%22')),sort:!(Time.ISO8601,asc))</v>
      </c>
    </row>
    <row r="181" spans="1:91" s="223" customFormat="1" x14ac:dyDescent="0.3">
      <c r="A181" s="229" t="s">
        <v>688</v>
      </c>
      <c r="B181" s="225">
        <v>4002</v>
      </c>
      <c r="C181" s="227" t="s">
        <v>191</v>
      </c>
      <c r="D181" s="227" t="s">
        <v>504</v>
      </c>
      <c r="E181" s="226">
        <v>43114.663888888892</v>
      </c>
      <c r="F181" s="226">
        <v>43114.673206018517</v>
      </c>
      <c r="G181" s="225">
        <v>62</v>
      </c>
      <c r="H181" s="227" t="s">
        <v>994</v>
      </c>
      <c r="I181" s="226">
        <v>43114.683437500003</v>
      </c>
      <c r="J181" s="225">
        <v>0</v>
      </c>
      <c r="K181" s="237" t="str">
        <f>IF(ISEVEN(B181),(B181-1)&amp;"/"&amp;B181,B181&amp;"/"&amp;(B181+1))</f>
        <v>4001/4002</v>
      </c>
      <c r="L181" s="245" t="str">
        <f>VLOOKUP(A181,'Trips&amp;Operators'!$C$1:$G$99911,5,FALSE)</f>
        <v>ELBAUM MIKE</v>
      </c>
      <c r="M181" s="224">
        <f>I181-F181</f>
        <v>1.0231481486698613E-2</v>
      </c>
      <c r="N181" s="225">
        <f>24*60*SUM($M181:$M181)</f>
        <v>14.733333340846002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-14T14:56:00-0700',mode:absolute,to:'2018-01-14T17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4.4600000000000001E-2</v>
      </c>
      <c r="Z181" s="247">
        <f>RIGHT(H181,LEN(H181)-4)/10000</f>
        <v>5.8920000000000003</v>
      </c>
      <c r="AA181" s="247">
        <f>ABS(Z181-Y181)</f>
        <v>5.8474000000000004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1821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/stypes="app*4002*20180114*"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52"/>
        <v>"%USERPROFILE%\Documents\GitHub\eaglep3\Utilities\RefineRTDCRunTimes.py" --tripid 1821-14 --locoid 4002 --swversion DE.1.0.9.0 --startMP 204:446 --initTime 2018-01-14T15:56:00 --startdatetime 2018-01-14T16:09:25 --delay 62 --endMP 300:58920 --enddatetime 2018-01-14T16:24:09 --enforcementcount 0 &gt;&gt;%USERPROFILE%\Documents\GitHub\eaglep3-reporting\EC\2018-01-14-refined-times.txt</v>
      </c>
      <c r="AI181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{"issue":{"subject":"","project_id":79,"tracker_id":40,"status_id":1,"priority_id":2,"assigned_to_id":338,"start_date":"2018-01-14","description":"","custom_fields":[{"id":1,"name":"Subdivision","value":"NW"},{"id":4,"name":"Milepost","value":"5.892"},{"id":17,"name":"Train ID","value":"1821-14"},{"id":16,"name":"Locomotive ID","value":"4002"},{"id":130,"name":"Impact","value":""},{"id":150,"name":"Time of Event (Mountain Time)","value":"16:24:09"},{"id":151,"name":"Denver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54"/>
        <v>start /low /b %USERPROFILE%\Documents\GitHub\eaglep3\Utilities\DownloadLogsFromS3.py --loco 4002 --day 2018-01-14</v>
      </c>
      <c r="AN181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56"/>
        <v>https://d0f6bd738d7f1b3e5a7ca70fe4ff75f0.us-east-1.aws.found.io/app/kibana#/discover/Steve-Slow-Train-Analysis-(2080s-and-2083s)?_g=(refreshInterval:(display:Off,pause:!f,section:0,value:0),time:(from:'2018-01-14T14:56:00-0700',mode:absolute,to:'2018-01-14T17:24:09-0700'))&amp;_a=(columns:!('Message%20ID',Summary),filters:!(),index:'emp_*',interval:auto,query:(query_string:(analyze_wildcard:!t,query:'%22rtdc.l.rtdc.4002%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690</v>
      </c>
      <c r="B182" s="225">
        <v>4001</v>
      </c>
      <c r="C182" s="227" t="s">
        <v>191</v>
      </c>
      <c r="D182" s="227" t="s">
        <v>675</v>
      </c>
      <c r="E182" s="226">
        <v>43114.68408564815</v>
      </c>
      <c r="F182" s="226">
        <v>43114.696562500001</v>
      </c>
      <c r="G182" s="225">
        <v>60</v>
      </c>
      <c r="H182" s="227" t="s">
        <v>478</v>
      </c>
      <c r="I182" s="226">
        <v>43114.705185185187</v>
      </c>
      <c r="J182" s="225">
        <v>0</v>
      </c>
      <c r="K182" s="237" t="str">
        <f>IF(ISEVEN(B182),(B182-1)&amp;"/"&amp;B182,B182&amp;"/"&amp;(B182+1))</f>
        <v>4001/4002</v>
      </c>
      <c r="L182" s="245" t="str">
        <f>VLOOKUP(A182,'Trips&amp;Operators'!$C$1:$G$99911,5,FALSE)</f>
        <v>ELBAUM MIKE</v>
      </c>
      <c r="M182" s="224">
        <f>I182-F182</f>
        <v>8.6226851854007691E-3</v>
      </c>
      <c r="N182" s="225">
        <f>24*60*SUM($M182:$M182)</f>
        <v>12.416666666977108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-14T15:25:05-0700',mode:absolute,to:'2018-01-14T17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5.8605999999999998</v>
      </c>
      <c r="Z182" s="247">
        <f>RIGHT(H182,LEN(H182)-4)/10000</f>
        <v>1.5800000000000002E-2</v>
      </c>
      <c r="AA182" s="247">
        <f>ABS(Z182-Y182)</f>
        <v>5.8448000000000002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1822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/stypes="app*4001*20180114*" /stext=" 23:.+((SYSTEM_STATE.+slice.+state.+changed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52"/>
        <v>"%USERPROFILE%\Documents\GitHub\eaglep3\Utilities\RefineRTDCRunTimes.py" --tripid 1822-14 --locoid 4001 --swversion DE.1.0.9.0 --startMP 300:58606 --initTime 2018-01-14T16:25:05 --startdatetime 2018-01-14T16:43:03 --delay 60 --endMP 204:158 --enddatetime 2018-01-14T16:55:28 --enforcementcount 0 &gt;&gt;%USERPROFILE%\Documents\GitHub\eaglep3-reporting\EC\2018-01-14-refined-times.txt</v>
      </c>
      <c r="AI182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{"issue":{"subject":"","project_id":79,"tracker_id":40,"status_id":1,"priority_id":2,"assigned_to_id":338,"start_date":"2018-01-14","description":"","custom_fields":[{"id":1,"name":"Subdivision","value":"NW"},{"id":4,"name":"Milepost","value":"0.0158"},{"id":17,"name":"Train ID","value":"1822-14"},{"id":16,"name":"Locomotive ID","value":"4001"},{"id":130,"name":"Impact","value":""},{"id":150,"name":"Time of Event (Mountain Time)","value":"16:55:28"},{"id":151,"name":"Denver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54"/>
        <v>start /low /b %USERPROFILE%\Documents\GitHub\eaglep3\Utilities\DownloadLogsFromS3.py --loco 4001 --day 2018-01-14</v>
      </c>
      <c r="AN182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56"/>
        <v>https://d0f6bd738d7f1b3e5a7ca70fe4ff75f0.us-east-1.aws.found.io/app/kibana#/discover/Steve-Slow-Train-Analysis-(2080s-and-2083s)?_g=(refreshInterval:(display:Off,pause:!f,section:0,value:0),time:(from:'2018-01-14T15:25:05-0700',mode:absolute,to:'2018-01-14T17:55:28-0700'))&amp;_a=(columns:!('Message%20ID',Summary),filters:!(),index:'emp_*',interval:auto,query:(query_string:(analyze_wildcard:!t,query:'%22rtdc.l.rtdc.4001%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843</v>
      </c>
      <c r="B183" s="225">
        <v>4002</v>
      </c>
      <c r="C183" s="227" t="s">
        <v>191</v>
      </c>
      <c r="D183" s="227" t="s">
        <v>674</v>
      </c>
      <c r="E183" s="226">
        <v>43114.706284722219</v>
      </c>
      <c r="F183" s="226">
        <v>43114.714722222219</v>
      </c>
      <c r="G183" s="225">
        <v>78</v>
      </c>
      <c r="H183" s="227" t="s">
        <v>994</v>
      </c>
      <c r="I183" s="226">
        <v>43114.724328703705</v>
      </c>
      <c r="J183" s="225">
        <v>0</v>
      </c>
      <c r="K183" s="237" t="str">
        <f>IF(ISEVEN(B183),(B183-1)&amp;"/"&amp;B183,B183&amp;"/"&amp;(B183+1))</f>
        <v>4001/4002</v>
      </c>
      <c r="L183" s="245" t="str">
        <f>VLOOKUP(A183,'Trips&amp;Operators'!$C$1:$G$99911,5,FALSE)</f>
        <v>ELBAUM MIKE</v>
      </c>
      <c r="M183" s="224">
        <f>I183-F183</f>
        <v>9.606481486116536E-3</v>
      </c>
      <c r="N183" s="225">
        <f>24*60*SUM($M183:$M183)</f>
        <v>13.833333340007812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-14T15:57:03-0700',mode:absolute,to:'2018-01-14T18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4.3700000000000003E-2</v>
      </c>
      <c r="Z183" s="247">
        <f>RIGHT(H183,LEN(H183)-4)/10000</f>
        <v>5.8920000000000003</v>
      </c>
      <c r="AA183" s="247">
        <f>ABS(Z183-Y183)</f>
        <v>5.8483000000000001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1823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/stypes="app*4002*20180115*"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52"/>
        <v>"%USERPROFILE%\Documents\GitHub\eaglep3\Utilities\RefineRTDCRunTimes.py" --tripid 1823-14 --locoid 4002 --swversion DE.1.0.9.0 --startMP 204:437 --initTime 2018-01-14T16:57:03 --startdatetime 2018-01-14T17:09:12 --delay 78 --endMP 300:58920 --enddatetime 2018-01-14T17:23:02 --enforcementcount 0 &gt;&gt;%USERPROFILE%\Documents\GitHub\eaglep3-reporting\EC\2018-01-14-refined-times.txt</v>
      </c>
      <c r="AI183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{"issue":{"subject":"","project_id":79,"tracker_id":40,"status_id":1,"priority_id":2,"assigned_to_id":338,"start_date":"2018-01-14","description":"","custom_fields":[{"id":1,"name":"Subdivision","value":"NW"},{"id":4,"name":"Milepost","value":"5.892"},{"id":17,"name":"Train ID","value":"1823-14"},{"id":16,"name":"Locomotive ID","value":"4002"},{"id":130,"name":"Impact","value":""},{"id":150,"name":"Time of Event (Mountain Time)","value":"17:23:02"},{"id":151,"name":"Denver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54"/>
        <v>start /low /b %USERPROFILE%\Documents\GitHub\eaglep3\Utilities\DownloadLogsFromS3.py --loco 4002 --day 2018-01-14</v>
      </c>
      <c r="AN183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56"/>
        <v>https://d0f6bd738d7f1b3e5a7ca70fe4ff75f0.us-east-1.aws.found.io/app/kibana#/discover/Steve-Slow-Train-Analysis-(2080s-and-2083s)?_g=(refreshInterval:(display:Off,pause:!f,section:0,value:0),time:(from:'2018-01-14T15:57:03-0700',mode:absolute,to:'2018-01-14T18:23:02-0700'))&amp;_a=(columns:!('Message%20ID',Summary),filters:!(),index:'emp_*',interval:auto,query:(query_string:(analyze_wildcard:!t,query:'%22rtdc.l.rtdc.4002%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846</v>
      </c>
      <c r="B184" s="225">
        <v>4001</v>
      </c>
      <c r="C184" s="227" t="s">
        <v>191</v>
      </c>
      <c r="D184" s="227" t="s">
        <v>674</v>
      </c>
      <c r="E184" s="226">
        <v>43114.706284722219</v>
      </c>
      <c r="F184" s="226">
        <v>43114.737939814811</v>
      </c>
      <c r="G184" s="225">
        <v>78</v>
      </c>
      <c r="H184" s="227" t="s">
        <v>994</v>
      </c>
      <c r="I184" s="226">
        <v>43114.746979166666</v>
      </c>
      <c r="J184" s="225">
        <v>0</v>
      </c>
      <c r="K184" s="237" t="str">
        <f>IF(ISEVEN(B184),(B184-1)&amp;"/"&amp;B184,B184&amp;"/"&amp;(B184+1))</f>
        <v>4001/4002</v>
      </c>
      <c r="L184" s="245" t="str">
        <f>VLOOKUP(A184,'Trips&amp;Operators'!$C$1:$G$99911,5,FALSE)</f>
        <v>ELBAUM MIKE</v>
      </c>
      <c r="M184" s="224">
        <f>I184-F184</f>
        <v>9.0393518548808061E-3</v>
      </c>
      <c r="N184" s="225">
        <f>24*60*SUM($M184:$M184)</f>
        <v>13.016666671028361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-14T15:57:03-0700',mode:absolute,to:'2018-01-14T18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v>5.8318000000000003</v>
      </c>
      <c r="Z184" s="247">
        <v>1.6199999999999999E-2</v>
      </c>
      <c r="AA184" s="247">
        <f>ABS(Z184-Y184)</f>
        <v>5.8155999999999999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1824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/stypes="app*4001*20180115*" /stext=" 00:.+((SYSTEM_STATE.+slice.+state.+changed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ref="AH184" si="67"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1824-14 --locoid 4001 --swversion DE.1.0.9.0 --startMP 204:437 --initTime 2018-01-14T16:57:03 --startdatetime 2018-01-14T17:42:38 --delay 78 --endMP 300:58920 --enddatetime 2018-01-14T17:55:39 --enforcementcount 0 &gt;&gt;%USERPROFILE%\Documents\GitHub\eaglep3-reporting\EC\2018-01-14-refined-times.txt</v>
      </c>
      <c r="AI184" s="238" t="str">
        <f t="shared" ref="AI184" si="68"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{"issue":{"subject":"","project_id":79,"tracker_id":40,"status_id":1,"priority_id":2,"assigned_to_id":338,"start_date":"2018-01-14","description":"","custom_fields":[{"id":1,"name":"Subdivision","value":"NW"},{"id":4,"name":"Milepost","value":"0.0162"},{"id":17,"name":"Train ID","value":"1824-14"},{"id":16,"name":"Locomotive ID","value":"4001"},{"id":130,"name":"Impact","value":""},{"id":150,"name":"Time of Event (Mountain Time)","value":"17:55:39"},{"id":151,"name":"Denver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ref="AM184" si="69">"start /low /b "&amp;dls3logs&amp;" --loco "&amp;B184&amp;" --day "&amp;TEXT(F184,"YYYY-MM-DD")</f>
        <v>start /low /b %USERPROFILE%\Documents\GitHub\eaglep3\Utilities\DownloadLogsFromS3.py --loco 4001 --day 2018-01-14</v>
      </c>
      <c r="AN184" s="241" t="str">
        <f t="shared" ref="AN184" si="70"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ref="AO184" si="71"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-14T15:57:03-0700',mode:absolute,to:'2018-01-14T18:55:39-0700'))&amp;_a=(columns:!('Message%20ID',Summary),filters:!(),index:'emp_*',interval:auto,query:(query_string:(analyze_wildcard:!t,query:'%22rtdc.l.rtdc.4001%22')),sort:!(Time.ISO8601,asc))</v>
      </c>
    </row>
    <row r="185" spans="1:91" s="223" customFormat="1" x14ac:dyDescent="0.3">
      <c r="A185" s="229" t="s">
        <v>855</v>
      </c>
      <c r="B185" s="225">
        <v>4002</v>
      </c>
      <c r="C185" s="227" t="s">
        <v>191</v>
      </c>
      <c r="D185" s="227" t="s">
        <v>559</v>
      </c>
      <c r="E185" s="226">
        <v>43114.748090277775</v>
      </c>
      <c r="F185" s="226">
        <v>43114.75640046296</v>
      </c>
      <c r="G185" s="225">
        <v>144</v>
      </c>
      <c r="H185" s="227" t="s">
        <v>558</v>
      </c>
      <c r="I185" s="226">
        <v>43114.766331018516</v>
      </c>
      <c r="J185" s="225">
        <v>0</v>
      </c>
      <c r="K185" s="237" t="str">
        <f>IF(ISEVEN(B185),(B185-1)&amp;"/"&amp;B185,B185&amp;"/"&amp;(B185+1))</f>
        <v>4001/4002</v>
      </c>
      <c r="L185" s="245" t="str">
        <f>VLOOKUP(A185,'Trips&amp;Operators'!$C$1:$G$99911,5,FALSE)</f>
        <v>ELBAUM MIKE</v>
      </c>
      <c r="M185" s="224">
        <f>I185-F185</f>
        <v>9.930555555911269E-3</v>
      </c>
      <c r="N185" s="225">
        <f>24*60*SUM($M185:$M185)</f>
        <v>14.300000000512227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-14T16:57:15-0700',mode:absolute,to:'2018-01-14T19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4.3900000000000002E-2</v>
      </c>
      <c r="Z185" s="247">
        <f>RIGHT(H185,LEN(H185)-4)/10000</f>
        <v>5.8924000000000003</v>
      </c>
      <c r="AA185" s="247">
        <f>ABS(Z185-Y185)</f>
        <v>5.8485000000000005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1825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/stypes="app*4002*20180115*"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52"/>
        <v>"%USERPROFILE%\Documents\GitHub\eaglep3\Utilities\RefineRTDCRunTimes.py" --tripid 1825-14 --locoid 4002 --swversion DE.1.0.9.0 --startMP 204:439 --initTime 2018-01-14T17:57:15 --startdatetime 2018-01-14T18:09:13 --delay 144 --endMP 300:58924 --enddatetime 2018-01-14T18:23:31 --enforcementcount 0 &gt;&gt;%USERPROFILE%\Documents\GitHub\eaglep3-reporting\EC\2018-01-14-refined-times.txt</v>
      </c>
      <c r="AI185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{"issue":{"subject":"","project_id":79,"tracker_id":40,"status_id":1,"priority_id":2,"assigned_to_id":338,"start_date":"2018-01-14","description":"","custom_fields":[{"id":1,"name":"Subdivision","value":"NW"},{"id":4,"name":"Milepost","value":"5.8924"},{"id":17,"name":"Train ID","value":"1825-14"},{"id":16,"name":"Locomotive ID","value":"4002"},{"id":130,"name":"Impact","value":""},{"id":150,"name":"Time of Event (Mountain Time)","value":"18:23:31"},{"id":151,"name":"Denver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54"/>
        <v>start /low /b %USERPROFILE%\Documents\GitHub\eaglep3\Utilities\DownloadLogsFromS3.py --loco 4002 --day 2018-01-14</v>
      </c>
      <c r="AN185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56"/>
        <v>https://d0f6bd738d7f1b3e5a7ca70fe4ff75f0.us-east-1.aws.found.io/app/kibana#/discover/Steve-Slow-Train-Analysis-(2080s-and-2083s)?_g=(refreshInterval:(display:Off,pause:!f,section:0,value:0),time:(from:'2018-01-14T16:57:15-0700',mode:absolute,to:'2018-01-14T19:23:31-0700'))&amp;_a=(columns:!('Message%20ID',Summary),filters:!(),index:'emp_*',interval:auto,query:(query_string:(analyze_wildcard:!t,query:'%22rtdc.l.rtdc.4002%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861</v>
      </c>
      <c r="B186" s="225">
        <v>4001</v>
      </c>
      <c r="C186" s="227" t="s">
        <v>191</v>
      </c>
      <c r="D186" s="227" t="s">
        <v>996</v>
      </c>
      <c r="E186" s="226">
        <v>43114.767071759263</v>
      </c>
      <c r="F186" s="226">
        <v>43114.768321759257</v>
      </c>
      <c r="G186" s="225">
        <v>54</v>
      </c>
      <c r="H186" s="227" t="s">
        <v>673</v>
      </c>
      <c r="I186" s="226">
        <v>43114.788437499999</v>
      </c>
      <c r="J186" s="225">
        <v>0</v>
      </c>
      <c r="K186" s="237" t="str">
        <f>IF(ISEVEN(B186),(B186-1)&amp;"/"&amp;B186,B186&amp;"/"&amp;(B186+1))</f>
        <v>4001/4002</v>
      </c>
      <c r="L186" s="245" t="str">
        <f>VLOOKUP(A186,'Trips&amp;Operators'!$C$1:$G$99911,5,FALSE)</f>
        <v>ELBAUM MIKE</v>
      </c>
      <c r="M186" s="224">
        <f>I186-F186</f>
        <v>2.011574074276723E-2</v>
      </c>
      <c r="N186" s="225">
        <f>24*60*SUM($M186:$M186)</f>
        <v>28.966666669584811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-14T17:24:35-0700',mode:absolute,to:'2018-01-14T19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5.8615000000000004</v>
      </c>
      <c r="Z186" s="247">
        <f>RIGHT(H186,LEN(H186)-4)/10000</f>
        <v>1.4800000000000001E-2</v>
      </c>
      <c r="AA186" s="247">
        <f>ABS(Z186-Y186)</f>
        <v>5.8467000000000002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1826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/stypes="app*4001*20180115*" /stext=" 01:.+((SYSTEM_STATE.+slice.+state.+changed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52"/>
        <v>"%USERPROFILE%\Documents\GitHub\eaglep3\Utilities\RefineRTDCRunTimes.py" --tripid 1826-14 --locoid 4001 --swversion DE.1.0.9.0 --startMP 300:58615 --initTime 2018-01-14T18:24:35 --startdatetime 2018-01-14T18:26:23 --delay 54 --endMP 204:148 --enddatetime 2018-01-14T18:55:21 --enforcementcount 0 &gt;&gt;%USERPROFILE%\Documents\GitHub\eaglep3-reporting\EC\2018-01-14-refined-times.txt</v>
      </c>
      <c r="AI186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{"issue":{"subject":"","project_id":79,"tracker_id":40,"status_id":1,"priority_id":2,"assigned_to_id":338,"start_date":"2018-01-14","description":"","custom_fields":[{"id":1,"name":"Subdivision","value":"NW"},{"id":4,"name":"Milepost","value":"0.0148"},{"id":17,"name":"Train ID","value":"1826-14"},{"id":16,"name":"Locomotive ID","value":"4001"},{"id":130,"name":"Impact","value":""},{"id":150,"name":"Time of Event (Mountain Time)","value":"18:55:21"},{"id":151,"name":"Denver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54"/>
        <v>start /low /b %USERPROFILE%\Documents\GitHub\eaglep3\Utilities\DownloadLogsFromS3.py --loco 4001 --day 2018-01-14</v>
      </c>
      <c r="AN186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56"/>
        <v>https://d0f6bd738d7f1b3e5a7ca70fe4ff75f0.us-east-1.aws.found.io/app/kibana#/discover/Steve-Slow-Train-Analysis-(2080s-and-2083s)?_g=(refreshInterval:(display:Off,pause:!f,section:0,value:0),time:(from:'2018-01-14T17:24:35-0700',mode:absolute,to:'2018-01-14T19:55:21-0700'))&amp;_a=(columns:!('Message%20ID',Summary),filters:!(),index:'emp_*',interval:auto,query:(query_string:(analyze_wildcard:!t,query:'%22rtdc.l.rtdc.4001%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865</v>
      </c>
      <c r="B187" s="225">
        <v>4002</v>
      </c>
      <c r="C187" s="227" t="s">
        <v>191</v>
      </c>
      <c r="D187" s="227" t="s">
        <v>557</v>
      </c>
      <c r="E187" s="226">
        <v>43114.789444444446</v>
      </c>
      <c r="F187" s="226">
        <v>43114.798067129632</v>
      </c>
      <c r="G187" s="225">
        <v>65</v>
      </c>
      <c r="H187" s="227" t="s">
        <v>997</v>
      </c>
      <c r="I187" s="226">
        <v>43114.807766203703</v>
      </c>
      <c r="J187" s="225">
        <v>0</v>
      </c>
      <c r="K187" s="237" t="str">
        <f>IF(ISEVEN(B187),(B187-1)&amp;"/"&amp;B187,B187&amp;"/"&amp;(B187+1))</f>
        <v>4001/4002</v>
      </c>
      <c r="L187" s="245" t="str">
        <f>VLOOKUP(A187,'Trips&amp;Operators'!$C$1:$G$99911,5,FALSE)</f>
        <v>ELBAUM MIKE</v>
      </c>
      <c r="M187" s="224">
        <f>I187-F187</f>
        <v>9.6990740712499246E-3</v>
      </c>
      <c r="N187" s="225">
        <f>24*60*SUM($M187:$M187)</f>
        <v>13.966666662599891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-14T17:56:48-0700',mode:absolute,to:'2018-01-14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4.4999999999999998E-2</v>
      </c>
      <c r="Z187" s="247">
        <f>RIGHT(H187,LEN(H187)-4)/10000</f>
        <v>5.8914</v>
      </c>
      <c r="AA187" s="247">
        <f>ABS(Z187-Y187)</f>
        <v>5.8464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1827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/stypes="app*4002*20180115*"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52"/>
        <v>"%USERPROFILE%\Documents\GitHub\eaglep3\Utilities\RefineRTDCRunTimes.py" --tripid 1827-14 --locoid 4002 --swversion DE.1.0.9.0 --startMP 204:450 --initTime 2018-01-14T18:56:48 --startdatetime 2018-01-14T19:09:13 --delay 65 --endMP 300:58914 --enddatetime 2018-01-14T19:23:11 --enforcementcount 0 &gt;&gt;%USERPROFILE%\Documents\GitHub\eaglep3-reporting\EC\2018-01-14-refined-times.txt</v>
      </c>
      <c r="AI187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{"issue":{"subject":"","project_id":79,"tracker_id":40,"status_id":1,"priority_id":2,"assigned_to_id":338,"start_date":"2018-01-14","description":"","custom_fields":[{"id":1,"name":"Subdivision","value":"NW"},{"id":4,"name":"Milepost","value":"5.8914"},{"id":17,"name":"Train ID","value":"1827-14"},{"id":16,"name":"Locomotive ID","value":"4002"},{"id":130,"name":"Impact","value":""},{"id":150,"name":"Time of Event (Mountain Time)","value":"19:23:11"},{"id":151,"name":"Denver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54"/>
        <v>start /low /b %USERPROFILE%\Documents\GitHub\eaglep3\Utilities\DownloadLogsFromS3.py --loco 4002 --day 2018-01-14</v>
      </c>
      <c r="AN187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56"/>
        <v>https://d0f6bd738d7f1b3e5a7ca70fe4ff75f0.us-east-1.aws.found.io/app/kibana#/discover/Steve-Slow-Train-Analysis-(2080s-and-2083s)?_g=(refreshInterval:(display:Off,pause:!f,section:0,value:0),time:(from:'2018-01-14T17:56:48-0700',mode:absolute,to:'2018-01-14T20:23:11-0700'))&amp;_a=(columns:!('Message%20ID',Summary),filters:!(),index:'emp_*',interval:auto,query:(query_string:(analyze_wildcard:!t,query:'%22rtdc.l.rtdc.4002%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870</v>
      </c>
      <c r="B188" s="225">
        <v>4001</v>
      </c>
      <c r="C188" s="227" t="s">
        <v>191</v>
      </c>
      <c r="D188" s="227" t="s">
        <v>676</v>
      </c>
      <c r="E188" s="226">
        <v>43114.808599537035</v>
      </c>
      <c r="F188" s="226">
        <v>43114.809849537036</v>
      </c>
      <c r="G188" s="225">
        <v>54</v>
      </c>
      <c r="H188" s="227" t="s">
        <v>992</v>
      </c>
      <c r="I188" s="226">
        <v>43114.830254629633</v>
      </c>
      <c r="J188" s="225">
        <v>0</v>
      </c>
      <c r="K188" s="237" t="str">
        <f>IF(ISEVEN(B188),(B188-1)&amp;"/"&amp;B188,B188&amp;"/"&amp;(B188+1))</f>
        <v>4001/4002</v>
      </c>
      <c r="L188" s="245" t="str">
        <f>VLOOKUP(A188,'Trips&amp;Operators'!$C$1:$G$99911,5,FALSE)</f>
        <v>ELBAUM MIKE</v>
      </c>
      <c r="M188" s="224">
        <f>I188-F188</f>
        <v>2.0405092596774921E-2</v>
      </c>
      <c r="N188" s="225">
        <f>24*60*SUM($M188:$M188)</f>
        <v>29.383333339355886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-14T18:24:23-0700',mode:absolute,to:'2018-01-14T20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5.8590999999999998</v>
      </c>
      <c r="Z188" s="247">
        <f>RIGHT(H188,LEN(H188)-4)/10000</f>
        <v>1.4200000000000001E-2</v>
      </c>
      <c r="AA188" s="247">
        <f>ABS(Z188-Y188)</f>
        <v>5.8449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1828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/stypes="app*4001*20180115*" /stext=" 02:.+((SYSTEM_STATE.+slice.+state.+changed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52"/>
        <v>"%USERPROFILE%\Documents\GitHub\eaglep3\Utilities\RefineRTDCRunTimes.py" --tripid 1828-14 --locoid 4001 --swversion DE.1.0.9.0 --startMP 300:58591 --initTime 2018-01-14T19:24:23 --startdatetime 2018-01-14T19:26:11 --delay 54 --endMP 204:142 --enddatetime 2018-01-14T19:55:34 --enforcementcount 0 &gt;&gt;%USERPROFILE%\Documents\GitHub\eaglep3-reporting\EC\2018-01-14-refined-times.txt</v>
      </c>
      <c r="AI188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{"issue":{"subject":"","project_id":79,"tracker_id":40,"status_id":1,"priority_id":2,"assigned_to_id":338,"start_date":"2018-01-14","description":"","custom_fields":[{"id":1,"name":"Subdivision","value":"NW"},{"id":4,"name":"Milepost","value":"0.0142"},{"id":17,"name":"Train ID","value":"1828-14"},{"id":16,"name":"Locomotive ID","value":"4001"},{"id":130,"name":"Impact","value":""},{"id":150,"name":"Time of Event (Mountain Time)","value":"19:55:34"},{"id":151,"name":"Denver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54"/>
        <v>start /low /b %USERPROFILE%\Documents\GitHub\eaglep3\Utilities\DownloadLogsFromS3.py --loco 4001 --day 2018-01-14</v>
      </c>
      <c r="AN188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56"/>
        <v>https://d0f6bd738d7f1b3e5a7ca70fe4ff75f0.us-east-1.aws.found.io/app/kibana#/discover/Steve-Slow-Train-Analysis-(2080s-and-2083s)?_g=(refreshInterval:(display:Off,pause:!f,section:0,value:0),time:(from:'2018-01-14T18:24:23-0700',mode:absolute,to:'2018-01-14T20:55:34-0700'))&amp;_a=(columns:!('Message%20ID',Summary),filters:!(),index:'emp_*',interval:auto,query:(query_string:(analyze_wildcard:!t,query:'%22rtdc.l.rtdc.4001%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695</v>
      </c>
      <c r="B189" s="225">
        <v>4002</v>
      </c>
      <c r="C189" s="227" t="s">
        <v>191</v>
      </c>
      <c r="D189" s="227" t="s">
        <v>556</v>
      </c>
      <c r="E189" s="226">
        <v>43114.831261574072</v>
      </c>
      <c r="F189" s="226">
        <v>43114.839722222219</v>
      </c>
      <c r="G189" s="225">
        <v>71</v>
      </c>
      <c r="H189" s="227" t="s">
        <v>994</v>
      </c>
      <c r="I189" s="226">
        <v>43114.849803240744</v>
      </c>
      <c r="J189" s="225">
        <v>0</v>
      </c>
      <c r="K189" s="237" t="str">
        <f>IF(ISEVEN(B189),(B189-1)&amp;"/"&amp;B189,B189&amp;"/"&amp;(B189+1))</f>
        <v>4001/4002</v>
      </c>
      <c r="L189" s="245" t="str">
        <f>VLOOKUP(A189,'Trips&amp;Operators'!$C$1:$G$99911,5,FALSE)</f>
        <v>ELBAUM MIKE</v>
      </c>
      <c r="M189" s="224">
        <f>I189-F189</f>
        <v>1.008101852494292E-2</v>
      </c>
      <c r="N189" s="225">
        <f>24*60*SUM($M189:$M189)</f>
        <v>14.516666675917804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-14T18:57:01-0700',mode:absolute,to:'2018-01-14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4.4400000000000002E-2</v>
      </c>
      <c r="Z189" s="247">
        <f>RIGHT(H189,LEN(H189)-4)/10000</f>
        <v>5.8920000000000003</v>
      </c>
      <c r="AA189" s="247">
        <f>ABS(Z189-Y189)</f>
        <v>5.8475999999999999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1829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/stypes="app*4002*20180115*"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52"/>
        <v>"%USERPROFILE%\Documents\GitHub\eaglep3\Utilities\RefineRTDCRunTimes.py" --tripid 1829-14 --locoid 4002 --swversion DE.1.0.9.0 --startMP 204:444 --initTime 2018-01-14T19:57:01 --startdatetime 2018-01-14T20:09:12 --delay 71 --endMP 300:58920 --enddatetime 2018-01-14T20:23:43 --enforcementcount 0 &gt;&gt;%USERPROFILE%\Documents\GitHub\eaglep3-reporting\EC\2018-01-14-refined-times.txt</v>
      </c>
      <c r="AI189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{"issue":{"subject":"","project_id":79,"tracker_id":40,"status_id":1,"priority_id":2,"assigned_to_id":338,"start_date":"2018-01-14","description":"","custom_fields":[{"id":1,"name":"Subdivision","value":"NW"},{"id":4,"name":"Milepost","value":"5.892"},{"id":17,"name":"Train ID","value":"1829-14"},{"id":16,"name":"Locomotive ID","value":"4002"},{"id":130,"name":"Impact","value":""},{"id":150,"name":"Time of Event (Mountain Time)","value":"20:23:43"},{"id":151,"name":"Denver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54"/>
        <v>start /low /b %USERPROFILE%\Documents\GitHub\eaglep3\Utilities\DownloadLogsFromS3.py --loco 4002 --day 2018-01-14</v>
      </c>
      <c r="AN189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56"/>
        <v>https://d0f6bd738d7f1b3e5a7ca70fe4ff75f0.us-east-1.aws.found.io/app/kibana#/discover/Steve-Slow-Train-Analysis-(2080s-and-2083s)?_g=(refreshInterval:(display:Off,pause:!f,section:0,value:0),time:(from:'2018-01-14T18:57:01-0700',mode:absolute,to:'2018-01-14T21:23:43-0700'))&amp;_a=(columns:!('Message%20ID',Summary),filters:!(),index:'emp_*',interval:auto,query:(query_string:(analyze_wildcard:!t,query:'%22rtdc.l.rtdc.4002%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876</v>
      </c>
      <c r="B190" s="225">
        <v>4001</v>
      </c>
      <c r="C190" s="227" t="s">
        <v>191</v>
      </c>
      <c r="D190" s="227" t="s">
        <v>999</v>
      </c>
      <c r="E190" s="226">
        <v>43114.850578703707</v>
      </c>
      <c r="F190" s="226">
        <v>43114.863344907404</v>
      </c>
      <c r="G190" s="225">
        <v>52</v>
      </c>
      <c r="H190" s="227" t="s">
        <v>1000</v>
      </c>
      <c r="I190" s="226">
        <v>43114.872719907406</v>
      </c>
      <c r="J190" s="225">
        <v>0</v>
      </c>
      <c r="K190" s="237" t="str">
        <f>IF(ISEVEN(B190),(B190-1)&amp;"/"&amp;B190,B190&amp;"/"&amp;(B190+1))</f>
        <v>4001/4002</v>
      </c>
      <c r="L190" s="245" t="str">
        <f>VLOOKUP(A190,'Trips&amp;Operators'!$C$1:$G$99911,5,FALSE)</f>
        <v>ELBAUM MIKE</v>
      </c>
      <c r="M190" s="224">
        <f>I190-F190</f>
        <v>9.3750000014551915E-3</v>
      </c>
      <c r="N190" s="225">
        <f>24*60*SUM($M190:$M190)</f>
        <v>13.500000002095476</v>
      </c>
      <c r="O190" s="225"/>
      <c r="P190" s="225"/>
      <c r="Q190" s="228"/>
      <c r="R190" s="242"/>
      <c r="S190" s="249">
        <f>1/IF(AG190="EC",12,1)*SUM(U190:U190)</f>
        <v>0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-14T19:24:50-0700',mode:absolute,to:'2018-01-14T21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247" t="str">
        <f>IF(AA190&lt;VLOOKUP(AG190,Variables!$AC$3:$AD$8,2,FALSE),"Y","N")</f>
        <v>Y</v>
      </c>
      <c r="X190" s="247">
        <f>VALUE(LEFT(AD190,4))-VALUE(LEFT(AD189,4))</f>
        <v>1</v>
      </c>
      <c r="Y190" s="247">
        <f>RIGHT(D190,LEN(D190)-4)/10000</f>
        <v>5.8596000000000004</v>
      </c>
      <c r="Z190" s="247">
        <f>RIGHT(H190,LEN(H190)-4)/10000</f>
        <v>5.7233000000000001</v>
      </c>
      <c r="AA190" s="247">
        <f>ABS(Z190-Y190)</f>
        <v>0.13630000000000031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1830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/stypes="app*4001*20180115*" /stext=" 03:.+((SYSTEM_STATE.+slice.+state.+changed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52"/>
        <v>"%USERPROFILE%\Documents\GitHub\eaglep3\Utilities\RefineRTDCRunTimes.py" --tripid 1830-14 --locoid 4001 --swversion DE.1.0.9.0 --startMP 300:58596 --initTime 2018-01-14T20:24:50 --startdatetime 2018-01-14T20:43:13 --delay 52 --endMP 300:57233 --enddatetime 2018-01-14T20:56:43 --enforcementcount 0 &gt;&gt;%USERPROFILE%\Documents\GitHub\eaglep3-reporting\EC\2018-01-14-refined-times.txt</v>
      </c>
      <c r="AI190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{"issue":{"subject":"","project_id":79,"tracker_id":40,"status_id":1,"priority_id":2,"assigned_to_id":338,"start_date":"2018-01-14","description":"","custom_fields":[{"id":1,"name":"Subdivision","value":"NW"},{"id":4,"name":"Milepost","value":"5.7233"},{"id":17,"name":"Train ID","value":"1830-14"},{"id":16,"name":"Locomotive ID","value":"4001"},{"id":130,"name":"Impact","value":""},{"id":150,"name":"Time of Event (Mountain Time)","value":"20:56:43"},{"id":151,"name":"Denver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54"/>
        <v>start /low /b %USERPROFILE%\Documents\GitHub\eaglep3\Utilities\DownloadLogsFromS3.py --loco 4001 --day 2018-01-14</v>
      </c>
      <c r="AN190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56"/>
        <v>https://d0f6bd738d7f1b3e5a7ca70fe4ff75f0.us-east-1.aws.found.io/app/kibana#/discover/Steve-Slow-Train-Analysis-(2080s-and-2083s)?_g=(refreshInterval:(display:Off,pause:!f,section:0,value:0),time:(from:'2018-01-14T19:24:50-0700',mode:absolute,to:'2018-01-14T21:56:43-0700'))&amp;_a=(columns:!('Message%20ID',Summary),filters:!(),index:'emp_*',interval:auto,query:(query_string:(analyze_wildcard:!t,query:'%22rtdc.l.rtdc.4001%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876</v>
      </c>
      <c r="B191" s="225">
        <v>4001</v>
      </c>
      <c r="C191" s="227" t="s">
        <v>191</v>
      </c>
      <c r="D191" s="227" t="s">
        <v>1001</v>
      </c>
      <c r="E191" s="226">
        <v>43114.85800925926</v>
      </c>
      <c r="F191" s="226">
        <v>43114.863344907404</v>
      </c>
      <c r="G191" s="225">
        <v>58</v>
      </c>
      <c r="H191" s="227" t="s">
        <v>1002</v>
      </c>
      <c r="I191" s="226">
        <v>43114.872719907406</v>
      </c>
      <c r="J191" s="225">
        <v>0</v>
      </c>
      <c r="K191" s="237" t="str">
        <f>IF(ISEVEN(B191),(B191-1)&amp;"/"&amp;B191,B191&amp;"/"&amp;(B191+1))</f>
        <v>4001/4002</v>
      </c>
      <c r="L191" s="245" t="str">
        <f>VLOOKUP(A191,'Trips&amp;Operators'!$C$1:$G$99911,5,FALSE)</f>
        <v>ELBAUM MIKE</v>
      </c>
      <c r="M191" s="224">
        <f>I191-F191</f>
        <v>9.3750000014551915E-3</v>
      </c>
      <c r="N191" s="225">
        <f>24*60*SUM($M191:$M191)</f>
        <v>13.500000002095476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-14T19:35:32-0700',mode:absolute,to:'2018-01-14T21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0</v>
      </c>
      <c r="Y191" s="247">
        <f>RIGHT(D191,LEN(D191)-4)/10000</f>
        <v>5.7233999999999998</v>
      </c>
      <c r="Z191" s="247">
        <f>RIGHT(H191,LEN(H191)-4)/10000</f>
        <v>1.29E-2</v>
      </c>
      <c r="AA191" s="247">
        <f>ABS(Z191-Y191)</f>
        <v>5.7104999999999997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1830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/stypes="app*4001*20180115*" /stext=" 03:.+((SYSTEM_STATE.+slice.+state.+changed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52"/>
        <v>"%USERPROFILE%\Documents\GitHub\eaglep3\Utilities\RefineRTDCRunTimes.py" --tripid 1830-14 --locoid 4001 --swversion DE.1.0.9.0 --startMP 300:57234 --initTime 2018-01-14T20:35:32 --startdatetime 2018-01-14T20:43:13 --delay 58 --endMP 204:129 --enddatetime 2018-01-14T20:56:43 --enforcementcount 0 &gt;&gt;%USERPROFILE%\Documents\GitHub\eaglep3-reporting\EC\2018-01-14-refined-times.txt</v>
      </c>
      <c r="AI191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{"issue":{"subject":"","project_id":79,"tracker_id":40,"status_id":1,"priority_id":2,"assigned_to_id":338,"start_date":"2018-01-14","description":"","custom_fields":[{"id":1,"name":"Subdivision","value":"NW"},{"id":4,"name":"Milepost","value":"0.0129"},{"id":17,"name":"Train ID","value":"1830-14"},{"id":16,"name":"Locomotive ID","value":"4001"},{"id":130,"name":"Impact","value":""},{"id":150,"name":"Time of Event (Mountain Time)","value":"20:56:43"},{"id":151,"name":"Denver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54"/>
        <v>start /low /b %USERPROFILE%\Documents\GitHub\eaglep3\Utilities\DownloadLogsFromS3.py --loco 4001 --day 2018-01-14</v>
      </c>
      <c r="AN191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03:56:43"},{"id":29,"name":"Sharepoint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56"/>
        <v>https://d0f6bd738d7f1b3e5a7ca70fe4ff75f0.us-east-1.aws.found.io/app/kibana#/discover/Steve-Slow-Train-Analysis-(2080s-and-2083s)?_g=(refreshInterval:(display:Off,pause:!f,section:0,value:0),time:(from:'2018-01-14T19:35:32-0700',mode:absolute,to:'2018-01-14T21:56:43-0700'))&amp;_a=(columns:!('Message%20ID',Summary),filters:!(),index:'emp_*',interval:auto,query:(query_string:(analyze_wildcard:!t,query:'%22rtdc.l.rtdc.4001%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696</v>
      </c>
      <c r="B192" s="225">
        <v>4002</v>
      </c>
      <c r="C192" s="227" t="s">
        <v>191</v>
      </c>
      <c r="D192" s="227" t="s">
        <v>471</v>
      </c>
      <c r="E192" s="226">
        <v>43114.878958333335</v>
      </c>
      <c r="F192" s="226">
        <v>43114.88140046296</v>
      </c>
      <c r="G192" s="225">
        <v>65</v>
      </c>
      <c r="H192" s="227" t="s">
        <v>994</v>
      </c>
      <c r="I192" s="226">
        <v>43114.891643518517</v>
      </c>
      <c r="J192" s="225">
        <v>0</v>
      </c>
      <c r="K192" s="237" t="str">
        <f>IF(ISEVEN(B192),(B192-1)&amp;"/"&amp;B192,B192&amp;"/"&amp;(B192+1))</f>
        <v>4001/4002</v>
      </c>
      <c r="L192" s="245" t="str">
        <f>VLOOKUP(A192,'Trips&amp;Operators'!$C$1:$G$99911,5,FALSE)</f>
        <v>ELBAUM MIKE</v>
      </c>
      <c r="M192" s="224">
        <f>I192-F192</f>
        <v>1.0243055556202307E-2</v>
      </c>
      <c r="N192" s="225">
        <f>24*60*SUM($M192:$M192)</f>
        <v>14.750000000931323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-14T20:05:42-0700',mode:absolute,to:'2018-01-14T22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4.6399999999999997E-2</v>
      </c>
      <c r="Z192" s="247">
        <f>RIGHT(H192,LEN(H192)-4)/10000</f>
        <v>5.8920000000000003</v>
      </c>
      <c r="AA192" s="247">
        <f>ABS(Z192-Y192)</f>
        <v>5.8456000000000001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1831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/stypes="app*4002*20180115*" /stext=" 04:.+((SYSTEM_STATE.+slice.+state.+changed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52"/>
        <v>"%USERPROFILE%\Documents\GitHub\eaglep3\Utilities\RefineRTDCRunTimes.py" --tripid 1831-14 --locoid 4002 --swversion DE.1.0.9.0 --startMP 204:464 --initTime 2018-01-14T21:05:42 --startdatetime 2018-01-14T21:09:13 --delay 65 --endMP 300:58920 --enddatetime 2018-01-14T21:23:58 --enforcementcount 0 &gt;&gt;%USERPROFILE%\Documents\GitHub\eaglep3-reporting\EC\2018-01-14-refined-times.txt</v>
      </c>
      <c r="AI192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{"issue":{"subject":"","project_id":79,"tracker_id":40,"status_id":1,"priority_id":2,"assigned_to_id":338,"start_date":"2018-01-14","description":"","custom_fields":[{"id":1,"name":"Subdivision","value":"NW"},{"id":4,"name":"Milepost","value":"5.892"},{"id":17,"name":"Train ID","value":"1831-14"},{"id":16,"name":"Locomotive ID","value":"4002"},{"id":130,"name":"Impact","value":""},{"id":150,"name":"Time of Event (Mountain Time)","value":"21:23:58"},{"id":151,"name":"Denver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54"/>
        <v>start /low /b %USERPROFILE%\Documents\GitHub\eaglep3\Utilities\DownloadLogsFromS3.py --loco 4002 --day 2018-01-14</v>
      </c>
      <c r="AN192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56"/>
        <v>https://d0f6bd738d7f1b3e5a7ca70fe4ff75f0.us-east-1.aws.found.io/app/kibana#/discover/Steve-Slow-Train-Analysis-(2080s-and-2083s)?_g=(refreshInterval:(display:Off,pause:!f,section:0,value:0),time:(from:'2018-01-14T20:05:42-0700',mode:absolute,to:'2018-01-14T22:23:58-0700'))&amp;_a=(columns:!('Message%20ID',Summary),filters:!(),index:'emp_*',interval:auto,query:(query_string:(analyze_wildcard:!t,query:'%22rtdc.l.rtdc.4002%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881</v>
      </c>
      <c r="B193" s="225">
        <v>4001</v>
      </c>
      <c r="C193" s="227" t="s">
        <v>191</v>
      </c>
      <c r="D193" s="227" t="s">
        <v>677</v>
      </c>
      <c r="E193" s="226">
        <v>43114.892465277779</v>
      </c>
      <c r="F193" s="226">
        <v>43114.893819444442</v>
      </c>
      <c r="G193" s="225">
        <v>55</v>
      </c>
      <c r="H193" s="227" t="s">
        <v>506</v>
      </c>
      <c r="I193" s="226">
        <v>43114.912951388891</v>
      </c>
      <c r="J193" s="225">
        <v>0</v>
      </c>
      <c r="K193" s="237" t="str">
        <f>IF(ISEVEN(B193),(B193-1)&amp;"/"&amp;B193,B193&amp;"/"&amp;(B193+1))</f>
        <v>4001/4002</v>
      </c>
      <c r="L193" s="245" t="str">
        <f>VLOOKUP(A193,'Trips&amp;Operators'!$C$1:$G$99911,5,FALSE)</f>
        <v>ELBAUM MIKE</v>
      </c>
      <c r="M193" s="224">
        <f>I193-F193</f>
        <v>1.913194444932742E-2</v>
      </c>
      <c r="N193" s="225">
        <f>24*60*SUM($M193:$M193)</f>
        <v>27.550000007031485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-14T20:25:09-0700',mode:absolute,to:'2018-01-14T22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5.8604000000000003</v>
      </c>
      <c r="Z193" s="247">
        <f>RIGHT(H193,LEN(H193)-4)/10000</f>
        <v>1.5699999999999999E-2</v>
      </c>
      <c r="AA193" s="247">
        <f>ABS(Z193-Y193)</f>
        <v>5.8447000000000005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1832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/stypes="app*4001*20180115*" /stext=" 04:.+((SYSTEM_STATE.+slice.+state.+changed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52"/>
        <v>"%USERPROFILE%\Documents\GitHub\eaglep3\Utilities\RefineRTDCRunTimes.py" --tripid 1832-14 --locoid 4001 --swversion DE.1.0.9.0 --startMP 300:58604 --initTime 2018-01-14T21:25:09 --startdatetime 2018-01-14T21:27:06 --delay 55 --endMP 204:157 --enddatetime 2018-01-14T21:54:39 --enforcementcount 0 &gt;&gt;%USERPROFILE%\Documents\GitHub\eaglep3-reporting\EC\2018-01-14-refined-times.txt</v>
      </c>
      <c r="AI193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{"issue":{"subject":"","project_id":79,"tracker_id":40,"status_id":1,"priority_id":2,"assigned_to_id":338,"start_date":"2018-01-14","description":"","custom_fields":[{"id":1,"name":"Subdivision","value":"NW"},{"id":4,"name":"Milepost","value":"0.0157"},{"id":17,"name":"Train ID","value":"1832-14"},{"id":16,"name":"Locomotive ID","value":"4001"},{"id":130,"name":"Impact","value":""},{"id":150,"name":"Time of Event (Mountain Time)","value":"21:54:39"},{"id":151,"name":"Denver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54"/>
        <v>start /low /b %USERPROFILE%\Documents\GitHub\eaglep3\Utilities\DownloadLogsFromS3.py --loco 4001 --day 2018-01-14</v>
      </c>
      <c r="AN193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56"/>
        <v>https://d0f6bd738d7f1b3e5a7ca70fe4ff75f0.us-east-1.aws.found.io/app/kibana#/discover/Steve-Slow-Train-Analysis-(2080s-and-2083s)?_g=(refreshInterval:(display:Off,pause:!f,section:0,value:0),time:(from:'2018-01-14T20:25:09-0700',mode:absolute,to:'2018-01-14T22:54:39-0700'))&amp;_a=(columns:!('Message%20ID',Summary),filters:!(),index:'emp_*',interval:auto,query:(query_string:(analyze_wildcard:!t,query:'%22rtdc.l.rtdc.4001%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884</v>
      </c>
      <c r="B194" s="225">
        <v>4002</v>
      </c>
      <c r="C194" s="227" t="s">
        <v>191</v>
      </c>
      <c r="D194" s="227" t="s">
        <v>556</v>
      </c>
      <c r="E194" s="226">
        <v>43114.914004629631</v>
      </c>
      <c r="F194" s="226">
        <v>43114.923067129632</v>
      </c>
      <c r="G194" s="225">
        <v>65</v>
      </c>
      <c r="H194" s="227" t="s">
        <v>1003</v>
      </c>
      <c r="I194" s="226">
        <v>43114.932430555556</v>
      </c>
      <c r="J194" s="225">
        <v>0</v>
      </c>
      <c r="K194" s="237" t="str">
        <f>IF(ISEVEN(B194),(B194-1)&amp;"/"&amp;B194,B194&amp;"/"&amp;(B194+1))</f>
        <v>4001/4002</v>
      </c>
      <c r="L194" s="245" t="str">
        <f>VLOOKUP(A194,'Trips&amp;Operators'!$C$1:$G$99911,5,FALSE)</f>
        <v>ELBAUM MIKE</v>
      </c>
      <c r="M194" s="224">
        <f>I194-F194</f>
        <v>9.3634259246755391E-3</v>
      </c>
      <c r="N194" s="225">
        <f>24*60*SUM($M194:$M194)</f>
        <v>13.483333331532776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-14T20:56:10-0700',mode:absolute,to:'2018-01-14T23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4.4400000000000002E-2</v>
      </c>
      <c r="Z194" s="247">
        <f>RIGHT(H194,LEN(H194)-4)/10000</f>
        <v>5.8912000000000004</v>
      </c>
      <c r="AA194" s="247">
        <f>ABS(Z194-Y194)</f>
        <v>5.8468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1833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/stypes="app*4002*20180115*" /stext=" 05:.+((SYSTEM_STATE.+slice.+state.+changed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52"/>
        <v>"%USERPROFILE%\Documents\GitHub\eaglep3\Utilities\RefineRTDCRunTimes.py" --tripid 1833-14 --locoid 4002 --swversion DE.1.0.9.0 --startMP 204:444 --initTime 2018-01-14T21:56:10 --startdatetime 2018-01-14T22:09:13 --delay 65 --endMP 300:58912 --enddatetime 2018-01-14T22:22:42 --enforcementcount 0 &gt;&gt;%USERPROFILE%\Documents\GitHub\eaglep3-reporting\EC\2018-01-14-refined-times.txt</v>
      </c>
      <c r="AI194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{"issue":{"subject":"","project_id":79,"tracker_id":40,"status_id":1,"priority_id":2,"assigned_to_id":338,"start_date":"2018-01-14","description":"","custom_fields":[{"id":1,"name":"Subdivision","value":"NW"},{"id":4,"name":"Milepost","value":"5.8912"},{"id":17,"name":"Train ID","value":"1833-14"},{"id":16,"name":"Locomotive ID","value":"4002"},{"id":130,"name":"Impact","value":""},{"id":150,"name":"Time of Event (Mountain Time)","value":"22:22:42"},{"id":151,"name":"Denver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54"/>
        <v>start /low /b %USERPROFILE%\Documents\GitHub\eaglep3\Utilities\DownloadLogsFromS3.py --loco 4002 --day 2018-01-14</v>
      </c>
      <c r="AN194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56"/>
        <v>https://d0f6bd738d7f1b3e5a7ca70fe4ff75f0.us-east-1.aws.found.io/app/kibana#/discover/Steve-Slow-Train-Analysis-(2080s-and-2083s)?_g=(refreshInterval:(display:Off,pause:!f,section:0,value:0),time:(from:'2018-01-14T20:56:10-0700',mode:absolute,to:'2018-01-14T23:22:42-0700'))&amp;_a=(columns:!('Message%20ID',Summary),filters:!(),index:'emp_*',interval:auto,query:(query_string:(analyze_wildcard:!t,query:'%22rtdc.l.rtdc.4002%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887</v>
      </c>
      <c r="B195" s="225">
        <v>4001</v>
      </c>
      <c r="C195" s="227" t="s">
        <v>191</v>
      </c>
      <c r="D195" s="227" t="s">
        <v>1004</v>
      </c>
      <c r="E195" s="226">
        <v>43114.933206018519</v>
      </c>
      <c r="F195" s="226">
        <v>43114.934641203705</v>
      </c>
      <c r="G195" s="225">
        <v>54</v>
      </c>
      <c r="H195" s="227" t="s">
        <v>672</v>
      </c>
      <c r="I195" s="226">
        <v>43114.954756944448</v>
      </c>
      <c r="J195" s="225">
        <v>0</v>
      </c>
      <c r="K195" s="237" t="str">
        <f>IF(ISEVEN(B195),(B195-1)&amp;"/"&amp;B195,B195&amp;"/"&amp;(B195+1))</f>
        <v>4001/4002</v>
      </c>
      <c r="L195" s="245" t="str">
        <f>VLOOKUP(A195,'Trips&amp;Operators'!$C$1:$G$99911,5,FALSE)</f>
        <v>ELBAUM MIKE</v>
      </c>
      <c r="M195" s="224">
        <f>I195-F195</f>
        <v>2.011574074276723E-2</v>
      </c>
      <c r="N195" s="225">
        <f>24*60*SUM($M195:$M195)</f>
        <v>28.966666669584811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-14T21:23:49-0700',mode:absolute,to:'2018-01-14T23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5.8601999999999999</v>
      </c>
      <c r="Z195" s="247">
        <f>RIGHT(H195,LEN(H195)-4)/10000</f>
        <v>1.6199999999999999E-2</v>
      </c>
      <c r="AA195" s="247">
        <f>ABS(Z195-Y195)</f>
        <v>5.8439999999999994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1834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/stypes="app*4001*20180115*" /stext=" 05:.+((SYSTEM_STATE.+slice.+state.+changed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52"/>
        <v>"%USERPROFILE%\Documents\GitHub\eaglep3\Utilities\RefineRTDCRunTimes.py" --tripid 1834-14 --locoid 4001 --swversion DE.1.0.9.0 --startMP 300:58602 --initTime 2018-01-14T22:23:49 --startdatetime 2018-01-14T22:25:53 --delay 54 --endMP 204:162 --enddatetime 2018-01-14T22:54:51 --enforcementcount 0 &gt;&gt;%USERPROFILE%\Documents\GitHub\eaglep3-reporting\EC\2018-01-14-refined-times.txt</v>
      </c>
      <c r="AI195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{"issue":{"subject":"","project_id":79,"tracker_id":40,"status_id":1,"priority_id":2,"assigned_to_id":338,"start_date":"2018-01-14","description":"","custom_fields":[{"id":1,"name":"Subdivision","value":"NW"},{"id":4,"name":"Milepost","value":"0.0162"},{"id":17,"name":"Train ID","value":"1834-14"},{"id":16,"name":"Locomotive ID","value":"4001"},{"id":130,"name":"Impact","value":""},{"id":150,"name":"Time of Event (Mountain Time)","value":"22:54:51"},{"id":151,"name":"Denver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54"/>
        <v>start /low /b %USERPROFILE%\Documents\GitHub\eaglep3\Utilities\DownloadLogsFromS3.py --loco 4001 --day 2018-01-14</v>
      </c>
      <c r="AN195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05:54:51"},{"id":29,"name":"Sharepoint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56"/>
        <v>https://d0f6bd738d7f1b3e5a7ca70fe4ff75f0.us-east-1.aws.found.io/app/kibana#/discover/Steve-Slow-Train-Analysis-(2080s-and-2083s)?_g=(refreshInterval:(display:Off,pause:!f,section:0,value:0),time:(from:'2018-01-14T21:23:49-0700',mode:absolute,to:'2018-01-14T23:54:51-0700'))&amp;_a=(columns:!('Message%20ID',Summary),filters:!(),index:'emp_*',interval:auto,query:(query_string:(analyze_wildcard:!t,query:'%22rtdc.l.rtdc.4001%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890</v>
      </c>
      <c r="B196" s="225">
        <v>4002</v>
      </c>
      <c r="C196" s="227" t="s">
        <v>191</v>
      </c>
      <c r="D196" s="227" t="s">
        <v>645</v>
      </c>
      <c r="E196" s="226">
        <v>43114.956076388888</v>
      </c>
      <c r="F196" s="226">
        <v>43114.964745370373</v>
      </c>
      <c r="G196" s="225">
        <v>64</v>
      </c>
      <c r="H196" s="227" t="s">
        <v>1005</v>
      </c>
      <c r="I196" s="226">
        <v>43114.972824074073</v>
      </c>
      <c r="J196" s="225">
        <v>0</v>
      </c>
      <c r="K196" s="237" t="str">
        <f>IF(ISEVEN(B196),(B196-1)&amp;"/"&amp;B196,B196&amp;"/"&amp;(B196+1))</f>
        <v>4001/4002</v>
      </c>
      <c r="L196" s="245" t="str">
        <f>VLOOKUP(A196,'Trips&amp;Operators'!$C$1:$G$99911,5,FALSE)</f>
        <v>ELBAUM MIKE</v>
      </c>
      <c r="M196" s="224">
        <f>I196-F196</f>
        <v>8.0787037004483864E-3</v>
      </c>
      <c r="N196" s="225">
        <f>24*60*SUM($M196:$M196)</f>
        <v>11.633333328645676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-14T21:56:45-0700',mode:absolute,to:'2018-01-15T00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4.5999999999999999E-2</v>
      </c>
      <c r="Z196" s="247">
        <f>RIGHT(H196,LEN(H196)-4)/10000</f>
        <v>5.7680999999999996</v>
      </c>
      <c r="AA196" s="247">
        <f>ABS(Z196-Y196)</f>
        <v>5.7220999999999993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1835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/stypes="app*4002*20180115*" /stext=" 06:.+((SYSTEM_STATE.+slice.+state.+changed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52"/>
        <v>"%USERPROFILE%\Documents\GitHub\eaglep3\Utilities\RefineRTDCRunTimes.py" --tripid 1835-14 --locoid 4002 --swversion DE.1.0.9.0 --startMP 204:460 --initTime 2018-01-14T22:56:45 --startdatetime 2018-01-14T23:09:14 --delay 64 --endMP 300:57681 --enddatetime 2018-01-14T23:20:52 --enforcementcount 0 &gt;&gt;%USERPROFILE%\Documents\GitHub\eaglep3-reporting\EC\2018-01-14-refined-times.txt</v>
      </c>
      <c r="AI196" s="238" t="str">
        <f t="shared" si="53"/>
        <v>echo {"issue":{"subject":"","project_id":79,"tracker_id":40,"status_id":1,"priority_id":2,"assigned_to_id":338,"start_date":"2018-01-14","description":"","custom_fields":[{"id":1,"name":"Subdivision","value":"NW"},{"id":4,"name":"Milepost","value":"5.7681"},{"id":17,"name":"Train ID","value":"1835-14"},{"id":16,"name":"Locomotive ID","value":"4002"},{"id":130,"name":"Impact","value":""},{"id":150,"name":"Time of Event (Mountain Time)","value":"23:20:52"},{"id":151,"name":"Denver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54"/>
        <v>start /low /b %USERPROFILE%\Documents\GitHub\eaglep3\Utilities\DownloadLogsFromS3.py --loco 4002 --day 2018-01-14</v>
      </c>
      <c r="AN196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56"/>
        <v>https://d0f6bd738d7f1b3e5a7ca70fe4ff75f0.us-east-1.aws.found.io/app/kibana#/discover/Steve-Slow-Train-Analysis-(2080s-and-2083s)?_g=(refreshInterval:(display:Off,pause:!f,section:0,value:0),time:(from:'2018-01-14T21:56:45-0700',mode:absolute,to:'2018-01-15T00:20:52-0700'))&amp;_a=(columns:!('Message%20ID',Summary),filters:!(),index:'emp_*',interval:auto,query:(query_string:(analyze_wildcard:!t,query:'%22rtdc.l.rtdc.4002%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863</v>
      </c>
      <c r="B197" s="225">
        <v>4040</v>
      </c>
      <c r="C197" s="227" t="s">
        <v>191</v>
      </c>
      <c r="D197" s="227" t="s">
        <v>635</v>
      </c>
      <c r="E197" s="226">
        <v>43114.780949074076</v>
      </c>
      <c r="F197" s="226">
        <v>43114.788657407407</v>
      </c>
      <c r="G197" s="225">
        <v>56</v>
      </c>
      <c r="H197" s="227" t="s">
        <v>502</v>
      </c>
      <c r="I197" s="226">
        <v>43114.797013888892</v>
      </c>
      <c r="J197" s="225">
        <v>0</v>
      </c>
      <c r="K197" s="237" t="str">
        <f>IF(ISEVEN(B197),(B197-1)&amp;"/"&amp;B197,B197&amp;"/"&amp;(B197+1))</f>
        <v>4039/4040</v>
      </c>
      <c r="L197" s="245" t="str">
        <f>VLOOKUP(A197,'Trips&amp;Operators'!$C$1:$G$99911,5,FALSE)</f>
        <v>BADERTSCHER DIANE</v>
      </c>
      <c r="M197" s="224">
        <f>I197-F197</f>
        <v>8.3564814849523827E-3</v>
      </c>
      <c r="N197" s="225">
        <f>24*60*SUM($M197:$M197)</f>
        <v>12.033333338331431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-14T17:44:34-0700',mode:absolute,to:'2018-01-14T20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-1534</v>
      </c>
      <c r="Y197" s="247">
        <f>RIGHT(D197,LEN(D197)-4)/10000</f>
        <v>5.2900000000000003E-2</v>
      </c>
      <c r="Z197" s="247">
        <f>RIGHT(H197,LEN(H197)-4)/10000</f>
        <v>2.3302</v>
      </c>
      <c r="AA197" s="247">
        <f>ABS(Z197-Y197)</f>
        <v>2.2772999999999999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301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/stypes="app*4040*20180115*" /stext=" 02:.+((SYSTEM_STATE.+slice.+state.+changed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52"/>
        <v>"%USERPROFILE%\Documents\GitHub\eaglep3\Utilities\RefineRTDCRunTimes.py" --tripid 301-14 --locoid 4040 --swversion DE.1.0.9.0 --startMP 204:529 --initTime 2018-01-14T18:44:34 --startdatetime 2018-01-14T18:55:40 --delay 56 --endMP 300:23302 --enddatetime 2018-01-14T19:07:42 --enforcementcount 0 &gt;&gt;%USERPROFILE%\Documents\GitHub\eaglep3-reporting\EC\2018-01-14-refined-times.txt</v>
      </c>
      <c r="AI197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{"issue":{"subject":"","project_id":79,"tracker_id":40,"status_id":1,"priority_id":2,"assigned_to_id":338,"start_date":"2018-01-14","description":"","custom_fields":[{"id":1,"name":"Subdivision","value":"Other"},{"id":4,"name":"Milepost","value":"2.3302"},{"id":17,"name":"Train ID","value":"301-14"},{"id":16,"name":"Locomotive ID","value":"4040"},{"id":130,"name":"Impact","value":""},{"id":150,"name":"Time of Event (Mountain Time)","value":"19:07:42"},{"id":151,"name":"Denver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54"/>
        <v>start /low /b %USERPROFILE%\Documents\GitHub\eaglep3\Utilities\DownloadLogsFromS3.py --loco 4040 --day 2018-01-14</v>
      </c>
      <c r="AN197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02:07:42"},{"id":29,"name":"Sharepoint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56"/>
        <v>https://d0f6bd738d7f1b3e5a7ca70fe4ff75f0.us-east-1.aws.found.io/app/kibana#/discover/Steve-Slow-Train-Analysis-(2080s-and-2083s)?_g=(refreshInterval:(display:Off,pause:!f,section:0,value:0),time:(from:'2018-01-14T17:44:34-0700',mode:absolute,to:'2018-01-14T20:07:42-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710</v>
      </c>
      <c r="B198" s="225">
        <v>4017</v>
      </c>
      <c r="C198" s="227" t="s">
        <v>191</v>
      </c>
      <c r="D198" s="227" t="s">
        <v>1034</v>
      </c>
      <c r="E198" s="226">
        <v>43114.138472222221</v>
      </c>
      <c r="F198" s="226">
        <v>43114.142314814817</v>
      </c>
      <c r="G198" s="225">
        <v>77</v>
      </c>
      <c r="H198" s="227" t="s">
        <v>1035</v>
      </c>
      <c r="I198" s="226">
        <v>43114.148032407407</v>
      </c>
      <c r="J198" s="225">
        <v>0</v>
      </c>
      <c r="K198" s="237" t="str">
        <f>IF(ISEVEN(B198),(B198-1)&amp;"/"&amp;B198,B198&amp;"/"&amp;(B198+1))</f>
        <v>4017/4018</v>
      </c>
      <c r="L198" s="245" t="str">
        <f>VLOOKUP(A198,'Trips&amp;Operators'!$C$1:$G$99911,5,FALSE)</f>
        <v>WILLIAMS DONTE</v>
      </c>
      <c r="M198" s="224">
        <f>I198-F198</f>
        <v>5.7175925903720781E-3</v>
      </c>
      <c r="N198" s="225">
        <f>24*60*SUM($M198:$M198)</f>
        <v>8.2333333301357925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-14T02:19:24-0700',mode:absolute,to:'2018-01-14T04:33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2.3492999999999999</v>
      </c>
      <c r="Z198" s="247">
        <f>RIGHT(H198,LEN(H198)-4)/10000</f>
        <v>2.12E-2</v>
      </c>
      <c r="AA198" s="247">
        <f>ABS(Z198-Y198)</f>
        <v>2.3281000000000001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302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/stypes="app*4017*20180114*" /stext=" 10:.+((SYSTEM_STATE.+slice.+state.+changed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52"/>
        <v>"%USERPROFILE%\Documents\GitHub\eaglep3\Utilities\RefineRTDCRunTimes.py" --tripid 302-14 --locoid 4017 --swversion DE.1.0.9.0 --startMP 300:23493 --initTime 2018-01-14T03:19:24 --startdatetime 2018-01-14T03:24:56 --delay 77 --endMP 204:212 --enddatetime 2018-01-14T03:33:10 --enforcementcount 0 &gt;&gt;%USERPROFILE%\Documents\GitHub\eaglep3-reporting\EC\2018-01-14-refined-times.txt</v>
      </c>
      <c r="AI198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{"issue":{"subject":"","project_id":79,"tracker_id":40,"status_id":1,"priority_id":2,"assigned_to_id":338,"start_date":"2018-01-14","description":"","custom_fields":[{"id":1,"name":"Subdivision","value":"Other"},{"id":4,"name":"Milepost","value":"0.0212"},{"id":17,"name":"Train ID","value":"302-14"},{"id":16,"name":"Locomotive ID","value":"4017"},{"id":130,"name":"Impact","value":""},{"id":150,"name":"Time of Event (Mountain Time)","value":"03:33:10"},{"id":151,"name":"Denver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54"/>
        <v>start /low /b %USERPROFILE%\Documents\GitHub\eaglep3\Utilities\DownloadLogsFromS3.py --loco 4017 --day 2018-01-14</v>
      </c>
      <c r="AN198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10:33:10"},{"id":29,"name":"Sharepoint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56"/>
        <v>https://d0f6bd738d7f1b3e5a7ca70fe4ff75f0.us-east-1.aws.found.io/app/kibana#/discover/Steve-Slow-Train-Analysis-(2080s-and-2083s)?_g=(refreshInterval:(display:Off,pause:!f,section:0,value:0),time:(from:'2018-01-14T02:19:24-0700',mode:absolute,to:'2018-01-14T04:33:10-0700'))&amp;_a=(columns:!('Message%20ID',Summary),filters:!(),index:'emp_*',interval:auto,query:(query_string:(analyze_wildcard:!t,query:'%22rtdc.l.rtdc.4017%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867</v>
      </c>
      <c r="B199" s="225">
        <v>4026</v>
      </c>
      <c r="C199" s="227" t="s">
        <v>191</v>
      </c>
      <c r="D199" s="227" t="s">
        <v>479</v>
      </c>
      <c r="E199" s="226">
        <v>43114.797569444447</v>
      </c>
      <c r="F199" s="226">
        <v>25568.708333333332</v>
      </c>
      <c r="G199" s="225">
        <v>63</v>
      </c>
      <c r="H199" s="227" t="s">
        <v>1036</v>
      </c>
      <c r="I199" s="226">
        <v>25568.708333333332</v>
      </c>
      <c r="J199" s="225">
        <v>0</v>
      </c>
      <c r="K199" s="237" t="str">
        <f>IF(ISEVEN(B199),(B199-1)&amp;"/"&amp;B199,B199&amp;"/"&amp;(B199+1))</f>
        <v>4025/4026</v>
      </c>
      <c r="L199" s="245" t="str">
        <f>VLOOKUP(A199,'Trips&amp;Operators'!$C$1:$G$99911,5,FALSE)</f>
        <v>WEST BRYAN</v>
      </c>
      <c r="M199" s="224">
        <f>I199-F199</f>
        <v>0</v>
      </c>
      <c r="N199" s="225">
        <f>24*60*SUM($M199:$M199)</f>
        <v>0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-14T18:08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5.3699999999999998E-2</v>
      </c>
      <c r="Z199" s="247">
        <f>RIGHT(H199,LEN(H199)-4)/10000</f>
        <v>3.1655000000000002</v>
      </c>
      <c r="AA199" s="247">
        <f>ABS(Z199-Y199)</f>
        <v>3.1118000000000001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303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/stypes="app*4026*19700101*" /stext=" 00:.+((SYSTEM_STATE.+slice.+state.+changed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52"/>
        <v>"%USERPROFILE%\Documents\GitHub\eaglep3\Utilities\RefineRTDCRunTimes.py" --tripid 303-14 --locoid 4026 --swversion DE.1.0.9.0 --startMP 204:537 --initTime 2018-01-14T19:08:30 --startdatetime 1969-12-31T17:00:00 --delay 63 --endMP 300:31655 --enddatetime 1969-12-31T17:00:00 --enforcementcount 0 &gt;&gt;%USERPROFILE%\Documents\GitHub\eaglep3-reporting\EC\2018-01-14-refined-times.txt</v>
      </c>
      <c r="AI199" s="238" t="str">
        <f t="shared" si="53"/>
        <v>echo {"issue":{"subject":"","project_id":79,"tracker_id":40,"status_id":1,"priority_id":2,"assigned_to_id":338,"start_date":"1969-12-31","description":"","custom_fields":[{"id":1,"name":"Subdivision","value":"Other"},{"id":4,"name":"Milepost","value":"3.1655"},{"id":17,"name":"Train ID","value":"303-14"},{"id":16,"name":"Locomotive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54"/>
        <v>start /low /b %USERPROFILE%\Documents\GitHub\eaglep3\Utilities\DownloadLogsFromS3.py --loco 4026 --day 1969-12-31</v>
      </c>
      <c r="AN199" s="241" t="str">
        <f t="shared" si="55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56"/>
        <v>https://d0f6bd738d7f1b3e5a7ca70fe4ff75f0.us-east-1.aws.found.io/app/kibana#/discover/Steve-Slow-Train-Analysis-(2080s-and-2083s)?_g=(refreshInterval:(display:Off,pause:!f,section:0,value:0),time:(from:'2018-01-14T18:08:30-0700',mode:absolute,to:'1969-12-31T18:00:00-0700'))&amp;_a=(columns:!('Message%20ID',Summary),filters:!(),index:'emp_*',interval:auto,query:(query_string:(analyze_wildcard:!t,query:'%22rtdc.l.rtdc.4026%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712</v>
      </c>
      <c r="B200" s="225">
        <v>4049</v>
      </c>
      <c r="C200" s="227" t="s">
        <v>191</v>
      </c>
      <c r="D200" s="227" t="s">
        <v>1037</v>
      </c>
      <c r="E200" s="226">
        <v>43114.152800925927</v>
      </c>
      <c r="F200" s="226">
        <v>43114.157210648147</v>
      </c>
      <c r="G200" s="225">
        <v>76</v>
      </c>
      <c r="H200" s="227" t="s">
        <v>1013</v>
      </c>
      <c r="I200" s="226">
        <v>43114.163680555554</v>
      </c>
      <c r="J200" s="225">
        <v>0</v>
      </c>
      <c r="K200" s="237" t="str">
        <f>IF(ISEVEN(B200),(B200-1)&amp;"/"&amp;B200,B200&amp;"/"&amp;(B200+1))</f>
        <v>4049/4050</v>
      </c>
      <c r="L200" s="245" t="str">
        <f>VLOOKUP(A200,'Trips&amp;Operators'!$C$1:$G$99911,5,FALSE)</f>
        <v>GUZMAN DANNY</v>
      </c>
      <c r="M200" s="224">
        <f>I200-F200</f>
        <v>6.4699074064265005E-3</v>
      </c>
      <c r="N200" s="225">
        <f>24*60*SUM($M200:$M200)</f>
        <v>9.3166666652541608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-14T02:40:02-0700',mode:absolute,to:'2018-01-14T04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2.3557000000000001</v>
      </c>
      <c r="Z200" s="247">
        <f>RIGHT(H200,LEN(H200)-4)/10000</f>
        <v>1.7600000000000001E-2</v>
      </c>
      <c r="AA200" s="247">
        <f>ABS(Z200-Y200)</f>
        <v>2.3381000000000003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304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s3://rtdc.mdm.uploadarchive.raw/RTDC4049/ "%USERPROFILE%\AppData\Local\Temp\OnboardLogs"\RTDC4049\2018-01-14 --exclude "*" --recursive --include "*20180114*" &amp; "%USERPROFILE%\Documents\GitHub\mrs-test-scripts\Headless Mode &amp; Sideloading\WalkAndUnGZ.bat" "%USERPROFILE%\AppData\Local\Temp\OnboardLogs"\RTDC4049\2018-01-14 &amp; aws s3 cp s3://rtdc.mdm.uploadarchive.raw/RTDC4049/ "%USERPROFILE%\AppData\Local\Temp\OnboardLogs"\RTDC4049\2018-01-15 --exclude "*" --recursive --include "*20180115*" &amp; "%USERPROFILE%\Documents\GitHub\mrs-test-scripts\Headless Mode &amp; Sideloading\WalkAndUnGZ.bat" "%USERPROFILE%\AppData\Local\Temp\OnboardLogs"\RTDC4049\2018-01-15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/stypes="app*4049*20180114*" /stext=" 10:.+((SYSTEM_STATE.+slice.+state.+changed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52"/>
        <v>"%USERPROFILE%\Documents\GitHub\eaglep3\Utilities\RefineRTDCRunTimes.py" --tripid 304-14 --locoid 4049 --swversion DE.1.0.9.0 --startMP 300:23557 --initTime 2018-01-14T03:40:02 --startdatetime 2018-01-14T03:46:23 --delay 76 --endMP 204:176 --enddatetime 2018-01-14T03:55:42 --enforcementcount 0 &gt;&gt;%USERPROFILE%\Documents\GitHub\eaglep3-reporting\EC\2018-01-14-refined-times.txt</v>
      </c>
      <c r="AI200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{"issue":{"subject":"","project_id":79,"tracker_id":40,"status_id":1,"priority_id":2,"assigned_to_id":338,"start_date":"2018-01-14","description":"","custom_fields":[{"id":1,"name":"Subdivision","value":"Other"},{"id":4,"name":"Milepost","value":"0.0176"},{"id":17,"name":"Train ID","value":"304-14"},{"id":16,"name":"Locomotive ID","value":"4049"},{"id":130,"name":"Impact","value":""},{"id":150,"name":"Time of Event (Mountain Time)","value":"03:55:42"},{"id":151,"name":"Denver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54"/>
        <v>start /low /b %USERPROFILE%\Documents\GitHub\eaglep3\Utilities\DownloadLogsFromS3.py --loco 4049 --day 2018-01-14</v>
      </c>
      <c r="AN200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10:55:42"},{"id":29,"name":"Sharepoint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56"/>
        <v>https://d0f6bd738d7f1b3e5a7ca70fe4ff75f0.us-east-1.aws.found.io/app/kibana#/discover/Steve-Slow-Train-Analysis-(2080s-and-2083s)?_g=(refreshInterval:(display:Off,pause:!f,section:0,value:0),time:(from:'2018-01-14T02:40:02-0700',mode:absolute,to:'2018-01-14T04:55:42-0700'))&amp;_a=(columns:!('Message%20ID',Summary),filters:!(),index:'emp_*',interval:auto,query:(query_string:(analyze_wildcard:!t,query:'%22rtdc.l.rtdc.4049%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716</v>
      </c>
      <c r="B201" s="225">
        <v>4021</v>
      </c>
      <c r="C201" s="227" t="s">
        <v>191</v>
      </c>
      <c r="D201" s="227" t="s">
        <v>1038</v>
      </c>
      <c r="E201" s="226">
        <v>43114.165949074071</v>
      </c>
      <c r="F201" s="226">
        <v>43114.170185185183</v>
      </c>
      <c r="G201" s="225">
        <v>130</v>
      </c>
      <c r="H201" s="227" t="s">
        <v>450</v>
      </c>
      <c r="I201" s="226">
        <v>43114.176886574074</v>
      </c>
      <c r="J201" s="225">
        <v>0</v>
      </c>
      <c r="K201" s="237" t="str">
        <f>IF(ISEVEN(B201),(B201-1)&amp;"/"&amp;B201,B201&amp;"/"&amp;(B201+1))</f>
        <v>4021/4022</v>
      </c>
      <c r="L201" s="245" t="str">
        <f>VLOOKUP(A201,'Trips&amp;Operators'!$C$1:$G$99911,5,FALSE)</f>
        <v>DAVIDSON DAVID</v>
      </c>
      <c r="M201" s="224">
        <f>I201-F201</f>
        <v>6.701388891087845E-3</v>
      </c>
      <c r="N201" s="225">
        <f>24*60*SUM($M201:$M201)</f>
        <v>9.6500000031664968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-14T02:58:58-0700',mode:absolute,to:'2018-01-14T05:14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2</v>
      </c>
      <c r="Y201" s="247">
        <f>RIGHT(D201,LEN(D201)-4)/10000</f>
        <v>2.3226</v>
      </c>
      <c r="Z201" s="247">
        <f>RIGHT(H201,LEN(H201)-4)/10000</f>
        <v>2.1100000000000001E-2</v>
      </c>
      <c r="AA201" s="247">
        <f>ABS(Z201-Y201)</f>
        <v>2.3014999999999999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306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"%USERPROFILE%\AppData\Local\Temp\OnboardLogs"\RTDC4021\2018-01-14 --exclude "*" --recursive --include "*20180114*" &amp; "%USERPROFILE%\Documents\GitHub\mrs-test-scripts\Headless Mode &amp; Sideloading\WalkAndUnGZ.bat" "%USERPROFILE%\AppData\Local\Temp\OnboardLogs"\RTDC4021\2018-01-14 &amp; aws s3 cp s3://rtdc.mdm.uploadarchive.raw/RTDC4021/ "%USERPROFILE%\AppData\Local\Temp\OnboardLogs"\RTDC4021\2018-01-15 --exclude "*" --recursive --include "*20180115*" &amp; "%USERPROFILE%\Documents\GitHub\mrs-test-scripts\Headless Mode &amp; Sideloading\WalkAndUnGZ.bat" "%USERPROFILE%\AppData\Local\Temp\OnboardLogs"\RTDC4021\2018-01-15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/stypes="app*4021*20180114*" /stext=" 11:.+((SYSTEM_STATE.+slice.+state.+changed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52"/>
        <v>"%USERPROFILE%\Documents\GitHub\eaglep3\Utilities\RefineRTDCRunTimes.py" --tripid 306-14 --locoid 4021 --swversion DE.1.0.9.0 --startMP 300:23226 --initTime 2018-01-14T03:58:58 --startdatetime 2018-01-14T04:05:04 --delay 130 --endMP 204:211 --enddatetime 2018-01-14T04:14:43 --enforcementcount 0 &gt;&gt;%USERPROFILE%\Documents\GitHub\eaglep3-reporting\EC\2018-01-14-refined-times.txt</v>
      </c>
      <c r="AI201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{"issue":{"subject":"","project_id":79,"tracker_id":40,"status_id":1,"priority_id":2,"assigned_to_id":338,"start_date":"2018-01-14","description":"","custom_fields":[{"id":1,"name":"Subdivision","value":"Other"},{"id":4,"name":"Milepost","value":"0.0211"},{"id":17,"name":"Train ID","value":"306-14"},{"id":16,"name":"Locomotive ID","value":"4021"},{"id":130,"name":"Impact","value":""},{"id":150,"name":"Time of Event (Mountain Time)","value":"04:14:43"},{"id":151,"name":"Denver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54"/>
        <v>start /low /b %USERPROFILE%\Documents\GitHub\eaglep3\Utilities\DownloadLogsFromS3.py --loco 4021 --day 2018-01-14</v>
      </c>
      <c r="AN201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11:14:43"},{"id":29,"name":"Sharepoint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56"/>
        <v>https://d0f6bd738d7f1b3e5a7ca70fe4ff75f0.us-east-1.aws.found.io/app/kibana#/discover/Steve-Slow-Train-Analysis-(2080s-and-2083s)?_g=(refreshInterval:(display:Off,pause:!f,section:0,value:0),time:(from:'2018-01-14T02:58:58-0700',mode:absolute,to:'2018-01-14T05:14:43-0700'))&amp;_a=(columns:!('Message%20ID',Summary),filters:!(),index:'emp_*',interval:auto,query:(query_string:(analyze_wildcard:!t,query:'%22rtdc.l.rtdc.4021%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902</v>
      </c>
      <c r="B202" s="225">
        <v>4018</v>
      </c>
      <c r="C202" s="227" t="s">
        <v>191</v>
      </c>
      <c r="D202" s="227" t="s">
        <v>1039</v>
      </c>
      <c r="E202" s="226">
        <v>43115.0465625</v>
      </c>
      <c r="F202" s="226">
        <v>43115.048414351855</v>
      </c>
      <c r="G202" s="225">
        <v>64</v>
      </c>
      <c r="H202" s="227" t="s">
        <v>669</v>
      </c>
      <c r="I202" s="226">
        <v>43115.059016203704</v>
      </c>
      <c r="J202" s="225">
        <v>0</v>
      </c>
      <c r="K202" s="237" t="str">
        <f>IF(ISEVEN(B202),(B202-1)&amp;"/"&amp;B202,B202&amp;"/"&amp;(B202+1))</f>
        <v>4017/4018</v>
      </c>
      <c r="L202" s="245" t="str">
        <f>VLOOKUP(A202,'Trips&amp;Operators'!$C$1:$G$99911,5,FALSE)</f>
        <v>PAGE MARCUS</v>
      </c>
      <c r="M202" s="224">
        <f>I202-F202</f>
        <v>1.060185184906004E-2</v>
      </c>
      <c r="N202" s="225">
        <f>24*60*SUM($M202:$M202)</f>
        <v>15.266666662646458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-15T00:07:03-0700',mode:absolute,to:'2018-01-15T02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4.0399999999999998E-2</v>
      </c>
      <c r="Z202" s="247">
        <f>RIGHT(H202,LEN(H202)-4)/10000</f>
        <v>2.3296999999999999</v>
      </c>
      <c r="AA202" s="247">
        <f>ABS(Z202-Y202)</f>
        <v>2.2892999999999999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307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s3://rtdc.mdm.uploadarchive.raw/RTDC4018/ "%USERPROFILE%\AppData\Local\Temp\OnboardLogs"\RTDC4018\2018-01-15 --exclude "*" --recursive --include "*20180115*" &amp; "%USERPROFILE%\Documents\GitHub\mrs-test-scripts\Headless Mode &amp; Sideloading\WalkAndUnGZ.bat" "%USERPROFILE%\AppData\Local\Temp\OnboardLogs"\RTDC4018\2018-01-15 &amp; aws s3 cp s3://rtdc.mdm.uploadarchive.raw/RTDC4018/ "%USERPROFILE%\AppData\Local\Temp\OnboardLogs"\RTDC4018\2018-01-16 --exclude "*" --recursive --include "*20180116*" &amp; "%USERPROFILE%\Documents\GitHub\mrs-test-scripts\Headless Mode &amp; Sideloading\WalkAndUnGZ.bat" "%USERPROFILE%\AppData\Local\Temp\OnboardLogs"\RTDC4018\2018-01-16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/stypes="app*4018*20180115*" /stext=" 08:.+((SYSTEM_STATE.+slice.+state.+changed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52"/>
        <v>"%USERPROFILE%\Documents\GitHub\eaglep3\Utilities\RefineRTDCRunTimes.py" --tripid 307-14 --locoid 4018 --swversion DE.1.0.9.0 --startMP 204:404 --initTime 2018-01-15T01:07:03 --startdatetime 2018-01-15T01:09:43 --delay 64 --endMP 300:23297 --enddatetime 2018-01-15T01:24:59 --enforcementcount 0 &gt;&gt;%USERPROFILE%\Documents\GitHub\eaglep3-reporting\EC\2018-01-14-refined-times.txt</v>
      </c>
      <c r="AI202" s="238" t="str">
        <f t="shared" si="53"/>
        <v>echo {"issue":{"subject":"","project_id":79,"tracker_id":40,"status_id":1,"priority_id":2,"assigned_to_id":338,"start_date":"2018-01-15","description":"","custom_fields":[{"id":1,"name":"Subdivision","value":"Other"},{"id":4,"name":"Milepost","value":"2.3297"},{"id":17,"name":"Train ID","value":"307-14"},{"id":16,"name":"Locomotive ID","value":"4018"},{"id":130,"name":"Impact","value":""},{"id":150,"name":"Time of Event (Mountain Time)","value":"01:24:59"},{"id":151,"name":"Denver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54"/>
        <v>start /low /b %USERPROFILE%\Documents\GitHub\eaglep3\Utilities\DownloadLogsFromS3.py --loco 4018 --day 2018-01-15</v>
      </c>
      <c r="AN202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56"/>
        <v>https://d0f6bd738d7f1b3e5a7ca70fe4ff75f0.us-east-1.aws.found.io/app/kibana#/discover/Steve-Slow-Train-Analysis-(2080s-and-2083s)?_g=(refreshInterval:(display:Off,pause:!f,section:0,value:0),time:(from:'2018-01-15T00:07:03-0700',mode:absolute,to:'2018-01-15T02:24:59-0700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718</v>
      </c>
      <c r="B203" s="225">
        <v>4039</v>
      </c>
      <c r="C203" s="227" t="s">
        <v>191</v>
      </c>
      <c r="D203" s="227" t="s">
        <v>1040</v>
      </c>
      <c r="E203" s="226">
        <v>43114.178506944445</v>
      </c>
      <c r="F203" s="226">
        <v>43114.185185185182</v>
      </c>
      <c r="G203" s="225">
        <v>76</v>
      </c>
      <c r="H203" s="227" t="s">
        <v>468</v>
      </c>
      <c r="I203" s="226">
        <v>43114.191319444442</v>
      </c>
      <c r="J203" s="225">
        <v>0</v>
      </c>
      <c r="K203" s="237" t="str">
        <f>IF(ISEVEN(B203),(B203-1)&amp;"/"&amp;B203,B203&amp;"/"&amp;(B203+1))</f>
        <v>4039/4040</v>
      </c>
      <c r="L203" s="245" t="str">
        <f>VLOOKUP(A203,'Trips&amp;Operators'!$C$1:$G$99911,5,FALSE)</f>
        <v>GEBRETEKLE DAGNEW</v>
      </c>
      <c r="M203" s="224">
        <f>I203-F203</f>
        <v>6.1342592598521151E-3</v>
      </c>
      <c r="N203" s="225">
        <f>24*60*SUM($M203:$M203)</f>
        <v>8.8333333341870457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-14T03:17:03-0700',mode:absolute,to:'2018-01-14T05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2.3491</v>
      </c>
      <c r="Z203" s="247">
        <f>RIGHT(H203,LEN(H203)-4)/10000</f>
        <v>1.54E-2</v>
      </c>
      <c r="AA203" s="247">
        <f>ABS(Z203-Y203)</f>
        <v>2.3336999999999999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308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/stypes="app*4039*20180114*" /stext=" 11:.+((SYSTEM_STATE.+slice.+state.+changed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52"/>
        <v>"%USERPROFILE%\Documents\GitHub\eaglep3\Utilities\RefineRTDCRunTimes.py" --tripid 308-14 --locoid 4039 --swversion DE.1.0.9.0 --startMP 300:23491 --initTime 2018-01-14T04:17:03 --startdatetime 2018-01-14T04:26:40 --delay 76 --endMP 204:154 --enddatetime 2018-01-14T04:35:30 --enforcementcount 0 &gt;&gt;%USERPROFILE%\Documents\GitHub\eaglep3-reporting\EC\2018-01-14-refined-times.txt</v>
      </c>
      <c r="AI203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{"issue":{"subject":"","project_id":79,"tracker_id":40,"status_id":1,"priority_id":2,"assigned_to_id":338,"start_date":"2018-01-14","description":"","custom_fields":[{"id":1,"name":"Subdivision","value":"Other"},{"id":4,"name":"Milepost","value":"0.0154"},{"id":17,"name":"Train ID","value":"308-14"},{"id":16,"name":"Locomotive ID","value":"4039"},{"id":130,"name":"Impact","value":""},{"id":150,"name":"Time of Event (Mountain Time)","value":"04:35:30"},{"id":151,"name":"Denver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54"/>
        <v>start /low /b %USERPROFILE%\Documents\GitHub\eaglep3\Utilities\DownloadLogsFromS3.py --loco 4039 --day 2018-01-14</v>
      </c>
      <c r="AN203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56"/>
        <v>https://d0f6bd738d7f1b3e5a7ca70fe4ff75f0.us-east-1.aws.found.io/app/kibana#/discover/Steve-Slow-Train-Analysis-(2080s-and-2083s)?_g=(refreshInterval:(display:Off,pause:!f,section:0,value:0),time:(from:'2018-01-14T03:17:03-0700',mode:absolute,to:'2018-01-14T05:35:30-0700'))&amp;_a=(columns:!('Message%20ID',Summary),filters:!(),index:'emp_*',interval:auto,query:(query_string:(analyze_wildcard:!t,query:'%22rtdc.l.rtdc.4039%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905</v>
      </c>
      <c r="B204" s="225">
        <v>4050</v>
      </c>
      <c r="C204" s="227" t="s">
        <v>191</v>
      </c>
      <c r="D204" s="227" t="s">
        <v>481</v>
      </c>
      <c r="E204" s="226">
        <v>43115.067372685182</v>
      </c>
      <c r="F204" s="226">
        <v>43115.069409722222</v>
      </c>
      <c r="G204" s="225">
        <v>69</v>
      </c>
      <c r="H204" s="227" t="s">
        <v>552</v>
      </c>
      <c r="I204" s="226">
        <v>43115.079641203702</v>
      </c>
      <c r="J204" s="225">
        <v>0</v>
      </c>
      <c r="K204" s="237" t="str">
        <f>IF(ISEVEN(B204),(B204-1)&amp;"/"&amp;B204,B204&amp;"/"&amp;(B204+1))</f>
        <v>4049/4050</v>
      </c>
      <c r="L204" s="245" t="str">
        <f>VLOOKUP(A204,'Trips&amp;Operators'!$C$1:$G$99911,5,FALSE)</f>
        <v>HAMMOND JUSTYNN</v>
      </c>
      <c r="M204" s="224">
        <f>I204-F204</f>
        <v>1.0231481479422655E-2</v>
      </c>
      <c r="N204" s="225">
        <f>24*60*SUM($M204:$M204)</f>
        <v>14.733333330368623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-15T00:37:01-0700',mode:absolute,to:'2018-01-15T02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4.53E-2</v>
      </c>
      <c r="Z204" s="247">
        <f>RIGHT(H204,LEN(H204)-4)/10000</f>
        <v>2.3304</v>
      </c>
      <c r="AA204" s="247">
        <f>ABS(Z204-Y204)</f>
        <v>2.2850999999999999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309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s3://rtdc.mdm.uploadarchive.raw/RTDC4050/ "%USERPROFILE%\AppData\Local\Temp\OnboardLogs"\RTDC4050\2018-01-15 --exclude "*" --recursive --include "*20180115*" &amp; "%USERPROFILE%\Documents\GitHub\mrs-test-scripts\Headless Mode &amp; Sideloading\WalkAndUnGZ.bat" "%USERPROFILE%\AppData\Local\Temp\OnboardLogs"\RTDC4050\2018-01-15 &amp; aws s3 cp s3://rtdc.mdm.uploadarchive.raw/RTDC4050/ "%USERPROFILE%\AppData\Local\Temp\OnboardLogs"\RTDC4050\2018-01-16 --exclude "*" --recursive --include "*20180116*" &amp; "%USERPROFILE%\Documents\GitHub\mrs-test-scripts\Headless Mode &amp; Sideloading\WalkAndUnGZ.bat" "%USERPROFILE%\AppData\Local\Temp\OnboardLogs"\RTDC4050\2018-01-16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/stypes="app*4050*20180115*" /stext=" 08:.+((SYSTEM_STATE.+slice.+state.+changed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52"/>
        <v>"%USERPROFILE%\Documents\GitHub\eaglep3\Utilities\RefineRTDCRunTimes.py" --tripid 309-14 --locoid 4050 --swversion DE.1.0.9.0 --startMP 204:453 --initTime 2018-01-15T01:37:01 --startdatetime 2018-01-15T01:39:57 --delay 69 --endMP 300:23304 --enddatetime 2018-01-15T01:54:41 --enforcementcount 0 &gt;&gt;%USERPROFILE%\Documents\GitHub\eaglep3-reporting\EC\2018-01-14-refined-times.txt</v>
      </c>
      <c r="AI204" s="238" t="str">
        <f t="shared" si="53"/>
        <v>echo {"issue":{"subject":"","project_id":79,"tracker_id":40,"status_id":1,"priority_id":2,"assigned_to_id":338,"start_date":"2018-01-15","description":"","custom_fields":[{"id":1,"name":"Subdivision","value":"Other"},{"id":4,"name":"Milepost","value":"2.3304"},{"id":17,"name":"Train ID","value":"309-14"},{"id":16,"name":"Locomotive ID","value":"4050"},{"id":130,"name":"Impact","value":""},{"id":150,"name":"Time of Event (Mountain Time)","value":"01:54:41"},{"id":151,"name":"Denver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54"/>
        <v>start /low /b %USERPROFILE%\Documents\GitHub\eaglep3\Utilities\DownloadLogsFromS3.py --loco 4050 --day 2018-01-15</v>
      </c>
      <c r="AN204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56"/>
        <v>https://d0f6bd738d7f1b3e5a7ca70fe4ff75f0.us-east-1.aws.found.io/app/kibana#/discover/Steve-Slow-Train-Analysis-(2080s-and-2083s)?_g=(refreshInterval:(display:Off,pause:!f,section:0,value:0),time:(from:'2018-01-15T00:37:01-0700',mode:absolute,to:'2018-01-15T02:54:41-0700'))&amp;_a=(columns:!('Message%20ID',Summary),filters:!(),index:'emp_*',interval:auto,query:(query_string:(analyze_wildcard:!t,query:'%22rtdc.l.rtdc.4050%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723</v>
      </c>
      <c r="B205" s="225">
        <v>4025</v>
      </c>
      <c r="C205" s="227" t="s">
        <v>191</v>
      </c>
      <c r="D205" s="227" t="s">
        <v>1041</v>
      </c>
      <c r="E205" s="226">
        <v>43114.202916666669</v>
      </c>
      <c r="F205" s="226">
        <v>43114.205787037034</v>
      </c>
      <c r="G205" s="225">
        <v>65</v>
      </c>
      <c r="H205" s="227" t="s">
        <v>500</v>
      </c>
      <c r="I205" s="226">
        <v>43114.212546296294</v>
      </c>
      <c r="J205" s="225">
        <v>0</v>
      </c>
      <c r="K205" s="237" t="str">
        <f>IF(ISEVEN(B205),(B205-1)&amp;"/"&amp;B205,B205&amp;"/"&amp;(B205+1))</f>
        <v>4025/4026</v>
      </c>
      <c r="L205" s="245" t="str">
        <f>VLOOKUP(A205,'Trips&amp;Operators'!$C$1:$G$99911,5,FALSE)</f>
        <v>LORI SANTOS</v>
      </c>
      <c r="M205" s="224">
        <f>I205-F205</f>
        <v>6.7592592604341917E-3</v>
      </c>
      <c r="N205" s="225">
        <f>24*60*SUM($M205:$M205)</f>
        <v>9.733333335025236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-14T03:52:12-0700',mode:absolute,to:'2018-01-14T06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2.3368000000000002</v>
      </c>
      <c r="Z205" s="247">
        <f>RIGHT(H205,LEN(H205)-4)/10000</f>
        <v>2.2700000000000001E-2</v>
      </c>
      <c r="AA205" s="247">
        <f>ABS(Z205-Y205)</f>
        <v>2.3141000000000003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310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/stypes="app*4025*20180114*" /stext=" 12:.+((SYSTEM_STATE.+slice.+state.+changed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52"/>
        <v>"%USERPROFILE%\Documents\GitHub\eaglep3\Utilities\RefineRTDCRunTimes.py" --tripid 310-14 --locoid 4025 --swversion DE.1.0.9.0 --startMP 300:23368 --initTime 2018-01-14T04:52:12 --startdatetime 2018-01-14T04:56:20 --delay 65 --endMP 204:227 --enddatetime 2018-01-14T05:06:04 --enforcementcount 0 &gt;&gt;%USERPROFILE%\Documents\GitHub\eaglep3-reporting\EC\2018-01-14-refined-times.txt</v>
      </c>
      <c r="AI205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{"issue":{"subject":"","project_id":79,"tracker_id":40,"status_id":1,"priority_id":2,"assigned_to_id":338,"start_date":"2018-01-14","description":"","custom_fields":[{"id":1,"name":"Subdivision","value":"Other"},{"id":4,"name":"Milepost","value":"0.0227"},{"id":17,"name":"Train ID","value":"310-14"},{"id":16,"name":"Locomotive ID","value":"4025"},{"id":130,"name":"Impact","value":""},{"id":150,"name":"Time of Event (Mountain Time)","value":"05:06:04"},{"id":151,"name":"Denver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54"/>
        <v>start /low /b %USERPROFILE%\Documents\GitHub\eaglep3\Utilities\DownloadLogsFromS3.py --loco 4025 --day 2018-01-14</v>
      </c>
      <c r="AN205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56"/>
        <v>https://d0f6bd738d7f1b3e5a7ca70fe4ff75f0.us-east-1.aws.found.io/app/kibana#/discover/Steve-Slow-Train-Analysis-(2080s-and-2083s)?_g=(refreshInterval:(display:Off,pause:!f,section:0,value:0),time:(from:'2018-01-14T03:52:12-0700',mode:absolute,to:'2018-01-14T06:06:04-0700'))&amp;_a=(columns:!('Message%20ID',Summary),filters:!(),index:'emp_*',interval:auto,query:(query_string:(analyze_wildcard:!t,query:'%22rtdc.l.rtdc.4025%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906</v>
      </c>
      <c r="B206" s="225">
        <v>4022</v>
      </c>
      <c r="C206" s="227" t="s">
        <v>191</v>
      </c>
      <c r="D206" s="227" t="s">
        <v>1042</v>
      </c>
      <c r="E206" s="226">
        <v>43115.08803240741</v>
      </c>
      <c r="F206" s="226">
        <v>43115.08929398148</v>
      </c>
      <c r="G206" s="225">
        <v>48</v>
      </c>
      <c r="H206" s="227" t="s">
        <v>485</v>
      </c>
      <c r="I206" s="226">
        <v>43115.096875000003</v>
      </c>
      <c r="J206" s="225">
        <v>0</v>
      </c>
      <c r="K206" s="237" t="str">
        <f>IF(ISEVEN(B206),(B206-1)&amp;"/"&amp;B206,B206&amp;"/"&amp;(B206+1))</f>
        <v>4021/4022</v>
      </c>
      <c r="L206" s="245" t="str">
        <f>VLOOKUP(A206,'Trips&amp;Operators'!$C$1:$G$99911,5,FALSE)</f>
        <v>GUNTHIER ERIC</v>
      </c>
      <c r="M206" s="224">
        <f>I206-F206</f>
        <v>7.5810185226146132E-3</v>
      </c>
      <c r="N206" s="225">
        <f>24*60*SUM($M206:$M206)</f>
        <v>10.916666672565043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-15T01:06:46-0700',mode:absolute,to:'2018-01-15T03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4.1500000000000002E-2</v>
      </c>
      <c r="Z206" s="247">
        <f>RIGHT(H206,LEN(H206)-4)/10000</f>
        <v>2.3306</v>
      </c>
      <c r="AA206" s="247">
        <f>ABS(Z206-Y206)</f>
        <v>2.2890999999999999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311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s3://rtdc.mdm.uploadarchive.raw/RTDC4022/ "%USERPROFILE%\AppData\Local\Temp\OnboardLogs"\RTDC4022\2018-01-15 --exclude "*" --recursive --include "*20180115*" &amp; "%USERPROFILE%\Documents\GitHub\mrs-test-scripts\Headless Mode &amp; Sideloading\WalkAndUnGZ.bat" "%USERPROFILE%\AppData\Local\Temp\OnboardLogs"\RTDC4022\2018-01-15 &amp; aws s3 cp s3://rtdc.mdm.uploadarchive.raw/RTDC4022/ "%USERPROFILE%\AppData\Local\Temp\OnboardLogs"\RTDC4022\2018-01-16 --exclude "*" --recursive --include "*20180116*" &amp; "%USERPROFILE%\Documents\GitHub\mrs-test-scripts\Headless Mode &amp; Sideloading\WalkAndUnGZ.bat" "%USERPROFILE%\AppData\Local\Temp\OnboardLogs"\RTDC4022\2018-01-16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/stypes="app*4022*20180115*" /stext=" 09:.+((SYSTEM_STATE.+slice.+state.+changed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52"/>
        <v>"%USERPROFILE%\Documents\GitHub\eaglep3\Utilities\RefineRTDCRunTimes.py" --tripid 311-14 --locoid 4022 --swversion DE.1.0.9.0 --startMP 204:415 --initTime 2018-01-15T02:06:46 --startdatetime 2018-01-15T02:08:35 --delay 48 --endMP 300:23306 --enddatetime 2018-01-15T02:19:30 --enforcementcount 0 &gt;&gt;%USERPROFILE%\Documents\GitHub\eaglep3-reporting\EC\2018-01-14-refined-times.txt</v>
      </c>
      <c r="AI206" s="238" t="str">
        <f t="shared" si="53"/>
        <v>echo {"issue":{"subject":"","project_id":79,"tracker_id":40,"status_id":1,"priority_id":2,"assigned_to_id":338,"start_date":"2018-01-15","description":"","custom_fields":[{"id":1,"name":"Subdivision","value":"Other"},{"id":4,"name":"Milepost","value":"2.3306"},{"id":17,"name":"Train ID","value":"311-14"},{"id":16,"name":"Locomotive ID","value":"4022"},{"id":130,"name":"Impact","value":""},{"id":150,"name":"Time of Event (Mountain Time)","value":"02:19:30"},{"id":151,"name":"Denver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54"/>
        <v>start /low /b %USERPROFILE%\Documents\GitHub\eaglep3\Utilities\DownloadLogsFromS3.py --loco 4022 --day 2018-01-15</v>
      </c>
      <c r="AN206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09:19:30"},{"id":29,"name":"Sharepoint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56"/>
        <v>https://d0f6bd738d7f1b3e5a7ca70fe4ff75f0.us-east-1.aws.found.io/app/kibana#/discover/Steve-Slow-Train-Analysis-(2080s-and-2083s)?_g=(refreshInterval:(display:Off,pause:!f,section:0,value:0),time:(from:'2018-01-15T01:06:46-0700',mode:absolute,to:'2018-01-15T03:19:30-0700'))&amp;_a=(columns:!('Message%20ID',Summary),filters:!(),index:'emp_*',interval:auto,query:(query_string:(analyze_wildcard:!t,query:'%22rtdc.l.rtdc.4022%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724</v>
      </c>
      <c r="B207" s="225">
        <v>4015</v>
      </c>
      <c r="C207" s="227" t="s">
        <v>191</v>
      </c>
      <c r="D207" s="227" t="s">
        <v>1043</v>
      </c>
      <c r="E207" s="226">
        <v>43114.208912037036</v>
      </c>
      <c r="F207" s="226">
        <v>43114.21466435185</v>
      </c>
      <c r="G207" s="225">
        <v>96</v>
      </c>
      <c r="H207" s="227" t="s">
        <v>544</v>
      </c>
      <c r="I207" s="226">
        <v>43114.223356481481</v>
      </c>
      <c r="J207" s="225">
        <v>0</v>
      </c>
      <c r="K207" s="237" t="str">
        <f>IF(ISEVEN(B207),(B207-1)&amp;"/"&amp;B207,B207&amp;"/"&amp;(B207+1))</f>
        <v>4015/4016</v>
      </c>
      <c r="L207" s="245" t="str">
        <f>VLOOKUP(A207,'Trips&amp;Operators'!$C$1:$G$99911,5,FALSE)</f>
        <v>NEWELL JAMES</v>
      </c>
      <c r="M207" s="224">
        <f>I207-F207</f>
        <v>8.6921296315267682E-3</v>
      </c>
      <c r="N207" s="225">
        <f>24*60*SUM($M207:$M207)</f>
        <v>12.516666669398546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-14T04:00:50-0700',mode:absolute,to:'2018-01-14T06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2.3578000000000001</v>
      </c>
      <c r="Z207" s="247">
        <f>RIGHT(H207,LEN(H207)-4)/10000</f>
        <v>1.9599999999999999E-2</v>
      </c>
      <c r="AA207" s="247">
        <f>ABS(Z207-Y207)</f>
        <v>2.3382000000000001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312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s3://rtdc.mdm.uploadarchive.raw/RTDC4015/ "%USERPROFILE%\AppData\Local\Temp\OnboardLogs"\RTDC4015\2018-01-14 --exclude "*" --recursive --include "*20180114*" &amp; "%USERPROFILE%\Documents\GitHub\mrs-test-scripts\Headless Mode &amp; Sideloading\WalkAndUnGZ.bat" "%USERPROFILE%\AppData\Local\Temp\OnboardLogs"\RTDC4015\2018-01-14 &amp; aws s3 cp s3://rtdc.mdm.uploadarchive.raw/RTDC4015/ "%USERPROFILE%\AppData\Local\Temp\OnboardLogs"\RTDC4015\2018-01-15 --exclude "*" --recursive --include "*20180115*" &amp; "%USERPROFILE%\Documents\GitHub\mrs-test-scripts\Headless Mode &amp; Sideloading\WalkAndUnGZ.bat" "%USERPROFILE%\AppData\Local\Temp\OnboardLogs"\RTDC4015\2018-01-15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/stypes="app*4015*20180114*" /stext=" 12:.+((SYSTEM_STATE.+slice.+state.+changed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52"/>
        <v>"%USERPROFILE%\Documents\GitHub\eaglep3\Utilities\RefineRTDCRunTimes.py" --tripid 312-14 --locoid 4015 --swversion DE.1.0.9.0 --startMP 300:23578 --initTime 2018-01-14T05:00:50 --startdatetime 2018-01-14T05:09:07 --delay 96 --endMP 204:196 --enddatetime 2018-01-14T05:21:38 --enforcementcount 0 &gt;&gt;%USERPROFILE%\Documents\GitHub\eaglep3-reporting\EC\2018-01-14-refined-times.txt</v>
      </c>
      <c r="AI207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{"issue":{"subject":"","project_id":79,"tracker_id":40,"status_id":1,"priority_id":2,"assigned_to_id":338,"start_date":"2018-01-14","description":"","custom_fields":[{"id":1,"name":"Subdivision","value":"Other"},{"id":4,"name":"Milepost","value":"0.0196"},{"id":17,"name":"Train ID","value":"312-14"},{"id":16,"name":"Locomotive ID","value":"4015"},{"id":130,"name":"Impact","value":""},{"id":150,"name":"Time of Event (Mountain Time)","value":"05:21:38"},{"id":151,"name":"Denver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54"/>
        <v>start /low /b %USERPROFILE%\Documents\GitHub\eaglep3\Utilities\DownloadLogsFromS3.py --loco 4015 --day 2018-01-14</v>
      </c>
      <c r="AN207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56"/>
        <v>https://d0f6bd738d7f1b3e5a7ca70fe4ff75f0.us-east-1.aws.found.io/app/kibana#/discover/Steve-Slow-Train-Analysis-(2080s-and-2083s)?_g=(refreshInterval:(display:Off,pause:!f,section:0,value:0),time:(from:'2018-01-14T04:00:50-0700',mode:absolute,to:'2018-01-14T06:21:38-0700'))&amp;_a=(columns:!('Message%20ID',Summary),filters:!(),index:'emp_*',interval:auto,query:(query_string:(analyze_wildcard:!t,query:'%22rtdc.l.rtdc.4015%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900</v>
      </c>
      <c r="B208" s="225">
        <v>4028</v>
      </c>
      <c r="C208" s="227" t="s">
        <v>191</v>
      </c>
      <c r="D208" s="227" t="s">
        <v>927</v>
      </c>
      <c r="E208" s="226">
        <v>43115.027083333334</v>
      </c>
      <c r="F208" s="226">
        <v>43115.028275462966</v>
      </c>
      <c r="G208" s="225">
        <v>49</v>
      </c>
      <c r="H208" s="227" t="s">
        <v>1044</v>
      </c>
      <c r="I208" s="226">
        <v>43115.034351851849</v>
      </c>
      <c r="J208" s="225">
        <v>0</v>
      </c>
      <c r="K208" s="237" t="str">
        <f>IF(ISEVEN(B208),(B208-1)&amp;"/"&amp;B208,B208&amp;"/"&amp;(B208+1))</f>
        <v>4027/4028</v>
      </c>
      <c r="L208" s="245" t="str">
        <f>VLOOKUP(A208,'Trips&amp;Operators'!$C$1:$G$99911,5,FALSE)</f>
        <v>MAGEE KENYA</v>
      </c>
      <c r="M208" s="224">
        <f>I208-F208</f>
        <v>6.0763888832298107E-3</v>
      </c>
      <c r="N208" s="225">
        <f>24*60*SUM($M208:$M208)</f>
        <v>8.7499999918509275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-14T23:39:00-0700',mode:absolute,to:'2018-01-15T01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5.04E-2</v>
      </c>
      <c r="Z208" s="247">
        <f>RIGHT(H208,LEN(H208)-4)/10000</f>
        <v>2.3346</v>
      </c>
      <c r="AA208" s="247">
        <f>ABS(Z208-Y208)</f>
        <v>2.2842000000000002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313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 &amp; aws s3 cp s3://rtdc.mdm.uploadarchive.raw/RTDC4028/ "%USERPROFILE%\AppData\Local\Temp\OnboardLogs"\RTDC4028\2018-01-16 --exclude "*" --recursive --include "*20180116*" &amp; "%USERPROFILE%\Documents\GitHub\mrs-test-scripts\Headless Mode &amp; Sideloading\WalkAndUnGZ.bat" "%USERPROFILE%\AppData\Local\Temp\OnboardLogs"\RTDC4028\2018-01-16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/stypes="app*4028*20180115*" /stext=" 07:.+((SYSTEM_STATE.+slice.+state.+changed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52"/>
        <v>"%USERPROFILE%\Documents\GitHub\eaglep3\Utilities\RefineRTDCRunTimes.py" --tripid 313-14 --locoid 4028 --swversion DE.1.0.9.0 --startMP 204:504 --initTime 2018-01-15T00:39:00 --startdatetime 2018-01-15T00:40:43 --delay 49 --endMP 300:23346 --enddatetime 2018-01-15T00:49:28 --enforcementcount 0 &gt;&gt;%USERPROFILE%\Documents\GitHub\eaglep3-reporting\EC\2018-01-14-refined-times.txt</v>
      </c>
      <c r="AI208" s="238" t="str">
        <f t="shared" si="53"/>
        <v>echo {"issue":{"subject":"","project_id":79,"tracker_id":40,"status_id":1,"priority_id":2,"assigned_to_id":338,"start_date":"2018-01-15","description":"","custom_fields":[{"id":1,"name":"Subdivision","value":"Other"},{"id":4,"name":"Milepost","value":"2.3346"},{"id":17,"name":"Train ID","value":"313-14"},{"id":16,"name":"Locomotive ID","value":"4028"},{"id":130,"name":"Impact","value":""},{"id":150,"name":"Time of Event (Mountain Time)","value":"00:49:28"},{"id":151,"name":"Denver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54"/>
        <v>start /low /b %USERPROFILE%\Documents\GitHub\eaglep3\Utilities\DownloadLogsFromS3.py --loco 4028 --day 2018-01-15</v>
      </c>
      <c r="AN208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07:49:28"},{"id":29,"name":"Sharepoint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56"/>
        <v>https://d0f6bd738d7f1b3e5a7ca70fe4ff75f0.us-east-1.aws.found.io/app/kibana#/discover/Steve-Slow-Train-Analysis-(2080s-and-2083s)?_g=(refreshInterval:(display:Off,pause:!f,section:0,value:0),time:(from:'2018-01-14T23:39:00-0700',mode:absolute,to:'2018-01-15T01:49:28-0700'))&amp;_a=(columns:!('Message%20ID',Summary),filters:!(),index:'emp_*',interval:auto,query:(query_string:(analyze_wildcard:!t,query:'%22rtdc.l.rtdc.4028%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727</v>
      </c>
      <c r="B209" s="225">
        <v>4002</v>
      </c>
      <c r="C209" s="227" t="s">
        <v>191</v>
      </c>
      <c r="D209" s="227" t="s">
        <v>1006</v>
      </c>
      <c r="E209" s="226">
        <v>43114.222546296296</v>
      </c>
      <c r="F209" s="226">
        <v>43114.226504629631</v>
      </c>
      <c r="G209" s="225">
        <v>70</v>
      </c>
      <c r="H209" s="227" t="s">
        <v>1007</v>
      </c>
      <c r="I209" s="226">
        <v>43114.232291666667</v>
      </c>
      <c r="J209" s="225">
        <v>0</v>
      </c>
      <c r="K209" s="237" t="str">
        <f>IF(ISEVEN(B209),(B209-1)&amp;"/"&amp;B209,B209&amp;"/"&amp;(B209+1))</f>
        <v>4001/4002</v>
      </c>
      <c r="L209" s="245" t="str">
        <f>VLOOKUP(A209,'Trips&amp;Operators'!$C$1:$G$99911,5,FALSE)</f>
        <v>GONZALEZ ARMANDO</v>
      </c>
      <c r="M209" s="224">
        <f>I209-F209</f>
        <v>5.7870370364980772E-3</v>
      </c>
      <c r="N209" s="225">
        <f>24*60*SUM($M209:$M209)</f>
        <v>8.3333333325572312</v>
      </c>
      <c r="O209" s="225"/>
      <c r="P209" s="225"/>
      <c r="Q209" s="228"/>
      <c r="R209" s="242"/>
      <c r="S209" s="249">
        <f>1/IF(AG209="EC",12,1)*SUM(U209:U209)</f>
        <v>0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-14T04:20:28-0700',mode:absolute,to:'2018-01-14T06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1588</v>
      </c>
      <c r="Y209" s="247">
        <f>RIGHT(D209,LEN(D209)-4)/10000</f>
        <v>3.0691000000000002</v>
      </c>
      <c r="Z209" s="247">
        <f>RIGHT(H209,LEN(H209)-4)/10000</f>
        <v>5.8967000000000001</v>
      </c>
      <c r="AA209" s="247">
        <f>ABS(Z209-Y209)</f>
        <v>2.8275999999999999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1901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/stypes="app*4002*20180114*" /stext=" 12:.+((SYSTEM_STATE.+slice.+state.+changed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52"/>
        <v>"%USERPROFILE%\Documents\GitHub\eaglep3\Utilities\RefineRTDCRunTimes.py" --tripid 1901-14 --locoid 4002 --swversion DE.1.0.9.0 --startMP 300:30691 --initTime 2018-01-14T05:20:28 --startdatetime 2018-01-14T05:26:10 --delay 70 --endMP 300:58967 --enddatetime 2018-01-14T05:34:30 --enforcementcount 0 &gt;&gt;%USERPROFILE%\Documents\GitHub\eaglep3-reporting\EC\2018-01-14-refined-times.txt</v>
      </c>
      <c r="AI209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{"issue":{"subject":"","project_id":79,"tracker_id":40,"status_id":1,"priority_id":2,"assigned_to_id":338,"start_date":"2018-01-14","description":"","custom_fields":[{"id":1,"name":"Subdivision","value":"Other"},{"id":4,"name":"Milepost","value":"5.8967"},{"id":17,"name":"Train ID","value":"1901-14"},{"id":16,"name":"Locomotive ID","value":"4002"},{"id":130,"name":"Impact","value":""},{"id":150,"name":"Time of Event (Mountain Time)","value":"05:34:30"},{"id":151,"name":"Denver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54"/>
        <v>start /low /b %USERPROFILE%\Documents\GitHub\eaglep3\Utilities\DownloadLogsFromS3.py --loco 4002 --day 2018-01-14</v>
      </c>
      <c r="AN209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56"/>
        <v>https://d0f6bd738d7f1b3e5a7ca70fe4ff75f0.us-east-1.aws.found.io/app/kibana#/discover/Steve-Slow-Train-Analysis-(2080s-and-2083s)?_g=(refreshInterval:(display:Off,pause:!f,section:0,value:0),time:(from:'2018-01-14T04:20:28-0700',mode:absolute,to:'2018-01-14T06:34:30-0700'))&amp;_a=(columns:!('Message%20ID',Summary),filters:!(),index:'emp_*',interval:auto,query:(query_string:(analyze_wildcard:!t,query:'%22rtdc.l.rtdc.4002%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697</v>
      </c>
      <c r="B210" s="225">
        <v>4001</v>
      </c>
      <c r="C210" s="227" t="s">
        <v>191</v>
      </c>
      <c r="D210" s="227" t="s">
        <v>1008</v>
      </c>
      <c r="E210" s="226">
        <v>43114.974351851852</v>
      </c>
      <c r="F210" s="226">
        <v>43114.977847222224</v>
      </c>
      <c r="G210" s="225">
        <v>81</v>
      </c>
      <c r="H210" s="227" t="s">
        <v>1009</v>
      </c>
      <c r="I210" s="226">
        <v>43114.980694444443</v>
      </c>
      <c r="J210" s="225">
        <v>0</v>
      </c>
      <c r="K210" s="237" t="str">
        <f>IF(ISEVEN(B210),(B210-1)&amp;"/"&amp;B210,B210&amp;"/"&amp;(B210+1))</f>
        <v>4001/4002</v>
      </c>
      <c r="L210" s="245" t="str">
        <f>VLOOKUP(A210,'Trips&amp;Operators'!$C$1:$G$99911,5,FALSE)</f>
        <v>ELBAUM MIKE</v>
      </c>
      <c r="M210" s="224">
        <f>I210-F210</f>
        <v>2.8472222184063867E-3</v>
      </c>
      <c r="N210" s="225">
        <f>24*60*SUM($M210:$M210)</f>
        <v>4.0999999945051968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-14T22:23:04-0700',mode:absolute,to:'2018-01-15T00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5.7344999999999997</v>
      </c>
      <c r="Z210" s="247">
        <f>RIGHT(H210,LEN(H210)-4)/10000</f>
        <v>4.8841000000000001</v>
      </c>
      <c r="AA210" s="247">
        <f>ABS(Z210-Y210)</f>
        <v>0.8503999999999996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1902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/stypes="app*4001*20180115*" /stext=" 06:.+((SYSTEM_STATE.+slice.+state.+changed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52"/>
        <v>"%USERPROFILE%\Documents\GitHub\eaglep3\Utilities\RefineRTDCRunTimes.py" --tripid 1902-14 --locoid 4001 --swversion DE.1.0.9.0 --startMP 300:57345 --initTime 2018-01-14T23:23:04 --startdatetime 2018-01-14T23:28:06 --delay 81 --endMP 300:48841 --enddatetime 2018-01-14T23:32:12 --enforcementcount 0 &gt;&gt;%USERPROFILE%\Documents\GitHub\eaglep3-reporting\EC\2018-01-14-refined-times.txt</v>
      </c>
      <c r="AI210" s="238" t="str">
        <f t="shared" si="53"/>
        <v>echo {"issue":{"subject":"","project_id":79,"tracker_id":40,"status_id":1,"priority_id":2,"assigned_to_id":338,"start_date":"2018-01-14","description":"","custom_fields":[{"id":1,"name":"Subdivision","value":"Other"},{"id":4,"name":"Milepost","value":"4.8841"},{"id":17,"name":"Train ID","value":"1902-14"},{"id":16,"name":"Locomotive ID","value":"4001"},{"id":130,"name":"Impact","value":""},{"id":150,"name":"Time of Event (Mountain Time)","value":"23:32:12"},{"id":151,"name":"Denver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54"/>
        <v>start /low /b %USERPROFILE%\Documents\GitHub\eaglep3\Utilities\DownloadLogsFromS3.py --loco 4001 --day 2018-01-14</v>
      </c>
      <c r="AN210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06:32:12"},{"id":29,"name":"Sharepoint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56"/>
        <v>https://d0f6bd738d7f1b3e5a7ca70fe4ff75f0.us-east-1.aws.found.io/app/kibana#/discover/Steve-Slow-Train-Analysis-(2080s-and-2083s)?_g=(refreshInterval:(display:Off,pause:!f,section:0,value:0),time:(from:'2018-01-14T22:23:04-0700',mode:absolute,to:'2018-01-15T00:32:12-0700'))&amp;_a=(columns:!('Message%20ID',Summary),filters:!(),index:'emp_*',interval:auto,query:(query_string:(analyze_wildcard:!t,query:'%22rtdc.l.rtdc.4001%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709</v>
      </c>
      <c r="B211" s="225">
        <v>4032</v>
      </c>
      <c r="C211" s="227" t="s">
        <v>191</v>
      </c>
      <c r="D211" s="227" t="s">
        <v>649</v>
      </c>
      <c r="E211" s="226">
        <v>43114.128101851849</v>
      </c>
      <c r="F211" s="226">
        <v>43114.143437500003</v>
      </c>
      <c r="G211" s="225">
        <v>66</v>
      </c>
      <c r="H211" s="227" t="s">
        <v>1045</v>
      </c>
      <c r="I211" s="226">
        <v>43114.144918981481</v>
      </c>
      <c r="J211" s="225">
        <v>0</v>
      </c>
      <c r="K211" s="237" t="str">
        <f>IF(ISEVEN(B211),(B211-1)&amp;"/"&amp;B211,B211&amp;"/"&amp;(B211+1))</f>
        <v>4031/4032</v>
      </c>
      <c r="L211" s="245" t="str">
        <f>VLOOKUP(A211,'Trips&amp;Operators'!$C$1:$G$99911,5,FALSE)</f>
        <v>ROBINSON KADDIBA</v>
      </c>
      <c r="M211" s="224">
        <f>I211-F211</f>
        <v>1.48148147854954E-3</v>
      </c>
      <c r="N211" s="225">
        <f>24*60*SUM($M211:$M211)</f>
        <v>2.1333333291113377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-14T02:04:28-0700',mode:absolute,to:'2018-01-14T04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-1851</v>
      </c>
      <c r="Y211" s="247">
        <f>RIGHT(D211,LEN(D211)-4)/10000</f>
        <v>4.5100000000000001E-2</v>
      </c>
      <c r="Z211" s="247">
        <f>RIGHT(H211,LEN(H211)-4)/10000</f>
        <v>0.40479999999999999</v>
      </c>
      <c r="AA211" s="247">
        <f>ABS(Z211-Y211)</f>
        <v>0.35970000000000002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"%USERPROFILE%\AppData\Local\Temp\OnboardLogs"\RTDC4032\2018-01-14 --exclude "*" --recursive --include "*20180114*" &amp; "%USERPROFILE%\Documents\GitHub\mrs-test-scripts\Headless Mode &amp; Sideloading\WalkAndUnGZ.bat" "%USERPROFILE%\AppData\Local\Temp\OnboardLogs"\RTDC4032\2018-01-14 &amp; aws s3 cp s3://rtdc.mdm.uploadarchive.raw/RTDC4032/ "%USERPROFILE%\AppData\Local\Temp\OnboardLogs"\RTDC4032\2018-01-15 --exclude "*" --recursive --include "*20180115*" &amp; "%USERPROFILE%\Documents\GitHub\mrs-test-scripts\Headless Mode &amp; Sideloading\WalkAndUnGZ.bat" "%USERPROFILE%\AppData\Local\Temp\OnboardLogs"\RTDC4032\2018-01-15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/stypes="app*4032*20180114*"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52"/>
        <v>"%USERPROFILE%\Documents\GitHub\eaglep3\Utilities\RefineRTDCRunTimes.py" --tripid 51-14 --locoid 4032 --swversion DE.1.0.9.0 --startMP 204:451 --initTime 2018-01-14T03:04:28 --startdatetime 2018-01-14T03:26:33 --delay 66 --endMP 204:4048 --enddatetime 2018-01-14T03:28:41 --enforcementcount 0 &gt;&gt;%USERPROFILE%\Documents\GitHub\eaglep3-reporting\EC\2018-01-14-refined-times.txt</v>
      </c>
      <c r="AI211" s="238" t="str">
        <f t="shared" si="53"/>
        <v>echo {"issue":{"subject":"","project_id":79,"tracker_id":40,"status_id":1,"priority_id":2,"assigned_to_id":338,"start_date":"2018-01-14","description":"","custom_fields":[{"id":1,"name":"Subdivision","value":"Shuttle/Test"},{"id":4,"name":"Milepost","value":"0.4048"},{"id":17,"name":"Train ID","value":"51-14"},{"id":16,"name":"Locomotive ID","value":"4032"},{"id":130,"name":"Impact","value":""},{"id":150,"name":"Time of Event (Mountain Time)","value":"03:28:41"},{"id":151,"name":"Denver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54"/>
        <v>start /low /b %USERPROFILE%\Documents\GitHub\eaglep3\Utilities\DownloadLogsFromS3.py --loco 4032 --day 2018-01-14</v>
      </c>
      <c r="AN211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10:28:41"},{"id":29,"name":"Sharepoint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56"/>
        <v>https://d0f6bd738d7f1b3e5a7ca70fe4ff75f0.us-east-1.aws.found.io/app/kibana#/discover/Steve-Slow-Train-Analysis-(2080s-and-2083s)?_g=(refreshInterval:(display:Off,pause:!f,section:0,value:0),time:(from:'2018-01-14T02:04:28-0700',mode:absolute,to:'2018-01-14T04:28:41-0700'))&amp;_a=(columns:!('Message%20ID',Summary),filters:!(),index:'emp_*',interval:auto,query:(query_string:(analyze_wildcard:!t,query:'%22rtdc.l.rtdc.4032%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709</v>
      </c>
      <c r="B212" s="225">
        <v>4031</v>
      </c>
      <c r="C212" s="227" t="s">
        <v>191</v>
      </c>
      <c r="D212" s="227" t="s">
        <v>1046</v>
      </c>
      <c r="E212" s="226">
        <v>43114.142245370371</v>
      </c>
      <c r="F212" s="226">
        <v>43114.143437500003</v>
      </c>
      <c r="G212" s="225">
        <v>50</v>
      </c>
      <c r="H212" s="227" t="s">
        <v>1047</v>
      </c>
      <c r="I212" s="226">
        <v>43114.144918981481</v>
      </c>
      <c r="J212" s="225">
        <v>0</v>
      </c>
      <c r="K212" s="237" t="str">
        <f>IF(ISEVEN(B212),(B212-1)&amp;"/"&amp;B212,B212&amp;"/"&amp;(B212+1))</f>
        <v>4031/4032</v>
      </c>
      <c r="L212" s="245" t="str">
        <f>VLOOKUP(A212,'Trips&amp;Operators'!$C$1:$G$99911,5,FALSE)</f>
        <v>ROBINSON KADDIBA</v>
      </c>
      <c r="M212" s="224">
        <f>I212-F212</f>
        <v>1.48148147854954E-3</v>
      </c>
      <c r="N212" s="225">
        <f>24*60*SUM($M212:$M212)</f>
        <v>2.1333333291113377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-14T02:24:50-0700',mode:absolute,to:'2018-01-14T04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0</v>
      </c>
      <c r="Y212" s="247">
        <f>RIGHT(D212,LEN(D212)-4)/10000</f>
        <v>0.37380000000000002</v>
      </c>
      <c r="Z212" s="247">
        <f>RIGHT(H212,LEN(H212)-4)/10000</f>
        <v>0.1162</v>
      </c>
      <c r="AA212" s="247">
        <f>ABS(Z212-Y212)</f>
        <v>0.25760000000000005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s3://rtdc.mdm.uploadarchive.raw/RTDC4031/ "%USERPROFILE%\AppData\Local\Temp\OnboardLogs"\RTDC4031\2018-01-14 --exclude "*" --recursive --include "*20180114*" &amp; "%USERPROFILE%\Documents\GitHub\mrs-test-scripts\Headless Mode &amp; Sideloading\WalkAndUnGZ.bat" "%USERPROFILE%\AppData\Local\Temp\OnboardLogs"\RTDC4031\2018-01-14 &amp; aws s3 cp s3://rtdc.mdm.uploadarchive.raw/RTDC4031/ "%USERPROFILE%\AppData\Local\Temp\OnboardLogs"\RTDC4031\2018-01-15 --exclude "*" --recursive --include "*20180115*" &amp; "%USERPROFILE%\Documents\GitHub\mrs-test-scripts\Headless Mode &amp; Sideloading\WalkAndUnGZ.bat" "%USERPROFILE%\AppData\Local\Temp\OnboardLogs"\RTDC4031\2018-01-15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/stypes="app*4031*20180114*"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52"/>
        <v>"%USERPROFILE%\Documents\GitHub\eaglep3\Utilities\RefineRTDCRunTimes.py" --tripid 51-14 --locoid 4031 --swversion DE.1.0.9.0 --startMP 204:3738 --initTime 2018-01-14T03:24:50 --startdatetime 2018-01-14T03:26:33 --delay 50 --endMP 204:1162 --enddatetime 2018-01-14T03:28:41 --enforcementcount 0 &gt;&gt;%USERPROFILE%\Documents\GitHub\eaglep3-reporting\EC\2018-01-14-refined-times.txt</v>
      </c>
      <c r="AI212" s="238" t="str">
        <f t="shared" si="53"/>
        <v>echo {"issue":{"subject":"","project_id":79,"tracker_id":40,"status_id":1,"priority_id":2,"assigned_to_id":338,"start_date":"2018-01-14","description":"","custom_fields":[{"id":1,"name":"Subdivision","value":"Shuttle/Test"},{"id":4,"name":"Milepost","value":"0.1162"},{"id":17,"name":"Train ID","value":"51-14"},{"id":16,"name":"Locomotive ID","value":"4031"},{"id":130,"name":"Impact","value":""},{"id":150,"name":"Time of Event (Mountain Time)","value":"03:28:41"},{"id":151,"name":"Denver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54"/>
        <v>start /low /b %USERPROFILE%\Documents\GitHub\eaglep3\Utilities\DownloadLogsFromS3.py --loco 4031 --day 2018-01-14</v>
      </c>
      <c r="AN212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10:28:41"},{"id":29,"name":"Sharepoint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6"/>
        <v>https://d0f6bd738d7f1b3e5a7ca70fe4ff75f0.us-east-1.aws.found.io/app/kibana#/discover/Steve-Slow-Train-Analysis-(2080s-and-2083s)?_g=(refreshInterval:(display:Off,pause:!f,section:0,value:0),time:(from:'2018-01-14T02:24:50-0700',mode:absolute,to:'2018-01-14T04:28:41-0700'))&amp;_a=(columns:!('Message%20ID',Summary),filters:!(),index:'emp_*',interval:auto,query:(query_string:(analyze_wildcard:!t,query:'%22rtdc.l.rtdc.4031%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854</v>
      </c>
      <c r="B213" s="225">
        <v>4061</v>
      </c>
      <c r="C213" s="227" t="s">
        <v>191</v>
      </c>
      <c r="D213" s="227" t="s">
        <v>1048</v>
      </c>
      <c r="E213" s="226">
        <v>43114.748182870368</v>
      </c>
      <c r="F213" s="226">
        <v>43114.750949074078</v>
      </c>
      <c r="G213" s="225">
        <v>62</v>
      </c>
      <c r="H213" s="227" t="s">
        <v>1049</v>
      </c>
      <c r="I213" s="226">
        <v>43114.756481481483</v>
      </c>
      <c r="J213" s="225">
        <v>0</v>
      </c>
      <c r="K213" s="237" t="str">
        <f>IF(ISEVEN(B213),(B213-1)&amp;"/"&amp;B213,B213&amp;"/"&amp;(B213+1))</f>
        <v>4061/4062</v>
      </c>
      <c r="L213" s="245" t="str">
        <f>VLOOKUP(A213,'Trips&amp;Operators'!$C$1:$G$99911,5,FALSE)</f>
        <v>HUFFSMITH MONTY</v>
      </c>
      <c r="M213" s="224">
        <f>I213-F213</f>
        <v>5.5324074055533856E-3</v>
      </c>
      <c r="N213" s="225">
        <f>24*60*SUM($M213:$M213)</f>
        <v>7.9666666639968753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-14T16:57:23-0700',mode:absolute,to:'2018-01-14T19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8</v>
      </c>
      <c r="Y213" s="247">
        <f>RIGHT(D213,LEN(D213)-4)/10000</f>
        <v>2.3571</v>
      </c>
      <c r="Z213" s="247">
        <f>RIGHT(H213,LEN(H213)-4)/10000</f>
        <v>0.19120000000000001</v>
      </c>
      <c r="AA213" s="247">
        <f>ABS(Z213-Y213)</f>
        <v>2.1659000000000002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59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s3://rtdc.mdm.uploadarchive.raw/RTDC4061/ "%USERPROFILE%\AppData\Local\Temp\OnboardLogs"\RTDC4061\2018-01-14 --exclude "*" --recursive --include "*20180114*" &amp; "%USERPROFILE%\Documents\GitHub\mrs-test-scripts\Headless Mode &amp; Sideloading\WalkAndUnGZ.bat" "%USERPROFILE%\AppData\Local\Temp\OnboardLogs"\RTDC4061\2018-01-14 &amp; aws s3 cp s3://rtdc.mdm.uploadarchive.raw/RTDC4061/ "%USERPROFILE%\AppData\Local\Temp\OnboardLogs"\RTDC4061\2018-01-15 --exclude "*" --recursive --include "*20180115*" &amp; "%USERPROFILE%\Documents\GitHub\mrs-test-scripts\Headless Mode &amp; Sideloading\WalkAndUnGZ.bat" "%USERPROFILE%\AppData\Local\Temp\OnboardLogs"\RTDC4061\2018-01-15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/stypes="app*4061*20180115*" /stext=" 01:.+((SYSTEM_STATE.+slice.+state.+changed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52"/>
        <v>"%USERPROFILE%\Documents\GitHub\eaglep3\Utilities\RefineRTDCRunTimes.py" --tripid 59-14 --locoid 4061 --swversion DE.1.0.9.0 --startMP 300:23571 --initTime 2018-01-14T17:57:23 --startdatetime 2018-01-14T18:01:22 --delay 62 --endMP 204:1912 --enddatetime 2018-01-14T18:09:20 --enforcementcount 0 &gt;&gt;%USERPROFILE%\Documents\GitHub\eaglep3-reporting\EC\2018-01-14-refined-times.txt</v>
      </c>
      <c r="AI213" s="238" t="str">
        <f t="shared" si="53"/>
        <v>echo {"issue":{"subject":"","project_id":79,"tracker_id":40,"status_id":1,"priority_id":2,"assigned_to_id":338,"start_date":"2018-01-14","description":"","custom_fields":[{"id":1,"name":"Subdivision","value":"Shuttle/Test"},{"id":4,"name":"Milepost","value":"0.1912"},{"id":17,"name":"Train ID","value":"59-14"},{"id":16,"name":"Locomotive ID","value":"4061"},{"id":130,"name":"Impact","value":""},{"id":150,"name":"Time of Event (Mountain Time)","value":"18:09:20"},{"id":151,"name":"Denver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54"/>
        <v>start /low /b %USERPROFILE%\Documents\GitHub\eaglep3\Utilities\DownloadLogsFromS3.py --loco 4061 --day 2018-01-14</v>
      </c>
      <c r="AN213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01:09:20"},{"id":29,"name":"Sharepoint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6"/>
        <v>https://d0f6bd738d7f1b3e5a7ca70fe4ff75f0.us-east-1.aws.found.io/app/kibana#/discover/Steve-Slow-Train-Analysis-(2080s-and-2083s)?_g=(refreshInterval:(display:Off,pause:!f,section:0,value:0),time:(from:'2018-01-14T16:57:23-0700',mode:absolute,to:'2018-01-14T19:09:20-0700'))&amp;_a=(columns:!('Message%20ID',Summary),filters:!(),index:'emp_*',interval:auto,query:(query_string:(analyze_wildcard:!t,query:'%22rtdc.l.rtdc.4061%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836</v>
      </c>
      <c r="B214" s="225">
        <v>4032</v>
      </c>
      <c r="C214" s="227" t="s">
        <v>191</v>
      </c>
      <c r="D214" s="227" t="s">
        <v>1050</v>
      </c>
      <c r="E214" s="226">
        <v>43114.682557870372</v>
      </c>
      <c r="F214" s="226">
        <v>43114.694432870368</v>
      </c>
      <c r="G214" s="225">
        <v>63</v>
      </c>
      <c r="H214" s="227" t="s">
        <v>1051</v>
      </c>
      <c r="I214" s="226">
        <v>43114.700949074075</v>
      </c>
      <c r="J214" s="225">
        <v>0</v>
      </c>
      <c r="K214" s="237" t="str">
        <f>IF(ISEVEN(B214),(B214-1)&amp;"/"&amp;B214,B214&amp;"/"&amp;(B214+1))</f>
        <v>4031/4032</v>
      </c>
      <c r="L214" s="245" t="str">
        <f>VLOOKUP(A214,'Trips&amp;Operators'!$C$1:$G$99911,5,FALSE)</f>
        <v>MCREYNOLDS KYLE</v>
      </c>
      <c r="M214" s="224">
        <f>I214-F214</f>
        <v>6.5162037062691525E-3</v>
      </c>
      <c r="N214" s="225">
        <f>24*60*SUM($M214:$M214)</f>
        <v>9.3833333370275795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-14T15:22:53-0700',mode:absolute,to:'2018-01-14T17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2</v>
      </c>
      <c r="Y214" s="247">
        <f>RIGHT(D214,LEN(D214)-4)/10000</f>
        <v>0.1469</v>
      </c>
      <c r="Z214" s="247">
        <f>RIGHT(H214,LEN(H214)-4)/10000</f>
        <v>2.3300999999999998</v>
      </c>
      <c r="AA214" s="247">
        <f>ABS(Z214-Y214)</f>
        <v>2.1831999999999998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61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s3://rtdc.mdm.uploadarchive.raw/RTDC4032/ "%USERPROFILE%\AppData\Local\Temp\OnboardLogs"\RTDC4032\2018-01-14 --exclude "*" --recursive --include "*20180114*" &amp; "%USERPROFILE%\Documents\GitHub\mrs-test-scripts\Headless Mode &amp; Sideloading\WalkAndUnGZ.bat" "%USERPROFILE%\AppData\Local\Temp\OnboardLogs"\RTDC4032\2018-01-14 &amp; aws s3 cp s3://rtdc.mdm.uploadarchive.raw/RTDC4032/ "%USERPROFILE%\AppData\Local\Temp\OnboardLogs"\RTDC4032\2018-01-15 --exclude "*" --recursive --include "*20180115*" &amp; "%USERPROFILE%\Documents\GitHub\mrs-test-scripts\Headless Mode &amp; Sideloading\WalkAndUnGZ.bat" "%USERPROFILE%\AppData\Local\Temp\OnboardLogs"\RTDC4032\2018-01-15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/stypes="app*4032*20180114*" /stext=" 23:.+((SYSTEM_STATE.+slice.+state.+changed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52"/>
        <v>"%USERPROFILE%\Documents\GitHub\eaglep3\Utilities\RefineRTDCRunTimes.py" --tripid 61-14 --locoid 4032 --swversion DE.1.0.9.0 --startMP 204:1469 --initTime 2018-01-14T16:22:53 --startdatetime 2018-01-14T16:39:59 --delay 63 --endMP 300:23301 --enddatetime 2018-01-14T16:49:22 --enforcementcount 0 &gt;&gt;%USERPROFILE%\Documents\GitHub\eaglep3-reporting\EC\2018-01-14-refined-times.txt</v>
      </c>
      <c r="AI214" s="238" t="str">
        <f t="shared" si="53"/>
        <v>echo {"issue":{"subject":"","project_id":79,"tracker_id":40,"status_id":1,"priority_id":2,"assigned_to_id":338,"start_date":"2018-01-14","description":"","custom_fields":[{"id":1,"name":"Subdivision","value":"Shuttle/Test"},{"id":4,"name":"Milepost","value":"2.3301"},{"id":17,"name":"Train ID","value":"61-14"},{"id":16,"name":"Locomotive ID","value":"4032"},{"id":130,"name":"Impact","value":""},{"id":150,"name":"Time of Event (Mountain Time)","value":"16:49:22"},{"id":151,"name":"Denver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54"/>
        <v>start /low /b %USERPROFILE%\Documents\GitHub\eaglep3\Utilities\DownloadLogsFromS3.py --loco 4032 --day 2018-01-14</v>
      </c>
      <c r="AN214" s="241" t="str">
        <f t="shared" si="55"/>
        <v>echo {"issue":{"subject":"","project_id":30,"tracker_id":4,"status_id":1,"priority_id":1,"assigned_to_id":10,"start_date":"2018-01-14","description":"","custom_fields":[{"id":30,"name":"Category","value":"Issue"},{"id":3,"name":"Functional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UTC","value":"2018-01-14 23:49:22"},{"id":29,"name":"Sharepoint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6"/>
        <v>https://d0f6bd738d7f1b3e5a7ca70fe4ff75f0.us-east-1.aws.found.io/app/kibana#/discover/Steve-Slow-Train-Analysis-(2080s-and-2083s)?_g=(refreshInterval:(display:Off,pause:!f,section:0,value:0),time:(from:'2018-01-14T15:22:53-0700',mode:absolute,to:'2018-01-14T17:49:22-0700'))&amp;_a=(columns:!('Message%20ID',Summary),filters:!(),index:'emp_*',interval:auto,query:(query_string:(analyze_wildcard:!t,query:'%22rtdc.l.rtdc.4032%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848</v>
      </c>
      <c r="B215" s="225">
        <v>4042</v>
      </c>
      <c r="C215" s="227" t="s">
        <v>191</v>
      </c>
      <c r="D215" s="227" t="s">
        <v>668</v>
      </c>
      <c r="E215" s="226">
        <v>43114.726863425924</v>
      </c>
      <c r="F215" s="226">
        <v>43114.734583333331</v>
      </c>
      <c r="G215" s="225">
        <v>82</v>
      </c>
      <c r="H215" s="227" t="s">
        <v>669</v>
      </c>
      <c r="I215" s="226">
        <v>43114.742604166669</v>
      </c>
      <c r="J215" s="225">
        <v>0</v>
      </c>
      <c r="K215" s="237" t="str">
        <f>IF(ISEVEN(B215),(B215-1)&amp;"/"&amp;B215,B215&amp;"/"&amp;(B215+1))</f>
        <v>4041/4042</v>
      </c>
      <c r="L215" s="245" t="str">
        <f>VLOOKUP(A215,'Trips&amp;Operators'!$C$1:$G$99911,5,FALSE)</f>
        <v>FORTUNATO FRANK</v>
      </c>
      <c r="M215" s="224">
        <f>I215-F215</f>
        <v>8.0208333383779973E-3</v>
      </c>
      <c r="N215" s="225">
        <f>24*60*SUM($M215:$M215)</f>
        <v>11.550000007264316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-14T16:26:41-0700',mode:absolute,to:'2018-01-14T18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2</v>
      </c>
      <c r="Y215" s="247">
        <f>RIGHT(D215,LEN(D215)-4)/10000</f>
        <v>0.1152</v>
      </c>
      <c r="Z215" s="247">
        <f>RIGHT(H215,LEN(H215)-4)/10000</f>
        <v>2.3296999999999999</v>
      </c>
      <c r="AA215" s="247">
        <f>ABS(Z215-Y215)</f>
        <v>2.2144999999999997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63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"%USERPROFILE%\AppData\Local\Temp\OnboardLogs"\RTDC4042\2018-01-14 --exclude "*" --recursive --include "*20180114*" &amp; "%USERPROFILE%\Documents\GitHub\mrs-test-scripts\Headless Mode &amp; Sideloading\WalkAndUnGZ.bat" "%USERPROFILE%\AppData\Local\Temp\OnboardLogs"\RTDC4042\2018-01-14 &amp; aws s3 cp s3://rtdc.mdm.uploadarchive.raw/RTDC4042/ "%USERPROFILE%\AppData\Local\Temp\OnboardLogs"\RTDC4042\2018-01-15 --exclude "*" --recursive --include "*20180115*" &amp; "%USERPROFILE%\Documents\GitHub\mrs-test-scripts\Headless Mode &amp; Sideloading\WalkAndUnGZ.bat" "%USERPROFILE%\AppData\Local\Temp\OnboardLogs"\RTDC4042\2018-01-15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/stypes="app*4042*20180115*" /stext=" 00:.+((SYSTEM_STATE.+slice.+state.+changed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52"/>
        <v>"%USERPROFILE%\Documents\GitHub\eaglep3\Utilities\RefineRTDCRunTimes.py" --tripid 63-14 --locoid 4042 --swversion DE.1.0.9.0 --startMP 204:1152 --initTime 2018-01-14T17:26:41 --startdatetime 2018-01-14T17:37:48 --delay 82 --endMP 300:23297 --enddatetime 2018-01-14T17:49:21 --enforcementcount 0 &gt;&gt;%USERPROFILE%\Documents\GitHub\eaglep3-reporting\EC\2018-01-14-refined-times.txt</v>
      </c>
      <c r="AI215" s="238" t="str">
        <f t="shared" si="53"/>
        <v>echo {"issue":{"subject":"","project_id":79,"tracker_id":40,"status_id":1,"priority_id":2,"assigned_to_id":338,"start_date":"2018-01-14","description":"","custom_fields":[{"id":1,"name":"Subdivision","value":"Shuttle/Test"},{"id":4,"name":"Milepost","value":"2.3297"},{"id":17,"name":"Train ID","value":"63-14"},{"id":16,"name":"Locomotive ID","value":"4042"},{"id":130,"name":"Impact","value":""},{"id":150,"name":"Time of Event (Mountain Time)","value":"17:49:21"},{"id":151,"name":"Denver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54"/>
        <v>start /low /b %USERPROFILE%\Documents\GitHub\eaglep3\Utilities\DownloadLogsFromS3.py --loco 4042 --day 2018-01-14</v>
      </c>
      <c r="AN215" s="241" t="str">
        <f t="shared" si="55"/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00:49:21"},{"id":29,"name":"Sharepoint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6"/>
        <v>https://d0f6bd738d7f1b3e5a7ca70fe4ff75f0.us-east-1.aws.found.io/app/kibana#/discover/Steve-Slow-Train-Analysis-(2080s-and-2083s)?_g=(refreshInterval:(display:Off,pause:!f,section:0,value:0),time:(from:'2018-01-14T16:26:41-0700',mode:absolute,to:'2018-01-14T18:49:21-0700'))&amp;_a=(columns:!('Message%20ID',Summary),filters:!(),index:'emp_*',interval:auto,query:(query_string:(analyze_wildcard:!t,query:'%22rtdc.l.rtdc.4042%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897</v>
      </c>
      <c r="B216" s="225">
        <v>4062</v>
      </c>
      <c r="C216" s="227" t="s">
        <v>191</v>
      </c>
      <c r="D216" s="227" t="s">
        <v>1052</v>
      </c>
      <c r="E216" s="226">
        <v>43115.021504629629</v>
      </c>
      <c r="F216" s="226">
        <v>43115.028078703705</v>
      </c>
      <c r="G216" s="225">
        <v>114</v>
      </c>
      <c r="H216" s="227" t="s">
        <v>979</v>
      </c>
      <c r="I216" s="226">
        <v>43115.053287037037</v>
      </c>
      <c r="J216" s="225">
        <v>0</v>
      </c>
      <c r="K216" s="237" t="str">
        <f>IF(ISEVEN(B216),(B216-1)&amp;"/"&amp;B216,B216&amp;"/"&amp;(B216+1))</f>
        <v>4061/4062</v>
      </c>
      <c r="L216" s="245" t="str">
        <f>VLOOKUP(A216,'Trips&amp;Operators'!$C$1:$G$99911,5,FALSE)</f>
        <v>SANTIZO D. EDY</v>
      </c>
      <c r="M216" s="224">
        <f>I216-F216</f>
        <v>2.5208333332557231E-2</v>
      </c>
      <c r="N216" s="225">
        <f>24*60*SUM($M216:$M216)</f>
        <v>36.299999998882413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-14T23:30:58-0700',mode:absolute,to:'2018-01-15T02:16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12</v>
      </c>
      <c r="Y216" s="247">
        <f>RIGHT(D216,LEN(D216)-4)/10000</f>
        <v>0.1164</v>
      </c>
      <c r="Z216" s="247">
        <f>RIGHT(H216,LEN(H216)-4)/10000</f>
        <v>23.325500000000002</v>
      </c>
      <c r="AA216" s="247">
        <f>ABS(Z216-Y216)</f>
        <v>23.209100000000003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75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s3://rtdc.mdm.uploadarchive.raw/RTDC4062/ "%USERPROFILE%\AppData\Local\Temp\OnboardLogs"\RTDC4062\2018-01-15 --exclude "*" --recursive --include "*20180115*" &amp; "%USERPROFILE%\Documents\GitHub\mrs-test-scripts\Headless Mode &amp; Sideloading\WalkAndUnGZ.bat" "%USERPROFILE%\AppData\Local\Temp\OnboardLogs"\RTDC4062\2018-01-15 &amp; aws s3 cp s3://rtdc.mdm.uploadarchive.raw/RTDC4062/ "%USERPROFILE%\AppData\Local\Temp\OnboardLogs"\RTDC4062\2018-01-16 --exclude "*" --recursive --include "*20180116*" &amp; "%USERPROFILE%\Documents\GitHub\mrs-test-scripts\Headless Mode &amp; Sideloading\WalkAndUnGZ.bat" "%USERPROFILE%\AppData\Local\Temp\OnboardLogs"\RTDC4062\2018-01-16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/stypes="app*4062*20180115*" /stext=" 08:.+((SYSTEM_STATE.+slice.+state.+changed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ref="AH216" si="72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75-14 --locoid 4062 --swversion DE.1.0.9.0 --startMP 204:1164 --initTime 2018-01-15T00:30:58 --startdatetime 2018-01-15T00:40:26 --delay 114 --endMP 204:233255 --enddatetime 2018-01-15T01:16:44 --enforcementcount 0 &gt;&gt;%USERPROFILE%\Documents\GitHub\eaglep3-reporting\EC\2018-01-14-refined-times.txt</v>
      </c>
      <c r="AI216" s="238" t="str">
        <f t="shared" ref="AI216" si="73"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-15","description":"","custom_fields":[{"id":1,"name":"Subdivision","value":"Shuttle/Test"},{"id":4,"name":"Milepost","value":"23.3255"},{"id":17,"name":"Train ID","value":"75-14"},{"id":16,"name":"Locomotive ID","value":"4062"},{"id":130,"name":"Impact","value":""},{"id":150,"name":"Time of Event (Mountain Time)","value":"01:16:44"},{"id":151,"name":"Denver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ref="AM216" si="74">"start /low /b "&amp;dls3logs&amp;" --loco "&amp;B216&amp;" --day "&amp;TEXT(F216,"YYYY-MM-DD")</f>
        <v>start /low /b %USERPROFILE%\Documents\GitHub\eaglep3\Utilities\DownloadLogsFromS3.py --loco 4062 --day 2018-01-15</v>
      </c>
      <c r="AN216" s="241" t="str">
        <f t="shared" ref="AN216" si="75"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UTC","value":"2018-01-15 08:16:44"},{"id":29,"name":"Sharepoint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ref="AO216" si="76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-14T23:30:58-0700',mode:absolute,to:'2018-01-15T02:16:44-0700'))&amp;_a=(columns:!('Message%20ID',Summary),filters:!(),index:'emp_*',interval:auto,query:(query_string:(analyze_wildcard:!t,query:'%22rtdc.l.rtdc.4062%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23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3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23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23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23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23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23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23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3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23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23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23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23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23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23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23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23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23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23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23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23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23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s="20" customForma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s="20" customFormat="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s="20" customFormat="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s="20" customForma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s="20" customFormat="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s="20" customForma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s="20" customForma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:91" s="20" customForma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s="20" customFormat="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:91" s="20" customFormat="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:91" s="20" customFormat="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s="20" customForma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s="20" customFormat="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:91" s="20" customFormat="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s="20" customFormat="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s="20" customFormat="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:91" s="20" customFormat="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:91" s="20" customFormat="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s="20" customForma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s="20" customFormat="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:91" s="20" customFormat="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s="20" customFormat="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9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s="20" customFormat="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s="20" customFormat="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9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9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9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9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  <row r="581" spans="1:9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9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9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M583"/>
      <c r="AO583"/>
    </row>
    <row r="584" spans="1:9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M584"/>
      <c r="AO584"/>
    </row>
    <row r="585" spans="1:9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9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9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M587"/>
      <c r="AO587"/>
    </row>
    <row r="588" spans="1:9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91" s="20" customFormat="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:9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9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9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91" s="20" customFormat="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:9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M594"/>
      <c r="AO594"/>
    </row>
    <row r="595" spans="1:9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M595"/>
      <c r="AO595"/>
    </row>
    <row r="596" spans="1:9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M596"/>
      <c r="AO596"/>
    </row>
    <row r="597" spans="1:9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M597"/>
      <c r="AO597"/>
    </row>
    <row r="598" spans="1:9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M598"/>
      <c r="AO598"/>
    </row>
    <row r="599" spans="1:9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M599"/>
      <c r="AO599"/>
    </row>
    <row r="600" spans="1:9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M600"/>
      <c r="AO600"/>
    </row>
    <row r="601" spans="1:9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M601"/>
      <c r="AO601"/>
    </row>
    <row r="602" spans="1:9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M602"/>
      <c r="AO602"/>
    </row>
    <row r="603" spans="1:9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M603"/>
      <c r="AO603"/>
    </row>
    <row r="604" spans="1:9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M604"/>
      <c r="AO604"/>
    </row>
    <row r="605" spans="1:9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M605"/>
      <c r="AO605"/>
    </row>
    <row r="606" spans="1:9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M606"/>
      <c r="AO606"/>
    </row>
    <row r="607" spans="1:9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M607"/>
      <c r="AO607"/>
    </row>
    <row r="608" spans="1:9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M608"/>
      <c r="AO608"/>
    </row>
    <row r="609" spans="1:4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M609"/>
      <c r="AO609"/>
    </row>
    <row r="610" spans="1:4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M610"/>
      <c r="AO610"/>
    </row>
    <row r="611" spans="1:4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M611"/>
      <c r="AO611"/>
    </row>
    <row r="612" spans="1:4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M612"/>
      <c r="AO612"/>
    </row>
    <row r="613" spans="1:4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M613"/>
      <c r="AO613"/>
    </row>
    <row r="614" spans="1:4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M614"/>
      <c r="AO614"/>
    </row>
  </sheetData>
  <autoFilter ref="A12:AG609">
    <sortState ref="A13:AG609">
      <sortCondition ref="AG13:AG216"/>
      <sortCondition ref="AD13:AD216"/>
    </sortState>
  </autoFilter>
  <sortState ref="A13:AN514">
    <sortCondition ref="AG13:AG514"/>
    <sortCondition ref="AD13:AD514"/>
  </sortState>
  <mergeCells count="1">
    <mergeCell ref="A11:P11"/>
  </mergeCells>
  <conditionalFormatting sqref="W11:W12 W615:X1048576 W13:X34 W36 X35:X36 W37:X216">
    <cfRule type="cellIs" dxfId="17" priority="486" operator="equal">
      <formula>"Y"</formula>
    </cfRule>
  </conditionalFormatting>
  <conditionalFormatting sqref="X615:X1048576 X13:X216">
    <cfRule type="cellIs" dxfId="16" priority="469" operator="greaterThan">
      <formula>1</formula>
    </cfRule>
  </conditionalFormatting>
  <conditionalFormatting sqref="X615:X1048576 X12:X216">
    <cfRule type="cellIs" dxfId="15" priority="466" operator="equal">
      <formula>0</formula>
    </cfRule>
  </conditionalFormatting>
  <conditionalFormatting sqref="A13:S34 A36:S216">
    <cfRule type="expression" dxfId="14" priority="460" stopIfTrue="1">
      <formula>$P13&gt;0</formula>
    </cfRule>
    <cfRule type="expression" dxfId="13" priority="461" stopIfTrue="1">
      <formula>$O13&gt;0</formula>
    </cfRule>
  </conditionalFormatting>
  <conditionalFormatting sqref="W35">
    <cfRule type="cellIs" dxfId="10" priority="7" operator="equal">
      <formula>"Y"</formula>
    </cfRule>
  </conditionalFormatting>
  <conditionalFormatting sqref="A35:S35">
    <cfRule type="expression" dxfId="7" priority="2" stopIfTrue="1">
      <formula>$P35&gt;0</formula>
    </cfRule>
    <cfRule type="expression" dxfId="6" priority="3" stopIfTrue="1">
      <formula>$O35&gt;0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A13:S34 A36:S216</xm:sqref>
        </x14:conditionalFormatting>
        <x14:conditionalFormatting xmlns:xm="http://schemas.microsoft.com/office/excel/2006/main">
          <x14:cfRule type="expression" priority="14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A13:S34 A36:S216</xm:sqref>
        </x14:conditionalFormatting>
        <x14:conditionalFormatting xmlns:xm="http://schemas.microsoft.com/office/excel/2006/main">
          <x14:cfRule type="expression" priority="4" stopIfTrue="1" id="{4823DE61-3003-45A6-BFD5-D0F79967E25C}">
            <xm:f>IF($AG35="EC",OR($N35&gt;Variables!$C$2,$N35&lt;Variables!$C$5),OR($N35&gt;Variables!$D$2,$N35&lt;Variables!$D$5))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A35:S35</xm:sqref>
        </x14:conditionalFormatting>
        <x14:conditionalFormatting xmlns:xm="http://schemas.microsoft.com/office/excel/2006/main">
          <x14:cfRule type="expression" priority="1" stopIfTrue="1" id="{87A79FB1-8140-4609-AF64-B82EC27B681C}">
            <xm:f>IF($AG35="EC",OR($N35&gt;Variables!#REF!,$N35&lt;Variables!#REF!),OR($N35&gt;Variables!#REF!,$N35&lt;Variables!#REF!))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A35:S35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4"/>
  <sheetViews>
    <sheetView topLeftCell="A2" zoomScaleNormal="100" workbookViewId="0">
      <selection activeCell="P14" sqref="P1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COUNTIF($O$7:$O$85,"=Y")</f>
        <v>5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COUNTA($O$7:$O$85)-O2</f>
        <v>16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- 2018-01-14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43114.735196759262</v>
      </c>
      <c r="B7" s="30" t="s">
        <v>475</v>
      </c>
      <c r="C7" s="30" t="s">
        <v>691</v>
      </c>
      <c r="D7" s="30" t="s">
        <v>49</v>
      </c>
      <c r="E7" s="30" t="s">
        <v>486</v>
      </c>
      <c r="F7" s="42">
        <v>340</v>
      </c>
      <c r="G7" s="42">
        <v>390</v>
      </c>
      <c r="H7" s="42">
        <v>31903</v>
      </c>
      <c r="I7" s="42">
        <v>32919</v>
      </c>
      <c r="J7" s="30" t="s">
        <v>183</v>
      </c>
      <c r="K7" s="42">
        <v>33137</v>
      </c>
      <c r="L7" s="131" t="s">
        <v>50</v>
      </c>
      <c r="M7" s="132">
        <f>CONVERT((I7-K7)/10000,"mi","ft")*IF(L7="Increasing Mileposts (1)",-1,1)</f>
        <v>115.104</v>
      </c>
      <c r="N7" s="133" t="str">
        <f>VLOOKUP(C7,'Trips&amp;Operators'!$C$1:$G$99911,5,FALSE)</f>
        <v>WEST BRYAN</v>
      </c>
      <c r="O7" s="175" t="s">
        <v>178</v>
      </c>
      <c r="P7" s="239" t="s">
        <v>488</v>
      </c>
      <c r="Q7" s="30"/>
      <c r="R7" s="81" t="str">
        <f>VLOOKUP(C7,'Train Runs'!$A$13:$AE$10268,31,0)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S7" s="84" t="str">
        <f>VLOOKUP(C7,'Train Runs'!$A$13:$AE$10268,22,0)</f>
        <v>https://d0f6bd738d7f1b3e5a7ca70fe4ff75f0.us-east-1.aws.found.io/app/kibana#/discover/Steve-Slow-Train-Analysis-(2080s-and-2083s)?_g=(refreshInterval:(display:Off,pause:!f,section:0,value:0),time:(from:'2018-01-14T16:24:16-0700',mode:absolute,to:'2018-01-14T19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/stypes="*4026*201801150*" /stext=" 00:.+((SYSTEM_STATE.+slice.+state.+changed )|(ment ac)|(multiple cpu faults)|(system.+state.+changed )|(\[timeout)|(PRM\|1\|D)|(kpr)|(kdp)|(train st.+moving)|(\|lc)|(penalty))"</v>
      </c>
      <c r="U7" s="9" t="str">
        <f>MID(B7,13,4)</f>
        <v>4026</v>
      </c>
      <c r="V7" s="31">
        <f>A7-utc_offset/24</f>
        <v>43115.026863425926</v>
      </c>
      <c r="W7" s="45" t="str">
        <f>DetSubdiv(C7)</f>
        <v>EC</v>
      </c>
      <c r="X7" s="22">
        <f>VALUE(LEFT(C7,LEN(C7)-3))</f>
        <v>211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Arrival","project_id":79,"tracker_id":40,"status_id":1,"priority_id":2,"assigned_to_id":338,"start_date":"2018-01-14","description":"","custom_fields":[{"id":1,"name":"Subdivision","value":"EC"},{"id":4,"name":"Milepost","value":"3.3137"},{"id":17,"name":"Train ID","value":"211-14"},{"id":16,"name":"Locomotive ID","value":"4026"},{"id":130,"name":"Impact","value":""},{"id":150,"name":"Time of Event (Mountain Time)","value":"17:38:41"},{"id":151,"name":"Denver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/c/Users/stu/AppData/Local/Temp/OnboardLogs/RTDC4026 --include="*4026*201801150*"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"%USERPROFILE%\AppData\Local\Temp\OnboardLogs"\RTDC4026\*4026*201801150* &gt;&gt; 2018-01-14-SliceDisagreementCheck.txt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4026 --day 2018-01-15</v>
      </c>
    </row>
    <row r="8" spans="1:32" x14ac:dyDescent="0.3">
      <c r="A8" s="31">
        <v>43114.509375000001</v>
      </c>
      <c r="B8" s="30" t="s">
        <v>386</v>
      </c>
      <c r="C8" s="30" t="s">
        <v>684</v>
      </c>
      <c r="D8" s="30" t="s">
        <v>49</v>
      </c>
      <c r="E8" s="30" t="s">
        <v>486</v>
      </c>
      <c r="F8" s="42">
        <v>0</v>
      </c>
      <c r="G8" s="42">
        <v>448</v>
      </c>
      <c r="H8" s="42">
        <v>57024</v>
      </c>
      <c r="I8" s="42">
        <v>58227</v>
      </c>
      <c r="J8" s="30" t="s">
        <v>183</v>
      </c>
      <c r="K8" s="42">
        <v>58118</v>
      </c>
      <c r="L8" s="131" t="s">
        <v>50</v>
      </c>
      <c r="M8" s="132">
        <f>CONVERT((I8-K8)/10000,"mi","ft")*IF(L8="Increasing Mileposts (1)",-1,1)</f>
        <v>-57.552</v>
      </c>
      <c r="N8" s="133" t="str">
        <f>VLOOKUP(C8,'Trips&amp;Operators'!$C$1:$G$99911,5,FALSE)</f>
        <v>CHANDLER KELVIN</v>
      </c>
      <c r="O8" s="175" t="s">
        <v>347</v>
      </c>
      <c r="P8" s="239"/>
      <c r="Q8" s="30"/>
      <c r="R8" s="81" t="str">
        <f>VLOOKUP(C8,'Train Runs'!$A$13:$AE$10268,31,0)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S8" s="84" t="str">
        <f>VLOOKUP(C8,'Train Runs'!$A$13:$AE$10268,22,0)</f>
        <v>https://d0f6bd738d7f1b3e5a7ca70fe4ff75f0.us-east-1.aws.found.io/app/kibana#/discover/Steve-Slow-Train-Analysis-(2080s-and-2083s)?_g=(refreshInterval:(display:Off,pause:!f,section:0,value:0),time:(from:'2018-01-14T10:53:47-0700',mode:absolute,to:'2018-01-14T13:40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/stypes="*4028*201801141*" /stext=" 19:.+((SYSTEM_STATE.+slice.+state.+changed )|(ment ac)|(multiple cpu faults)|(system.+state.+changed )|(\[timeout)|(PRM\|1\|D)|(kpr)|(kdp)|(train st.+moving)|(\|lc)|(penalty))"</v>
      </c>
      <c r="U8" s="9" t="str">
        <f>MID(B8,13,4)</f>
        <v>4028</v>
      </c>
      <c r="V8" s="31">
        <f>A8-utc_offset/24</f>
        <v>43114.801041666666</v>
      </c>
      <c r="W8" s="45" t="str">
        <f>DetSubdiv(C8)</f>
        <v>EC</v>
      </c>
      <c r="X8" s="228">
        <f>VALUE(LEFT(C8,LEN(C8)-3))</f>
        <v>167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{"issue":{"subject":"","project_id":79,"tracker_id":40,"status_id":1,"priority_id":2,"assigned_to_id":338,"start_date":"2018-01-14","description":"","custom_fields":[{"id":1,"name":"Subdivision","value":"EC"},{"id":4,"name":"Milepost","value":"5.8118"},{"id":17,"name":"Train ID","value":"167-14"},{"id":16,"name":"Locomotive ID","value":"4028"},{"id":130,"name":"Impact","value":""},{"id":150,"name":"Time of Event (Mountain Time)","value":"12:13:30"},{"id":151,"name":"Denver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/c/Users/stu/AppData/Local/Temp/OnboardLogs/RTDC4028 --include="*4028*201801141*"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"%USERPROFILE%\AppData\Local\Temp\OnboardLogs"\RTDC4028\*4028*201801141* &gt;&gt; 2018-01-14-SliceDisagreementCheck.txt</v>
      </c>
      <c r="AE8" s="144" t="str">
        <f t="shared" ref="AE8:AE27" si="1">"start /low /b "&amp;dls3logs&amp;" --loco "&amp;U8&amp;" --day "&amp;TEXT(V8,"YYYY-MM-DD")</f>
        <v>start /low /b %USERPROFILE%\Documents\GitHub\eaglep3\Utilities\DownloadLogsFromS3.py --loco 4028 --day 2018-01-14</v>
      </c>
      <c r="AF8" s="1"/>
    </row>
    <row r="9" spans="1:32" x14ac:dyDescent="0.3">
      <c r="A9" s="31">
        <v>43114.739317129628</v>
      </c>
      <c r="B9" s="30" t="s">
        <v>475</v>
      </c>
      <c r="C9" s="30" t="s">
        <v>691</v>
      </c>
      <c r="D9" s="30" t="s">
        <v>49</v>
      </c>
      <c r="E9" s="30" t="s">
        <v>486</v>
      </c>
      <c r="F9" s="42">
        <v>0</v>
      </c>
      <c r="G9" s="42">
        <v>446</v>
      </c>
      <c r="H9" s="42">
        <v>62771</v>
      </c>
      <c r="I9" s="42">
        <v>63736</v>
      </c>
      <c r="J9" s="30" t="s">
        <v>183</v>
      </c>
      <c r="K9" s="42">
        <v>63069</v>
      </c>
      <c r="L9" s="131" t="s">
        <v>50</v>
      </c>
      <c r="M9" s="132">
        <f>CONVERT((I9-K9)/10000,"mi","ft")*IF(L9="Increasing Mileposts (1)",-1,1)</f>
        <v>-352.17599999999999</v>
      </c>
      <c r="N9" s="133" t="str">
        <f>VLOOKUP(C9,'Trips&amp;Operators'!$C$1:$G$99911,5,FALSE)</f>
        <v>WEST BRYAN</v>
      </c>
      <c r="O9" s="175" t="s">
        <v>347</v>
      </c>
      <c r="P9" s="239"/>
      <c r="Q9" s="30"/>
      <c r="R9" s="81" t="str">
        <f>VLOOKUP(C9,'Train Runs'!$A$13:$AE$10268,31,0)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S9" s="84" t="str">
        <f>VLOOKUP(C9,'Train Runs'!$A$13:$AE$10268,22,0)</f>
        <v>https://d0f6bd738d7f1b3e5a7ca70fe4ff75f0.us-east-1.aws.found.io/app/kibana#/discover/Steve-Slow-Train-Analysis-(2080s-and-2083s)?_g=(refreshInterval:(display:Off,pause:!f,section:0,value:0),time:(from:'2018-01-14T16:24:16-0700',mode:absolute,to:'2018-01-14T19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/stypes="*4026*201801150*" /stext=" 00:.+((SYSTEM_STATE.+slice.+state.+changed )|(ment ac)|(multiple cpu faults)|(system.+state.+changed )|(\[timeout)|(PRM\|1\|D)|(kpr)|(kdp)|(train st.+moving)|(\|lc)|(penalty))"</v>
      </c>
      <c r="U9" s="9" t="str">
        <f>MID(B9,13,4)</f>
        <v>4026</v>
      </c>
      <c r="V9" s="31">
        <f>A9-utc_offset/24</f>
        <v>43115.030983796292</v>
      </c>
      <c r="W9" s="45" t="str">
        <f>DetSubdiv(C9)</f>
        <v>EC</v>
      </c>
      <c r="X9" s="228">
        <f>VALUE(LEFT(C9,LEN(C9)-3))</f>
        <v>211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{"issue":{"subject":"","project_id":79,"tracker_id":40,"status_id":1,"priority_id":2,"assigned_to_id":338,"start_date":"2018-01-14","description":"","custom_fields":[{"id":1,"name":"Subdivision","value":"EC"},{"id":4,"name":"Milepost","value":"6.3069"},{"id":17,"name":"Train ID","value":"211-14"},{"id":16,"name":"Locomotive ID","value":"4026"},{"id":130,"name":"Impact","value":""},{"id":150,"name":"Time of Event (Mountain Time)","value":"17:44:37"},{"id":151,"name":"Denver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/c/Users/stu/AppData/Local/Temp/OnboardLogs/RTDC4026 --include="*4026*201801150*"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"%USERPROFILE%\AppData\Local\Temp\OnboardLogs"\RTDC4026\*4026*201801150* &gt;&gt; 2018-01-14-SliceDisagreementCheck.txt</v>
      </c>
      <c r="AE9" s="144" t="str">
        <f t="shared" si="1"/>
        <v>start /low /b %USERPROFILE%\Documents\GitHub\eaglep3\Utilities\DownloadLogsFromS3.py --loco 4026 --day 2018-01-15</v>
      </c>
      <c r="AF9" s="1"/>
    </row>
    <row r="10" spans="1:32" x14ac:dyDescent="0.3">
      <c r="A10" s="31">
        <v>43114.275254629632</v>
      </c>
      <c r="B10" s="30" t="s">
        <v>473</v>
      </c>
      <c r="C10" s="30" t="s">
        <v>681</v>
      </c>
      <c r="D10" s="30" t="s">
        <v>95</v>
      </c>
      <c r="E10" s="30" t="s">
        <v>486</v>
      </c>
      <c r="F10" s="42">
        <v>220</v>
      </c>
      <c r="G10" s="42">
        <v>276</v>
      </c>
      <c r="H10" s="42">
        <v>63279</v>
      </c>
      <c r="I10" s="42">
        <v>62832</v>
      </c>
      <c r="J10" s="30" t="s">
        <v>183</v>
      </c>
      <c r="K10" s="42">
        <v>63309</v>
      </c>
      <c r="L10" s="131" t="s">
        <v>51</v>
      </c>
      <c r="M10" s="132">
        <f>CONVERT((I10-K10)/10000,"mi","ft")*IF(L10="Increasing Mileposts (1)",-1,1)</f>
        <v>-251.85599999999999</v>
      </c>
      <c r="N10" s="133" t="str">
        <f>VLOOKUP(C10,'Trips&amp;Operators'!$C$1:$G$99911,5,FALSE)</f>
        <v>LORI SANTOS</v>
      </c>
      <c r="O10" s="175" t="s">
        <v>178</v>
      </c>
      <c r="P10" s="239" t="s">
        <v>488</v>
      </c>
      <c r="Q10" s="30"/>
      <c r="R10" s="81" t="str">
        <f>VLOOKUP(C10,'Train Runs'!$A$13:$AE$10268,31,0)</f>
        <v>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 &amp; aws s3 cp s3://rtdc.mdm.uploadarchive.raw/RTDC4025/ "%USERPROFILE%\AppData\Local\Temp\OnboardLogs"\RTDC4025\2018-01-15 --exclude "*" --recursive --include "*20180115*" &amp; "%USERPROFILE%\Documents\GitHub\mrs-test-scripts\Headless Mode &amp; Sideloading\WalkAndUnGZ.bat" "%USERPROFILE%\AppData\Local\Temp\OnboardLogs"\RTDC4025\2018-01-15</v>
      </c>
      <c r="S10" s="84" t="str">
        <f>VLOOKUP(C10,'Train Runs'!$A$13:$AE$10268,22,0)</f>
        <v>https://d0f6bd738d7f1b3e5a7ca70fe4ff75f0.us-east-1.aws.found.io/app/kibana#/discover/Steve-Slow-Train-Analysis-(2080s-and-2083s)?_g=(refreshInterval:(display:Off,pause:!f,section:0,value:0),time:(from:'2018-01-14T05:08:58-0700',mode:absolute,to:'2018-01-14T07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/stypes="*4025*201801141*" /stext=" 13:.+((SYSTEM_STATE.+slice.+state.+changed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43114.566921296297</v>
      </c>
      <c r="W10" s="45" t="str">
        <f>DetSubdiv(C10)</f>
        <v>EC</v>
      </c>
      <c r="X10" s="228">
        <f>VALUE(LEFT(C10,LEN(C10)-3))</f>
        <v>114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Arrival","project_id":79,"tracker_id":40,"status_id":1,"priority_id":2,"assigned_to_id":338,"start_date":"2018-01-14","description":"","custom_fields":[{"id":1,"name":"Subdivision","value":"EC"},{"id":4,"name":"Milepost","value":"6.3309"},{"id":17,"name":"Train ID","value":"114-14"},{"id":16,"name":"Locomotive ID","value":"4025"},{"id":130,"name":"Impact","value":""},{"id":150,"name":"Time of Event (Mountain Time)","value":"06:36:22"},{"id":151,"name":"Denver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/c/Users/stu/AppData/Local/Temp/OnboardLogs/RTDC4025 --include="*4025*201801141*"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"%USERPROFILE%\AppData\Local\Temp\OnboardLogs"\RTDC4025\*4025*201801141* &gt;&gt; 2018-01-14-SliceDisagreementCheck.txt</v>
      </c>
      <c r="AE10" s="144" t="str">
        <f t="shared" si="1"/>
        <v>start /low /b %USERPROFILE%\Documents\GitHub\eaglep3\Utilities\DownloadLogsFromS3.py --loco 4025 --day 2018-01-14</v>
      </c>
      <c r="AF10" s="1"/>
    </row>
    <row r="11" spans="1:32" x14ac:dyDescent="0.3">
      <c r="A11" s="31">
        <v>43114.795416666668</v>
      </c>
      <c r="B11" s="30" t="s">
        <v>359</v>
      </c>
      <c r="C11" s="30" t="s">
        <v>694</v>
      </c>
      <c r="D11" s="30" t="s">
        <v>49</v>
      </c>
      <c r="E11" s="30" t="s">
        <v>486</v>
      </c>
      <c r="F11" s="42">
        <v>260</v>
      </c>
      <c r="G11" s="42">
        <v>318</v>
      </c>
      <c r="H11" s="42">
        <v>63365</v>
      </c>
      <c r="I11" s="42">
        <v>62737</v>
      </c>
      <c r="J11" s="30" t="s">
        <v>183</v>
      </c>
      <c r="K11" s="42">
        <v>63309</v>
      </c>
      <c r="L11" s="131" t="s">
        <v>51</v>
      </c>
      <c r="M11" s="132">
        <f>CONVERT((I11-K11)/10000,"mi","ft")*IF(L11="Increasing Mileposts (1)",-1,1)</f>
        <v>-302.01600000000002</v>
      </c>
      <c r="N11" s="133" t="str">
        <f>VLOOKUP(C11,'Trips&amp;Operators'!$C$1:$G$99911,5,FALSE)</f>
        <v>PAGE MARCUS</v>
      </c>
      <c r="O11" s="175" t="s">
        <v>178</v>
      </c>
      <c r="P11" s="239" t="s">
        <v>488</v>
      </c>
      <c r="Q11" s="30"/>
      <c r="R11" s="81" t="str">
        <f>VLOOKUP(C11,'Train Runs'!$A$13:$AE$10268,31,0)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S11" s="84" t="str">
        <f>VLOOKUP(C11,'Train Runs'!$A$13:$AE$10268,22,0)</f>
        <v>https://d0f6bd738d7f1b3e5a7ca70fe4ff75f0.us-east-1.aws.found.io/app/kibana#/discover/Steve-Slow-Train-Analysis-(2080s-and-2083s)?_g=(refreshInterval:(display:Off,pause:!f,section:0,value:0),time:(from:'2018-01-14T17:21:39-0700',mode:absolute,to:'2018-01-14T20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/stypes="*4017*201801150*" /stext=" 02:.+((SYSTEM_STATE.+slice.+state.+changed )|(ment ac)|(multiple cpu faults)|(system.+state.+changed )|(\[timeout)|(PRM\|1\|D)|(kpr)|(kdp)|(train st.+moving)|(\|lc)|(penalty))"</v>
      </c>
      <c r="U11" s="9" t="str">
        <f>MID(B11,13,4)</f>
        <v>4017</v>
      </c>
      <c r="V11" s="31">
        <f>A11-utc_offset/24</f>
        <v>43115.087083333332</v>
      </c>
      <c r="W11" s="45" t="str">
        <f>DetSubdiv(C11)</f>
        <v>EC</v>
      </c>
      <c r="X11" s="228">
        <f>VALUE(LEFT(C11,LEN(C11)-3))</f>
        <v>214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Arrival","project_id":79,"tracker_id":40,"status_id":1,"priority_id":2,"assigned_to_id":338,"start_date":"2018-01-14","description":"","custom_fields":[{"id":1,"name":"Subdivision","value":"EC"},{"id":4,"name":"Milepost","value":"6.3309"},{"id":17,"name":"Train ID","value":"214-14"},{"id":16,"name":"Locomotive ID","value":"4017"},{"id":130,"name":"Impact","value":""},{"id":150,"name":"Time of Event (Mountain Time)","value":"19:05:24"},{"id":151,"name":"Denver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/c/Users/stu/AppData/Local/Temp/OnboardLogs/RTDC4017 --include="*4017*201801150*"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"%USERPROFILE%\AppData\Local\Temp\OnboardLogs"\RTDC4017\*4017*201801150* &gt;&gt; 2018-01-14-SliceDisagreementCheck.txt</v>
      </c>
      <c r="AE11" s="144" t="str">
        <f t="shared" si="1"/>
        <v>start /low /b %USERPROFILE%\Documents\GitHub\eaglep3\Utilities\DownloadLogsFromS3.py --loco 4017 --day 2018-01-15</v>
      </c>
      <c r="AF11" s="1"/>
    </row>
    <row r="12" spans="1:32" x14ac:dyDescent="0.3">
      <c r="A12" s="31">
        <v>43114.794490740744</v>
      </c>
      <c r="B12" s="30" t="s">
        <v>386</v>
      </c>
      <c r="C12" s="30" t="s">
        <v>693</v>
      </c>
      <c r="D12" s="30" t="s">
        <v>49</v>
      </c>
      <c r="E12" s="30" t="s">
        <v>189</v>
      </c>
      <c r="F12" s="42">
        <v>400</v>
      </c>
      <c r="G12" s="42">
        <v>458</v>
      </c>
      <c r="H12" s="42">
        <v>17226</v>
      </c>
      <c r="I12" s="42">
        <v>18037</v>
      </c>
      <c r="J12" s="30" t="s">
        <v>190</v>
      </c>
      <c r="K12" s="42">
        <v>17867</v>
      </c>
      <c r="L12" s="131" t="s">
        <v>50</v>
      </c>
      <c r="M12" s="132">
        <f>CONVERT((I12-K12)/10000,"mi","ft")*IF(L12="Increasing Mileposts (1)",-1,1)</f>
        <v>-89.76</v>
      </c>
      <c r="N12" s="133" t="str">
        <f>VLOOKUP(C12,'Trips&amp;Operators'!$C$1:$G$99911,5,FALSE)</f>
        <v>MAGEE KENYA</v>
      </c>
      <c r="O12" s="175" t="s">
        <v>178</v>
      </c>
      <c r="P12" s="239"/>
      <c r="Q12" s="30"/>
      <c r="R12" s="81" t="str">
        <f>VLOOKUP(C12,'Train Runs'!$A$13:$AE$10268,31,0)</f>
        <v>aws s3 cp s3://rtdc.mdm.uploadarchive.raw/RTDC4028/ "%USERPROFILE%\AppData\Local\Temp\OnboardLogs"\RTDC4028\2018-01-14 --exclude "*" --recursive --include "*20180114*" &amp; "%USERPROFILE%\Documents\GitHub\mrs-test-scripts\Headless Mode &amp; Sideloading\WalkAndUnGZ.bat" "%USERPROFILE%\AppData\Local\Temp\OnboardLogs"\RTDC4028\2018-01-14 &amp; aws s3 cp s3://rtdc.mdm.uploadarchive.raw/RTDC4028/ "%USERPROFILE%\AppData\Local\Temp\OnboardLogs"\RTDC4028\2018-01-15 --exclude "*" --recursive --include "*20180115*" &amp; "%USERPROFILE%\Documents\GitHub\mrs-test-scripts\Headless Mode &amp; Sideloading\WalkAndUnGZ.bat" "%USERPROFILE%\AppData\Local\Temp\OnboardLogs"\RTDC4028\2018-01-15</v>
      </c>
      <c r="S12" s="84" t="str">
        <f>VLOOKUP(C12,'Train Runs'!$A$13:$AE$10268,22,0)</f>
        <v>https://d0f6bd738d7f1b3e5a7ca70fe4ff75f0.us-east-1.aws.found.io/app/kibana#/discover/Steve-Slow-Train-Analysis-(2080s-and-2083s)?_g=(refreshInterval:(display:Off,pause:!f,section:0,value:0),time:(from:'2018-01-14T17:52:16-0700',mode:absolute,to:'2018-01-14T20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/stypes="*4028*201801150*" /stext=" 02:.+((SYSTEM_STATE.+slice.+state.+changed )|(ment ac)|(multiple cpu faults)|(system.+state.+changed )|(\[timeout)|(PRM\|1\|D)|(kpr)|(kdp)|(train st.+moving)|(\|lc)|(penalty))"</v>
      </c>
      <c r="U12" s="9" t="str">
        <f>MID(B12,13,4)</f>
        <v>4028</v>
      </c>
      <c r="V12" s="31">
        <f>A12-utc_offset/24</f>
        <v>43115.086157407408</v>
      </c>
      <c r="W12" s="45" t="str">
        <f>DetSubdiv(C12)</f>
        <v>EC</v>
      </c>
      <c r="X12" s="228">
        <f>VALUE(LEFT(C12,LEN(C12)-3))</f>
        <v>221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{"issue":{"subject":"","project_id":79,"tracker_id":40,"status_id":1,"priority_id":2,"assigned_to_id":338,"start_date":"2018-01-14","description":"","custom_fields":[{"id":1,"name":"Subdivision","value":"EC"},{"id":4,"name":"Milepost","value":"1.7867"},{"id":17,"name":"Train ID","value":"221-14"},{"id":16,"name":"Locomotive ID","value":"4028"},{"id":130,"name":"Impact","value":""},{"id":150,"name":"Time of Event (Mountain Time)","value":"19:04:04"},{"id":151,"name":"Denver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/c/Users/stu/AppData/Local/Temp/OnboardLogs/RTDC4028 --include="*4028*201801150*"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"%USERPROFILE%\AppData\Local\Temp\OnboardLogs"\RTDC4028\*4028*201801150* &gt;&gt; 2018-01-14-SliceDisagreementCheck.txt</v>
      </c>
      <c r="AE12" s="144" t="str">
        <f t="shared" si="1"/>
        <v>start /low /b %USERPROFILE%\Documents\GitHub\eaglep3\Utilities\DownloadLogsFromS3.py --loco 4028 --day 2018-01-15</v>
      </c>
      <c r="AF12" s="1"/>
    </row>
    <row r="13" spans="1:32" x14ac:dyDescent="0.3">
      <c r="A13" s="31">
        <v>43114.519120370373</v>
      </c>
      <c r="B13" s="30" t="s">
        <v>475</v>
      </c>
      <c r="C13" s="30" t="s">
        <v>686</v>
      </c>
      <c r="D13" s="30" t="s">
        <v>95</v>
      </c>
      <c r="E13" s="30" t="s">
        <v>353</v>
      </c>
      <c r="F13" s="42">
        <v>0</v>
      </c>
      <c r="G13" s="42">
        <v>535</v>
      </c>
      <c r="H13" s="42">
        <v>57513</v>
      </c>
      <c r="I13" s="42">
        <v>59435</v>
      </c>
      <c r="J13" s="30" t="s">
        <v>354</v>
      </c>
      <c r="K13" s="42">
        <v>56883</v>
      </c>
      <c r="L13" s="131" t="s">
        <v>50</v>
      </c>
      <c r="M13" s="132">
        <f>CONVERT((I13-K13)/10000,"mi","ft")*IF(L13="Increasing Mileposts (1)",-1,1)</f>
        <v>-1347.4559999999999</v>
      </c>
      <c r="N13" s="133" t="str">
        <f>VLOOKUP(C13,'Trips&amp;Operators'!$C$1:$G$99911,5,FALSE)</f>
        <v>WEST BRYAN</v>
      </c>
      <c r="O13" s="175" t="s">
        <v>347</v>
      </c>
      <c r="P13" s="239" t="s">
        <v>1067</v>
      </c>
      <c r="Q13" s="30"/>
      <c r="R13" s="81" t="str">
        <f>VLOOKUP(C13,'Train Runs'!$A$13:$AE$10268,31,0)</f>
        <v>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 &amp; aws s3 cp s3://rtdc.mdm.uploadarchive.raw/RTDC4026/ "%USERPROFILE%\AppData\Local\Temp\OnboardLogs"\RTDC4026\2018-01-15 --exclude "*" --recursive --include "*20180115*" &amp; "%USERPROFILE%\Documents\GitHub\mrs-test-scripts\Headless Mode &amp; Sideloading\WalkAndUnGZ.bat" "%USERPROFILE%\AppData\Local\Temp\OnboardLogs"\RTDC4026\2018-01-15</v>
      </c>
      <c r="S13" s="84" t="str">
        <f>VLOOKUP(C13,'Train Runs'!$A$13:$AE$10268,22,0)</f>
        <v>https://d0f6bd738d7f1b3e5a7ca70fe4ff75f0.us-east-1.aws.found.io/app/kibana#/discover/Steve-Slow-Train-Analysis-(2080s-and-2083s)?_g=(refreshInterval:(display:Off,pause:!f,section:0,value:0),time:(from:'2018-01-14T11:29:50-0700',mode:absolute,to:'2018-01-14T13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/stypes="*4026*201801141*" /stext=" 19:.+((SYSTEM_STATE.+slice.+state.+changed )|(ment ac)|(multiple cpu faults)|(system.+state.+changed )|(\[timeout)|(PRM\|1\|D)|(kpr)|(kdp)|(train st.+moving)|(\|lc)|(penalty))"</v>
      </c>
      <c r="U13" s="9" t="str">
        <f>MID(B13,13,4)</f>
        <v>4026</v>
      </c>
      <c r="V13" s="31">
        <f>A13-utc_offset/24</f>
        <v>43114.810787037037</v>
      </c>
      <c r="W13" s="45" t="str">
        <f>DetSubdiv(C13)</f>
        <v>EC</v>
      </c>
      <c r="X13" s="228">
        <f>VALUE(LEFT(C13,LEN(C13)-3))</f>
        <v>169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{"issue":{"subject":"Premature downgrade CP Quebec 2N","project_id":79,"tracker_id":40,"status_id":1,"priority_id":2,"assigned_to_id":338,"start_date":"2018-01-14","description":"","custom_fields":[{"id":1,"name":"Subdivision","value":"EC"},{"id":4,"name":"Milepost","value":"5.6883"},{"id":17,"name":"Train ID","value":"169-14"},{"id":16,"name":"Locomotive ID","value":"4026"},{"id":130,"name":"Impact","value":""},{"id":150,"name":"Time of Event (Mountain Time)","value":"12:27:32"},{"id":151,"name":"Denver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/c/Users/stu/AppData/Local/Temp/OnboardLogs/RTDC4026 --include="*4026*201801141*"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"%USERPROFILE%\AppData\Local\Temp\OnboardLogs"\RTDC4026\*4026*201801141* &gt;&gt; 2018-01-14-SliceDisagreementCheck.txt</v>
      </c>
      <c r="AE13" s="144" t="str">
        <f t="shared" si="1"/>
        <v>start /low /b %USERPROFILE%\Documents\GitHub\eaglep3\Utilities\DownloadLogsFromS3.py --loco 4026 --day 2018-01-14</v>
      </c>
      <c r="AF13" s="1"/>
    </row>
    <row r="14" spans="1:32" s="223" customFormat="1" x14ac:dyDescent="0.3">
      <c r="A14" s="31">
        <v>43114.27952546296</v>
      </c>
      <c r="B14" s="30" t="s">
        <v>508</v>
      </c>
      <c r="C14" s="30" t="s">
        <v>682</v>
      </c>
      <c r="D14" s="30" t="s">
        <v>49</v>
      </c>
      <c r="E14" s="30" t="s">
        <v>444</v>
      </c>
      <c r="F14" s="42">
        <v>0</v>
      </c>
      <c r="G14" s="42">
        <v>490</v>
      </c>
      <c r="H14" s="42">
        <v>55821</v>
      </c>
      <c r="I14" s="42">
        <v>57157</v>
      </c>
      <c r="J14" s="30" t="s">
        <v>445</v>
      </c>
      <c r="K14" s="42">
        <v>56976</v>
      </c>
      <c r="L14" s="131" t="s">
        <v>50</v>
      </c>
      <c r="M14" s="132">
        <f>CONVERT((I14-K14)/10000,"mi","ft")*IF(L14="Increasing Mileposts (1)",-1,1)</f>
        <v>-95.567999999999998</v>
      </c>
      <c r="N14" s="133" t="str">
        <f>VLOOKUP(C14,'Trips&amp;Operators'!$C$1:$G$99911,5,FALSE)</f>
        <v>GEBRETEKLE DAGNEW</v>
      </c>
      <c r="O14" s="175" t="s">
        <v>347</v>
      </c>
      <c r="P14" s="239" t="s">
        <v>434</v>
      </c>
      <c r="Q14" s="30"/>
      <c r="R14" s="81" t="str">
        <f>VLOOKUP(C14,'Train Runs'!$A$13:$AE$10268,31,0)</f>
        <v>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 &amp; aws s3 cp s3://rtdc.mdm.uploadarchive.raw/RTDC4040/ "%USERPROFILE%\AppData\Local\Temp\OnboardLogs"\RTDC4040\2018-01-15 --exclude "*" --recursive --include "*20180115*" &amp; "%USERPROFILE%\Documents\GitHub\mrs-test-scripts\Headless Mode &amp; Sideloading\WalkAndUnGZ.bat" "%USERPROFILE%\AppData\Local\Temp\OnboardLogs"\RTDC4040\2018-01-15</v>
      </c>
      <c r="S14" s="84" t="str">
        <f>VLOOKUP(C14,'Train Runs'!$A$13:$AE$10268,22,0)</f>
        <v>https://d0f6bd738d7f1b3e5a7ca70fe4ff75f0.us-east-1.aws.found.io/app/kibana#/discover/Steve-Slow-Train-Analysis-(2080s-and-2083s)?_g=(refreshInterval:(display:Off,pause:!f,section:0,value:0),time:(from:'2018-01-14T05:45:00-0700',mode:absolute,to:'2018-01-14T07:42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/stypes="*4040*201801141*" /stext=" 13:.+((SYSTEM_STATE.+slice.+state.+changed )|(ment ac)|(multiple cpu faults)|(system.+state.+changed )|(\[timeout)|(PRM\|1\|D)|(kpr)|(kdp)|(train st.+moving)|(\|lc)|(penalty))"</v>
      </c>
      <c r="U14" s="9" t="str">
        <f>MID(B14,13,4)</f>
        <v>4040</v>
      </c>
      <c r="V14" s="31">
        <f>A14-utc_offset/24</f>
        <v>43114.571192129624</v>
      </c>
      <c r="W14" s="45" t="str">
        <f>DetSubdiv(C14)</f>
        <v>EC</v>
      </c>
      <c r="X14" s="228">
        <f>VALUE(LEFT(C14,LEN(C14)-3))</f>
        <v>123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drop","project_id":79,"tracker_id":40,"status_id":1,"priority_id":2,"assigned_to_id":338,"start_date":"2018-01-14","description":"","custom_fields":[{"id":1,"name":"Subdivision","value":"EC"},{"id":4,"name":"Milepost","value":"5.6976"},{"id":17,"name":"Train ID","value":"123-14"},{"id":16,"name":"Locomotive ID","value":"4040"},{"id":130,"name":"Impact","value":""},{"id":150,"name":"Time of Event (Mountain Time)","value":"06:42:31"},{"id":151,"name":"Denver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/c/Users/stu/AppData/Local/Temp/OnboardLogs/RTDC4040 --include="*4040*201801141*"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"%USERPROFILE%\AppData\Local\Temp\OnboardLogs"\RTDC4040\*4040*201801141* &gt;&gt; 2018-01-14-SliceDisagreementCheck.txt</v>
      </c>
      <c r="AE14" s="144" t="str">
        <f t="shared" si="1"/>
        <v>start /low /b %USERPROFILE%\Documents\GitHub\eaglep3\Utilities\DownloadLogsFromS3.py --loco 4040 --day 2018-01-14</v>
      </c>
      <c r="AF14" s="1"/>
    </row>
    <row r="15" spans="1:32" x14ac:dyDescent="0.3">
      <c r="A15" s="31">
        <v>43114.409444444442</v>
      </c>
      <c r="B15" s="30" t="s">
        <v>507</v>
      </c>
      <c r="C15" s="30" t="s">
        <v>683</v>
      </c>
      <c r="D15" s="30" t="s">
        <v>49</v>
      </c>
      <c r="E15" s="30" t="s">
        <v>562</v>
      </c>
      <c r="F15" s="42">
        <v>0</v>
      </c>
      <c r="G15" s="42">
        <v>157</v>
      </c>
      <c r="H15" s="42">
        <v>954</v>
      </c>
      <c r="I15" s="42">
        <v>734</v>
      </c>
      <c r="J15" s="30" t="s">
        <v>563</v>
      </c>
      <c r="K15" s="42">
        <v>1</v>
      </c>
      <c r="L15" s="131" t="s">
        <v>51</v>
      </c>
      <c r="M15" s="132">
        <f>CONVERT((I15-K15)/10000,"mi","ft")*IF(L15="Increasing Mileposts (1)",-1,1)</f>
        <v>387.024</v>
      </c>
      <c r="N15" s="133" t="str">
        <f>VLOOKUP(C15,'Trips&amp;Operators'!$C$1:$G$99911,5,FALSE)</f>
        <v>GEBRETEKLE DAGNEW</v>
      </c>
      <c r="O15" s="175" t="s">
        <v>178</v>
      </c>
      <c r="P15" s="239"/>
      <c r="Q15" s="30"/>
      <c r="R15" s="81" t="str">
        <f>VLOOKUP(C15,'Train Runs'!$A$13:$AE$10268,31,0)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S15" s="84" t="str">
        <f>VLOOKUP(C15,'Train Runs'!$A$13:$AE$10268,22,0)</f>
        <v>https://d0f6bd738d7f1b3e5a7ca70fe4ff75f0.us-east-1.aws.found.io/app/kibana#/discover/Steve-Slow-Train-Analysis-(2080s-and-2083s)?_g=(refreshInterval:(display:Off,pause:!f,section:0,value:0),time:(from:'2018-01-14T07:51:32-0700',mode:absolute,to:'2018-01-14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/stypes="*4039*201801141*" /stext=" 16:.+((SYSTEM_STATE.+slice.+state.+changed )|(ment ac)|(multiple cpu faults)|(system.+state.+changed )|(\[timeout)|(PRM\|1\|D)|(kpr)|(kdp)|(train st.+moving)|(\|lc)|(penalty))"</v>
      </c>
      <c r="U15" s="9" t="str">
        <f>MID(B15,13,4)</f>
        <v>4039</v>
      </c>
      <c r="V15" s="31">
        <f>A15-utc_offset/24</f>
        <v>43114.701111111106</v>
      </c>
      <c r="W15" s="45" t="str">
        <f>DetSubdiv(C15)</f>
        <v>EC</v>
      </c>
      <c r="X15" s="228">
        <f>VALUE(LEFT(C15,LEN(C15)-3))</f>
        <v>138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{"issue":{"subject":"","project_id":79,"tracker_id":40,"status_id":1,"priority_id":2,"assigned_to_id":338,"start_date":"2018-01-14","description":"","custom_fields":[{"id":1,"name":"Subdivision","value":"EC"},{"id":4,"name":"Milepost","value":"0.0001"},{"id":17,"name":"Train ID","value":"138-14"},{"id":16,"name":"Locomotive ID","value":"4039"},{"id":130,"name":"Impact","value":""},{"id":150,"name":"Time of Event (Mountain Time)","value":"09:49:36"},{"id":151,"name":"Denver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/c/Users/stu/AppData/Local/Temp/OnboardLogs/RTDC4039 --include="*4039*201801141*"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"%USERPROFILE%\AppData\Local\Temp\OnboardLogs"\RTDC4039\*4039*201801141* &gt;&gt; 2018-01-14-SliceDisagreementCheck.txt</v>
      </c>
      <c r="AE15" s="144" t="str">
        <f t="shared" si="1"/>
        <v>start /low /b %USERPROFILE%\Documents\GitHub\eaglep3\Utilities\DownloadLogsFromS3.py --loco 4039 --day 2018-01-14</v>
      </c>
      <c r="AF15" s="1"/>
    </row>
    <row r="16" spans="1:32" x14ac:dyDescent="0.3">
      <c r="A16" s="31">
        <v>43114.514201388891</v>
      </c>
      <c r="B16" s="30" t="s">
        <v>359</v>
      </c>
      <c r="C16" s="30" t="s">
        <v>685</v>
      </c>
      <c r="D16" s="30" t="s">
        <v>49</v>
      </c>
      <c r="E16" s="30" t="s">
        <v>562</v>
      </c>
      <c r="F16" s="42">
        <v>0</v>
      </c>
      <c r="G16" s="42">
        <v>160</v>
      </c>
      <c r="H16" s="42">
        <v>622</v>
      </c>
      <c r="I16" s="42">
        <v>398</v>
      </c>
      <c r="J16" s="30" t="s">
        <v>563</v>
      </c>
      <c r="K16" s="42">
        <v>1</v>
      </c>
      <c r="L16" s="131" t="s">
        <v>51</v>
      </c>
      <c r="M16" s="132">
        <f>CONVERT((I16-K16)/10000,"mi","ft")*IF(L16="Increasing Mileposts (1)",-1,1)</f>
        <v>209.61600000000001</v>
      </c>
      <c r="N16" s="133" t="str">
        <f>VLOOKUP(C16,'Trips&amp;Operators'!$C$1:$G$99911,5,FALSE)</f>
        <v>STEWART MICHAEL</v>
      </c>
      <c r="O16" s="175" t="s">
        <v>178</v>
      </c>
      <c r="P16" s="239"/>
      <c r="Q16" s="30"/>
      <c r="R16" s="81" t="str">
        <f>VLOOKUP(C16,'Train Runs'!$A$13:$AE$10268,31,0)</f>
        <v>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 &amp; aws s3 cp s3://rtdc.mdm.uploadarchive.raw/RTDC4017/ "%USERPROFILE%\AppData\Local\Temp\OnboardLogs"\RTDC4017\2018-01-15 --exclude "*" --recursive --include "*20180115*" &amp; "%USERPROFILE%\Documents\GitHub\mrs-test-scripts\Headless Mode &amp; Sideloading\WalkAndUnGZ.bat" "%USERPROFILE%\AppData\Local\Temp\OnboardLogs"\RTDC4017\2018-01-15</v>
      </c>
      <c r="S16" s="84" t="str">
        <f>VLOOKUP(C16,'Train Runs'!$A$13:$AE$10268,22,0)</f>
        <v>https://d0f6bd738d7f1b3e5a7ca70fe4ff75f0.us-east-1.aws.found.io/app/kibana#/discover/Steve-Slow-Train-Analysis-(2080s-and-2083s)?_g=(refreshInterval:(display:Off,pause:!f,section:0,value:0),time:(from:'2018-01-14T10:30:26-0700',mode:absolute,to:'2018-01-14T13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/stypes="*4017*201801141*" /stext=" 19:.+((SYSTEM_STATE.+slice.+state.+changed )|(ment ac)|(multiple cpu faults)|(system.+state.+changed )|(\[timeout)|(PRM\|1\|D)|(kpr)|(kdp)|(train st.+moving)|(\|lc)|(penalty))"</v>
      </c>
      <c r="U16" s="9" t="str">
        <f>MID(B16,13,4)</f>
        <v>4017</v>
      </c>
      <c r="V16" s="31">
        <f>A16-utc_offset/24</f>
        <v>43114.805868055555</v>
      </c>
      <c r="W16" s="45" t="str">
        <f>DetSubdiv(C16)</f>
        <v>EC</v>
      </c>
      <c r="X16" s="228">
        <f>VALUE(LEFT(C16,LEN(C16)-3))</f>
        <v>158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{"issue":{"subject":"","project_id":79,"tracker_id":40,"status_id":1,"priority_id":2,"assigned_to_id":338,"start_date":"2018-01-14","description":"","custom_fields":[{"id":1,"name":"Subdivision","value":"EC"},{"id":4,"name":"Milepost","value":"0.0001"},{"id":17,"name":"Train ID","value":"158-14"},{"id":16,"name":"Locomotive ID","value":"4017"},{"id":130,"name":"Impact","value":""},{"id":150,"name":"Time of Event (Mountain Time)","value":"12:20:27"},{"id":151,"name":"Denver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/c/Users/stu/AppData/Local/Temp/OnboardLogs/RTDC4017 --include="*4017*201801141*"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"%USERPROFILE%\AppData\Local\Temp\OnboardLogs"\RTDC4017\*4017*201801141* &gt;&gt; 2018-01-14-SliceDisagreementCheck.txt</v>
      </c>
      <c r="AE16" s="144" t="str">
        <f t="shared" si="1"/>
        <v>start /low /b %USERPROFILE%\Documents\GitHub\eaglep3\Utilities\DownloadLogsFromS3.py --loco 4017 --day 2018-01-14</v>
      </c>
      <c r="AF16" s="1"/>
    </row>
    <row r="17" spans="1:32" x14ac:dyDescent="0.3">
      <c r="A17" s="31">
        <v>43114.778194444443</v>
      </c>
      <c r="B17" s="30" t="s">
        <v>507</v>
      </c>
      <c r="C17" s="30" t="s">
        <v>692</v>
      </c>
      <c r="D17" s="30" t="s">
        <v>49</v>
      </c>
      <c r="E17" s="30" t="s">
        <v>562</v>
      </c>
      <c r="F17" s="42">
        <v>0</v>
      </c>
      <c r="G17" s="42">
        <v>86</v>
      </c>
      <c r="H17" s="42">
        <v>316</v>
      </c>
      <c r="I17" s="42">
        <v>221</v>
      </c>
      <c r="J17" s="30" t="s">
        <v>563</v>
      </c>
      <c r="K17" s="42">
        <v>1</v>
      </c>
      <c r="L17" s="131" t="s">
        <v>51</v>
      </c>
      <c r="M17" s="132">
        <f>CONVERT((I17-K17)/10000,"mi","ft")*IF(L17="Increasing Mileposts (1)",-1,1)</f>
        <v>116.16</v>
      </c>
      <c r="N17" s="133" t="str">
        <f>VLOOKUP(C17,'Trips&amp;Operators'!$C$1:$G$99911,5,FALSE)</f>
        <v>BADERTSCHER DIANE</v>
      </c>
      <c r="O17" s="175" t="s">
        <v>178</v>
      </c>
      <c r="P17" s="239"/>
      <c r="Q17" s="30"/>
      <c r="R17" s="81" t="str">
        <f>VLOOKUP(C17,'Train Runs'!$A$13:$AE$10268,31,0)</f>
        <v>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 &amp; aws s3 cp s3://rtdc.mdm.uploadarchive.raw/RTDC4039/ "%USERPROFILE%\AppData\Local\Temp\OnboardLogs"\RTDC4039\2018-01-15 --exclude "*" --recursive --include "*20180115*" &amp; "%USERPROFILE%\Documents\GitHub\mrs-test-scripts\Headless Mode &amp; Sideloading\WalkAndUnGZ.bat" "%USERPROFILE%\AppData\Local\Temp\OnboardLogs"\RTDC4039\2018-01-15</v>
      </c>
      <c r="S17" s="84" t="str">
        <f>VLOOKUP(C17,'Train Runs'!$A$13:$AE$10268,22,0)</f>
        <v>https://d0f6bd738d7f1b3e5a7ca70fe4ff75f0.us-east-1.aws.found.io/app/kibana#/discover/Steve-Slow-Train-Analysis-(2080s-and-2083s)?_g=(refreshInterval:(display:Off,pause:!f,section:0,value:0),time:(from:'2018-01-14T16:49:37-0700',mode:absolute,to:'2018-01-14T19:40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/stypes="*4039*201801150*" /stext=" 01:.+((SYSTEM_STATE.+slice.+state.+changed )|(ment ac)|(multiple cpu faults)|(system.+state.+changed )|(\[timeout)|(PRM\|1\|D)|(kpr)|(kdp)|(train st.+moving)|(\|lc)|(penalty))"</v>
      </c>
      <c r="U17" s="9" t="str">
        <f>MID(B17,13,4)</f>
        <v>4039</v>
      </c>
      <c r="V17" s="31">
        <f>A17-utc_offset/24</f>
        <v>43115.069861111107</v>
      </c>
      <c r="W17" s="45" t="str">
        <f>DetSubdiv(C17)</f>
        <v>EC</v>
      </c>
      <c r="X17" s="228">
        <f>VALUE(LEFT(C17,LEN(C17)-3))</f>
        <v>208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/c/Users/stu/AppData/Local/Temp/OnboardLogs/RTDC4039 --include="*4039*201801150*"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"%USERPROFILE%\AppData\Local\Temp\OnboardLogs"\RTDC4039\*4039*201801150* &gt;&gt; 2018-01-14-SliceDisagreementCheck.txt</v>
      </c>
      <c r="AE17" s="144" t="str">
        <f t="shared" si="1"/>
        <v>start /low /b %USERPROFILE%\Documents\GitHub\eaglep3\Utilities\DownloadLogsFromS3.py --loco 4039 --day 2018-01-15</v>
      </c>
      <c r="AF17" s="1"/>
    </row>
    <row r="18" spans="1:32" x14ac:dyDescent="0.3">
      <c r="A18" s="31">
        <v>43114.635081018518</v>
      </c>
      <c r="B18" s="30" t="s">
        <v>679</v>
      </c>
      <c r="C18" s="30" t="s">
        <v>687</v>
      </c>
      <c r="D18" s="30" t="s">
        <v>49</v>
      </c>
      <c r="E18" s="30" t="s">
        <v>189</v>
      </c>
      <c r="F18" s="42">
        <v>300</v>
      </c>
      <c r="G18" s="42">
        <v>365</v>
      </c>
      <c r="H18" s="42">
        <v>20430</v>
      </c>
      <c r="I18" s="42">
        <v>21695</v>
      </c>
      <c r="J18" s="30" t="s">
        <v>190</v>
      </c>
      <c r="K18" s="42">
        <v>21299</v>
      </c>
      <c r="L18" s="131" t="s">
        <v>50</v>
      </c>
      <c r="M18" s="132">
        <f>CONVERT((I18-K18)/10000,"mi","ft")*IF(L18="Increasing Mileposts (1)",-1,1)</f>
        <v>-209.08799999999999</v>
      </c>
      <c r="N18" s="133" t="str">
        <f>VLOOKUP(C18,'Trips&amp;Operators'!$C$1:$G$99911,5,FALSE)</f>
        <v>ELBAUM MIKE</v>
      </c>
      <c r="O18" s="175" t="s">
        <v>178</v>
      </c>
      <c r="P18" s="239"/>
      <c r="Q18" s="30"/>
      <c r="R18" s="81" t="str">
        <f>VLOOKUP(C18,'Train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18" s="84" t="str">
        <f>VLOOKUP(C18,'Train Runs'!$A$13:$AE$10268,22,0)</f>
        <v>https://d0f6bd738d7f1b3e5a7ca70fe4ff75f0.us-east-1.aws.found.io/app/kibana#/discover/Steve-Slow-Train-Analysis-(2080s-and-2083s)?_g=(refreshInterval:(display:Off,pause:!f,section:0,value:0),time:(from:'2018-01-14T13:56:06-0700',mode:absolute,to:'2018-01-14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/stypes="*4002*201801142*" /stext=" 22:.+((SYSTEM_STATE.+slice.+state.+changed )|(ment ac)|(multiple cpu faults)|(system.+state.+changed )|(\[timeout)|(PRM\|1\|D)|(kpr)|(kdp)|(train st.+moving)|(\|lc)|(penalty))"</v>
      </c>
      <c r="U18" s="9" t="str">
        <f>MID(B18,13,4)</f>
        <v>4002</v>
      </c>
      <c r="V18" s="31">
        <f>A18-utc_offset/24</f>
        <v>43114.926747685182</v>
      </c>
      <c r="W18" s="45" t="str">
        <f>DetSubdiv(C18)</f>
        <v>NW</v>
      </c>
      <c r="X18" s="228">
        <f>VALUE(LEFT(C18,LEN(C18)-3))</f>
        <v>1819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{"issue":{"subject":"","project_id":79,"tracker_id":40,"status_id":1,"priority_id":2,"assigned_to_id":338,"start_date":"2018-01-14","description":"","custom_fields":[{"id":1,"name":"Subdivision","value":"NW"},{"id":4,"name":"Milepost","value":"2.1299"},{"id":17,"name":"Train ID","value":"1819-14"},{"id":16,"name":"Locomotive ID","value":"4002"},{"id":130,"name":"Impact","value":""},{"id":150,"name":"Time of Event (Mountain Time)","value":"15:14:31"},{"id":151,"name":"Denver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/c/Users/stu/AppData/Local/Temp/OnboardLogs/RTDC4002 --include="*4002*201801142*"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"%USERPROFILE%\AppData\Local\Temp\OnboardLogs"\RTDC4002\*4002*201801142* &gt;&gt; 2018-01-14-SliceDisagreementCheck.txt</v>
      </c>
      <c r="AE18" s="144" t="str">
        <f t="shared" si="1"/>
        <v>start /low /b %USERPROFILE%\Documents\GitHub\eaglep3\Utilities\DownloadLogsFromS3.py --loco 4002 --day 2018-01-14</v>
      </c>
      <c r="AF18" s="1"/>
    </row>
    <row r="19" spans="1:32" s="223" customFormat="1" x14ac:dyDescent="0.3">
      <c r="A19" s="31">
        <v>43114.679965277777</v>
      </c>
      <c r="B19" s="30" t="s">
        <v>679</v>
      </c>
      <c r="C19" s="30" t="s">
        <v>688</v>
      </c>
      <c r="D19" s="30" t="s">
        <v>95</v>
      </c>
      <c r="E19" s="30" t="s">
        <v>189</v>
      </c>
      <c r="F19" s="42">
        <v>400</v>
      </c>
      <c r="G19" s="42">
        <v>454</v>
      </c>
      <c r="H19" s="42">
        <v>49315</v>
      </c>
      <c r="I19" s="42">
        <v>50584</v>
      </c>
      <c r="J19" s="30" t="s">
        <v>190</v>
      </c>
      <c r="K19" s="42">
        <v>47810</v>
      </c>
      <c r="L19" s="131" t="s">
        <v>50</v>
      </c>
      <c r="M19" s="132">
        <f>CONVERT((I19-K19)/10000,"mi","ft")*IF(L19="Increasing Mileposts (1)",-1,1)</f>
        <v>-1464.672</v>
      </c>
      <c r="N19" s="133" t="str">
        <f>VLOOKUP(C19,'Trips&amp;Operators'!$C$1:$G$99911,5,FALSE)</f>
        <v>ELBAUM MIKE</v>
      </c>
      <c r="O19" s="175" t="s">
        <v>178</v>
      </c>
      <c r="P19" s="239"/>
      <c r="Q19" s="30"/>
      <c r="R19" s="81" t="str">
        <f>VLOOKUP(C19,'Train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19" s="84" t="str">
        <f>VLOOKUP(C19,'Train Runs'!$A$13:$AE$10268,22,0)</f>
        <v>https://d0f6bd738d7f1b3e5a7ca70fe4ff75f0.us-east-1.aws.found.io/app/kibana#/discover/Steve-Slow-Train-Analysis-(2080s-and-2083s)?_g=(refreshInterval:(display:Off,pause:!f,section:0,value:0),time:(from:'2018-01-14T14:56:00-0700',mode:absolute,to:'2018-01-14T17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/stypes="*4002*201801142*" /stext=" 23:.+((SYSTEM_STATE.+slice.+state.+changed )|(ment ac)|(multiple cpu faults)|(system.+state.+changed )|(\[timeout)|(PRM\|1\|D)|(kpr)|(kdp)|(train st.+moving)|(\|lc)|(penalty))"</v>
      </c>
      <c r="U19" s="9" t="str">
        <f>MID(B19,13,4)</f>
        <v>4002</v>
      </c>
      <c r="V19" s="31">
        <f>A19-utc_offset/24</f>
        <v>43114.971631944441</v>
      </c>
      <c r="W19" s="45" t="str">
        <f>DetSubdiv(C19)</f>
        <v>NW</v>
      </c>
      <c r="X19" s="228">
        <f>VALUE(LEFT(C19,LEN(C19)-3))</f>
        <v>1821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{"issue":{"subject":"","project_id":79,"tracker_id":40,"status_id":1,"priority_id":2,"assigned_to_id":338,"start_date":"2018-01-14","description":"","custom_fields":[{"id":1,"name":"Subdivision","value":"NW"},{"id":4,"name":"Milepost","value":"4.781"},{"id":17,"name":"Train ID","value":"1821-14"},{"id":16,"name":"Locomotive ID","value":"4002"},{"id":130,"name":"Impact","value":""},{"id":150,"name":"Time of Event (Mountain Time)","value":"16:19:09"},{"id":151,"name":"Denver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/c/Users/stu/AppData/Local/Temp/OnboardLogs/RTDC4002 --include="*4002*201801142*"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"%USERPROFILE%\AppData\Local\Temp\OnboardLogs"\RTDC4002\*4002*201801142* &gt;&gt; 2018-01-14-SliceDisagreementCheck.txt</v>
      </c>
      <c r="AE19" s="144" t="str">
        <f t="shared" si="1"/>
        <v>start /low /b %USERPROFILE%\Documents\GitHub\eaglep3\Utilities\DownloadLogsFromS3.py --loco 4002 --day 2018-01-14</v>
      </c>
      <c r="AF19" s="1"/>
    </row>
    <row r="20" spans="1:32" x14ac:dyDescent="0.3">
      <c r="A20" s="31">
        <v>43114.888101851851</v>
      </c>
      <c r="B20" s="30" t="s">
        <v>679</v>
      </c>
      <c r="C20" s="30" t="s">
        <v>696</v>
      </c>
      <c r="D20" s="30" t="s">
        <v>95</v>
      </c>
      <c r="E20" s="30" t="s">
        <v>189</v>
      </c>
      <c r="F20" s="42">
        <v>400</v>
      </c>
      <c r="G20" s="42">
        <v>451</v>
      </c>
      <c r="H20" s="42">
        <v>49354</v>
      </c>
      <c r="I20" s="42">
        <v>50478</v>
      </c>
      <c r="J20" s="30" t="s">
        <v>190</v>
      </c>
      <c r="K20" s="42">
        <v>47810</v>
      </c>
      <c r="L20" s="131" t="s">
        <v>50</v>
      </c>
      <c r="M20" s="132">
        <f>CONVERT((I20-K20)/10000,"mi","ft")*IF(L20="Increasing Mileposts (1)",-1,1)</f>
        <v>-1408.704</v>
      </c>
      <c r="N20" s="133" t="str">
        <f>VLOOKUP(C20,'Trips&amp;Operators'!$C$1:$G$99911,5,FALSE)</f>
        <v>ELBAUM MIKE</v>
      </c>
      <c r="O20" s="175" t="s">
        <v>178</v>
      </c>
      <c r="P20" s="239"/>
      <c r="Q20" s="30"/>
      <c r="R20" s="81" t="str">
        <f>VLOOKUP(C20,'Train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0" s="84" t="str">
        <f>VLOOKUP(C20,'Train Runs'!$A$13:$AE$10268,22,0)</f>
        <v>https://d0f6bd738d7f1b3e5a7ca70fe4ff75f0.us-east-1.aws.found.io/app/kibana#/discover/Steve-Slow-Train-Analysis-(2080s-and-2083s)?_g=(refreshInterval:(display:Off,pause:!f,section:0,value:0),time:(from:'2018-01-14T20:05:42-0700',mode:absolute,to:'2018-01-14T22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/stypes="*4002*201801150*" /stext=" 04:.+((SYSTEM_STATE.+slice.+state.+changed )|(ment ac)|(multiple cpu faults)|(system.+state.+changed )|(\[timeout)|(PRM\|1\|D)|(kpr)|(kdp)|(train st.+moving)|(\|lc)|(penalty))"</v>
      </c>
      <c r="U20" s="9" t="str">
        <f>MID(B20,13,4)</f>
        <v>4002</v>
      </c>
      <c r="V20" s="31">
        <f>A20-utc_offset/24</f>
        <v>43115.179768518516</v>
      </c>
      <c r="W20" s="45" t="str">
        <f>DetSubdiv(C20)</f>
        <v>NW</v>
      </c>
      <c r="X20" s="228">
        <f>VALUE(LEFT(C20,LEN(C20)-3))</f>
        <v>1831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{"issue":{"subject":"","project_id":79,"tracker_id":40,"status_id":1,"priority_id":2,"assigned_to_id":338,"start_date":"2018-01-14","description":"","custom_fields":[{"id":1,"name":"Subdivision","value":"NW"},{"id":4,"name":"Milepost","value":"4.781"},{"id":17,"name":"Train ID","value":"1831-14"},{"id":16,"name":"Locomotive ID","value":"4002"},{"id":130,"name":"Impact","value":""},{"id":150,"name":"Time of Event (Mountain Time)","value":"21:18:52"},{"id":151,"name":"Denver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/c/Users/stu/AppData/Local/Temp/OnboardLogs/RTDC4002 --include="*4002*201801150*"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"%USERPROFILE%\AppData\Local\Temp\OnboardLogs"\RTDC4002\*4002*201801150* &gt;&gt; 2018-01-14-SliceDisagreementCheck.txt</v>
      </c>
      <c r="AE20" s="144" t="str">
        <f t="shared" si="1"/>
        <v>start /low /b %USERPROFILE%\Documents\GitHub\eaglep3\Utilities\DownloadLogsFromS3.py --loco 4002 --day 2018-01-15</v>
      </c>
      <c r="AF20" s="1"/>
    </row>
    <row r="21" spans="1:32" x14ac:dyDescent="0.3">
      <c r="A21" s="31">
        <v>43114.639456018522</v>
      </c>
      <c r="B21" s="30" t="s">
        <v>679</v>
      </c>
      <c r="C21" s="30" t="s">
        <v>687</v>
      </c>
      <c r="D21" s="30" t="s">
        <v>49</v>
      </c>
      <c r="E21" s="30" t="s">
        <v>189</v>
      </c>
      <c r="F21" s="42">
        <v>150</v>
      </c>
      <c r="G21" s="42">
        <v>324</v>
      </c>
      <c r="H21" s="42">
        <v>55590</v>
      </c>
      <c r="I21" s="42">
        <v>56253</v>
      </c>
      <c r="J21" s="30" t="s">
        <v>190</v>
      </c>
      <c r="K21" s="42">
        <v>57008</v>
      </c>
      <c r="L21" s="131" t="s">
        <v>50</v>
      </c>
      <c r="M21" s="132">
        <f>CONVERT((I21-K21)/10000,"mi","ft")*IF(L21="Increasing Mileposts (1)",-1,1)</f>
        <v>398.64</v>
      </c>
      <c r="N21" s="133" t="str">
        <f>VLOOKUP(C21,'Trips&amp;Operators'!$C$1:$G$99911,5,FALSE)</f>
        <v>ELBAUM MIKE</v>
      </c>
      <c r="O21" s="175" t="s">
        <v>178</v>
      </c>
      <c r="P21" s="239"/>
      <c r="Q21" s="30"/>
      <c r="R21" s="81" t="str">
        <f>VLOOKUP(C21,'Train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1" s="84" t="str">
        <f>VLOOKUP(C21,'Train Runs'!$A$13:$AE$10268,22,0)</f>
        <v>https://d0f6bd738d7f1b3e5a7ca70fe4ff75f0.us-east-1.aws.found.io/app/kibana#/discover/Steve-Slow-Train-Analysis-(2080s-and-2083s)?_g=(refreshInterval:(display:Off,pause:!f,section:0,value:0),time:(from:'2018-01-14T13:56:06-0700',mode:absolute,to:'2018-01-14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/stypes="*4002*201801142*" /stext=" 22:.+((SYSTEM_STATE.+slice.+state.+changed )|(ment ac)|(multiple cpu faults)|(system.+state.+changed )|(\[timeout)|(PRM\|1\|D)|(kpr)|(kdp)|(train st.+moving)|(\|lc)|(penalty))"</v>
      </c>
      <c r="U21" s="9" t="str">
        <f>MID(B21,13,4)</f>
        <v>4002</v>
      </c>
      <c r="V21" s="31">
        <f>A21-utc_offset/24</f>
        <v>43114.931122685186</v>
      </c>
      <c r="W21" s="45" t="str">
        <f>DetSubdiv(C21)</f>
        <v>NW</v>
      </c>
      <c r="X21" s="228">
        <f>VALUE(LEFT(C21,LEN(C21)-3))</f>
        <v>1819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{"issue":{"subject":"","project_id":79,"tracker_id":40,"status_id":1,"priority_id":2,"assigned_to_id":338,"start_date":"2018-01-14","description":"","custom_fields":[{"id":1,"name":"Subdivision","value":"NW"},{"id":4,"name":"Milepost","value":"5.7008"},{"id":17,"name":"Train ID","value":"1819-14"},{"id":16,"name":"Locomotive ID","value":"4002"},{"id":130,"name":"Impact","value":""},{"id":150,"name":"Time of Event (Mountain Time)","value":"15:20:49"},{"id":151,"name":"Denver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/c/Users/stu/AppData/Local/Temp/OnboardLogs/RTDC4002 --include="*4002*201801142*"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"%USERPROFILE%\AppData\Local\Temp\OnboardLogs"\RTDC4002\*4002*201801142* &gt;&gt; 2018-01-14-SliceDisagreementCheck.txt</v>
      </c>
      <c r="AE21" s="144" t="str">
        <f t="shared" si="1"/>
        <v>start /low /b %USERPROFILE%\Documents\GitHub\eaglep3\Utilities\DownloadLogsFromS3.py --loco 4002 --day 2018-01-14</v>
      </c>
      <c r="AF21" s="1"/>
    </row>
    <row r="22" spans="1:32" x14ac:dyDescent="0.3">
      <c r="A22" s="31">
        <v>43114.703425925924</v>
      </c>
      <c r="B22" s="30" t="s">
        <v>689</v>
      </c>
      <c r="C22" s="30" t="s">
        <v>690</v>
      </c>
      <c r="D22" s="30" t="s">
        <v>49</v>
      </c>
      <c r="E22" s="30" t="s">
        <v>568</v>
      </c>
      <c r="F22" s="42">
        <v>100</v>
      </c>
      <c r="G22" s="42">
        <v>150</v>
      </c>
      <c r="H22" s="42">
        <v>4979</v>
      </c>
      <c r="I22" s="42">
        <v>4694</v>
      </c>
      <c r="J22" s="30" t="s">
        <v>183</v>
      </c>
      <c r="K22" s="42">
        <v>4701</v>
      </c>
      <c r="L22" s="131" t="s">
        <v>51</v>
      </c>
      <c r="M22" s="132">
        <f>CONVERT((I22-K22)/10000,"mi","ft")*IF(L22="Increasing Mileposts (1)",-1,1)</f>
        <v>-3.6960000000000002</v>
      </c>
      <c r="N22" s="133" t="str">
        <f>VLOOKUP(C22,'Trips&amp;Operators'!$C$1:$G$99911,5,FALSE)</f>
        <v>ELBAUM MIKE</v>
      </c>
      <c r="O22" s="175" t="s">
        <v>178</v>
      </c>
      <c r="P22" s="239"/>
      <c r="Q22" s="30"/>
      <c r="R22" s="81" t="str">
        <f>VLOOKUP(C22,'Train Runs'!$A$13:$AE$10268,31,0)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S22" s="84" t="str">
        <f>VLOOKUP(C22,'Train Runs'!$A$13:$AE$10268,22,0)</f>
        <v>https://d0f6bd738d7f1b3e5a7ca70fe4ff75f0.us-east-1.aws.found.io/app/kibana#/discover/Steve-Slow-Train-Analysis-(2080s-and-2083s)?_g=(refreshInterval:(display:Off,pause:!f,section:0,value:0),time:(from:'2018-01-14T15:25:05-0700',mode:absolute,to:'2018-01-14T17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/stypes="*4001*201801142*" /stext=" 23:.+((SYSTEM_STATE.+slice.+state.+changed )|(ment ac)|(multiple cpu faults)|(system.+state.+changed )|(\[timeout)|(PRM\|1\|D)|(kpr)|(kdp)|(train st.+moving)|(\|lc)|(penalty))"</v>
      </c>
      <c r="U22" s="9" t="str">
        <f>MID(B22,13,4)</f>
        <v>4001</v>
      </c>
      <c r="V22" s="31">
        <f>A22-utc_offset/24</f>
        <v>43114.995092592588</v>
      </c>
      <c r="W22" s="45" t="str">
        <f>DetSubdiv(C22)</f>
        <v>NW</v>
      </c>
      <c r="X22" s="228">
        <f>VALUE(LEFT(C22,LEN(C22)-3))</f>
        <v>1822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{"issue":{"subject":"","project_id":79,"tracker_id":40,"status_id":1,"priority_id":2,"assigned_to_id":338,"start_date":"2018-01-14","description":"","custom_fields":[{"id":1,"name":"Subdivision","value":"NW"},{"id":4,"name":"Milepost","value":"0.4701"},{"id":17,"name":"Train ID","value":"1822-14"},{"id":16,"name":"Locomotive ID","value":"4001"},{"id":130,"name":"Impact","value":""},{"id":150,"name":"Time of Event (Mountain Time)","value":"16:52:56"},{"id":151,"name":"Denver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/c/Users/stu/AppData/Local/Temp/OnboardLogs/RTDC4001 --include="*4001*201801142*"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"%USERPROFILE%\AppData\Local\Temp\OnboardLogs"\RTDC4001\*4001*201801142* &gt;&gt; 2018-01-14-SliceDisagreementCheck.txt</v>
      </c>
      <c r="AE22" s="144" t="str">
        <f t="shared" si="1"/>
        <v>start /low /b %USERPROFILE%\Documents\GitHub\eaglep3\Utilities\DownloadLogsFromS3.py --loco 4001 --day 2018-01-14</v>
      </c>
      <c r="AF22" s="1"/>
    </row>
    <row r="23" spans="1:32" x14ac:dyDescent="0.3">
      <c r="A23" s="31">
        <v>43114.265682870369</v>
      </c>
      <c r="B23" s="30" t="s">
        <v>679</v>
      </c>
      <c r="C23" s="30" t="s">
        <v>680</v>
      </c>
      <c r="D23" s="30" t="s">
        <v>49</v>
      </c>
      <c r="E23" s="30" t="s">
        <v>562</v>
      </c>
      <c r="F23" s="42">
        <v>0</v>
      </c>
      <c r="G23" s="42">
        <v>145</v>
      </c>
      <c r="H23" s="42">
        <v>58103</v>
      </c>
      <c r="I23" s="42">
        <v>58278</v>
      </c>
      <c r="J23" s="30" t="s">
        <v>563</v>
      </c>
      <c r="K23" s="42">
        <v>59048</v>
      </c>
      <c r="L23" s="131" t="s">
        <v>50</v>
      </c>
      <c r="M23" s="132">
        <f>CONVERT((I23-K23)/10000,"mi","ft")*IF(L23="Increasing Mileposts (1)",-1,1)</f>
        <v>406.56</v>
      </c>
      <c r="N23" s="133" t="str">
        <f>VLOOKUP(C23,'Trips&amp;Operators'!$C$1:$G$99911,5,FALSE)</f>
        <v>GONZALEZ ARMANDO</v>
      </c>
      <c r="O23" s="175" t="s">
        <v>178</v>
      </c>
      <c r="P23" s="239"/>
      <c r="Q23" s="30"/>
      <c r="R23" s="81" t="str">
        <f>VLOOKUP(C23,'Train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3" s="84" t="str">
        <f>VLOOKUP(C23,'Train Runs'!$A$13:$AE$10268,22,0)</f>
        <v>https://d0f6bd738d7f1b3e5a7ca70fe4ff75f0.us-east-1.aws.found.io/app/kibana#/discover/Steve-Slow-Train-Analysis-(2080s-and-2083s)?_g=(refreshInterval:(display:Off,pause:!f,section:0,value:0),time:(from:'2018-01-14T04:57:09-0700',mode:absolute,to:'2018-01-14T07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/stypes="*4002*201801141*" /stext=" 13:.+((SYSTEM_STATE.+slice.+state.+changed )|(ment ac)|(multiple cpu faults)|(system.+state.+changed )|(\[timeout)|(PRM\|1\|D)|(kpr)|(kdp)|(train st.+moving)|(\|lc)|(penalty))"</v>
      </c>
      <c r="U23" s="9" t="str">
        <f>MID(B23,13,4)</f>
        <v>4002</v>
      </c>
      <c r="V23" s="31">
        <f>A23-utc_offset/24</f>
        <v>43114.557349537034</v>
      </c>
      <c r="W23" s="45" t="str">
        <f>DetSubdiv(C23)</f>
        <v>NW</v>
      </c>
      <c r="X23" s="228">
        <f>VALUE(LEFT(C23,LEN(C23)-3))</f>
        <v>1801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{"issue":{"subject":"","project_id":79,"tracker_id":40,"status_id":1,"priority_id":2,"assigned_to_id":338,"start_date":"2018-01-14","description":"","custom_fields":[{"id":1,"name":"Subdivision","value":"NW"},{"id":4,"name":"Milepost","value":"5.9048"},{"id":17,"name":"Train ID","value":"1801-14"},{"id":16,"name":"Locomotive ID","value":"4002"},{"id":130,"name":"Impact","value":""},{"id":150,"name":"Time of Event (Mountain Time)","value":"06:22:35"},{"id":151,"name":"Denver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/c/Users/stu/AppData/Local/Temp/OnboardLogs/RTDC4002 --include="*4002*201801141*"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"%USERPROFILE%\AppData\Local\Temp\OnboardLogs"\RTDC4002\*4002*201801141* &gt;&gt; 2018-01-14-SliceDisagreementCheck.txt</v>
      </c>
      <c r="AE23" s="144" t="str">
        <f t="shared" si="1"/>
        <v>start /low /b %USERPROFILE%\Documents\GitHub\eaglep3\Utilities\DownloadLogsFromS3.py --loco 4002 --day 2018-01-14</v>
      </c>
      <c r="AF23" s="1"/>
    </row>
    <row r="24" spans="1:32" x14ac:dyDescent="0.3">
      <c r="A24" s="31">
        <v>43114.266122685185</v>
      </c>
      <c r="B24" s="30" t="s">
        <v>679</v>
      </c>
      <c r="C24" s="30" t="s">
        <v>680</v>
      </c>
      <c r="D24" s="30" t="s">
        <v>49</v>
      </c>
      <c r="E24" s="30" t="s">
        <v>562</v>
      </c>
      <c r="F24" s="42">
        <v>0</v>
      </c>
      <c r="G24" s="42">
        <v>86</v>
      </c>
      <c r="H24" s="42">
        <v>58399</v>
      </c>
      <c r="I24" s="42">
        <v>58506</v>
      </c>
      <c r="J24" s="30" t="s">
        <v>563</v>
      </c>
      <c r="K24" s="42">
        <v>59048</v>
      </c>
      <c r="L24" s="131" t="s">
        <v>50</v>
      </c>
      <c r="M24" s="132">
        <f>CONVERT((I24-K24)/10000,"mi","ft")*IF(L24="Increasing Mileposts (1)",-1,1)</f>
        <v>286.17599999999999</v>
      </c>
      <c r="N24" s="133" t="str">
        <f>VLOOKUP(C24,'Trips&amp;Operators'!$C$1:$G$99911,5,FALSE)</f>
        <v>GONZALEZ ARMANDO</v>
      </c>
      <c r="O24" s="175" t="s">
        <v>178</v>
      </c>
      <c r="P24" s="239"/>
      <c r="Q24" s="30"/>
      <c r="R24" s="81" t="str">
        <f>VLOOKUP(C24,'Train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4" s="84" t="str">
        <f>VLOOKUP(C24,'Train Runs'!$A$13:$AE$10268,22,0)</f>
        <v>https://d0f6bd738d7f1b3e5a7ca70fe4ff75f0.us-east-1.aws.found.io/app/kibana#/discover/Steve-Slow-Train-Analysis-(2080s-and-2083s)?_g=(refreshInterval:(display:Off,pause:!f,section:0,value:0),time:(from:'2018-01-14T04:57:09-0700',mode:absolute,to:'2018-01-14T07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/stypes="*4002*201801141*" /stext=" 13:.+((SYSTEM_STATE.+slice.+state.+changed )|(ment ac)|(multiple cpu faults)|(system.+state.+changed )|(\[timeout)|(PRM\|1\|D)|(kpr)|(kdp)|(train st.+moving)|(\|lc)|(penalty))"</v>
      </c>
      <c r="U24" s="9" t="str">
        <f>MID(B24,13,4)</f>
        <v>4002</v>
      </c>
      <c r="V24" s="31">
        <f>A24-utc_offset/24</f>
        <v>43114.557789351849</v>
      </c>
      <c r="W24" s="45" t="str">
        <f>DetSubdiv(C24)</f>
        <v>NW</v>
      </c>
      <c r="X24" s="228">
        <f>VALUE(LEFT(C24,LEN(C24)-3))</f>
        <v>1801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{"issue":{"subject":"","project_id":79,"tracker_id":40,"status_id":1,"priority_id":2,"assigned_to_id":338,"start_date":"2018-01-14","description":"","custom_fields":[{"id":1,"name":"Subdivision","value":"NW"},{"id":4,"name":"Milepost","value":"5.9048"},{"id":17,"name":"Train ID","value":"1801-14"},{"id":16,"name":"Locomotive ID","value":"4002"},{"id":130,"name":"Impact","value":""},{"id":150,"name":"Time of Event (Mountain Time)","value":"06:23:13"},{"id":151,"name":"Denver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/c/Users/stu/AppData/Local/Temp/OnboardLogs/RTDC4002 --include="*4002*201801141*"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"%USERPROFILE%\AppData\Local\Temp\OnboardLogs"\RTDC4002\*4002*201801141* &gt;&gt; 2018-01-14-SliceDisagreementCheck.txt</v>
      </c>
      <c r="AE24" s="144" t="str">
        <f t="shared" si="1"/>
        <v>start /low /b %USERPROFILE%\Documents\GitHub\eaglep3\Utilities\DownloadLogsFromS3.py --loco 4002 --day 2018-01-14</v>
      </c>
      <c r="AF24" s="1"/>
    </row>
    <row r="25" spans="1:32" x14ac:dyDescent="0.3">
      <c r="A25" s="31">
        <v>43114.848564814813</v>
      </c>
      <c r="B25" s="30" t="s">
        <v>679</v>
      </c>
      <c r="C25" s="30" t="s">
        <v>695</v>
      </c>
      <c r="D25" s="30" t="s">
        <v>49</v>
      </c>
      <c r="E25" s="30" t="s">
        <v>562</v>
      </c>
      <c r="F25" s="42">
        <v>0</v>
      </c>
      <c r="G25" s="42">
        <v>141</v>
      </c>
      <c r="H25" s="42">
        <v>57897</v>
      </c>
      <c r="I25" s="42">
        <v>58201</v>
      </c>
      <c r="J25" s="30" t="s">
        <v>563</v>
      </c>
      <c r="K25" s="42">
        <v>59048</v>
      </c>
      <c r="L25" s="131" t="s">
        <v>50</v>
      </c>
      <c r="M25" s="132">
        <f>CONVERT((I25-K25)/10000,"mi","ft")*IF(L25="Increasing Mileposts (1)",-1,1)</f>
        <v>447.21600000000001</v>
      </c>
      <c r="N25" s="133" t="str">
        <f>VLOOKUP(C25,'Trips&amp;Operators'!$C$1:$G$99911,5,FALSE)</f>
        <v>ELBAUM MIKE</v>
      </c>
      <c r="O25" s="175" t="s">
        <v>178</v>
      </c>
      <c r="P25" s="239"/>
      <c r="Q25" s="30"/>
      <c r="R25" s="81" t="str">
        <f>VLOOKUP(C25,'Train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5" s="84" t="str">
        <f>VLOOKUP(C25,'Train Runs'!$A$13:$AE$10268,22,0)</f>
        <v>https://d0f6bd738d7f1b3e5a7ca70fe4ff75f0.us-east-1.aws.found.io/app/kibana#/discover/Steve-Slow-Train-Analysis-(2080s-and-2083s)?_g=(refreshInterval:(display:Off,pause:!f,section:0,value:0),time:(from:'2018-01-14T18:57:01-0700',mode:absolute,to:'2018-01-14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/stypes="*4002*201801150*" /stext=" 03:.+((SYSTEM_STATE.+slice.+state.+changed )|(ment ac)|(multiple cpu faults)|(system.+state.+changed )|(\[timeout)|(PRM\|1\|D)|(kpr)|(kdp)|(train st.+moving)|(\|lc)|(penalty))"</v>
      </c>
      <c r="U25" s="9" t="str">
        <f>MID(B25,13,4)</f>
        <v>4002</v>
      </c>
      <c r="V25" s="31">
        <f>A25-utc_offset/24</f>
        <v>43115.140231481477</v>
      </c>
      <c r="W25" s="45" t="str">
        <f>DetSubdiv(C25)</f>
        <v>NW</v>
      </c>
      <c r="X25" s="228">
        <f>VALUE(LEFT(C25,LEN(C25)-3))</f>
        <v>1829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{"issue":{"subject":"","project_id":79,"tracker_id":40,"status_id":1,"priority_id":2,"assigned_to_id":338,"start_date":"2018-01-14","description":"","custom_fields":[{"id":1,"name":"Subdivision","value":"NW"},{"id":4,"name":"Milepost","value":"5.9048"},{"id":17,"name":"Train ID","value":"1829-14"},{"id":16,"name":"Locomotive ID","value":"4002"},{"id":130,"name":"Impact","value":""},{"id":150,"name":"Time of Event (Mountain Time)","value":"20:21:56"},{"id":151,"name":"Denver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/c/Users/stu/AppData/Local/Temp/OnboardLogs/RTDC4002 --include="*4002*201801150*"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"%USERPROFILE%\AppData\Local\Temp\OnboardLogs"\RTDC4002\*4002*201801150* &gt;&gt; 2018-01-14-SliceDisagreementCheck.txt</v>
      </c>
      <c r="AE25" s="144" t="str">
        <f t="shared" si="1"/>
        <v>start /low /b %USERPROFILE%\Documents\GitHub\eaglep3\Utilities\DownloadLogsFromS3.py --loco 4002 --day 2018-01-15</v>
      </c>
      <c r="AF25" s="1"/>
    </row>
    <row r="26" spans="1:32" x14ac:dyDescent="0.3">
      <c r="A26" s="31">
        <v>43114.848993055559</v>
      </c>
      <c r="B26" s="30" t="s">
        <v>679</v>
      </c>
      <c r="C26" s="30" t="s">
        <v>695</v>
      </c>
      <c r="D26" s="30" t="s">
        <v>49</v>
      </c>
      <c r="E26" s="30" t="s">
        <v>562</v>
      </c>
      <c r="F26" s="42">
        <v>0</v>
      </c>
      <c r="G26" s="42">
        <v>94</v>
      </c>
      <c r="H26" s="42">
        <v>58273</v>
      </c>
      <c r="I26" s="42">
        <v>58435</v>
      </c>
      <c r="J26" s="30" t="s">
        <v>563</v>
      </c>
      <c r="K26" s="42">
        <v>59048</v>
      </c>
      <c r="L26" s="131" t="s">
        <v>50</v>
      </c>
      <c r="M26" s="132">
        <f>CONVERT((I26-K26)/10000,"mi","ft")*IF(L26="Increasing Mileposts (1)",-1,1)</f>
        <v>323.66399999999999</v>
      </c>
      <c r="N26" s="133" t="str">
        <f>VLOOKUP(C26,'Trips&amp;Operators'!$C$1:$G$99911,5,FALSE)</f>
        <v>ELBAUM MIKE</v>
      </c>
      <c r="O26" s="175" t="s">
        <v>178</v>
      </c>
      <c r="P26" s="239"/>
      <c r="Q26" s="30"/>
      <c r="R26" s="81" t="str">
        <f>VLOOKUP(C26,'Train Runs'!$A$13:$AE$10268,31,0)</f>
        <v>aws s3 cp s3://rtdc.mdm.uploadarchive.raw/RTDC4002/ "%USERPROFILE%\AppData\Local\Temp\OnboardLogs"\RTDC4002\2018-01-14 --exclude "*" --recursive --include "*20180114*" &amp; "%USERPROFILE%\Documents\GitHub\mrs-test-scripts\Headless Mode &amp; Sideloading\WalkAndUnGZ.bat" "%USERPROFILE%\AppData\Local\Temp\OnboardLogs"\RTDC4002\2018-01-14 &amp; aws s3 cp s3://rtdc.mdm.uploadarchive.raw/RTDC4002/ "%USERPROFILE%\AppData\Local\Temp\OnboardLogs"\RTDC4002\2018-01-15 --exclude "*" --recursive --include "*20180115*" &amp; "%USERPROFILE%\Documents\GitHub\mrs-test-scripts\Headless Mode &amp; Sideloading\WalkAndUnGZ.bat" "%USERPROFILE%\AppData\Local\Temp\OnboardLogs"\RTDC4002\2018-01-15</v>
      </c>
      <c r="S26" s="84" t="str">
        <f>VLOOKUP(C26,'Train Runs'!$A$13:$AE$10268,22,0)</f>
        <v>https://d0f6bd738d7f1b3e5a7ca70fe4ff75f0.us-east-1.aws.found.io/app/kibana#/discover/Steve-Slow-Train-Analysis-(2080s-and-2083s)?_g=(refreshInterval:(display:Off,pause:!f,section:0,value:0),time:(from:'2018-01-14T18:57:01-0700',mode:absolute,to:'2018-01-14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/stypes="*4002*201801150*" /stext=" 03:.+((SYSTEM_STATE.+slice.+state.+changed )|(ment ac)|(multiple cpu faults)|(system.+state.+changed )|(\[timeout)|(PRM\|1\|D)|(kpr)|(kdp)|(train st.+moving)|(\|lc)|(penalty))"</v>
      </c>
      <c r="U26" s="9" t="str">
        <f>MID(B26,13,4)</f>
        <v>4002</v>
      </c>
      <c r="V26" s="31">
        <f>A26-utc_offset/24</f>
        <v>43115.140659722223</v>
      </c>
      <c r="W26" s="45" t="str">
        <f>DetSubdiv(C26)</f>
        <v>NW</v>
      </c>
      <c r="X26" s="228">
        <f>VALUE(LEFT(C26,LEN(C26)-3))</f>
        <v>1829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{"issue":{"subject":"","project_id":79,"tracker_id":40,"status_id":1,"priority_id":2,"assigned_to_id":338,"start_date":"2018-01-14","description":"","custom_fields":[{"id":1,"name":"Subdivision","value":"NW"},{"id":4,"name":"Milepost","value":"5.9048"},{"id":17,"name":"Train ID","value":"1829-14"},{"id":16,"name":"Locomotive ID","value":"4002"},{"id":130,"name":"Impact","value":""},{"id":150,"name":"Time of Event (Mountain Time)","value":"20:22:33"},{"id":151,"name":"Denver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/c/Users/stu/AppData/Local/Temp/OnboardLogs/RTDC4002 --include="*4002*201801150*"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"%USERPROFILE%\AppData\Local\Temp\OnboardLogs"\RTDC4002\*4002*201801150* &gt;&gt; 2018-01-14-SliceDisagreementCheck.txt</v>
      </c>
      <c r="AE26" s="144" t="str">
        <f t="shared" si="1"/>
        <v>start /low /b %USERPROFILE%\Documents\GitHub\eaglep3\Utilities\DownloadLogsFromS3.py --loco 4002 --day 2018-01-15</v>
      </c>
      <c r="AF26" s="1"/>
    </row>
    <row r="27" spans="1:32" x14ac:dyDescent="0.3">
      <c r="A27" s="31">
        <v>43114.980694444443</v>
      </c>
      <c r="B27" s="30" t="s">
        <v>689</v>
      </c>
      <c r="C27" s="30" t="s">
        <v>697</v>
      </c>
      <c r="D27" s="30" t="s">
        <v>49</v>
      </c>
      <c r="E27" s="30" t="s">
        <v>353</v>
      </c>
      <c r="F27" s="42">
        <v>0</v>
      </c>
      <c r="G27" s="42">
        <v>19</v>
      </c>
      <c r="H27" s="42">
        <v>48823</v>
      </c>
      <c r="I27" s="42">
        <v>48809</v>
      </c>
      <c r="J27" s="30" t="s">
        <v>354</v>
      </c>
      <c r="K27" s="42">
        <v>48773</v>
      </c>
      <c r="L27" s="131" t="s">
        <v>51</v>
      </c>
      <c r="M27" s="132">
        <f>CONVERT((I27-K27)/10000,"mi","ft")*IF(L27="Increasing Mileposts (1)",-1,1)</f>
        <v>19.007999999999999</v>
      </c>
      <c r="N27" s="133" t="str">
        <f>VLOOKUP(C27,'Trips&amp;Operators'!$C$1:$G$99911,5,FALSE)</f>
        <v>ELBAUM MIKE</v>
      </c>
      <c r="O27" s="175" t="s">
        <v>347</v>
      </c>
      <c r="P27" s="239"/>
      <c r="Q27" s="30"/>
      <c r="R27" s="81" t="str">
        <f>VLOOKUP(C27,'Train Runs'!$A$13:$AE$10268,31,0)</f>
        <v>aws s3 cp s3://rtdc.mdm.uploadarchive.raw/RTDC4001/ "%USERPROFILE%\AppData\Local\Temp\OnboardLogs"\RTDC4001\2018-01-14 --exclude "*" --recursive --include "*20180114*" &amp; "%USERPROFILE%\Documents\GitHub\mrs-test-scripts\Headless Mode &amp; Sideloading\WalkAndUnGZ.bat" "%USERPROFILE%\AppData\Local\Temp\OnboardLogs"\RTDC4001\2018-01-14 &amp; aws s3 cp s3://rtdc.mdm.uploadarchive.raw/RTDC4001/ "%USERPROFILE%\AppData\Local\Temp\OnboardLogs"\RTDC4001\2018-01-15 --exclude "*" --recursive --include "*20180115*" &amp; "%USERPROFILE%\Documents\GitHub\mrs-test-scripts\Headless Mode &amp; Sideloading\WalkAndUnGZ.bat" "%USERPROFILE%\AppData\Local\Temp\OnboardLogs"\RTDC4001\2018-01-15</v>
      </c>
      <c r="S27" s="84" t="str">
        <f>VLOOKUP(C27,'Train Runs'!$A$13:$AE$10268,22,0)</f>
        <v>https://d0f6bd738d7f1b3e5a7ca70fe4ff75f0.us-east-1.aws.found.io/app/kibana#/discover/Steve-Slow-Train-Analysis-(2080s-and-2083s)?_g=(refreshInterval:(display:Off,pause:!f,section:0,value:0),time:(from:'2018-01-14T22:23:04-0700',mode:absolute,to:'2018-01-15T00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/stypes="*4001*201801150*" /stext=" 06:.+((SYSTEM_STATE.+slice.+state.+changed )|(ment ac)|(multiple cpu faults)|(system.+state.+changed )|(\[timeout)|(PRM\|1\|D)|(kpr)|(kdp)|(train st.+moving)|(\|lc)|(penalty))"</v>
      </c>
      <c r="U27" s="9" t="str">
        <f>MID(B27,13,4)</f>
        <v>4001</v>
      </c>
      <c r="V27" s="31">
        <f>A27-utc_offset/24</f>
        <v>43115.272361111107</v>
      </c>
      <c r="W27" s="45" t="str">
        <f>DetSubdiv(C27)</f>
        <v>Other</v>
      </c>
      <c r="X27" s="228">
        <f>VALUE(LEFT(C27,LEN(C27)-3))</f>
        <v>1902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{"issue":{"subject":"","project_id":79,"tracker_id":40,"status_id":1,"priority_id":2,"assigned_to_id":338,"start_date":"2018-01-14","description":"","custom_fields":[{"id":1,"name":"Subdivision","value":"Other"},{"id":4,"name":"Milepost","value":"4.8773"},{"id":17,"name":"Train ID","value":"1902-14"},{"id":16,"name":"Locomotive ID","value":"4001"},{"id":130,"name":"Impact","value":""},{"id":150,"name":"Time of Event (Mountain Time)","value":"23:32:12"},{"id":151,"name":"Denver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/c/Users/stu/AppData/Local/Temp/OnboardLogs/RTDC4001 --include="*4001*201801150*"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"%USERPROFILE%\AppData\Local\Temp\OnboardLogs"\RTDC4001\*4001*201801150* &gt;&gt; 2018-01-14-SliceDisagreementCheck.txt</v>
      </c>
      <c r="AE27" s="144" t="str">
        <f t="shared" si="1"/>
        <v>start /low /b %USERPROFILE%\Documents\GitHub\eaglep3\Utilities\DownloadLogsFromS3.py --loco 4001 --day 2018-01-15</v>
      </c>
      <c r="AF27" s="1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</sheetData>
  <autoFilter ref="A6:AC13">
    <sortState ref="A7:AC27">
      <sortCondition ref="W7:W27"/>
      <sortCondition ref="E7:E27"/>
      <sortCondition ref="K7:K27"/>
      <sortCondition ref="F7:F27"/>
    </sortState>
  </autoFilter>
  <sortState ref="A7:AE13">
    <sortCondition ref="W7:W13"/>
    <sortCondition ref="E7:E13"/>
    <sortCondition ref="K7:K13"/>
    <sortCondition ref="C7:C13"/>
    <sortCondition ref="F7:F13"/>
  </sortState>
  <mergeCells count="1">
    <mergeCell ref="A5:O5"/>
  </mergeCells>
  <conditionalFormatting sqref="O6:P6 R6 O45:O1048576 O7:O27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27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13" sqref="E1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2018-01-14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231</v>
      </c>
      <c r="B3" s="42" t="str">
        <f>A3&amp;"-"&amp;IF(DAY(Variables!$A$2)&lt;10,0,"")&amp;DAY(Variables!$A$2)</f>
        <v>231-14</v>
      </c>
      <c r="C3" s="134"/>
      <c r="D3" s="250">
        <v>4020</v>
      </c>
      <c r="E3" s="30" t="s">
        <v>678</v>
      </c>
      <c r="F3" s="227" t="str">
        <f>VLOOKUP(B3,'Trips&amp;Operators'!$C$2:$E$9912,3,FALSE)</f>
        <v>PAGE</v>
      </c>
      <c r="G3" s="21" t="str">
        <f>VLOOKUP(B3,'Trips&amp;Operators'!$C$1:$F$9912,4,FALSE)</f>
        <v>MARCUS</v>
      </c>
      <c r="H3" s="29" t="str">
        <f>VLOOKUP(B3,'Trips&amp;Operators'!$C$1:$H$9912,5,FALSE)</f>
        <v>PAGE MARCUS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22231-14%22)),sort:!(Time.ISO8601,asc))</v>
      </c>
      <c r="J3" s="30" t="str">
        <f>VLOOKUP(B3,'Train Runs'!$A$13:$A$100265,1,FALSE)</f>
        <v>231-14</v>
      </c>
    </row>
    <row r="4" spans="1:10" x14ac:dyDescent="0.3">
      <c r="A4" s="197">
        <v>157</v>
      </c>
      <c r="B4" s="42" t="str">
        <f>A4&amp;"-"&amp;IF(DAY(Variables!$A$2)&lt;10,0,"")&amp;DAY(Variables!$A$2)</f>
        <v>157-14</v>
      </c>
      <c r="C4" s="134"/>
      <c r="D4" s="250">
        <v>4020</v>
      </c>
      <c r="E4" s="30" t="s">
        <v>678</v>
      </c>
      <c r="F4" s="227" t="str">
        <f>VLOOKUP(B4,'Trips&amp;Operators'!$C$2:$E$9912,3,FALSE)</f>
        <v>STEWART</v>
      </c>
      <c r="G4" s="21" t="str">
        <f>VLOOKUP(B4,'Trips&amp;Operators'!$C$1:$F$9912,4,FALSE)</f>
        <v>MICHAEL</v>
      </c>
      <c r="H4" s="29" t="str">
        <f>VLOOKUP(B4,'Trips&amp;Operators'!$C$1:$H$9912,5,FALSE)</f>
        <v>STEWART MICHAEL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22157-14%22)),sort:!(Time.ISO8601,asc))</v>
      </c>
      <c r="J4" s="30" t="str">
        <f>VLOOKUP(B4,'Train Runs'!$A$13:$A$100265,1,FALSE)</f>
        <v>157-14</v>
      </c>
    </row>
    <row r="5" spans="1:10" x14ac:dyDescent="0.3">
      <c r="A5" s="197"/>
      <c r="B5" s="42" t="str">
        <f>A5&amp;"-"&amp;IF(DAY(Variables!$A$2)&lt;10,0,"")&amp;DAY(Variables!$A$2)</f>
        <v>-14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Runs'!$A$13:$A$100265,1,FALSE)</f>
        <v>#N/A</v>
      </c>
    </row>
    <row r="6" spans="1:10" x14ac:dyDescent="0.3">
      <c r="A6" s="197"/>
      <c r="B6" s="42" t="str">
        <f>A6&amp;"-"&amp;IF(DAY(Variables!$A$2)&lt;10,0,"")&amp;DAY(Variables!$A$2)</f>
        <v>-14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Runs'!$A$13:$A$100265,1,FALSE)</f>
        <v>#N/A</v>
      </c>
    </row>
    <row r="7" spans="1:10" x14ac:dyDescent="0.3">
      <c r="A7" s="197"/>
      <c r="B7" s="42" t="str">
        <f>A7&amp;"-"&amp;IF(DAY(Variables!$A$2)&lt;10,0,"")&amp;DAY(Variables!$A$2)</f>
        <v>-14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Runs'!$A$13:$A$100265,1,FALSE)</f>
        <v>#N/A</v>
      </c>
    </row>
    <row r="8" spans="1:10" x14ac:dyDescent="0.3">
      <c r="A8" s="197"/>
      <c r="B8" s="42" t="str">
        <f>A8&amp;"-"&amp;IF(DAY(Variables!$A$2)&lt;10,0,"")&amp;DAY(Variables!$A$2)</f>
        <v>-14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Runs'!$A$13:$A$100265,1,FALSE)</f>
        <v>#N/A</v>
      </c>
    </row>
    <row r="9" spans="1:10" x14ac:dyDescent="0.3">
      <c r="A9" s="197"/>
      <c r="B9" s="42" t="str">
        <f>A9&amp;"-"&amp;IF(DAY(Variables!$A$2)&lt;10,0,"")&amp;DAY(Variables!$A$2)</f>
        <v>-14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Runs'!$A$13:$A$100265,1,FALSE)</f>
        <v>#N/A</v>
      </c>
    </row>
    <row r="10" spans="1:10" x14ac:dyDescent="0.3">
      <c r="A10" s="197"/>
      <c r="B10" s="42" t="str">
        <f>A10&amp;"-"&amp;IF(DAY(Variables!$A$2)&lt;10,0,"")&amp;DAY(Variables!$A$2)</f>
        <v>-14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Runs'!$A$13:$A$100265,1,FALSE)</f>
        <v>#N/A</v>
      </c>
    </row>
    <row r="11" spans="1:10" x14ac:dyDescent="0.3">
      <c r="A11" s="197"/>
      <c r="B11" s="42" t="str">
        <f>A11&amp;"-"&amp;IF(DAY(Variables!$A$2)&lt;10,0,"")&amp;DAY(Variables!$A$2)</f>
        <v>-14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Runs'!$A$13:$A$100265,1,FALSE)</f>
        <v>#N/A</v>
      </c>
    </row>
    <row r="12" spans="1:10" x14ac:dyDescent="0.3">
      <c r="A12" s="197"/>
      <c r="B12" s="42" t="str">
        <f>A12&amp;"-"&amp;IF(DAY(Variables!$A$2)&lt;10,0,"")&amp;DAY(Variables!$A$2)</f>
        <v>-14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Runs'!$A$13:$A$100265,1,FALSE)</f>
        <v>#N/A</v>
      </c>
    </row>
    <row r="13" spans="1:10" x14ac:dyDescent="0.3">
      <c r="A13" s="197"/>
      <c r="B13" s="42" t="str">
        <f>A13&amp;"-"&amp;IF(DAY(Variables!$A$2)&lt;10,0,"")&amp;DAY(Variables!$A$2)</f>
        <v>-14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Runs'!$A$13:$A$100265,1,FALSE)</f>
        <v>#N/A</v>
      </c>
    </row>
    <row r="14" spans="1:10" x14ac:dyDescent="0.3">
      <c r="A14" s="197"/>
      <c r="B14" s="42" t="str">
        <f>A14&amp;"-"&amp;IF(DAY(Variables!$A$2)&lt;10,0,"")&amp;DAY(Variables!$A$2)</f>
        <v>-14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Runs'!$A$13:$A$100265,1,FALSE)</f>
        <v>#N/A</v>
      </c>
    </row>
    <row r="15" spans="1:10" x14ac:dyDescent="0.3">
      <c r="A15" s="197"/>
      <c r="B15" s="42" t="str">
        <f>A15&amp;"-"&amp;IF(DAY(Variables!$A$2)&lt;10,0,"")&amp;DAY(Variables!$A$2)</f>
        <v>-14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Runs'!$A$13:$A$100265,1,FALSE)</f>
        <v>#N/A</v>
      </c>
    </row>
    <row r="16" spans="1:10" x14ac:dyDescent="0.3">
      <c r="A16" s="197"/>
      <c r="B16" s="42" t="str">
        <f>A16&amp;"-"&amp;IF(DAY(Variables!$A$2)&lt;10,0,"")&amp;DAY(Variables!$A$2)</f>
        <v>-14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Runs'!$A$13:$A$100265,1,FALSE)</f>
        <v>#N/A</v>
      </c>
    </row>
    <row r="17" spans="1:10" x14ac:dyDescent="0.3">
      <c r="A17" s="197"/>
      <c r="B17" s="42" t="str">
        <f>A17&amp;"-"&amp;IF(DAY(Variables!$A$2)&lt;10,0,"")&amp;DAY(Variables!$A$2)</f>
        <v>-14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Runs'!$A$13:$A$100265,1,FALSE)</f>
        <v>#N/A</v>
      </c>
    </row>
    <row r="18" spans="1:10" x14ac:dyDescent="0.3">
      <c r="A18" s="197"/>
      <c r="B18" s="42" t="str">
        <f>A18&amp;"-"&amp;IF(DAY(Variables!$A$2)&lt;10,0,"")&amp;DAY(Variables!$A$2)</f>
        <v>-14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Runs'!$A$13:$A$100265,1,FALSE)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2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43114.032013888886</v>
      </c>
      <c r="B2" s="20" t="s">
        <v>487</v>
      </c>
      <c r="C2" s="20" t="s">
        <v>698</v>
      </c>
      <c r="D2" s="137">
        <v>3310000</v>
      </c>
      <c r="E2" s="20" t="s">
        <v>435</v>
      </c>
      <c r="F2" s="20" t="s">
        <v>436</v>
      </c>
      <c r="G2" s="8" t="str">
        <f>E2&amp;" "&amp;F2</f>
        <v>ANDERS STEVEN</v>
      </c>
      <c r="H2" t="str">
        <f>MID(B2,13,4)</f>
        <v>4054</v>
      </c>
    </row>
    <row r="3" spans="1:8" x14ac:dyDescent="0.3">
      <c r="A3" s="8">
        <v>43114.046597222223</v>
      </c>
      <c r="B3" s="20" t="s">
        <v>575</v>
      </c>
      <c r="C3" s="20" t="s">
        <v>699</v>
      </c>
      <c r="D3" s="137">
        <v>3000000</v>
      </c>
      <c r="E3" s="20" t="s">
        <v>455</v>
      </c>
      <c r="F3" s="20" t="s">
        <v>456</v>
      </c>
      <c r="G3" s="8" t="str">
        <f t="shared" ref="G3:G66" si="0">E3&amp;" "&amp;F3</f>
        <v>FORTUNATO FRANK</v>
      </c>
      <c r="H3" s="20" t="str">
        <f t="shared" ref="H3:H66" si="1">MID(B3,13,4)</f>
        <v>4014</v>
      </c>
    </row>
    <row r="4" spans="1:8" x14ac:dyDescent="0.3">
      <c r="A4" s="8">
        <v>43114.057523148149</v>
      </c>
      <c r="B4" s="20" t="s">
        <v>700</v>
      </c>
      <c r="C4" s="20" t="s">
        <v>701</v>
      </c>
      <c r="D4" s="137">
        <v>3320000</v>
      </c>
      <c r="E4" s="20" t="s">
        <v>360</v>
      </c>
      <c r="F4" s="20" t="s">
        <v>361</v>
      </c>
      <c r="G4" s="8" t="str">
        <f t="shared" si="0"/>
        <v>NICHOLSON WESLEY</v>
      </c>
      <c r="H4" s="20" t="str">
        <f t="shared" si="1"/>
        <v>4051</v>
      </c>
    </row>
    <row r="5" spans="1:8" x14ac:dyDescent="0.3">
      <c r="A5" s="8">
        <v>43114.066111111111</v>
      </c>
      <c r="B5" s="20" t="s">
        <v>366</v>
      </c>
      <c r="C5" s="20" t="s">
        <v>702</v>
      </c>
      <c r="D5" s="137">
        <v>3340000</v>
      </c>
      <c r="E5" s="20" t="s">
        <v>584</v>
      </c>
      <c r="F5" s="20" t="s">
        <v>585</v>
      </c>
      <c r="G5" s="8" t="str">
        <f t="shared" si="0"/>
        <v>ELBAUM MIKE</v>
      </c>
      <c r="H5" s="20" t="str">
        <f t="shared" si="1"/>
        <v>4012</v>
      </c>
    </row>
    <row r="6" spans="1:8" x14ac:dyDescent="0.3">
      <c r="A6" s="8">
        <v>43114.080717592595</v>
      </c>
      <c r="B6" s="20" t="s">
        <v>490</v>
      </c>
      <c r="C6" s="20" t="s">
        <v>703</v>
      </c>
      <c r="D6" s="137">
        <v>3310000</v>
      </c>
      <c r="E6" s="20" t="s">
        <v>435</v>
      </c>
      <c r="F6" s="20" t="s">
        <v>436</v>
      </c>
      <c r="G6" s="8" t="str">
        <f t="shared" si="0"/>
        <v>ANDERS STEVEN</v>
      </c>
      <c r="H6" s="20" t="str">
        <f t="shared" si="1"/>
        <v>4053</v>
      </c>
    </row>
    <row r="7" spans="1:8" x14ac:dyDescent="0.3">
      <c r="A7" s="8">
        <v>43114.090509259258</v>
      </c>
      <c r="B7" s="20" t="s">
        <v>704</v>
      </c>
      <c r="C7" s="20" t="s">
        <v>705</v>
      </c>
      <c r="D7" s="137">
        <v>3320000</v>
      </c>
      <c r="E7" s="20" t="s">
        <v>360</v>
      </c>
      <c r="F7" s="20" t="s">
        <v>361</v>
      </c>
      <c r="G7" s="8" t="str">
        <f t="shared" si="0"/>
        <v>NICHOLSON WESLEY</v>
      </c>
      <c r="H7" s="20" t="str">
        <f t="shared" si="1"/>
        <v>4052</v>
      </c>
    </row>
    <row r="8" spans="1:8" x14ac:dyDescent="0.3">
      <c r="A8" s="8">
        <v>43114.109814814816</v>
      </c>
      <c r="B8" s="20" t="s">
        <v>487</v>
      </c>
      <c r="C8" s="20" t="s">
        <v>706</v>
      </c>
      <c r="D8" s="137">
        <v>3310000</v>
      </c>
      <c r="E8" s="20" t="s">
        <v>435</v>
      </c>
      <c r="F8" s="20" t="s">
        <v>436</v>
      </c>
      <c r="G8" s="8" t="str">
        <f t="shared" si="0"/>
        <v>ANDERS STEVEN</v>
      </c>
      <c r="H8" s="20" t="str">
        <f t="shared" si="1"/>
        <v>4054</v>
      </c>
    </row>
    <row r="9" spans="1:8" ht="15" thickBot="1" x14ac:dyDescent="0.35">
      <c r="A9" s="24">
        <v>43114.110069444447</v>
      </c>
      <c r="B9" s="20" t="s">
        <v>567</v>
      </c>
      <c r="C9" s="20" t="s">
        <v>707</v>
      </c>
      <c r="D9" s="137">
        <v>1830000</v>
      </c>
      <c r="E9" s="20" t="s">
        <v>345</v>
      </c>
      <c r="F9" s="20" t="s">
        <v>346</v>
      </c>
      <c r="G9" s="8" t="str">
        <f t="shared" si="0"/>
        <v>YORK EDGAR</v>
      </c>
      <c r="H9" s="20" t="str">
        <f t="shared" si="1"/>
        <v>4031</v>
      </c>
    </row>
    <row r="10" spans="1:8" x14ac:dyDescent="0.3">
      <c r="A10" s="8">
        <v>43114.119710648149</v>
      </c>
      <c r="B10" s="20" t="s">
        <v>386</v>
      </c>
      <c r="C10" s="20" t="s">
        <v>708</v>
      </c>
      <c r="D10" s="137">
        <v>1830000</v>
      </c>
      <c r="E10" s="20" t="s">
        <v>345</v>
      </c>
      <c r="F10" s="20" t="s">
        <v>346</v>
      </c>
      <c r="G10" s="8" t="str">
        <f t="shared" si="0"/>
        <v>YORK EDGAR</v>
      </c>
      <c r="H10" s="20" t="str">
        <f t="shared" si="1"/>
        <v>4028</v>
      </c>
    </row>
    <row r="11" spans="1:8" x14ac:dyDescent="0.3">
      <c r="A11" s="8">
        <v>43114.128576388888</v>
      </c>
      <c r="B11" s="20" t="s">
        <v>566</v>
      </c>
      <c r="C11" s="20" t="s">
        <v>709</v>
      </c>
      <c r="D11" s="137">
        <v>2140000</v>
      </c>
      <c r="E11" s="20" t="s">
        <v>582</v>
      </c>
      <c r="F11" s="20" t="s">
        <v>583</v>
      </c>
      <c r="G11" s="8" t="str">
        <f t="shared" si="0"/>
        <v>ROBINSON KADDIBA</v>
      </c>
      <c r="H11" s="20" t="str">
        <f t="shared" si="1"/>
        <v>4032</v>
      </c>
    </row>
    <row r="12" spans="1:8" x14ac:dyDescent="0.3">
      <c r="A12" s="8">
        <v>43114.139143518521</v>
      </c>
      <c r="B12" s="20" t="s">
        <v>359</v>
      </c>
      <c r="C12" s="20" t="s">
        <v>710</v>
      </c>
      <c r="D12" s="137">
        <v>3040000</v>
      </c>
      <c r="E12" s="20" t="s">
        <v>365</v>
      </c>
      <c r="F12" s="20" t="s">
        <v>459</v>
      </c>
      <c r="G12" s="8" t="str">
        <f t="shared" si="0"/>
        <v>WILLIAMS DONTE</v>
      </c>
      <c r="H12" s="20" t="str">
        <f t="shared" si="1"/>
        <v>4017</v>
      </c>
    </row>
    <row r="13" spans="1:8" x14ac:dyDescent="0.3">
      <c r="A13" s="8">
        <v>43114.141342592593</v>
      </c>
      <c r="B13" s="20" t="s">
        <v>567</v>
      </c>
      <c r="C13" s="20" t="s">
        <v>709</v>
      </c>
      <c r="D13" s="137">
        <v>2140000</v>
      </c>
      <c r="E13" s="20" t="s">
        <v>582</v>
      </c>
      <c r="F13" s="20" t="s">
        <v>583</v>
      </c>
      <c r="G13" s="8" t="str">
        <f t="shared" si="0"/>
        <v>ROBINSON KADDIBA</v>
      </c>
      <c r="H13" s="20" t="str">
        <f t="shared" si="1"/>
        <v>4031</v>
      </c>
    </row>
    <row r="14" spans="1:8" x14ac:dyDescent="0.3">
      <c r="A14" s="8">
        <v>43114.141898148147</v>
      </c>
      <c r="B14" s="20" t="s">
        <v>567</v>
      </c>
      <c r="C14" s="20" t="s">
        <v>709</v>
      </c>
      <c r="D14" s="137">
        <v>2140000</v>
      </c>
      <c r="E14" s="20" t="s">
        <v>582</v>
      </c>
      <c r="F14" s="20" t="s">
        <v>583</v>
      </c>
      <c r="G14" s="8" t="str">
        <f t="shared" si="0"/>
        <v>ROBINSON KADDIBA</v>
      </c>
      <c r="H14" s="20" t="str">
        <f t="shared" si="1"/>
        <v>4031</v>
      </c>
    </row>
    <row r="15" spans="1:8" x14ac:dyDescent="0.3">
      <c r="A15" s="8">
        <v>43114.142604166664</v>
      </c>
      <c r="B15" s="20" t="s">
        <v>567</v>
      </c>
      <c r="C15" s="20" t="s">
        <v>709</v>
      </c>
      <c r="D15" s="137">
        <v>2140000</v>
      </c>
      <c r="E15" s="20" t="s">
        <v>582</v>
      </c>
      <c r="F15" s="20" t="s">
        <v>583</v>
      </c>
      <c r="G15" s="8" t="str">
        <f t="shared" si="0"/>
        <v>ROBINSON KADDIBA</v>
      </c>
      <c r="H15" s="20" t="str">
        <f t="shared" si="1"/>
        <v>4031</v>
      </c>
    </row>
    <row r="16" spans="1:8" x14ac:dyDescent="0.3">
      <c r="A16" s="8">
        <v>43114.150856481479</v>
      </c>
      <c r="B16" s="20" t="s">
        <v>357</v>
      </c>
      <c r="C16" s="20" t="s">
        <v>711</v>
      </c>
      <c r="D16" s="137">
        <v>3040000</v>
      </c>
      <c r="E16" s="20" t="s">
        <v>365</v>
      </c>
      <c r="F16" s="20" t="s">
        <v>459</v>
      </c>
      <c r="G16" s="8" t="str">
        <f t="shared" si="0"/>
        <v>WILLIAMS DONTE</v>
      </c>
      <c r="H16" s="20" t="str">
        <f t="shared" si="1"/>
        <v>4018</v>
      </c>
    </row>
    <row r="17" spans="1:8" x14ac:dyDescent="0.3">
      <c r="A17" s="8">
        <v>43114.153437499997</v>
      </c>
      <c r="B17" s="20" t="s">
        <v>573</v>
      </c>
      <c r="C17" s="20" t="s">
        <v>712</v>
      </c>
      <c r="D17" s="137">
        <v>2970000</v>
      </c>
      <c r="E17" s="20" t="s">
        <v>370</v>
      </c>
      <c r="F17" s="20" t="s">
        <v>371</v>
      </c>
      <c r="G17" s="8" t="str">
        <f t="shared" si="0"/>
        <v>GUZMAN DANNY</v>
      </c>
      <c r="H17" s="20" t="str">
        <f t="shared" si="1"/>
        <v>4049</v>
      </c>
    </row>
    <row r="18" spans="1:8" x14ac:dyDescent="0.3">
      <c r="A18" s="8">
        <v>43114.160879629628</v>
      </c>
      <c r="B18" s="20" t="s">
        <v>713</v>
      </c>
      <c r="C18" s="20" t="s">
        <v>714</v>
      </c>
      <c r="D18" s="137">
        <v>1830000</v>
      </c>
      <c r="E18" s="20" t="s">
        <v>345</v>
      </c>
      <c r="F18" s="20" t="s">
        <v>346</v>
      </c>
      <c r="G18" s="8" t="str">
        <f t="shared" si="0"/>
        <v>YORK EDGAR</v>
      </c>
      <c r="H18" s="20" t="str">
        <f t="shared" si="1"/>
        <v>4027</v>
      </c>
    </row>
    <row r="19" spans="1:8" x14ac:dyDescent="0.3">
      <c r="A19" s="8">
        <v>43114.166041666664</v>
      </c>
      <c r="B19" s="20" t="s">
        <v>433</v>
      </c>
      <c r="C19" s="20" t="s">
        <v>715</v>
      </c>
      <c r="D19" s="137">
        <v>2970000</v>
      </c>
      <c r="E19" s="20" t="s">
        <v>370</v>
      </c>
      <c r="F19" s="20" t="s">
        <v>371</v>
      </c>
      <c r="G19" s="8" t="str">
        <f t="shared" si="0"/>
        <v>GUZMAN DANNY</v>
      </c>
      <c r="H19" s="20" t="str">
        <f t="shared" si="1"/>
        <v>4050</v>
      </c>
    </row>
    <row r="20" spans="1:8" x14ac:dyDescent="0.3">
      <c r="A20" s="8">
        <v>43114.167187500003</v>
      </c>
      <c r="B20" s="20" t="s">
        <v>577</v>
      </c>
      <c r="C20" s="20" t="s">
        <v>716</v>
      </c>
      <c r="D20" s="137">
        <v>2600000</v>
      </c>
      <c r="E20" s="20" t="s">
        <v>489</v>
      </c>
      <c r="F20" s="20" t="s">
        <v>440</v>
      </c>
      <c r="G20" s="8" t="str">
        <f t="shared" si="0"/>
        <v>DAVIDSON DAVID</v>
      </c>
      <c r="H20" s="20" t="str">
        <f t="shared" si="1"/>
        <v>4021</v>
      </c>
    </row>
    <row r="21" spans="1:8" x14ac:dyDescent="0.3">
      <c r="A21" s="8">
        <v>43114.178576388891</v>
      </c>
      <c r="B21" s="20" t="s">
        <v>380</v>
      </c>
      <c r="C21" s="20" t="s">
        <v>717</v>
      </c>
      <c r="D21" s="137">
        <v>2600000</v>
      </c>
      <c r="E21" s="20" t="s">
        <v>489</v>
      </c>
      <c r="F21" s="20" t="s">
        <v>440</v>
      </c>
      <c r="G21" s="8" t="str">
        <f t="shared" si="0"/>
        <v>DAVIDSON DAVID</v>
      </c>
      <c r="H21" s="20" t="str">
        <f t="shared" si="1"/>
        <v>4022</v>
      </c>
    </row>
    <row r="22" spans="1:8" x14ac:dyDescent="0.3">
      <c r="A22" s="26">
        <v>43114.179074074076</v>
      </c>
      <c r="B22" s="20" t="s">
        <v>507</v>
      </c>
      <c r="C22" s="20" t="s">
        <v>718</v>
      </c>
      <c r="D22" s="137">
        <v>1100000</v>
      </c>
      <c r="E22" s="20" t="s">
        <v>517</v>
      </c>
      <c r="F22" s="20" t="s">
        <v>518</v>
      </c>
      <c r="G22" s="8" t="str">
        <f t="shared" si="0"/>
        <v>GEBRETEKLE DAGNEW</v>
      </c>
      <c r="H22" s="20" t="str">
        <f t="shared" si="1"/>
        <v>4039</v>
      </c>
    </row>
    <row r="23" spans="1:8" x14ac:dyDescent="0.3">
      <c r="A23" s="8">
        <v>43114.192766203705</v>
      </c>
      <c r="B23" s="20" t="s">
        <v>359</v>
      </c>
      <c r="C23" s="20" t="s">
        <v>719</v>
      </c>
      <c r="D23" s="137">
        <v>3040000</v>
      </c>
      <c r="E23" s="20" t="s">
        <v>365</v>
      </c>
      <c r="F23" s="20" t="s">
        <v>459</v>
      </c>
      <c r="G23" s="8" t="str">
        <f t="shared" si="0"/>
        <v>WILLIAMS DONTE</v>
      </c>
      <c r="H23" s="20" t="str">
        <f t="shared" si="1"/>
        <v>4017</v>
      </c>
    </row>
    <row r="24" spans="1:8" x14ac:dyDescent="0.3">
      <c r="A24" s="8">
        <v>43114.194120370368</v>
      </c>
      <c r="B24" s="20" t="s">
        <v>508</v>
      </c>
      <c r="C24" s="20" t="s">
        <v>720</v>
      </c>
      <c r="D24" s="137">
        <v>1100000</v>
      </c>
      <c r="E24" s="20" t="s">
        <v>517</v>
      </c>
      <c r="F24" s="20" t="s">
        <v>518</v>
      </c>
      <c r="G24" s="8" t="str">
        <f t="shared" si="0"/>
        <v>GEBRETEKLE DAGNEW</v>
      </c>
      <c r="H24" s="20" t="str">
        <f t="shared" si="1"/>
        <v>4040</v>
      </c>
    </row>
    <row r="25" spans="1:8" x14ac:dyDescent="0.3">
      <c r="A25" s="8">
        <v>43114.201608796298</v>
      </c>
      <c r="B25" s="20" t="s">
        <v>386</v>
      </c>
      <c r="C25" s="20" t="s">
        <v>721</v>
      </c>
      <c r="D25" s="137">
        <v>1830000</v>
      </c>
      <c r="E25" s="20" t="s">
        <v>345</v>
      </c>
      <c r="F25" s="20" t="s">
        <v>346</v>
      </c>
      <c r="G25" s="8" t="str">
        <f t="shared" si="0"/>
        <v>YORK EDGAR</v>
      </c>
      <c r="H25" s="20" t="str">
        <f t="shared" si="1"/>
        <v>4028</v>
      </c>
    </row>
    <row r="26" spans="1:8" x14ac:dyDescent="0.3">
      <c r="A26" s="8">
        <v>43114.203101851854</v>
      </c>
      <c r="B26" s="20" t="s">
        <v>573</v>
      </c>
      <c r="C26" s="20" t="s">
        <v>722</v>
      </c>
      <c r="D26" s="137">
        <v>2970000</v>
      </c>
      <c r="E26" s="20" t="s">
        <v>370</v>
      </c>
      <c r="F26" s="20" t="s">
        <v>371</v>
      </c>
      <c r="G26" s="8" t="str">
        <f t="shared" si="0"/>
        <v>GUZMAN DANNY</v>
      </c>
      <c r="H26" s="20" t="str">
        <f t="shared" si="1"/>
        <v>4049</v>
      </c>
    </row>
    <row r="27" spans="1:8" x14ac:dyDescent="0.3">
      <c r="A27" s="8">
        <v>43114.203449074077</v>
      </c>
      <c r="B27" s="20" t="s">
        <v>473</v>
      </c>
      <c r="C27" s="20" t="s">
        <v>723</v>
      </c>
      <c r="D27" s="137">
        <v>3810000</v>
      </c>
      <c r="E27" s="20" t="s">
        <v>494</v>
      </c>
      <c r="F27" s="20" t="s">
        <v>495</v>
      </c>
      <c r="G27" s="8" t="str">
        <f t="shared" si="0"/>
        <v>LORI SANTOS</v>
      </c>
      <c r="H27" s="20" t="str">
        <f t="shared" si="1"/>
        <v>4025</v>
      </c>
    </row>
    <row r="28" spans="1:8" x14ac:dyDescent="0.3">
      <c r="A28" s="8">
        <v>43114.209606481483</v>
      </c>
      <c r="B28" s="20" t="s">
        <v>569</v>
      </c>
      <c r="C28" s="20" t="s">
        <v>724</v>
      </c>
      <c r="D28" s="137">
        <v>1810000</v>
      </c>
      <c r="E28" s="20" t="s">
        <v>511</v>
      </c>
      <c r="F28" s="20" t="s">
        <v>390</v>
      </c>
      <c r="G28" s="8" t="str">
        <f t="shared" si="0"/>
        <v>NEWELL JAMES</v>
      </c>
      <c r="H28" s="20" t="str">
        <f t="shared" si="1"/>
        <v>4015</v>
      </c>
    </row>
    <row r="29" spans="1:8" x14ac:dyDescent="0.3">
      <c r="A29" s="8">
        <v>43114.214745370373</v>
      </c>
      <c r="B29" s="20" t="s">
        <v>577</v>
      </c>
      <c r="C29" s="20" t="s">
        <v>725</v>
      </c>
      <c r="D29" s="137">
        <v>2600000</v>
      </c>
      <c r="E29" s="20" t="s">
        <v>489</v>
      </c>
      <c r="F29" s="20" t="s">
        <v>440</v>
      </c>
      <c r="G29" s="8" t="str">
        <f t="shared" si="0"/>
        <v>DAVIDSON DAVID</v>
      </c>
      <c r="H29" s="20" t="str">
        <f t="shared" si="1"/>
        <v>4021</v>
      </c>
    </row>
    <row r="30" spans="1:8" x14ac:dyDescent="0.3">
      <c r="A30" s="8">
        <v>43114.217094907406</v>
      </c>
      <c r="B30" s="20" t="s">
        <v>475</v>
      </c>
      <c r="C30" s="20" t="s">
        <v>726</v>
      </c>
      <c r="D30" s="137">
        <v>3810000</v>
      </c>
      <c r="E30" s="20" t="s">
        <v>494</v>
      </c>
      <c r="F30" s="20" t="s">
        <v>495</v>
      </c>
      <c r="G30" s="8" t="str">
        <f t="shared" si="0"/>
        <v>LORI SANTOS</v>
      </c>
      <c r="H30" s="20" t="str">
        <f t="shared" si="1"/>
        <v>4026</v>
      </c>
    </row>
    <row r="31" spans="1:8" x14ac:dyDescent="0.3">
      <c r="A31" s="8">
        <v>43114.220972222225</v>
      </c>
      <c r="B31" s="20" t="s">
        <v>679</v>
      </c>
      <c r="C31" s="20" t="s">
        <v>727</v>
      </c>
      <c r="D31" s="137">
        <v>3330000</v>
      </c>
      <c r="E31" s="20" t="s">
        <v>578</v>
      </c>
      <c r="F31" s="20" t="s">
        <v>579</v>
      </c>
      <c r="G31" s="8" t="str">
        <f t="shared" si="0"/>
        <v>GONZALEZ ARMANDO</v>
      </c>
      <c r="H31" s="20" t="str">
        <f t="shared" si="1"/>
        <v>4002</v>
      </c>
    </row>
    <row r="32" spans="1:8" x14ac:dyDescent="0.3">
      <c r="A32" s="8">
        <v>43114.221631944441</v>
      </c>
      <c r="B32" s="20" t="s">
        <v>679</v>
      </c>
      <c r="C32" s="20" t="s">
        <v>727</v>
      </c>
      <c r="D32" s="137">
        <v>3330000</v>
      </c>
      <c r="E32" s="20" t="s">
        <v>578</v>
      </c>
      <c r="F32" s="20" t="s">
        <v>579</v>
      </c>
      <c r="G32" s="8" t="str">
        <f t="shared" si="0"/>
        <v>GONZALEZ ARMANDO</v>
      </c>
      <c r="H32" s="20" t="str">
        <f t="shared" si="1"/>
        <v>4002</v>
      </c>
    </row>
    <row r="33" spans="1:8" x14ac:dyDescent="0.3">
      <c r="A33" s="8">
        <v>43114.223078703704</v>
      </c>
      <c r="B33" s="20" t="s">
        <v>679</v>
      </c>
      <c r="C33" s="20" t="s">
        <v>727</v>
      </c>
      <c r="D33" s="137">
        <v>3330000</v>
      </c>
      <c r="E33" s="20" t="s">
        <v>578</v>
      </c>
      <c r="F33" s="20" t="s">
        <v>579</v>
      </c>
      <c r="G33" s="8" t="str">
        <f t="shared" si="0"/>
        <v>GONZALEZ ARMANDO</v>
      </c>
      <c r="H33" s="20" t="str">
        <f t="shared" si="1"/>
        <v>4002</v>
      </c>
    </row>
    <row r="34" spans="1:8" x14ac:dyDescent="0.3">
      <c r="A34" s="8">
        <v>43114.224189814813</v>
      </c>
      <c r="B34" s="20" t="s">
        <v>357</v>
      </c>
      <c r="C34" s="20" t="s">
        <v>728</v>
      </c>
      <c r="D34" s="137">
        <v>3040000</v>
      </c>
      <c r="E34" s="20" t="s">
        <v>365</v>
      </c>
      <c r="F34" s="20" t="s">
        <v>459</v>
      </c>
      <c r="G34" s="8" t="str">
        <f t="shared" si="0"/>
        <v>WILLIAMS DONTE</v>
      </c>
      <c r="H34" s="20" t="str">
        <f t="shared" si="1"/>
        <v>4018</v>
      </c>
    </row>
    <row r="35" spans="1:8" x14ac:dyDescent="0.3">
      <c r="A35" s="8">
        <v>43114.224560185183</v>
      </c>
      <c r="B35" s="20" t="s">
        <v>507</v>
      </c>
      <c r="C35" s="20" t="s">
        <v>729</v>
      </c>
      <c r="D35" s="137">
        <v>1100000</v>
      </c>
      <c r="E35" s="20" t="s">
        <v>517</v>
      </c>
      <c r="F35" s="20" t="s">
        <v>518</v>
      </c>
      <c r="G35" s="8" t="str">
        <f t="shared" si="0"/>
        <v>GEBRETEKLE DAGNEW</v>
      </c>
      <c r="H35" s="20" t="str">
        <f t="shared" si="1"/>
        <v>4039</v>
      </c>
    </row>
    <row r="36" spans="1:8" x14ac:dyDescent="0.3">
      <c r="A36" s="8">
        <v>43114.230694444443</v>
      </c>
      <c r="B36" s="20" t="s">
        <v>576</v>
      </c>
      <c r="C36" s="20" t="s">
        <v>730</v>
      </c>
      <c r="D36" s="137">
        <v>1810000</v>
      </c>
      <c r="E36" s="20" t="s">
        <v>511</v>
      </c>
      <c r="F36" s="20" t="s">
        <v>390</v>
      </c>
      <c r="G36" s="8" t="str">
        <f t="shared" si="0"/>
        <v>NEWELL JAMES</v>
      </c>
      <c r="H36" s="20" t="str">
        <f t="shared" si="1"/>
        <v>4016</v>
      </c>
    </row>
    <row r="37" spans="1:8" x14ac:dyDescent="0.3">
      <c r="A37" s="8">
        <v>43114.234305555554</v>
      </c>
      <c r="B37" s="20" t="s">
        <v>713</v>
      </c>
      <c r="C37" s="20" t="s">
        <v>731</v>
      </c>
      <c r="D37" s="137">
        <v>1830000</v>
      </c>
      <c r="E37" s="20" t="s">
        <v>345</v>
      </c>
      <c r="F37" s="20" t="s">
        <v>346</v>
      </c>
      <c r="G37" s="8" t="str">
        <f t="shared" si="0"/>
        <v>YORK EDGAR</v>
      </c>
      <c r="H37" s="20" t="str">
        <f t="shared" si="1"/>
        <v>4027</v>
      </c>
    </row>
    <row r="38" spans="1:8" x14ac:dyDescent="0.3">
      <c r="A38" s="8">
        <v>43114.234513888892</v>
      </c>
      <c r="B38" s="20" t="s">
        <v>689</v>
      </c>
      <c r="C38" s="20" t="s">
        <v>732</v>
      </c>
      <c r="D38" s="137">
        <v>3330000</v>
      </c>
      <c r="E38" s="20" t="s">
        <v>578</v>
      </c>
      <c r="F38" s="20" t="s">
        <v>579</v>
      </c>
      <c r="G38" s="8" t="str">
        <f t="shared" si="0"/>
        <v>GONZALEZ ARMANDO</v>
      </c>
      <c r="H38" s="20" t="str">
        <f t="shared" si="1"/>
        <v>4001</v>
      </c>
    </row>
    <row r="39" spans="1:8" x14ac:dyDescent="0.3">
      <c r="A39" s="8">
        <v>43114.245057870372</v>
      </c>
      <c r="B39" s="20" t="s">
        <v>433</v>
      </c>
      <c r="C39" s="20" t="s">
        <v>733</v>
      </c>
      <c r="D39" s="137">
        <v>2420000</v>
      </c>
      <c r="E39" s="20" t="s">
        <v>521</v>
      </c>
      <c r="F39" s="20" t="s">
        <v>522</v>
      </c>
      <c r="G39" s="8" t="str">
        <f t="shared" si="0"/>
        <v>HOLCOMB KAMDEN</v>
      </c>
      <c r="H39" s="20" t="str">
        <f t="shared" si="1"/>
        <v>4050</v>
      </c>
    </row>
    <row r="40" spans="1:8" x14ac:dyDescent="0.3">
      <c r="A40" s="8">
        <v>43114.248611111114</v>
      </c>
      <c r="B40" s="25" t="s">
        <v>679</v>
      </c>
      <c r="C40" s="20" t="s">
        <v>680</v>
      </c>
      <c r="D40" s="137">
        <v>3330000</v>
      </c>
      <c r="E40" s="20" t="s">
        <v>578</v>
      </c>
      <c r="F40" s="20" t="s">
        <v>579</v>
      </c>
      <c r="G40" s="8" t="str">
        <f t="shared" si="0"/>
        <v>GONZALEZ ARMANDO</v>
      </c>
      <c r="H40" s="20" t="str">
        <f t="shared" si="1"/>
        <v>4002</v>
      </c>
    </row>
    <row r="41" spans="1:8" x14ac:dyDescent="0.3">
      <c r="A41" s="8">
        <v>43114.255949074075</v>
      </c>
      <c r="B41" s="20" t="s">
        <v>380</v>
      </c>
      <c r="C41" s="20" t="s">
        <v>734</v>
      </c>
      <c r="D41" s="137">
        <v>2600000</v>
      </c>
      <c r="E41" s="20" t="s">
        <v>489</v>
      </c>
      <c r="F41" s="20" t="s">
        <v>440</v>
      </c>
      <c r="G41" s="8" t="str">
        <f t="shared" si="0"/>
        <v>DAVIDSON DAVID</v>
      </c>
      <c r="H41" s="20" t="str">
        <f t="shared" si="1"/>
        <v>4022</v>
      </c>
    </row>
    <row r="42" spans="1:8" x14ac:dyDescent="0.3">
      <c r="A42" s="8">
        <v>43114.256678240738</v>
      </c>
      <c r="B42" s="20" t="s">
        <v>473</v>
      </c>
      <c r="C42" s="20" t="s">
        <v>681</v>
      </c>
      <c r="D42" s="137">
        <v>3810000</v>
      </c>
      <c r="E42" s="20" t="s">
        <v>494</v>
      </c>
      <c r="F42" s="20" t="s">
        <v>495</v>
      </c>
      <c r="G42" s="8" t="str">
        <f t="shared" si="0"/>
        <v>LORI SANTOS</v>
      </c>
      <c r="H42" s="20" t="str">
        <f t="shared" si="1"/>
        <v>4025</v>
      </c>
    </row>
    <row r="43" spans="1:8" x14ac:dyDescent="0.3">
      <c r="A43" s="8">
        <v>43114.265266203707</v>
      </c>
      <c r="B43" s="20" t="s">
        <v>359</v>
      </c>
      <c r="C43" s="20" t="s">
        <v>735</v>
      </c>
      <c r="D43" s="137">
        <v>3040000</v>
      </c>
      <c r="E43" s="20" t="s">
        <v>365</v>
      </c>
      <c r="F43" s="20" t="s">
        <v>459</v>
      </c>
      <c r="G43" s="8" t="str">
        <f t="shared" si="0"/>
        <v>WILLIAMS DONTE</v>
      </c>
      <c r="H43" s="20" t="str">
        <f t="shared" si="1"/>
        <v>4017</v>
      </c>
    </row>
    <row r="44" spans="1:8" x14ac:dyDescent="0.3">
      <c r="A44" s="8">
        <v>43114.265532407408</v>
      </c>
      <c r="B44" s="20" t="s">
        <v>508</v>
      </c>
      <c r="C44" s="20" t="s">
        <v>682</v>
      </c>
      <c r="D44" s="137">
        <v>1100000</v>
      </c>
      <c r="E44" s="20" t="s">
        <v>517</v>
      </c>
      <c r="F44" s="20" t="s">
        <v>518</v>
      </c>
      <c r="G44" s="8" t="str">
        <f t="shared" si="0"/>
        <v>GEBRETEKLE DAGNEW</v>
      </c>
      <c r="H44" s="20" t="str">
        <f t="shared" si="1"/>
        <v>4040</v>
      </c>
    </row>
    <row r="45" spans="1:8" x14ac:dyDescent="0.3">
      <c r="A45" s="8">
        <v>43114.269386574073</v>
      </c>
      <c r="B45" s="20" t="s">
        <v>689</v>
      </c>
      <c r="C45" s="20" t="s">
        <v>736</v>
      </c>
      <c r="D45" s="137">
        <v>3330000</v>
      </c>
      <c r="E45" s="20" t="s">
        <v>578</v>
      </c>
      <c r="F45" s="20" t="s">
        <v>579</v>
      </c>
      <c r="G45" s="8" t="str">
        <f t="shared" si="0"/>
        <v>GONZALEZ ARMANDO</v>
      </c>
      <c r="H45" s="20" t="str">
        <f t="shared" si="1"/>
        <v>4001</v>
      </c>
    </row>
    <row r="46" spans="1:8" x14ac:dyDescent="0.3">
      <c r="A46" s="8">
        <v>43114.273796296293</v>
      </c>
      <c r="B46" s="20" t="s">
        <v>569</v>
      </c>
      <c r="C46" s="20" t="s">
        <v>737</v>
      </c>
      <c r="D46" s="137">
        <v>1810000</v>
      </c>
      <c r="E46" s="20" t="s">
        <v>511</v>
      </c>
      <c r="F46" s="20" t="s">
        <v>390</v>
      </c>
      <c r="G46" s="8" t="str">
        <f t="shared" si="0"/>
        <v>NEWELL JAMES</v>
      </c>
      <c r="H46" s="20" t="str">
        <f t="shared" si="1"/>
        <v>4015</v>
      </c>
    </row>
    <row r="47" spans="1:8" x14ac:dyDescent="0.3">
      <c r="A47" s="8">
        <v>43114.275254629632</v>
      </c>
      <c r="B47" s="20" t="s">
        <v>386</v>
      </c>
      <c r="C47" s="20" t="s">
        <v>738</v>
      </c>
      <c r="D47" s="137">
        <v>1830000</v>
      </c>
      <c r="E47" s="20" t="s">
        <v>345</v>
      </c>
      <c r="F47" s="20" t="s">
        <v>346</v>
      </c>
      <c r="G47" s="8" t="str">
        <f t="shared" si="0"/>
        <v>YORK EDGAR</v>
      </c>
      <c r="H47" s="20" t="str">
        <f t="shared" si="1"/>
        <v>4028</v>
      </c>
    </row>
    <row r="48" spans="1:8" x14ac:dyDescent="0.3">
      <c r="A48" s="8">
        <v>43114.281481481485</v>
      </c>
      <c r="B48" s="20" t="s">
        <v>508</v>
      </c>
      <c r="C48" s="20" t="s">
        <v>682</v>
      </c>
      <c r="D48" s="137">
        <v>1100000</v>
      </c>
      <c r="E48" s="20" t="s">
        <v>517</v>
      </c>
      <c r="F48" s="20" t="s">
        <v>518</v>
      </c>
      <c r="G48" s="8" t="str">
        <f t="shared" si="0"/>
        <v>GEBRETEKLE DAGNEW</v>
      </c>
      <c r="H48" s="20" t="str">
        <f t="shared" si="1"/>
        <v>4040</v>
      </c>
    </row>
    <row r="49" spans="1:8" x14ac:dyDescent="0.3">
      <c r="A49" s="8">
        <v>43114.285555555558</v>
      </c>
      <c r="B49" s="20" t="s">
        <v>573</v>
      </c>
      <c r="C49" s="20" t="s">
        <v>739</v>
      </c>
      <c r="D49" s="137">
        <v>2420000</v>
      </c>
      <c r="E49" s="20" t="s">
        <v>521</v>
      </c>
      <c r="F49" s="20" t="s">
        <v>522</v>
      </c>
      <c r="G49" s="8" t="str">
        <f t="shared" si="0"/>
        <v>HOLCOMB KAMDEN</v>
      </c>
      <c r="H49" s="20" t="str">
        <f t="shared" si="1"/>
        <v>4049</v>
      </c>
    </row>
    <row r="50" spans="1:8" x14ac:dyDescent="0.3">
      <c r="A50" s="8">
        <v>43114.28869212963</v>
      </c>
      <c r="B50" s="20" t="s">
        <v>577</v>
      </c>
      <c r="C50" s="20" t="s">
        <v>740</v>
      </c>
      <c r="D50" s="137">
        <v>2600000</v>
      </c>
      <c r="E50" s="20" t="s">
        <v>489</v>
      </c>
      <c r="F50" s="20" t="s">
        <v>440</v>
      </c>
      <c r="G50" s="8" t="str">
        <f t="shared" si="0"/>
        <v>DAVIDSON DAVID</v>
      </c>
      <c r="H50" s="20" t="str">
        <f t="shared" si="1"/>
        <v>4021</v>
      </c>
    </row>
    <row r="51" spans="1:8" x14ac:dyDescent="0.3">
      <c r="A51" s="8">
        <v>43114.289965277778</v>
      </c>
      <c r="B51" s="20" t="s">
        <v>475</v>
      </c>
      <c r="C51" s="20" t="s">
        <v>741</v>
      </c>
      <c r="D51" s="137">
        <v>2270000</v>
      </c>
      <c r="E51" s="20" t="s">
        <v>742</v>
      </c>
      <c r="F51" s="20" t="s">
        <v>743</v>
      </c>
      <c r="G51" s="8" t="str">
        <f t="shared" si="0"/>
        <v>BROWN JACOB</v>
      </c>
      <c r="H51" s="20" t="str">
        <f t="shared" si="1"/>
        <v>4026</v>
      </c>
    </row>
    <row r="52" spans="1:8" x14ac:dyDescent="0.3">
      <c r="A52" s="8">
        <v>43114.295057870368</v>
      </c>
      <c r="B52" s="20" t="s">
        <v>679</v>
      </c>
      <c r="C52" s="20" t="s">
        <v>744</v>
      </c>
      <c r="D52" s="137">
        <v>3330000</v>
      </c>
      <c r="E52" s="20" t="s">
        <v>578</v>
      </c>
      <c r="F52" s="20" t="s">
        <v>579</v>
      </c>
      <c r="G52" s="8" t="str">
        <f t="shared" si="0"/>
        <v>GONZALEZ ARMANDO</v>
      </c>
      <c r="H52" s="20" t="str">
        <f t="shared" si="1"/>
        <v>4002</v>
      </c>
    </row>
    <row r="53" spans="1:8" x14ac:dyDescent="0.3">
      <c r="A53" s="8">
        <v>43114.298564814817</v>
      </c>
      <c r="B53" s="20" t="s">
        <v>507</v>
      </c>
      <c r="C53" s="20" t="s">
        <v>745</v>
      </c>
      <c r="D53" s="137">
        <v>1100000</v>
      </c>
      <c r="E53" s="20" t="s">
        <v>517</v>
      </c>
      <c r="F53" s="20" t="s">
        <v>518</v>
      </c>
      <c r="G53" s="8" t="str">
        <f t="shared" si="0"/>
        <v>GEBRETEKLE DAGNEW</v>
      </c>
      <c r="H53" s="20" t="str">
        <f t="shared" si="1"/>
        <v>4039</v>
      </c>
    </row>
    <row r="54" spans="1:8" x14ac:dyDescent="0.3">
      <c r="A54" s="8">
        <v>43114.299050925925</v>
      </c>
      <c r="B54" s="20" t="s">
        <v>357</v>
      </c>
      <c r="C54" s="20" t="s">
        <v>746</v>
      </c>
      <c r="D54" s="137">
        <v>2030000</v>
      </c>
      <c r="E54" s="20" t="s">
        <v>747</v>
      </c>
      <c r="F54" s="20" t="s">
        <v>440</v>
      </c>
      <c r="G54" s="8" t="str">
        <f t="shared" si="0"/>
        <v>KILLION DAVID</v>
      </c>
      <c r="H54" s="20" t="str">
        <f t="shared" si="1"/>
        <v>4018</v>
      </c>
    </row>
    <row r="55" spans="1:8" x14ac:dyDescent="0.3">
      <c r="A55" s="8">
        <v>43114.306840277779</v>
      </c>
      <c r="B55" s="20" t="s">
        <v>576</v>
      </c>
      <c r="C55" s="20" t="s">
        <v>748</v>
      </c>
      <c r="D55" s="137">
        <v>1810000</v>
      </c>
      <c r="E55" s="20" t="s">
        <v>511</v>
      </c>
      <c r="F55" s="20" t="s">
        <v>390</v>
      </c>
      <c r="G55" s="8" t="str">
        <f t="shared" si="0"/>
        <v>NEWELL JAMES</v>
      </c>
      <c r="H55" s="20" t="str">
        <f t="shared" si="1"/>
        <v>4016</v>
      </c>
    </row>
    <row r="56" spans="1:8" x14ac:dyDescent="0.3">
      <c r="A56" s="8">
        <v>43114.309629629628</v>
      </c>
      <c r="B56" s="20" t="s">
        <v>689</v>
      </c>
      <c r="C56" s="20" t="s">
        <v>749</v>
      </c>
      <c r="D56" s="137">
        <v>3330000</v>
      </c>
      <c r="E56" s="20" t="s">
        <v>578</v>
      </c>
      <c r="F56" s="20" t="s">
        <v>579</v>
      </c>
      <c r="G56" s="8" t="str">
        <f t="shared" si="0"/>
        <v>GONZALEZ ARMANDO</v>
      </c>
      <c r="H56" s="20" t="str">
        <f t="shared" si="1"/>
        <v>4001</v>
      </c>
    </row>
    <row r="57" spans="1:8" x14ac:dyDescent="0.3">
      <c r="A57" s="8">
        <v>43114.318611111114</v>
      </c>
      <c r="B57" s="20" t="s">
        <v>433</v>
      </c>
      <c r="C57" s="20" t="s">
        <v>750</v>
      </c>
      <c r="D57" s="137">
        <v>2970000</v>
      </c>
      <c r="E57" s="20" t="s">
        <v>370</v>
      </c>
      <c r="F57" s="20" t="s">
        <v>371</v>
      </c>
      <c r="G57" s="8" t="str">
        <f t="shared" si="0"/>
        <v>GUZMAN DANNY</v>
      </c>
      <c r="H57" s="20" t="str">
        <f t="shared" si="1"/>
        <v>4050</v>
      </c>
    </row>
    <row r="58" spans="1:8" x14ac:dyDescent="0.3">
      <c r="A58" s="8">
        <v>43114.320451388892</v>
      </c>
      <c r="B58" s="20" t="s">
        <v>713</v>
      </c>
      <c r="C58" s="20" t="s">
        <v>751</v>
      </c>
      <c r="D58" s="137">
        <v>1830000</v>
      </c>
      <c r="E58" s="20" t="s">
        <v>345</v>
      </c>
      <c r="F58" s="20" t="s">
        <v>346</v>
      </c>
      <c r="G58" s="8" t="str">
        <f t="shared" si="0"/>
        <v>YORK EDGAR</v>
      </c>
      <c r="H58" s="20" t="str">
        <f t="shared" si="1"/>
        <v>4027</v>
      </c>
    </row>
    <row r="59" spans="1:8" x14ac:dyDescent="0.3">
      <c r="A59" s="8">
        <v>43114.323136574072</v>
      </c>
      <c r="B59" s="20" t="s">
        <v>473</v>
      </c>
      <c r="C59" s="20" t="s">
        <v>752</v>
      </c>
      <c r="D59" s="137">
        <v>2270000</v>
      </c>
      <c r="E59" s="20" t="s">
        <v>742</v>
      </c>
      <c r="F59" s="20" t="s">
        <v>743</v>
      </c>
      <c r="G59" s="8" t="str">
        <f t="shared" si="0"/>
        <v>BROWN JACOB</v>
      </c>
      <c r="H59" s="20" t="str">
        <f t="shared" si="1"/>
        <v>4025</v>
      </c>
    </row>
    <row r="60" spans="1:8" x14ac:dyDescent="0.3">
      <c r="A60" s="8">
        <v>43114.328738425924</v>
      </c>
      <c r="B60" s="20" t="s">
        <v>380</v>
      </c>
      <c r="C60" s="20" t="s">
        <v>753</v>
      </c>
      <c r="D60" s="137">
        <v>2600000</v>
      </c>
      <c r="E60" s="20" t="s">
        <v>489</v>
      </c>
      <c r="F60" s="20" t="s">
        <v>440</v>
      </c>
      <c r="G60" s="8" t="str">
        <f t="shared" si="0"/>
        <v>DAVIDSON DAVID</v>
      </c>
      <c r="H60" s="20" t="str">
        <f t="shared" si="1"/>
        <v>4022</v>
      </c>
    </row>
    <row r="61" spans="1:8" x14ac:dyDescent="0.3">
      <c r="A61" s="8">
        <v>43114.332627314812</v>
      </c>
      <c r="B61" s="20" t="s">
        <v>359</v>
      </c>
      <c r="C61" s="20" t="s">
        <v>754</v>
      </c>
      <c r="D61" s="137">
        <v>2030000</v>
      </c>
      <c r="E61" s="20" t="s">
        <v>747</v>
      </c>
      <c r="F61" s="20" t="s">
        <v>440</v>
      </c>
      <c r="G61" s="8" t="str">
        <f t="shared" si="0"/>
        <v>KILLION DAVID</v>
      </c>
      <c r="H61" s="20" t="str">
        <f t="shared" si="1"/>
        <v>4017</v>
      </c>
    </row>
    <row r="62" spans="1:8" x14ac:dyDescent="0.3">
      <c r="A62" s="8">
        <v>43114.338888888888</v>
      </c>
      <c r="B62" s="20" t="s">
        <v>508</v>
      </c>
      <c r="C62" s="20" t="s">
        <v>755</v>
      </c>
      <c r="D62" s="137">
        <v>1100000</v>
      </c>
      <c r="E62" s="20" t="s">
        <v>517</v>
      </c>
      <c r="F62" s="20" t="s">
        <v>518</v>
      </c>
      <c r="G62" s="8" t="str">
        <f t="shared" si="0"/>
        <v>GEBRETEKLE DAGNEW</v>
      </c>
      <c r="H62" s="20" t="str">
        <f t="shared" si="1"/>
        <v>4040</v>
      </c>
    </row>
    <row r="63" spans="1:8" x14ac:dyDescent="0.3">
      <c r="A63" s="8">
        <v>43114.339548611111</v>
      </c>
      <c r="B63" s="20" t="s">
        <v>679</v>
      </c>
      <c r="C63" s="20" t="s">
        <v>756</v>
      </c>
      <c r="D63" s="137">
        <v>3300000</v>
      </c>
      <c r="E63" s="20" t="s">
        <v>757</v>
      </c>
      <c r="F63" s="20" t="s">
        <v>758</v>
      </c>
      <c r="G63" s="8" t="str">
        <f t="shared" si="0"/>
        <v>LANGERAK WILLIAM</v>
      </c>
      <c r="H63" s="20" t="str">
        <f t="shared" si="1"/>
        <v>4002</v>
      </c>
    </row>
    <row r="64" spans="1:8" x14ac:dyDescent="0.3">
      <c r="A64" s="26">
        <v>43114.340995370374</v>
      </c>
      <c r="B64" s="20" t="s">
        <v>569</v>
      </c>
      <c r="C64" s="20" t="s">
        <v>759</v>
      </c>
      <c r="D64" s="137">
        <v>1810000</v>
      </c>
      <c r="E64" s="20" t="s">
        <v>511</v>
      </c>
      <c r="F64" s="20" t="s">
        <v>390</v>
      </c>
      <c r="G64" s="8" t="str">
        <f t="shared" si="0"/>
        <v>NEWELL JAMES</v>
      </c>
      <c r="H64" s="20" t="str">
        <f t="shared" si="1"/>
        <v>4015</v>
      </c>
    </row>
    <row r="65" spans="1:8" x14ac:dyDescent="0.3">
      <c r="A65" s="8">
        <v>43114.351145833331</v>
      </c>
      <c r="B65" s="20" t="s">
        <v>386</v>
      </c>
      <c r="C65" s="20" t="s">
        <v>760</v>
      </c>
      <c r="D65" s="137">
        <v>1830000</v>
      </c>
      <c r="E65" s="20" t="s">
        <v>345</v>
      </c>
      <c r="F65" s="20" t="s">
        <v>346</v>
      </c>
      <c r="G65" s="8" t="str">
        <f t="shared" si="0"/>
        <v>YORK EDGAR</v>
      </c>
      <c r="H65" s="20" t="str">
        <f t="shared" si="1"/>
        <v>4028</v>
      </c>
    </row>
    <row r="66" spans="1:8" x14ac:dyDescent="0.3">
      <c r="A66" s="8">
        <v>43114.351168981484</v>
      </c>
      <c r="B66" s="20" t="s">
        <v>573</v>
      </c>
      <c r="C66" s="20" t="s">
        <v>761</v>
      </c>
      <c r="D66" s="137">
        <v>2970000</v>
      </c>
      <c r="E66" s="20" t="s">
        <v>370</v>
      </c>
      <c r="F66" s="20" t="s">
        <v>371</v>
      </c>
      <c r="G66" s="8" t="str">
        <f t="shared" si="0"/>
        <v>GUZMAN DANNY</v>
      </c>
      <c r="H66" s="20" t="str">
        <f t="shared" si="1"/>
        <v>4049</v>
      </c>
    </row>
    <row r="67" spans="1:8" x14ac:dyDescent="0.3">
      <c r="A67" s="8">
        <v>43114.352951388886</v>
      </c>
      <c r="B67" s="20" t="s">
        <v>689</v>
      </c>
      <c r="C67" s="20" t="s">
        <v>762</v>
      </c>
      <c r="D67" s="137">
        <v>3300000</v>
      </c>
      <c r="E67" s="20" t="s">
        <v>757</v>
      </c>
      <c r="F67" s="20" t="s">
        <v>758</v>
      </c>
      <c r="G67" s="8" t="str">
        <f t="shared" ref="G67:G130" si="2">E67&amp;" "&amp;F67</f>
        <v>LANGERAK WILLIAM</v>
      </c>
      <c r="H67" s="20" t="str">
        <f t="shared" ref="H67:H130" si="3">MID(B67,13,4)</f>
        <v>4001</v>
      </c>
    </row>
    <row r="68" spans="1:8" x14ac:dyDescent="0.3">
      <c r="A68" s="8">
        <v>43114.360300925924</v>
      </c>
      <c r="B68" s="20" t="s">
        <v>475</v>
      </c>
      <c r="C68" s="20" t="s">
        <v>763</v>
      </c>
      <c r="D68" s="137">
        <v>3810000</v>
      </c>
      <c r="E68" s="20" t="s">
        <v>494</v>
      </c>
      <c r="F68" s="20" t="s">
        <v>495</v>
      </c>
      <c r="G68" s="8" t="str">
        <f t="shared" si="2"/>
        <v>LORI SANTOS</v>
      </c>
      <c r="H68" s="20" t="str">
        <f t="shared" si="3"/>
        <v>4026</v>
      </c>
    </row>
    <row r="69" spans="1:8" x14ac:dyDescent="0.3">
      <c r="A69" s="8">
        <v>43114.360752314817</v>
      </c>
      <c r="B69" s="20" t="s">
        <v>577</v>
      </c>
      <c r="C69" s="20" t="s">
        <v>764</v>
      </c>
      <c r="D69" s="137">
        <v>2600000</v>
      </c>
      <c r="E69" s="20" t="s">
        <v>489</v>
      </c>
      <c r="F69" s="20" t="s">
        <v>440</v>
      </c>
      <c r="G69" s="8" t="str">
        <f t="shared" si="2"/>
        <v>DAVIDSON DAVID</v>
      </c>
      <c r="H69" s="20" t="str">
        <f t="shared" si="3"/>
        <v>4021</v>
      </c>
    </row>
    <row r="70" spans="1:8" x14ac:dyDescent="0.3">
      <c r="A70" s="8">
        <v>43114.369467592594</v>
      </c>
      <c r="B70" s="20" t="s">
        <v>507</v>
      </c>
      <c r="C70" s="20" t="s">
        <v>683</v>
      </c>
      <c r="D70" s="137">
        <v>1100000</v>
      </c>
      <c r="E70" s="20" t="s">
        <v>517</v>
      </c>
      <c r="F70" s="20" t="s">
        <v>518</v>
      </c>
      <c r="G70" s="8" t="str">
        <f t="shared" si="2"/>
        <v>GEBRETEKLE DAGNEW</v>
      </c>
      <c r="H70" s="20" t="str">
        <f t="shared" si="3"/>
        <v>4039</v>
      </c>
    </row>
    <row r="71" spans="1:8" x14ac:dyDescent="0.3">
      <c r="A71" s="8">
        <v>43114.370891203704</v>
      </c>
      <c r="B71" s="20" t="s">
        <v>357</v>
      </c>
      <c r="C71" s="20" t="s">
        <v>765</v>
      </c>
      <c r="D71" s="137">
        <v>3040000</v>
      </c>
      <c r="E71" s="20" t="s">
        <v>365</v>
      </c>
      <c r="F71" s="20" t="s">
        <v>459</v>
      </c>
      <c r="G71" s="8" t="str">
        <f t="shared" si="2"/>
        <v>WILLIAMS DONTE</v>
      </c>
      <c r="H71" s="20" t="str">
        <f t="shared" si="3"/>
        <v>4018</v>
      </c>
    </row>
    <row r="72" spans="1:8" x14ac:dyDescent="0.3">
      <c r="A72" s="8">
        <v>43114.377534722225</v>
      </c>
      <c r="B72" s="20" t="s">
        <v>679</v>
      </c>
      <c r="C72" s="20" t="s">
        <v>766</v>
      </c>
      <c r="D72" s="137">
        <v>3330000</v>
      </c>
      <c r="E72" s="20" t="s">
        <v>578</v>
      </c>
      <c r="F72" s="20" t="s">
        <v>579</v>
      </c>
      <c r="G72" s="8" t="str">
        <f t="shared" si="2"/>
        <v>GONZALEZ ARMANDO</v>
      </c>
      <c r="H72" s="20" t="str">
        <f t="shared" si="3"/>
        <v>4002</v>
      </c>
    </row>
    <row r="73" spans="1:8" x14ac:dyDescent="0.3">
      <c r="A73" s="8">
        <v>43114.378645833334</v>
      </c>
      <c r="B73" s="20" t="s">
        <v>576</v>
      </c>
      <c r="C73" s="20" t="s">
        <v>767</v>
      </c>
      <c r="D73" s="137">
        <v>1810000</v>
      </c>
      <c r="E73" s="20" t="s">
        <v>511</v>
      </c>
      <c r="F73" s="20" t="s">
        <v>390</v>
      </c>
      <c r="G73" s="8" t="str">
        <f t="shared" si="2"/>
        <v>NEWELL JAMES</v>
      </c>
      <c r="H73" s="20" t="str">
        <f t="shared" si="3"/>
        <v>4016</v>
      </c>
    </row>
    <row r="74" spans="1:8" x14ac:dyDescent="0.3">
      <c r="A74" s="8">
        <v>43114.380231481482</v>
      </c>
      <c r="B74" s="20" t="s">
        <v>713</v>
      </c>
      <c r="C74" s="20" t="s">
        <v>768</v>
      </c>
      <c r="D74" s="137">
        <v>1830000</v>
      </c>
      <c r="E74" s="20" t="s">
        <v>345</v>
      </c>
      <c r="F74" s="20" t="s">
        <v>346</v>
      </c>
      <c r="G74" s="8" t="str">
        <f t="shared" si="2"/>
        <v>YORK EDGAR</v>
      </c>
      <c r="H74" s="20" t="str">
        <f t="shared" si="3"/>
        <v>4027</v>
      </c>
    </row>
    <row r="75" spans="1:8" x14ac:dyDescent="0.3">
      <c r="A75" s="8">
        <v>43114.392488425925</v>
      </c>
      <c r="B75" s="20" t="s">
        <v>689</v>
      </c>
      <c r="C75" s="20" t="s">
        <v>769</v>
      </c>
      <c r="D75" s="137">
        <v>3330000</v>
      </c>
      <c r="E75" s="20" t="s">
        <v>578</v>
      </c>
      <c r="F75" s="20" t="s">
        <v>579</v>
      </c>
      <c r="G75" s="8" t="str">
        <f t="shared" si="2"/>
        <v>GONZALEZ ARMANDO</v>
      </c>
      <c r="H75" s="20" t="str">
        <f t="shared" si="3"/>
        <v>4001</v>
      </c>
    </row>
    <row r="76" spans="1:8" x14ac:dyDescent="0.3">
      <c r="A76" s="8">
        <v>43114.392835648148</v>
      </c>
      <c r="B76" s="20" t="s">
        <v>433</v>
      </c>
      <c r="C76" s="20" t="s">
        <v>770</v>
      </c>
      <c r="D76" s="137">
        <v>2970000</v>
      </c>
      <c r="E76" s="20" t="s">
        <v>370</v>
      </c>
      <c r="F76" s="20" t="s">
        <v>371</v>
      </c>
      <c r="G76" s="8" t="str">
        <f t="shared" si="2"/>
        <v>GUZMAN DANNY</v>
      </c>
      <c r="H76" s="20" t="str">
        <f t="shared" si="3"/>
        <v>4050</v>
      </c>
    </row>
    <row r="77" spans="1:8" x14ac:dyDescent="0.3">
      <c r="A77" s="8">
        <v>43114.400289351855</v>
      </c>
      <c r="B77" s="20" t="s">
        <v>473</v>
      </c>
      <c r="C77" s="20" t="s">
        <v>771</v>
      </c>
      <c r="D77" s="137">
        <v>3810000</v>
      </c>
      <c r="E77" s="20" t="s">
        <v>494</v>
      </c>
      <c r="F77" s="20" t="s">
        <v>495</v>
      </c>
      <c r="G77" s="8" t="str">
        <f t="shared" si="2"/>
        <v>LORI SANTOS</v>
      </c>
      <c r="H77" s="20" t="str">
        <f t="shared" si="3"/>
        <v>4025</v>
      </c>
    </row>
    <row r="78" spans="1:8" x14ac:dyDescent="0.3">
      <c r="A78" s="8">
        <v>43114.400891203702</v>
      </c>
      <c r="B78" s="20" t="s">
        <v>380</v>
      </c>
      <c r="C78" s="20" t="s">
        <v>772</v>
      </c>
      <c r="D78" s="137">
        <v>2600000</v>
      </c>
      <c r="E78" s="20" t="s">
        <v>489</v>
      </c>
      <c r="F78" s="20" t="s">
        <v>440</v>
      </c>
      <c r="G78" s="8" t="str">
        <f t="shared" si="2"/>
        <v>DAVIDSON DAVID</v>
      </c>
      <c r="H78" s="20" t="str">
        <f t="shared" si="3"/>
        <v>4022</v>
      </c>
    </row>
    <row r="79" spans="1:8" x14ac:dyDescent="0.3">
      <c r="A79" s="8">
        <v>43114.411087962966</v>
      </c>
      <c r="B79" s="20" t="s">
        <v>359</v>
      </c>
      <c r="C79" s="20" t="s">
        <v>773</v>
      </c>
      <c r="D79" s="137">
        <v>3040000</v>
      </c>
      <c r="E79" s="20" t="s">
        <v>365</v>
      </c>
      <c r="F79" s="20" t="s">
        <v>459</v>
      </c>
      <c r="G79" s="8" t="str">
        <f t="shared" si="2"/>
        <v>WILLIAMS DONTE</v>
      </c>
      <c r="H79" s="20" t="str">
        <f t="shared" si="3"/>
        <v>4017</v>
      </c>
    </row>
    <row r="80" spans="1:8" x14ac:dyDescent="0.3">
      <c r="A80" s="8">
        <v>43114.413182870368</v>
      </c>
      <c r="B80" s="20" t="s">
        <v>508</v>
      </c>
      <c r="C80" s="20" t="s">
        <v>774</v>
      </c>
      <c r="D80" s="137">
        <v>1100000</v>
      </c>
      <c r="E80" s="20" t="s">
        <v>517</v>
      </c>
      <c r="F80" s="20" t="s">
        <v>518</v>
      </c>
      <c r="G80" s="8" t="str">
        <f t="shared" si="2"/>
        <v>GEBRETEKLE DAGNEW</v>
      </c>
      <c r="H80" s="20" t="str">
        <f t="shared" si="3"/>
        <v>4040</v>
      </c>
    </row>
    <row r="81" spans="1:8" x14ac:dyDescent="0.3">
      <c r="A81" s="8">
        <v>43114.413495370369</v>
      </c>
      <c r="B81" s="20" t="s">
        <v>569</v>
      </c>
      <c r="C81" s="20" t="s">
        <v>775</v>
      </c>
      <c r="D81" s="137">
        <v>1810000</v>
      </c>
      <c r="E81" s="20" t="s">
        <v>511</v>
      </c>
      <c r="F81" s="20" t="s">
        <v>390</v>
      </c>
      <c r="G81" s="8" t="str">
        <f t="shared" si="2"/>
        <v>NEWELL JAMES</v>
      </c>
      <c r="H81" s="20" t="str">
        <f t="shared" si="3"/>
        <v>4015</v>
      </c>
    </row>
    <row r="82" spans="1:8" x14ac:dyDescent="0.3">
      <c r="A82" s="8">
        <v>43114.42019675926</v>
      </c>
      <c r="B82" s="20" t="s">
        <v>679</v>
      </c>
      <c r="C82" s="20" t="s">
        <v>776</v>
      </c>
      <c r="D82" s="137">
        <v>3330000</v>
      </c>
      <c r="E82" s="20" t="s">
        <v>578</v>
      </c>
      <c r="F82" s="20" t="s">
        <v>579</v>
      </c>
      <c r="G82" s="8" t="str">
        <f t="shared" si="2"/>
        <v>GONZALEZ ARMANDO</v>
      </c>
      <c r="H82" s="20" t="str">
        <f t="shared" si="3"/>
        <v>4002</v>
      </c>
    </row>
    <row r="83" spans="1:8" x14ac:dyDescent="0.3">
      <c r="A83" s="8">
        <v>43114.421886574077</v>
      </c>
      <c r="B83" s="20" t="s">
        <v>386</v>
      </c>
      <c r="C83" s="20" t="s">
        <v>777</v>
      </c>
      <c r="D83" s="137">
        <v>2440000</v>
      </c>
      <c r="E83" s="20" t="s">
        <v>515</v>
      </c>
      <c r="F83" s="20" t="s">
        <v>516</v>
      </c>
      <c r="G83" s="8" t="str">
        <f t="shared" si="2"/>
        <v>LOPES KIMBERLY</v>
      </c>
      <c r="H83" s="20" t="str">
        <f t="shared" si="3"/>
        <v>4028</v>
      </c>
    </row>
    <row r="84" spans="1:8" x14ac:dyDescent="0.3">
      <c r="A84" s="8">
        <v>43114.425555555557</v>
      </c>
      <c r="B84" s="20" t="s">
        <v>573</v>
      </c>
      <c r="C84" s="20" t="s">
        <v>778</v>
      </c>
      <c r="D84" s="137">
        <v>2970000</v>
      </c>
      <c r="E84" s="20" t="s">
        <v>370</v>
      </c>
      <c r="F84" s="20" t="s">
        <v>371</v>
      </c>
      <c r="G84" s="8" t="str">
        <f t="shared" si="2"/>
        <v>GUZMAN DANNY</v>
      </c>
      <c r="H84" s="20" t="str">
        <f t="shared" si="3"/>
        <v>4049</v>
      </c>
    </row>
    <row r="85" spans="1:8" x14ac:dyDescent="0.3">
      <c r="A85" s="8">
        <v>43114.433229166665</v>
      </c>
      <c r="B85" s="20" t="s">
        <v>577</v>
      </c>
      <c r="C85" s="20" t="s">
        <v>779</v>
      </c>
      <c r="D85" s="137">
        <v>2600000</v>
      </c>
      <c r="E85" s="20" t="s">
        <v>489</v>
      </c>
      <c r="F85" s="20" t="s">
        <v>440</v>
      </c>
      <c r="G85" s="8" t="str">
        <f t="shared" si="2"/>
        <v>DAVIDSON DAVID</v>
      </c>
      <c r="H85" s="20" t="str">
        <f t="shared" si="3"/>
        <v>4021</v>
      </c>
    </row>
    <row r="86" spans="1:8" x14ac:dyDescent="0.3">
      <c r="A86" s="8">
        <v>43114.433969907404</v>
      </c>
      <c r="B86" s="20" t="s">
        <v>689</v>
      </c>
      <c r="C86" s="20" t="s">
        <v>780</v>
      </c>
      <c r="D86" s="137">
        <v>3330000</v>
      </c>
      <c r="E86" s="20" t="s">
        <v>578</v>
      </c>
      <c r="F86" s="20" t="s">
        <v>579</v>
      </c>
      <c r="G86" s="8" t="str">
        <f t="shared" si="2"/>
        <v>GONZALEZ ARMANDO</v>
      </c>
      <c r="H86" s="20" t="str">
        <f t="shared" si="3"/>
        <v>4001</v>
      </c>
    </row>
    <row r="87" spans="1:8" x14ac:dyDescent="0.3">
      <c r="A87" s="8">
        <v>43114.434074074074</v>
      </c>
      <c r="B87" s="20" t="s">
        <v>475</v>
      </c>
      <c r="C87" s="20" t="s">
        <v>781</v>
      </c>
      <c r="D87" s="137">
        <v>3810000</v>
      </c>
      <c r="E87" s="20" t="s">
        <v>494</v>
      </c>
      <c r="F87" s="20" t="s">
        <v>495</v>
      </c>
      <c r="G87" s="8" t="str">
        <f t="shared" si="2"/>
        <v>LORI SANTOS</v>
      </c>
      <c r="H87" s="20" t="str">
        <f t="shared" si="3"/>
        <v>4026</v>
      </c>
    </row>
    <row r="88" spans="1:8" x14ac:dyDescent="0.3">
      <c r="A88" s="8">
        <v>43114.435694444444</v>
      </c>
      <c r="B88" s="20" t="s">
        <v>475</v>
      </c>
      <c r="C88" s="20" t="s">
        <v>781</v>
      </c>
      <c r="D88" s="137">
        <v>3810000</v>
      </c>
      <c r="E88" s="20" t="s">
        <v>494</v>
      </c>
      <c r="F88" s="20" t="s">
        <v>495</v>
      </c>
      <c r="G88" s="8" t="str">
        <f t="shared" si="2"/>
        <v>LORI SANTOS</v>
      </c>
      <c r="H88" s="20" t="str">
        <f t="shared" si="3"/>
        <v>4026</v>
      </c>
    </row>
    <row r="89" spans="1:8" x14ac:dyDescent="0.3">
      <c r="A89" s="8">
        <v>43114.44290509259</v>
      </c>
      <c r="B89" s="20" t="s">
        <v>507</v>
      </c>
      <c r="C89" s="20" t="s">
        <v>782</v>
      </c>
      <c r="D89" s="137">
        <v>1100000</v>
      </c>
      <c r="E89" s="20" t="s">
        <v>517</v>
      </c>
      <c r="F89" s="20" t="s">
        <v>518</v>
      </c>
      <c r="G89" s="8" t="str">
        <f t="shared" si="2"/>
        <v>GEBRETEKLE DAGNEW</v>
      </c>
      <c r="H89" s="20" t="str">
        <f t="shared" si="3"/>
        <v>4039</v>
      </c>
    </row>
    <row r="90" spans="1:8" x14ac:dyDescent="0.3">
      <c r="A90" s="8">
        <v>43114.443356481483</v>
      </c>
      <c r="B90" s="20" t="s">
        <v>357</v>
      </c>
      <c r="C90" s="20" t="s">
        <v>783</v>
      </c>
      <c r="D90" s="137">
        <v>880000</v>
      </c>
      <c r="E90" s="20" t="s">
        <v>491</v>
      </c>
      <c r="F90" s="20" t="s">
        <v>351</v>
      </c>
      <c r="G90" s="8" t="str">
        <f t="shared" si="2"/>
        <v>STEWART MICHAEL</v>
      </c>
      <c r="H90" s="20" t="str">
        <f t="shared" si="3"/>
        <v>4018</v>
      </c>
    </row>
    <row r="91" spans="1:8" x14ac:dyDescent="0.3">
      <c r="A91" s="8">
        <v>43114.451585648145</v>
      </c>
      <c r="B91" s="20" t="s">
        <v>576</v>
      </c>
      <c r="C91" s="20" t="s">
        <v>784</v>
      </c>
      <c r="D91" s="137">
        <v>1810000</v>
      </c>
      <c r="E91" s="20" t="s">
        <v>511</v>
      </c>
      <c r="F91" s="20" t="s">
        <v>390</v>
      </c>
      <c r="G91" s="8" t="str">
        <f t="shared" si="2"/>
        <v>NEWELL JAMES</v>
      </c>
      <c r="H91" s="20" t="str">
        <f t="shared" si="3"/>
        <v>4016</v>
      </c>
    </row>
    <row r="92" spans="1:8" x14ac:dyDescent="0.3">
      <c r="A92" s="8">
        <v>43114.452881944446</v>
      </c>
      <c r="B92" s="20" t="s">
        <v>713</v>
      </c>
      <c r="C92" s="20" t="s">
        <v>785</v>
      </c>
      <c r="D92" s="137">
        <v>2440000</v>
      </c>
      <c r="E92" s="20" t="s">
        <v>515</v>
      </c>
      <c r="F92" s="20" t="s">
        <v>516</v>
      </c>
      <c r="G92" s="8" t="str">
        <f t="shared" si="2"/>
        <v>LOPES KIMBERLY</v>
      </c>
      <c r="H92" s="20" t="str">
        <f t="shared" si="3"/>
        <v>4027</v>
      </c>
    </row>
    <row r="93" spans="1:8" x14ac:dyDescent="0.3">
      <c r="A93" s="8">
        <v>43114.456342592595</v>
      </c>
      <c r="B93" s="20" t="s">
        <v>679</v>
      </c>
      <c r="C93" s="20" t="s">
        <v>786</v>
      </c>
      <c r="D93" s="137">
        <v>3330000</v>
      </c>
      <c r="E93" s="20" t="s">
        <v>578</v>
      </c>
      <c r="F93" s="20" t="s">
        <v>579</v>
      </c>
      <c r="G93" s="8" t="str">
        <f t="shared" si="2"/>
        <v>GONZALEZ ARMANDO</v>
      </c>
      <c r="H93" s="20" t="str">
        <f t="shared" si="3"/>
        <v>4002</v>
      </c>
    </row>
    <row r="94" spans="1:8" x14ac:dyDescent="0.3">
      <c r="A94" s="8">
        <v>43114.465960648151</v>
      </c>
      <c r="B94" s="20" t="s">
        <v>433</v>
      </c>
      <c r="C94" s="20" t="s">
        <v>787</v>
      </c>
      <c r="D94" s="137">
        <v>920000</v>
      </c>
      <c r="E94" s="20" t="s">
        <v>788</v>
      </c>
      <c r="F94" s="20" t="s">
        <v>351</v>
      </c>
      <c r="G94" s="8" t="str">
        <f t="shared" si="2"/>
        <v>DAVIS MICHAEL</v>
      </c>
      <c r="H94" s="20" t="str">
        <f t="shared" si="3"/>
        <v>4050</v>
      </c>
    </row>
    <row r="95" spans="1:8" x14ac:dyDescent="0.3">
      <c r="A95" s="8">
        <v>43114.475312499999</v>
      </c>
      <c r="B95" s="20" t="s">
        <v>473</v>
      </c>
      <c r="C95" s="20" t="s">
        <v>789</v>
      </c>
      <c r="D95" s="137">
        <v>3810000</v>
      </c>
      <c r="E95" s="20" t="s">
        <v>494</v>
      </c>
      <c r="F95" s="20" t="s">
        <v>495</v>
      </c>
      <c r="G95" s="8" t="str">
        <f t="shared" si="2"/>
        <v>LORI SANTOS</v>
      </c>
      <c r="H95" s="20" t="str">
        <f t="shared" si="3"/>
        <v>4025</v>
      </c>
    </row>
    <row r="96" spans="1:8" x14ac:dyDescent="0.3">
      <c r="A96" s="8">
        <v>43114.475462962961</v>
      </c>
      <c r="B96" s="20" t="s">
        <v>689</v>
      </c>
      <c r="C96" s="20" t="s">
        <v>790</v>
      </c>
      <c r="D96" s="137">
        <v>3330000</v>
      </c>
      <c r="E96" s="20" t="s">
        <v>578</v>
      </c>
      <c r="F96" s="20" t="s">
        <v>579</v>
      </c>
      <c r="G96" s="8" t="str">
        <f t="shared" si="2"/>
        <v>GONZALEZ ARMANDO</v>
      </c>
      <c r="H96" s="20" t="str">
        <f t="shared" si="3"/>
        <v>4001</v>
      </c>
    </row>
    <row r="97" spans="1:8" x14ac:dyDescent="0.3">
      <c r="A97" s="8">
        <v>43114.475775462961</v>
      </c>
      <c r="B97" s="20" t="s">
        <v>380</v>
      </c>
      <c r="C97" s="20" t="s">
        <v>791</v>
      </c>
      <c r="D97" s="137">
        <v>2230000</v>
      </c>
      <c r="E97" s="20" t="s">
        <v>388</v>
      </c>
      <c r="F97" s="20" t="s">
        <v>351</v>
      </c>
      <c r="G97" s="8" t="str">
        <f t="shared" si="2"/>
        <v>SMITH MICHAEL</v>
      </c>
      <c r="H97" s="20" t="str">
        <f t="shared" si="3"/>
        <v>4022</v>
      </c>
    </row>
    <row r="98" spans="1:8" x14ac:dyDescent="0.3">
      <c r="A98" s="8">
        <v>43114.480023148149</v>
      </c>
      <c r="B98" s="20" t="s">
        <v>359</v>
      </c>
      <c r="C98" s="20" t="s">
        <v>685</v>
      </c>
      <c r="D98" s="137">
        <v>880000</v>
      </c>
      <c r="E98" s="20" t="s">
        <v>491</v>
      </c>
      <c r="F98" s="20" t="s">
        <v>351</v>
      </c>
      <c r="G98" s="8" t="str">
        <f t="shared" si="2"/>
        <v>STEWART MICHAEL</v>
      </c>
      <c r="H98" s="20" t="str">
        <f t="shared" si="3"/>
        <v>4017</v>
      </c>
    </row>
    <row r="99" spans="1:8" x14ac:dyDescent="0.3">
      <c r="A99" s="8">
        <v>43114.485092592593</v>
      </c>
      <c r="B99" s="20" t="s">
        <v>508</v>
      </c>
      <c r="C99" s="20" t="s">
        <v>792</v>
      </c>
      <c r="D99" s="137">
        <v>2550000</v>
      </c>
      <c r="E99" s="20" t="s">
        <v>580</v>
      </c>
      <c r="F99" s="20" t="s">
        <v>581</v>
      </c>
      <c r="G99" s="8" t="str">
        <f t="shared" si="2"/>
        <v>BADERTSCHER DIANE</v>
      </c>
      <c r="H99" s="20" t="str">
        <f t="shared" si="3"/>
        <v>4040</v>
      </c>
    </row>
    <row r="100" spans="1:8" x14ac:dyDescent="0.3">
      <c r="A100" s="8">
        <v>43114.486585648148</v>
      </c>
      <c r="B100" s="20" t="s">
        <v>569</v>
      </c>
      <c r="C100" s="20" t="s">
        <v>793</v>
      </c>
      <c r="D100" s="137">
        <v>1810000</v>
      </c>
      <c r="E100" s="20" t="s">
        <v>511</v>
      </c>
      <c r="F100" s="20" t="s">
        <v>390</v>
      </c>
      <c r="G100" s="8" t="str">
        <f t="shared" si="2"/>
        <v>NEWELL JAMES</v>
      </c>
      <c r="H100" s="20" t="str">
        <f t="shared" si="3"/>
        <v>4015</v>
      </c>
    </row>
    <row r="101" spans="1:8" x14ac:dyDescent="0.3">
      <c r="A101" s="8">
        <v>43114.49664351852</v>
      </c>
      <c r="B101" s="20" t="s">
        <v>386</v>
      </c>
      <c r="C101" s="20" t="s">
        <v>684</v>
      </c>
      <c r="D101" s="137">
        <v>1800000</v>
      </c>
      <c r="E101" s="20" t="s">
        <v>794</v>
      </c>
      <c r="F101" s="20" t="s">
        <v>795</v>
      </c>
      <c r="G101" s="8" t="str">
        <f t="shared" si="2"/>
        <v>CHANDLER KELVIN</v>
      </c>
      <c r="H101" s="20" t="str">
        <f t="shared" si="3"/>
        <v>4028</v>
      </c>
    </row>
    <row r="102" spans="1:8" x14ac:dyDescent="0.3">
      <c r="A102" s="8">
        <v>43114.503113425926</v>
      </c>
      <c r="B102" s="20" t="s">
        <v>679</v>
      </c>
      <c r="C102" s="20" t="s">
        <v>796</v>
      </c>
      <c r="D102" s="137">
        <v>3330000</v>
      </c>
      <c r="E102" s="20" t="s">
        <v>578</v>
      </c>
      <c r="F102" s="20" t="s">
        <v>579</v>
      </c>
      <c r="G102" s="8" t="str">
        <f t="shared" si="2"/>
        <v>GONZALEZ ARMANDO</v>
      </c>
      <c r="H102" s="20" t="str">
        <f t="shared" si="3"/>
        <v>4002</v>
      </c>
    </row>
    <row r="103" spans="1:8" x14ac:dyDescent="0.3">
      <c r="A103" s="8">
        <v>43114.50576388889</v>
      </c>
      <c r="B103" s="20" t="s">
        <v>475</v>
      </c>
      <c r="C103" s="20" t="s">
        <v>686</v>
      </c>
      <c r="D103" s="137">
        <v>3490000</v>
      </c>
      <c r="E103" s="20" t="s">
        <v>460</v>
      </c>
      <c r="F103" s="20" t="s">
        <v>461</v>
      </c>
      <c r="G103" s="8" t="str">
        <f t="shared" si="2"/>
        <v>WEST BRYAN</v>
      </c>
      <c r="H103" s="20" t="str">
        <f t="shared" si="3"/>
        <v>4026</v>
      </c>
    </row>
    <row r="104" spans="1:8" x14ac:dyDescent="0.3">
      <c r="A104" s="8">
        <v>43114.507048611114</v>
      </c>
      <c r="B104" s="20" t="s">
        <v>573</v>
      </c>
      <c r="C104" s="20" t="s">
        <v>797</v>
      </c>
      <c r="D104" s="137">
        <v>920000</v>
      </c>
      <c r="E104" s="20" t="s">
        <v>788</v>
      </c>
      <c r="F104" s="20" t="s">
        <v>351</v>
      </c>
      <c r="G104" s="8" t="str">
        <f t="shared" si="2"/>
        <v>DAVIS MICHAEL</v>
      </c>
      <c r="H104" s="20" t="str">
        <f t="shared" si="3"/>
        <v>4049</v>
      </c>
    </row>
    <row r="105" spans="1:8" x14ac:dyDescent="0.3">
      <c r="A105" s="8">
        <v>43114.510555555556</v>
      </c>
      <c r="B105" s="20" t="s">
        <v>577</v>
      </c>
      <c r="C105" s="20" t="s">
        <v>798</v>
      </c>
      <c r="D105" s="137">
        <v>2230000</v>
      </c>
      <c r="E105" s="20" t="s">
        <v>388</v>
      </c>
      <c r="F105" s="20" t="s">
        <v>351</v>
      </c>
      <c r="G105" s="8" t="str">
        <f t="shared" si="2"/>
        <v>SMITH MICHAEL</v>
      </c>
      <c r="H105" s="20" t="str">
        <f t="shared" si="3"/>
        <v>4021</v>
      </c>
    </row>
    <row r="106" spans="1:8" x14ac:dyDescent="0.3">
      <c r="A106" s="8">
        <v>43114.517847222225</v>
      </c>
      <c r="B106" s="20" t="s">
        <v>689</v>
      </c>
      <c r="C106" s="20" t="s">
        <v>799</v>
      </c>
      <c r="D106" s="137">
        <v>3330000</v>
      </c>
      <c r="E106" s="20" t="s">
        <v>578</v>
      </c>
      <c r="F106" s="20" t="s">
        <v>579</v>
      </c>
      <c r="G106" s="8" t="str">
        <f t="shared" si="2"/>
        <v>GONZALEZ ARMANDO</v>
      </c>
      <c r="H106" s="20" t="str">
        <f t="shared" si="3"/>
        <v>4001</v>
      </c>
    </row>
    <row r="107" spans="1:8" x14ac:dyDescent="0.3">
      <c r="A107" s="8">
        <v>43114.517905092594</v>
      </c>
      <c r="B107" s="20" t="s">
        <v>357</v>
      </c>
      <c r="C107" s="20" t="s">
        <v>800</v>
      </c>
      <c r="D107" s="137">
        <v>880000</v>
      </c>
      <c r="E107" s="20" t="s">
        <v>491</v>
      </c>
      <c r="F107" s="20" t="s">
        <v>351</v>
      </c>
      <c r="G107" s="8" t="str">
        <f t="shared" si="2"/>
        <v>STEWART MICHAEL</v>
      </c>
      <c r="H107" s="20" t="str">
        <f t="shared" si="3"/>
        <v>4018</v>
      </c>
    </row>
    <row r="108" spans="1:8" x14ac:dyDescent="0.3">
      <c r="A108" s="8">
        <v>43114.521145833336</v>
      </c>
      <c r="B108" s="20" t="s">
        <v>475</v>
      </c>
      <c r="C108" s="20" t="s">
        <v>686</v>
      </c>
      <c r="D108" s="137">
        <v>3490000</v>
      </c>
      <c r="E108" s="20" t="s">
        <v>460</v>
      </c>
      <c r="F108" s="20" t="s">
        <v>461</v>
      </c>
      <c r="G108" s="8" t="str">
        <f t="shared" si="2"/>
        <v>WEST BRYAN</v>
      </c>
      <c r="H108" s="20" t="str">
        <f t="shared" si="3"/>
        <v>4026</v>
      </c>
    </row>
    <row r="109" spans="1:8" x14ac:dyDescent="0.3">
      <c r="A109" s="8">
        <v>43114.525868055556</v>
      </c>
      <c r="B109" s="20" t="s">
        <v>507</v>
      </c>
      <c r="C109" s="20" t="s">
        <v>801</v>
      </c>
      <c r="D109" s="137">
        <v>2550000</v>
      </c>
      <c r="E109" s="20" t="s">
        <v>580</v>
      </c>
      <c r="F109" s="20" t="s">
        <v>581</v>
      </c>
      <c r="G109" s="8" t="str">
        <f t="shared" si="2"/>
        <v>BADERTSCHER DIANE</v>
      </c>
      <c r="H109" s="20" t="str">
        <f t="shared" si="3"/>
        <v>4039</v>
      </c>
    </row>
    <row r="110" spans="1:8" x14ac:dyDescent="0.3">
      <c r="A110" s="8">
        <v>43114.52615740741</v>
      </c>
      <c r="B110" s="20" t="s">
        <v>576</v>
      </c>
      <c r="C110" s="20" t="s">
        <v>802</v>
      </c>
      <c r="D110" s="137">
        <v>3310000</v>
      </c>
      <c r="E110" s="20" t="s">
        <v>435</v>
      </c>
      <c r="F110" s="20" t="s">
        <v>436</v>
      </c>
      <c r="G110" s="8" t="str">
        <f t="shared" si="2"/>
        <v>ANDERS STEVEN</v>
      </c>
      <c r="H110" s="20" t="str">
        <f t="shared" si="3"/>
        <v>4016</v>
      </c>
    </row>
    <row r="111" spans="1:8" x14ac:dyDescent="0.3">
      <c r="A111" s="8">
        <v>43114.537499999999</v>
      </c>
      <c r="B111" s="20" t="s">
        <v>713</v>
      </c>
      <c r="C111" s="20" t="s">
        <v>803</v>
      </c>
      <c r="D111" s="137">
        <v>1800000</v>
      </c>
      <c r="E111" s="20" t="s">
        <v>794</v>
      </c>
      <c r="F111" s="20" t="s">
        <v>795</v>
      </c>
      <c r="G111" s="8" t="str">
        <f t="shared" si="2"/>
        <v>CHANDLER KELVIN</v>
      </c>
      <c r="H111" s="20" t="str">
        <f t="shared" si="3"/>
        <v>4027</v>
      </c>
    </row>
    <row r="112" spans="1:8" x14ac:dyDescent="0.3">
      <c r="A112" s="8">
        <v>43114.53974537037</v>
      </c>
      <c r="B112" s="20" t="s">
        <v>433</v>
      </c>
      <c r="C112" s="20" t="s">
        <v>804</v>
      </c>
      <c r="D112" s="137">
        <v>920000</v>
      </c>
      <c r="E112" s="20" t="s">
        <v>788</v>
      </c>
      <c r="F112" s="20" t="s">
        <v>351</v>
      </c>
      <c r="G112" s="8" t="str">
        <f t="shared" si="2"/>
        <v>DAVIS MICHAEL</v>
      </c>
      <c r="H112" s="20" t="str">
        <f t="shared" si="3"/>
        <v>4050</v>
      </c>
    </row>
    <row r="113" spans="1:8" x14ac:dyDescent="0.3">
      <c r="A113" s="8">
        <v>43114.54550925926</v>
      </c>
      <c r="B113" s="20" t="s">
        <v>679</v>
      </c>
      <c r="C113" s="20" t="s">
        <v>805</v>
      </c>
      <c r="D113" s="137">
        <v>3330000</v>
      </c>
      <c r="E113" s="20" t="s">
        <v>578</v>
      </c>
      <c r="F113" s="20" t="s">
        <v>579</v>
      </c>
      <c r="G113" s="8" t="str">
        <f t="shared" si="2"/>
        <v>GONZALEZ ARMANDO</v>
      </c>
      <c r="H113" s="20" t="str">
        <f t="shared" si="3"/>
        <v>4002</v>
      </c>
    </row>
    <row r="114" spans="1:8" x14ac:dyDescent="0.3">
      <c r="A114" s="8">
        <v>43114.545706018522</v>
      </c>
      <c r="B114" s="20" t="s">
        <v>473</v>
      </c>
      <c r="C114" s="20" t="s">
        <v>806</v>
      </c>
      <c r="D114" s="137">
        <v>3490000</v>
      </c>
      <c r="E114" s="20" t="s">
        <v>460</v>
      </c>
      <c r="F114" s="20" t="s">
        <v>461</v>
      </c>
      <c r="G114" s="8" t="str">
        <f t="shared" si="2"/>
        <v>WEST BRYAN</v>
      </c>
      <c r="H114" s="20" t="str">
        <f t="shared" si="3"/>
        <v>4025</v>
      </c>
    </row>
    <row r="115" spans="1:8" x14ac:dyDescent="0.3">
      <c r="A115" s="8">
        <v>43114.548981481479</v>
      </c>
      <c r="B115" s="20" t="s">
        <v>380</v>
      </c>
      <c r="C115" s="20" t="s">
        <v>807</v>
      </c>
      <c r="D115" s="137">
        <v>2230000</v>
      </c>
      <c r="E115" s="20" t="s">
        <v>388</v>
      </c>
      <c r="F115" s="20" t="s">
        <v>351</v>
      </c>
      <c r="G115" s="8" t="str">
        <f t="shared" si="2"/>
        <v>SMITH MICHAEL</v>
      </c>
      <c r="H115" s="20" t="str">
        <f t="shared" si="3"/>
        <v>4022</v>
      </c>
    </row>
    <row r="116" spans="1:8" x14ac:dyDescent="0.3">
      <c r="A116" s="8">
        <v>43114.555254629631</v>
      </c>
      <c r="B116" s="20" t="s">
        <v>359</v>
      </c>
      <c r="C116" s="20" t="s">
        <v>808</v>
      </c>
      <c r="D116" s="137">
        <v>880000</v>
      </c>
      <c r="E116" s="20" t="s">
        <v>491</v>
      </c>
      <c r="F116" s="20" t="s">
        <v>351</v>
      </c>
      <c r="G116" s="8" t="str">
        <f t="shared" si="2"/>
        <v>STEWART MICHAEL</v>
      </c>
      <c r="H116" s="20" t="str">
        <f t="shared" si="3"/>
        <v>4017</v>
      </c>
    </row>
    <row r="117" spans="1:8" x14ac:dyDescent="0.3">
      <c r="A117" s="8">
        <v>43114.559108796297</v>
      </c>
      <c r="B117" s="20" t="s">
        <v>689</v>
      </c>
      <c r="C117" s="20" t="s">
        <v>809</v>
      </c>
      <c r="D117" s="137">
        <v>3330000</v>
      </c>
      <c r="E117" s="20" t="s">
        <v>578</v>
      </c>
      <c r="F117" s="20" t="s">
        <v>579</v>
      </c>
      <c r="G117" s="8" t="str">
        <f t="shared" si="2"/>
        <v>GONZALEZ ARMANDO</v>
      </c>
      <c r="H117" s="20" t="str">
        <f t="shared" si="3"/>
        <v>4001</v>
      </c>
    </row>
    <row r="118" spans="1:8" x14ac:dyDescent="0.3">
      <c r="A118" s="8">
        <v>43114.559606481482</v>
      </c>
      <c r="B118" s="20" t="s">
        <v>508</v>
      </c>
      <c r="C118" s="20" t="s">
        <v>810</v>
      </c>
      <c r="D118" s="137">
        <v>2550000</v>
      </c>
      <c r="E118" s="20" t="s">
        <v>580</v>
      </c>
      <c r="F118" s="20" t="s">
        <v>581</v>
      </c>
      <c r="G118" s="8" t="str">
        <f t="shared" si="2"/>
        <v>BADERTSCHER DIANE</v>
      </c>
      <c r="H118" s="20" t="str">
        <f t="shared" si="3"/>
        <v>4040</v>
      </c>
    </row>
    <row r="119" spans="1:8" x14ac:dyDescent="0.3">
      <c r="A119" s="8">
        <v>43114.56591435185</v>
      </c>
      <c r="B119" s="20" t="s">
        <v>569</v>
      </c>
      <c r="C119" s="20" t="s">
        <v>811</v>
      </c>
      <c r="D119" s="137">
        <v>3310000</v>
      </c>
      <c r="E119" s="20" t="s">
        <v>435</v>
      </c>
      <c r="F119" s="20" t="s">
        <v>436</v>
      </c>
      <c r="G119" s="8" t="str">
        <f t="shared" si="2"/>
        <v>ANDERS STEVEN</v>
      </c>
      <c r="H119" s="20" t="str">
        <f t="shared" si="3"/>
        <v>4015</v>
      </c>
    </row>
    <row r="120" spans="1:8" x14ac:dyDescent="0.3">
      <c r="A120" s="8">
        <v>43114.570706018516</v>
      </c>
      <c r="B120" s="20" t="s">
        <v>386</v>
      </c>
      <c r="C120" s="20" t="s">
        <v>812</v>
      </c>
      <c r="D120" s="137">
        <v>1800000</v>
      </c>
      <c r="E120" s="20" t="s">
        <v>794</v>
      </c>
      <c r="F120" s="20" t="s">
        <v>795</v>
      </c>
      <c r="G120" s="8" t="str">
        <f t="shared" si="2"/>
        <v>CHANDLER KELVIN</v>
      </c>
      <c r="H120" s="20" t="str">
        <f t="shared" si="3"/>
        <v>4028</v>
      </c>
    </row>
    <row r="121" spans="1:8" x14ac:dyDescent="0.3">
      <c r="A121" s="8">
        <v>43114.578622685185</v>
      </c>
      <c r="B121" s="20" t="s">
        <v>475</v>
      </c>
      <c r="C121" s="20" t="s">
        <v>813</v>
      </c>
      <c r="D121" s="137">
        <v>3490000</v>
      </c>
      <c r="E121" s="20" t="s">
        <v>460</v>
      </c>
      <c r="F121" s="20" t="s">
        <v>461</v>
      </c>
      <c r="G121" s="8" t="str">
        <f t="shared" si="2"/>
        <v>WEST BRYAN</v>
      </c>
      <c r="H121" s="20" t="str">
        <f t="shared" si="3"/>
        <v>4026</v>
      </c>
    </row>
    <row r="122" spans="1:8" x14ac:dyDescent="0.3">
      <c r="A122" s="8">
        <v>43114.579074074078</v>
      </c>
      <c r="B122" s="25" t="s">
        <v>573</v>
      </c>
      <c r="C122" s="20" t="s">
        <v>814</v>
      </c>
      <c r="D122" s="137">
        <v>920000</v>
      </c>
      <c r="E122" s="20" t="s">
        <v>788</v>
      </c>
      <c r="F122" s="20" t="s">
        <v>351</v>
      </c>
      <c r="G122" s="8" t="str">
        <f t="shared" si="2"/>
        <v>DAVIS MICHAEL</v>
      </c>
      <c r="H122" s="20" t="str">
        <f t="shared" si="3"/>
        <v>4049</v>
      </c>
    </row>
    <row r="123" spans="1:8" x14ac:dyDescent="0.3">
      <c r="A123" s="8">
        <v>43114.584085648145</v>
      </c>
      <c r="B123" s="20" t="s">
        <v>679</v>
      </c>
      <c r="C123" s="20" t="s">
        <v>815</v>
      </c>
      <c r="D123" s="137">
        <v>3340000</v>
      </c>
      <c r="E123" s="20" t="s">
        <v>584</v>
      </c>
      <c r="F123" s="20" t="s">
        <v>585</v>
      </c>
      <c r="G123" s="8" t="str">
        <f t="shared" si="2"/>
        <v>ELBAUM MIKE</v>
      </c>
      <c r="H123" s="20" t="str">
        <f t="shared" si="3"/>
        <v>4002</v>
      </c>
    </row>
    <row r="124" spans="1:8" x14ac:dyDescent="0.3">
      <c r="A124" s="8">
        <v>43114.585069444445</v>
      </c>
      <c r="B124" s="20" t="s">
        <v>577</v>
      </c>
      <c r="C124" s="20" t="s">
        <v>816</v>
      </c>
      <c r="D124" s="137">
        <v>2230000</v>
      </c>
      <c r="E124" s="20" t="s">
        <v>388</v>
      </c>
      <c r="F124" s="20" t="s">
        <v>351</v>
      </c>
      <c r="G124" s="8" t="str">
        <f t="shared" si="2"/>
        <v>SMITH MICHAEL</v>
      </c>
      <c r="H124" s="20" t="str">
        <f t="shared" si="3"/>
        <v>4021</v>
      </c>
    </row>
    <row r="125" spans="1:8" x14ac:dyDescent="0.3">
      <c r="A125" s="8">
        <v>43114.58971064815</v>
      </c>
      <c r="B125" s="20" t="s">
        <v>357</v>
      </c>
      <c r="C125" s="20" t="s">
        <v>817</v>
      </c>
      <c r="D125" s="137">
        <v>880000</v>
      </c>
      <c r="E125" s="20" t="s">
        <v>491</v>
      </c>
      <c r="F125" s="20" t="s">
        <v>351</v>
      </c>
      <c r="G125" s="8" t="str">
        <f t="shared" si="2"/>
        <v>STEWART MICHAEL</v>
      </c>
      <c r="H125" s="20" t="str">
        <f t="shared" si="3"/>
        <v>4018</v>
      </c>
    </row>
    <row r="126" spans="1:8" x14ac:dyDescent="0.3">
      <c r="A126" s="8">
        <v>43114.598113425927</v>
      </c>
      <c r="B126" s="20" t="s">
        <v>507</v>
      </c>
      <c r="C126" s="20" t="s">
        <v>818</v>
      </c>
      <c r="D126" s="137">
        <v>2550000</v>
      </c>
      <c r="E126" s="20" t="s">
        <v>580</v>
      </c>
      <c r="F126" s="20" t="s">
        <v>581</v>
      </c>
      <c r="G126" s="8" t="str">
        <f t="shared" si="2"/>
        <v>BADERTSCHER DIANE</v>
      </c>
      <c r="H126" s="20" t="str">
        <f t="shared" si="3"/>
        <v>4039</v>
      </c>
    </row>
    <row r="127" spans="1:8" x14ac:dyDescent="0.3">
      <c r="A127" s="8">
        <v>43114.600532407407</v>
      </c>
      <c r="B127" s="20" t="s">
        <v>689</v>
      </c>
      <c r="C127" s="20" t="s">
        <v>819</v>
      </c>
      <c r="D127" s="137">
        <v>3340000</v>
      </c>
      <c r="E127" s="20" t="s">
        <v>584</v>
      </c>
      <c r="F127" s="20" t="s">
        <v>585</v>
      </c>
      <c r="G127" s="8" t="str">
        <f t="shared" si="2"/>
        <v>ELBAUM MIKE</v>
      </c>
      <c r="H127" s="20" t="str">
        <f t="shared" si="3"/>
        <v>4001</v>
      </c>
    </row>
    <row r="128" spans="1:8" x14ac:dyDescent="0.3">
      <c r="A128" s="8">
        <v>43114.602025462962</v>
      </c>
      <c r="B128" s="20" t="s">
        <v>576</v>
      </c>
      <c r="C128" s="20" t="s">
        <v>820</v>
      </c>
      <c r="D128" s="137">
        <v>3310000</v>
      </c>
      <c r="E128" s="20" t="s">
        <v>435</v>
      </c>
      <c r="F128" s="20" t="s">
        <v>436</v>
      </c>
      <c r="G128" s="8" t="str">
        <f t="shared" si="2"/>
        <v>ANDERS STEVEN</v>
      </c>
      <c r="H128" s="20" t="str">
        <f t="shared" si="3"/>
        <v>4016</v>
      </c>
    </row>
    <row r="129" spans="1:8" x14ac:dyDescent="0.3">
      <c r="A129" s="8">
        <v>43114.605092592596</v>
      </c>
      <c r="B129" s="20" t="s">
        <v>713</v>
      </c>
      <c r="C129" s="20" t="s">
        <v>821</v>
      </c>
      <c r="D129" s="137">
        <v>1800000</v>
      </c>
      <c r="E129" s="20" t="s">
        <v>794</v>
      </c>
      <c r="F129" s="20" t="s">
        <v>795</v>
      </c>
      <c r="G129" s="8" t="str">
        <f t="shared" si="2"/>
        <v>CHANDLER KELVIN</v>
      </c>
      <c r="H129" s="20" t="str">
        <f t="shared" si="3"/>
        <v>4027</v>
      </c>
    </row>
    <row r="130" spans="1:8" x14ac:dyDescent="0.3">
      <c r="A130" s="8">
        <v>43114.613194444442</v>
      </c>
      <c r="B130" s="20" t="s">
        <v>433</v>
      </c>
      <c r="C130" s="20" t="s">
        <v>822</v>
      </c>
      <c r="D130" s="137">
        <v>920000</v>
      </c>
      <c r="E130" s="20" t="s">
        <v>788</v>
      </c>
      <c r="F130" s="20" t="s">
        <v>351</v>
      </c>
      <c r="G130" s="8" t="str">
        <f t="shared" si="2"/>
        <v>DAVIS MICHAEL</v>
      </c>
      <c r="H130" s="20" t="str">
        <f t="shared" si="3"/>
        <v>4050</v>
      </c>
    </row>
    <row r="131" spans="1:8" x14ac:dyDescent="0.3">
      <c r="A131" s="8">
        <v>43114.61645833333</v>
      </c>
      <c r="B131" s="20" t="s">
        <v>473</v>
      </c>
      <c r="C131" s="20" t="s">
        <v>823</v>
      </c>
      <c r="D131" s="137">
        <v>3490000</v>
      </c>
      <c r="E131" s="20" t="s">
        <v>460</v>
      </c>
      <c r="F131" s="20" t="s">
        <v>461</v>
      </c>
      <c r="G131" s="8" t="str">
        <f t="shared" ref="G131:G194" si="4">E131&amp;" "&amp;F131</f>
        <v>WEST BRYAN</v>
      </c>
      <c r="H131" s="20" t="str">
        <f t="shared" ref="H131:H194" si="5">MID(B131,13,4)</f>
        <v>4025</v>
      </c>
    </row>
    <row r="132" spans="1:8" x14ac:dyDescent="0.3">
      <c r="A132" s="8">
        <v>43114.62159722222</v>
      </c>
      <c r="B132" s="20" t="s">
        <v>380</v>
      </c>
      <c r="C132" s="20" t="s">
        <v>824</v>
      </c>
      <c r="D132" s="137">
        <v>2230000</v>
      </c>
      <c r="E132" s="20" t="s">
        <v>388</v>
      </c>
      <c r="F132" s="20" t="s">
        <v>351</v>
      </c>
      <c r="G132" s="8" t="str">
        <f t="shared" si="4"/>
        <v>SMITH MICHAEL</v>
      </c>
      <c r="H132" s="20" t="str">
        <f t="shared" si="5"/>
        <v>4022</v>
      </c>
    </row>
    <row r="133" spans="1:8" x14ac:dyDescent="0.3">
      <c r="A133" s="8">
        <v>43114.622777777775</v>
      </c>
      <c r="B133" s="20" t="s">
        <v>679</v>
      </c>
      <c r="C133" s="20" t="s">
        <v>687</v>
      </c>
      <c r="D133" s="137">
        <v>3340000</v>
      </c>
      <c r="E133" s="20" t="s">
        <v>584</v>
      </c>
      <c r="F133" s="20" t="s">
        <v>585</v>
      </c>
      <c r="G133" s="8" t="str">
        <f t="shared" si="4"/>
        <v>ELBAUM MIKE</v>
      </c>
      <c r="H133" s="20" t="str">
        <f t="shared" si="5"/>
        <v>4002</v>
      </c>
    </row>
    <row r="134" spans="1:8" x14ac:dyDescent="0.3">
      <c r="A134" s="8">
        <v>43114.629965277774</v>
      </c>
      <c r="B134" s="20" t="s">
        <v>359</v>
      </c>
      <c r="C134" s="20" t="s">
        <v>825</v>
      </c>
      <c r="D134" s="137">
        <v>880000</v>
      </c>
      <c r="E134" s="20" t="s">
        <v>491</v>
      </c>
      <c r="F134" s="20" t="s">
        <v>351</v>
      </c>
      <c r="G134" s="8" t="str">
        <f t="shared" si="4"/>
        <v>STEWART MICHAEL</v>
      </c>
      <c r="H134" s="20" t="str">
        <f t="shared" si="5"/>
        <v>4017</v>
      </c>
    </row>
    <row r="135" spans="1:8" x14ac:dyDescent="0.3">
      <c r="A135" s="8">
        <v>43114.631620370368</v>
      </c>
      <c r="B135" s="20" t="s">
        <v>569</v>
      </c>
      <c r="C135" s="20" t="s">
        <v>826</v>
      </c>
      <c r="D135" s="137">
        <v>3310000</v>
      </c>
      <c r="E135" s="20" t="s">
        <v>435</v>
      </c>
      <c r="F135" s="20" t="s">
        <v>436</v>
      </c>
      <c r="G135" s="8" t="str">
        <f t="shared" si="4"/>
        <v>ANDERS STEVEN</v>
      </c>
      <c r="H135" s="20" t="str">
        <f t="shared" si="5"/>
        <v>4015</v>
      </c>
    </row>
    <row r="136" spans="1:8" x14ac:dyDescent="0.3">
      <c r="A136" s="8">
        <v>43114.631898148145</v>
      </c>
      <c r="B136" s="20" t="s">
        <v>508</v>
      </c>
      <c r="C136" s="20" t="s">
        <v>827</v>
      </c>
      <c r="D136" s="137">
        <v>2550000</v>
      </c>
      <c r="E136" s="20" t="s">
        <v>580</v>
      </c>
      <c r="F136" s="20" t="s">
        <v>581</v>
      </c>
      <c r="G136" s="8" t="str">
        <f t="shared" si="4"/>
        <v>BADERTSCHER DIANE</v>
      </c>
      <c r="H136" s="20" t="str">
        <f t="shared" si="5"/>
        <v>4040</v>
      </c>
    </row>
    <row r="137" spans="1:8" x14ac:dyDescent="0.3">
      <c r="A137" s="8">
        <v>43114.643101851849</v>
      </c>
      <c r="B137" s="20" t="s">
        <v>689</v>
      </c>
      <c r="C137" s="20" t="s">
        <v>828</v>
      </c>
      <c r="D137" s="137">
        <v>3340000</v>
      </c>
      <c r="E137" s="20" t="s">
        <v>584</v>
      </c>
      <c r="F137" s="20" t="s">
        <v>585</v>
      </c>
      <c r="G137" s="8" t="str">
        <f t="shared" si="4"/>
        <v>ELBAUM MIKE</v>
      </c>
      <c r="H137" s="20" t="str">
        <f t="shared" si="5"/>
        <v>4001</v>
      </c>
    </row>
    <row r="138" spans="1:8" x14ac:dyDescent="0.3">
      <c r="A138" s="8">
        <v>43114.644502314812</v>
      </c>
      <c r="B138" s="20" t="s">
        <v>386</v>
      </c>
      <c r="C138" s="20" t="s">
        <v>829</v>
      </c>
      <c r="D138" s="137">
        <v>1800000</v>
      </c>
      <c r="E138" s="20" t="s">
        <v>794</v>
      </c>
      <c r="F138" s="20" t="s">
        <v>795</v>
      </c>
      <c r="G138" s="8" t="str">
        <f t="shared" si="4"/>
        <v>CHANDLER KELVIN</v>
      </c>
      <c r="H138" s="20" t="str">
        <f t="shared" si="5"/>
        <v>4028</v>
      </c>
    </row>
    <row r="139" spans="1:8" x14ac:dyDescent="0.3">
      <c r="A139" s="8">
        <v>43114.652314814812</v>
      </c>
      <c r="B139" s="20" t="s">
        <v>475</v>
      </c>
      <c r="C139" s="20" t="s">
        <v>830</v>
      </c>
      <c r="D139" s="137">
        <v>3490000</v>
      </c>
      <c r="E139" s="20" t="s">
        <v>460</v>
      </c>
      <c r="F139" s="20" t="s">
        <v>461</v>
      </c>
      <c r="G139" s="8" t="str">
        <f t="shared" si="4"/>
        <v>WEST BRYAN</v>
      </c>
      <c r="H139" s="20" t="str">
        <f t="shared" si="5"/>
        <v>4026</v>
      </c>
    </row>
    <row r="140" spans="1:8" x14ac:dyDescent="0.3">
      <c r="A140" s="8">
        <v>43114.652777777781</v>
      </c>
      <c r="B140" s="20" t="s">
        <v>573</v>
      </c>
      <c r="C140" s="20" t="s">
        <v>831</v>
      </c>
      <c r="D140" s="137">
        <v>920000</v>
      </c>
      <c r="E140" s="20" t="s">
        <v>788</v>
      </c>
      <c r="F140" s="20" t="s">
        <v>351</v>
      </c>
      <c r="G140" s="8" t="str">
        <f t="shared" si="4"/>
        <v>DAVIS MICHAEL</v>
      </c>
      <c r="H140" s="20" t="str">
        <f t="shared" si="5"/>
        <v>4049</v>
      </c>
    </row>
    <row r="141" spans="1:8" x14ac:dyDescent="0.3">
      <c r="A141" s="8">
        <v>43114.658020833333</v>
      </c>
      <c r="B141" s="20" t="s">
        <v>577</v>
      </c>
      <c r="C141" s="20" t="s">
        <v>832</v>
      </c>
      <c r="D141" s="137">
        <v>2230000</v>
      </c>
      <c r="E141" s="20" t="s">
        <v>388</v>
      </c>
      <c r="F141" s="20" t="s">
        <v>351</v>
      </c>
      <c r="G141" s="8" t="str">
        <f t="shared" si="4"/>
        <v>SMITH MICHAEL</v>
      </c>
      <c r="H141" s="20" t="str">
        <f t="shared" si="5"/>
        <v>4021</v>
      </c>
    </row>
    <row r="142" spans="1:8" x14ac:dyDescent="0.3">
      <c r="A142" s="8">
        <v>43114.664375</v>
      </c>
      <c r="B142" s="20" t="s">
        <v>679</v>
      </c>
      <c r="C142" s="20" t="s">
        <v>688</v>
      </c>
      <c r="D142" s="137">
        <v>3340000</v>
      </c>
      <c r="E142" s="20" t="s">
        <v>584</v>
      </c>
      <c r="F142" s="20" t="s">
        <v>585</v>
      </c>
      <c r="G142" s="8" t="str">
        <f t="shared" si="4"/>
        <v>ELBAUM MIKE</v>
      </c>
      <c r="H142" s="20" t="str">
        <f t="shared" si="5"/>
        <v>4002</v>
      </c>
    </row>
    <row r="143" spans="1:8" x14ac:dyDescent="0.3">
      <c r="A143" s="8">
        <v>43114.665590277778</v>
      </c>
      <c r="B143" s="20" t="s">
        <v>357</v>
      </c>
      <c r="C143" s="20" t="s">
        <v>833</v>
      </c>
      <c r="D143" s="137">
        <v>880000</v>
      </c>
      <c r="E143" s="20" t="s">
        <v>491</v>
      </c>
      <c r="F143" s="20" t="s">
        <v>351</v>
      </c>
      <c r="G143" s="8" t="str">
        <f t="shared" si="4"/>
        <v>STEWART MICHAEL</v>
      </c>
      <c r="H143" s="20" t="str">
        <f t="shared" si="5"/>
        <v>4018</v>
      </c>
    </row>
    <row r="144" spans="1:8" x14ac:dyDescent="0.3">
      <c r="A144" s="8">
        <v>43114.672395833331</v>
      </c>
      <c r="B144" s="20" t="s">
        <v>507</v>
      </c>
      <c r="C144" s="20" t="s">
        <v>834</v>
      </c>
      <c r="D144" s="137">
        <v>2550000</v>
      </c>
      <c r="E144" s="20" t="s">
        <v>580</v>
      </c>
      <c r="F144" s="20" t="s">
        <v>581</v>
      </c>
      <c r="G144" s="8" t="str">
        <f t="shared" si="4"/>
        <v>BADERTSCHER DIANE</v>
      </c>
      <c r="H144" s="20" t="str">
        <f t="shared" si="5"/>
        <v>4039</v>
      </c>
    </row>
    <row r="145" spans="1:8" x14ac:dyDescent="0.3">
      <c r="A145" s="8">
        <v>43114.67597222222</v>
      </c>
      <c r="B145" s="20" t="s">
        <v>576</v>
      </c>
      <c r="C145" s="20" t="s">
        <v>835</v>
      </c>
      <c r="D145" s="137">
        <v>3310000</v>
      </c>
      <c r="E145" s="20" t="s">
        <v>435</v>
      </c>
      <c r="F145" s="20" t="s">
        <v>436</v>
      </c>
      <c r="G145" s="8" t="str">
        <f t="shared" si="4"/>
        <v>ANDERS STEVEN</v>
      </c>
      <c r="H145" s="20" t="str">
        <f t="shared" si="5"/>
        <v>4016</v>
      </c>
    </row>
    <row r="146" spans="1:8" x14ac:dyDescent="0.3">
      <c r="A146" s="8">
        <v>43114.683067129627</v>
      </c>
      <c r="B146" s="20" t="s">
        <v>566</v>
      </c>
      <c r="C146" s="20" t="s">
        <v>836</v>
      </c>
      <c r="D146" s="137">
        <v>2540000</v>
      </c>
      <c r="E146" s="20" t="s">
        <v>523</v>
      </c>
      <c r="F146" s="20" t="s">
        <v>524</v>
      </c>
      <c r="G146" s="8" t="str">
        <f t="shared" si="4"/>
        <v>MCREYNOLDS KYLE</v>
      </c>
      <c r="H146" s="20" t="str">
        <f t="shared" si="5"/>
        <v>4032</v>
      </c>
    </row>
    <row r="147" spans="1:8" x14ac:dyDescent="0.3">
      <c r="A147" s="8">
        <v>43114.683379629627</v>
      </c>
      <c r="B147" s="20" t="s">
        <v>713</v>
      </c>
      <c r="C147" s="20" t="s">
        <v>837</v>
      </c>
      <c r="D147" s="137">
        <v>1800000</v>
      </c>
      <c r="E147" s="20" t="s">
        <v>794</v>
      </c>
      <c r="F147" s="20" t="s">
        <v>795</v>
      </c>
      <c r="G147" s="8" t="str">
        <f t="shared" si="4"/>
        <v>CHANDLER KELVIN</v>
      </c>
      <c r="H147" s="20" t="str">
        <f t="shared" si="5"/>
        <v>4027</v>
      </c>
    </row>
    <row r="148" spans="1:8" x14ac:dyDescent="0.3">
      <c r="A148" s="8">
        <v>43114.684479166666</v>
      </c>
      <c r="B148" s="20" t="s">
        <v>689</v>
      </c>
      <c r="C148" s="20" t="s">
        <v>690</v>
      </c>
      <c r="D148" s="137">
        <v>3340000</v>
      </c>
      <c r="E148" s="20" t="s">
        <v>584</v>
      </c>
      <c r="F148" s="20" t="s">
        <v>585</v>
      </c>
      <c r="G148" s="8" t="str">
        <f t="shared" si="4"/>
        <v>ELBAUM MIKE</v>
      </c>
      <c r="H148" s="20" t="str">
        <f t="shared" si="5"/>
        <v>4001</v>
      </c>
    </row>
    <row r="149" spans="1:8" x14ac:dyDescent="0.3">
      <c r="A149" s="8">
        <v>43114.686539351853</v>
      </c>
      <c r="B149" s="20" t="s">
        <v>433</v>
      </c>
      <c r="C149" s="20" t="s">
        <v>838</v>
      </c>
      <c r="D149" s="137">
        <v>920000</v>
      </c>
      <c r="E149" s="20" t="s">
        <v>788</v>
      </c>
      <c r="F149" s="20" t="s">
        <v>351</v>
      </c>
      <c r="G149" s="8" t="str">
        <f t="shared" si="4"/>
        <v>DAVIS MICHAEL</v>
      </c>
      <c r="H149" s="20" t="str">
        <f t="shared" si="5"/>
        <v>4050</v>
      </c>
    </row>
    <row r="150" spans="1:8" x14ac:dyDescent="0.3">
      <c r="A150" s="8">
        <v>43114.693402777775</v>
      </c>
      <c r="B150" s="20" t="s">
        <v>473</v>
      </c>
      <c r="C150" s="20" t="s">
        <v>839</v>
      </c>
      <c r="D150" s="137">
        <v>3490000</v>
      </c>
      <c r="E150" s="20" t="s">
        <v>460</v>
      </c>
      <c r="F150" s="20" t="s">
        <v>461</v>
      </c>
      <c r="G150" s="8" t="str">
        <f t="shared" si="4"/>
        <v>WEST BRYAN</v>
      </c>
      <c r="H150" s="20" t="str">
        <f t="shared" si="5"/>
        <v>4025</v>
      </c>
    </row>
    <row r="151" spans="1:8" x14ac:dyDescent="0.3">
      <c r="A151" s="8">
        <v>43114.696180555555</v>
      </c>
      <c r="B151" s="20" t="s">
        <v>380</v>
      </c>
      <c r="C151" s="20" t="s">
        <v>840</v>
      </c>
      <c r="D151" s="137">
        <v>2230000</v>
      </c>
      <c r="E151" s="20" t="s">
        <v>388</v>
      </c>
      <c r="F151" s="20" t="s">
        <v>351</v>
      </c>
      <c r="G151" s="8" t="str">
        <f t="shared" si="4"/>
        <v>SMITH MICHAEL</v>
      </c>
      <c r="H151" s="20" t="str">
        <f t="shared" si="5"/>
        <v>4022</v>
      </c>
    </row>
    <row r="152" spans="1:8" x14ac:dyDescent="0.3">
      <c r="A152" s="8">
        <v>43114.702465277776</v>
      </c>
      <c r="B152" s="20" t="s">
        <v>359</v>
      </c>
      <c r="C152" s="20" t="s">
        <v>841</v>
      </c>
      <c r="D152" s="137">
        <v>880000</v>
      </c>
      <c r="E152" s="20" t="s">
        <v>491</v>
      </c>
      <c r="F152" s="20" t="s">
        <v>351</v>
      </c>
      <c r="G152" s="8" t="str">
        <f t="shared" si="4"/>
        <v>STEWART MICHAEL</v>
      </c>
      <c r="H152" s="20" t="str">
        <f t="shared" si="5"/>
        <v>4017</v>
      </c>
    </row>
    <row r="153" spans="1:8" x14ac:dyDescent="0.3">
      <c r="A153" s="8">
        <v>43114.706145833334</v>
      </c>
      <c r="B153" s="20" t="s">
        <v>508</v>
      </c>
      <c r="C153" s="20" t="s">
        <v>842</v>
      </c>
      <c r="D153" s="137">
        <v>2550000</v>
      </c>
      <c r="E153" s="20" t="s">
        <v>580</v>
      </c>
      <c r="F153" s="20" t="s">
        <v>581</v>
      </c>
      <c r="G153" s="8" t="str">
        <f t="shared" si="4"/>
        <v>BADERTSCHER DIANE</v>
      </c>
      <c r="H153" s="20" t="str">
        <f t="shared" si="5"/>
        <v>4040</v>
      </c>
    </row>
    <row r="154" spans="1:8" x14ac:dyDescent="0.3">
      <c r="A154" s="8">
        <v>43114.706979166665</v>
      </c>
      <c r="B154" s="20" t="s">
        <v>679</v>
      </c>
      <c r="C154" s="20" t="s">
        <v>843</v>
      </c>
      <c r="D154" s="137">
        <v>3340000</v>
      </c>
      <c r="E154" s="20" t="s">
        <v>584</v>
      </c>
      <c r="F154" s="20" t="s">
        <v>585</v>
      </c>
      <c r="G154" s="8" t="str">
        <f t="shared" si="4"/>
        <v>ELBAUM MIKE</v>
      </c>
      <c r="H154" s="20" t="str">
        <f t="shared" si="5"/>
        <v>4002</v>
      </c>
    </row>
    <row r="155" spans="1:8" x14ac:dyDescent="0.3">
      <c r="A155" s="8">
        <v>43114.714791666665</v>
      </c>
      <c r="B155" s="20" t="s">
        <v>569</v>
      </c>
      <c r="C155" s="20" t="s">
        <v>844</v>
      </c>
      <c r="D155" s="137">
        <v>3310000</v>
      </c>
      <c r="E155" s="20" t="s">
        <v>435</v>
      </c>
      <c r="F155" s="20" t="s">
        <v>436</v>
      </c>
      <c r="G155" s="8" t="str">
        <f t="shared" si="4"/>
        <v>ANDERS STEVEN</v>
      </c>
      <c r="H155" s="20" t="str">
        <f t="shared" si="5"/>
        <v>4015</v>
      </c>
    </row>
    <row r="156" spans="1:8" x14ac:dyDescent="0.3">
      <c r="A156" s="8">
        <v>43114.714953703704</v>
      </c>
      <c r="B156" s="20" t="s">
        <v>386</v>
      </c>
      <c r="C156" s="20" t="s">
        <v>845</v>
      </c>
      <c r="D156" s="137">
        <v>2610000</v>
      </c>
      <c r="E156" s="20" t="s">
        <v>376</v>
      </c>
      <c r="F156" s="20" t="s">
        <v>377</v>
      </c>
      <c r="G156" s="8" t="str">
        <f t="shared" si="4"/>
        <v>MAGEE KENYA</v>
      </c>
      <c r="H156" s="20" t="str">
        <f t="shared" si="5"/>
        <v>4028</v>
      </c>
    </row>
    <row r="157" spans="1:8" x14ac:dyDescent="0.3">
      <c r="A157" s="8">
        <v>43114.725462962961</v>
      </c>
      <c r="B157" s="20" t="s">
        <v>689</v>
      </c>
      <c r="C157" s="20" t="s">
        <v>846</v>
      </c>
      <c r="D157" s="137">
        <v>3340000</v>
      </c>
      <c r="E157" s="20" t="s">
        <v>584</v>
      </c>
      <c r="F157" s="20" t="s">
        <v>585</v>
      </c>
      <c r="G157" s="8" t="str">
        <f t="shared" si="4"/>
        <v>ELBAUM MIKE</v>
      </c>
      <c r="H157" s="20" t="str">
        <f t="shared" si="5"/>
        <v>4001</v>
      </c>
    </row>
    <row r="158" spans="1:8" x14ac:dyDescent="0.3">
      <c r="A158" s="8">
        <v>43114.725995370369</v>
      </c>
      <c r="B158" s="20" t="s">
        <v>573</v>
      </c>
      <c r="C158" s="20" t="s">
        <v>847</v>
      </c>
      <c r="D158" s="137">
        <v>920000</v>
      </c>
      <c r="E158" s="20" t="s">
        <v>788</v>
      </c>
      <c r="F158" s="20" t="s">
        <v>351</v>
      </c>
      <c r="G158" s="8" t="str">
        <f t="shared" si="4"/>
        <v>DAVIS MICHAEL</v>
      </c>
      <c r="H158" s="20" t="str">
        <f t="shared" si="5"/>
        <v>4049</v>
      </c>
    </row>
    <row r="159" spans="1:8" x14ac:dyDescent="0.3">
      <c r="A159" s="8">
        <v>43114.726006944446</v>
      </c>
      <c r="B159" s="20" t="s">
        <v>475</v>
      </c>
      <c r="C159" s="20" t="s">
        <v>691</v>
      </c>
      <c r="D159" s="137">
        <v>3490000</v>
      </c>
      <c r="E159" s="20" t="s">
        <v>460</v>
      </c>
      <c r="F159" s="20" t="s">
        <v>461</v>
      </c>
      <c r="G159" s="8" t="str">
        <f t="shared" si="4"/>
        <v>WEST BRYAN</v>
      </c>
      <c r="H159" s="20" t="str">
        <f t="shared" si="5"/>
        <v>4026</v>
      </c>
    </row>
    <row r="160" spans="1:8" x14ac:dyDescent="0.3">
      <c r="A160" s="8">
        <v>43114.727592592593</v>
      </c>
      <c r="B160" s="20" t="s">
        <v>574</v>
      </c>
      <c r="C160" s="20" t="s">
        <v>848</v>
      </c>
      <c r="D160" s="137">
        <v>3000000</v>
      </c>
      <c r="E160" s="20" t="s">
        <v>455</v>
      </c>
      <c r="F160" s="20" t="s">
        <v>456</v>
      </c>
      <c r="G160" s="8" t="str">
        <f t="shared" si="4"/>
        <v>FORTUNATO FRANK</v>
      </c>
      <c r="H160" s="20" t="str">
        <f t="shared" si="5"/>
        <v>4042</v>
      </c>
    </row>
    <row r="161" spans="1:8" x14ac:dyDescent="0.3">
      <c r="A161" s="8">
        <v>43114.730092592596</v>
      </c>
      <c r="B161" s="20" t="s">
        <v>577</v>
      </c>
      <c r="C161" s="20" t="s">
        <v>849</v>
      </c>
      <c r="D161" s="137">
        <v>2230000</v>
      </c>
      <c r="E161" s="20" t="s">
        <v>388</v>
      </c>
      <c r="F161" s="20" t="s">
        <v>351</v>
      </c>
      <c r="G161" s="8" t="str">
        <f t="shared" si="4"/>
        <v>SMITH MICHAEL</v>
      </c>
      <c r="H161" s="20" t="str">
        <f t="shared" si="5"/>
        <v>4021</v>
      </c>
    </row>
    <row r="162" spans="1:8" x14ac:dyDescent="0.3">
      <c r="A162" s="8">
        <v>43114.736956018518</v>
      </c>
      <c r="B162" s="20" t="s">
        <v>357</v>
      </c>
      <c r="C162" s="20" t="s">
        <v>850</v>
      </c>
      <c r="D162" s="137">
        <v>3260000</v>
      </c>
      <c r="E162" s="20" t="s">
        <v>851</v>
      </c>
      <c r="F162" s="20" t="s">
        <v>852</v>
      </c>
      <c r="G162" s="8" t="str">
        <f t="shared" si="4"/>
        <v>PAGE MARCUS</v>
      </c>
      <c r="H162" s="20" t="str">
        <f t="shared" si="5"/>
        <v>4018</v>
      </c>
    </row>
    <row r="163" spans="1:8" x14ac:dyDescent="0.3">
      <c r="A163" s="8">
        <v>43114.743842592594</v>
      </c>
      <c r="B163" s="20" t="s">
        <v>507</v>
      </c>
      <c r="C163" s="20" t="s">
        <v>692</v>
      </c>
      <c r="D163" s="137">
        <v>2550000</v>
      </c>
      <c r="E163" s="20" t="s">
        <v>580</v>
      </c>
      <c r="F163" s="20" t="s">
        <v>581</v>
      </c>
      <c r="G163" s="8" t="str">
        <f t="shared" si="4"/>
        <v>BADERTSCHER DIANE</v>
      </c>
      <c r="H163" s="20" t="str">
        <f t="shared" si="5"/>
        <v>4039</v>
      </c>
    </row>
    <row r="164" spans="1:8" x14ac:dyDescent="0.3">
      <c r="A164" s="8">
        <v>43114.745474537034</v>
      </c>
      <c r="B164" s="20" t="s">
        <v>576</v>
      </c>
      <c r="C164" s="20" t="s">
        <v>844</v>
      </c>
      <c r="D164" s="137">
        <v>3310000</v>
      </c>
      <c r="E164" s="20" t="s">
        <v>435</v>
      </c>
      <c r="F164" s="20" t="s">
        <v>436</v>
      </c>
      <c r="G164" s="8" t="str">
        <f t="shared" si="4"/>
        <v>ANDERS STEVEN</v>
      </c>
      <c r="H164" s="20" t="str">
        <f t="shared" si="5"/>
        <v>4016</v>
      </c>
    </row>
    <row r="165" spans="1:8" x14ac:dyDescent="0.3">
      <c r="A165" s="8">
        <v>43114.74858796296</v>
      </c>
      <c r="B165" s="20" t="s">
        <v>576</v>
      </c>
      <c r="C165" s="20" t="s">
        <v>853</v>
      </c>
      <c r="D165" s="137">
        <v>3310000</v>
      </c>
      <c r="E165" s="20" t="s">
        <v>435</v>
      </c>
      <c r="F165" s="20" t="s">
        <v>436</v>
      </c>
      <c r="G165" s="8" t="str">
        <f t="shared" si="4"/>
        <v>ANDERS STEVEN</v>
      </c>
      <c r="H165" s="20" t="str">
        <f t="shared" si="5"/>
        <v>4016</v>
      </c>
    </row>
    <row r="166" spans="1:8" x14ac:dyDescent="0.3">
      <c r="A166" s="8">
        <v>43114.748611111114</v>
      </c>
      <c r="B166" s="20" t="s">
        <v>381</v>
      </c>
      <c r="C166" s="20" t="s">
        <v>854</v>
      </c>
      <c r="D166" s="137">
        <v>3180000</v>
      </c>
      <c r="E166" s="20" t="s">
        <v>519</v>
      </c>
      <c r="F166" s="20" t="s">
        <v>520</v>
      </c>
      <c r="G166" s="8" t="str">
        <f t="shared" si="4"/>
        <v>HUFFSMITH MONTY</v>
      </c>
      <c r="H166" s="20" t="str">
        <f t="shared" si="5"/>
        <v>4061</v>
      </c>
    </row>
    <row r="167" spans="1:8" x14ac:dyDescent="0.3">
      <c r="A167" s="8">
        <v>43114.749537037038</v>
      </c>
      <c r="B167" s="20" t="s">
        <v>679</v>
      </c>
      <c r="C167" s="20" t="s">
        <v>855</v>
      </c>
      <c r="D167" s="137">
        <v>3340000</v>
      </c>
      <c r="E167" s="20" t="s">
        <v>584</v>
      </c>
      <c r="F167" s="20" t="s">
        <v>585</v>
      </c>
      <c r="G167" s="8" t="str">
        <f t="shared" si="4"/>
        <v>ELBAUM MIKE</v>
      </c>
      <c r="H167" s="20" t="str">
        <f t="shared" si="5"/>
        <v>4002</v>
      </c>
    </row>
    <row r="168" spans="1:8" x14ac:dyDescent="0.3">
      <c r="A168" s="8">
        <v>43114.756921296299</v>
      </c>
      <c r="B168" s="20" t="s">
        <v>713</v>
      </c>
      <c r="C168" s="20" t="s">
        <v>856</v>
      </c>
      <c r="D168" s="137">
        <v>2610000</v>
      </c>
      <c r="E168" s="20" t="s">
        <v>376</v>
      </c>
      <c r="F168" s="20" t="s">
        <v>377</v>
      </c>
      <c r="G168" s="8" t="str">
        <f t="shared" si="4"/>
        <v>MAGEE KENYA</v>
      </c>
      <c r="H168" s="20" t="str">
        <f t="shared" si="5"/>
        <v>4027</v>
      </c>
    </row>
    <row r="169" spans="1:8" x14ac:dyDescent="0.3">
      <c r="A169" s="8">
        <v>43114.758587962962</v>
      </c>
      <c r="B169" s="20" t="s">
        <v>433</v>
      </c>
      <c r="C169" s="20" t="s">
        <v>857</v>
      </c>
      <c r="D169" s="137">
        <v>3680000</v>
      </c>
      <c r="E169" s="20" t="s">
        <v>858</v>
      </c>
      <c r="F169" s="20" t="s">
        <v>859</v>
      </c>
      <c r="G169" s="8" t="str">
        <f t="shared" si="4"/>
        <v>HAMMOND JUSTYNN</v>
      </c>
      <c r="H169" s="20" t="str">
        <f t="shared" si="5"/>
        <v>4050</v>
      </c>
    </row>
    <row r="170" spans="1:8" x14ac:dyDescent="0.3">
      <c r="A170" s="8">
        <v>43114.76358796296</v>
      </c>
      <c r="B170" s="20" t="s">
        <v>473</v>
      </c>
      <c r="C170" s="20" t="s">
        <v>860</v>
      </c>
      <c r="D170" s="137">
        <v>3490000</v>
      </c>
      <c r="E170" s="20" t="s">
        <v>460</v>
      </c>
      <c r="F170" s="20" t="s">
        <v>461</v>
      </c>
      <c r="G170" s="8" t="str">
        <f t="shared" si="4"/>
        <v>WEST BRYAN</v>
      </c>
      <c r="H170" s="20" t="str">
        <f t="shared" si="5"/>
        <v>4025</v>
      </c>
    </row>
    <row r="171" spans="1:8" x14ac:dyDescent="0.3">
      <c r="A171" s="8">
        <v>43114.765555555554</v>
      </c>
      <c r="B171" s="20" t="s">
        <v>359</v>
      </c>
      <c r="C171" s="20" t="s">
        <v>694</v>
      </c>
      <c r="D171" s="137">
        <v>3260000</v>
      </c>
      <c r="E171" s="20" t="s">
        <v>851</v>
      </c>
      <c r="F171" s="20" t="s">
        <v>852</v>
      </c>
      <c r="G171" s="8" t="str">
        <f t="shared" si="4"/>
        <v>PAGE MARCUS</v>
      </c>
      <c r="H171" s="20" t="str">
        <f t="shared" si="5"/>
        <v>4017</v>
      </c>
    </row>
    <row r="172" spans="1:8" x14ac:dyDescent="0.3">
      <c r="A172" s="8">
        <v>43114.767465277779</v>
      </c>
      <c r="B172" s="20" t="s">
        <v>689</v>
      </c>
      <c r="C172" s="20" t="s">
        <v>861</v>
      </c>
      <c r="D172" s="137">
        <v>3340000</v>
      </c>
      <c r="E172" s="20" t="s">
        <v>584</v>
      </c>
      <c r="F172" s="20" t="s">
        <v>585</v>
      </c>
      <c r="G172" s="8" t="str">
        <f t="shared" si="4"/>
        <v>ELBAUM MIKE</v>
      </c>
      <c r="H172" s="20" t="str">
        <f t="shared" si="5"/>
        <v>4001</v>
      </c>
    </row>
    <row r="173" spans="1:8" x14ac:dyDescent="0.3">
      <c r="A173" s="8">
        <v>43114.767476851855</v>
      </c>
      <c r="B173" s="20" t="s">
        <v>380</v>
      </c>
      <c r="C173" s="20" t="s">
        <v>862</v>
      </c>
      <c r="D173" s="137">
        <v>3500000</v>
      </c>
      <c r="E173" s="20" t="s">
        <v>372</v>
      </c>
      <c r="F173" s="20" t="s">
        <v>373</v>
      </c>
      <c r="G173" s="8" t="str">
        <f t="shared" si="4"/>
        <v>GUNTHIER ERIC</v>
      </c>
      <c r="H173" s="20" t="str">
        <f t="shared" si="5"/>
        <v>4022</v>
      </c>
    </row>
    <row r="174" spans="1:8" x14ac:dyDescent="0.3">
      <c r="A174" s="8">
        <v>43114.781331018516</v>
      </c>
      <c r="B174" s="20" t="s">
        <v>508</v>
      </c>
      <c r="C174" s="20" t="s">
        <v>863</v>
      </c>
      <c r="D174" s="137">
        <v>2550000</v>
      </c>
      <c r="E174" s="20" t="s">
        <v>580</v>
      </c>
      <c r="F174" s="20" t="s">
        <v>581</v>
      </c>
      <c r="G174" s="8" t="str">
        <f t="shared" si="4"/>
        <v>BADERTSCHER DIANE</v>
      </c>
      <c r="H174" s="20" t="str">
        <f t="shared" si="5"/>
        <v>4040</v>
      </c>
    </row>
    <row r="175" spans="1:8" x14ac:dyDescent="0.3">
      <c r="A175" s="8">
        <v>43114.786724537036</v>
      </c>
      <c r="B175" s="20" t="s">
        <v>386</v>
      </c>
      <c r="C175" s="20" t="s">
        <v>693</v>
      </c>
      <c r="D175" s="137">
        <v>2610000</v>
      </c>
      <c r="E175" s="20" t="s">
        <v>376</v>
      </c>
      <c r="F175" s="20" t="s">
        <v>377</v>
      </c>
      <c r="G175" s="8" t="str">
        <f t="shared" si="4"/>
        <v>MAGEE KENYA</v>
      </c>
      <c r="H175" s="20" t="str">
        <f t="shared" si="5"/>
        <v>4028</v>
      </c>
    </row>
    <row r="176" spans="1:8" x14ac:dyDescent="0.3">
      <c r="A176" s="8">
        <v>43114.788854166669</v>
      </c>
      <c r="B176" s="20" t="s">
        <v>569</v>
      </c>
      <c r="C176" s="20" t="s">
        <v>864</v>
      </c>
      <c r="D176" s="137">
        <v>3310000</v>
      </c>
      <c r="E176" s="20" t="s">
        <v>435</v>
      </c>
      <c r="F176" s="20" t="s">
        <v>436</v>
      </c>
      <c r="G176" s="8" t="str">
        <f t="shared" si="4"/>
        <v>ANDERS STEVEN</v>
      </c>
      <c r="H176" s="20" t="str">
        <f t="shared" si="5"/>
        <v>4015</v>
      </c>
    </row>
    <row r="177" spans="1:8" x14ac:dyDescent="0.3">
      <c r="A177" s="8">
        <v>43114.789930555555</v>
      </c>
      <c r="B177" s="20" t="s">
        <v>679</v>
      </c>
      <c r="C177" s="20" t="s">
        <v>865</v>
      </c>
      <c r="D177" s="137">
        <v>3340000</v>
      </c>
      <c r="E177" s="20" t="s">
        <v>584</v>
      </c>
      <c r="F177" s="20" t="s">
        <v>585</v>
      </c>
      <c r="G177" s="8" t="str">
        <f t="shared" si="4"/>
        <v>ELBAUM MIKE</v>
      </c>
      <c r="H177" s="20" t="str">
        <f t="shared" si="5"/>
        <v>4002</v>
      </c>
    </row>
    <row r="178" spans="1:8" x14ac:dyDescent="0.3">
      <c r="A178" s="8">
        <v>43114.795555555553</v>
      </c>
      <c r="B178" s="20" t="s">
        <v>573</v>
      </c>
      <c r="C178" s="20" t="s">
        <v>866</v>
      </c>
      <c r="D178" s="137">
        <v>3680000</v>
      </c>
      <c r="E178" s="20" t="s">
        <v>858</v>
      </c>
      <c r="F178" s="20" t="s">
        <v>859</v>
      </c>
      <c r="G178" s="8" t="str">
        <f t="shared" si="4"/>
        <v>HAMMOND JUSTYNN</v>
      </c>
      <c r="H178" s="20" t="str">
        <f t="shared" si="5"/>
        <v>4049</v>
      </c>
    </row>
    <row r="179" spans="1:8" x14ac:dyDescent="0.3">
      <c r="A179" s="8">
        <v>43114.798078703701</v>
      </c>
      <c r="B179" s="20" t="s">
        <v>475</v>
      </c>
      <c r="C179" s="20" t="s">
        <v>867</v>
      </c>
      <c r="D179" s="137">
        <v>3490000</v>
      </c>
      <c r="E179" s="20" t="s">
        <v>460</v>
      </c>
      <c r="F179" s="20" t="s">
        <v>461</v>
      </c>
      <c r="G179" s="8" t="str">
        <f t="shared" si="4"/>
        <v>WEST BRYAN</v>
      </c>
      <c r="H179" s="20" t="str">
        <f t="shared" si="5"/>
        <v>4026</v>
      </c>
    </row>
    <row r="180" spans="1:8" x14ac:dyDescent="0.3">
      <c r="A180" s="8">
        <v>43114.804189814815</v>
      </c>
      <c r="B180" s="20" t="s">
        <v>577</v>
      </c>
      <c r="C180" s="20" t="s">
        <v>868</v>
      </c>
      <c r="D180" s="137">
        <v>3500000</v>
      </c>
      <c r="E180" s="20" t="s">
        <v>372</v>
      </c>
      <c r="F180" s="20" t="s">
        <v>373</v>
      </c>
      <c r="G180" s="8" t="str">
        <f t="shared" si="4"/>
        <v>GUNTHIER ERIC</v>
      </c>
      <c r="H180" s="20" t="str">
        <f t="shared" si="5"/>
        <v>4021</v>
      </c>
    </row>
    <row r="181" spans="1:8" x14ac:dyDescent="0.3">
      <c r="A181" s="8">
        <v>43114.807372685187</v>
      </c>
      <c r="B181" s="20" t="s">
        <v>357</v>
      </c>
      <c r="C181" s="20" t="s">
        <v>869</v>
      </c>
      <c r="D181" s="137">
        <v>3260000</v>
      </c>
      <c r="E181" s="20" t="s">
        <v>851</v>
      </c>
      <c r="F181" s="20" t="s">
        <v>852</v>
      </c>
      <c r="G181" s="8" t="str">
        <f t="shared" si="4"/>
        <v>PAGE MARCUS</v>
      </c>
      <c r="H181" s="20" t="str">
        <f t="shared" si="5"/>
        <v>4018</v>
      </c>
    </row>
    <row r="182" spans="1:8" x14ac:dyDescent="0.3">
      <c r="A182" s="8">
        <v>43114.808981481481</v>
      </c>
      <c r="B182" s="20" t="s">
        <v>689</v>
      </c>
      <c r="C182" s="20" t="s">
        <v>870</v>
      </c>
      <c r="D182" s="137">
        <v>3340000</v>
      </c>
      <c r="E182" s="20" t="s">
        <v>584</v>
      </c>
      <c r="F182" s="20" t="s">
        <v>585</v>
      </c>
      <c r="G182" s="8" t="str">
        <f t="shared" si="4"/>
        <v>ELBAUM MIKE</v>
      </c>
      <c r="H182" s="20" t="str">
        <f t="shared" si="5"/>
        <v>4001</v>
      </c>
    </row>
    <row r="183" spans="1:8" x14ac:dyDescent="0.3">
      <c r="A183" s="8">
        <v>43114.813263888886</v>
      </c>
      <c r="B183" s="20" t="s">
        <v>473</v>
      </c>
      <c r="C183" s="20" t="s">
        <v>867</v>
      </c>
      <c r="D183" s="137">
        <v>3490000</v>
      </c>
      <c r="E183" s="20" t="s">
        <v>460</v>
      </c>
      <c r="F183" s="20" t="s">
        <v>461</v>
      </c>
      <c r="G183" s="8" t="str">
        <f t="shared" si="4"/>
        <v>WEST BRYAN</v>
      </c>
      <c r="H183" s="20" t="str">
        <f t="shared" si="5"/>
        <v>4025</v>
      </c>
    </row>
    <row r="184" spans="1:8" x14ac:dyDescent="0.3">
      <c r="A184" s="8">
        <v>43114.814155092594</v>
      </c>
      <c r="B184" s="20" t="s">
        <v>473</v>
      </c>
      <c r="C184" s="20" t="s">
        <v>867</v>
      </c>
      <c r="D184" s="137">
        <v>3490000</v>
      </c>
      <c r="E184" s="20" t="s">
        <v>460</v>
      </c>
      <c r="F184" s="20" t="s">
        <v>461</v>
      </c>
      <c r="G184" s="8" t="str">
        <f t="shared" si="4"/>
        <v>WEST BRYAN</v>
      </c>
      <c r="H184" s="20" t="str">
        <f t="shared" si="5"/>
        <v>4025</v>
      </c>
    </row>
    <row r="185" spans="1:8" x14ac:dyDescent="0.3">
      <c r="A185" s="8">
        <v>43114.818344907406</v>
      </c>
      <c r="B185" s="20" t="s">
        <v>576</v>
      </c>
      <c r="C185" s="20" t="s">
        <v>871</v>
      </c>
      <c r="D185" s="137">
        <v>3310000</v>
      </c>
      <c r="E185" s="20" t="s">
        <v>435</v>
      </c>
      <c r="F185" s="20" t="s">
        <v>436</v>
      </c>
      <c r="G185" s="8" t="str">
        <f t="shared" si="4"/>
        <v>ANDERS STEVEN</v>
      </c>
      <c r="H185" s="20" t="str">
        <f t="shared" si="5"/>
        <v>4016</v>
      </c>
    </row>
    <row r="186" spans="1:8" x14ac:dyDescent="0.3">
      <c r="A186" s="8">
        <v>43114.824872685182</v>
      </c>
      <c r="B186" s="20" t="s">
        <v>713</v>
      </c>
      <c r="C186" s="20" t="s">
        <v>872</v>
      </c>
      <c r="D186" s="137">
        <v>2610000</v>
      </c>
      <c r="E186" s="20" t="s">
        <v>376</v>
      </c>
      <c r="F186" s="20" t="s">
        <v>377</v>
      </c>
      <c r="G186" s="8" t="str">
        <f t="shared" si="4"/>
        <v>MAGEE KENYA</v>
      </c>
      <c r="H186" s="20" t="str">
        <f t="shared" si="5"/>
        <v>4027</v>
      </c>
    </row>
    <row r="187" spans="1:8" x14ac:dyDescent="0.3">
      <c r="A187" s="8">
        <v>43114.830405092594</v>
      </c>
      <c r="B187" s="20" t="s">
        <v>433</v>
      </c>
      <c r="C187" s="20" t="s">
        <v>873</v>
      </c>
      <c r="D187" s="137">
        <v>3680000</v>
      </c>
      <c r="E187" s="20" t="s">
        <v>858</v>
      </c>
      <c r="F187" s="20" t="s">
        <v>859</v>
      </c>
      <c r="G187" s="8" t="str">
        <f t="shared" si="4"/>
        <v>HAMMOND JUSTYNN</v>
      </c>
      <c r="H187" s="20" t="str">
        <f t="shared" si="5"/>
        <v>4050</v>
      </c>
    </row>
    <row r="188" spans="1:8" x14ac:dyDescent="0.3">
      <c r="A188" s="8">
        <v>43114.831875000003</v>
      </c>
      <c r="B188" s="20" t="s">
        <v>679</v>
      </c>
      <c r="C188" s="20" t="s">
        <v>695</v>
      </c>
      <c r="D188" s="137">
        <v>3340000</v>
      </c>
      <c r="E188" s="20" t="s">
        <v>584</v>
      </c>
      <c r="F188" s="20" t="s">
        <v>585</v>
      </c>
      <c r="G188" s="8" t="str">
        <f t="shared" si="4"/>
        <v>ELBAUM MIKE</v>
      </c>
      <c r="H188" s="20" t="str">
        <f t="shared" si="5"/>
        <v>4002</v>
      </c>
    </row>
    <row r="189" spans="1:8" x14ac:dyDescent="0.3">
      <c r="A189" s="8">
        <v>43114.838437500002</v>
      </c>
      <c r="B189" s="20" t="s">
        <v>359</v>
      </c>
      <c r="C189" s="20" t="s">
        <v>874</v>
      </c>
      <c r="D189" s="137">
        <v>3260000</v>
      </c>
      <c r="E189" s="20" t="s">
        <v>851</v>
      </c>
      <c r="F189" s="20" t="s">
        <v>852</v>
      </c>
      <c r="G189" s="8" t="str">
        <f t="shared" si="4"/>
        <v>PAGE MARCUS</v>
      </c>
      <c r="H189" s="20" t="str">
        <f t="shared" si="5"/>
        <v>4017</v>
      </c>
    </row>
    <row r="190" spans="1:8" x14ac:dyDescent="0.3">
      <c r="A190" s="8">
        <v>43114.84615740741</v>
      </c>
      <c r="B190" s="20" t="s">
        <v>380</v>
      </c>
      <c r="C190" s="20" t="s">
        <v>875</v>
      </c>
      <c r="D190" s="137">
        <v>3500000</v>
      </c>
      <c r="E190" s="20" t="s">
        <v>372</v>
      </c>
      <c r="F190" s="20" t="s">
        <v>373</v>
      </c>
      <c r="G190" s="8" t="str">
        <f t="shared" si="4"/>
        <v>GUNTHIER ERIC</v>
      </c>
      <c r="H190" s="20" t="str">
        <f t="shared" si="5"/>
        <v>4022</v>
      </c>
    </row>
    <row r="191" spans="1:8" x14ac:dyDescent="0.3">
      <c r="A191" s="8">
        <v>43114.850972222222</v>
      </c>
      <c r="B191" s="20" t="s">
        <v>689</v>
      </c>
      <c r="C191" s="20" t="s">
        <v>876</v>
      </c>
      <c r="D191" s="137">
        <v>3340000</v>
      </c>
      <c r="E191" s="20" t="s">
        <v>584</v>
      </c>
      <c r="F191" s="20" t="s">
        <v>585</v>
      </c>
      <c r="G191" s="8" t="str">
        <f t="shared" si="4"/>
        <v>ELBAUM MIKE</v>
      </c>
      <c r="H191" s="20" t="str">
        <f t="shared" si="5"/>
        <v>4001</v>
      </c>
    </row>
    <row r="192" spans="1:8" x14ac:dyDescent="0.3">
      <c r="A192" s="8">
        <v>43114.858368055553</v>
      </c>
      <c r="B192" s="20" t="s">
        <v>689</v>
      </c>
      <c r="C192" s="20" t="s">
        <v>876</v>
      </c>
      <c r="D192" s="137">
        <v>3340000</v>
      </c>
      <c r="E192" s="20" t="s">
        <v>584</v>
      </c>
      <c r="F192" s="20" t="s">
        <v>585</v>
      </c>
      <c r="G192" s="8" t="str">
        <f t="shared" si="4"/>
        <v>ELBAUM MIKE</v>
      </c>
      <c r="H192" s="20" t="str">
        <f t="shared" si="5"/>
        <v>4001</v>
      </c>
    </row>
    <row r="193" spans="1:8" x14ac:dyDescent="0.3">
      <c r="A193" s="8">
        <v>43114.866516203707</v>
      </c>
      <c r="B193" s="20" t="s">
        <v>573</v>
      </c>
      <c r="C193" s="20" t="s">
        <v>877</v>
      </c>
      <c r="D193" s="137">
        <v>3680000</v>
      </c>
      <c r="E193" s="20" t="s">
        <v>858</v>
      </c>
      <c r="F193" s="20" t="s">
        <v>859</v>
      </c>
      <c r="G193" s="8" t="str">
        <f t="shared" si="4"/>
        <v>HAMMOND JUSTYNN</v>
      </c>
      <c r="H193" s="20" t="str">
        <f t="shared" si="5"/>
        <v>4049</v>
      </c>
    </row>
    <row r="194" spans="1:8" x14ac:dyDescent="0.3">
      <c r="A194" s="8">
        <v>43114.872604166667</v>
      </c>
      <c r="B194" s="20" t="s">
        <v>386</v>
      </c>
      <c r="C194" s="20" t="s">
        <v>878</v>
      </c>
      <c r="D194" s="137">
        <v>2610000</v>
      </c>
      <c r="E194" s="20" t="s">
        <v>376</v>
      </c>
      <c r="F194" s="20" t="s">
        <v>377</v>
      </c>
      <c r="G194" s="8" t="str">
        <f t="shared" si="4"/>
        <v>MAGEE KENYA</v>
      </c>
      <c r="H194" s="20" t="str">
        <f t="shared" si="5"/>
        <v>4028</v>
      </c>
    </row>
    <row r="195" spans="1:8" x14ac:dyDescent="0.3">
      <c r="A195" s="8">
        <v>43114.879502314812</v>
      </c>
      <c r="B195" s="20" t="s">
        <v>679</v>
      </c>
      <c r="C195" s="20" t="s">
        <v>696</v>
      </c>
      <c r="D195" s="137">
        <v>3340000</v>
      </c>
      <c r="E195" s="20" t="s">
        <v>584</v>
      </c>
      <c r="F195" s="20" t="s">
        <v>585</v>
      </c>
      <c r="G195" s="8" t="str">
        <f t="shared" ref="G195:G258" si="6">E195&amp;" "&amp;F195</f>
        <v>ELBAUM MIKE</v>
      </c>
      <c r="H195" s="20" t="str">
        <f t="shared" ref="H195:H258" si="7">MID(B195,13,4)</f>
        <v>4002</v>
      </c>
    </row>
    <row r="196" spans="1:8" x14ac:dyDescent="0.3">
      <c r="A196" s="8">
        <v>43114.881863425922</v>
      </c>
      <c r="B196" s="20" t="s">
        <v>357</v>
      </c>
      <c r="C196" s="20" t="s">
        <v>879</v>
      </c>
      <c r="D196" s="137">
        <v>3260000</v>
      </c>
      <c r="E196" s="20" t="s">
        <v>851</v>
      </c>
      <c r="F196" s="20" t="s">
        <v>852</v>
      </c>
      <c r="G196" s="8" t="str">
        <f t="shared" si="6"/>
        <v>PAGE MARCUS</v>
      </c>
      <c r="H196" s="20" t="str">
        <f t="shared" si="7"/>
        <v>4018</v>
      </c>
    </row>
    <row r="197" spans="1:8" x14ac:dyDescent="0.3">
      <c r="A197" s="8">
        <v>43114.883796296293</v>
      </c>
      <c r="B197" s="20" t="s">
        <v>577</v>
      </c>
      <c r="C197" s="20" t="s">
        <v>880</v>
      </c>
      <c r="D197" s="137">
        <v>3500000</v>
      </c>
      <c r="E197" s="20" t="s">
        <v>372</v>
      </c>
      <c r="F197" s="20" t="s">
        <v>373</v>
      </c>
      <c r="G197" s="8" t="str">
        <f t="shared" si="6"/>
        <v>GUNTHIER ERIC</v>
      </c>
      <c r="H197" s="20" t="str">
        <f t="shared" si="7"/>
        <v>4021</v>
      </c>
    </row>
    <row r="198" spans="1:8" x14ac:dyDescent="0.3">
      <c r="A198" s="8">
        <v>43114.892881944441</v>
      </c>
      <c r="B198" s="20" t="s">
        <v>689</v>
      </c>
      <c r="C198" s="20" t="s">
        <v>881</v>
      </c>
      <c r="D198" s="137">
        <v>3340000</v>
      </c>
      <c r="E198" s="20" t="s">
        <v>584</v>
      </c>
      <c r="F198" s="20" t="s">
        <v>585</v>
      </c>
      <c r="G198" s="8" t="str">
        <f t="shared" si="6"/>
        <v>ELBAUM MIKE</v>
      </c>
      <c r="H198" s="20" t="str">
        <f t="shared" si="7"/>
        <v>4001</v>
      </c>
    </row>
    <row r="199" spans="1:8" x14ac:dyDescent="0.3">
      <c r="A199" s="8">
        <v>43114.908738425926</v>
      </c>
      <c r="B199" s="20" t="s">
        <v>713</v>
      </c>
      <c r="C199" s="20" t="s">
        <v>882</v>
      </c>
      <c r="D199" s="137">
        <v>2610000</v>
      </c>
      <c r="E199" s="20" t="s">
        <v>376</v>
      </c>
      <c r="F199" s="20" t="s">
        <v>377</v>
      </c>
      <c r="G199" s="8" t="str">
        <f t="shared" si="6"/>
        <v>MAGEE KENYA</v>
      </c>
      <c r="H199" s="20" t="str">
        <f t="shared" si="7"/>
        <v>4027</v>
      </c>
    </row>
    <row r="200" spans="1:8" x14ac:dyDescent="0.3">
      <c r="A200" s="8">
        <v>43114.91033564815</v>
      </c>
      <c r="B200" s="20" t="s">
        <v>433</v>
      </c>
      <c r="C200" s="20" t="s">
        <v>883</v>
      </c>
      <c r="D200" s="137">
        <v>3680000</v>
      </c>
      <c r="E200" s="20" t="s">
        <v>858</v>
      </c>
      <c r="F200" s="20" t="s">
        <v>859</v>
      </c>
      <c r="G200" s="8" t="str">
        <f t="shared" si="6"/>
        <v>HAMMOND JUSTYNN</v>
      </c>
      <c r="H200" s="20" t="str">
        <f t="shared" si="7"/>
        <v>4050</v>
      </c>
    </row>
    <row r="201" spans="1:8" x14ac:dyDescent="0.3">
      <c r="A201" s="8">
        <v>43114.914525462962</v>
      </c>
      <c r="B201" s="20" t="s">
        <v>679</v>
      </c>
      <c r="C201" s="20" t="s">
        <v>884</v>
      </c>
      <c r="D201" s="137">
        <v>3340000</v>
      </c>
      <c r="E201" s="20" t="s">
        <v>584</v>
      </c>
      <c r="F201" s="20" t="s">
        <v>585</v>
      </c>
      <c r="G201" s="8" t="str">
        <f t="shared" si="6"/>
        <v>ELBAUM MIKE</v>
      </c>
      <c r="H201" s="20" t="str">
        <f t="shared" si="7"/>
        <v>4002</v>
      </c>
    </row>
    <row r="202" spans="1:8" x14ac:dyDescent="0.3">
      <c r="A202" s="26">
        <v>43114.921689814815</v>
      </c>
      <c r="B202" s="20" t="s">
        <v>359</v>
      </c>
      <c r="C202" s="20" t="s">
        <v>885</v>
      </c>
      <c r="D202" s="137">
        <v>3260000</v>
      </c>
      <c r="E202" s="20" t="s">
        <v>851</v>
      </c>
      <c r="F202" s="20" t="s">
        <v>852</v>
      </c>
      <c r="G202" s="8" t="str">
        <f t="shared" si="6"/>
        <v>PAGE MARCUS</v>
      </c>
      <c r="H202" s="20" t="str">
        <f t="shared" si="7"/>
        <v>4017</v>
      </c>
    </row>
    <row r="203" spans="1:8" x14ac:dyDescent="0.3">
      <c r="A203" s="8">
        <v>43114.932152777779</v>
      </c>
      <c r="B203" s="20" t="s">
        <v>380</v>
      </c>
      <c r="C203" s="20" t="s">
        <v>886</v>
      </c>
      <c r="D203" s="137">
        <v>3500000</v>
      </c>
      <c r="E203" s="20" t="s">
        <v>372</v>
      </c>
      <c r="F203" s="20" t="s">
        <v>373</v>
      </c>
      <c r="G203" s="8" t="str">
        <f t="shared" si="6"/>
        <v>GUNTHIER ERIC</v>
      </c>
      <c r="H203" s="20" t="str">
        <f t="shared" si="7"/>
        <v>4022</v>
      </c>
    </row>
    <row r="204" spans="1:8" x14ac:dyDescent="0.3">
      <c r="A204" s="8">
        <v>43114.933576388888</v>
      </c>
      <c r="B204" s="20" t="s">
        <v>689</v>
      </c>
      <c r="C204" s="20" t="s">
        <v>887</v>
      </c>
      <c r="D204" s="137">
        <v>3340000</v>
      </c>
      <c r="E204" s="20" t="s">
        <v>584</v>
      </c>
      <c r="F204" s="20" t="s">
        <v>585</v>
      </c>
      <c r="G204" s="8" t="str">
        <f t="shared" si="6"/>
        <v>ELBAUM MIKE</v>
      </c>
      <c r="H204" s="20" t="str">
        <f t="shared" si="7"/>
        <v>4001</v>
      </c>
    </row>
    <row r="205" spans="1:8" x14ac:dyDescent="0.3">
      <c r="A205" s="8">
        <v>43114.951527777775</v>
      </c>
      <c r="B205" s="20" t="s">
        <v>573</v>
      </c>
      <c r="C205" s="20" t="s">
        <v>888</v>
      </c>
      <c r="D205" s="137">
        <v>3680000</v>
      </c>
      <c r="E205" s="20" t="s">
        <v>858</v>
      </c>
      <c r="F205" s="20" t="s">
        <v>859</v>
      </c>
      <c r="G205" s="8" t="str">
        <f t="shared" si="6"/>
        <v>HAMMOND JUSTYNN</v>
      </c>
      <c r="H205" s="20" t="str">
        <f t="shared" si="7"/>
        <v>4049</v>
      </c>
    </row>
    <row r="206" spans="1:8" x14ac:dyDescent="0.3">
      <c r="A206" s="8">
        <v>43114.952997685185</v>
      </c>
      <c r="B206" s="20" t="s">
        <v>386</v>
      </c>
      <c r="C206" s="20" t="s">
        <v>889</v>
      </c>
      <c r="D206" s="137">
        <v>2610000</v>
      </c>
      <c r="E206" s="20" t="s">
        <v>376</v>
      </c>
      <c r="F206" s="20" t="s">
        <v>377</v>
      </c>
      <c r="G206" s="8" t="str">
        <f t="shared" si="6"/>
        <v>MAGEE KENYA</v>
      </c>
      <c r="H206" s="20" t="str">
        <f t="shared" si="7"/>
        <v>4028</v>
      </c>
    </row>
    <row r="207" spans="1:8" x14ac:dyDescent="0.3">
      <c r="A207" s="8">
        <v>43114.956597222219</v>
      </c>
      <c r="B207" s="20" t="s">
        <v>679</v>
      </c>
      <c r="C207" s="20" t="s">
        <v>890</v>
      </c>
      <c r="D207" s="137">
        <v>3340000</v>
      </c>
      <c r="E207" s="20" t="s">
        <v>584</v>
      </c>
      <c r="F207" s="20" t="s">
        <v>585</v>
      </c>
      <c r="G207" s="8" t="str">
        <f t="shared" si="6"/>
        <v>ELBAUM MIKE</v>
      </c>
      <c r="H207" s="20" t="str">
        <f t="shared" si="7"/>
        <v>4002</v>
      </c>
    </row>
    <row r="208" spans="1:8" x14ac:dyDescent="0.3">
      <c r="A208" s="8">
        <v>43114.963888888888</v>
      </c>
      <c r="B208" s="20" t="s">
        <v>357</v>
      </c>
      <c r="C208" s="20" t="s">
        <v>891</v>
      </c>
      <c r="D208" s="137">
        <v>3260000</v>
      </c>
      <c r="E208" s="20" t="s">
        <v>851</v>
      </c>
      <c r="F208" s="20" t="s">
        <v>852</v>
      </c>
      <c r="G208" s="8" t="str">
        <f t="shared" si="6"/>
        <v>PAGE MARCUS</v>
      </c>
      <c r="H208" s="20" t="str">
        <f t="shared" si="7"/>
        <v>4018</v>
      </c>
    </row>
    <row r="209" spans="1:8" x14ac:dyDescent="0.3">
      <c r="A209" s="8">
        <v>43114.972997685189</v>
      </c>
      <c r="B209" s="20" t="s">
        <v>577</v>
      </c>
      <c r="C209" s="20" t="s">
        <v>892</v>
      </c>
      <c r="D209" s="137">
        <v>3500000</v>
      </c>
      <c r="E209" s="20" t="s">
        <v>372</v>
      </c>
      <c r="F209" s="20" t="s">
        <v>373</v>
      </c>
      <c r="G209" s="8" t="str">
        <f t="shared" si="6"/>
        <v>GUNTHIER ERIC</v>
      </c>
      <c r="H209" s="20" t="str">
        <f t="shared" si="7"/>
        <v>4021</v>
      </c>
    </row>
    <row r="210" spans="1:8" x14ac:dyDescent="0.3">
      <c r="A210" s="8">
        <v>43114.975057870368</v>
      </c>
      <c r="B210" s="20" t="s">
        <v>689</v>
      </c>
      <c r="C210" s="20" t="s">
        <v>697</v>
      </c>
      <c r="D210" s="137">
        <v>3340000</v>
      </c>
      <c r="E210" s="20" t="s">
        <v>584</v>
      </c>
      <c r="F210" s="20" t="s">
        <v>585</v>
      </c>
      <c r="G210" s="8" t="str">
        <f t="shared" si="6"/>
        <v>ELBAUM MIKE</v>
      </c>
      <c r="H210" s="20" t="str">
        <f t="shared" si="7"/>
        <v>4001</v>
      </c>
    </row>
    <row r="211" spans="1:8" x14ac:dyDescent="0.3">
      <c r="A211" s="8">
        <v>43114.994687500002</v>
      </c>
      <c r="B211" s="20" t="s">
        <v>713</v>
      </c>
      <c r="C211" s="20" t="s">
        <v>893</v>
      </c>
      <c r="D211" s="137">
        <v>2610000</v>
      </c>
      <c r="E211" s="20" t="s">
        <v>376</v>
      </c>
      <c r="F211" s="20" t="s">
        <v>377</v>
      </c>
      <c r="G211" s="8" t="str">
        <f t="shared" si="6"/>
        <v>MAGEE KENYA</v>
      </c>
      <c r="H211" s="20" t="str">
        <f t="shared" si="7"/>
        <v>4027</v>
      </c>
    </row>
    <row r="212" spans="1:8" x14ac:dyDescent="0.3">
      <c r="A212" s="8">
        <v>43114.99559027778</v>
      </c>
      <c r="B212" s="20" t="s">
        <v>433</v>
      </c>
      <c r="C212" s="20" t="s">
        <v>894</v>
      </c>
      <c r="D212" s="137">
        <v>3680000</v>
      </c>
      <c r="E212" s="20" t="s">
        <v>858</v>
      </c>
      <c r="F212" s="20" t="s">
        <v>859</v>
      </c>
      <c r="G212" s="8" t="str">
        <f t="shared" si="6"/>
        <v>HAMMOND JUSTYNN</v>
      </c>
      <c r="H212" s="20" t="str">
        <f t="shared" si="7"/>
        <v>4050</v>
      </c>
    </row>
    <row r="213" spans="1:8" x14ac:dyDescent="0.3">
      <c r="A213" s="8">
        <v>43115.005833333336</v>
      </c>
      <c r="B213" s="20" t="s">
        <v>359</v>
      </c>
      <c r="C213" s="20" t="s">
        <v>895</v>
      </c>
      <c r="D213" s="137">
        <v>3260000</v>
      </c>
      <c r="E213" s="20" t="s">
        <v>851</v>
      </c>
      <c r="F213" s="20" t="s">
        <v>852</v>
      </c>
      <c r="G213" s="8" t="str">
        <f t="shared" si="6"/>
        <v>PAGE MARCUS</v>
      </c>
      <c r="H213" s="20" t="str">
        <f t="shared" si="7"/>
        <v>4017</v>
      </c>
    </row>
    <row r="214" spans="1:8" x14ac:dyDescent="0.3">
      <c r="A214" s="8">
        <v>43115.013692129629</v>
      </c>
      <c r="B214" s="20" t="s">
        <v>380</v>
      </c>
      <c r="C214" s="20" t="s">
        <v>896</v>
      </c>
      <c r="D214" s="137">
        <v>3500000</v>
      </c>
      <c r="E214" s="20" t="s">
        <v>372</v>
      </c>
      <c r="F214" s="20" t="s">
        <v>373</v>
      </c>
      <c r="G214" s="8" t="str">
        <f t="shared" si="6"/>
        <v>GUNTHIER ERIC</v>
      </c>
      <c r="H214" s="20" t="str">
        <f t="shared" si="7"/>
        <v>4022</v>
      </c>
    </row>
    <row r="215" spans="1:8" x14ac:dyDescent="0.3">
      <c r="A215" s="8">
        <v>43115.022557870368</v>
      </c>
      <c r="B215" s="20" t="s">
        <v>379</v>
      </c>
      <c r="C215" s="20" t="s">
        <v>897</v>
      </c>
      <c r="D215" s="137">
        <v>1360000</v>
      </c>
      <c r="E215" s="20" t="s">
        <v>898</v>
      </c>
      <c r="F215" s="20" t="s">
        <v>899</v>
      </c>
      <c r="G215" s="8" t="str">
        <f t="shared" si="6"/>
        <v>SANTIZO D. EDY</v>
      </c>
      <c r="H215" s="20" t="str">
        <f t="shared" si="7"/>
        <v>4062</v>
      </c>
    </row>
    <row r="216" spans="1:8" x14ac:dyDescent="0.3">
      <c r="A216" s="8">
        <v>43115.027430555558</v>
      </c>
      <c r="B216" s="20" t="s">
        <v>386</v>
      </c>
      <c r="C216" s="20" t="s">
        <v>900</v>
      </c>
      <c r="D216" s="137">
        <v>2610000</v>
      </c>
      <c r="E216" s="20" t="s">
        <v>376</v>
      </c>
      <c r="F216" s="20" t="s">
        <v>377</v>
      </c>
      <c r="G216" s="8" t="str">
        <f t="shared" si="6"/>
        <v>MAGEE KENYA</v>
      </c>
      <c r="H216" s="20" t="str">
        <f t="shared" si="7"/>
        <v>4028</v>
      </c>
    </row>
    <row r="217" spans="1:8" x14ac:dyDescent="0.3">
      <c r="A217" s="8">
        <v>43115.034780092596</v>
      </c>
      <c r="B217" s="20" t="s">
        <v>573</v>
      </c>
      <c r="C217" s="20" t="s">
        <v>901</v>
      </c>
      <c r="D217" s="137">
        <v>3680000</v>
      </c>
      <c r="E217" s="20" t="s">
        <v>858</v>
      </c>
      <c r="F217" s="20" t="s">
        <v>859</v>
      </c>
      <c r="G217" s="8" t="str">
        <f t="shared" si="6"/>
        <v>HAMMOND JUSTYNN</v>
      </c>
      <c r="H217" s="20" t="str">
        <f t="shared" si="7"/>
        <v>4049</v>
      </c>
    </row>
    <row r="218" spans="1:8" x14ac:dyDescent="0.3">
      <c r="A218" s="8">
        <v>43115.047083333331</v>
      </c>
      <c r="B218" s="20" t="s">
        <v>357</v>
      </c>
      <c r="C218" s="20" t="s">
        <v>902</v>
      </c>
      <c r="D218" s="137">
        <v>3260000</v>
      </c>
      <c r="E218" s="20" t="s">
        <v>851</v>
      </c>
      <c r="F218" s="20" t="s">
        <v>852</v>
      </c>
      <c r="G218" s="8" t="str">
        <f t="shared" si="6"/>
        <v>PAGE MARCUS</v>
      </c>
      <c r="H218" s="20" t="str">
        <f t="shared" si="7"/>
        <v>4018</v>
      </c>
    </row>
    <row r="219" spans="1:8" x14ac:dyDescent="0.3">
      <c r="A219" s="8">
        <v>43115.054236111115</v>
      </c>
      <c r="B219" s="20" t="s">
        <v>577</v>
      </c>
      <c r="C219" s="20" t="s">
        <v>903</v>
      </c>
      <c r="D219" s="137">
        <v>3500000</v>
      </c>
      <c r="E219" s="20" t="s">
        <v>372</v>
      </c>
      <c r="F219" s="20" t="s">
        <v>373</v>
      </c>
      <c r="G219" s="8" t="str">
        <f t="shared" si="6"/>
        <v>GUNTHIER ERIC</v>
      </c>
      <c r="H219" s="20" t="str">
        <f t="shared" si="7"/>
        <v>4021</v>
      </c>
    </row>
    <row r="220" spans="1:8" x14ac:dyDescent="0.3">
      <c r="A220" s="8">
        <v>43115.060081018521</v>
      </c>
      <c r="B220" s="20" t="s">
        <v>381</v>
      </c>
      <c r="C220" s="20" t="s">
        <v>904</v>
      </c>
      <c r="D220" s="137">
        <v>1360000</v>
      </c>
      <c r="E220" s="20" t="s">
        <v>898</v>
      </c>
      <c r="F220" s="20" t="s">
        <v>899</v>
      </c>
      <c r="G220" s="8" t="str">
        <f t="shared" si="6"/>
        <v>SANTIZO D. EDY</v>
      </c>
      <c r="H220" s="20" t="str">
        <f t="shared" si="7"/>
        <v>4061</v>
      </c>
    </row>
    <row r="221" spans="1:8" x14ac:dyDescent="0.3">
      <c r="A221" s="8">
        <v>43115.067870370367</v>
      </c>
      <c r="B221" s="20" t="s">
        <v>433</v>
      </c>
      <c r="C221" s="20" t="s">
        <v>905</v>
      </c>
      <c r="D221" s="137">
        <v>3680000</v>
      </c>
      <c r="E221" s="20" t="s">
        <v>858</v>
      </c>
      <c r="F221" s="20" t="s">
        <v>859</v>
      </c>
      <c r="G221" s="8" t="str">
        <f t="shared" si="6"/>
        <v>HAMMOND JUSTYNN</v>
      </c>
      <c r="H221" s="20" t="str">
        <f t="shared" si="7"/>
        <v>4050</v>
      </c>
    </row>
    <row r="222" spans="1:8" x14ac:dyDescent="0.3">
      <c r="A222" s="8">
        <v>43115.088368055556</v>
      </c>
      <c r="B222" s="20" t="s">
        <v>380</v>
      </c>
      <c r="C222" s="20" t="s">
        <v>906</v>
      </c>
      <c r="D222" s="137">
        <v>3500000</v>
      </c>
      <c r="E222" s="20" t="s">
        <v>372</v>
      </c>
      <c r="F222" s="20" t="s">
        <v>373</v>
      </c>
      <c r="G222" s="8" t="str">
        <f t="shared" si="6"/>
        <v>GUNTHIER ERIC</v>
      </c>
      <c r="H222" s="20" t="str">
        <f t="shared" si="7"/>
        <v>4022</v>
      </c>
    </row>
    <row r="223" spans="1:8" x14ac:dyDescent="0.3">
      <c r="A223" s="8">
        <v>43115.098009259258</v>
      </c>
      <c r="B223" s="20" t="s">
        <v>381</v>
      </c>
      <c r="C223" s="20" t="s">
        <v>904</v>
      </c>
      <c r="D223" s="137">
        <v>1360000</v>
      </c>
      <c r="E223" s="20" t="s">
        <v>898</v>
      </c>
      <c r="F223" s="20" t="s">
        <v>899</v>
      </c>
      <c r="G223" s="8" t="str">
        <f t="shared" si="6"/>
        <v>SANTIZO D. EDY</v>
      </c>
      <c r="H223" s="20" t="str">
        <f t="shared" si="7"/>
        <v>4061</v>
      </c>
    </row>
    <row r="224" spans="1:8" x14ac:dyDescent="0.3">
      <c r="A224" s="8">
        <v>43115.110497685186</v>
      </c>
      <c r="B224" t="s">
        <v>474</v>
      </c>
      <c r="C224" t="s">
        <v>907</v>
      </c>
      <c r="D224" s="137">
        <v>1830000</v>
      </c>
      <c r="E224" t="s">
        <v>345</v>
      </c>
      <c r="F224" s="20" t="s">
        <v>346</v>
      </c>
      <c r="G224" s="8" t="str">
        <f t="shared" si="6"/>
        <v>YORK EDGAR</v>
      </c>
      <c r="H224" s="20" t="str">
        <f t="shared" si="7"/>
        <v>4013</v>
      </c>
    </row>
    <row r="225" spans="1:8" x14ac:dyDescent="0.3">
      <c r="A225" s="8">
        <v>43111.787465277775</v>
      </c>
      <c r="B225" t="s">
        <v>350</v>
      </c>
      <c r="C225" t="s">
        <v>586</v>
      </c>
      <c r="D225" s="137">
        <v>3340000</v>
      </c>
      <c r="E225" t="s">
        <v>584</v>
      </c>
      <c r="F225" s="20" t="s">
        <v>585</v>
      </c>
      <c r="G225" s="8" t="str">
        <f t="shared" si="6"/>
        <v>ELBAUM MIKE</v>
      </c>
      <c r="H225" s="20" t="str">
        <f t="shared" si="7"/>
        <v>4055</v>
      </c>
    </row>
    <row r="226" spans="1:8" x14ac:dyDescent="0.3">
      <c r="A226" s="8">
        <v>43111.788078703707</v>
      </c>
      <c r="B226" t="s">
        <v>565</v>
      </c>
      <c r="C226" t="s">
        <v>587</v>
      </c>
      <c r="D226" s="137">
        <v>3810000</v>
      </c>
      <c r="E226" t="s">
        <v>494</v>
      </c>
      <c r="F226" s="20" t="s">
        <v>495</v>
      </c>
      <c r="G226" s="8" t="str">
        <f t="shared" si="6"/>
        <v>LORI SANTOS</v>
      </c>
      <c r="H226" s="20" t="str">
        <f t="shared" si="7"/>
        <v>4034</v>
      </c>
    </row>
    <row r="227" spans="1:8" x14ac:dyDescent="0.3">
      <c r="A227" s="8">
        <v>43111.79005787037</v>
      </c>
      <c r="B227" t="s">
        <v>474</v>
      </c>
      <c r="C227" t="s">
        <v>588</v>
      </c>
      <c r="D227" s="137">
        <v>3130000</v>
      </c>
      <c r="E227" t="s">
        <v>509</v>
      </c>
      <c r="F227" s="20" t="s">
        <v>510</v>
      </c>
      <c r="G227" s="8" t="str">
        <f t="shared" si="6"/>
        <v>ZEWDU DEREJE</v>
      </c>
      <c r="H227" s="20" t="str">
        <f t="shared" si="7"/>
        <v>4013</v>
      </c>
    </row>
    <row r="228" spans="1:8" x14ac:dyDescent="0.3">
      <c r="A228" s="8">
        <v>43111.79488425926</v>
      </c>
      <c r="B228" t="s">
        <v>564</v>
      </c>
      <c r="C228" t="s">
        <v>589</v>
      </c>
      <c r="D228" s="137">
        <v>2000000</v>
      </c>
      <c r="E228" t="s">
        <v>389</v>
      </c>
      <c r="F228" s="20" t="s">
        <v>390</v>
      </c>
      <c r="G228" s="8" t="str">
        <f t="shared" si="6"/>
        <v>STAMBAUGH JAMES</v>
      </c>
      <c r="H228" s="20" t="str">
        <f t="shared" si="7"/>
        <v>4006</v>
      </c>
    </row>
    <row r="229" spans="1:8" x14ac:dyDescent="0.3">
      <c r="A229" s="8">
        <v>43111.799212962964</v>
      </c>
      <c r="B229" t="s">
        <v>576</v>
      </c>
      <c r="C229" t="s">
        <v>590</v>
      </c>
      <c r="D229" s="137">
        <v>3840000</v>
      </c>
      <c r="E229" t="s">
        <v>492</v>
      </c>
      <c r="F229" s="20" t="s">
        <v>493</v>
      </c>
      <c r="G229" s="8" t="str">
        <f t="shared" si="6"/>
        <v>LONG FULLER</v>
      </c>
      <c r="H229" s="20" t="str">
        <f t="shared" si="7"/>
        <v>4016</v>
      </c>
    </row>
    <row r="230" spans="1:8" x14ac:dyDescent="0.3">
      <c r="A230" s="8">
        <v>43111.80059027778</v>
      </c>
      <c r="B230" t="s">
        <v>367</v>
      </c>
      <c r="C230" t="s">
        <v>591</v>
      </c>
      <c r="D230" s="137">
        <v>3320000</v>
      </c>
      <c r="E230" t="s">
        <v>360</v>
      </c>
      <c r="F230" s="20" t="s">
        <v>361</v>
      </c>
      <c r="G230" s="8" t="str">
        <f t="shared" si="6"/>
        <v>NICHOLSON WESLEY</v>
      </c>
      <c r="H230" s="20" t="str">
        <f t="shared" si="7"/>
        <v>4011</v>
      </c>
    </row>
    <row r="231" spans="1:8" x14ac:dyDescent="0.3">
      <c r="A231" s="8">
        <v>43111.809386574074</v>
      </c>
      <c r="B231" t="s">
        <v>561</v>
      </c>
      <c r="C231" t="s">
        <v>592</v>
      </c>
      <c r="D231" s="137">
        <v>2000000</v>
      </c>
      <c r="E231" t="s">
        <v>389</v>
      </c>
      <c r="F231" s="20" t="s">
        <v>390</v>
      </c>
      <c r="G231" s="8" t="str">
        <f t="shared" si="6"/>
        <v>STAMBAUGH JAMES</v>
      </c>
      <c r="H231" s="20" t="str">
        <f t="shared" si="7"/>
        <v>4005</v>
      </c>
    </row>
    <row r="232" spans="1:8" x14ac:dyDescent="0.3">
      <c r="A232" s="8">
        <v>43111.810856481483</v>
      </c>
      <c r="B232" t="s">
        <v>442</v>
      </c>
      <c r="C232" t="s">
        <v>593</v>
      </c>
      <c r="D232" s="137">
        <v>890000</v>
      </c>
      <c r="E232" t="s">
        <v>343</v>
      </c>
      <c r="F232" s="20" t="s">
        <v>344</v>
      </c>
      <c r="G232" s="8" t="str">
        <f t="shared" si="6"/>
        <v>LOZA FIDEL</v>
      </c>
      <c r="H232" s="20" t="str">
        <f t="shared" si="7"/>
        <v>4020</v>
      </c>
    </row>
    <row r="233" spans="1:8" x14ac:dyDescent="0.3">
      <c r="A233" s="8">
        <v>43111.819374999999</v>
      </c>
      <c r="B233" t="s">
        <v>380</v>
      </c>
      <c r="C233" t="s">
        <v>594</v>
      </c>
      <c r="D233" s="137">
        <v>2420000</v>
      </c>
      <c r="E233" t="s">
        <v>521</v>
      </c>
      <c r="F233" s="20" t="s">
        <v>522</v>
      </c>
      <c r="G233" s="8" t="str">
        <f t="shared" si="6"/>
        <v>HOLCOMB KAMDEN</v>
      </c>
      <c r="H233" s="20" t="str">
        <f t="shared" si="7"/>
        <v>4022</v>
      </c>
    </row>
    <row r="234" spans="1:8" x14ac:dyDescent="0.3">
      <c r="A234" s="8">
        <v>43111.825879629629</v>
      </c>
      <c r="B234" t="s">
        <v>447</v>
      </c>
      <c r="C234" t="s">
        <v>595</v>
      </c>
      <c r="D234" s="137">
        <v>3810000</v>
      </c>
      <c r="E234" t="s">
        <v>494</v>
      </c>
      <c r="F234" s="20" t="s">
        <v>495</v>
      </c>
      <c r="G234" s="8" t="str">
        <f t="shared" si="6"/>
        <v>LORI SANTOS</v>
      </c>
      <c r="H234" s="20" t="str">
        <f t="shared" si="7"/>
        <v>4033</v>
      </c>
    </row>
    <row r="235" spans="1:8" x14ac:dyDescent="0.3">
      <c r="A235" s="8">
        <v>43111.826504629629</v>
      </c>
      <c r="B235" t="s">
        <v>458</v>
      </c>
      <c r="C235" t="s">
        <v>596</v>
      </c>
      <c r="D235" s="137">
        <v>3340000</v>
      </c>
      <c r="E235" t="s">
        <v>584</v>
      </c>
      <c r="F235" s="20" t="s">
        <v>585</v>
      </c>
      <c r="G235" s="8" t="str">
        <f t="shared" si="6"/>
        <v>ELBAUM MIKE</v>
      </c>
      <c r="H235" s="20" t="str">
        <f t="shared" si="7"/>
        <v>4056</v>
      </c>
    </row>
    <row r="236" spans="1:8" x14ac:dyDescent="0.3">
      <c r="A236" s="8">
        <v>43111.831342592595</v>
      </c>
      <c r="B236" t="s">
        <v>564</v>
      </c>
      <c r="C236" t="s">
        <v>570</v>
      </c>
      <c r="D236" s="137">
        <v>2000000</v>
      </c>
      <c r="E236" t="s">
        <v>389</v>
      </c>
      <c r="F236" s="20" t="s">
        <v>390</v>
      </c>
      <c r="G236" s="8" t="str">
        <f t="shared" si="6"/>
        <v>STAMBAUGH JAMES</v>
      </c>
      <c r="H236" s="20" t="str">
        <f t="shared" si="7"/>
        <v>4006</v>
      </c>
    </row>
    <row r="237" spans="1:8" x14ac:dyDescent="0.3">
      <c r="A237" s="8">
        <v>43111.832187499997</v>
      </c>
      <c r="B237" t="s">
        <v>564</v>
      </c>
      <c r="C237" t="s">
        <v>597</v>
      </c>
      <c r="D237" s="137">
        <v>2000000</v>
      </c>
      <c r="E237" t="s">
        <v>389</v>
      </c>
      <c r="F237" s="20" t="s">
        <v>390</v>
      </c>
      <c r="G237" s="8" t="str">
        <f t="shared" si="6"/>
        <v>STAMBAUGH JAMES</v>
      </c>
      <c r="H237" s="20" t="str">
        <f t="shared" si="7"/>
        <v>4006</v>
      </c>
    </row>
    <row r="238" spans="1:8" x14ac:dyDescent="0.3">
      <c r="A238" s="8">
        <v>43111.840555555558</v>
      </c>
      <c r="B238" t="s">
        <v>366</v>
      </c>
      <c r="C238" t="s">
        <v>598</v>
      </c>
      <c r="D238" s="137">
        <v>3320000</v>
      </c>
      <c r="E238" t="s">
        <v>360</v>
      </c>
      <c r="F238" s="20" t="s">
        <v>361</v>
      </c>
      <c r="G238" s="8" t="str">
        <f t="shared" si="6"/>
        <v>NICHOLSON WESLEY</v>
      </c>
      <c r="H238" s="20" t="str">
        <f t="shared" si="7"/>
        <v>4012</v>
      </c>
    </row>
    <row r="239" spans="1:8" x14ac:dyDescent="0.3">
      <c r="A239" s="8">
        <v>43111.850324074076</v>
      </c>
      <c r="B239" t="s">
        <v>441</v>
      </c>
      <c r="C239" t="s">
        <v>599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4019</v>
      </c>
    </row>
    <row r="240" spans="1:8" x14ac:dyDescent="0.3">
      <c r="A240" s="8">
        <v>43111.850763888891</v>
      </c>
      <c r="B240" t="s">
        <v>561</v>
      </c>
      <c r="C240" t="s">
        <v>570</v>
      </c>
      <c r="D240" s="137">
        <v>2000000</v>
      </c>
      <c r="E240" t="s">
        <v>389</v>
      </c>
      <c r="F240" s="20" t="s">
        <v>390</v>
      </c>
      <c r="G240" s="8" t="str">
        <f t="shared" si="6"/>
        <v>STAMBAUGH JAMES</v>
      </c>
      <c r="H240" s="20" t="str">
        <f t="shared" si="7"/>
        <v>4005</v>
      </c>
    </row>
    <row r="241" spans="1:8" x14ac:dyDescent="0.3">
      <c r="A241" s="8">
        <v>43111.859780092593</v>
      </c>
      <c r="B241" t="s">
        <v>350</v>
      </c>
      <c r="C241" t="s">
        <v>600</v>
      </c>
      <c r="D241" s="137">
        <v>3340000</v>
      </c>
      <c r="E241" t="s">
        <v>584</v>
      </c>
      <c r="F241" s="20" t="s">
        <v>585</v>
      </c>
      <c r="G241" s="8" t="str">
        <f t="shared" si="6"/>
        <v>ELBAUM MIKE</v>
      </c>
      <c r="H241" s="20" t="str">
        <f t="shared" si="7"/>
        <v>4055</v>
      </c>
    </row>
    <row r="242" spans="1:8" x14ac:dyDescent="0.3">
      <c r="A242" s="8">
        <v>43111.870092592595</v>
      </c>
      <c r="B242" t="s">
        <v>565</v>
      </c>
      <c r="C242" t="s">
        <v>601</v>
      </c>
      <c r="D242" s="137">
        <v>3810000</v>
      </c>
      <c r="E242" t="s">
        <v>494</v>
      </c>
      <c r="F242" s="20" t="s">
        <v>495</v>
      </c>
      <c r="G242" s="8" t="str">
        <f t="shared" si="6"/>
        <v>LORI SANTOS</v>
      </c>
      <c r="H242" s="20" t="str">
        <f t="shared" si="7"/>
        <v>4034</v>
      </c>
    </row>
    <row r="243" spans="1:8" x14ac:dyDescent="0.3">
      <c r="A243" s="8">
        <v>43111.870787037034</v>
      </c>
      <c r="B243" t="s">
        <v>350</v>
      </c>
      <c r="C243" t="s">
        <v>600</v>
      </c>
      <c r="D243" s="137">
        <v>3340000</v>
      </c>
      <c r="E243" t="s">
        <v>584</v>
      </c>
      <c r="F243" s="20" t="s">
        <v>585</v>
      </c>
      <c r="G243" s="8" t="str">
        <f t="shared" si="6"/>
        <v>ELBAUM MIKE</v>
      </c>
      <c r="H243" s="20" t="str">
        <f t="shared" si="7"/>
        <v>4055</v>
      </c>
    </row>
    <row r="244" spans="1:8" x14ac:dyDescent="0.3">
      <c r="A244" s="8">
        <v>43111.875787037039</v>
      </c>
      <c r="B244" t="s">
        <v>564</v>
      </c>
      <c r="C244" t="s">
        <v>602</v>
      </c>
      <c r="D244" s="137">
        <v>3670000</v>
      </c>
      <c r="E244" t="s">
        <v>378</v>
      </c>
      <c r="F244" s="20" t="s">
        <v>365</v>
      </c>
      <c r="G244" s="8" t="str">
        <f t="shared" si="6"/>
        <v>ANDREA WILLIAMS</v>
      </c>
      <c r="H244" s="20" t="str">
        <f t="shared" si="7"/>
        <v>4006</v>
      </c>
    </row>
    <row r="245" spans="1:8" x14ac:dyDescent="0.3">
      <c r="A245" s="8">
        <v>43111.881782407407</v>
      </c>
      <c r="B245" t="s">
        <v>367</v>
      </c>
      <c r="C245" t="s">
        <v>603</v>
      </c>
      <c r="D245" s="137">
        <v>3320000</v>
      </c>
      <c r="E245" t="s">
        <v>360</v>
      </c>
      <c r="F245" s="20" t="s">
        <v>361</v>
      </c>
      <c r="G245" s="8" t="str">
        <f t="shared" si="6"/>
        <v>NICHOLSON WESLEY</v>
      </c>
      <c r="H245" s="20" t="str">
        <f t="shared" si="7"/>
        <v>4011</v>
      </c>
    </row>
    <row r="246" spans="1:8" x14ac:dyDescent="0.3">
      <c r="A246" s="8">
        <v>43111.894259259258</v>
      </c>
      <c r="B246" t="s">
        <v>561</v>
      </c>
      <c r="C246" t="s">
        <v>604</v>
      </c>
      <c r="D246" s="137">
        <v>3670000</v>
      </c>
      <c r="E246" t="s">
        <v>378</v>
      </c>
      <c r="F246" s="20" t="s">
        <v>365</v>
      </c>
      <c r="G246" s="8" t="str">
        <f t="shared" si="6"/>
        <v>ANDREA WILLIAMS</v>
      </c>
      <c r="H246" s="20" t="str">
        <f t="shared" si="7"/>
        <v>4005</v>
      </c>
    </row>
    <row r="247" spans="1:8" x14ac:dyDescent="0.3">
      <c r="A247" s="8">
        <v>43111.899907407409</v>
      </c>
      <c r="B247" t="s">
        <v>458</v>
      </c>
      <c r="C247" t="s">
        <v>605</v>
      </c>
      <c r="D247" s="137">
        <v>3340000</v>
      </c>
      <c r="E247" t="s">
        <v>584</v>
      </c>
      <c r="F247" s="20" t="s">
        <v>585</v>
      </c>
      <c r="G247" s="8" t="str">
        <f t="shared" si="6"/>
        <v>ELBAUM MIKE</v>
      </c>
      <c r="H247" s="20" t="str">
        <f t="shared" si="7"/>
        <v>4056</v>
      </c>
    </row>
    <row r="248" spans="1:8" x14ac:dyDescent="0.3">
      <c r="A248" s="8">
        <v>43111.90960648148</v>
      </c>
      <c r="B248" t="s">
        <v>447</v>
      </c>
      <c r="C248" t="s">
        <v>606</v>
      </c>
      <c r="D248" s="137">
        <v>3810000</v>
      </c>
      <c r="E248" t="s">
        <v>494</v>
      </c>
      <c r="F248" s="20" t="s">
        <v>495</v>
      </c>
      <c r="G248" s="8" t="str">
        <f t="shared" si="6"/>
        <v>LORI SANTOS</v>
      </c>
      <c r="H248" s="20" t="str">
        <f t="shared" si="7"/>
        <v>4033</v>
      </c>
    </row>
    <row r="249" spans="1:8" x14ac:dyDescent="0.3">
      <c r="A249" s="8">
        <v>43111.916006944448</v>
      </c>
      <c r="B249" t="s">
        <v>564</v>
      </c>
      <c r="C249" t="s">
        <v>607</v>
      </c>
      <c r="D249" s="137">
        <v>3670000</v>
      </c>
      <c r="E249" t="s">
        <v>378</v>
      </c>
      <c r="F249" s="20" t="s">
        <v>365</v>
      </c>
      <c r="G249" s="8" t="str">
        <f t="shared" si="6"/>
        <v>ANDREA WILLIAMS</v>
      </c>
      <c r="H249" s="20" t="str">
        <f t="shared" si="7"/>
        <v>4006</v>
      </c>
    </row>
    <row r="250" spans="1:8" x14ac:dyDescent="0.3">
      <c r="A250" s="8">
        <v>43111.930844907409</v>
      </c>
      <c r="B250" t="s">
        <v>366</v>
      </c>
      <c r="C250" t="s">
        <v>608</v>
      </c>
      <c r="D250" s="137">
        <v>3320000</v>
      </c>
      <c r="E250" t="s">
        <v>360</v>
      </c>
      <c r="F250" s="20" t="s">
        <v>361</v>
      </c>
      <c r="G250" s="8" t="str">
        <f t="shared" si="6"/>
        <v>NICHOLSON WESLEY</v>
      </c>
      <c r="H250" s="20" t="str">
        <f t="shared" si="7"/>
        <v>4012</v>
      </c>
    </row>
    <row r="251" spans="1:8" x14ac:dyDescent="0.3">
      <c r="A251" s="8">
        <v>43111.93582175926</v>
      </c>
      <c r="B251" t="s">
        <v>561</v>
      </c>
      <c r="C251" t="s">
        <v>609</v>
      </c>
      <c r="D251" s="137">
        <v>3670000</v>
      </c>
      <c r="E251" t="s">
        <v>378</v>
      </c>
      <c r="F251" s="20" t="s">
        <v>365</v>
      </c>
      <c r="G251" s="8" t="str">
        <f t="shared" si="6"/>
        <v>ANDREA WILLIAMS</v>
      </c>
      <c r="H251" s="20" t="str">
        <f t="shared" si="7"/>
        <v>4005</v>
      </c>
    </row>
    <row r="252" spans="1:8" x14ac:dyDescent="0.3">
      <c r="A252" s="8">
        <v>43111.936585648145</v>
      </c>
      <c r="B252" t="s">
        <v>441</v>
      </c>
      <c r="C252" t="s">
        <v>610</v>
      </c>
      <c r="D252" s="137">
        <v>890000</v>
      </c>
      <c r="E252" t="s">
        <v>343</v>
      </c>
      <c r="F252" s="20" t="s">
        <v>344</v>
      </c>
      <c r="G252" s="8" t="str">
        <f t="shared" si="6"/>
        <v>LOZA FIDEL</v>
      </c>
      <c r="H252" s="20" t="str">
        <f t="shared" si="7"/>
        <v>4019</v>
      </c>
    </row>
    <row r="253" spans="1:8" x14ac:dyDescent="0.3">
      <c r="A253" s="8">
        <v>43111.945138888892</v>
      </c>
      <c r="B253" t="s">
        <v>350</v>
      </c>
      <c r="C253" t="s">
        <v>611</v>
      </c>
      <c r="D253" s="137">
        <v>3340000</v>
      </c>
      <c r="E253" t="s">
        <v>584</v>
      </c>
      <c r="F253" s="20" t="s">
        <v>585</v>
      </c>
      <c r="G253" s="8" t="str">
        <f t="shared" si="6"/>
        <v>ELBAUM MIKE</v>
      </c>
      <c r="H253" s="20" t="str">
        <f t="shared" si="7"/>
        <v>4055</v>
      </c>
    </row>
    <row r="254" spans="1:8" x14ac:dyDescent="0.3">
      <c r="A254" s="8">
        <v>43111.956099537034</v>
      </c>
      <c r="B254" t="s">
        <v>565</v>
      </c>
      <c r="C254" t="s">
        <v>612</v>
      </c>
      <c r="D254" s="137">
        <v>3810000</v>
      </c>
      <c r="E254" t="s">
        <v>494</v>
      </c>
      <c r="F254" s="20" t="s">
        <v>495</v>
      </c>
      <c r="G254" s="8" t="str">
        <f t="shared" si="6"/>
        <v>LORI SANTOS</v>
      </c>
      <c r="H254" s="20" t="str">
        <f t="shared" si="7"/>
        <v>4034</v>
      </c>
    </row>
    <row r="255" spans="1:8" x14ac:dyDescent="0.3">
      <c r="A255" s="8">
        <v>43111.961875000001</v>
      </c>
      <c r="B255" t="s">
        <v>564</v>
      </c>
      <c r="C255" t="s">
        <v>571</v>
      </c>
      <c r="D255" s="137">
        <v>3670000</v>
      </c>
      <c r="E255" t="s">
        <v>378</v>
      </c>
      <c r="F255" s="20" t="s">
        <v>365</v>
      </c>
      <c r="G255" s="8" t="str">
        <f t="shared" si="6"/>
        <v>ANDREA WILLIAMS</v>
      </c>
      <c r="H255" s="20" t="str">
        <f t="shared" si="7"/>
        <v>4006</v>
      </c>
    </row>
    <row r="256" spans="1:8" x14ac:dyDescent="0.3">
      <c r="A256" s="8">
        <v>43111.967939814815</v>
      </c>
      <c r="B256" t="s">
        <v>442</v>
      </c>
      <c r="C256" t="s">
        <v>613</v>
      </c>
      <c r="D256" s="137">
        <v>890000</v>
      </c>
      <c r="E256" t="s">
        <v>343</v>
      </c>
      <c r="F256" s="20" t="s">
        <v>344</v>
      </c>
      <c r="G256" s="8" t="str">
        <f t="shared" si="6"/>
        <v>LOZA FIDEL</v>
      </c>
      <c r="H256" s="20" t="str">
        <f t="shared" si="7"/>
        <v>4020</v>
      </c>
    </row>
    <row r="257" spans="1:8" x14ac:dyDescent="0.3">
      <c r="A257" s="8">
        <v>43111.973993055559</v>
      </c>
      <c r="B257" t="s">
        <v>367</v>
      </c>
      <c r="C257" t="s">
        <v>614</v>
      </c>
      <c r="D257" s="137">
        <v>3320000</v>
      </c>
      <c r="E257" t="s">
        <v>360</v>
      </c>
      <c r="F257" s="20" t="s">
        <v>361</v>
      </c>
      <c r="G257" s="8" t="str">
        <f t="shared" si="6"/>
        <v>NICHOLSON WESLEY</v>
      </c>
      <c r="H257" s="20" t="str">
        <f t="shared" si="7"/>
        <v>4011</v>
      </c>
    </row>
    <row r="258" spans="1:8" x14ac:dyDescent="0.3">
      <c r="A258" s="8">
        <v>43111.977037037039</v>
      </c>
      <c r="B258" t="s">
        <v>561</v>
      </c>
      <c r="C258" t="s">
        <v>615</v>
      </c>
      <c r="D258" s="137">
        <v>3670000</v>
      </c>
      <c r="E258" t="s">
        <v>378</v>
      </c>
      <c r="F258" s="20" t="s">
        <v>365</v>
      </c>
      <c r="G258" s="8" t="str">
        <f t="shared" si="6"/>
        <v>ANDREA WILLIAMS</v>
      </c>
      <c r="H258" s="20" t="str">
        <f t="shared" si="7"/>
        <v>4005</v>
      </c>
    </row>
    <row r="259" spans="1:8" x14ac:dyDescent="0.3">
      <c r="A259" s="8">
        <v>43111.989166666666</v>
      </c>
      <c r="B259" t="s">
        <v>458</v>
      </c>
      <c r="C259" t="s">
        <v>616</v>
      </c>
      <c r="D259" s="137">
        <v>3340000</v>
      </c>
      <c r="E259" t="s">
        <v>584</v>
      </c>
      <c r="F259" s="20" t="s">
        <v>585</v>
      </c>
      <c r="G259" s="8" t="str">
        <f t="shared" ref="G259:G313" si="8">E259&amp;" "&amp;F259</f>
        <v>ELBAUM MIKE</v>
      </c>
      <c r="H259" s="20" t="str">
        <f t="shared" ref="H259:H313" si="9">MID(B259,13,4)</f>
        <v>4056</v>
      </c>
    </row>
    <row r="260" spans="1:8" x14ac:dyDescent="0.3">
      <c r="A260" s="8">
        <v>43111.995474537034</v>
      </c>
      <c r="B260" t="s">
        <v>447</v>
      </c>
      <c r="C260" t="s">
        <v>572</v>
      </c>
      <c r="D260" s="137">
        <v>3810000</v>
      </c>
      <c r="E260" t="s">
        <v>494</v>
      </c>
      <c r="F260" s="20" t="s">
        <v>495</v>
      </c>
      <c r="G260" s="8" t="str">
        <f t="shared" si="8"/>
        <v>LORI SANTOS</v>
      </c>
      <c r="H260" s="20" t="str">
        <f t="shared" si="9"/>
        <v>4033</v>
      </c>
    </row>
    <row r="261" spans="1:8" x14ac:dyDescent="0.3">
      <c r="A261" s="8">
        <v>43112.007581018515</v>
      </c>
      <c r="B261" t="s">
        <v>366</v>
      </c>
      <c r="C261" t="s">
        <v>617</v>
      </c>
      <c r="D261" s="137">
        <v>3320000</v>
      </c>
      <c r="E261" t="s">
        <v>360</v>
      </c>
      <c r="F261" s="20" t="s">
        <v>361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43112.01666666667</v>
      </c>
      <c r="B262" t="s">
        <v>441</v>
      </c>
      <c r="C262" t="s">
        <v>618</v>
      </c>
      <c r="D262" s="137">
        <v>890000</v>
      </c>
      <c r="E262" t="s">
        <v>343</v>
      </c>
      <c r="F262" s="20" t="s">
        <v>344</v>
      </c>
      <c r="G262" s="8" t="str">
        <f t="shared" si="8"/>
        <v>LOZA FIDEL</v>
      </c>
      <c r="H262" s="20" t="str">
        <f t="shared" si="9"/>
        <v>4019</v>
      </c>
    </row>
    <row r="263" spans="1:8" x14ac:dyDescent="0.3">
      <c r="A263" s="8">
        <v>43112.025810185187</v>
      </c>
      <c r="B263" t="s">
        <v>350</v>
      </c>
      <c r="C263" t="s">
        <v>619</v>
      </c>
      <c r="D263" s="137">
        <v>3340000</v>
      </c>
      <c r="E263" t="s">
        <v>584</v>
      </c>
      <c r="F263" s="20" t="s">
        <v>585</v>
      </c>
      <c r="G263" s="8" t="str">
        <f t="shared" si="8"/>
        <v>ELBAUM MIKE</v>
      </c>
      <c r="H263" s="20" t="str">
        <f t="shared" si="9"/>
        <v>4055</v>
      </c>
    </row>
    <row r="264" spans="1:8" x14ac:dyDescent="0.3">
      <c r="A264" s="8">
        <v>43112.028657407405</v>
      </c>
      <c r="B264" t="s">
        <v>565</v>
      </c>
      <c r="C264" t="s">
        <v>620</v>
      </c>
      <c r="D264" s="137">
        <v>3810000</v>
      </c>
      <c r="E264" t="s">
        <v>494</v>
      </c>
      <c r="F264" s="20" t="s">
        <v>495</v>
      </c>
      <c r="G264" s="8" t="str">
        <f t="shared" si="8"/>
        <v>LORI SANTOS</v>
      </c>
      <c r="H264" s="20" t="str">
        <f t="shared" si="9"/>
        <v>4034</v>
      </c>
    </row>
    <row r="265" spans="1:8" x14ac:dyDescent="0.3">
      <c r="A265" s="8">
        <v>43112.046782407408</v>
      </c>
      <c r="B265" t="s">
        <v>442</v>
      </c>
      <c r="C265" t="s">
        <v>621</v>
      </c>
      <c r="D265" s="137">
        <v>890000</v>
      </c>
      <c r="E265" t="s">
        <v>343</v>
      </c>
      <c r="F265" s="20" t="s">
        <v>344</v>
      </c>
      <c r="G265" s="8" t="str">
        <f t="shared" si="8"/>
        <v>LOZA FIDEL</v>
      </c>
      <c r="H265" s="20" t="str">
        <f t="shared" si="9"/>
        <v>4020</v>
      </c>
    </row>
    <row r="266" spans="1:8" x14ac:dyDescent="0.3">
      <c r="A266" s="8">
        <v>43112.056458333333</v>
      </c>
      <c r="B266" t="s">
        <v>367</v>
      </c>
      <c r="C266" t="s">
        <v>622</v>
      </c>
      <c r="D266" s="137">
        <v>3320000</v>
      </c>
      <c r="E266" t="s">
        <v>360</v>
      </c>
      <c r="F266" s="20" t="s">
        <v>361</v>
      </c>
      <c r="G266" s="8" t="str">
        <f t="shared" si="8"/>
        <v>NICHOLSON WESLEY</v>
      </c>
      <c r="H266" s="20" t="str">
        <f t="shared" si="9"/>
        <v>4011</v>
      </c>
    </row>
    <row r="267" spans="1:8" x14ac:dyDescent="0.3">
      <c r="A267" s="8">
        <v>43112.068252314813</v>
      </c>
      <c r="B267" t="s">
        <v>458</v>
      </c>
      <c r="C267" t="s">
        <v>623</v>
      </c>
      <c r="D267" s="137">
        <v>3340000</v>
      </c>
      <c r="E267" t="s">
        <v>584</v>
      </c>
      <c r="F267" s="20" t="s">
        <v>585</v>
      </c>
      <c r="G267" s="8" t="str">
        <f t="shared" si="8"/>
        <v>ELBAUM MIKE</v>
      </c>
      <c r="H267" s="20" t="str">
        <f t="shared" si="9"/>
        <v>4056</v>
      </c>
    </row>
    <row r="268" spans="1:8" x14ac:dyDescent="0.3">
      <c r="A268" s="8">
        <v>43112.091423611113</v>
      </c>
      <c r="B268" t="s">
        <v>366</v>
      </c>
      <c r="C268" t="s">
        <v>624</v>
      </c>
      <c r="D268" s="137">
        <v>3320000</v>
      </c>
      <c r="E268" t="s">
        <v>360</v>
      </c>
      <c r="F268" s="20" t="s">
        <v>361</v>
      </c>
      <c r="G268" s="8" t="str">
        <f t="shared" si="8"/>
        <v>NICHOLSON WESLEY</v>
      </c>
      <c r="H268" s="20" t="str">
        <f t="shared" si="9"/>
        <v>4012</v>
      </c>
    </row>
    <row r="269" spans="1:8" x14ac:dyDescent="0.3">
      <c r="A269" s="8">
        <v>43039.788460648146</v>
      </c>
      <c r="B269" t="s">
        <v>359</v>
      </c>
      <c r="C269" t="s">
        <v>393</v>
      </c>
      <c r="D269" s="137">
        <v>2000000</v>
      </c>
      <c r="E269" t="s">
        <v>389</v>
      </c>
      <c r="F269" s="20" t="s">
        <v>390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394</v>
      </c>
      <c r="D270" s="137">
        <v>3500000</v>
      </c>
      <c r="E270" t="s">
        <v>372</v>
      </c>
      <c r="F270" s="20" t="s">
        <v>373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367</v>
      </c>
      <c r="C271" t="s">
        <v>395</v>
      </c>
      <c r="D271" s="137">
        <v>3320000</v>
      </c>
      <c r="E271" t="s">
        <v>360</v>
      </c>
      <c r="F271" s="20" t="s">
        <v>361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379</v>
      </c>
      <c r="C272" t="s">
        <v>396</v>
      </c>
      <c r="D272" s="137">
        <v>2610000</v>
      </c>
      <c r="E272" t="s">
        <v>376</v>
      </c>
      <c r="F272" s="20" t="s">
        <v>377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386</v>
      </c>
      <c r="C273" t="s">
        <v>397</v>
      </c>
      <c r="D273" s="137">
        <v>2630000</v>
      </c>
      <c r="E273" t="s">
        <v>368</v>
      </c>
      <c r="F273" s="20" t="s">
        <v>369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387</v>
      </c>
      <c r="C274" t="s">
        <v>398</v>
      </c>
      <c r="D274" s="137">
        <v>3670000</v>
      </c>
      <c r="E274" t="s">
        <v>378</v>
      </c>
      <c r="F274" s="20" t="s">
        <v>365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364</v>
      </c>
      <c r="C275" t="s">
        <v>399</v>
      </c>
      <c r="D275" s="137">
        <v>2040000</v>
      </c>
      <c r="E275" t="s">
        <v>391</v>
      </c>
      <c r="F275" s="20" t="s">
        <v>392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381</v>
      </c>
      <c r="C276" t="s">
        <v>400</v>
      </c>
      <c r="D276" s="137">
        <v>2610000</v>
      </c>
      <c r="E276" t="s">
        <v>376</v>
      </c>
      <c r="F276" s="20" t="s">
        <v>377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401</v>
      </c>
      <c r="D277" s="137">
        <v>2230000</v>
      </c>
      <c r="E277" t="s">
        <v>388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358</v>
      </c>
      <c r="C278" t="s">
        <v>402</v>
      </c>
      <c r="D278" s="137">
        <v>3500000</v>
      </c>
      <c r="E278" t="s">
        <v>372</v>
      </c>
      <c r="F278" s="20" t="s">
        <v>373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379</v>
      </c>
      <c r="C279" t="s">
        <v>403</v>
      </c>
      <c r="D279" s="137">
        <v>2970000</v>
      </c>
      <c r="E279" t="s">
        <v>370</v>
      </c>
      <c r="F279" s="20" t="s">
        <v>371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366</v>
      </c>
      <c r="C280" t="s">
        <v>404</v>
      </c>
      <c r="D280" s="137">
        <v>3320000</v>
      </c>
      <c r="E280" t="s">
        <v>360</v>
      </c>
      <c r="F280" s="20" t="s">
        <v>361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382</v>
      </c>
      <c r="C281" t="s">
        <v>383</v>
      </c>
      <c r="D281" s="137">
        <v>3670000</v>
      </c>
      <c r="E281" t="s">
        <v>378</v>
      </c>
      <c r="F281" s="20" t="s">
        <v>365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381</v>
      </c>
      <c r="C282" t="s">
        <v>405</v>
      </c>
      <c r="D282" s="137">
        <v>2970000</v>
      </c>
      <c r="E282" t="s">
        <v>370</v>
      </c>
      <c r="F282" s="20" t="s">
        <v>371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363</v>
      </c>
      <c r="C283" t="s">
        <v>406</v>
      </c>
      <c r="D283" s="137">
        <v>2040000</v>
      </c>
      <c r="E283" t="s">
        <v>391</v>
      </c>
      <c r="F283" s="20" t="s">
        <v>392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407</v>
      </c>
      <c r="D284" s="137">
        <v>3500000</v>
      </c>
      <c r="E284" t="s">
        <v>372</v>
      </c>
      <c r="F284" s="20" t="s">
        <v>373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367</v>
      </c>
      <c r="C285" t="s">
        <v>408</v>
      </c>
      <c r="D285" s="137">
        <v>3320000</v>
      </c>
      <c r="E285" t="s">
        <v>360</v>
      </c>
      <c r="F285" s="20" t="s">
        <v>361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379</v>
      </c>
      <c r="C286" t="s">
        <v>409</v>
      </c>
      <c r="D286" s="137">
        <v>2000000</v>
      </c>
      <c r="E286" t="s">
        <v>389</v>
      </c>
      <c r="F286" s="20" t="s">
        <v>390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379</v>
      </c>
      <c r="C287" t="s">
        <v>409</v>
      </c>
      <c r="D287" s="137">
        <v>2000000</v>
      </c>
      <c r="E287" t="s">
        <v>389</v>
      </c>
      <c r="F287" s="20" t="s">
        <v>390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387</v>
      </c>
      <c r="C288" t="s">
        <v>410</v>
      </c>
      <c r="D288" s="137">
        <v>3670000</v>
      </c>
      <c r="E288" t="s">
        <v>378</v>
      </c>
      <c r="F288" s="20" t="s">
        <v>365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364</v>
      </c>
      <c r="C289" t="s">
        <v>411</v>
      </c>
      <c r="D289" s="137">
        <v>2040000</v>
      </c>
      <c r="E289" t="s">
        <v>391</v>
      </c>
      <c r="F289" s="20" t="s">
        <v>392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381</v>
      </c>
      <c r="C290" t="s">
        <v>412</v>
      </c>
      <c r="D290" s="137">
        <v>2000000</v>
      </c>
      <c r="E290" t="s">
        <v>389</v>
      </c>
      <c r="F290" s="20" t="s">
        <v>390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366</v>
      </c>
      <c r="C291" t="s">
        <v>413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358</v>
      </c>
      <c r="C292" t="s">
        <v>414</v>
      </c>
      <c r="D292" s="137">
        <v>3500000</v>
      </c>
      <c r="E292" t="s">
        <v>372</v>
      </c>
      <c r="F292" s="20" t="s">
        <v>373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379</v>
      </c>
      <c r="C293" t="s">
        <v>415</v>
      </c>
      <c r="D293" s="137">
        <v>3220000</v>
      </c>
      <c r="E293" t="s">
        <v>374</v>
      </c>
      <c r="F293" s="20" t="s">
        <v>375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382</v>
      </c>
      <c r="C294" t="s">
        <v>384</v>
      </c>
      <c r="D294" s="137">
        <v>3670000</v>
      </c>
      <c r="E294" t="s">
        <v>378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363</v>
      </c>
      <c r="C295" t="s">
        <v>416</v>
      </c>
      <c r="D295" s="137">
        <v>2040000</v>
      </c>
      <c r="E295" t="s">
        <v>391</v>
      </c>
      <c r="F295" s="20" t="s">
        <v>392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381</v>
      </c>
      <c r="C296" t="s">
        <v>417</v>
      </c>
      <c r="D296" s="137">
        <v>3220000</v>
      </c>
      <c r="E296" t="s">
        <v>374</v>
      </c>
      <c r="F296" s="20" t="s">
        <v>375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418</v>
      </c>
      <c r="D297" s="137">
        <v>3500000</v>
      </c>
      <c r="E297" t="s">
        <v>372</v>
      </c>
      <c r="F297" s="20" t="s">
        <v>373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367</v>
      </c>
      <c r="C298" t="s">
        <v>419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379</v>
      </c>
      <c r="C299" t="s">
        <v>420</v>
      </c>
      <c r="D299" s="137">
        <v>2000000</v>
      </c>
      <c r="E299" t="s">
        <v>389</v>
      </c>
      <c r="F299" s="20" t="s">
        <v>390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387</v>
      </c>
      <c r="C300" t="s">
        <v>421</v>
      </c>
      <c r="D300" s="137">
        <v>3670000</v>
      </c>
      <c r="E300" t="s">
        <v>378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364</v>
      </c>
      <c r="C301" t="s">
        <v>422</v>
      </c>
      <c r="D301" s="137">
        <v>2040000</v>
      </c>
      <c r="E301" t="s">
        <v>391</v>
      </c>
      <c r="F301" s="20" t="s">
        <v>392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381</v>
      </c>
      <c r="C302" t="s">
        <v>423</v>
      </c>
      <c r="D302" s="137">
        <v>2000000</v>
      </c>
      <c r="E302" t="s">
        <v>389</v>
      </c>
      <c r="F302" s="20" t="s">
        <v>390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358</v>
      </c>
      <c r="C303" t="s">
        <v>385</v>
      </c>
      <c r="D303" s="137">
        <v>3500000</v>
      </c>
      <c r="E303" t="s">
        <v>372</v>
      </c>
      <c r="F303" s="20" t="s">
        <v>373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366</v>
      </c>
      <c r="C304" t="s">
        <v>424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382</v>
      </c>
      <c r="C305" t="s">
        <v>425</v>
      </c>
      <c r="D305" s="137">
        <v>3670000</v>
      </c>
      <c r="E305" t="s">
        <v>378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363</v>
      </c>
      <c r="C306" t="s">
        <v>426</v>
      </c>
      <c r="D306" s="137">
        <v>2040000</v>
      </c>
      <c r="E306" t="s">
        <v>391</v>
      </c>
      <c r="F306" s="20" t="s">
        <v>392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427</v>
      </c>
      <c r="D307" s="137">
        <v>3500000</v>
      </c>
      <c r="E307" t="s">
        <v>372</v>
      </c>
      <c r="F307" s="20" t="s">
        <v>373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367</v>
      </c>
      <c r="C308" t="s">
        <v>428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387</v>
      </c>
      <c r="C309" t="s">
        <v>429</v>
      </c>
      <c r="D309" s="137">
        <v>3670000</v>
      </c>
      <c r="E309" t="s">
        <v>378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364</v>
      </c>
      <c r="C310" t="s">
        <v>430</v>
      </c>
      <c r="D310" s="137">
        <v>2040000</v>
      </c>
      <c r="E310" t="s">
        <v>391</v>
      </c>
      <c r="F310" s="20" t="s">
        <v>392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366</v>
      </c>
      <c r="C311" t="s">
        <v>431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363</v>
      </c>
      <c r="C312" t="s">
        <v>432</v>
      </c>
      <c r="D312" s="137">
        <v>2040000</v>
      </c>
      <c r="E312" t="s">
        <v>391</v>
      </c>
      <c r="F312" s="20" t="s">
        <v>392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362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908</v>
      </c>
      <c r="I1" s="217" t="s">
        <v>162</v>
      </c>
      <c r="J1" s="217" t="s">
        <v>163</v>
      </c>
      <c r="K1" s="217" t="s">
        <v>525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333</v>
      </c>
      <c r="Q1" s="217" t="s">
        <v>154</v>
      </c>
      <c r="R1" s="217" t="s">
        <v>161</v>
      </c>
      <c r="S1" s="217" t="s">
        <v>334</v>
      </c>
      <c r="T1" s="217" t="s">
        <v>158</v>
      </c>
    </row>
    <row r="2" spans="1:20" x14ac:dyDescent="0.3">
      <c r="A2" s="195">
        <v>31.63</v>
      </c>
      <c r="B2" s="195">
        <v>0.02</v>
      </c>
      <c r="C2" s="195">
        <v>18.39</v>
      </c>
      <c r="D2" s="8">
        <v>43114</v>
      </c>
      <c r="E2" s="195">
        <v>0.57999999999999996</v>
      </c>
      <c r="F2" s="195" t="s">
        <v>453</v>
      </c>
      <c r="G2" s="195">
        <v>328.97</v>
      </c>
      <c r="H2" s="195"/>
      <c r="I2" s="195">
        <v>0</v>
      </c>
      <c r="J2" s="195">
        <v>0</v>
      </c>
      <c r="K2" s="195"/>
      <c r="L2" s="195">
        <v>1027.6400000000001</v>
      </c>
      <c r="M2" s="195" t="s">
        <v>452</v>
      </c>
      <c r="N2" s="195">
        <v>31.63</v>
      </c>
      <c r="O2" s="195">
        <v>1515913200</v>
      </c>
      <c r="P2" s="195">
        <v>0</v>
      </c>
      <c r="Q2" s="195">
        <v>3.89</v>
      </c>
      <c r="R2" s="195">
        <v>57</v>
      </c>
      <c r="S2" s="195">
        <v>8.27</v>
      </c>
      <c r="T2" s="195">
        <v>2.68</v>
      </c>
    </row>
    <row r="3" spans="1:20" x14ac:dyDescent="0.3">
      <c r="A3" s="195">
        <v>30.63</v>
      </c>
      <c r="B3" s="195">
        <v>0.04</v>
      </c>
      <c r="C3" s="195">
        <v>23.07</v>
      </c>
      <c r="D3" s="8">
        <v>43114.041666666664</v>
      </c>
      <c r="E3" s="195">
        <v>0.73</v>
      </c>
      <c r="F3" s="195" t="s">
        <v>453</v>
      </c>
      <c r="G3" s="195">
        <v>327.96</v>
      </c>
      <c r="H3" s="195"/>
      <c r="I3" s="195">
        <v>0</v>
      </c>
      <c r="J3" s="195">
        <v>0</v>
      </c>
      <c r="K3" s="195"/>
      <c r="L3" s="195">
        <v>1027.94</v>
      </c>
      <c r="M3" s="195" t="s">
        <v>452</v>
      </c>
      <c r="N3" s="195">
        <v>30.63</v>
      </c>
      <c r="O3" s="195">
        <v>1515916800</v>
      </c>
      <c r="P3" s="195">
        <v>0</v>
      </c>
      <c r="Q3" s="195">
        <v>4.37</v>
      </c>
      <c r="R3" s="195">
        <v>71</v>
      </c>
      <c r="S3" s="195">
        <v>7.54</v>
      </c>
      <c r="T3" s="195">
        <v>0.57999999999999996</v>
      </c>
    </row>
    <row r="4" spans="1:20" x14ac:dyDescent="0.3">
      <c r="A4" s="195">
        <v>29.8</v>
      </c>
      <c r="B4" s="195">
        <v>0.19</v>
      </c>
      <c r="C4" s="195">
        <v>23.33</v>
      </c>
      <c r="D4" s="8">
        <v>43114.083333333336</v>
      </c>
      <c r="E4" s="195">
        <v>0.76</v>
      </c>
      <c r="F4" s="195" t="s">
        <v>453</v>
      </c>
      <c r="G4" s="195">
        <v>326.94</v>
      </c>
      <c r="H4" s="195"/>
      <c r="I4" s="195">
        <v>0</v>
      </c>
      <c r="J4" s="195">
        <v>0</v>
      </c>
      <c r="K4" s="195"/>
      <c r="L4" s="195">
        <v>1028.81</v>
      </c>
      <c r="M4" s="195" t="s">
        <v>452</v>
      </c>
      <c r="N4" s="195">
        <v>29.8</v>
      </c>
      <c r="O4" s="195">
        <v>1515920400</v>
      </c>
      <c r="P4" s="195">
        <v>0</v>
      </c>
      <c r="Q4" s="195">
        <v>3.89</v>
      </c>
      <c r="R4" s="195">
        <v>201</v>
      </c>
      <c r="S4" s="195">
        <v>4.8</v>
      </c>
      <c r="T4" s="195">
        <v>1.58</v>
      </c>
    </row>
    <row r="5" spans="1:20" x14ac:dyDescent="0.3">
      <c r="A5" s="195">
        <v>28.79</v>
      </c>
      <c r="B5" s="195">
        <v>0.13</v>
      </c>
      <c r="C5" s="195">
        <v>23.07</v>
      </c>
      <c r="D5" s="8">
        <v>43114.125</v>
      </c>
      <c r="E5" s="195">
        <v>0.79</v>
      </c>
      <c r="F5" s="195" t="s">
        <v>453</v>
      </c>
      <c r="G5" s="195">
        <v>325.91000000000003</v>
      </c>
      <c r="H5" s="195"/>
      <c r="I5" s="195">
        <v>0</v>
      </c>
      <c r="J5" s="195">
        <v>0</v>
      </c>
      <c r="K5" s="195"/>
      <c r="L5" s="195">
        <v>1029.8699999999999</v>
      </c>
      <c r="M5" s="195" t="s">
        <v>452</v>
      </c>
      <c r="N5" s="195">
        <v>28.79</v>
      </c>
      <c r="O5" s="195">
        <v>1515924000</v>
      </c>
      <c r="P5" s="195">
        <v>0</v>
      </c>
      <c r="Q5" s="195">
        <v>3.8</v>
      </c>
      <c r="R5" s="195">
        <v>176</v>
      </c>
      <c r="S5" s="195">
        <v>4.53</v>
      </c>
      <c r="T5" s="195">
        <v>2.29</v>
      </c>
    </row>
    <row r="6" spans="1:20" x14ac:dyDescent="0.3">
      <c r="A6" s="195">
        <v>28.24</v>
      </c>
      <c r="B6" s="195">
        <v>0.11</v>
      </c>
      <c r="C6" s="195">
        <v>21.33</v>
      </c>
      <c r="D6" s="8">
        <v>43114.166666666664</v>
      </c>
      <c r="E6" s="195">
        <v>0.75</v>
      </c>
      <c r="F6" s="195" t="s">
        <v>453</v>
      </c>
      <c r="G6" s="195">
        <v>324.89</v>
      </c>
      <c r="H6" s="195"/>
      <c r="I6" s="195">
        <v>0</v>
      </c>
      <c r="J6" s="195">
        <v>0</v>
      </c>
      <c r="K6" s="195"/>
      <c r="L6" s="195">
        <v>1029.21</v>
      </c>
      <c r="M6" s="195" t="s">
        <v>452</v>
      </c>
      <c r="N6" s="195">
        <v>28.24</v>
      </c>
      <c r="O6" s="195">
        <v>1515927600</v>
      </c>
      <c r="P6" s="195">
        <v>0</v>
      </c>
      <c r="Q6" s="195">
        <v>4.03</v>
      </c>
      <c r="R6" s="195">
        <v>154</v>
      </c>
      <c r="S6" s="195">
        <v>6.83</v>
      </c>
      <c r="T6" s="195">
        <v>2.63</v>
      </c>
    </row>
    <row r="7" spans="1:20" x14ac:dyDescent="0.3">
      <c r="A7" s="195">
        <v>23.32</v>
      </c>
      <c r="B7" s="195">
        <v>0.06</v>
      </c>
      <c r="C7" s="195">
        <v>20.55</v>
      </c>
      <c r="D7" s="8">
        <v>43114.208333333336</v>
      </c>
      <c r="E7" s="195">
        <v>0.77</v>
      </c>
      <c r="F7" s="195" t="s">
        <v>453</v>
      </c>
      <c r="G7" s="195">
        <v>327.14</v>
      </c>
      <c r="H7" s="195"/>
      <c r="I7" s="195">
        <v>0</v>
      </c>
      <c r="J7" s="195">
        <v>0</v>
      </c>
      <c r="K7" s="195"/>
      <c r="L7" s="195">
        <v>1029.0899999999999</v>
      </c>
      <c r="M7" s="195" t="s">
        <v>452</v>
      </c>
      <c r="N7" s="195">
        <v>26.78</v>
      </c>
      <c r="O7" s="195">
        <v>1515931200</v>
      </c>
      <c r="P7" s="195">
        <v>0</v>
      </c>
      <c r="Q7" s="195">
        <v>4.03</v>
      </c>
      <c r="R7" s="195">
        <v>154</v>
      </c>
      <c r="S7" s="195">
        <v>5.84</v>
      </c>
      <c r="T7" s="195">
        <v>3.06</v>
      </c>
    </row>
    <row r="8" spans="1:20" x14ac:dyDescent="0.3">
      <c r="A8" s="195">
        <v>22.63</v>
      </c>
      <c r="B8" s="195">
        <v>0.03</v>
      </c>
      <c r="C8" s="195">
        <v>19.75</v>
      </c>
      <c r="D8" s="8">
        <v>43114.25</v>
      </c>
      <c r="E8" s="195">
        <v>0.76</v>
      </c>
      <c r="F8" s="195" t="s">
        <v>453</v>
      </c>
      <c r="G8" s="195">
        <v>326.83</v>
      </c>
      <c r="H8" s="195"/>
      <c r="I8" s="195">
        <v>0</v>
      </c>
      <c r="J8" s="195">
        <v>0</v>
      </c>
      <c r="K8" s="195"/>
      <c r="L8" s="195">
        <v>1029.3599999999999</v>
      </c>
      <c r="M8" s="195" t="s">
        <v>452</v>
      </c>
      <c r="N8" s="195">
        <v>26.33</v>
      </c>
      <c r="O8" s="195">
        <v>1515934800</v>
      </c>
      <c r="P8" s="195">
        <v>0</v>
      </c>
      <c r="Q8" s="195">
        <v>3.79</v>
      </c>
      <c r="R8" s="195">
        <v>175</v>
      </c>
      <c r="S8" s="195">
        <v>6.31</v>
      </c>
      <c r="T8" s="195">
        <v>3.18</v>
      </c>
    </row>
    <row r="9" spans="1:20" x14ac:dyDescent="0.3">
      <c r="A9" s="195">
        <v>25.61</v>
      </c>
      <c r="B9" s="195">
        <v>0.04</v>
      </c>
      <c r="C9" s="195">
        <v>20.100000000000001</v>
      </c>
      <c r="D9" s="8">
        <v>43114.291666666664</v>
      </c>
      <c r="E9" s="195">
        <v>0.79</v>
      </c>
      <c r="F9" s="195" t="s">
        <v>453</v>
      </c>
      <c r="G9" s="195">
        <v>326.52</v>
      </c>
      <c r="H9" s="195"/>
      <c r="I9" s="195">
        <v>0</v>
      </c>
      <c r="J9" s="195">
        <v>0</v>
      </c>
      <c r="K9" s="195"/>
      <c r="L9" s="195">
        <v>1030.25</v>
      </c>
      <c r="M9" s="195" t="s">
        <v>452</v>
      </c>
      <c r="N9" s="195">
        <v>25.61</v>
      </c>
      <c r="O9" s="195">
        <v>1515938400</v>
      </c>
      <c r="P9" s="195">
        <v>0</v>
      </c>
      <c r="Q9" s="195">
        <v>4.6399999999999997</v>
      </c>
      <c r="R9" s="195">
        <v>183</v>
      </c>
      <c r="S9" s="195">
        <v>6.25</v>
      </c>
      <c r="T9" s="195">
        <v>2.76</v>
      </c>
    </row>
    <row r="10" spans="1:20" x14ac:dyDescent="0.3">
      <c r="A10" s="195">
        <v>26.4</v>
      </c>
      <c r="B10" s="195">
        <v>0.04</v>
      </c>
      <c r="C10" s="195">
        <v>20.77</v>
      </c>
      <c r="D10" s="8">
        <v>43114.333333333336</v>
      </c>
      <c r="E10" s="195">
        <v>0.79</v>
      </c>
      <c r="F10" s="195" t="s">
        <v>451</v>
      </c>
      <c r="G10" s="195">
        <v>326.22000000000003</v>
      </c>
      <c r="H10" s="195"/>
      <c r="I10" s="195">
        <v>0</v>
      </c>
      <c r="J10" s="195">
        <v>0</v>
      </c>
      <c r="K10" s="195"/>
      <c r="L10" s="195">
        <v>1030</v>
      </c>
      <c r="M10" s="195" t="s">
        <v>452</v>
      </c>
      <c r="N10" s="195">
        <v>26.4</v>
      </c>
      <c r="O10" s="195">
        <v>1515942000</v>
      </c>
      <c r="P10" s="195">
        <v>0</v>
      </c>
      <c r="Q10" s="195">
        <v>5.49</v>
      </c>
      <c r="R10" s="195">
        <v>172</v>
      </c>
      <c r="S10" s="195">
        <v>5.01</v>
      </c>
      <c r="T10" s="195">
        <v>2.27</v>
      </c>
    </row>
    <row r="11" spans="1:20" x14ac:dyDescent="0.3">
      <c r="A11" s="195">
        <v>30.68</v>
      </c>
      <c r="B11" s="195">
        <v>0.08</v>
      </c>
      <c r="C11" s="195">
        <v>22.37</v>
      </c>
      <c r="D11" s="8">
        <v>43114.375</v>
      </c>
      <c r="E11" s="195">
        <v>0.71</v>
      </c>
      <c r="F11" s="195" t="s">
        <v>451</v>
      </c>
      <c r="G11" s="195">
        <v>326.32</v>
      </c>
      <c r="H11" s="195"/>
      <c r="I11" s="195">
        <v>0</v>
      </c>
      <c r="J11" s="195">
        <v>0</v>
      </c>
      <c r="K11" s="195"/>
      <c r="L11" s="195">
        <v>1027.79</v>
      </c>
      <c r="M11" s="195" t="s">
        <v>452</v>
      </c>
      <c r="N11" s="195">
        <v>30.68</v>
      </c>
      <c r="O11" s="195">
        <v>1515945600</v>
      </c>
      <c r="P11" s="195">
        <v>1</v>
      </c>
      <c r="Q11" s="195">
        <v>5.59</v>
      </c>
      <c r="R11" s="195">
        <v>167</v>
      </c>
      <c r="S11" s="195">
        <v>6.21</v>
      </c>
      <c r="T11" s="195">
        <v>2.35</v>
      </c>
    </row>
    <row r="12" spans="1:20" x14ac:dyDescent="0.3">
      <c r="A12" s="195">
        <v>37.799999999999997</v>
      </c>
      <c r="B12" s="195">
        <v>0.06</v>
      </c>
      <c r="C12" s="195">
        <v>22.84</v>
      </c>
      <c r="D12" s="8">
        <v>43114.416666666664</v>
      </c>
      <c r="E12" s="195">
        <v>0.54</v>
      </c>
      <c r="F12" s="195" t="s">
        <v>451</v>
      </c>
      <c r="G12" s="195">
        <v>326.62</v>
      </c>
      <c r="H12" s="195"/>
      <c r="I12" s="195">
        <v>0</v>
      </c>
      <c r="J12" s="195">
        <v>0</v>
      </c>
      <c r="K12" s="195"/>
      <c r="L12" s="195">
        <v>1026.95</v>
      </c>
      <c r="M12" s="195" t="s">
        <v>452</v>
      </c>
      <c r="N12" s="195">
        <v>37.799999999999997</v>
      </c>
      <c r="O12" s="195">
        <v>1515949200</v>
      </c>
      <c r="P12" s="195">
        <v>1</v>
      </c>
      <c r="Q12" s="195">
        <v>5.49</v>
      </c>
      <c r="R12" s="195">
        <v>158</v>
      </c>
      <c r="S12" s="195">
        <v>6.93</v>
      </c>
      <c r="T12" s="195">
        <v>2.06</v>
      </c>
    </row>
    <row r="13" spans="1:20" x14ac:dyDescent="0.3">
      <c r="A13" s="195">
        <v>44.92</v>
      </c>
      <c r="B13" s="195">
        <v>7.0000000000000007E-2</v>
      </c>
      <c r="C13" s="195">
        <v>21.64</v>
      </c>
      <c r="D13" s="8">
        <v>43114.458333333336</v>
      </c>
      <c r="E13" s="195">
        <v>0.39</v>
      </c>
      <c r="F13" s="195" t="s">
        <v>451</v>
      </c>
      <c r="G13" s="195">
        <v>324.87</v>
      </c>
      <c r="H13" s="195"/>
      <c r="I13" s="195">
        <v>0</v>
      </c>
      <c r="J13" s="195">
        <v>0</v>
      </c>
      <c r="K13" s="195"/>
      <c r="L13" s="195">
        <v>1025.54</v>
      </c>
      <c r="M13" s="195" t="s">
        <v>452</v>
      </c>
      <c r="N13" s="195">
        <v>44.92</v>
      </c>
      <c r="O13" s="195">
        <v>1515952800</v>
      </c>
      <c r="P13" s="195">
        <v>2</v>
      </c>
      <c r="Q13" s="195">
        <v>6.41</v>
      </c>
      <c r="R13" s="195">
        <v>150</v>
      </c>
      <c r="S13" s="195">
        <v>4.95</v>
      </c>
      <c r="T13" s="195">
        <v>1.0900000000000001</v>
      </c>
    </row>
    <row r="14" spans="1:20" x14ac:dyDescent="0.3">
      <c r="A14" s="195">
        <v>51.22</v>
      </c>
      <c r="B14" s="195">
        <v>0.09</v>
      </c>
      <c r="C14" s="195">
        <v>19.2</v>
      </c>
      <c r="D14" s="8">
        <v>43114.5</v>
      </c>
      <c r="E14" s="195">
        <v>0.28000000000000003</v>
      </c>
      <c r="F14" s="195" t="s">
        <v>451</v>
      </c>
      <c r="G14" s="195">
        <v>323.94</v>
      </c>
      <c r="H14" s="195"/>
      <c r="I14" s="195">
        <v>0</v>
      </c>
      <c r="J14" s="195">
        <v>0</v>
      </c>
      <c r="K14" s="195"/>
      <c r="L14" s="195">
        <v>1022.62</v>
      </c>
      <c r="M14" s="195" t="s">
        <v>452</v>
      </c>
      <c r="N14" s="195">
        <v>51.22</v>
      </c>
      <c r="O14" s="195">
        <v>1515956400</v>
      </c>
      <c r="P14" s="195">
        <v>2</v>
      </c>
      <c r="Q14" s="195">
        <v>5.59</v>
      </c>
      <c r="R14" s="195">
        <v>107</v>
      </c>
      <c r="S14" s="195">
        <v>5.82</v>
      </c>
      <c r="T14" s="195">
        <v>0.81</v>
      </c>
    </row>
    <row r="15" spans="1:20" x14ac:dyDescent="0.3">
      <c r="A15" s="195">
        <v>54.63</v>
      </c>
      <c r="B15" s="195">
        <v>0.08</v>
      </c>
      <c r="C15" s="195">
        <v>17.77</v>
      </c>
      <c r="D15" s="8">
        <v>43114.541666666664</v>
      </c>
      <c r="E15" s="195">
        <v>0.23</v>
      </c>
      <c r="F15" s="195" t="s">
        <v>451</v>
      </c>
      <c r="G15" s="195">
        <v>322.60000000000002</v>
      </c>
      <c r="H15" s="195"/>
      <c r="I15" s="195">
        <v>0</v>
      </c>
      <c r="J15" s="195">
        <v>0</v>
      </c>
      <c r="K15" s="195"/>
      <c r="L15" s="195">
        <v>1020.59</v>
      </c>
      <c r="M15" s="195" t="s">
        <v>452</v>
      </c>
      <c r="N15" s="195">
        <v>54.63</v>
      </c>
      <c r="O15" s="195">
        <v>1515960000</v>
      </c>
      <c r="P15" s="195">
        <v>2</v>
      </c>
      <c r="Q15" s="195">
        <v>9.57</v>
      </c>
      <c r="R15" s="195">
        <v>20</v>
      </c>
      <c r="S15" s="195">
        <v>9.59</v>
      </c>
      <c r="T15" s="195">
        <v>2.04</v>
      </c>
    </row>
    <row r="16" spans="1:20" x14ac:dyDescent="0.3">
      <c r="A16" s="195">
        <v>56.95</v>
      </c>
      <c r="B16" s="195">
        <v>0.16</v>
      </c>
      <c r="C16" s="195">
        <v>11.64</v>
      </c>
      <c r="D16" s="8">
        <v>43114.583333333336</v>
      </c>
      <c r="E16" s="195">
        <v>0.16</v>
      </c>
      <c r="F16" s="195" t="s">
        <v>451</v>
      </c>
      <c r="G16" s="195">
        <v>321.36</v>
      </c>
      <c r="H16" s="195"/>
      <c r="I16" s="195">
        <v>0</v>
      </c>
      <c r="J16" s="195">
        <v>0</v>
      </c>
      <c r="K16" s="195"/>
      <c r="L16" s="195">
        <v>1019.35</v>
      </c>
      <c r="M16" s="195" t="s">
        <v>452</v>
      </c>
      <c r="N16" s="195">
        <v>56.95</v>
      </c>
      <c r="O16" s="195">
        <v>1515963600</v>
      </c>
      <c r="P16" s="195">
        <v>2</v>
      </c>
      <c r="Q16" s="195">
        <v>3.44</v>
      </c>
      <c r="R16" s="195">
        <v>321</v>
      </c>
      <c r="S16" s="195">
        <v>21.18</v>
      </c>
      <c r="T16" s="195">
        <v>4.8</v>
      </c>
    </row>
    <row r="17" spans="1:20" x14ac:dyDescent="0.3">
      <c r="A17" s="195">
        <v>55.87</v>
      </c>
      <c r="B17" s="195">
        <v>0.06</v>
      </c>
      <c r="C17" s="195">
        <v>10.99</v>
      </c>
      <c r="D17" s="8">
        <v>43114.625</v>
      </c>
      <c r="E17" s="195">
        <v>0.16</v>
      </c>
      <c r="F17" s="195" t="s">
        <v>451</v>
      </c>
      <c r="G17" s="195">
        <v>320.22000000000003</v>
      </c>
      <c r="H17" s="195"/>
      <c r="I17" s="195">
        <v>0</v>
      </c>
      <c r="J17" s="195">
        <v>0</v>
      </c>
      <c r="K17" s="195"/>
      <c r="L17" s="195">
        <v>1019.85</v>
      </c>
      <c r="M17" s="195" t="s">
        <v>452</v>
      </c>
      <c r="N17" s="195">
        <v>55.87</v>
      </c>
      <c r="O17" s="195">
        <v>1515967200</v>
      </c>
      <c r="P17" s="195">
        <v>1</v>
      </c>
      <c r="Q17" s="195">
        <v>3.79</v>
      </c>
      <c r="R17" s="195">
        <v>296</v>
      </c>
      <c r="S17" s="195">
        <v>20.55</v>
      </c>
      <c r="T17" s="195">
        <v>9.18</v>
      </c>
    </row>
    <row r="18" spans="1:20" x14ac:dyDescent="0.3">
      <c r="A18" s="195">
        <v>50.83</v>
      </c>
      <c r="B18" s="195">
        <v>0.03</v>
      </c>
      <c r="C18" s="195">
        <v>16.78</v>
      </c>
      <c r="D18" s="8">
        <v>43114.666666666664</v>
      </c>
      <c r="E18" s="195">
        <v>0.26</v>
      </c>
      <c r="F18" s="195" t="s">
        <v>451</v>
      </c>
      <c r="G18" s="195">
        <v>319.08</v>
      </c>
      <c r="H18" s="195"/>
      <c r="I18" s="195">
        <v>0</v>
      </c>
      <c r="J18" s="195">
        <v>0</v>
      </c>
      <c r="K18" s="195"/>
      <c r="L18" s="195">
        <v>1021.07</v>
      </c>
      <c r="M18" s="195" t="s">
        <v>452</v>
      </c>
      <c r="N18" s="195">
        <v>50.83</v>
      </c>
      <c r="O18" s="195">
        <v>1515970800</v>
      </c>
      <c r="P18" s="195">
        <v>1</v>
      </c>
      <c r="Q18" s="195">
        <v>5.72</v>
      </c>
      <c r="R18" s="195">
        <v>332</v>
      </c>
      <c r="S18" s="195">
        <v>13.57</v>
      </c>
      <c r="T18" s="195">
        <v>5.48</v>
      </c>
    </row>
    <row r="19" spans="1:20" x14ac:dyDescent="0.3">
      <c r="A19" s="195">
        <v>45.29</v>
      </c>
      <c r="B19" s="195">
        <v>0.03</v>
      </c>
      <c r="C19" s="195">
        <v>21.33</v>
      </c>
      <c r="D19" s="8">
        <v>43114.708333333336</v>
      </c>
      <c r="E19" s="195">
        <v>0.36</v>
      </c>
      <c r="F19" s="195" t="s">
        <v>453</v>
      </c>
      <c r="G19" s="195">
        <v>318.97000000000003</v>
      </c>
      <c r="H19" s="195"/>
      <c r="I19" s="195">
        <v>0</v>
      </c>
      <c r="J19" s="195">
        <v>0</v>
      </c>
      <c r="K19" s="195"/>
      <c r="L19" s="195">
        <v>1022.33</v>
      </c>
      <c r="M19" s="195" t="s">
        <v>452</v>
      </c>
      <c r="N19" s="195">
        <v>46.96</v>
      </c>
      <c r="O19" s="195">
        <v>1515974400</v>
      </c>
      <c r="P19" s="195">
        <v>0</v>
      </c>
      <c r="Q19" s="195">
        <v>3.79</v>
      </c>
      <c r="R19" s="195">
        <v>358</v>
      </c>
      <c r="S19" s="195">
        <v>9.4600000000000009</v>
      </c>
      <c r="T19" s="195">
        <v>4.09</v>
      </c>
    </row>
    <row r="20" spans="1:20" x14ac:dyDescent="0.3">
      <c r="A20" s="195">
        <v>44.48</v>
      </c>
      <c r="B20" s="195">
        <v>0.03</v>
      </c>
      <c r="C20" s="195">
        <v>21.69</v>
      </c>
      <c r="D20" s="8">
        <v>43114.75</v>
      </c>
      <c r="E20" s="195">
        <v>0.4</v>
      </c>
      <c r="F20" s="195" t="s">
        <v>453</v>
      </c>
      <c r="G20" s="195">
        <v>318.45999999999998</v>
      </c>
      <c r="H20" s="195"/>
      <c r="I20" s="195">
        <v>0</v>
      </c>
      <c r="J20" s="195">
        <v>0</v>
      </c>
      <c r="K20" s="195"/>
      <c r="L20" s="195">
        <v>1022.66</v>
      </c>
      <c r="M20" s="195" t="s">
        <v>452</v>
      </c>
      <c r="N20" s="195">
        <v>44.48</v>
      </c>
      <c r="O20" s="195">
        <v>1515978000</v>
      </c>
      <c r="P20" s="195">
        <v>0</v>
      </c>
      <c r="Q20" s="195">
        <v>4.6100000000000003</v>
      </c>
      <c r="R20" s="195">
        <v>350</v>
      </c>
      <c r="S20" s="195">
        <v>8.5299999999999994</v>
      </c>
      <c r="T20" s="195">
        <v>2.1800000000000002</v>
      </c>
    </row>
    <row r="21" spans="1:20" x14ac:dyDescent="0.3">
      <c r="A21" s="195">
        <v>41.7</v>
      </c>
      <c r="B21" s="195">
        <v>0.05</v>
      </c>
      <c r="C21" s="195">
        <v>21.43</v>
      </c>
      <c r="D21" s="8">
        <v>43114.791666666664</v>
      </c>
      <c r="E21" s="195">
        <v>0.44</v>
      </c>
      <c r="F21" s="195" t="s">
        <v>453</v>
      </c>
      <c r="G21" s="195">
        <v>318.14</v>
      </c>
      <c r="H21" s="195"/>
      <c r="I21" s="195">
        <v>0</v>
      </c>
      <c r="J21" s="195">
        <v>0</v>
      </c>
      <c r="K21" s="195"/>
      <c r="L21" s="195">
        <v>1023.32</v>
      </c>
      <c r="M21" s="195" t="s">
        <v>452</v>
      </c>
      <c r="N21" s="195">
        <v>41.7</v>
      </c>
      <c r="O21" s="195">
        <v>1515981600</v>
      </c>
      <c r="P21" s="195">
        <v>0</v>
      </c>
      <c r="Q21" s="195">
        <v>4.6900000000000004</v>
      </c>
      <c r="R21" s="195">
        <v>347</v>
      </c>
      <c r="S21" s="195">
        <v>6.18</v>
      </c>
      <c r="T21" s="195">
        <v>0.45</v>
      </c>
    </row>
    <row r="22" spans="1:20" x14ac:dyDescent="0.3">
      <c r="A22" s="195">
        <v>38.799999999999997</v>
      </c>
      <c r="B22" s="195">
        <v>0.05</v>
      </c>
      <c r="C22" s="195">
        <v>20.64</v>
      </c>
      <c r="D22" s="8">
        <v>43114.833333333336</v>
      </c>
      <c r="E22" s="195">
        <v>0.48</v>
      </c>
      <c r="F22" s="195" t="s">
        <v>453</v>
      </c>
      <c r="G22" s="195">
        <v>318.04000000000002</v>
      </c>
      <c r="H22" s="195"/>
      <c r="I22" s="195">
        <v>0</v>
      </c>
      <c r="J22" s="195">
        <v>0</v>
      </c>
      <c r="K22" s="195"/>
      <c r="L22" s="195">
        <v>1023.44</v>
      </c>
      <c r="M22" s="195" t="s">
        <v>452</v>
      </c>
      <c r="N22" s="195">
        <v>38.799999999999997</v>
      </c>
      <c r="O22" s="195">
        <v>1515985200</v>
      </c>
      <c r="P22" s="195">
        <v>0</v>
      </c>
      <c r="Q22" s="195">
        <v>5.1100000000000003</v>
      </c>
      <c r="R22" s="195">
        <v>114</v>
      </c>
      <c r="S22" s="195">
        <v>4.55</v>
      </c>
      <c r="T22" s="195">
        <v>0.55000000000000004</v>
      </c>
    </row>
    <row r="23" spans="1:20" x14ac:dyDescent="0.3">
      <c r="A23" s="195">
        <v>36.1</v>
      </c>
      <c r="B23" s="195">
        <v>0.06</v>
      </c>
      <c r="C23" s="195">
        <v>20.67</v>
      </c>
      <c r="D23" s="8">
        <v>43114.875</v>
      </c>
      <c r="E23" s="195">
        <v>0.53</v>
      </c>
      <c r="F23" s="195" t="s">
        <v>453</v>
      </c>
      <c r="G23" s="195">
        <v>318.16000000000003</v>
      </c>
      <c r="H23" s="195"/>
      <c r="I23" s="195">
        <v>0</v>
      </c>
      <c r="J23" s="195">
        <v>0</v>
      </c>
      <c r="K23" s="195"/>
      <c r="L23" s="195">
        <v>1023.06</v>
      </c>
      <c r="M23" s="195" t="s">
        <v>452</v>
      </c>
      <c r="N23" s="195">
        <v>36.1</v>
      </c>
      <c r="O23" s="195">
        <v>1515988800</v>
      </c>
      <c r="P23" s="195">
        <v>0</v>
      </c>
      <c r="Q23" s="195">
        <v>4.91</v>
      </c>
      <c r="R23" s="195">
        <v>149</v>
      </c>
      <c r="S23" s="195">
        <v>4.75</v>
      </c>
      <c r="T23" s="195">
        <v>1.37</v>
      </c>
    </row>
    <row r="24" spans="1:20" x14ac:dyDescent="0.3">
      <c r="A24" s="195">
        <v>35.36</v>
      </c>
      <c r="B24" s="195">
        <v>7.0000000000000007E-2</v>
      </c>
      <c r="C24" s="195">
        <v>20.43</v>
      </c>
      <c r="D24" s="8">
        <v>43114.916666666664</v>
      </c>
      <c r="E24" s="195">
        <v>0.54</v>
      </c>
      <c r="F24" s="195" t="s">
        <v>453</v>
      </c>
      <c r="G24" s="195">
        <v>318.48</v>
      </c>
      <c r="H24" s="195"/>
      <c r="I24" s="195">
        <v>0</v>
      </c>
      <c r="J24" s="195">
        <v>0</v>
      </c>
      <c r="K24" s="195"/>
      <c r="L24" s="195">
        <v>1023.68</v>
      </c>
      <c r="M24" s="195" t="s">
        <v>452</v>
      </c>
      <c r="N24" s="195">
        <v>35.36</v>
      </c>
      <c r="O24" s="195">
        <v>1515992400</v>
      </c>
      <c r="P24" s="195">
        <v>0</v>
      </c>
      <c r="Q24" s="195">
        <v>4.4800000000000004</v>
      </c>
      <c r="R24" s="195">
        <v>47</v>
      </c>
      <c r="S24" s="195">
        <v>4.78</v>
      </c>
      <c r="T24" s="195">
        <v>0.81</v>
      </c>
    </row>
    <row r="25" spans="1:20" x14ac:dyDescent="0.3">
      <c r="A25" s="195">
        <v>30.76</v>
      </c>
      <c r="B25" s="195">
        <v>0.3</v>
      </c>
      <c r="C25" s="195">
        <v>20.94</v>
      </c>
      <c r="D25" s="8">
        <v>43114.958333333336</v>
      </c>
      <c r="E25" s="195">
        <v>0.57999999999999996</v>
      </c>
      <c r="F25" s="195" t="s">
        <v>467</v>
      </c>
      <c r="G25" s="195">
        <v>318.91000000000003</v>
      </c>
      <c r="H25" s="195"/>
      <c r="I25" s="195">
        <v>0</v>
      </c>
      <c r="J25" s="195">
        <v>0</v>
      </c>
      <c r="K25" s="195"/>
      <c r="L25" s="195">
        <v>1023.34</v>
      </c>
      <c r="M25" s="195" t="s">
        <v>466</v>
      </c>
      <c r="N25" s="195">
        <v>33.97</v>
      </c>
      <c r="O25" s="195">
        <v>1515996000</v>
      </c>
      <c r="P25" s="195">
        <v>0</v>
      </c>
      <c r="Q25" s="195">
        <v>4.03</v>
      </c>
      <c r="R25" s="195">
        <v>7</v>
      </c>
      <c r="S25" s="195">
        <v>10.050000000000001</v>
      </c>
      <c r="T25" s="195">
        <v>3.63</v>
      </c>
    </row>
    <row r="26" spans="1:20" x14ac:dyDescent="0.3">
      <c r="A26" s="195">
        <v>32.9</v>
      </c>
      <c r="B26" s="195">
        <v>0.47</v>
      </c>
      <c r="C26" s="195">
        <v>21.65</v>
      </c>
      <c r="D26" s="8">
        <v>43115</v>
      </c>
      <c r="E26" s="195">
        <v>0.63</v>
      </c>
      <c r="F26" s="195" t="s">
        <v>467</v>
      </c>
      <c r="G26" s="195">
        <v>319.33</v>
      </c>
      <c r="H26" s="195"/>
      <c r="I26" s="195">
        <v>0</v>
      </c>
      <c r="J26" s="195">
        <v>0</v>
      </c>
      <c r="K26" s="195"/>
      <c r="L26" s="195">
        <v>1024.1300000000001</v>
      </c>
      <c r="M26" s="195" t="s">
        <v>466</v>
      </c>
      <c r="N26" s="195">
        <v>32.9</v>
      </c>
      <c r="O26" s="195">
        <v>1515999600</v>
      </c>
      <c r="P26" s="195">
        <v>0</v>
      </c>
      <c r="Q26" s="195">
        <v>4.03</v>
      </c>
      <c r="R26" s="195">
        <v>356</v>
      </c>
      <c r="S26" s="195">
        <v>8.24</v>
      </c>
      <c r="T26" s="195">
        <v>2.86</v>
      </c>
    </row>
    <row r="27" spans="1:20" x14ac:dyDescent="0.3">
      <c r="A27" s="195">
        <v>30.2</v>
      </c>
      <c r="B27" s="195">
        <v>0.26</v>
      </c>
      <c r="C27" s="195">
        <v>21.79</v>
      </c>
      <c r="D27" s="8">
        <v>43115.041666666664</v>
      </c>
      <c r="E27" s="195">
        <v>0.71</v>
      </c>
      <c r="F27" s="195" t="s">
        <v>467</v>
      </c>
      <c r="G27" s="195">
        <v>319.85000000000002</v>
      </c>
      <c r="H27" s="195"/>
      <c r="I27" s="195">
        <v>0</v>
      </c>
      <c r="J27" s="195">
        <v>0</v>
      </c>
      <c r="K27" s="195"/>
      <c r="L27" s="195">
        <v>1024.9100000000001</v>
      </c>
      <c r="M27" s="195" t="s">
        <v>466</v>
      </c>
      <c r="N27" s="195">
        <v>30.2</v>
      </c>
      <c r="O27" s="195">
        <v>1516003200</v>
      </c>
      <c r="P27" s="195">
        <v>0</v>
      </c>
      <c r="Q27" s="195">
        <v>4.21</v>
      </c>
      <c r="R27" s="195">
        <v>216</v>
      </c>
      <c r="S27" s="195">
        <v>2.68</v>
      </c>
      <c r="T27" s="195">
        <v>0.41</v>
      </c>
    </row>
    <row r="28" spans="1:20" x14ac:dyDescent="0.3">
      <c r="A28" s="195">
        <v>31.25</v>
      </c>
      <c r="B28" s="195">
        <v>0.8</v>
      </c>
      <c r="C28" s="195">
        <v>23.31</v>
      </c>
      <c r="D28" s="8">
        <v>43115.083333333336</v>
      </c>
      <c r="E28" s="195">
        <v>0.72</v>
      </c>
      <c r="F28" s="195" t="s">
        <v>467</v>
      </c>
      <c r="G28" s="195">
        <v>320.37</v>
      </c>
      <c r="H28" s="195"/>
      <c r="I28" s="195">
        <v>0</v>
      </c>
      <c r="J28" s="195">
        <v>0</v>
      </c>
      <c r="K28" s="195"/>
      <c r="L28" s="195">
        <v>1025.3800000000001</v>
      </c>
      <c r="M28" s="195" t="s">
        <v>909</v>
      </c>
      <c r="N28" s="195">
        <v>31.25</v>
      </c>
      <c r="O28" s="195">
        <v>1516006800</v>
      </c>
      <c r="P28" s="195">
        <v>0</v>
      </c>
      <c r="Q28" s="195">
        <v>4.03</v>
      </c>
      <c r="R28" s="195">
        <v>355</v>
      </c>
      <c r="S28" s="195">
        <v>3.94</v>
      </c>
      <c r="T28" s="195">
        <v>0.81</v>
      </c>
    </row>
    <row r="29" spans="1:20" x14ac:dyDescent="0.3">
      <c r="A29" s="195">
        <v>31.58</v>
      </c>
      <c r="B29" s="195">
        <v>0.88</v>
      </c>
      <c r="C29" s="195">
        <v>24.49</v>
      </c>
      <c r="D29" s="8">
        <v>43115.125</v>
      </c>
      <c r="E29" s="195">
        <v>0.75</v>
      </c>
      <c r="F29" s="195" t="s">
        <v>467</v>
      </c>
      <c r="G29" s="195">
        <v>320.69</v>
      </c>
      <c r="H29" s="195">
        <v>8.9999999999999993E-3</v>
      </c>
      <c r="I29" s="195">
        <v>1.1999999999999999E-3</v>
      </c>
      <c r="J29" s="195">
        <v>0.02</v>
      </c>
      <c r="K29" s="195" t="s">
        <v>910</v>
      </c>
      <c r="L29" s="195">
        <v>1026.79</v>
      </c>
      <c r="M29" s="195" t="s">
        <v>909</v>
      </c>
      <c r="N29" s="195">
        <v>31.58</v>
      </c>
      <c r="O29" s="195">
        <v>1516010400</v>
      </c>
      <c r="P29" s="195">
        <v>0</v>
      </c>
      <c r="Q29" s="195">
        <v>2.16</v>
      </c>
      <c r="R29" s="195">
        <v>137</v>
      </c>
      <c r="S29" s="195">
        <v>4.42</v>
      </c>
      <c r="T29" s="195">
        <v>1.96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7" workbookViewId="0">
      <selection activeCell="C7" sqref="C7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43114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1053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1054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1055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1056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1057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1058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1059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1060</v>
      </c>
      <c r="J25" s="139" t="s">
        <v>144</v>
      </c>
      <c r="M25" s="153" t="b">
        <v>1</v>
      </c>
    </row>
    <row r="26" spans="3:24" x14ac:dyDescent="0.3">
      <c r="C26" t="s">
        <v>1061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%USERPROFILE%\Documents\GitHub\eaglep3-reporting\EC\2018-01-14-refined-times.txt</v>
      </c>
    </row>
    <row r="27" spans="3:24" x14ac:dyDescent="0.3">
      <c r="C27" t="s">
        <v>1062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%USERPROFILE%\Documents\GitHub\eaglep3-reporting\EC\2018-01-14-Enforcements.txt</v>
      </c>
    </row>
    <row r="28" spans="3:24" x14ac:dyDescent="0.3">
      <c r="C28" t="s">
        <v>1063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%USERPROFILE%\Documents\GitHub\eaglep3-reporting\EC\2018-01-14-Runs-refined.txt</v>
      </c>
    </row>
    <row r="29" spans="3:24" x14ac:dyDescent="0.3">
      <c r="C29" t="s">
        <v>1064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%USERPROFILE%\Documents\GitHub\eaglep3-reporting\EC\2018-01-14-Trips.txt</v>
      </c>
    </row>
    <row r="30" spans="3:24" x14ac:dyDescent="0.3">
      <c r="C30" t="s">
        <v>1065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%USERPROFILE%\Documents\GitHub\eaglep3-reporting\EC\2018-01-14-Weather.txt</v>
      </c>
    </row>
    <row r="31" spans="3:24" x14ac:dyDescent="0.3">
      <c r="J31" s="139" t="s">
        <v>187</v>
      </c>
      <c r="M31" s="153" t="s">
        <v>188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2018-01-15T21:03:27Z</dcterms:modified>
</cp:coreProperties>
</file>