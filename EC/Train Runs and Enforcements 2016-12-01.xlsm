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37" i="1" l="1"/>
  <c r="X138" i="1"/>
  <c r="X139" i="1"/>
  <c r="X140" i="1"/>
  <c r="K137" i="1"/>
  <c r="L137" i="1"/>
  <c r="M137" i="1"/>
  <c r="V137" i="1"/>
  <c r="Y137" i="1"/>
  <c r="Z137" i="1"/>
  <c r="AA137" i="1" s="1"/>
  <c r="AB137" i="1"/>
  <c r="AC137" i="1"/>
  <c r="AD137" i="1"/>
  <c r="T137" i="1" s="1"/>
  <c r="AE137" i="1"/>
  <c r="AF137" i="1"/>
  <c r="AH137" i="1"/>
  <c r="N206" i="1"/>
  <c r="P208" i="1"/>
  <c r="P204" i="1"/>
  <c r="P200" i="1"/>
  <c r="X171" i="1"/>
  <c r="X172" i="1"/>
  <c r="X173" i="1"/>
  <c r="X174" i="1"/>
  <c r="X175" i="1"/>
  <c r="P114" i="1"/>
  <c r="P100" i="1"/>
  <c r="K14" i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24" i="3" s="1"/>
  <c r="Y24" i="1"/>
  <c r="Z24" i="1"/>
  <c r="AB24" i="1"/>
  <c r="AC24" i="1"/>
  <c r="AD24" i="1"/>
  <c r="AE24" i="1"/>
  <c r="AF24" i="1"/>
  <c r="AH24" i="1"/>
  <c r="K25" i="1"/>
  <c r="L25" i="1"/>
  <c r="M25" i="1"/>
  <c r="N25" i="1" s="1"/>
  <c r="T25" i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I34" i="1" s="1"/>
  <c r="AB34" i="1"/>
  <c r="AC34" i="1"/>
  <c r="AD34" i="1"/>
  <c r="AG34" i="1" s="1"/>
  <c r="AE34" i="1"/>
  <c r="R25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A38" i="1" s="1"/>
  <c r="W38" i="1" s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S10" i="3" s="1"/>
  <c r="Y41" i="1"/>
  <c r="Z41" i="1"/>
  <c r="AB41" i="1"/>
  <c r="AC41" i="1"/>
  <c r="AD41" i="1"/>
  <c r="X41" i="1" s="1"/>
  <c r="AE41" i="1"/>
  <c r="R10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P47" i="1" s="1"/>
  <c r="V47" i="1"/>
  <c r="Y47" i="1"/>
  <c r="Z47" i="1"/>
  <c r="AB47" i="1"/>
  <c r="AC47" i="1"/>
  <c r="AD47" i="1"/>
  <c r="AE47" i="1"/>
  <c r="AF47" i="1"/>
  <c r="AG47" i="1"/>
  <c r="AH47" i="1"/>
  <c r="AI47" i="1"/>
  <c r="K48" i="1"/>
  <c r="L48" i="1"/>
  <c r="M48" i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K50" i="1"/>
  <c r="L50" i="1"/>
  <c r="M50" i="1"/>
  <c r="N50" i="1" s="1"/>
  <c r="V50" i="1"/>
  <c r="Y50" i="1"/>
  <c r="Z50" i="1"/>
  <c r="AI50" i="1" s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R26" i="3" s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/>
  <c r="V57" i="1"/>
  <c r="S22" i="3" s="1"/>
  <c r="Y57" i="1"/>
  <c r="Z57" i="1"/>
  <c r="AB57" i="1"/>
  <c r="AC57" i="1"/>
  <c r="AD57" i="1"/>
  <c r="AG57" i="1" s="1"/>
  <c r="AE57" i="1"/>
  <c r="AF57" i="1"/>
  <c r="AH57" i="1"/>
  <c r="AI57" i="1"/>
  <c r="K58" i="1"/>
  <c r="L58" i="1"/>
  <c r="M58" i="1"/>
  <c r="N58" i="1" s="1"/>
  <c r="V58" i="1"/>
  <c r="Y58" i="1"/>
  <c r="Z58" i="1"/>
  <c r="AA58" i="1" s="1"/>
  <c r="AB58" i="1"/>
  <c r="AC58" i="1"/>
  <c r="AD58" i="1"/>
  <c r="AE58" i="1"/>
  <c r="AF58" i="1"/>
  <c r="AG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G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S19" i="3" s="1"/>
  <c r="Y67" i="1"/>
  <c r="Z67" i="1"/>
  <c r="AB67" i="1"/>
  <c r="AC67" i="1"/>
  <c r="AD67" i="1"/>
  <c r="T67" i="1" s="1"/>
  <c r="AE67" i="1"/>
  <c r="R19" i="3" s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R13" i="3" s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/>
  <c r="V74" i="1"/>
  <c r="S27" i="3" s="1"/>
  <c r="Y74" i="1"/>
  <c r="Z74" i="1"/>
  <c r="AB74" i="1"/>
  <c r="AC74" i="1"/>
  <c r="AD74" i="1"/>
  <c r="AE74" i="1"/>
  <c r="R27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R17" i="3" s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A81" i="1" s="1"/>
  <c r="AB81" i="1"/>
  <c r="AC81" i="1"/>
  <c r="AD81" i="1"/>
  <c r="T81" i="1" s="1"/>
  <c r="AE81" i="1"/>
  <c r="AF81" i="1"/>
  <c r="AH81" i="1"/>
  <c r="K82" i="1"/>
  <c r="L82" i="1"/>
  <c r="M82" i="1"/>
  <c r="N82" i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A86" i="1" s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T90" i="1"/>
  <c r="V90" i="1"/>
  <c r="Y90" i="1"/>
  <c r="Z90" i="1"/>
  <c r="AB90" i="1"/>
  <c r="AC90" i="1"/>
  <c r="AD90" i="1"/>
  <c r="AG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V94" i="1"/>
  <c r="Y94" i="1"/>
  <c r="Z94" i="1"/>
  <c r="AB94" i="1"/>
  <c r="AC94" i="1"/>
  <c r="AD94" i="1"/>
  <c r="AG94" i="1" s="1"/>
  <c r="AE94" i="1"/>
  <c r="AF94" i="1"/>
  <c r="AH94" i="1"/>
  <c r="K95" i="1"/>
  <c r="L95" i="1"/>
  <c r="M95" i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S11" i="3" s="1"/>
  <c r="Y96" i="1"/>
  <c r="Z96" i="1"/>
  <c r="AB96" i="1"/>
  <c r="AC96" i="1"/>
  <c r="AD96" i="1"/>
  <c r="T96" i="1" s="1"/>
  <c r="AE96" i="1"/>
  <c r="R11" i="3" s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N98" i="1" s="1"/>
  <c r="V98" i="1"/>
  <c r="Y98" i="1"/>
  <c r="Z98" i="1"/>
  <c r="AI98" i="1" s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S31" i="3" s="1"/>
  <c r="Y99" i="1"/>
  <c r="Z99" i="1"/>
  <c r="AB99" i="1"/>
  <c r="AC99" i="1"/>
  <c r="AD99" i="1"/>
  <c r="AG99" i="1" s="1"/>
  <c r="AE99" i="1"/>
  <c r="R31" i="3" s="1"/>
  <c r="AF99" i="1"/>
  <c r="AH99" i="1"/>
  <c r="K100" i="1"/>
  <c r="L100" i="1"/>
  <c r="M100" i="1"/>
  <c r="V100" i="1"/>
  <c r="S15" i="3" s="1"/>
  <c r="Y100" i="1"/>
  <c r="Z100" i="1"/>
  <c r="AB100" i="1"/>
  <c r="AC100" i="1"/>
  <c r="AD100" i="1"/>
  <c r="T100" i="1" s="1"/>
  <c r="AE100" i="1"/>
  <c r="R15" i="3" s="1"/>
  <c r="AF100" i="1"/>
  <c r="AH100" i="1"/>
  <c r="K101" i="1"/>
  <c r="L101" i="1"/>
  <c r="M101" i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/>
  <c r="V102" i="1"/>
  <c r="Y102" i="1"/>
  <c r="Z102" i="1"/>
  <c r="AB102" i="1"/>
  <c r="AC102" i="1"/>
  <c r="AD102" i="1"/>
  <c r="AG102" i="1" s="1"/>
  <c r="AE102" i="1"/>
  <c r="AF102" i="1"/>
  <c r="AH102" i="1"/>
  <c r="K103" i="1"/>
  <c r="L103" i="1"/>
  <c r="M103" i="1"/>
  <c r="V103" i="1"/>
  <c r="S18" i="3" s="1"/>
  <c r="Y103" i="1"/>
  <c r="Z103" i="1"/>
  <c r="AB103" i="1"/>
  <c r="AC103" i="1"/>
  <c r="AD103" i="1"/>
  <c r="AE103" i="1"/>
  <c r="AF103" i="1"/>
  <c r="AH103" i="1"/>
  <c r="K104" i="1"/>
  <c r="L104" i="1"/>
  <c r="M104" i="1"/>
  <c r="V104" i="1"/>
  <c r="Y104" i="1"/>
  <c r="Z104" i="1"/>
  <c r="AB104" i="1"/>
  <c r="AC104" i="1"/>
  <c r="AD104" i="1"/>
  <c r="X104" i="1" s="1"/>
  <c r="AE104" i="1"/>
  <c r="AF104" i="1"/>
  <c r="AH104" i="1"/>
  <c r="K105" i="1"/>
  <c r="L105" i="1"/>
  <c r="M105" i="1"/>
  <c r="N105" i="1" s="1"/>
  <c r="T105" i="1"/>
  <c r="V105" i="1"/>
  <c r="Y105" i="1"/>
  <c r="Z105" i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A106" i="1" s="1"/>
  <c r="W106" i="1" s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Y107" i="1"/>
  <c r="Z107" i="1"/>
  <c r="AI107" i="1" s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S28" i="3" s="1"/>
  <c r="Y108" i="1"/>
  <c r="Z108" i="1"/>
  <c r="AB108" i="1"/>
  <c r="AC108" i="1"/>
  <c r="AD108" i="1"/>
  <c r="T108" i="1" s="1"/>
  <c r="AE108" i="1"/>
  <c r="R28" i="3" s="1"/>
  <c r="AF108" i="1"/>
  <c r="AH108" i="1"/>
  <c r="K109" i="1"/>
  <c r="L109" i="1"/>
  <c r="M109" i="1"/>
  <c r="N109" i="1" s="1"/>
  <c r="T109" i="1"/>
  <c r="V109" i="1"/>
  <c r="Y109" i="1"/>
  <c r="Z109" i="1"/>
  <c r="AB109" i="1"/>
  <c r="AC109" i="1"/>
  <c r="AD109" i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X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A129" i="1" s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P132" i="1" s="1"/>
  <c r="V132" i="1"/>
  <c r="Y132" i="1"/>
  <c r="Z132" i="1"/>
  <c r="AI132" i="1" s="1"/>
  <c r="AB132" i="1"/>
  <c r="AC132" i="1"/>
  <c r="AD132" i="1"/>
  <c r="AG132" i="1" s="1"/>
  <c r="AE132" i="1"/>
  <c r="AF132" i="1"/>
  <c r="AH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V135" i="1"/>
  <c r="S33" i="3" s="1"/>
  <c r="Y135" i="1"/>
  <c r="Z135" i="1"/>
  <c r="AB135" i="1"/>
  <c r="AC135" i="1"/>
  <c r="AD135" i="1"/>
  <c r="AE135" i="1"/>
  <c r="R33" i="3" s="1"/>
  <c r="AF135" i="1"/>
  <c r="AH135" i="1"/>
  <c r="K136" i="1"/>
  <c r="L136" i="1"/>
  <c r="M136" i="1"/>
  <c r="N136" i="1"/>
  <c r="V136" i="1"/>
  <c r="S7" i="3" s="1"/>
  <c r="Y136" i="1"/>
  <c r="AA136" i="1" s="1"/>
  <c r="Z136" i="1"/>
  <c r="AB136" i="1"/>
  <c r="AC136" i="1"/>
  <c r="AD136" i="1"/>
  <c r="AG136" i="1" s="1"/>
  <c r="AE136" i="1"/>
  <c r="AF136" i="1"/>
  <c r="AH136" i="1"/>
  <c r="AI136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S20" i="3" s="1"/>
  <c r="Y140" i="1"/>
  <c r="Z140" i="1"/>
  <c r="AB140" i="1"/>
  <c r="AC140" i="1"/>
  <c r="AD140" i="1"/>
  <c r="AE140" i="1"/>
  <c r="R20" i="3" s="1"/>
  <c r="AF140" i="1"/>
  <c r="AH140" i="1"/>
  <c r="K141" i="1"/>
  <c r="L141" i="1"/>
  <c r="M141" i="1"/>
  <c r="N141" i="1" s="1"/>
  <c r="V141" i="1"/>
  <c r="Y141" i="1"/>
  <c r="Z141" i="1"/>
  <c r="AA141" i="1" s="1"/>
  <c r="W141" i="1" s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T144" i="1"/>
  <c r="V144" i="1"/>
  <c r="Y144" i="1"/>
  <c r="Z144" i="1"/>
  <c r="AA144" i="1" s="1"/>
  <c r="W144" i="1" s="1"/>
  <c r="AB144" i="1"/>
  <c r="AC144" i="1"/>
  <c r="AD144" i="1"/>
  <c r="AG144" i="1" s="1"/>
  <c r="AE144" i="1"/>
  <c r="AF144" i="1"/>
  <c r="AH144" i="1"/>
  <c r="K145" i="1"/>
  <c r="L145" i="1"/>
  <c r="M145" i="1"/>
  <c r="N145" i="1" s="1"/>
  <c r="V145" i="1"/>
  <c r="Y145" i="1"/>
  <c r="Z145" i="1"/>
  <c r="AA145" i="1" s="1"/>
  <c r="W145" i="1" s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K148" i="1"/>
  <c r="L148" i="1"/>
  <c r="M148" i="1"/>
  <c r="N148" i="1" s="1"/>
  <c r="T148" i="1"/>
  <c r="V148" i="1"/>
  <c r="Y148" i="1"/>
  <c r="Z148" i="1"/>
  <c r="AB148" i="1"/>
  <c r="AC148" i="1"/>
  <c r="AD148" i="1"/>
  <c r="X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N154" i="1" s="1"/>
  <c r="V154" i="1"/>
  <c r="Y154" i="1"/>
  <c r="Z154" i="1"/>
  <c r="AA154" i="1" s="1"/>
  <c r="AB154" i="1"/>
  <c r="AC154" i="1"/>
  <c r="AD154" i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S29" i="3" s="1"/>
  <c r="Y158" i="1"/>
  <c r="Z158" i="1"/>
  <c r="AB158" i="1"/>
  <c r="AC158" i="1"/>
  <c r="AD158" i="1"/>
  <c r="AG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K160" i="1"/>
  <c r="L160" i="1"/>
  <c r="M160" i="1"/>
  <c r="N160" i="1" s="1"/>
  <c r="V160" i="1"/>
  <c r="S14" i="3" s="1"/>
  <c r="Y160" i="1"/>
  <c r="Z160" i="1"/>
  <c r="AA160" i="1" s="1"/>
  <c r="AB160" i="1"/>
  <c r="AC160" i="1"/>
  <c r="AD160" i="1"/>
  <c r="T160" i="1" s="1"/>
  <c r="AE160" i="1"/>
  <c r="AF160" i="1"/>
  <c r="AH160" i="1"/>
  <c r="K161" i="1"/>
  <c r="L161" i="1"/>
  <c r="M161" i="1"/>
  <c r="N161" i="1" s="1"/>
  <c r="V161" i="1"/>
  <c r="Y161" i="1"/>
  <c r="Z161" i="1"/>
  <c r="AA161" i="1" s="1"/>
  <c r="W161" i="1" s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K210" i="1"/>
  <c r="L210" i="1"/>
  <c r="M210" i="1"/>
  <c r="N210" i="1" s="1"/>
  <c r="V210" i="1"/>
  <c r="S53" i="3" s="1"/>
  <c r="Y210" i="1"/>
  <c r="Z210" i="1"/>
  <c r="AB210" i="1"/>
  <c r="AC210" i="1"/>
  <c r="AD210" i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/>
  <c r="V212" i="1"/>
  <c r="Y212" i="1"/>
  <c r="Z212" i="1"/>
  <c r="AB212" i="1"/>
  <c r="AC212" i="1"/>
  <c r="AD212" i="1"/>
  <c r="AG212" i="1" s="1"/>
  <c r="AE212" i="1"/>
  <c r="AF212" i="1"/>
  <c r="AH165" i="1"/>
  <c r="K213" i="1"/>
  <c r="L213" i="1"/>
  <c r="M213" i="1"/>
  <c r="N213" i="1" s="1"/>
  <c r="V213" i="1"/>
  <c r="Y213" i="1"/>
  <c r="Z213" i="1"/>
  <c r="AA213" i="1"/>
  <c r="W213" i="1" s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T215" i="1"/>
  <c r="V215" i="1"/>
  <c r="S55" i="3" s="1"/>
  <c r="X215" i="1"/>
  <c r="Y215" i="1"/>
  <c r="Z215" i="1"/>
  <c r="AB215" i="1"/>
  <c r="AC215" i="1"/>
  <c r="AD215" i="1"/>
  <c r="AE215" i="1"/>
  <c r="AF215" i="1"/>
  <c r="AG215" i="1"/>
  <c r="U215" i="1" s="1"/>
  <c r="AH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2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173" i="1"/>
  <c r="K228" i="1"/>
  <c r="L228" i="1"/>
  <c r="M228" i="1"/>
  <c r="N228" i="1" s="1"/>
  <c r="V228" i="1"/>
  <c r="Y228" i="1"/>
  <c r="Z228" i="1"/>
  <c r="AA228" i="1" s="1"/>
  <c r="AB228" i="1"/>
  <c r="AC228" i="1"/>
  <c r="AD228" i="1"/>
  <c r="T228" i="1" s="1"/>
  <c r="AE228" i="1"/>
  <c r="AF228" i="1"/>
  <c r="AH174" i="1"/>
  <c r="K229" i="1"/>
  <c r="L229" i="1"/>
  <c r="M229" i="1"/>
  <c r="N229" i="1" s="1"/>
  <c r="V229" i="1"/>
  <c r="Y229" i="1"/>
  <c r="Z229" i="1"/>
  <c r="AA229" i="1" s="1"/>
  <c r="AB229" i="1"/>
  <c r="AC229" i="1"/>
  <c r="AD229" i="1"/>
  <c r="X229" i="1" s="1"/>
  <c r="AE229" i="1"/>
  <c r="AF229" i="1"/>
  <c r="AH175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6" i="1"/>
  <c r="K231" i="1"/>
  <c r="L231" i="1"/>
  <c r="M231" i="1"/>
  <c r="N231" i="1" s="1"/>
  <c r="V231" i="1"/>
  <c r="Y231" i="1"/>
  <c r="Z231" i="1"/>
  <c r="AA231" i="1" s="1"/>
  <c r="AB231" i="1"/>
  <c r="AC231" i="1"/>
  <c r="AD231" i="1"/>
  <c r="AE231" i="1"/>
  <c r="AF231" i="1"/>
  <c r="AH177" i="1"/>
  <c r="K232" i="1"/>
  <c r="L232" i="1"/>
  <c r="M232" i="1"/>
  <c r="N232" i="1" s="1"/>
  <c r="V232" i="1"/>
  <c r="S57" i="3" s="1"/>
  <c r="Y232" i="1"/>
  <c r="Z232" i="1"/>
  <c r="AA232" i="1" s="1"/>
  <c r="AB232" i="1"/>
  <c r="AC232" i="1"/>
  <c r="AD232" i="1"/>
  <c r="X232" i="1" s="1"/>
  <c r="AE232" i="1"/>
  <c r="R57" i="3" s="1"/>
  <c r="AF232" i="1"/>
  <c r="AH178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79" i="1"/>
  <c r="K234" i="1"/>
  <c r="L234" i="1"/>
  <c r="M234" i="1"/>
  <c r="N234" i="1"/>
  <c r="V234" i="1"/>
  <c r="Y234" i="1"/>
  <c r="AA234" i="1" s="1"/>
  <c r="Z234" i="1"/>
  <c r="AB234" i="1"/>
  <c r="AC234" i="1"/>
  <c r="AD234" i="1"/>
  <c r="AG234" i="1" s="1"/>
  <c r="AE234" i="1"/>
  <c r="AF234" i="1"/>
  <c r="AH180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4" i="1"/>
  <c r="K239" i="1"/>
  <c r="L239" i="1"/>
  <c r="M239" i="1"/>
  <c r="N239" i="1" s="1"/>
  <c r="V239" i="1"/>
  <c r="S54" i="3" s="1"/>
  <c r="Y239" i="1"/>
  <c r="Z239" i="1"/>
  <c r="AA239" i="1" s="1"/>
  <c r="AB239" i="1"/>
  <c r="AC239" i="1"/>
  <c r="AD239" i="1"/>
  <c r="AE239" i="1"/>
  <c r="R54" i="3" s="1"/>
  <c r="AF239" i="1"/>
  <c r="AH18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186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7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8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1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G169" i="1"/>
  <c r="AH192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3" i="1"/>
  <c r="K171" i="1"/>
  <c r="L171" i="1"/>
  <c r="M171" i="1"/>
  <c r="N171" i="1" s="1"/>
  <c r="V171" i="1"/>
  <c r="S41" i="3" s="1"/>
  <c r="Y171" i="1"/>
  <c r="Z171" i="1"/>
  <c r="AB171" i="1"/>
  <c r="AC171" i="1"/>
  <c r="AD171" i="1"/>
  <c r="T171" i="1" s="1"/>
  <c r="AE171" i="1"/>
  <c r="R41" i="3" s="1"/>
  <c r="AF171" i="1"/>
  <c r="AH194" i="1"/>
  <c r="AH195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6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98" i="1"/>
  <c r="K175" i="1"/>
  <c r="L175" i="1"/>
  <c r="M175" i="1"/>
  <c r="N175" i="1"/>
  <c r="V175" i="1"/>
  <c r="S48" i="3" s="1"/>
  <c r="Y175" i="1"/>
  <c r="Z175" i="1"/>
  <c r="AB175" i="1"/>
  <c r="AC175" i="1"/>
  <c r="AD175" i="1"/>
  <c r="AE175" i="1"/>
  <c r="AF175" i="1"/>
  <c r="AH199" i="1"/>
  <c r="K176" i="1"/>
  <c r="L176" i="1"/>
  <c r="M176" i="1"/>
  <c r="N176" i="1" s="1"/>
  <c r="T176" i="1"/>
  <c r="V176" i="1"/>
  <c r="Y176" i="1"/>
  <c r="Z176" i="1"/>
  <c r="AB176" i="1"/>
  <c r="AC176" i="1"/>
  <c r="AD176" i="1"/>
  <c r="AG176" i="1" s="1"/>
  <c r="AE176" i="1"/>
  <c r="AF176" i="1"/>
  <c r="AH200" i="1"/>
  <c r="K177" i="1"/>
  <c r="L177" i="1"/>
  <c r="M177" i="1"/>
  <c r="N177" i="1" s="1"/>
  <c r="V177" i="1"/>
  <c r="S38" i="3" s="1"/>
  <c r="Y177" i="1"/>
  <c r="Z177" i="1"/>
  <c r="AB177" i="1"/>
  <c r="AC177" i="1"/>
  <c r="AD177" i="1"/>
  <c r="AG177" i="1" s="1"/>
  <c r="AE177" i="1"/>
  <c r="R38" i="3" s="1"/>
  <c r="AF177" i="1"/>
  <c r="AH201" i="1"/>
  <c r="K178" i="1"/>
  <c r="L178" i="1"/>
  <c r="M178" i="1"/>
  <c r="N178" i="1" s="1"/>
  <c r="V178" i="1"/>
  <c r="S35" i="3" s="1"/>
  <c r="Y178" i="1"/>
  <c r="Z178" i="1"/>
  <c r="AB178" i="1"/>
  <c r="AC178" i="1"/>
  <c r="AD178" i="1"/>
  <c r="T178" i="1" s="1"/>
  <c r="AE178" i="1"/>
  <c r="R35" i="3" s="1"/>
  <c r="AF178" i="1"/>
  <c r="AH202" i="1"/>
  <c r="K179" i="1"/>
  <c r="L179" i="1"/>
  <c r="M179" i="1"/>
  <c r="N179" i="1" s="1"/>
  <c r="V179" i="1"/>
  <c r="S37" i="3" s="1"/>
  <c r="Y179" i="1"/>
  <c r="Z179" i="1"/>
  <c r="AB179" i="1"/>
  <c r="AC179" i="1"/>
  <c r="AD179" i="1"/>
  <c r="AE179" i="1"/>
  <c r="R37" i="3" s="1"/>
  <c r="AF179" i="1"/>
  <c r="AH20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4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06" i="1"/>
  <c r="K183" i="1"/>
  <c r="L183" i="1"/>
  <c r="M183" i="1"/>
  <c r="N183" i="1" s="1"/>
  <c r="V183" i="1"/>
  <c r="S45" i="3" s="1"/>
  <c r="Y183" i="1"/>
  <c r="Z183" i="1"/>
  <c r="AB183" i="1"/>
  <c r="AC183" i="1"/>
  <c r="AD183" i="1"/>
  <c r="AE183" i="1"/>
  <c r="R43" i="3" s="1"/>
  <c r="AF183" i="1"/>
  <c r="AH207" i="1"/>
  <c r="K184" i="1"/>
  <c r="L184" i="1"/>
  <c r="M184" i="1"/>
  <c r="N184" i="1" s="1"/>
  <c r="V184" i="1"/>
  <c r="S52" i="3" s="1"/>
  <c r="Y184" i="1"/>
  <c r="Z184" i="1"/>
  <c r="AB184" i="1"/>
  <c r="AC184" i="1"/>
  <c r="AD184" i="1"/>
  <c r="AG184" i="1" s="1"/>
  <c r="AE184" i="1"/>
  <c r="AF184" i="1"/>
  <c r="AH208" i="1"/>
  <c r="K185" i="1"/>
  <c r="L185" i="1"/>
  <c r="M185" i="1"/>
  <c r="N185" i="1" s="1"/>
  <c r="V185" i="1"/>
  <c r="S34" i="3" s="1"/>
  <c r="Y185" i="1"/>
  <c r="Z185" i="1"/>
  <c r="AB185" i="1"/>
  <c r="AC185" i="1"/>
  <c r="AD185" i="1"/>
  <c r="AG185" i="1" s="1"/>
  <c r="AE185" i="1"/>
  <c r="R34" i="3" s="1"/>
  <c r="AF185" i="1"/>
  <c r="AH20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K187" i="1"/>
  <c r="L187" i="1"/>
  <c r="M187" i="1"/>
  <c r="N187" i="1" s="1"/>
  <c r="V187" i="1"/>
  <c r="S44" i="3" s="1"/>
  <c r="Y187" i="1"/>
  <c r="Z187" i="1"/>
  <c r="AB187" i="1"/>
  <c r="AC187" i="1"/>
  <c r="AD187" i="1"/>
  <c r="AE187" i="1"/>
  <c r="R44" i="3" s="1"/>
  <c r="AF187" i="1"/>
  <c r="AH211" i="1"/>
  <c r="K188" i="1"/>
  <c r="L188" i="1"/>
  <c r="M188" i="1"/>
  <c r="N188" i="1" s="1"/>
  <c r="V188" i="1"/>
  <c r="S39" i="3" s="1"/>
  <c r="Y188" i="1"/>
  <c r="Z188" i="1"/>
  <c r="AB188" i="1"/>
  <c r="AC188" i="1"/>
  <c r="AD188" i="1"/>
  <c r="T188" i="1" s="1"/>
  <c r="AE188" i="1"/>
  <c r="AF188" i="1"/>
  <c r="AH212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1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4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7" i="1"/>
  <c r="K194" i="1"/>
  <c r="L194" i="1"/>
  <c r="M194" i="1"/>
  <c r="N194" i="1"/>
  <c r="V194" i="1"/>
  <c r="Y194" i="1"/>
  <c r="AA194" i="1" s="1"/>
  <c r="Z194" i="1"/>
  <c r="AB194" i="1"/>
  <c r="AC194" i="1"/>
  <c r="AD194" i="1"/>
  <c r="T194" i="1" s="1"/>
  <c r="AE194" i="1"/>
  <c r="AF194" i="1"/>
  <c r="AH218" i="1"/>
  <c r="K195" i="1"/>
  <c r="L195" i="1"/>
  <c r="M195" i="1"/>
  <c r="N195" i="1" s="1"/>
  <c r="V195" i="1"/>
  <c r="S51" i="3" s="1"/>
  <c r="Y195" i="1"/>
  <c r="Z195" i="1"/>
  <c r="AB195" i="1"/>
  <c r="AC195" i="1"/>
  <c r="AD195" i="1"/>
  <c r="AE195" i="1"/>
  <c r="R51" i="3" s="1"/>
  <c r="AF195" i="1"/>
  <c r="AH219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0" i="1"/>
  <c r="K197" i="1"/>
  <c r="L197" i="1"/>
  <c r="M197" i="1"/>
  <c r="N197" i="1" s="1"/>
  <c r="V197" i="1"/>
  <c r="Y197" i="1"/>
  <c r="Z197" i="1"/>
  <c r="AA197" i="1" s="1"/>
  <c r="W197" i="1" s="1"/>
  <c r="AB197" i="1"/>
  <c r="AC197" i="1"/>
  <c r="AD197" i="1"/>
  <c r="AG197" i="1" s="1"/>
  <c r="AE197" i="1"/>
  <c r="AF197" i="1"/>
  <c r="AH221" i="1"/>
  <c r="K198" i="1"/>
  <c r="L198" i="1"/>
  <c r="M198" i="1"/>
  <c r="N198" i="1" s="1"/>
  <c r="V198" i="1"/>
  <c r="Y198" i="1"/>
  <c r="Z198" i="1"/>
  <c r="AA198" i="1" s="1"/>
  <c r="AB198" i="1"/>
  <c r="AC198" i="1"/>
  <c r="AD198" i="1"/>
  <c r="T198" i="1" s="1"/>
  <c r="AE198" i="1"/>
  <c r="AF198" i="1"/>
  <c r="AH222" i="1"/>
  <c r="K199" i="1"/>
  <c r="L199" i="1"/>
  <c r="M199" i="1"/>
  <c r="N199" i="1" s="1"/>
  <c r="V199" i="1"/>
  <c r="S40" i="3" s="1"/>
  <c r="Y199" i="1"/>
  <c r="Z199" i="1"/>
  <c r="AB199" i="1"/>
  <c r="AC199" i="1"/>
  <c r="AD199" i="1"/>
  <c r="AE199" i="1"/>
  <c r="R40" i="3" s="1"/>
  <c r="AF199" i="1"/>
  <c r="AH223" i="1"/>
  <c r="K200" i="1"/>
  <c r="L200" i="1"/>
  <c r="M200" i="1"/>
  <c r="V200" i="1"/>
  <c r="S49" i="3" s="1"/>
  <c r="Y200" i="1"/>
  <c r="Z200" i="1"/>
  <c r="AB200" i="1"/>
  <c r="AC200" i="1"/>
  <c r="AD200" i="1"/>
  <c r="T200" i="1" s="1"/>
  <c r="AE200" i="1"/>
  <c r="R49" i="3" s="1"/>
  <c r="AF200" i="1"/>
  <c r="AH224" i="1"/>
  <c r="K201" i="1"/>
  <c r="L201" i="1"/>
  <c r="M201" i="1"/>
  <c r="N201" i="1" s="1"/>
  <c r="V201" i="1"/>
  <c r="S46" i="3" s="1"/>
  <c r="Y201" i="1"/>
  <c r="Z201" i="1"/>
  <c r="AB201" i="1"/>
  <c r="AC201" i="1"/>
  <c r="AD201" i="1"/>
  <c r="AG201" i="1" s="1"/>
  <c r="AE201" i="1"/>
  <c r="R46" i="3" s="1"/>
  <c r="AF201" i="1"/>
  <c r="AH22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6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27" i="1"/>
  <c r="K204" i="1"/>
  <c r="L204" i="1"/>
  <c r="M204" i="1"/>
  <c r="V204" i="1"/>
  <c r="S50" i="3" s="1"/>
  <c r="Y204" i="1"/>
  <c r="Z204" i="1"/>
  <c r="AB204" i="1"/>
  <c r="AC204" i="1"/>
  <c r="AD204" i="1"/>
  <c r="T204" i="1" s="1"/>
  <c r="AE204" i="1"/>
  <c r="R50" i="3" s="1"/>
  <c r="AF204" i="1"/>
  <c r="AH228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29" i="1"/>
  <c r="K206" i="1"/>
  <c r="L206" i="1"/>
  <c r="M206" i="1"/>
  <c r="V206" i="1"/>
  <c r="Y206" i="1"/>
  <c r="AA206" i="1"/>
  <c r="AB206" i="1"/>
  <c r="AC206" i="1"/>
  <c r="AD206" i="1"/>
  <c r="T206" i="1" s="1"/>
  <c r="AE206" i="1"/>
  <c r="AF206" i="1"/>
  <c r="AH230" i="1"/>
  <c r="K207" i="1"/>
  <c r="L207" i="1"/>
  <c r="M207" i="1"/>
  <c r="N207" i="1"/>
  <c r="V207" i="1"/>
  <c r="Y207" i="1"/>
  <c r="Z207" i="1"/>
  <c r="AB207" i="1"/>
  <c r="AC207" i="1"/>
  <c r="AD207" i="1"/>
  <c r="AE207" i="1"/>
  <c r="AF207" i="1"/>
  <c r="AH231" i="1"/>
  <c r="K208" i="1"/>
  <c r="L208" i="1"/>
  <c r="M208" i="1"/>
  <c r="V208" i="1"/>
  <c r="Y208" i="1"/>
  <c r="Z208" i="1"/>
  <c r="AB208" i="1"/>
  <c r="AC208" i="1"/>
  <c r="AD208" i="1"/>
  <c r="T208" i="1" s="1"/>
  <c r="AE208" i="1"/>
  <c r="AF208" i="1"/>
  <c r="AH232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23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4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35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36" i="1"/>
  <c r="K225" i="1"/>
  <c r="L225" i="1"/>
  <c r="M225" i="1"/>
  <c r="N225" i="1" s="1"/>
  <c r="V225" i="1"/>
  <c r="S56" i="3" s="1"/>
  <c r="Y225" i="1"/>
  <c r="Z225" i="1"/>
  <c r="AB225" i="1"/>
  <c r="AC225" i="1"/>
  <c r="AD225" i="1"/>
  <c r="AG225" i="1" s="1"/>
  <c r="AE225" i="1"/>
  <c r="AF225" i="1"/>
  <c r="AH237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8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39" i="1"/>
  <c r="M55" i="3"/>
  <c r="R55" i="3"/>
  <c r="U55" i="3"/>
  <c r="T55" i="3" s="1"/>
  <c r="V55" i="3"/>
  <c r="W55" i="3"/>
  <c r="X55" i="3"/>
  <c r="AC55" i="3"/>
  <c r="M9" i="3"/>
  <c r="R9" i="3"/>
  <c r="S9" i="3"/>
  <c r="U9" i="3"/>
  <c r="T9" i="3" s="1"/>
  <c r="V9" i="3"/>
  <c r="W9" i="3"/>
  <c r="X9" i="3"/>
  <c r="AC9" i="3"/>
  <c r="M23" i="3"/>
  <c r="R23" i="3"/>
  <c r="S23" i="3"/>
  <c r="U23" i="3"/>
  <c r="T23" i="3" s="1"/>
  <c r="V23" i="3"/>
  <c r="W23" i="3"/>
  <c r="X23" i="3"/>
  <c r="AC23" i="3"/>
  <c r="M24" i="3"/>
  <c r="R24" i="3"/>
  <c r="U24" i="3"/>
  <c r="T24" i="3" s="1"/>
  <c r="V24" i="3"/>
  <c r="W24" i="3"/>
  <c r="X24" i="3"/>
  <c r="M10" i="3"/>
  <c r="U10" i="3"/>
  <c r="T10" i="3" s="1"/>
  <c r="V10" i="3"/>
  <c r="W10" i="3"/>
  <c r="X10" i="3"/>
  <c r="AC10" i="3"/>
  <c r="M21" i="3"/>
  <c r="S21" i="3"/>
  <c r="U21" i="3"/>
  <c r="T21" i="3" s="1"/>
  <c r="V21" i="3"/>
  <c r="W21" i="3"/>
  <c r="X21" i="3"/>
  <c r="AC21" i="3"/>
  <c r="M41" i="3"/>
  <c r="U41" i="3"/>
  <c r="T41" i="3" s="1"/>
  <c r="V41" i="3"/>
  <c r="W41" i="3"/>
  <c r="X41" i="3"/>
  <c r="AC41" i="3"/>
  <c r="M25" i="3"/>
  <c r="S25" i="3"/>
  <c r="U25" i="3"/>
  <c r="T25" i="3" s="1"/>
  <c r="V25" i="3"/>
  <c r="W25" i="3"/>
  <c r="X25" i="3"/>
  <c r="AC25" i="3"/>
  <c r="M48" i="3"/>
  <c r="R48" i="3"/>
  <c r="U48" i="3"/>
  <c r="T48" i="3" s="1"/>
  <c r="V48" i="3"/>
  <c r="W48" i="3"/>
  <c r="X48" i="3"/>
  <c r="AC48" i="3"/>
  <c r="M38" i="3"/>
  <c r="U38" i="3"/>
  <c r="T38" i="3" s="1"/>
  <c r="V38" i="3"/>
  <c r="W38" i="3"/>
  <c r="X38" i="3"/>
  <c r="M26" i="3"/>
  <c r="S26" i="3"/>
  <c r="U26" i="3"/>
  <c r="T26" i="3" s="1"/>
  <c r="V26" i="3"/>
  <c r="W26" i="3"/>
  <c r="X26" i="3"/>
  <c r="AC26" i="3"/>
  <c r="M22" i="3"/>
  <c r="R22" i="3"/>
  <c r="U22" i="3"/>
  <c r="T22" i="3" s="1"/>
  <c r="V22" i="3"/>
  <c r="W22" i="3"/>
  <c r="X22" i="3"/>
  <c r="AC22" i="3"/>
  <c r="M35" i="3"/>
  <c r="U35" i="3"/>
  <c r="T35" i="3" s="1"/>
  <c r="V35" i="3"/>
  <c r="W35" i="3"/>
  <c r="X35" i="3"/>
  <c r="AC35" i="3"/>
  <c r="M37" i="3"/>
  <c r="U37" i="3"/>
  <c r="T37" i="3" s="1"/>
  <c r="V37" i="3"/>
  <c r="W37" i="3"/>
  <c r="X37" i="3"/>
  <c r="AC37" i="3"/>
  <c r="M19" i="3"/>
  <c r="U19" i="3"/>
  <c r="T19" i="3" s="1"/>
  <c r="V19" i="3"/>
  <c r="W19" i="3"/>
  <c r="X19" i="3"/>
  <c r="AC19" i="3"/>
  <c r="M13" i="3"/>
  <c r="S13" i="3"/>
  <c r="U13" i="3"/>
  <c r="T13" i="3" s="1"/>
  <c r="V13" i="3"/>
  <c r="W13" i="3"/>
  <c r="X13" i="3"/>
  <c r="AC13" i="3"/>
  <c r="M17" i="3"/>
  <c r="S17" i="3"/>
  <c r="U17" i="3"/>
  <c r="T17" i="3" s="1"/>
  <c r="V17" i="3"/>
  <c r="W17" i="3"/>
  <c r="X17" i="3"/>
  <c r="M42" i="3"/>
  <c r="R42" i="3"/>
  <c r="S42" i="3"/>
  <c r="U42" i="3"/>
  <c r="T42" i="3" s="1"/>
  <c r="V42" i="3"/>
  <c r="W42" i="3"/>
  <c r="X42" i="3"/>
  <c r="AC42" i="3"/>
  <c r="M12" i="3"/>
  <c r="S12" i="3"/>
  <c r="U12" i="3"/>
  <c r="T12" i="3" s="1"/>
  <c r="V12" i="3"/>
  <c r="W12" i="3"/>
  <c r="X12" i="3"/>
  <c r="AC12" i="3"/>
  <c r="M27" i="3"/>
  <c r="U27" i="3"/>
  <c r="T27" i="3" s="1"/>
  <c r="V27" i="3"/>
  <c r="W27" i="3"/>
  <c r="X27" i="3"/>
  <c r="AC27" i="3"/>
  <c r="M45" i="3"/>
  <c r="R45" i="3"/>
  <c r="U45" i="3"/>
  <c r="T45" i="3" s="1"/>
  <c r="V45" i="3"/>
  <c r="W45" i="3"/>
  <c r="X45" i="3"/>
  <c r="AC45" i="3"/>
  <c r="M43" i="3"/>
  <c r="U43" i="3"/>
  <c r="T43" i="3" s="1"/>
  <c r="V43" i="3"/>
  <c r="W43" i="3"/>
  <c r="X43" i="3"/>
  <c r="AC43" i="3"/>
  <c r="M36" i="3"/>
  <c r="R36" i="3"/>
  <c r="U36" i="3"/>
  <c r="T36" i="3" s="1"/>
  <c r="V36" i="3"/>
  <c r="W36" i="3"/>
  <c r="X36" i="3"/>
  <c r="AC36" i="3"/>
  <c r="M47" i="3"/>
  <c r="R47" i="3"/>
  <c r="U47" i="3"/>
  <c r="T47" i="3" s="1"/>
  <c r="V47" i="3"/>
  <c r="W47" i="3"/>
  <c r="X47" i="3"/>
  <c r="AC47" i="3"/>
  <c r="M52" i="3"/>
  <c r="R52" i="3"/>
  <c r="U52" i="3"/>
  <c r="T52" i="3" s="1"/>
  <c r="V52" i="3"/>
  <c r="W52" i="3"/>
  <c r="X52" i="3"/>
  <c r="AC52" i="3"/>
  <c r="M34" i="3"/>
  <c r="U34" i="3"/>
  <c r="T34" i="3" s="1"/>
  <c r="V34" i="3"/>
  <c r="W34" i="3"/>
  <c r="X34" i="3"/>
  <c r="AC34" i="3"/>
  <c r="M57" i="3"/>
  <c r="U57" i="3"/>
  <c r="T57" i="3" s="1"/>
  <c r="V57" i="3"/>
  <c r="W57" i="3"/>
  <c r="X57" i="3"/>
  <c r="AC57" i="3"/>
  <c r="M58" i="3"/>
  <c r="U58" i="3"/>
  <c r="T58" i="3" s="1"/>
  <c r="V58" i="3"/>
  <c r="W58" i="3"/>
  <c r="X58" i="3"/>
  <c r="AC58" i="3"/>
  <c r="M59" i="3"/>
  <c r="U59" i="3"/>
  <c r="T59" i="3" s="1"/>
  <c r="V59" i="3"/>
  <c r="W59" i="3"/>
  <c r="X59" i="3"/>
  <c r="AC59" i="3"/>
  <c r="M60" i="3"/>
  <c r="U60" i="3"/>
  <c r="T60" i="3" s="1"/>
  <c r="V60" i="3"/>
  <c r="W60" i="3"/>
  <c r="X60" i="3"/>
  <c r="AC60" i="3"/>
  <c r="M31" i="3"/>
  <c r="U31" i="3"/>
  <c r="T31" i="3" s="1"/>
  <c r="V31" i="3"/>
  <c r="W31" i="3"/>
  <c r="X31" i="3"/>
  <c r="AC31" i="3"/>
  <c r="M44" i="3"/>
  <c r="U44" i="3"/>
  <c r="T44" i="3" s="1"/>
  <c r="V44" i="3"/>
  <c r="W44" i="3"/>
  <c r="X44" i="3"/>
  <c r="AC44" i="3"/>
  <c r="M11" i="3"/>
  <c r="U11" i="3"/>
  <c r="T11" i="3" s="1"/>
  <c r="V11" i="3"/>
  <c r="W11" i="3"/>
  <c r="X11" i="3"/>
  <c r="AC11" i="3"/>
  <c r="M15" i="3"/>
  <c r="U15" i="3"/>
  <c r="T15" i="3" s="1"/>
  <c r="V15" i="3"/>
  <c r="W15" i="3"/>
  <c r="X15" i="3"/>
  <c r="AC15" i="3"/>
  <c r="M16" i="3"/>
  <c r="U16" i="3"/>
  <c r="T16" i="3" s="1"/>
  <c r="V16" i="3"/>
  <c r="W16" i="3"/>
  <c r="X16" i="3"/>
  <c r="AC16" i="3"/>
  <c r="M39" i="3"/>
  <c r="R39" i="3"/>
  <c r="U39" i="3"/>
  <c r="T39" i="3" s="1"/>
  <c r="V39" i="3"/>
  <c r="W39" i="3"/>
  <c r="X39" i="3"/>
  <c r="AC39" i="3"/>
  <c r="M56" i="3"/>
  <c r="R56" i="3"/>
  <c r="U56" i="3"/>
  <c r="T56" i="3" s="1"/>
  <c r="V56" i="3"/>
  <c r="W56" i="3"/>
  <c r="X56" i="3"/>
  <c r="AC56" i="3"/>
  <c r="M18" i="3"/>
  <c r="R18" i="3"/>
  <c r="U18" i="3"/>
  <c r="T18" i="3" s="1"/>
  <c r="V18" i="3"/>
  <c r="W18" i="3"/>
  <c r="X18" i="3"/>
  <c r="AC18" i="3"/>
  <c r="M32" i="3"/>
  <c r="R32" i="3"/>
  <c r="S32" i="3"/>
  <c r="U32" i="3"/>
  <c r="T32" i="3" s="1"/>
  <c r="V32" i="3"/>
  <c r="W32" i="3"/>
  <c r="X32" i="3"/>
  <c r="AC32" i="3"/>
  <c r="M28" i="3"/>
  <c r="U28" i="3"/>
  <c r="T28" i="3" s="1"/>
  <c r="V28" i="3"/>
  <c r="W28" i="3"/>
  <c r="X28" i="3"/>
  <c r="AC28" i="3"/>
  <c r="M51" i="3"/>
  <c r="U51" i="3"/>
  <c r="T51" i="3" s="1"/>
  <c r="V51" i="3"/>
  <c r="W51" i="3"/>
  <c r="X51" i="3"/>
  <c r="AC51" i="3"/>
  <c r="AD51" i="3"/>
  <c r="M40" i="3"/>
  <c r="U40" i="3"/>
  <c r="T40" i="3" s="1"/>
  <c r="V40" i="3"/>
  <c r="W40" i="3"/>
  <c r="X40" i="3"/>
  <c r="AC40" i="3"/>
  <c r="M49" i="3"/>
  <c r="U49" i="3"/>
  <c r="T49" i="3" s="1"/>
  <c r="V49" i="3"/>
  <c r="W49" i="3"/>
  <c r="X49" i="3"/>
  <c r="M54" i="3"/>
  <c r="U54" i="3"/>
  <c r="T54" i="3" s="1"/>
  <c r="V54" i="3"/>
  <c r="W54" i="3"/>
  <c r="X54" i="3"/>
  <c r="M53" i="3"/>
  <c r="R53" i="3"/>
  <c r="U53" i="3"/>
  <c r="T53" i="3" s="1"/>
  <c r="V53" i="3"/>
  <c r="W53" i="3"/>
  <c r="X53" i="3"/>
  <c r="AC53" i="3"/>
  <c r="AD53" i="3"/>
  <c r="M33" i="3"/>
  <c r="U33" i="3"/>
  <c r="T33" i="3" s="1"/>
  <c r="V33" i="3"/>
  <c r="W33" i="3"/>
  <c r="X33" i="3"/>
  <c r="AC33" i="3"/>
  <c r="M46" i="3"/>
  <c r="U46" i="3"/>
  <c r="T46" i="3" s="1"/>
  <c r="V46" i="3"/>
  <c r="W46" i="3"/>
  <c r="X46" i="3"/>
  <c r="AC46" i="3"/>
  <c r="M50" i="3"/>
  <c r="U50" i="3"/>
  <c r="T50" i="3" s="1"/>
  <c r="V50" i="3"/>
  <c r="W50" i="3"/>
  <c r="X50" i="3"/>
  <c r="AC50" i="3"/>
  <c r="M8" i="3"/>
  <c r="R8" i="3"/>
  <c r="U8" i="3"/>
  <c r="T8" i="3" s="1"/>
  <c r="V8" i="3"/>
  <c r="W8" i="3"/>
  <c r="X8" i="3"/>
  <c r="AC8" i="3"/>
  <c r="AD8" i="3"/>
  <c r="M7" i="3"/>
  <c r="R7" i="3"/>
  <c r="U7" i="3"/>
  <c r="T7" i="3" s="1"/>
  <c r="V7" i="3"/>
  <c r="W7" i="3"/>
  <c r="X7" i="3"/>
  <c r="AC7" i="3"/>
  <c r="M20" i="3"/>
  <c r="U20" i="3"/>
  <c r="T20" i="3" s="1"/>
  <c r="V20" i="3"/>
  <c r="W20" i="3"/>
  <c r="X20" i="3"/>
  <c r="AC20" i="3"/>
  <c r="M14" i="3"/>
  <c r="R14" i="3"/>
  <c r="U14" i="3"/>
  <c r="T14" i="3" s="1"/>
  <c r="V14" i="3"/>
  <c r="W14" i="3"/>
  <c r="X14" i="3"/>
  <c r="M29" i="3"/>
  <c r="R29" i="3"/>
  <c r="U29" i="3"/>
  <c r="T29" i="3" s="1"/>
  <c r="V29" i="3"/>
  <c r="W29" i="3"/>
  <c r="X29" i="3"/>
  <c r="AC29" i="3"/>
  <c r="M28" i="5"/>
  <c r="M30" i="3"/>
  <c r="U30" i="3"/>
  <c r="T30" i="3" s="1"/>
  <c r="V30" i="3"/>
  <c r="W30" i="3"/>
  <c r="X30" i="3"/>
  <c r="AD29" i="3" l="1"/>
  <c r="Y14" i="3"/>
  <c r="Y39" i="3"/>
  <c r="AG137" i="1"/>
  <c r="X137" i="1"/>
  <c r="Y7" i="3"/>
  <c r="S8" i="3"/>
  <c r="AC49" i="3"/>
  <c r="AC24" i="3"/>
  <c r="AC54" i="3"/>
  <c r="AC38" i="3"/>
  <c r="AD57" i="3"/>
  <c r="AC17" i="3"/>
  <c r="AD56" i="3"/>
  <c r="Y9" i="3"/>
  <c r="Y55" i="3"/>
  <c r="W234" i="1"/>
  <c r="W136" i="1"/>
  <c r="P103" i="1"/>
  <c r="T68" i="1"/>
  <c r="W58" i="1"/>
  <c r="X115" i="1"/>
  <c r="Y40" i="3"/>
  <c r="S16" i="3"/>
  <c r="Y15" i="3"/>
  <c r="AD11" i="3"/>
  <c r="AD17" i="3"/>
  <c r="R21" i="3"/>
  <c r="X181" i="1"/>
  <c r="AI166" i="1"/>
  <c r="AI165" i="1"/>
  <c r="AA165" i="1"/>
  <c r="AI157" i="1"/>
  <c r="AA143" i="1"/>
  <c r="X129" i="1"/>
  <c r="AA128" i="1"/>
  <c r="AA126" i="1"/>
  <c r="AA121" i="1"/>
  <c r="W121" i="1" s="1"/>
  <c r="AI117" i="1"/>
  <c r="AA116" i="1"/>
  <c r="AA115" i="1"/>
  <c r="AI114" i="1"/>
  <c r="AG75" i="1"/>
  <c r="U75" i="1" s="1"/>
  <c r="S75" i="1" s="1"/>
  <c r="AG60" i="1"/>
  <c r="AI60" i="1" s="1"/>
  <c r="AA50" i="1"/>
  <c r="W50" i="1" s="1"/>
  <c r="AA49" i="1"/>
  <c r="W49" i="1" s="1"/>
  <c r="X44" i="1"/>
  <c r="X114" i="1"/>
  <c r="X117" i="1"/>
  <c r="R12" i="3"/>
  <c r="AA185" i="1"/>
  <c r="AA183" i="1"/>
  <c r="AA182" i="1"/>
  <c r="AA181" i="1"/>
  <c r="W181" i="1" s="1"/>
  <c r="AI172" i="1"/>
  <c r="AA172" i="1"/>
  <c r="AA171" i="1"/>
  <c r="AA170" i="1"/>
  <c r="AA238" i="1"/>
  <c r="AI150" i="1"/>
  <c r="AI141" i="1"/>
  <c r="AG128" i="1"/>
  <c r="AI128" i="1" s="1"/>
  <c r="AG83" i="1"/>
  <c r="U83" i="1" s="1"/>
  <c r="S83" i="1" s="1"/>
  <c r="AA65" i="1"/>
  <c r="W65" i="1" s="1"/>
  <c r="AA60" i="1"/>
  <c r="W60" i="1" s="1"/>
  <c r="S36" i="3"/>
  <c r="AG124" i="1"/>
  <c r="AA120" i="1"/>
  <c r="AA89" i="1"/>
  <c r="W89" i="1" s="1"/>
  <c r="AI65" i="1"/>
  <c r="AG59" i="1"/>
  <c r="X59" i="1"/>
  <c r="AG49" i="1"/>
  <c r="AI49" i="1" s="1"/>
  <c r="W165" i="1"/>
  <c r="AD31" i="3"/>
  <c r="AD59" i="3"/>
  <c r="S47" i="3"/>
  <c r="S43" i="3"/>
  <c r="AD19" i="3"/>
  <c r="AA192" i="1"/>
  <c r="AA135" i="1"/>
  <c r="AI121" i="1"/>
  <c r="Y54" i="3"/>
  <c r="AD16" i="3"/>
  <c r="Y27" i="3"/>
  <c r="Y42" i="3"/>
  <c r="Y38" i="3"/>
  <c r="X170" i="1"/>
  <c r="AA212" i="1"/>
  <c r="W212" i="1" s="1"/>
  <c r="X144" i="1"/>
  <c r="AA140" i="1"/>
  <c r="AI106" i="1"/>
  <c r="AA102" i="1"/>
  <c r="W102" i="1" s="1"/>
  <c r="AA92" i="1"/>
  <c r="AA91" i="1"/>
  <c r="AA90" i="1"/>
  <c r="W90" i="1" s="1"/>
  <c r="AA79" i="1"/>
  <c r="AG73" i="1"/>
  <c r="X65" i="1"/>
  <c r="AA64" i="1"/>
  <c r="W64" i="1" s="1"/>
  <c r="T41" i="1"/>
  <c r="U41" i="1" s="1"/>
  <c r="S41" i="1" s="1"/>
  <c r="X38" i="1"/>
  <c r="AA37" i="1"/>
  <c r="X36" i="1"/>
  <c r="AA35" i="1"/>
  <c r="W35" i="1" s="1"/>
  <c r="AA31" i="1"/>
  <c r="T26" i="1"/>
  <c r="U25" i="1"/>
  <c r="S25" i="1" s="1"/>
  <c r="AA24" i="1"/>
  <c r="AD23" i="3"/>
  <c r="AA220" i="1"/>
  <c r="AA150" i="1"/>
  <c r="W150" i="1" s="1"/>
  <c r="AI145" i="1"/>
  <c r="AA107" i="1"/>
  <c r="AC14" i="3"/>
  <c r="AD20" i="3"/>
  <c r="R58" i="3"/>
  <c r="Y22" i="3"/>
  <c r="AG180" i="1"/>
  <c r="AI180" i="1" s="1"/>
  <c r="T172" i="1"/>
  <c r="R60" i="3"/>
  <c r="R59" i="3"/>
  <c r="Y58" i="3"/>
  <c r="Y34" i="3"/>
  <c r="Y24" i="3"/>
  <c r="AG208" i="1"/>
  <c r="AA204" i="1"/>
  <c r="AA196" i="1"/>
  <c r="W196" i="1" s="1"/>
  <c r="AG188" i="1"/>
  <c r="AI188" i="1" s="1"/>
  <c r="AA184" i="1"/>
  <c r="AA173" i="1"/>
  <c r="AA158" i="1"/>
  <c r="AA153" i="1"/>
  <c r="AG148" i="1"/>
  <c r="AA147" i="1"/>
  <c r="AA146" i="1"/>
  <c r="AI122" i="1"/>
  <c r="X109" i="1"/>
  <c r="N69" i="1"/>
  <c r="X60" i="1"/>
  <c r="AA53" i="1"/>
  <c r="AA43" i="1"/>
  <c r="AA27" i="1"/>
  <c r="AA26" i="1"/>
  <c r="W26" i="1" s="1"/>
  <c r="AA15" i="1"/>
  <c r="AA14" i="1"/>
  <c r="AA114" i="1"/>
  <c r="R16" i="3"/>
  <c r="AA95" i="1"/>
  <c r="W95" i="1" s="1"/>
  <c r="AA93" i="1"/>
  <c r="W93" i="1" s="1"/>
  <c r="AG95" i="1"/>
  <c r="AI95" i="1" s="1"/>
  <c r="T93" i="1"/>
  <c r="U93" i="1" s="1"/>
  <c r="X69" i="1"/>
  <c r="AI69" i="1"/>
  <c r="AA227" i="1"/>
  <c r="AA226" i="1"/>
  <c r="AA225" i="1"/>
  <c r="W225" i="1" s="1"/>
  <c r="T224" i="1"/>
  <c r="U224" i="1" s="1"/>
  <c r="S224" i="1" s="1"/>
  <c r="X209" i="1"/>
  <c r="AA205" i="1"/>
  <c r="AA203" i="1"/>
  <c r="AA202" i="1"/>
  <c r="AA201" i="1"/>
  <c r="AG200" i="1"/>
  <c r="AA193" i="1"/>
  <c r="W193" i="1" s="1"/>
  <c r="AA191" i="1"/>
  <c r="AA190" i="1"/>
  <c r="AA189" i="1"/>
  <c r="AA186" i="1"/>
  <c r="AI181" i="1"/>
  <c r="AA167" i="1"/>
  <c r="AG237" i="1"/>
  <c r="AI237" i="1" s="1"/>
  <c r="AA235" i="1"/>
  <c r="W235" i="1" s="1"/>
  <c r="AA217" i="1"/>
  <c r="AA216" i="1"/>
  <c r="AI161" i="1"/>
  <c r="AG160" i="1"/>
  <c r="AI160" i="1" s="1"/>
  <c r="AG152" i="1"/>
  <c r="AA149" i="1"/>
  <c r="W149" i="1" s="1"/>
  <c r="T149" i="1"/>
  <c r="AG131" i="1"/>
  <c r="AI131" i="1" s="1"/>
  <c r="AA125" i="1"/>
  <c r="AA122" i="1"/>
  <c r="W122" i="1" s="1"/>
  <c r="AA117" i="1"/>
  <c r="W117" i="1" s="1"/>
  <c r="AG109" i="1"/>
  <c r="U109" i="1" s="1"/>
  <c r="S109" i="1" s="1"/>
  <c r="AI102" i="1"/>
  <c r="AG101" i="1"/>
  <c r="AI101" i="1" s="1"/>
  <c r="AA99" i="1"/>
  <c r="T94" i="1"/>
  <c r="U94" i="1" s="1"/>
  <c r="U68" i="1"/>
  <c r="X68" i="1"/>
  <c r="AI58" i="1"/>
  <c r="T42" i="1"/>
  <c r="T184" i="1"/>
  <c r="U184" i="1" s="1"/>
  <c r="S184" i="1" s="1"/>
  <c r="AI176" i="1"/>
  <c r="AA132" i="1"/>
  <c r="AA113" i="1"/>
  <c r="W113" i="1" s="1"/>
  <c r="AA110" i="1"/>
  <c r="X105" i="1"/>
  <c r="X102" i="1"/>
  <c r="AA98" i="1"/>
  <c r="W98" i="1" s="1"/>
  <c r="AA97" i="1"/>
  <c r="AA94" i="1"/>
  <c r="W94" i="1" s="1"/>
  <c r="AG89" i="1"/>
  <c r="AA87" i="1"/>
  <c r="AA85" i="1"/>
  <c r="W85" i="1" s="1"/>
  <c r="AA84" i="1"/>
  <c r="W84" i="1" s="1"/>
  <c r="T84" i="1"/>
  <c r="AG81" i="1"/>
  <c r="AI81" i="1" s="1"/>
  <c r="AA78" i="1"/>
  <c r="AA77" i="1"/>
  <c r="AA76" i="1"/>
  <c r="T76" i="1"/>
  <c r="AA67" i="1"/>
  <c r="W67" i="1" s="1"/>
  <c r="AA56" i="1"/>
  <c r="AA42" i="1"/>
  <c r="W42" i="1" s="1"/>
  <c r="AA40" i="1"/>
  <c r="W40" i="1" s="1"/>
  <c r="AA29" i="1"/>
  <c r="W29" i="1" s="1"/>
  <c r="AA28" i="1"/>
  <c r="AA21" i="1"/>
  <c r="AA19" i="1"/>
  <c r="AA223" i="1"/>
  <c r="W223" i="1" s="1"/>
  <c r="AA222" i="1"/>
  <c r="AA209" i="1"/>
  <c r="W209" i="1" s="1"/>
  <c r="X201" i="1"/>
  <c r="AA179" i="1"/>
  <c r="AA178" i="1"/>
  <c r="AA177" i="1"/>
  <c r="AA174" i="1"/>
  <c r="AA164" i="1"/>
  <c r="W164" i="1" s="1"/>
  <c r="AA233" i="1"/>
  <c r="AA230" i="1"/>
  <c r="W230" i="1" s="1"/>
  <c r="AA219" i="1"/>
  <c r="AA211" i="1"/>
  <c r="AA157" i="1"/>
  <c r="W157" i="1" s="1"/>
  <c r="AA156" i="1"/>
  <c r="X149" i="1"/>
  <c r="AA139" i="1"/>
  <c r="W139" i="1" s="1"/>
  <c r="AA138" i="1"/>
  <c r="AA119" i="1"/>
  <c r="AA118" i="1"/>
  <c r="W114" i="1"/>
  <c r="W107" i="1"/>
  <c r="W220" i="1"/>
  <c r="AA101" i="1"/>
  <c r="W101" i="1" s="1"/>
  <c r="AG85" i="1"/>
  <c r="X84" i="1"/>
  <c r="W81" i="1"/>
  <c r="X76" i="1"/>
  <c r="AA73" i="1"/>
  <c r="W73" i="1" s="1"/>
  <c r="AA70" i="1"/>
  <c r="AG67" i="1"/>
  <c r="X67" i="1"/>
  <c r="AA66" i="1"/>
  <c r="AA61" i="1"/>
  <c r="AA57" i="1"/>
  <c r="W57" i="1" s="1"/>
  <c r="X52" i="1"/>
  <c r="AG45" i="1"/>
  <c r="AI45" i="1" s="1"/>
  <c r="AG40" i="1"/>
  <c r="AI38" i="1"/>
  <c r="AG37" i="1"/>
  <c r="AI37" i="1" s="1"/>
  <c r="AA34" i="1"/>
  <c r="W34" i="1" s="1"/>
  <c r="T33" i="1"/>
  <c r="T29" i="1"/>
  <c r="AA23" i="1"/>
  <c r="AA17" i="1"/>
  <c r="W156" i="1"/>
  <c r="AI156" i="1"/>
  <c r="T225" i="1"/>
  <c r="U225" i="1" s="1"/>
  <c r="S225" i="1" s="1"/>
  <c r="U208" i="1"/>
  <c r="T201" i="1"/>
  <c r="T177" i="1"/>
  <c r="U177" i="1" s="1"/>
  <c r="S177" i="1" s="1"/>
  <c r="T229" i="1"/>
  <c r="T156" i="1"/>
  <c r="U156" i="1" s="1"/>
  <c r="S156" i="1" s="1"/>
  <c r="T189" i="1"/>
  <c r="AA224" i="1"/>
  <c r="W224" i="1" s="1"/>
  <c r="X205" i="1"/>
  <c r="AG204" i="1"/>
  <c r="W204" i="1" s="1"/>
  <c r="AA200" i="1"/>
  <c r="AA199" i="1"/>
  <c r="T197" i="1"/>
  <c r="U197" i="1" s="1"/>
  <c r="S197" i="1" s="1"/>
  <c r="T196" i="1"/>
  <c r="U196" i="1" s="1"/>
  <c r="S196" i="1" s="1"/>
  <c r="X193" i="1"/>
  <c r="AG192" i="1"/>
  <c r="U192" i="1" s="1"/>
  <c r="S192" i="1" s="1"/>
  <c r="AA188" i="1"/>
  <c r="W188" i="1" s="1"/>
  <c r="AA187" i="1"/>
  <c r="T185" i="1"/>
  <c r="U180" i="1"/>
  <c r="AA176" i="1"/>
  <c r="W176" i="1" s="1"/>
  <c r="AA175" i="1"/>
  <c r="T173" i="1"/>
  <c r="T164" i="1"/>
  <c r="U164" i="1" s="1"/>
  <c r="S164" i="1" s="1"/>
  <c r="AA237" i="1"/>
  <c r="W237" i="1" s="1"/>
  <c r="AG236" i="1"/>
  <c r="X236" i="1"/>
  <c r="T234" i="1"/>
  <c r="X230" i="1"/>
  <c r="AG229" i="1"/>
  <c r="AA221" i="1"/>
  <c r="AG219" i="1"/>
  <c r="U219" i="1" s="1"/>
  <c r="S219" i="1" s="1"/>
  <c r="AA214" i="1"/>
  <c r="W214" i="1" s="1"/>
  <c r="X212" i="1"/>
  <c r="AG211" i="1"/>
  <c r="X211" i="1"/>
  <c r="AA210" i="1"/>
  <c r="W210" i="1" s="1"/>
  <c r="AA162" i="1"/>
  <c r="AA152" i="1"/>
  <c r="W152" i="1" s="1"/>
  <c r="AG151" i="1"/>
  <c r="X151" i="1"/>
  <c r="AI149" i="1"/>
  <c r="U144" i="1"/>
  <c r="S144" i="1" s="1"/>
  <c r="AI144" i="1"/>
  <c r="X132" i="1"/>
  <c r="W77" i="1"/>
  <c r="AI33" i="1"/>
  <c r="U33" i="1"/>
  <c r="S33" i="1" s="1"/>
  <c r="T209" i="1"/>
  <c r="X189" i="1"/>
  <c r="W184" i="1"/>
  <c r="T181" i="1"/>
  <c r="U181" i="1" s="1"/>
  <c r="S181" i="1" s="1"/>
  <c r="X177" i="1"/>
  <c r="W172" i="1"/>
  <c r="T170" i="1"/>
  <c r="U170" i="1" s="1"/>
  <c r="S170" i="1" s="1"/>
  <c r="U237" i="1"/>
  <c r="S237" i="1" s="1"/>
  <c r="X237" i="1"/>
  <c r="T233" i="1"/>
  <c r="X210" i="1"/>
  <c r="X161" i="1"/>
  <c r="U152" i="1"/>
  <c r="X152" i="1"/>
  <c r="AI113" i="1"/>
  <c r="AI77" i="1"/>
  <c r="X225" i="1"/>
  <c r="AA208" i="1"/>
  <c r="AA207" i="1"/>
  <c r="T205" i="1"/>
  <c r="X197" i="1"/>
  <c r="AA195" i="1"/>
  <c r="W195" i="1" s="1"/>
  <c r="T193" i="1"/>
  <c r="U193" i="1" s="1"/>
  <c r="S193" i="1" s="1"/>
  <c r="X185" i="1"/>
  <c r="AA180" i="1"/>
  <c r="W180" i="1" s="1"/>
  <c r="AA169" i="1"/>
  <c r="W169" i="1" s="1"/>
  <c r="AA168" i="1"/>
  <c r="AA166" i="1"/>
  <c r="W166" i="1" s="1"/>
  <c r="AA236" i="1"/>
  <c r="W236" i="1" s="1"/>
  <c r="X234" i="1"/>
  <c r="AG233" i="1"/>
  <c r="W233" i="1" s="1"/>
  <c r="AA215" i="1"/>
  <c r="W215" i="1" s="1"/>
  <c r="AG214" i="1"/>
  <c r="U214" i="1" s="1"/>
  <c r="S214" i="1" s="1"/>
  <c r="X214" i="1"/>
  <c r="T212" i="1"/>
  <c r="X160" i="1"/>
  <c r="AA159" i="1"/>
  <c r="AA151" i="1"/>
  <c r="W151" i="1" s="1"/>
  <c r="AG140" i="1"/>
  <c r="U140" i="1" s="1"/>
  <c r="S140" i="1" s="1"/>
  <c r="T140" i="1"/>
  <c r="AG135" i="1"/>
  <c r="AI135" i="1" s="1"/>
  <c r="X136" i="1"/>
  <c r="T135" i="1"/>
  <c r="W132" i="1"/>
  <c r="T132" i="1"/>
  <c r="U132" i="1" s="1"/>
  <c r="S132" i="1" s="1"/>
  <c r="AA148" i="1"/>
  <c r="T141" i="1"/>
  <c r="T136" i="1"/>
  <c r="AA131" i="1"/>
  <c r="W131" i="1" s="1"/>
  <c r="AA130" i="1"/>
  <c r="AA123" i="1"/>
  <c r="W123" i="1" s="1"/>
  <c r="X121" i="1"/>
  <c r="AG120" i="1"/>
  <c r="U120" i="1" s="1"/>
  <c r="S120" i="1" s="1"/>
  <c r="X120" i="1"/>
  <c r="AA108" i="1"/>
  <c r="X106" i="1"/>
  <c r="AG105" i="1"/>
  <c r="AI105" i="1" s="1"/>
  <c r="AA104" i="1"/>
  <c r="AA103" i="1"/>
  <c r="AG97" i="1"/>
  <c r="AG91" i="1"/>
  <c r="W91" i="1" s="1"/>
  <c r="X88" i="1"/>
  <c r="AG87" i="1"/>
  <c r="U87" i="1" s="1"/>
  <c r="U85" i="1"/>
  <c r="S85" i="1" s="1"/>
  <c r="AA80" i="1"/>
  <c r="W80" i="1" s="1"/>
  <c r="T80" i="1"/>
  <c r="AA75" i="1"/>
  <c r="W75" i="1" s="1"/>
  <c r="AA74" i="1"/>
  <c r="X72" i="1"/>
  <c r="U60" i="1"/>
  <c r="S60" i="1" s="1"/>
  <c r="T57" i="1"/>
  <c r="U49" i="1"/>
  <c r="S49" i="1" s="1"/>
  <c r="AA39" i="1"/>
  <c r="AA22" i="1"/>
  <c r="W22" i="1" s="1"/>
  <c r="T22" i="1"/>
  <c r="T21" i="1"/>
  <c r="U21" i="1" s="1"/>
  <c r="S21" i="1" s="1"/>
  <c r="AA18" i="1"/>
  <c r="T18" i="1"/>
  <c r="T116" i="1"/>
  <c r="T113" i="1"/>
  <c r="U113" i="1" s="1"/>
  <c r="S113" i="1" s="1"/>
  <c r="W99" i="1"/>
  <c r="U89" i="1"/>
  <c r="T77" i="1"/>
  <c r="U77" i="1" s="1"/>
  <c r="S77" i="1" s="1"/>
  <c r="U73" i="1"/>
  <c r="S73" i="1" s="1"/>
  <c r="U64" i="1"/>
  <c r="S64" i="1" s="1"/>
  <c r="AA47" i="1"/>
  <c r="W47" i="1" s="1"/>
  <c r="AA46" i="1"/>
  <c r="AA45" i="1"/>
  <c r="W45" i="1" s="1"/>
  <c r="X37" i="1"/>
  <c r="AA36" i="1"/>
  <c r="AA30" i="1"/>
  <c r="W30" i="1" s="1"/>
  <c r="T30" i="1"/>
  <c r="U30" i="1" s="1"/>
  <c r="S30" i="1" s="1"/>
  <c r="AA25" i="1"/>
  <c r="W25" i="1" s="1"/>
  <c r="AA16" i="1"/>
  <c r="X145" i="1"/>
  <c r="AA142" i="1"/>
  <c r="X141" i="1"/>
  <c r="AA134" i="1"/>
  <c r="AA124" i="1"/>
  <c r="W124" i="1" s="1"/>
  <c r="AG123" i="1"/>
  <c r="AI123" i="1" s="1"/>
  <c r="X123" i="1"/>
  <c r="T121" i="1"/>
  <c r="AG116" i="1"/>
  <c r="AI116" i="1" s="1"/>
  <c r="AA109" i="1"/>
  <c r="AG108" i="1"/>
  <c r="W108" i="1" s="1"/>
  <c r="X108" i="1"/>
  <c r="T106" i="1"/>
  <c r="U106" i="1" s="1"/>
  <c r="S106" i="1" s="1"/>
  <c r="X101" i="1"/>
  <c r="AA100" i="1"/>
  <c r="U95" i="1"/>
  <c r="AA88" i="1"/>
  <c r="W88" i="1" s="1"/>
  <c r="T88" i="1"/>
  <c r="U88" i="1" s="1"/>
  <c r="S88" i="1" s="1"/>
  <c r="AI85" i="1"/>
  <c r="AA83" i="1"/>
  <c r="W83" i="1" s="1"/>
  <c r="AA82" i="1"/>
  <c r="X80" i="1"/>
  <c r="AG79" i="1"/>
  <c r="U79" i="1" s="1"/>
  <c r="S79" i="1" s="1"/>
  <c r="AA72" i="1"/>
  <c r="T72" i="1"/>
  <c r="U72" i="1" s="1"/>
  <c r="S72" i="1" s="1"/>
  <c r="AG66" i="1"/>
  <c r="T65" i="1"/>
  <c r="U65" i="1" s="1"/>
  <c r="S65" i="1" s="1"/>
  <c r="AA62" i="1"/>
  <c r="AA59" i="1"/>
  <c r="W59" i="1" s="1"/>
  <c r="AG56" i="1"/>
  <c r="W56" i="1" s="1"/>
  <c r="AA52" i="1"/>
  <c r="U45" i="1"/>
  <c r="S45" i="1" s="1"/>
  <c r="T38" i="1"/>
  <c r="AA33" i="1"/>
  <c r="W33" i="1" s="1"/>
  <c r="X26" i="1"/>
  <c r="X22" i="1"/>
  <c r="AA20" i="1"/>
  <c r="X18" i="1"/>
  <c r="AG17" i="1"/>
  <c r="W17" i="1" s="1"/>
  <c r="U124" i="1"/>
  <c r="S124" i="1" s="1"/>
  <c r="X124" i="1"/>
  <c r="AA105" i="1"/>
  <c r="AI89" i="1"/>
  <c r="W87" i="1"/>
  <c r="AI73" i="1"/>
  <c r="AA69" i="1"/>
  <c r="W69" i="1" s="1"/>
  <c r="AA68" i="1"/>
  <c r="W68" i="1" s="1"/>
  <c r="AI64" i="1"/>
  <c r="AG52" i="1"/>
  <c r="AI52" i="1" s="1"/>
  <c r="X45" i="1"/>
  <c r="AI42" i="1"/>
  <c r="AG41" i="1"/>
  <c r="AA32" i="1"/>
  <c r="X30" i="1"/>
  <c r="W14" i="1"/>
  <c r="T14" i="1"/>
  <c r="T195" i="1"/>
  <c r="X195" i="1"/>
  <c r="X196" i="1"/>
  <c r="AG195" i="1"/>
  <c r="AI209" i="1"/>
  <c r="U185" i="1"/>
  <c r="S185" i="1" s="1"/>
  <c r="AG179" i="1"/>
  <c r="AI179" i="1" s="1"/>
  <c r="X180" i="1"/>
  <c r="T179" i="1"/>
  <c r="X179" i="1"/>
  <c r="AI200" i="1"/>
  <c r="AI193" i="1"/>
  <c r="X163" i="1"/>
  <c r="AG163" i="1"/>
  <c r="X164" i="1"/>
  <c r="U236" i="1"/>
  <c r="S236" i="1" s="1"/>
  <c r="T231" i="1"/>
  <c r="X231" i="1"/>
  <c r="AG231" i="1"/>
  <c r="W231" i="1" s="1"/>
  <c r="AI173" i="1"/>
  <c r="AG153" i="1"/>
  <c r="T153" i="1"/>
  <c r="X153" i="1"/>
  <c r="AI148" i="1"/>
  <c r="AI139" i="1"/>
  <c r="U123" i="1"/>
  <c r="S123" i="1" s="1"/>
  <c r="T118" i="1"/>
  <c r="AG118" i="1"/>
  <c r="AI93" i="1"/>
  <c r="AG92" i="1"/>
  <c r="W92" i="1" s="1"/>
  <c r="X93" i="1"/>
  <c r="X92" i="1"/>
  <c r="T92" i="1"/>
  <c r="T207" i="1"/>
  <c r="X207" i="1"/>
  <c r="AG207" i="1"/>
  <c r="X208" i="1"/>
  <c r="AI221" i="1"/>
  <c r="AG191" i="1"/>
  <c r="X192" i="1"/>
  <c r="T191" i="1"/>
  <c r="X191" i="1"/>
  <c r="AI212" i="1"/>
  <c r="AI205" i="1"/>
  <c r="W177" i="1"/>
  <c r="U176" i="1"/>
  <c r="S176" i="1" s="1"/>
  <c r="AG175" i="1"/>
  <c r="AI175" i="1" s="1"/>
  <c r="X176" i="1"/>
  <c r="T175" i="1"/>
  <c r="AI196" i="1"/>
  <c r="AI189" i="1"/>
  <c r="S58" i="3"/>
  <c r="S59" i="3"/>
  <c r="S60" i="3"/>
  <c r="AG216" i="1"/>
  <c r="W216" i="1" s="1"/>
  <c r="T216" i="1"/>
  <c r="X216" i="1"/>
  <c r="AI164" i="1"/>
  <c r="W142" i="1"/>
  <c r="AI140" i="1"/>
  <c r="T223" i="1"/>
  <c r="X223" i="1"/>
  <c r="AG223" i="1"/>
  <c r="X224" i="1"/>
  <c r="S208" i="1"/>
  <c r="U201" i="1"/>
  <c r="S201" i="1" s="1"/>
  <c r="AI225" i="1"/>
  <c r="U209" i="1"/>
  <c r="S209" i="1" s="1"/>
  <c r="AI233" i="1"/>
  <c r="W205" i="1"/>
  <c r="U204" i="1"/>
  <c r="S204" i="1" s="1"/>
  <c r="T203" i="1"/>
  <c r="X203" i="1"/>
  <c r="AG203" i="1"/>
  <c r="X204" i="1"/>
  <c r="AI224" i="1"/>
  <c r="W189" i="1"/>
  <c r="AG187" i="1"/>
  <c r="AI187" i="1" s="1"/>
  <c r="X188" i="1"/>
  <c r="T187" i="1"/>
  <c r="X187" i="1"/>
  <c r="AI208" i="1"/>
  <c r="AI201" i="1"/>
  <c r="W173" i="1"/>
  <c r="U172" i="1"/>
  <c r="S172" i="1" s="1"/>
  <c r="T163" i="1"/>
  <c r="AG238" i="1"/>
  <c r="T238" i="1"/>
  <c r="X238" i="1"/>
  <c r="W158" i="1"/>
  <c r="X155" i="1"/>
  <c r="AG155" i="1"/>
  <c r="X156" i="1"/>
  <c r="AI151" i="1"/>
  <c r="U151" i="1"/>
  <c r="S151" i="1" s="1"/>
  <c r="U148" i="1"/>
  <c r="S148" i="1" s="1"/>
  <c r="T146" i="1"/>
  <c r="X146" i="1"/>
  <c r="AG146" i="1"/>
  <c r="W146" i="1" s="1"/>
  <c r="AI142" i="1"/>
  <c r="X127" i="1"/>
  <c r="AG127" i="1"/>
  <c r="X128" i="1"/>
  <c r="T127" i="1"/>
  <c r="T227" i="1"/>
  <c r="X227" i="1"/>
  <c r="AG227" i="1"/>
  <c r="AI236" i="1"/>
  <c r="W208" i="1"/>
  <c r="U205" i="1"/>
  <c r="S205" i="1" s="1"/>
  <c r="AI229" i="1"/>
  <c r="W201" i="1"/>
  <c r="U200" i="1"/>
  <c r="S200" i="1" s="1"/>
  <c r="AG199" i="1"/>
  <c r="W199" i="1" s="1"/>
  <c r="X200" i="1"/>
  <c r="T199" i="1"/>
  <c r="X199" i="1"/>
  <c r="AI220" i="1"/>
  <c r="AI213" i="1"/>
  <c r="U189" i="1"/>
  <c r="S189" i="1" s="1"/>
  <c r="W185" i="1"/>
  <c r="AG183" i="1"/>
  <c r="AI183" i="1" s="1"/>
  <c r="X184" i="1"/>
  <c r="T183" i="1"/>
  <c r="X183" i="1"/>
  <c r="AI204" i="1"/>
  <c r="S180" i="1"/>
  <c r="AI197" i="1"/>
  <c r="U173" i="1"/>
  <c r="S173" i="1" s="1"/>
  <c r="W170" i="1"/>
  <c r="U169" i="1"/>
  <c r="S169" i="1" s="1"/>
  <c r="AG168" i="1"/>
  <c r="AI168" i="1" s="1"/>
  <c r="X169" i="1"/>
  <c r="T168" i="1"/>
  <c r="X168" i="1"/>
  <c r="W221" i="1"/>
  <c r="X218" i="1"/>
  <c r="AG218" i="1"/>
  <c r="X219" i="1"/>
  <c r="U211" i="1"/>
  <c r="S211" i="1" s="1"/>
  <c r="T162" i="1"/>
  <c r="X162" i="1"/>
  <c r="AG162" i="1"/>
  <c r="AI158" i="1"/>
  <c r="W153" i="1"/>
  <c r="W148" i="1"/>
  <c r="U141" i="1"/>
  <c r="S141" i="1" s="1"/>
  <c r="U105" i="1"/>
  <c r="S105" i="1" s="1"/>
  <c r="X64" i="1"/>
  <c r="X63" i="1"/>
  <c r="AG63" i="1"/>
  <c r="T63" i="1"/>
  <c r="AG226" i="1"/>
  <c r="AG202" i="1"/>
  <c r="AG198" i="1"/>
  <c r="AG186" i="1"/>
  <c r="AG182" i="1"/>
  <c r="AG178" i="1"/>
  <c r="AG174" i="1"/>
  <c r="AG171" i="1"/>
  <c r="AG167" i="1"/>
  <c r="W167" i="1" s="1"/>
  <c r="X167" i="1"/>
  <c r="T165" i="1"/>
  <c r="U165" i="1" s="1"/>
  <c r="S165" i="1" s="1"/>
  <c r="T239" i="1"/>
  <c r="X239" i="1"/>
  <c r="T232" i="1"/>
  <c r="AG228" i="1"/>
  <c r="AI228" i="1" s="1"/>
  <c r="X228" i="1"/>
  <c r="T220" i="1"/>
  <c r="U220" i="1" s="1"/>
  <c r="S220" i="1" s="1"/>
  <c r="T217" i="1"/>
  <c r="X217" i="1"/>
  <c r="T210" i="1"/>
  <c r="AG159" i="1"/>
  <c r="X159" i="1"/>
  <c r="T157" i="1"/>
  <c r="U157" i="1" s="1"/>
  <c r="S157" i="1" s="1"/>
  <c r="T154" i="1"/>
  <c r="X154" i="1"/>
  <c r="T147" i="1"/>
  <c r="AG143" i="1"/>
  <c r="X143" i="1"/>
  <c r="T138" i="1"/>
  <c r="AG138" i="1"/>
  <c r="T134" i="1"/>
  <c r="X134" i="1"/>
  <c r="AG125" i="1"/>
  <c r="T125" i="1"/>
  <c r="X125" i="1"/>
  <c r="U116" i="1"/>
  <c r="S116" i="1" s="1"/>
  <c r="X96" i="1"/>
  <c r="AG96" i="1"/>
  <c r="X97" i="1"/>
  <c r="AI66" i="1"/>
  <c r="AG61" i="1"/>
  <c r="X61" i="1"/>
  <c r="T61" i="1"/>
  <c r="AI59" i="1"/>
  <c r="U59" i="1"/>
  <c r="S59" i="1" s="1"/>
  <c r="AG222" i="1"/>
  <c r="AG206" i="1"/>
  <c r="AG194" i="1"/>
  <c r="AG190" i="1"/>
  <c r="X226" i="1"/>
  <c r="X222" i="1"/>
  <c r="X206" i="1"/>
  <c r="X202" i="1"/>
  <c r="X198" i="1"/>
  <c r="X194" i="1"/>
  <c r="X190" i="1"/>
  <c r="X186" i="1"/>
  <c r="X182" i="1"/>
  <c r="X178" i="1"/>
  <c r="T166" i="1"/>
  <c r="U166" i="1" s="1"/>
  <c r="S166" i="1" s="1"/>
  <c r="X166" i="1"/>
  <c r="X165" i="1"/>
  <c r="AA163" i="1"/>
  <c r="AG239" i="1"/>
  <c r="U234" i="1"/>
  <c r="S234" i="1" s="1"/>
  <c r="AG232" i="1"/>
  <c r="AI232" i="1" s="1"/>
  <c r="T230" i="1"/>
  <c r="U230" i="1" s="1"/>
  <c r="S230" i="1" s="1"/>
  <c r="T221" i="1"/>
  <c r="U221" i="1" s="1"/>
  <c r="S221" i="1" s="1"/>
  <c r="X221" i="1"/>
  <c r="X220" i="1"/>
  <c r="AA218" i="1"/>
  <c r="AG217" i="1"/>
  <c r="AI217" i="1" s="1"/>
  <c r="S215" i="1"/>
  <c r="U212" i="1"/>
  <c r="S212" i="1" s="1"/>
  <c r="AG210" i="1"/>
  <c r="T161" i="1"/>
  <c r="U161" i="1" s="1"/>
  <c r="S161" i="1" s="1"/>
  <c r="T158" i="1"/>
  <c r="U158" i="1" s="1"/>
  <c r="S158" i="1" s="1"/>
  <c r="X158" i="1"/>
  <c r="X157" i="1"/>
  <c r="AA155" i="1"/>
  <c r="W155" i="1" s="1"/>
  <c r="AG154" i="1"/>
  <c r="AI152" i="1"/>
  <c r="S152" i="1"/>
  <c r="U149" i="1"/>
  <c r="S149" i="1" s="1"/>
  <c r="AG147" i="1"/>
  <c r="W147" i="1" s="1"/>
  <c r="T145" i="1"/>
  <c r="U145" i="1" s="1"/>
  <c r="S145" i="1" s="1"/>
  <c r="T142" i="1"/>
  <c r="U142" i="1" s="1"/>
  <c r="S142" i="1" s="1"/>
  <c r="X142" i="1"/>
  <c r="W140" i="1"/>
  <c r="T139" i="1"/>
  <c r="U139" i="1" s="1"/>
  <c r="S139" i="1" s="1"/>
  <c r="U136" i="1"/>
  <c r="S136" i="1" s="1"/>
  <c r="X135" i="1"/>
  <c r="AG134" i="1"/>
  <c r="W118" i="1"/>
  <c r="X112" i="1"/>
  <c r="AG112" i="1"/>
  <c r="X113" i="1"/>
  <c r="U108" i="1"/>
  <c r="S108" i="1" s="1"/>
  <c r="T103" i="1"/>
  <c r="X103" i="1"/>
  <c r="AG103" i="1"/>
  <c r="W103" i="1" s="1"/>
  <c r="AI99" i="1"/>
  <c r="T235" i="1"/>
  <c r="U235" i="1" s="1"/>
  <c r="S235" i="1" s="1"/>
  <c r="X235" i="1"/>
  <c r="W232" i="1"/>
  <c r="T213" i="1"/>
  <c r="U213" i="1" s="1"/>
  <c r="S213" i="1" s="1"/>
  <c r="X213" i="1"/>
  <c r="T150" i="1"/>
  <c r="U150" i="1" s="1"/>
  <c r="S150" i="1" s="1"/>
  <c r="X150" i="1"/>
  <c r="T133" i="1"/>
  <c r="X133" i="1"/>
  <c r="AG133" i="1"/>
  <c r="AG130" i="1"/>
  <c r="X131" i="1"/>
  <c r="T130" i="1"/>
  <c r="X130" i="1"/>
  <c r="W125" i="1"/>
  <c r="AG110" i="1"/>
  <c r="T110" i="1"/>
  <c r="X110" i="1"/>
  <c r="AG129" i="1"/>
  <c r="T129" i="1"/>
  <c r="T126" i="1"/>
  <c r="X126" i="1"/>
  <c r="T119" i="1"/>
  <c r="AG115" i="1"/>
  <c r="T114" i="1"/>
  <c r="U114" i="1" s="1"/>
  <c r="S114" i="1" s="1"/>
  <c r="T111" i="1"/>
  <c r="X111" i="1"/>
  <c r="T104" i="1"/>
  <c r="AG100" i="1"/>
  <c r="X100" i="1"/>
  <c r="T98" i="1"/>
  <c r="AI94" i="1"/>
  <c r="X90" i="1"/>
  <c r="AI88" i="1"/>
  <c r="U84" i="1"/>
  <c r="S84" i="1" s="1"/>
  <c r="AI84" i="1"/>
  <c r="U80" i="1"/>
  <c r="S80" i="1" s="1"/>
  <c r="AI80" i="1"/>
  <c r="U76" i="1"/>
  <c r="S76" i="1" s="1"/>
  <c r="AI76" i="1"/>
  <c r="AI72" i="1"/>
  <c r="U67" i="1"/>
  <c r="S67" i="1" s="1"/>
  <c r="AI56" i="1"/>
  <c r="T39" i="1"/>
  <c r="X39" i="1"/>
  <c r="AG39" i="1"/>
  <c r="X40" i="1"/>
  <c r="AA127" i="1"/>
  <c r="AG126" i="1"/>
  <c r="AI124" i="1"/>
  <c r="U121" i="1"/>
  <c r="S121" i="1" s="1"/>
  <c r="AG119" i="1"/>
  <c r="W119" i="1" s="1"/>
  <c r="T117" i="1"/>
  <c r="U117" i="1" s="1"/>
  <c r="S117" i="1" s="1"/>
  <c r="AA112" i="1"/>
  <c r="W112" i="1" s="1"/>
  <c r="AG111" i="1"/>
  <c r="AG104" i="1"/>
  <c r="W104" i="1" s="1"/>
  <c r="T102" i="1"/>
  <c r="U102" i="1" s="1"/>
  <c r="S102" i="1" s="1"/>
  <c r="T99" i="1"/>
  <c r="U99" i="1" s="1"/>
  <c r="S99" i="1" s="1"/>
  <c r="X99" i="1"/>
  <c r="X98" i="1"/>
  <c r="AA96" i="1"/>
  <c r="W96" i="1" s="1"/>
  <c r="X94" i="1"/>
  <c r="S89" i="1"/>
  <c r="S87" i="1"/>
  <c r="T86" i="1"/>
  <c r="X86" i="1"/>
  <c r="AG86" i="1"/>
  <c r="AI83" i="1"/>
  <c r="T82" i="1"/>
  <c r="X82" i="1"/>
  <c r="AG82" i="1"/>
  <c r="T78" i="1"/>
  <c r="X78" i="1"/>
  <c r="AG78" i="1"/>
  <c r="AI75" i="1"/>
  <c r="T74" i="1"/>
  <c r="X74" i="1"/>
  <c r="AG74" i="1"/>
  <c r="W66" i="1"/>
  <c r="W61" i="1"/>
  <c r="T54" i="1"/>
  <c r="X54" i="1"/>
  <c r="AG54" i="1"/>
  <c r="X48" i="1"/>
  <c r="AG48" i="1"/>
  <c r="X49" i="1"/>
  <c r="T48" i="1"/>
  <c r="AA41" i="1"/>
  <c r="W41" i="1" s="1"/>
  <c r="T122" i="1"/>
  <c r="U122" i="1" s="1"/>
  <c r="S122" i="1" s="1"/>
  <c r="X122" i="1"/>
  <c r="T107" i="1"/>
  <c r="U107" i="1" s="1"/>
  <c r="S107" i="1" s="1"/>
  <c r="X107" i="1"/>
  <c r="U98" i="1"/>
  <c r="S98" i="1" s="1"/>
  <c r="AI90" i="1"/>
  <c r="U90" i="1"/>
  <c r="S90" i="1" s="1"/>
  <c r="W76" i="1"/>
  <c r="W72" i="1"/>
  <c r="T70" i="1"/>
  <c r="X70" i="1"/>
  <c r="AG70" i="1"/>
  <c r="W70" i="1" s="1"/>
  <c r="AI29" i="1"/>
  <c r="U29" i="1"/>
  <c r="S29" i="1" s="1"/>
  <c r="AG24" i="1"/>
  <c r="X25" i="1"/>
  <c r="T24" i="1"/>
  <c r="X24" i="1"/>
  <c r="X95" i="1"/>
  <c r="X91" i="1"/>
  <c r="X87" i="1"/>
  <c r="X83" i="1"/>
  <c r="X79" i="1"/>
  <c r="X75" i="1"/>
  <c r="AA71" i="1"/>
  <c r="AI68" i="1"/>
  <c r="S68" i="1"/>
  <c r="T58" i="1"/>
  <c r="U58" i="1" s="1"/>
  <c r="S58" i="1" s="1"/>
  <c r="X58" i="1"/>
  <c r="X57" i="1"/>
  <c r="X56" i="1"/>
  <c r="AA55" i="1"/>
  <c r="AI51" i="1"/>
  <c r="AI44" i="1"/>
  <c r="AI41" i="1"/>
  <c r="T71" i="1"/>
  <c r="AI67" i="1"/>
  <c r="T62" i="1"/>
  <c r="X62" i="1"/>
  <c r="T55" i="1"/>
  <c r="AI35" i="1"/>
  <c r="X89" i="1"/>
  <c r="X85" i="1"/>
  <c r="X81" i="1"/>
  <c r="X77" i="1"/>
  <c r="X73" i="1"/>
  <c r="AG71" i="1"/>
  <c r="T69" i="1"/>
  <c r="U69" i="1" s="1"/>
  <c r="T66" i="1"/>
  <c r="U66" i="1" s="1"/>
  <c r="S66" i="1" s="1"/>
  <c r="X66" i="1"/>
  <c r="AA63" i="1"/>
  <c r="AG62" i="1"/>
  <c r="W62" i="1" s="1"/>
  <c r="U57" i="1"/>
  <c r="S57" i="1" s="1"/>
  <c r="AG55" i="1"/>
  <c r="AA54" i="1"/>
  <c r="W54" i="1" s="1"/>
  <c r="AG53" i="1"/>
  <c r="T53" i="1"/>
  <c r="X53" i="1"/>
  <c r="AA51" i="1"/>
  <c r="W51" i="1" s="1"/>
  <c r="AG46" i="1"/>
  <c r="X46" i="1"/>
  <c r="T46" i="1"/>
  <c r="AI18" i="1"/>
  <c r="U18" i="1"/>
  <c r="S18" i="1" s="1"/>
  <c r="U52" i="1"/>
  <c r="S52" i="1" s="1"/>
  <c r="T51" i="1"/>
  <c r="U51" i="1" s="1"/>
  <c r="S51" i="1" s="1"/>
  <c r="X51" i="1"/>
  <c r="X50" i="1"/>
  <c r="AA48" i="1"/>
  <c r="W48" i="1" s="1"/>
  <c r="T44" i="1"/>
  <c r="U44" i="1" s="1"/>
  <c r="S44" i="1" s="1"/>
  <c r="U42" i="1"/>
  <c r="S42" i="1" s="1"/>
  <c r="AI40" i="1"/>
  <c r="T35" i="1"/>
  <c r="U35" i="1" s="1"/>
  <c r="S35" i="1" s="1"/>
  <c r="X35" i="1"/>
  <c r="X34" i="1"/>
  <c r="AI30" i="1"/>
  <c r="AI25" i="1"/>
  <c r="AG20" i="1"/>
  <c r="W20" i="1" s="1"/>
  <c r="X21" i="1"/>
  <c r="T20" i="1"/>
  <c r="X20" i="1"/>
  <c r="W18" i="1"/>
  <c r="AI14" i="1"/>
  <c r="U14" i="1"/>
  <c r="S14" i="1" s="1"/>
  <c r="T43" i="1"/>
  <c r="X43" i="1"/>
  <c r="X42" i="1"/>
  <c r="U40" i="1"/>
  <c r="S40" i="1" s="1"/>
  <c r="T36" i="1"/>
  <c r="T32" i="1"/>
  <c r="X32" i="1"/>
  <c r="AG28" i="1"/>
  <c r="W28" i="1" s="1"/>
  <c r="X29" i="1"/>
  <c r="T28" i="1"/>
  <c r="X28" i="1"/>
  <c r="AI22" i="1"/>
  <c r="U22" i="1"/>
  <c r="S22" i="1" s="1"/>
  <c r="W21" i="1"/>
  <c r="AI17" i="1"/>
  <c r="T50" i="1"/>
  <c r="U50" i="1" s="1"/>
  <c r="S50" i="1" s="1"/>
  <c r="T47" i="1"/>
  <c r="U47" i="1" s="1"/>
  <c r="S47" i="1" s="1"/>
  <c r="X47" i="1"/>
  <c r="AA44" i="1"/>
  <c r="W44" i="1" s="1"/>
  <c r="AG43" i="1"/>
  <c r="U38" i="1"/>
  <c r="S38" i="1" s="1"/>
  <c r="AG36" i="1"/>
  <c r="W36" i="1" s="1"/>
  <c r="T34" i="1"/>
  <c r="U34" i="1" s="1"/>
  <c r="S34" i="1" s="1"/>
  <c r="X33" i="1"/>
  <c r="AG32" i="1"/>
  <c r="W32" i="1" s="1"/>
  <c r="AI26" i="1"/>
  <c r="U26" i="1"/>
  <c r="S26" i="1" s="1"/>
  <c r="AI21" i="1"/>
  <c r="AG16" i="1"/>
  <c r="W16" i="1" s="1"/>
  <c r="X17" i="1"/>
  <c r="T16" i="1"/>
  <c r="X16" i="1"/>
  <c r="AG31" i="1"/>
  <c r="AG27" i="1"/>
  <c r="AG23" i="1"/>
  <c r="AG19" i="1"/>
  <c r="AG15" i="1"/>
  <c r="X31" i="1"/>
  <c r="X27" i="1"/>
  <c r="X23" i="1"/>
  <c r="X19" i="1"/>
  <c r="X15" i="1"/>
  <c r="AD45" i="3"/>
  <c r="AD35" i="3"/>
  <c r="AD10" i="3"/>
  <c r="AD46" i="3"/>
  <c r="Y33" i="3"/>
  <c r="AD32" i="3"/>
  <c r="Y18" i="3"/>
  <c r="Y60" i="3"/>
  <c r="AD36" i="3"/>
  <c r="Y43" i="3"/>
  <c r="Y37" i="3"/>
  <c r="AD41" i="3"/>
  <c r="Y21" i="3"/>
  <c r="Y50" i="3"/>
  <c r="Y28" i="3"/>
  <c r="Y44" i="3"/>
  <c r="AD52" i="3"/>
  <c r="Y47" i="3"/>
  <c r="Y13" i="3"/>
  <c r="AD48" i="3"/>
  <c r="Y25" i="3"/>
  <c r="Y23" i="3"/>
  <c r="AD55" i="3"/>
  <c r="AD49" i="3"/>
  <c r="AD12" i="3"/>
  <c r="AD26" i="3"/>
  <c r="AD14" i="3"/>
  <c r="AD7" i="3"/>
  <c r="AD50" i="3"/>
  <c r="AD33" i="3"/>
  <c r="AD54" i="3"/>
  <c r="AD40" i="3"/>
  <c r="AD28" i="3"/>
  <c r="AD18" i="3"/>
  <c r="AD39" i="3"/>
  <c r="AD15" i="3"/>
  <c r="AD44" i="3"/>
  <c r="AD60" i="3"/>
  <c r="AD58" i="3"/>
  <c r="AD34" i="3"/>
  <c r="AD47" i="3"/>
  <c r="AD43" i="3"/>
  <c r="AD27" i="3"/>
  <c r="AD42" i="3"/>
  <c r="AD13" i="3"/>
  <c r="AD37" i="3"/>
  <c r="AD22" i="3"/>
  <c r="AD38" i="3"/>
  <c r="AD25" i="3"/>
  <c r="AD21" i="3"/>
  <c r="AD24" i="3"/>
  <c r="AD9" i="3"/>
  <c r="Y29" i="3"/>
  <c r="Y20" i="3"/>
  <c r="Y8" i="3"/>
  <c r="Y46" i="3"/>
  <c r="Y53" i="3"/>
  <c r="Y49" i="3"/>
  <c r="Y51" i="3"/>
  <c r="Y32" i="3"/>
  <c r="Y56" i="3"/>
  <c r="Y16" i="3"/>
  <c r="Y11" i="3"/>
  <c r="Y31" i="3"/>
  <c r="Y59" i="3"/>
  <c r="Y57" i="3"/>
  <c r="Y52" i="3"/>
  <c r="Y36" i="3"/>
  <c r="Y45" i="3"/>
  <c r="Y12" i="3"/>
  <c r="Y17" i="3"/>
  <c r="Y19" i="3"/>
  <c r="Y35" i="3"/>
  <c r="Y26" i="3"/>
  <c r="Y48" i="3"/>
  <c r="Y41" i="3"/>
  <c r="Y10" i="3"/>
  <c r="AC30" i="3"/>
  <c r="Y30" i="3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AI137" i="1" l="1"/>
  <c r="U137" i="1"/>
  <c r="S137" i="1" s="1"/>
  <c r="W137" i="1"/>
  <c r="S93" i="1"/>
  <c r="AI79" i="1"/>
  <c r="AI108" i="1"/>
  <c r="U56" i="1"/>
  <c r="S56" i="1" s="1"/>
  <c r="AI109" i="1"/>
  <c r="AI192" i="1"/>
  <c r="W207" i="1"/>
  <c r="U128" i="1"/>
  <c r="S128" i="1" s="1"/>
  <c r="W200" i="1"/>
  <c r="W128" i="1"/>
  <c r="W179" i="1"/>
  <c r="W39" i="1"/>
  <c r="W63" i="1"/>
  <c r="W159" i="1"/>
  <c r="W192" i="1"/>
  <c r="U37" i="1"/>
  <c r="S37" i="1" s="1"/>
  <c r="AI87" i="1"/>
  <c r="W127" i="1"/>
  <c r="W163" i="1"/>
  <c r="W143" i="1"/>
  <c r="W182" i="1"/>
  <c r="W226" i="1"/>
  <c r="U81" i="1"/>
  <c r="S81" i="1" s="1"/>
  <c r="W24" i="1"/>
  <c r="W110" i="1"/>
  <c r="W218" i="1"/>
  <c r="AI120" i="1"/>
  <c r="U131" i="1"/>
  <c r="S131" i="1" s="1"/>
  <c r="U188" i="1"/>
  <c r="S188" i="1" s="1"/>
  <c r="U160" i="1"/>
  <c r="S160" i="1" s="1"/>
  <c r="U17" i="1"/>
  <c r="S17" i="1" s="1"/>
  <c r="W53" i="1"/>
  <c r="W203" i="1"/>
  <c r="U91" i="1"/>
  <c r="S91" i="1" s="1"/>
  <c r="W105" i="1"/>
  <c r="W109" i="1"/>
  <c r="W37" i="1"/>
  <c r="U229" i="1"/>
  <c r="S229" i="1" s="1"/>
  <c r="U101" i="1"/>
  <c r="W120" i="1"/>
  <c r="W211" i="1"/>
  <c r="U135" i="1"/>
  <c r="S135" i="1" s="1"/>
  <c r="W160" i="1"/>
  <c r="AI182" i="1"/>
  <c r="AI167" i="1"/>
  <c r="W135" i="1"/>
  <c r="W219" i="1"/>
  <c r="AI216" i="1"/>
  <c r="AI91" i="1"/>
  <c r="W116" i="1"/>
  <c r="W52" i="1"/>
  <c r="W79" i="1"/>
  <c r="U97" i="1"/>
  <c r="S97" i="1" s="1"/>
  <c r="AI97" i="1"/>
  <c r="U233" i="1"/>
  <c r="S233" i="1" s="1"/>
  <c r="W97" i="1"/>
  <c r="W229" i="1"/>
  <c r="U15" i="1"/>
  <c r="S15" i="1" s="1"/>
  <c r="W15" i="1"/>
  <c r="AI15" i="1"/>
  <c r="U43" i="1"/>
  <c r="S43" i="1" s="1"/>
  <c r="AI43" i="1"/>
  <c r="AI55" i="1"/>
  <c r="U55" i="1"/>
  <c r="S55" i="1" s="1"/>
  <c r="AI78" i="1"/>
  <c r="U78" i="1"/>
  <c r="S78" i="1" s="1"/>
  <c r="U129" i="1"/>
  <c r="S129" i="1" s="1"/>
  <c r="W129" i="1"/>
  <c r="AI129" i="1"/>
  <c r="U133" i="1"/>
  <c r="S133" i="1" s="1"/>
  <c r="AI133" i="1"/>
  <c r="AI112" i="1"/>
  <c r="U112" i="1"/>
  <c r="S112" i="1" s="1"/>
  <c r="U206" i="1"/>
  <c r="S206" i="1" s="1"/>
  <c r="AI230" i="1"/>
  <c r="W206" i="1"/>
  <c r="U61" i="1"/>
  <c r="S61" i="1" s="1"/>
  <c r="AI61" i="1"/>
  <c r="U171" i="1"/>
  <c r="S171" i="1" s="1"/>
  <c r="W171" i="1"/>
  <c r="AI194" i="1"/>
  <c r="U186" i="1"/>
  <c r="S186" i="1" s="1"/>
  <c r="W186" i="1"/>
  <c r="AI210" i="1"/>
  <c r="AI162" i="1"/>
  <c r="U162" i="1"/>
  <c r="S162" i="1" s="1"/>
  <c r="AI171" i="1"/>
  <c r="U218" i="1"/>
  <c r="S218" i="1" s="1"/>
  <c r="AI195" i="1"/>
  <c r="U187" i="1"/>
  <c r="S187" i="1" s="1"/>
  <c r="AI211" i="1"/>
  <c r="U175" i="1"/>
  <c r="S175" i="1" s="1"/>
  <c r="AI199" i="1"/>
  <c r="U191" i="1"/>
  <c r="S191" i="1" s="1"/>
  <c r="AI215" i="1"/>
  <c r="W175" i="1"/>
  <c r="U31" i="1"/>
  <c r="S31" i="1" s="1"/>
  <c r="AI31" i="1"/>
  <c r="U19" i="1"/>
  <c r="S19" i="1" s="1"/>
  <c r="AI19" i="1"/>
  <c r="U46" i="1"/>
  <c r="S46" i="1" s="1"/>
  <c r="AI46" i="1"/>
  <c r="W19" i="1"/>
  <c r="U24" i="1"/>
  <c r="S24" i="1" s="1"/>
  <c r="AI24" i="1"/>
  <c r="W31" i="1"/>
  <c r="AI54" i="1"/>
  <c r="U54" i="1"/>
  <c r="S54" i="1" s="1"/>
  <c r="AI82" i="1"/>
  <c r="U82" i="1"/>
  <c r="S82" i="1" s="1"/>
  <c r="AI119" i="1"/>
  <c r="U119" i="1"/>
  <c r="S119" i="1" s="1"/>
  <c r="AI126" i="1"/>
  <c r="U126" i="1"/>
  <c r="S126" i="1" s="1"/>
  <c r="W126" i="1"/>
  <c r="AI39" i="1"/>
  <c r="U39" i="1"/>
  <c r="S39" i="1" s="1"/>
  <c r="AI100" i="1"/>
  <c r="U100" i="1"/>
  <c r="AI115" i="1"/>
  <c r="U115" i="1"/>
  <c r="S115" i="1" s="1"/>
  <c r="AI103" i="1"/>
  <c r="U103" i="1"/>
  <c r="AI147" i="1"/>
  <c r="U147" i="1"/>
  <c r="S147" i="1" s="1"/>
  <c r="AI154" i="1"/>
  <c r="U154" i="1"/>
  <c r="S154" i="1" s="1"/>
  <c r="W154" i="1"/>
  <c r="AI178" i="1"/>
  <c r="U232" i="1"/>
  <c r="S232" i="1" s="1"/>
  <c r="AI185" i="1"/>
  <c r="U239" i="1"/>
  <c r="S239" i="1" s="1"/>
  <c r="W239" i="1"/>
  <c r="U222" i="1"/>
  <c r="S222" i="1" s="1"/>
  <c r="AI234" i="1"/>
  <c r="W222" i="1"/>
  <c r="AI96" i="1"/>
  <c r="U96" i="1"/>
  <c r="S96" i="1" s="1"/>
  <c r="U125" i="1"/>
  <c r="S125" i="1" s="1"/>
  <c r="AI125" i="1"/>
  <c r="U174" i="1"/>
  <c r="S174" i="1" s="1"/>
  <c r="AI198" i="1"/>
  <c r="W174" i="1"/>
  <c r="U198" i="1"/>
  <c r="S198" i="1" s="1"/>
  <c r="AI222" i="1"/>
  <c r="AI63" i="1"/>
  <c r="U63" i="1"/>
  <c r="S63" i="1" s="1"/>
  <c r="U168" i="1"/>
  <c r="S168" i="1" s="1"/>
  <c r="AI191" i="1"/>
  <c r="AI239" i="1"/>
  <c r="U227" i="1"/>
  <c r="S227" i="1" s="1"/>
  <c r="AI235" i="1"/>
  <c r="U223" i="1"/>
  <c r="S223" i="1" s="1"/>
  <c r="AI231" i="1"/>
  <c r="U207" i="1"/>
  <c r="S207" i="1" s="1"/>
  <c r="W133" i="1"/>
  <c r="AI219" i="1"/>
  <c r="U195" i="1"/>
  <c r="S195" i="1" s="1"/>
  <c r="U23" i="1"/>
  <c r="S23" i="1" s="1"/>
  <c r="AI23" i="1"/>
  <c r="W23" i="1"/>
  <c r="AI32" i="1"/>
  <c r="U32" i="1"/>
  <c r="S32" i="1" s="1"/>
  <c r="AI36" i="1"/>
  <c r="U36" i="1"/>
  <c r="S36" i="1" s="1"/>
  <c r="U20" i="1"/>
  <c r="S20" i="1" s="1"/>
  <c r="AI20" i="1"/>
  <c r="U53" i="1"/>
  <c r="S53" i="1" s="1"/>
  <c r="AI53" i="1"/>
  <c r="U62" i="1"/>
  <c r="S62" i="1" s="1"/>
  <c r="AI62" i="1"/>
  <c r="W43" i="1"/>
  <c r="W55" i="1"/>
  <c r="AI86" i="1"/>
  <c r="U86" i="1"/>
  <c r="S86" i="1" s="1"/>
  <c r="U110" i="1"/>
  <c r="S110" i="1" s="1"/>
  <c r="AI110" i="1"/>
  <c r="AI134" i="1"/>
  <c r="U134" i="1"/>
  <c r="S134" i="1" s="1"/>
  <c r="U190" i="1"/>
  <c r="S190" i="1" s="1"/>
  <c r="AI214" i="1"/>
  <c r="W190" i="1"/>
  <c r="U138" i="1"/>
  <c r="S138" i="1" s="1"/>
  <c r="AI138" i="1"/>
  <c r="W138" i="1"/>
  <c r="U178" i="1"/>
  <c r="S178" i="1" s="1"/>
  <c r="AI202" i="1"/>
  <c r="W178" i="1"/>
  <c r="U202" i="1"/>
  <c r="S202" i="1" s="1"/>
  <c r="W202" i="1"/>
  <c r="AI226" i="1"/>
  <c r="U183" i="1"/>
  <c r="S183" i="1" s="1"/>
  <c r="AI207" i="1"/>
  <c r="W168" i="1"/>
  <c r="W183" i="1"/>
  <c r="AI227" i="1"/>
  <c r="U203" i="1"/>
  <c r="S203" i="1" s="1"/>
  <c r="W227" i="1"/>
  <c r="U216" i="1"/>
  <c r="S216" i="1"/>
  <c r="AI169" i="1"/>
  <c r="W187" i="1"/>
  <c r="AI186" i="1"/>
  <c r="U163" i="1"/>
  <c r="S163" i="1" s="1"/>
  <c r="U179" i="1"/>
  <c r="S179" i="1" s="1"/>
  <c r="AI203" i="1"/>
  <c r="W191" i="1"/>
  <c r="U16" i="1"/>
  <c r="S16" i="1" s="1"/>
  <c r="AI16" i="1"/>
  <c r="U27" i="1"/>
  <c r="S27" i="1" s="1"/>
  <c r="W27" i="1"/>
  <c r="AI27" i="1"/>
  <c r="U28" i="1"/>
  <c r="S28" i="1" s="1"/>
  <c r="AI28" i="1"/>
  <c r="AI71" i="1"/>
  <c r="U71" i="1"/>
  <c r="S71" i="1" s="1"/>
  <c r="W46" i="1"/>
  <c r="W71" i="1"/>
  <c r="AI70" i="1"/>
  <c r="U70" i="1"/>
  <c r="S69" i="1" s="1"/>
  <c r="AI48" i="1"/>
  <c r="U48" i="1"/>
  <c r="S48" i="1" s="1"/>
  <c r="AI74" i="1"/>
  <c r="U74" i="1"/>
  <c r="S74" i="1" s="1"/>
  <c r="AI104" i="1"/>
  <c r="U104" i="1"/>
  <c r="AI111" i="1"/>
  <c r="U111" i="1"/>
  <c r="S111" i="1" s="1"/>
  <c r="W111" i="1"/>
  <c r="W74" i="1"/>
  <c r="W78" i="1"/>
  <c r="W82" i="1"/>
  <c r="W86" i="1"/>
  <c r="U130" i="1"/>
  <c r="S130" i="1" s="1"/>
  <c r="AI130" i="1"/>
  <c r="W134" i="1"/>
  <c r="W115" i="1"/>
  <c r="AI163" i="1"/>
  <c r="U210" i="1"/>
  <c r="S210" i="1" s="1"/>
  <c r="AI170" i="1"/>
  <c r="U217" i="1"/>
  <c r="S217" i="1" s="1"/>
  <c r="W217" i="1"/>
  <c r="U194" i="1"/>
  <c r="S194" i="1" s="1"/>
  <c r="AI218" i="1"/>
  <c r="W194" i="1"/>
  <c r="W100" i="1"/>
  <c r="AI143" i="1"/>
  <c r="U143" i="1"/>
  <c r="S143" i="1" s="1"/>
  <c r="AI159" i="1"/>
  <c r="U159" i="1"/>
  <c r="S159" i="1" s="1"/>
  <c r="AI174" i="1"/>
  <c r="U228" i="1"/>
  <c r="S228" i="1" s="1"/>
  <c r="U167" i="1"/>
  <c r="S167" i="1" s="1"/>
  <c r="AI190" i="1"/>
  <c r="U182" i="1"/>
  <c r="S182" i="1" s="1"/>
  <c r="AI206" i="1"/>
  <c r="U226" i="1"/>
  <c r="S226" i="1" s="1"/>
  <c r="AI238" i="1"/>
  <c r="W228" i="1"/>
  <c r="U199" i="1"/>
  <c r="S199" i="1" s="1"/>
  <c r="AI223" i="1"/>
  <c r="AI127" i="1"/>
  <c r="U127" i="1"/>
  <c r="S127" i="1" s="1"/>
  <c r="AI146" i="1"/>
  <c r="U146" i="1"/>
  <c r="S146" i="1" s="1"/>
  <c r="AI155" i="1"/>
  <c r="U155" i="1"/>
  <c r="S155" i="1" s="1"/>
  <c r="W162" i="1"/>
  <c r="U238" i="1"/>
  <c r="S238" i="1" s="1"/>
  <c r="AI184" i="1"/>
  <c r="W130" i="1"/>
  <c r="W238" i="1"/>
  <c r="U92" i="1"/>
  <c r="S92" i="1" s="1"/>
  <c r="AI92" i="1"/>
  <c r="AI118" i="1"/>
  <c r="U118" i="1"/>
  <c r="S118" i="1" s="1"/>
  <c r="U153" i="1"/>
  <c r="S153" i="1" s="1"/>
  <c r="AI153" i="1"/>
  <c r="AI177" i="1"/>
  <c r="U231" i="1"/>
  <c r="S231" i="1" s="1"/>
  <c r="W198" i="1"/>
  <c r="N54" i="3"/>
  <c r="N58" i="3"/>
  <c r="N59" i="3"/>
  <c r="N57" i="3"/>
  <c r="N60" i="3"/>
  <c r="N12" i="3"/>
  <c r="N17" i="3"/>
  <c r="N37" i="3"/>
  <c r="N26" i="3"/>
  <c r="N46" i="3"/>
  <c r="N49" i="3"/>
  <c r="N51" i="3"/>
  <c r="N44" i="3"/>
  <c r="N11" i="3"/>
  <c r="N19" i="3"/>
  <c r="N48" i="3"/>
  <c r="N41" i="3"/>
  <c r="N10" i="3"/>
  <c r="N55" i="3"/>
  <c r="N29" i="3"/>
  <c r="N8" i="3"/>
  <c r="N7" i="3"/>
  <c r="N53" i="3"/>
  <c r="N31" i="3"/>
  <c r="N22" i="3"/>
  <c r="N14" i="3"/>
  <c r="N20" i="3"/>
  <c r="N50" i="3"/>
  <c r="N33" i="3"/>
  <c r="N18" i="3"/>
  <c r="N15" i="3"/>
  <c r="N16" i="3"/>
  <c r="N42" i="3"/>
  <c r="N13" i="3"/>
  <c r="N35" i="3"/>
  <c r="N38" i="3"/>
  <c r="N24" i="3"/>
  <c r="N28" i="3"/>
  <c r="N32" i="3"/>
  <c r="N52" i="3"/>
  <c r="N36" i="3"/>
  <c r="N47" i="3"/>
  <c r="N40" i="3"/>
  <c r="N56" i="3"/>
  <c r="N39" i="3"/>
  <c r="N34" i="3"/>
  <c r="N45" i="3"/>
  <c r="N43" i="3"/>
  <c r="N27" i="3"/>
  <c r="N25" i="3"/>
  <c r="N21" i="3"/>
  <c r="N9" i="3"/>
  <c r="N23" i="3"/>
  <c r="L13" i="1"/>
  <c r="N30" i="3"/>
  <c r="S103" i="1" l="1"/>
  <c r="S100" i="1"/>
  <c r="B82" i="9"/>
  <c r="C83" i="9" s="1"/>
  <c r="B83" i="9"/>
  <c r="B84" i="9"/>
  <c r="B85" i="9"/>
  <c r="C86" i="9" s="1"/>
  <c r="B86" i="9"/>
  <c r="B87" i="9"/>
  <c r="C88" i="9" s="1"/>
  <c r="C87" i="9"/>
  <c r="B88" i="9"/>
  <c r="B89" i="9"/>
  <c r="C89" i="9"/>
  <c r="B90" i="9"/>
  <c r="C91" i="9" s="1"/>
  <c r="B91" i="9"/>
  <c r="B92" i="9"/>
  <c r="B93" i="9"/>
  <c r="C94" i="9" s="1"/>
  <c r="B94" i="9"/>
  <c r="B95" i="9"/>
  <c r="C96" i="9" s="1"/>
  <c r="C95" i="9"/>
  <c r="B96" i="9"/>
  <c r="B97" i="9"/>
  <c r="C97" i="9"/>
  <c r="C90" i="9" l="1"/>
  <c r="C93" i="9"/>
  <c r="C92" i="9"/>
  <c r="C85" i="9"/>
  <c r="C84" i="9"/>
  <c r="AD30" i="3"/>
  <c r="B76" i="9"/>
  <c r="B77" i="9"/>
  <c r="B78" i="9"/>
  <c r="B79" i="9"/>
  <c r="B80" i="9"/>
  <c r="B81" i="9"/>
  <c r="C82" i="9" s="1"/>
  <c r="B6" i="6"/>
  <c r="H6" i="6" s="1"/>
  <c r="K6" i="6"/>
  <c r="B7" i="6"/>
  <c r="F7" i="6" s="1"/>
  <c r="K7" i="6"/>
  <c r="B8" i="6"/>
  <c r="G8" i="6" s="1"/>
  <c r="K8" i="6"/>
  <c r="B9" i="6"/>
  <c r="H9" i="6" s="1"/>
  <c r="K9" i="6"/>
  <c r="B10" i="6"/>
  <c r="H10" i="6" s="1"/>
  <c r="K10" i="6"/>
  <c r="C80" i="9" l="1"/>
  <c r="C81" i="9"/>
  <c r="F8" i="6"/>
  <c r="J9" i="6"/>
  <c r="I6" i="6"/>
  <c r="C77" i="9"/>
  <c r="C79" i="9"/>
  <c r="C78" i="9"/>
  <c r="G10" i="6"/>
  <c r="J10" i="6"/>
  <c r="F10" i="6"/>
  <c r="I9" i="6"/>
  <c r="G6" i="6"/>
  <c r="G9" i="6"/>
  <c r="J8" i="6"/>
  <c r="J6" i="6"/>
  <c r="F6" i="6"/>
  <c r="I10" i="6"/>
  <c r="F9" i="6"/>
  <c r="I8" i="6"/>
  <c r="I7" i="6"/>
  <c r="H7" i="6"/>
  <c r="H8" i="6"/>
  <c r="G7" i="6"/>
  <c r="J7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C76" i="9" s="1"/>
  <c r="K13" i="1" l="1"/>
  <c r="M13" i="1"/>
  <c r="N13" i="1" s="1"/>
  <c r="V13" i="1"/>
  <c r="S30" i="3" s="1"/>
  <c r="Y13" i="1"/>
  <c r="Z13" i="1"/>
  <c r="AB13" i="1"/>
  <c r="AC13" i="1"/>
  <c r="AD13" i="1"/>
  <c r="X14" i="1" s="1"/>
  <c r="AE13" i="1"/>
  <c r="R30" i="3" s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F3" i="6" s="1"/>
  <c r="K3" i="6"/>
  <c r="B4" i="6"/>
  <c r="K4" i="6"/>
  <c r="B5" i="6"/>
  <c r="K5" i="6"/>
  <c r="I5" i="6" l="1"/>
  <c r="F4" i="6"/>
  <c r="J4" i="6"/>
  <c r="J5" i="6"/>
  <c r="F5" i="6"/>
  <c r="I4" i="6"/>
  <c r="I3" i="6"/>
  <c r="J3" i="6"/>
  <c r="M30" i="5" l="1"/>
  <c r="M29" i="5"/>
  <c r="M27" i="5"/>
  <c r="G4" i="6" l="1"/>
  <c r="F250" i="4"/>
  <c r="F251" i="4"/>
  <c r="G5" i="6" l="1"/>
  <c r="G3" i="6"/>
  <c r="H4" i="6"/>
  <c r="H3" i="6"/>
  <c r="H5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2" i="4" l="1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<sst xmlns="http://schemas.openxmlformats.org/spreadsheetml/2006/main" count="2805" uniqueCount="968">
  <si>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</si>
  <si>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</si>
  <si>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</si>
  <si>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</si>
  <si>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</si>
  <si>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</si>
  <si>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</si>
  <si>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</si>
  <si>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</si>
  <si>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</si>
  <si>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</si>
  <si>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</si>
  <si>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</si>
  <si>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</si>
  <si>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</si>
  <si>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</si>
  <si>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</si>
  <si>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</si>
  <si>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</si>
  <si>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</si>
  <si>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</si>
  <si>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</si>
  <si>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</si>
  <si>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</si>
  <si>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</si>
  <si>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</si>
  <si>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</si>
  <si>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</si>
  <si>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</si>
  <si>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</si>
  <si>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</si>
  <si>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</si>
  <si>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</si>
  <si>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</si>
  <si>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</si>
  <si>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</si>
  <si>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</si>
  <si>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</si>
  <si>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</si>
  <si>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</si>
  <si>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</si>
  <si>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</si>
  <si>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</si>
  <si>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</si>
  <si>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</si>
  <si>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</si>
  <si>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</si>
  <si>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</si>
  <si>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</si>
  <si>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</si>
  <si>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</si>
  <si>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</si>
  <si>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</si>
  <si>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</si>
  <si>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</si>
  <si>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</si>
  <si>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</si>
  <si>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</si>
  <si>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</si>
  <si>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</si>
  <si>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</si>
  <si>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</si>
  <si>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</si>
  <si>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</si>
  <si>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</si>
  <si>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</si>
  <si>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</si>
  <si>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</si>
  <si>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</si>
  <si>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</si>
  <si>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</si>
  <si>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</si>
  <si>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</si>
  <si>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</si>
  <si>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</si>
  <si>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</si>
  <si>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</si>
  <si>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</si>
  <si>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</si>
  <si>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</si>
  <si>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</si>
  <si>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</si>
  <si>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</si>
  <si>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</si>
  <si>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</si>
  <si>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</si>
  <si>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</si>
  <si>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</si>
  <si>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</si>
  <si>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</si>
  <si>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</si>
  <si>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</si>
  <si>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</si>
  <si>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</si>
  <si>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</si>
  <si>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</si>
  <si>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</si>
  <si>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</si>
  <si>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</si>
  <si>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</si>
  <si>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</si>
  <si>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</si>
  <si>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</si>
  <si>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</si>
  <si>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</si>
  <si>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</si>
  <si>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</si>
  <si>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</si>
  <si>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</si>
  <si>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</si>
  <si>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</si>
  <si>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</si>
  <si>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</si>
  <si>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</si>
  <si>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</si>
  <si>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</si>
  <si>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</si>
  <si>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</si>
  <si>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</si>
  <si>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</si>
  <si>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</si>
  <si>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</si>
  <si>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</si>
  <si>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</si>
  <si>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</si>
  <si>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</si>
  <si>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</si>
  <si>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</si>
  <si>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</si>
  <si>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</si>
  <si>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</si>
  <si>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</si>
  <si>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</si>
  <si>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</si>
  <si>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</si>
  <si>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</si>
  <si>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</si>
  <si>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</si>
  <si>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</si>
  <si>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</si>
  <si>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</si>
  <si>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</si>
  <si>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</si>
  <si>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</si>
  <si>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</si>
  <si>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</si>
  <si>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</si>
  <si>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</si>
  <si>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</si>
  <si>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</si>
  <si>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</si>
  <si>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</si>
  <si>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</si>
  <si>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</si>
  <si>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</si>
  <si>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</si>
  <si>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</si>
  <si>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</si>
  <si>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</si>
  <si>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</si>
  <si>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</si>
  <si>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</si>
  <si>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</si>
  <si>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</si>
  <si>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</si>
  <si>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</si>
  <si>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</si>
  <si>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</si>
  <si>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</si>
  <si>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</si>
  <si>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</si>
  <si>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</si>
  <si>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</si>
  <si>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</si>
  <si>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</si>
  <si>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</si>
  <si>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</si>
  <si>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</si>
  <si>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</si>
  <si>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</si>
  <si>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</si>
  <si>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</si>
  <si>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</si>
  <si>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</si>
  <si>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</si>
  <si>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</si>
  <si>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</si>
  <si>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</si>
  <si>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</si>
  <si>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</si>
  <si>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</si>
  <si>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</si>
  <si>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</si>
  <si>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</si>
  <si>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</si>
  <si>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</si>
  <si>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</si>
  <si>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</si>
  <si>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</si>
  <si>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</si>
  <si>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</si>
  <si>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</si>
  <si>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</si>
  <si>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</si>
  <si>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</si>
  <si>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</si>
  <si>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</si>
  <si>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</si>
  <si>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</si>
  <si>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</si>
  <si>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</si>
  <si>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</si>
  <si>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</si>
  <si>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</si>
  <si>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</si>
  <si>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</si>
  <si>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</si>
  <si>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</si>
  <si>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</si>
  <si>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</si>
  <si>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</si>
  <si>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</si>
  <si>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</si>
  <si>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</si>
  <si>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</si>
  <si>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</si>
  <si>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</si>
  <si>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</si>
  <si>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</si>
  <si>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</si>
  <si>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</si>
  <si>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</si>
  <si>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</si>
  <si>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</si>
  <si>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rtdc.l.rtdc.4014:itc</t>
  </si>
  <si>
    <t>rtdc.l.rtdc.4013:itc</t>
  </si>
  <si>
    <t>204:232975</t>
  </si>
  <si>
    <t>204:232994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</si>
  <si>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</si>
  <si>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</si>
  <si>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</si>
  <si>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</si>
  <si>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</si>
  <si>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</si>
  <si>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</si>
  <si>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</si>
  <si>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rtdc.l.rtdc.4031:itc</t>
  </si>
  <si>
    <t>204:442</t>
  </si>
  <si>
    <t>rtdc.l.rtdc.4045:itc</t>
  </si>
  <si>
    <t>rtdc.l.rtdc.4046:itc</t>
  </si>
  <si>
    <t>204:161</t>
  </si>
  <si>
    <t>204:460</t>
  </si>
  <si>
    <t>204:233302</t>
  </si>
  <si>
    <t>204:139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</si>
  <si>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</si>
  <si>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</si>
  <si>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</si>
  <si>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</si>
  <si>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</si>
  <si>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</si>
  <si>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</si>
  <si>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204:233308</t>
  </si>
  <si>
    <t>rtdc.l.rtdc.4003:itc</t>
  </si>
  <si>
    <t>rtdc.l.rtdc.4004:itc</t>
  </si>
  <si>
    <t>204:233303</t>
  </si>
  <si>
    <t>204:232989</t>
  </si>
  <si>
    <t>rtdc.l.rtdc.4010:itc</t>
  </si>
  <si>
    <t>204:232988</t>
  </si>
  <si>
    <t>204:145</t>
  </si>
  <si>
    <t>204:232996</t>
  </si>
  <si>
    <t>204:232980</t>
  </si>
  <si>
    <t>204:467</t>
  </si>
  <si>
    <t>204:233298</t>
  </si>
  <si>
    <t>300:58611</t>
  </si>
  <si>
    <t>rtdc.l.rtdc.4032:itc</t>
  </si>
  <si>
    <t>242-25</t>
  </si>
  <si>
    <t>CHANDLER</t>
  </si>
  <si>
    <t>LALONDE</t>
  </si>
  <si>
    <t>81-25</t>
  </si>
  <si>
    <t>80-25</t>
  </si>
  <si>
    <t>245-25</t>
  </si>
  <si>
    <t>309-25</t>
  </si>
  <si>
    <t>244-25</t>
  </si>
  <si>
    <t>311-25</t>
  </si>
  <si>
    <t>246-25</t>
  </si>
  <si>
    <t>313-25</t>
  </si>
  <si>
    <t>315-25</t>
  </si>
  <si>
    <t>204:233301</t>
  </si>
  <si>
    <t>partly-cloudy-night</t>
  </si>
  <si>
    <t>partly-cloudy-day</t>
  </si>
  <si>
    <t>204:232990</t>
  </si>
  <si>
    <t>204:233004</t>
  </si>
  <si>
    <t>204:160</t>
  </si>
  <si>
    <t>204:232982</t>
  </si>
  <si>
    <t>204:458</t>
  </si>
  <si>
    <t>204:233325</t>
  </si>
  <si>
    <t>204:477</t>
  </si>
  <si>
    <t>rtdc.l.rtdc.4016:itc</t>
  </si>
  <si>
    <t>rtdc.l.rtdc.4001:itc</t>
  </si>
  <si>
    <t>STARKS</t>
  </si>
  <si>
    <t>LEVERE</t>
  </si>
  <si>
    <t>COOLAHAN</t>
  </si>
  <si>
    <t>204:233319</t>
  </si>
  <si>
    <t>204:163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</si>
  <si>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</si>
  <si>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</si>
  <si>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</si>
  <si>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rtdc.l.rtdc.4008:itc</t>
  </si>
  <si>
    <t>rtdc.l.rtdc.4007:itc</t>
  </si>
  <si>
    <t>PERKINS</t>
  </si>
  <si>
    <t>SPECTOR</t>
  </si>
  <si>
    <t>BONDS</t>
  </si>
  <si>
    <t>YANAI</t>
  </si>
  <si>
    <t>Partly Cloudy</t>
  </si>
  <si>
    <t>204:438</t>
  </si>
  <si>
    <t>204:233013</t>
  </si>
  <si>
    <t>204:152</t>
  </si>
  <si>
    <t>204:233011</t>
  </si>
  <si>
    <t>204:482</t>
  </si>
  <si>
    <t>204:233017</t>
  </si>
  <si>
    <t>204:437</t>
  </si>
  <si>
    <t>204:233280</t>
  </si>
  <si>
    <t>204:978</t>
  </si>
  <si>
    <t>300:58935</t>
  </si>
  <si>
    <t>300:58636</t>
  </si>
  <si>
    <t>204:971</t>
  </si>
  <si>
    <t>300:58623</t>
  </si>
  <si>
    <t>rtdc.l.rtdc.4030:itc</t>
  </si>
  <si>
    <t>GRADE CROSSING</t>
  </si>
  <si>
    <t>Bulletin (2)</t>
  </si>
  <si>
    <t>rtdc.l.rtdc.4029:itc</t>
  </si>
  <si>
    <t>TEMPORARY SPEED RESTRICTION</t>
  </si>
  <si>
    <t>rtdc.l.rtdc.4021:itc</t>
  </si>
  <si>
    <t>rtdc.l.rtdc.4043:itc</t>
  </si>
  <si>
    <t>BEAM</t>
  </si>
  <si>
    <t>STORY</t>
  </si>
  <si>
    <t>204:233310</t>
  </si>
  <si>
    <t>204:233005</t>
  </si>
  <si>
    <t>204:233312</t>
  </si>
  <si>
    <t>204:233321</t>
  </si>
  <si>
    <t>204:233008</t>
  </si>
  <si>
    <t>204:232981</t>
  </si>
  <si>
    <t>204:232969</t>
  </si>
  <si>
    <t>204:169</t>
  </si>
  <si>
    <t>204:431</t>
  </si>
  <si>
    <t>300:23301</t>
  </si>
  <si>
    <t>204:976</t>
  </si>
  <si>
    <t>204:129</t>
  </si>
  <si>
    <t>204:692</t>
  </si>
  <si>
    <t>300:58961</t>
  </si>
  <si>
    <t>Early arrival</t>
  </si>
  <si>
    <t>Pena 4S STOP</t>
  </si>
  <si>
    <t>Wi-MAX data drop</t>
  </si>
  <si>
    <t>MAELZER</t>
  </si>
  <si>
    <t>SANTIZO</t>
  </si>
  <si>
    <t>ADANE</t>
  </si>
  <si>
    <t>MOSES</t>
  </si>
  <si>
    <t>BROWN</t>
  </si>
  <si>
    <t>242-30</t>
  </si>
  <si>
    <t>311-30</t>
  </si>
  <si>
    <t>244-30</t>
  </si>
  <si>
    <t>313-30</t>
  </si>
  <si>
    <t>204:233309</t>
  </si>
  <si>
    <t>204:233284</t>
  </si>
  <si>
    <t>204:232979</t>
  </si>
  <si>
    <t>204:446</t>
  </si>
  <si>
    <t>204:232957</t>
  </si>
  <si>
    <t>204:232992</t>
  </si>
  <si>
    <t>204:233299</t>
  </si>
  <si>
    <t>204:211</t>
  </si>
  <si>
    <t>204:233344</t>
  </si>
  <si>
    <t>204:232987</t>
  </si>
  <si>
    <t>204:233311</t>
  </si>
  <si>
    <t>204:233305</t>
  </si>
  <si>
    <t>204:233006</t>
  </si>
  <si>
    <t>204:233003</t>
  </si>
  <si>
    <t>204:233021</t>
  </si>
  <si>
    <t>204:233015</t>
  </si>
  <si>
    <t>204:232991</t>
  </si>
  <si>
    <t>204:233068</t>
  </si>
  <si>
    <t>204:427</t>
  </si>
  <si>
    <t>300:23346</t>
  </si>
  <si>
    <t>204:755</t>
  </si>
  <si>
    <t>204:1035</t>
  </si>
  <si>
    <t>204:769</t>
  </si>
  <si>
    <t>204:1049</t>
  </si>
  <si>
    <t>204:664</t>
  </si>
  <si>
    <t>300:58638</t>
  </si>
  <si>
    <t>Onboard in-route failure</t>
  </si>
  <si>
    <t>JOHN</t>
  </si>
  <si>
    <t>IAN</t>
  </si>
  <si>
    <t>KURT</t>
  </si>
  <si>
    <t>MICHAEL</t>
  </si>
  <si>
    <t>DAVID</t>
  </si>
  <si>
    <t>ANGELINA</t>
  </si>
  <si>
    <t>AEIMEN</t>
  </si>
  <si>
    <t>DARREN</t>
  </si>
  <si>
    <t>D. EDY</t>
  </si>
  <si>
    <t>ROSS</t>
  </si>
  <si>
    <t>REYNALDO</t>
  </si>
  <si>
    <t>ELSHADAY</t>
  </si>
  <si>
    <t>SAMANTHA</t>
  </si>
  <si>
    <t>BRADLEY</t>
  </si>
  <si>
    <t>CRAIG</t>
  </si>
  <si>
    <t>JACOB</t>
  </si>
  <si>
    <t>SCOTT</t>
  </si>
  <si>
    <t>JAMES</t>
  </si>
  <si>
    <t>Last + First</t>
  </si>
  <si>
    <t>Employee First Name</t>
  </si>
  <si>
    <t>101-01</t>
  </si>
  <si>
    <t>308-01</t>
  </si>
  <si>
    <t>104-01</t>
  </si>
  <si>
    <t>112-01</t>
  </si>
  <si>
    <t>129-01</t>
  </si>
  <si>
    <t>122-01</t>
  </si>
  <si>
    <t>808-01</t>
  </si>
  <si>
    <t>812-01</t>
  </si>
  <si>
    <t>SWITCH UNKNOWN</t>
  </si>
  <si>
    <t>Track device (7)</t>
  </si>
  <si>
    <t>814-01</t>
  </si>
  <si>
    <t>140-01</t>
  </si>
  <si>
    <t>144-01</t>
  </si>
  <si>
    <t>815-01</t>
  </si>
  <si>
    <t>816-01</t>
  </si>
  <si>
    <t>154-01</t>
  </si>
  <si>
    <t>157-01</t>
  </si>
  <si>
    <t>163-01</t>
  </si>
  <si>
    <t>818-01</t>
  </si>
  <si>
    <t>160-01</t>
  </si>
  <si>
    <t>820-01</t>
  </si>
  <si>
    <t>821-01</t>
  </si>
  <si>
    <t>822-01</t>
  </si>
  <si>
    <t>54-01</t>
  </si>
  <si>
    <t>183-01</t>
  </si>
  <si>
    <t>824-01</t>
  </si>
  <si>
    <t>180-01</t>
  </si>
  <si>
    <t>rtdc.l.rtdc.4015:itc</t>
  </si>
  <si>
    <t>184-01</t>
  </si>
  <si>
    <t>825-01</t>
  </si>
  <si>
    <t>904-01</t>
  </si>
  <si>
    <t>186-01</t>
  </si>
  <si>
    <t>193-01</t>
  </si>
  <si>
    <t>190-01</t>
  </si>
  <si>
    <t>832-01</t>
  </si>
  <si>
    <t>836-01</t>
  </si>
  <si>
    <t>837-01</t>
  </si>
  <si>
    <t>75-01</t>
  </si>
  <si>
    <t>303-01</t>
  </si>
  <si>
    <t>217-01</t>
  </si>
  <si>
    <t>838-01</t>
  </si>
  <si>
    <t>841-01</t>
  </si>
  <si>
    <t>218-01</t>
  </si>
  <si>
    <t>rtdc.l.rtdc.4017:itc</t>
  </si>
  <si>
    <t>222-01</t>
  </si>
  <si>
    <t>242-01</t>
  </si>
  <si>
    <t>240-01</t>
  </si>
  <si>
    <t>304-01</t>
  </si>
  <si>
    <t>103-01</t>
  </si>
  <si>
    <t>306-01</t>
  </si>
  <si>
    <t>ROBINSON</t>
  </si>
  <si>
    <t>KADDIBA</t>
  </si>
  <si>
    <t>STRICKLAND</t>
  </si>
  <si>
    <t>EVAN</t>
  </si>
  <si>
    <t>rtdc.l.rtdc.4028:itc</t>
  </si>
  <si>
    <t>102-01</t>
  </si>
  <si>
    <t>105-01</t>
  </si>
  <si>
    <t>107-01</t>
  </si>
  <si>
    <t>310-01</t>
  </si>
  <si>
    <t>109-01</t>
  </si>
  <si>
    <t>111-01</t>
  </si>
  <si>
    <t>rtdc.l.rtdc.4027:itc</t>
  </si>
  <si>
    <t>113-01</t>
  </si>
  <si>
    <t>106-01</t>
  </si>
  <si>
    <t>901-01</t>
  </si>
  <si>
    <t>YORK</t>
  </si>
  <si>
    <t>EDGAR</t>
  </si>
  <si>
    <t>800-01</t>
  </si>
  <si>
    <t>108-01</t>
  </si>
  <si>
    <t>115-01</t>
  </si>
  <si>
    <t>801-01</t>
  </si>
  <si>
    <t>117-01</t>
  </si>
  <si>
    <t>110-01</t>
  </si>
  <si>
    <t>902-01</t>
  </si>
  <si>
    <t>ISHMAEL</t>
  </si>
  <si>
    <t>JOSEPH</t>
  </si>
  <si>
    <t>119-01</t>
  </si>
  <si>
    <t>114-01</t>
  </si>
  <si>
    <t>803-01</t>
  </si>
  <si>
    <t>802-01</t>
  </si>
  <si>
    <t>116-01</t>
  </si>
  <si>
    <t>121-01</t>
  </si>
  <si>
    <t>123-01</t>
  </si>
  <si>
    <t>805-01</t>
  </si>
  <si>
    <t>118-01</t>
  </si>
  <si>
    <t>804-01</t>
  </si>
  <si>
    <t>120-01</t>
  </si>
  <si>
    <t>125-01</t>
  </si>
  <si>
    <t>127-01</t>
  </si>
  <si>
    <t>807-01</t>
  </si>
  <si>
    <t>806-01</t>
  </si>
  <si>
    <t>124-01</t>
  </si>
  <si>
    <t>131-01</t>
  </si>
  <si>
    <t>GRASTON</t>
  </si>
  <si>
    <t>MATHEU</t>
  </si>
  <si>
    <t>809-01</t>
  </si>
  <si>
    <t>126-01</t>
  </si>
  <si>
    <t>133-01</t>
  </si>
  <si>
    <t>128-01</t>
  </si>
  <si>
    <t>135-01</t>
  </si>
  <si>
    <t>811-01</t>
  </si>
  <si>
    <t>130-01</t>
  </si>
  <si>
    <t>810-01</t>
  </si>
  <si>
    <t>132-01</t>
  </si>
  <si>
    <t>137-01</t>
  </si>
  <si>
    <t>903-01</t>
  </si>
  <si>
    <t>139-01</t>
  </si>
  <si>
    <t>134-01</t>
  </si>
  <si>
    <t>141-01</t>
  </si>
  <si>
    <t>136-01</t>
  </si>
  <si>
    <t>143-01</t>
  </si>
  <si>
    <t>138-01</t>
  </si>
  <si>
    <t>145-01</t>
  </si>
  <si>
    <t>813-01</t>
  </si>
  <si>
    <t>147-01</t>
  </si>
  <si>
    <t>142-01</t>
  </si>
  <si>
    <t>149-01</t>
  </si>
  <si>
    <t>151-01</t>
  </si>
  <si>
    <t>146-01</t>
  </si>
  <si>
    <t>148-01</t>
  </si>
  <si>
    <t>153-01</t>
  </si>
  <si>
    <t>155-01</t>
  </si>
  <si>
    <t>150-01</t>
  </si>
  <si>
    <t>rtdc.l.rtdc.4019:itc</t>
  </si>
  <si>
    <t>50-01</t>
  </si>
  <si>
    <t>HILLS</t>
  </si>
  <si>
    <t>DUSTIN</t>
  </si>
  <si>
    <t>152-01</t>
  </si>
  <si>
    <t>159-01</t>
  </si>
  <si>
    <t>52-01</t>
  </si>
  <si>
    <t>817-01</t>
  </si>
  <si>
    <t>156-01</t>
  </si>
  <si>
    <t>161-01</t>
  </si>
  <si>
    <t>SHOOK</t>
  </si>
  <si>
    <t>rtdc.l.rtdc.4020:itc</t>
  </si>
  <si>
    <t>51-01</t>
  </si>
  <si>
    <t>158-01</t>
  </si>
  <si>
    <t>165-01</t>
  </si>
  <si>
    <t>rtdc.l.rtdc.4018:itc</t>
  </si>
  <si>
    <t>53-01</t>
  </si>
  <si>
    <t>167-01</t>
  </si>
  <si>
    <t>ARVIDSON</t>
  </si>
  <si>
    <t>DANIEL</t>
  </si>
  <si>
    <t>819-01</t>
  </si>
  <si>
    <t>162-01</t>
  </si>
  <si>
    <t>169-01</t>
  </si>
  <si>
    <t>164-01</t>
  </si>
  <si>
    <t>171-01</t>
  </si>
  <si>
    <t>166-01</t>
  </si>
  <si>
    <t>57-01</t>
  </si>
  <si>
    <t>OUN</t>
  </si>
  <si>
    <t>ZACK</t>
  </si>
  <si>
    <t>173-01</t>
  </si>
  <si>
    <t>168-01</t>
  </si>
  <si>
    <t>58-01</t>
  </si>
  <si>
    <t>175-01</t>
  </si>
  <si>
    <t>170-01</t>
  </si>
  <si>
    <t>177-01</t>
  </si>
  <si>
    <t>172-01</t>
  </si>
  <si>
    <t>179-01</t>
  </si>
  <si>
    <t>174-01</t>
  </si>
  <si>
    <t>181-01</t>
  </si>
  <si>
    <t>176-01</t>
  </si>
  <si>
    <t>178-01</t>
  </si>
  <si>
    <t>185-01</t>
  </si>
  <si>
    <t>823-01</t>
  </si>
  <si>
    <t>187-01</t>
  </si>
  <si>
    <t>182-01</t>
  </si>
  <si>
    <t>189-01</t>
  </si>
  <si>
    <t>191-01</t>
  </si>
  <si>
    <t>188-01</t>
  </si>
  <si>
    <t>195-01</t>
  </si>
  <si>
    <t>827-01</t>
  </si>
  <si>
    <t>826-01</t>
  </si>
  <si>
    <t>197-01</t>
  </si>
  <si>
    <t>192-01</t>
  </si>
  <si>
    <t>194-01</t>
  </si>
  <si>
    <t>829-01</t>
  </si>
  <si>
    <t>199-01</t>
  </si>
  <si>
    <t>828-01</t>
  </si>
  <si>
    <t>201-01</t>
  </si>
  <si>
    <t>196-01</t>
  </si>
  <si>
    <t>203-01</t>
  </si>
  <si>
    <t>56-01</t>
  </si>
  <si>
    <t>DELGADO</t>
  </si>
  <si>
    <t>DIANAH</t>
  </si>
  <si>
    <t>198-01</t>
  </si>
  <si>
    <t>831-01</t>
  </si>
  <si>
    <t>830-01</t>
  </si>
  <si>
    <t>200-01</t>
  </si>
  <si>
    <t>205-01</t>
  </si>
  <si>
    <t>202-01</t>
  </si>
  <si>
    <t>207-01</t>
  </si>
  <si>
    <t>833-01</t>
  </si>
  <si>
    <t>209-01</t>
  </si>
  <si>
    <t>60-01</t>
  </si>
  <si>
    <t>204-01</t>
  </si>
  <si>
    <t>211-01</t>
  </si>
  <si>
    <t>835-01</t>
  </si>
  <si>
    <t>213-01</t>
  </si>
  <si>
    <t>206-01</t>
  </si>
  <si>
    <t>834-01</t>
  </si>
  <si>
    <t>208-01</t>
  </si>
  <si>
    <t>215-01</t>
  </si>
  <si>
    <t>62-01</t>
  </si>
  <si>
    <t>MACDONALD</t>
  </si>
  <si>
    <t>THOMAS</t>
  </si>
  <si>
    <t>67-01</t>
  </si>
  <si>
    <t>210-01</t>
  </si>
  <si>
    <t>212-01</t>
  </si>
  <si>
    <t>219-01</t>
  </si>
  <si>
    <t>839-01</t>
  </si>
  <si>
    <t>214-01</t>
  </si>
  <si>
    <t>216-01</t>
  </si>
  <si>
    <t>221-01</t>
  </si>
  <si>
    <t>GREGORY</t>
  </si>
  <si>
    <t>906-01</t>
  </si>
  <si>
    <t>305-01</t>
  </si>
  <si>
    <t>223-01</t>
  </si>
  <si>
    <t>220-01</t>
  </si>
  <si>
    <t>840-01</t>
  </si>
  <si>
    <t>307-01</t>
  </si>
  <si>
    <t>225-01</t>
  </si>
  <si>
    <t>227-01</t>
  </si>
  <si>
    <t>843-01</t>
  </si>
  <si>
    <t>224-01</t>
  </si>
  <si>
    <t>842-01</t>
  </si>
  <si>
    <t>226-01</t>
  </si>
  <si>
    <t>229-01</t>
  </si>
  <si>
    <t>845-01</t>
  </si>
  <si>
    <t>228-01</t>
  </si>
  <si>
    <t>231-01</t>
  </si>
  <si>
    <t>844-01</t>
  </si>
  <si>
    <t>230-01</t>
  </si>
  <si>
    <t>233-01</t>
  </si>
  <si>
    <t>847-01</t>
  </si>
  <si>
    <t>235-01</t>
  </si>
  <si>
    <t>232-01</t>
  </si>
  <si>
    <t>908-01</t>
  </si>
  <si>
    <t>237-01</t>
  </si>
  <si>
    <t>234-01</t>
  </si>
  <si>
    <t>236-01</t>
  </si>
  <si>
    <t>239-01</t>
  </si>
  <si>
    <t>238-01</t>
  </si>
  <si>
    <t>241-01</t>
  </si>
  <si>
    <t>243-01</t>
  </si>
  <si>
    <t>309-01</t>
  </si>
  <si>
    <t>311-01</t>
  </si>
  <si>
    <t>244-01</t>
  </si>
  <si>
    <t>313-01</t>
  </si>
  <si>
    <t>Mostly Cloudy</t>
  </si>
  <si>
    <t>204:788</t>
  </si>
  <si>
    <t>204:232672</t>
  </si>
  <si>
    <t>204:232681</t>
  </si>
  <si>
    <t>204:218</t>
  </si>
  <si>
    <t>204:112</t>
  </si>
  <si>
    <t>204:469</t>
  </si>
  <si>
    <t>204:734</t>
  </si>
  <si>
    <t>204:233282</t>
  </si>
  <si>
    <t>204:249</t>
  </si>
  <si>
    <t>204:433</t>
  </si>
  <si>
    <t>204:870</t>
  </si>
  <si>
    <t>204:498</t>
  </si>
  <si>
    <t>204:233329</t>
  </si>
  <si>
    <t>204:746</t>
  </si>
  <si>
    <t>204:183</t>
  </si>
  <si>
    <t>204:167</t>
  </si>
  <si>
    <t>204:559</t>
  </si>
  <si>
    <t>204:233000</t>
  </si>
  <si>
    <t>204:19122</t>
  </si>
  <si>
    <t>204:2705</t>
  </si>
  <si>
    <t>204:233264</t>
  </si>
  <si>
    <t>204:132</t>
  </si>
  <si>
    <t>204:233316</t>
  </si>
  <si>
    <t>204:232978</t>
  </si>
  <si>
    <t>204:232971</t>
  </si>
  <si>
    <t>204:86352</t>
  </si>
  <si>
    <t>204:1184</t>
  </si>
  <si>
    <t>204:489</t>
  </si>
  <si>
    <t>204:233366</t>
  </si>
  <si>
    <t>204:233030</t>
  </si>
  <si>
    <t>204:233332</t>
  </si>
  <si>
    <t>204:233028</t>
  </si>
  <si>
    <t>204:233341</t>
  </si>
  <si>
    <t>204:233023</t>
  </si>
  <si>
    <t>204:233323</t>
  </si>
  <si>
    <t>204:232973</t>
  </si>
  <si>
    <t>204:233283</t>
  </si>
  <si>
    <t>204:232976</t>
  </si>
  <si>
    <t>204:233042</t>
  </si>
  <si>
    <t>204:233327</t>
  </si>
  <si>
    <t>204:154310</t>
  </si>
  <si>
    <t>204:903</t>
  </si>
  <si>
    <t>204:918</t>
  </si>
  <si>
    <t>204:154968</t>
  </si>
  <si>
    <t>204:105</t>
  </si>
  <si>
    <t>204:36669</t>
  </si>
  <si>
    <t>204:36673</t>
  </si>
  <si>
    <t>204:30033</t>
  </si>
  <si>
    <t>204:233259</t>
  </si>
  <si>
    <t>204:232942</t>
  </si>
  <si>
    <t>204:58039</t>
  </si>
  <si>
    <t>204:36808</t>
  </si>
  <si>
    <t>204:233368</t>
  </si>
  <si>
    <t>204:233044</t>
  </si>
  <si>
    <t>204:902</t>
  </si>
  <si>
    <t>204:426</t>
  </si>
  <si>
    <t>204:233336</t>
  </si>
  <si>
    <t>204:233286</t>
  </si>
  <si>
    <t>204:194780</t>
  </si>
  <si>
    <t>204:1238</t>
  </si>
  <si>
    <t>204:233274</t>
  </si>
  <si>
    <t>204:416</t>
  </si>
  <si>
    <t>204:233391</t>
  </si>
  <si>
    <t>204:98</t>
  </si>
  <si>
    <t>204:233288</t>
  </si>
  <si>
    <t>204:232967</t>
  </si>
  <si>
    <t>204:233361</t>
  </si>
  <si>
    <t>204:233047</t>
  </si>
  <si>
    <t>204:233324</t>
  </si>
  <si>
    <t>204:127</t>
  </si>
  <si>
    <t>204:36284</t>
  </si>
  <si>
    <t>204:233389</t>
  </si>
  <si>
    <t>204:233087</t>
  </si>
  <si>
    <t>204:1223</t>
  </si>
  <si>
    <t>204:232983</t>
  </si>
  <si>
    <t>204:473</t>
  </si>
  <si>
    <t>204:233355</t>
  </si>
  <si>
    <t>204:233051</t>
  </si>
  <si>
    <t>204:114</t>
  </si>
  <si>
    <t>204:233340</t>
  </si>
  <si>
    <t>204:260</t>
  </si>
  <si>
    <t>204:418</t>
  </si>
  <si>
    <t>204:233025</t>
  </si>
  <si>
    <t>204:1109</t>
  </si>
  <si>
    <t>204:200</t>
  </si>
  <si>
    <t>300:22168</t>
  </si>
  <si>
    <t>300:23184</t>
  </si>
  <si>
    <t>300:23308</t>
  </si>
  <si>
    <t>300:23192</t>
  </si>
  <si>
    <t>204:1203</t>
  </si>
  <si>
    <t>300:23306</t>
  </si>
  <si>
    <t>300:18477</t>
  </si>
  <si>
    <t>300:21282</t>
  </si>
  <si>
    <t>300:22852</t>
  </si>
  <si>
    <t>300:23298</t>
  </si>
  <si>
    <t>204:3901</t>
  </si>
  <si>
    <t>300:4846</t>
  </si>
  <si>
    <t>300:4848</t>
  </si>
  <si>
    <t>300:21776</t>
  </si>
  <si>
    <t>204:77</t>
  </si>
  <si>
    <t>204:388</t>
  </si>
  <si>
    <t>300:24208</t>
  </si>
  <si>
    <t>300:22056</t>
  </si>
  <si>
    <t>204:867</t>
  </si>
  <si>
    <t>204:1179</t>
  </si>
  <si>
    <t>300:24243</t>
  </si>
  <si>
    <t>300:21769</t>
  </si>
  <si>
    <t>204:924</t>
  </si>
  <si>
    <t>300:23661</t>
  </si>
  <si>
    <t>204:1503</t>
  </si>
  <si>
    <t>300:31312</t>
  </si>
  <si>
    <t>300:30992</t>
  </si>
  <si>
    <t>204:1182</t>
  </si>
  <si>
    <t>300:23392</t>
  </si>
  <si>
    <t>300:21740</t>
  </si>
  <si>
    <t>204:915</t>
  </si>
  <si>
    <t>204:377</t>
  </si>
  <si>
    <t>204:1165</t>
  </si>
  <si>
    <t>300:23310</t>
  </si>
  <si>
    <t>300:58604</t>
  </si>
  <si>
    <t>204:745</t>
  </si>
  <si>
    <t>204:1020</t>
  </si>
  <si>
    <t>300:58928</t>
  </si>
  <si>
    <t>300:58596</t>
  </si>
  <si>
    <t>204:743</t>
  </si>
  <si>
    <t>300:58937</t>
  </si>
  <si>
    <t>300:58619</t>
  </si>
  <si>
    <t>204:701</t>
  </si>
  <si>
    <t>204:1023</t>
  </si>
  <si>
    <t>300:58926</t>
  </si>
  <si>
    <t>300:58617</t>
  </si>
  <si>
    <t>204:731</t>
  </si>
  <si>
    <t>204:985</t>
  </si>
  <si>
    <t>300:58066</t>
  </si>
  <si>
    <t>204:1025</t>
  </si>
  <si>
    <t>300:58634</t>
  </si>
  <si>
    <t>204:764</t>
  </si>
  <si>
    <t>300:58941</t>
  </si>
  <si>
    <t>300:58626</t>
  </si>
  <si>
    <t>204:740</t>
  </si>
  <si>
    <t>204:682</t>
  </si>
  <si>
    <t>300:58613</t>
  </si>
  <si>
    <t>204:678</t>
  </si>
  <si>
    <t>204:974</t>
  </si>
  <si>
    <t>300:58924</t>
  </si>
  <si>
    <t>300:58615</t>
  </si>
  <si>
    <t>204:684</t>
  </si>
  <si>
    <t>204:754</t>
  </si>
  <si>
    <t>204:768</t>
  </si>
  <si>
    <t>204:1041</t>
  </si>
  <si>
    <t>300:58944</t>
  </si>
  <si>
    <t>300:58630</t>
  </si>
  <si>
    <t>204:941</t>
  </si>
  <si>
    <t>300:58929</t>
  </si>
  <si>
    <t>300:58621</t>
  </si>
  <si>
    <t>204:1027</t>
  </si>
  <si>
    <t>300:58931</t>
  </si>
  <si>
    <t>204:960</t>
  </si>
  <si>
    <t>300:58609</t>
  </si>
  <si>
    <t>204:668</t>
  </si>
  <si>
    <t>204:663</t>
  </si>
  <si>
    <t>300:31191</t>
  </si>
  <si>
    <t>204:951</t>
  </si>
  <si>
    <t>300:39560</t>
  </si>
  <si>
    <t>204:733</t>
  </si>
  <si>
    <t>204:1030</t>
  </si>
  <si>
    <t>300:28639</t>
  </si>
  <si>
    <t>300:30086</t>
  </si>
  <si>
    <t>300:58922</t>
  </si>
  <si>
    <t>300:23256</t>
  </si>
  <si>
    <t>204:670</t>
  </si>
  <si>
    <t>300:24252</t>
  </si>
  <si>
    <t>300:23387</t>
  </si>
  <si>
    <t>300:28789</t>
  </si>
  <si>
    <t>300:21615</t>
  </si>
  <si>
    <t>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 &amp; aws s3 cp s3://rtdc.mdm.uploadarchive.raw/RTDC4046/ "%USERPROFILE%\AppData\Local\Temp\OnboardLogs"\RTDC4046\2016-12-02 --exclude "*" --recursive --include "*20161202*" &amp; "%USERPROFILE%\Documents\GitHub\mrs-test-scripts\Headless Mode &amp; Sideloading\WalkAndUnGZ.bat" "%USERPROFILE%\AppData\Local\Temp\OnboardLogs"\RTDC4046\2016-12-02</t>
  </si>
  <si>
    <t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t>
  </si>
  <si>
    <t>aws s3 cp s3://rtdc.mdm.uploadarchive.raw/RTDC4028/ "%USERPROFILE%\AppData\Local\Temp\OnboardLogs"\RTDC4028\2016-12-01 --exclude "*" --recursive --include "*20161201*" &amp; "%USERPROFILE%\Documents\GitHub\mrs-test-scripts\Headless Mode &amp; Sideloading\WalkAndUnGZ.bat" "%USERPROFILE%\AppData\Local\Temp\OnboardLogs"\RTDC4028\2016-12-01 &amp; 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</t>
  </si>
  <si>
    <t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t>
  </si>
  <si>
    <t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t>
  </si>
  <si>
    <t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t>
  </si>
  <si>
    <t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t>
  </si>
  <si>
    <t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t>
  </si>
  <si>
    <t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t>
  </si>
  <si>
    <t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t>
  </si>
  <si>
    <t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t>
  </si>
  <si>
    <t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t>
  </si>
  <si>
    <t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t>
  </si>
  <si>
    <t>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 &amp; aws s3 cp s3://rtdc.mdm.uploadarchive.raw/RTDC4032/ "%USERPROFILE%\AppData\Local\Temp\OnboardLogs"\RTDC4032\2016-12-03 --exclude "*" --recursive --include "*20161203*" &amp; "%USERPROFILE%\Documents\GitHub\mrs-test-scripts\Headless Mode &amp; Sideloading\WalkAndUnGZ.bat" "%USERPROFILE%\AppData\Local\Temp\OnboardLogs"\RTDC4032\2016-12-03</t>
  </si>
  <si>
    <t>aws s3 cp s3://rtdc.mdm.uploadarchive.raw/RTDC4017/ "%USERPROFILE%\AppData\Local\Temp\OnboardLogs"\RTDC4017\2016-12-01 --exclude "*" --recursive --include "*20161201*" &amp; "%USERPROFILE%\Documents\GitHub\mrs-test-scripts\Headless Mode &amp; Sideloading\WalkAndUnGZ.bat" "%USERPROFILE%\AppData\Local\Temp\OnboardLogs"\RTDC4017\2016-12-01 &amp; 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</t>
  </si>
  <si>
    <t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t>
  </si>
  <si>
    <t>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 &amp; aws s3 cp s3://rtdc.mdm.uploadarchive.raw/RTDC4045/ "%USERPROFILE%\AppData\Local\Temp\OnboardLogs"\RTDC4045\2016-12-02 --exclude "*" --recursive --include "*20161202*" &amp; "%USERPROFILE%\Documents\GitHub\mrs-test-scripts\Headless Mode &amp; Sideloading\WalkAndUnGZ.bat" "%USERPROFILE%\AppData\Local\Temp\OnboardLogs"\RTDC4045\2016-12-02</t>
  </si>
  <si>
    <t>aws s3 cp s3://rtdc.mdm.uploadarchive.raw/RTDC4037/ "%USERPROFILE%\AppData\Local\Temp\OnboardLogs"\RTDC4037\2016-12-02 --exclude "*" --recursive --include "*20161202*" &amp; "%USERPROFILE%\Documents\GitHub\mrs-test-scripts\Headless Mode &amp; Sideloading\WalkAndUnGZ.bat" "%USERPROFILE%\AppData\Local\Temp\OnboardLogs"\RTDC4037\2016-12-02 &amp; 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</t>
  </si>
  <si>
    <t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t>
  </si>
  <si>
    <t>aws s3 cp s3://rtdc.mdm.uploadarchive.raw/RTDC4016/ "%USERPROFILE%\AppData\Local\Temp\OnboardLogs"\RTDC4016\2016-12-01 --exclude "*" --recursive --include "*20161201*" &amp; "%USERPROFILE%\Documents\GitHub\mrs-test-scripts\Headless Mode &amp; Sideloading\WalkAndUnGZ.bat" "%USERPROFILE%\AppData\Local\Temp\OnboardLogs"\RTDC4016\2016-12-01 &amp; 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</t>
  </si>
  <si>
    <t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t>
  </si>
  <si>
    <t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t>
  </si>
  <si>
    <t>Reinit at Station Stop</t>
  </si>
  <si>
    <t>Overshot 61st platform (also selected wrong track at start of run)</t>
  </si>
  <si>
    <t>At 15:23:40, EC0365RH 40-2T 2S dropped from 270 to STOP &amp; PROCEED. Did anything wrong happen during this time?</t>
  </si>
  <si>
    <t>CP Bright ELXS Failure</t>
  </si>
  <si>
    <t>Delayed at 40th</t>
  </si>
  <si>
    <t>http://stevetu21.github.io/eaglep3/load_kml.html?kml=http://rtdc.gmaps-snips.s3.amazonaws.com/267a6369-d2c4-469f-9f9c-b6ef7b1bb940.kml</t>
  </si>
  <si>
    <t>http://stevetu21.github.io/eaglep3/load_kml.html?kml=http://rtdc.gmaps-snips.s3.amazonaws.com/55503dea-8fa6-4d64-986d-0e94520577b1.kml</t>
  </si>
  <si>
    <t>http://stevetu21.github.io/eaglep3/load_kml.html?kml=http://rtdc.gmaps-snips.s3.amazonaws.com/5ba10d5c-6e11-43b5-9cda-f20747bf9b9a.kml</t>
  </si>
  <si>
    <t>http://stevetu21.github.io/eaglep3/load_kml.html?kml=http://rtdc.gmaps-snips.s3.amazonaws.com/85ecb7c6-1f90-4c5b-89fe-22a9aea3045f.kml</t>
  </si>
  <si>
    <t>Bright ELXS Failure</t>
  </si>
  <si>
    <t>http://stevetu21.github.io/eaglep3/load_kml.html?kml=http://rtdc.gmaps-snips.s3.amazonaws.com/d347e678-4bb5-4440-a2c7-e870f7398960.kml</t>
  </si>
  <si>
    <t>Early arrival (41st)</t>
  </si>
  <si>
    <t>SYS :2016/12/01 10:51:15.594:ENFORCEMENT:Predictive Enforcement Action:  Target Number: 00001002  Target Speed:   0.0  Current Speed:  12.4</t>
  </si>
  <si>
    <t>SYS :2016/12/01 10:51:34.089:ENFORCEMENT:Predictive Enforcement Action:  Target Number: 00001002  Target Speed:   0.0  Current Speed:   6.0</t>
  </si>
  <si>
    <t>SYS :2016/12/01 10:51:34.235:ENFORCEMENT:Predictive Enforcement Action:  Target Number: 00001002  Target Speed:   0.0  Current Speed:   6.0</t>
  </si>
  <si>
    <t>SYS :2016/12/01 11:07:25.978:ENFORCEMENT:Predictive Enforcement Action:  Target Number: 0000601E  Target Speed:   0.0  Current Speed:  16.2</t>
  </si>
  <si>
    <t>SYS :2016/12/01 11:07:26.305:ENFORCEMENT:Predictive Enforcement Action:  Target Number: 0000601E  Target Speed:   0.0  Current Speed:  16.2</t>
  </si>
  <si>
    <t>SYS :2016/12/01 11:07:26.380:ENFORCEMENT:Predictive Enforcement Action:  Target Number: 0000601E  Target Speed:   0.0  Current Speed:  16.2</t>
  </si>
  <si>
    <t>SYS :2016/12/01 12:17:39.585:ENFORCEMENT:Predictive Enforcement Action:  Target Number: 0001005A  Target Speed:  20.0  Current Speed:  28.7</t>
  </si>
  <si>
    <t>SYS :2016/12/01 12:17:39.867:ENFORCEMENT:Predictive Enforcement Action:  Target Number: 0001005C  Target Speed:  20.0  Current Speed:  28.5</t>
  </si>
  <si>
    <t>SYS :2016/12/01 12:20:50.868:ENFORCEMENT:Predictive Enforcement Action:  Target Number: 00001007  Target Speed:   0.0  Current Speed:   6.2</t>
  </si>
  <si>
    <t>SYS :2016/12/01 12:20:51.579:ENFORCEMENT:Predictive Enforcement Action:  Target Number: 00001007  Target Speed:   0.0  Current Speed:   6.2</t>
  </si>
  <si>
    <t>SYS :2016/12/01 13:34:47.138:ENFORCEMENT:Predictive Enforcement Action:  Target Number: 00001002  Target Speed:   0.0  Current Speed:   7.8</t>
  </si>
  <si>
    <t>SYS :2016/12/01 13:34:47.180:ENFORCEMENT:Predictive Enforcement Action:  Target Number: 00001002  Target Speed:   0.0  Current Speed:   7.8</t>
  </si>
  <si>
    <t>SYS :2016/12/01 13:34:47.245:ENFORCEMENT:Predictive Enforcement Action:  Target Number: 00001002  Target Speed:   0.0  Current Speed:   7.8</t>
  </si>
  <si>
    <t>SYS :2016/12/01 14:18:53.190:ENFORCEMENT:Predictive Enforcement Action:  Target Number: 00010040  Target Speed:  40.0  Current Speed:  50.6</t>
  </si>
  <si>
    <t>SYS :2016/12/01 14:18:53.265:ENFORCEMENT:Predictive Enforcement Action:  Target Number: 0001001B  Target Speed:  40.0  Current Speed:  50.4</t>
  </si>
  <si>
    <t>SYS :2016/12/01 14:18:53.641:ENFORCEMENT:Predictive Enforcement Action:  Target Number: 00010040  Target Speed:  40.0  Current Speed:  50.4</t>
  </si>
  <si>
    <t>SYS :2016/12/01 14:47:20.386:ENFORCEMENT:Reactive Enforcement Action:  Target Number: 0000A006  Target Speed:  15.0  Current Speed:  20.6</t>
  </si>
  <si>
    <t>SYS :2016/12/01 14:47:20.977:ENFORCEMENT:Reactive Enforcement Action:  Target Number: 0000A006  Target Speed:  15.0  Current Speed:  20.6</t>
  </si>
  <si>
    <t>SYS :2016/12/01 14:49:41.612:ENFORCEMENT:Predictive Enforcement Action:  Target Number: 000065D9  Target Speed:   0.0  Current Speed:  37.7</t>
  </si>
  <si>
    <t>SYS :2016/12/01 14:49:41.836:ENFORCEMENT:Predictive Enforcement Action:  Target Number: 0000645E  Target Speed:   0.0  Current Speed:  37.7</t>
  </si>
  <si>
    <t>SYS :2016/12/01 14:49:41.948:ENFORCEMENT:Predictive Enforcement Action:  Target Number: 000065C6  Target Speed:   0.0  Current Speed:  37.7</t>
  </si>
  <si>
    <t>SYS :2016/12/01 14:55:42.968:ENFORCEMENT:Predictive Enforcement Action:  Target Number: 0000100C  Target Speed:   0.0  Current Speed:   5.1</t>
  </si>
  <si>
    <t>SYS :2016/12/01 15:49:11.625:ENFORCEMENT:Predictive Enforcement Action:  Target Number: 0000425F  Target Speed:   0.0  Current Speed:  49.8</t>
  </si>
  <si>
    <t>SYS :2016/12/01 15:49:11.989:ENFORCEMENT:Predictive Enforcement Action:  Target Number: 00004261  Target Speed:   0.0  Current Speed:  49.8</t>
  </si>
  <si>
    <t>SYS :2016/12/01 15:49:12.000:ENFORCEMENT:Predictive Enforcement Action:  Target Number: 000041E2  Target Speed:   0.0  Current Speed:  49.8</t>
  </si>
  <si>
    <t>SYS :2016/12/01 16:46:34.592:ENFORCEMENT:Reactive Enforcement Action:  Target Number: 0001033B  Target Speed:  40.0  Current Speed:  45.1</t>
  </si>
  <si>
    <t>SYS :2016/12/01 16:46:34.806:ENFORCEMENT:Reactive Enforcement Action:  Target Number: 00010288  Target Speed:  40.0  Current Speed:  45.1</t>
  </si>
  <si>
    <t>SYS :2016/12/01 16:46:34.954:ENFORCEMENT:Reactive Enforcement Action:  Target Number: 0001033C  Target Speed:  40.0  Current Speed:  45.1</t>
  </si>
  <si>
    <t>SYS :2016/12/01 17:07:13.147:ENFORCEMENT:Predictive Enforcement Action:  Target Number: 00001007  Target Speed:   0.0  Current Speed:   6.1</t>
  </si>
  <si>
    <t>SYS :2016/12/01 17:07:13.180:ENFORCEMENT:Predictive Enforcement Action:  Target Number: 00001007  Target Speed:   0.0  Current Speed:   6.1</t>
  </si>
  <si>
    <t>SYS :2016/12/01 17:07:13.193:ENFORCEMENT:Predictive Enforcement Action:  Target Number: 00001004  Target Speed:   0.0  Current Speed:   6.1</t>
  </si>
  <si>
    <t>SYS :2016/12/01 17:28:32.439:ENFORCEMENT:Reactive Enforcement Action:  Target Number: 0000A003  Target Speed:  15.0  Current Speed:  21.0</t>
  </si>
  <si>
    <t>SYS :2016/12/01 17:28:32.804:ENFORCEMENT:Reactive Enforcement Action:  Target Number: 0000A003  Target Speed:  15.0  Current Speed:  21.0</t>
  </si>
  <si>
    <t>SYS :2016/12/01 17:51:17.593:ENFORCEMENT:Reactive Enforcement Action:  Target Number: 00010354  Target Speed:  60.0  Current Speed:  65.4</t>
  </si>
  <si>
    <t>SYS :2016/12/01 17:51:17.815:ENFORCEMENT:Reactive Enforcement Action:  Target Number: 000102A1  Target Speed:  60.0  Current Speed:  65.4</t>
  </si>
  <si>
    <t>SYS :2016/12/01 17:51:17.989:ENFORCEMENT:Reactive Enforcement Action:  Target Number: 00010355  Target Speed:  60.0  Current Speed:  65.4</t>
  </si>
  <si>
    <t>SYS :2016/12/01 18:16:02.150:ENFORCEMENT:Predictive Enforcement Action:  Target Number: 000060F7  Target Speed:   0.0  Current Speed:  44.7</t>
  </si>
  <si>
    <t>SYS :2016/12/01 18:16:02.184:ENFORCEMENT:Predictive Enforcement Action:  Target Number: 00006118  Target Speed:   0.0  Current Speed:  43.9</t>
  </si>
  <si>
    <t>SYS :2016/12/01 18:19:48.176:ENFORCEMENT:Predictive Enforcement Action:  Target Number: 000100A5  Target Speed:  15.0  Current Speed:  21.7</t>
  </si>
  <si>
    <t>SYS :2016/12/01 18:19:48.619:ENFORCEMENT:Predictive Enforcement Action:  Target Number: 000100A3  Target Speed:  15.0  Current Speed:  21.5</t>
  </si>
  <si>
    <t>SYS :2016/12/01 18:42:11.451:ENFORCEMENT:Predictive Enforcement Action:  Target Number: 0000616C  Target Speed:   0.0  Current Speed:  59.6</t>
  </si>
  <si>
    <t>SYS :2016/12/01 18:42:11.553:ENFORCEMENT:Predictive Enforcement Action:  Target Number: 0000616A  Target Speed:   0.0  Current Speed:  59.6</t>
  </si>
  <si>
    <t>SYS :2016/12/01 18:49:41.846:ENFORCEMENT:Predictive Enforcement Action:  Target Number: 000064DD  Target Speed:   0.0  Current Speed:  37.9</t>
  </si>
  <si>
    <t>SYS :2016/12/01 18:49:41.971:ENFORCEMENT:Predictive Enforcement Action:  Target Number: 00006645  Target Speed:   0.0  Current Speed:  37.9</t>
  </si>
  <si>
    <t>SYS :2016/12/01 18:49:42.597:ENFORCEMENT:Predictive Enforcement Action:  Target Number: 00006658  Target Speed:   0.0  Current Speed:  38.0</t>
  </si>
  <si>
    <t>SYS :2016/12/01 19:02:37.560:ENFORCEMENT:Reactive Enforcement Action:  Target Number: 000100C8  Target Speed:  70.0  Current Speed:  75.0</t>
  </si>
  <si>
    <t>SYS :2016/12/01 19:02:38.433:ENFORCEMENT:Reactive Enforcement Action:  Target Number: 000100C7  Target Speed:  70.0  Current Speed:  75.0</t>
  </si>
  <si>
    <t>SYS :2016/12/01 19:37:22.863:ENFORCEMENT:Predictive Enforcement Action:  Target Number: 0000100F  Target Speed:   0.0  Current Speed:   3.9</t>
  </si>
  <si>
    <t>SYS :2016/12/01 19:51:04.584:ENFORCEMENT:Reactive Enforcement Action:  Target Number: 00006688  Target Speed:   0.0  Current Speed:  29.9</t>
  </si>
  <si>
    <t>SYS :2016/12/01 19:51:04.803:ENFORCEMENT:Reactive Enforcement Action:  Target Number: 00006505  Target Speed:   0.0  Current Speed:  29.9</t>
  </si>
  <si>
    <t>SYS :2016/12/01 19:51:04.964:ENFORCEMENT:Reactive Enforcement Action:  Target Number: 0000666D  Target Speed:   0.0  Current Speed:  29.9</t>
  </si>
  <si>
    <t>SYS :2016/12/01 19:52:08.079:ENFORCEMENT:Predictive Enforcement Action:  Target Number: 00006511  Target Speed:   0.0  Current Speed:  20.6</t>
  </si>
  <si>
    <t>SYS :2016/12/01 19:52:08.434:ENFORCEMENT:Predictive Enforcement Action:  Target Number: 00006694  Target Speed:   0.0  Current Speed:  20.6</t>
  </si>
  <si>
    <t>SYS :2016/12/01 19:52:08.948:ENFORCEMENT:Predictive Enforcement Action:  Target Number: 00006673  Target Speed:   0.0  Current Speed:  20.7</t>
  </si>
  <si>
    <t>SYS :2016/12/01 20:49:03.273:ENFORCEMENT:Predictive Enforcement Action:  Target Number: 00001022  Target Speed:   0.0  Current Speed:   3.9</t>
  </si>
  <si>
    <t>SYS :2016/12/01 20:50:06.590:ENFORCEMENT:Predictive Enforcement Action:  Target Number: 000171D8  Target Speed:  32.0  Current Speed:  47.2</t>
  </si>
  <si>
    <t>SYS :2016/12/01 20:50:06.974:ENFORCEMENT:Predictive Enforcement Action:  Target Number: 000171D8  Target Speed:  32.0  Current Speed:  47.2</t>
  </si>
  <si>
    <t>SYS :2016/12/01 21:35:42.840:ENFORCEMENT:Predictive Enforcement Action:  Target Number: 00001005  Target Speed:   0.0  Current Speed:   8.9</t>
  </si>
  <si>
    <t>SYS :2016/12/01 21:35:43.320:ENFORCEMENT:Predictive Enforcement Action:  Target Number: 00001005  Target Speed:   0.0  Current Speed:   8.9</t>
  </si>
  <si>
    <t>SYS :2016/12/01 21:35:43.342:ENFORCEMENT:Predictive Enforcement Action:  Target Number: 00001005  Target Speed:   0.0  Current Speed:   8.9</t>
  </si>
  <si>
    <t>SYS :2016/12/01 21:49:30.649:ENFORCEMENT:Predictive Enforcement Action:  Target Number: 000066D4  Target Speed:   0.0  Current Speed:  29.6</t>
  </si>
  <si>
    <t>SYS :2016/12/01 21:49:30.994:ENFORCEMENT:Predictive Enforcement Action:  Target Number: 000066B8  Target Speed:   0.0  Current Speed:  29.6</t>
  </si>
  <si>
    <t>SYS :2016/12/01 21:49:31.530:ENFORCEMENT:Predictive Enforcement Action:  Target Number: 0000602F  Target Speed:   0.0  Current Speed:  28.8</t>
  </si>
  <si>
    <t>SYS :2016/12/01 21:56:29.349:ENFORCEMENT:Predictive Enforcement Action:  Target Number: 0001006D  Target Speed:  20.0  Current Speed:  26.4</t>
  </si>
  <si>
    <t>SYS :2016/12/01 21:56:29.697:ENFORCEMENT:Predictive Enforcement Action:  Target Number: 000100EE  Target Speed:  20.0  Current Speed:  26.4</t>
  </si>
  <si>
    <t>SYS :2016/12/01 21:56:30.341:ENFORCEMENT:Predictive Enforcement Action:  Target Number: 000100EE  Target Speed:  20.0  Current Speed:  26.6</t>
  </si>
  <si>
    <t>SYS :2016/12/01 22:24:07.273:ENFORCEMENT:Predictive Enforcement Action:  Target Number: 00006400  Target Speed:   0.0  Current Speed:   2.8</t>
  </si>
  <si>
    <t>SYS :2016/12/01 22:24:07.365:ENFORCEMENT:Predictive Enforcement Action:  Target Number: 000063B7  Target Speed:   0.0  Current Speed:   2.8</t>
  </si>
  <si>
    <t>SYS :2016/12/01 22:24:07.942:ENFORCEMENT:Predictive Enforcement Action:  Target Number: 00006409  Target Speed:   0.0  Current Speed:   2.8</t>
  </si>
  <si>
    <t>SYS :2016/12/01 22:25:42.280:ENFORCEMENT:Predictive Enforcement Action:  Target Number: 00006400  Target Speed:   0.0  Current Speed:   2.7</t>
  </si>
  <si>
    <t>SYS :2016/12/01 22:25:42.356:ENFORCEMENT:Predictive Enforcement Action:  Target Number: 000063B7  Target Speed:   0.0  Current Speed:   2.7</t>
  </si>
  <si>
    <t>SYS :2016/12/01 22:25:42.941:ENFORCEMENT:Predictive Enforcement Action:  Target Number: 00006409  Target Speed:   0.0  Current Speed:   2.7</t>
  </si>
  <si>
    <t>SYS :2016/12/01 22:45:43.806:ENFORCEMENT:Predictive Enforcement Action:  Target Number: 000061B4  Target Speed:   0.0  Current Speed:   2.3</t>
  </si>
  <si>
    <t>SYS :2016/12/01 22:45:44.435:ENFORCEMENT:Predictive Enforcement Action:  Target Number: 000061AC  Target Speed:   0.0  Current Speed:   2.3</t>
  </si>
  <si>
    <t>SYS :2016/12/01 22:52:01.377:ENFORCEMENT:Predictive Enforcement Action:  Target Number: 00001010  Target Speed:   0.0  Current Speed:   6.6</t>
  </si>
  <si>
    <t>SYS :2016/12/01 22:52:02.283:ENFORCEMENT:Predictive Enforcement Action:  Target Number: 00001010  Target Speed:   0.0  Current Speed:   6.6</t>
  </si>
  <si>
    <t>SYS :2016/12/01 23:24:21.002:ENFORCEMENT:Predictive Enforcement Action:  Target Number: 00001014  Target Speed:   0.0  Current Speed:   2.3</t>
  </si>
  <si>
    <t>SYS :2016/12/01 23:24:21.467:ENFORCEMENT:Predictive Enforcement Action:  Target Number: 00001015  Target Speed:   0.0  Current Speed:   2.3</t>
  </si>
  <si>
    <t>SYS :2016/12/02 00:27:15.363:ENFORCEMENT:Predictive Enforcement Action:  Target Number: 00001019  Target Speed:   0.0  Current Speed:   8.1</t>
  </si>
  <si>
    <t>SYS :2016/12/02 01:13:24.382:ENFORCEMENT:Reactive Enforcement Action:  Target Number: 000100B1  Target Speed:  15.0  Current Speed:  21.0</t>
  </si>
  <si>
    <t>SYS :2016/12/02 01:13:24.839:ENFORCEMENT:Reactive Enforcement Action:  Target Number: 000100B1  Target Speed:  15.0  Current Speed:  21.0</t>
  </si>
  <si>
    <t>SYS :2016/12/02 01:13:24.929:ENFORCEMENT:Reactive Enforcement Action:  Target Number: 000100B1  Target Speed:  15.0  Current Speed:  21.0</t>
  </si>
  <si>
    <t>SYS :2016/12/02 01:50:26.170:ENFORCEMENT:Predictive Enforcement Action:  Target Number: 00001012  Target Speed:   0.0  Current Speed:   4.2</t>
  </si>
  <si>
    <t>SYS :2016/12/02 01:50:26.614:ENFORCEMENT:Predictive Enforcement Action:  Target Number: 00001012  Target Speed:   0.0  Current Speed:   4.2</t>
  </si>
  <si>
    <t>SYS :2016/12/02 01:50:48.448:ENFORCEMENT:Predictive Enforcement Action:  Target Number: 00006792  Target Speed:   0.0  Current Speed:  24.8</t>
  </si>
  <si>
    <t>SYS :2016/12/02 01:50:48.472:ENFORCEMENT:Predictive Enforcement Action:  Target Number: 00006773  Target Speed:   0.0  Current Speed:  24.8</t>
  </si>
  <si>
    <t>SYS :2016/12/02 02:41:12.810:ENFORCEMENT:Predictive Enforcement Action:  Target Number: 000170CC  Target Speed:   5.0  Current Speed:  14.8</t>
  </si>
  <si>
    <t>SYS :2016/12/02 02:41:13.426:ENFORCEMENT:Predictive Enforcement Action:  Target Number: 000170CD  Target Speed:   5.0  Current Speed:  14.8</t>
  </si>
  <si>
    <t>SYS :2016/12/02 02:41:49.809:ENFORCEMENT:Predictive Enforcement Action:  Target Number: 000170CC  Target Speed:   0.0  Current Speed:   4.6</t>
  </si>
  <si>
    <t>SYS :2016/12/02 02:41:50.431:ENFORCEMENT:Predictive Enforcement Action:  Target Number: 000170CD  Target Speed:   0.0  Current Speed:   4.6</t>
  </si>
  <si>
    <t>SYS :2016/12/02 03:36:11.994:ENFORCEMENT:Predictive Enforcement Action:  Target Number: 0000400B  Target Speed:   0.0  Current Speed:  14.1</t>
  </si>
  <si>
    <t>SYS :2016/12/02 03:36:12.050:ENFORCEMENT:Predictive Enforcement Action:  Target Number: 00004058  Target Speed:   0.0  Current Speed:  14.1</t>
  </si>
  <si>
    <t>SYS :2016/12/02 03:36:12.287:ENFORCEMENT:Predictive Enforcement Action:  Target Number: 00004058  Target Speed:   0.0  Current Speed:  14.2</t>
  </si>
  <si>
    <t>SYS :2016/12/02 06:03:13.652:ENFORCEMENT:Predictive Enforcement Action:  Target Number: 0000101F  Target Speed:   0.0  Current Speed:   3.9</t>
  </si>
  <si>
    <t>SYS :2016/12/02 08:04:23.467:ENFORCEMENT:Predictive Enforcement Action:  Target Number: 0000101F  Target Speed:   0.0  Current Speed:   7.4</t>
  </si>
  <si>
    <t>SYS :2016/12/02 08:04:23.660:ENFORCEMENT:Predictive Enforcement Action:  Target Number: 00001021  Target Speed:   0.0  Current Speed:   7.4</t>
  </si>
  <si>
    <t>SYS :2016/12/02 08:04:24.148:ENFORCEMENT:Predictive Enforcement Action:  Target Number: 00001021  Target Speed:   0.0  Current Speed:   7.4</t>
  </si>
  <si>
    <t>Banner without braking</t>
  </si>
  <si>
    <t>CPU1 commanded brake, others did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</si>
</sst>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80"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queryTable" Target="../queryTables/queryTable1.xml"/><Relationship Id="rId2" Type="http://schemas.openxmlformats.org/officeDocument/2006/relationships/hyperlink" Target="http://stevetu21.github.io/eaglep3/load_kml.html?kml=http://rtdc.gmaps-snips.s3.amazonaws.com/55503dea-8fa6-4d64-986d-0e94520577b1.kml" TargetMode="External"/><Relationship Id="rId1" Type="http://schemas.openxmlformats.org/officeDocument/2006/relationships/hyperlink" Target="http://stevetu21.github.io/eaglep3/load_kml.html?kml=http://rtdc.gmaps-snips.s3.amazonaws.com/267a6369-d2c4-469f-9f9c-b6ef7b1bb940.km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stevetu21.github.io/eaglep3/load_kml.html?kml=http://rtdc.gmaps-snips.s3.amazonaws.com/d347e678-4bb5-4440-a2c7-e870f7398960.kml" TargetMode="External"/><Relationship Id="rId1" Type="http://schemas.openxmlformats.org/officeDocument/2006/relationships/hyperlink" Target="http://stevetu21.github.io/eaglep3/load_kml.html?kml=http://rtdc.gmaps-snips.s3.amazonaws.com/85ecb7c6-1f90-4c5b-89fe-22a9aea3045f.kml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7"/>
  <sheetViews>
    <sheetView tabSelected="1" zoomScaleNormal="100" workbookViewId="0">
      <selection activeCell="N13" sqref="N1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42705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COUNTIFS($N$13:$N$9371,"&gt;0",$AG$13:$AG$9371,I1)</f>
        <v>138</v>
      </c>
      <c r="K5" s="44"/>
      <c r="L5" s="44"/>
      <c r="M5" s="45">
        <f>AVERAGEIFS($N$13:$N$9371,$AG$13:$AG$9371,I1)</f>
        <v>38.232729469436102</v>
      </c>
      <c r="N5" s="43">
        <f t="array" ref="N5">MIN(IF($AG$13:$AG$9371=I1,IF(ISNUMBER($N$13:$N$9371),IF($N$13:$N$9371&gt;0,$N$13:$N$9371))))</f>
        <v>34.016666676616296</v>
      </c>
      <c r="O5" s="3">
        <f t="array" ref="O5">MAX(IF($AG$13:$AG$9371=I1,IF(ISNUMBER($N$13:$N$9371),IF($N$13:$N$9371&gt;0,$N$13:$N$9371))))</f>
        <v>51.883333339355886</v>
      </c>
      <c r="P5" s="2"/>
      <c r="R5" s="80" t="s">
        <v>17</v>
      </c>
      <c r="S5" s="55">
        <f>COUNTIFS($N$13:$N$9371,"&gt;0",$AG$13:$AG$9371,R1)</f>
        <v>44</v>
      </c>
      <c r="T5" s="44"/>
      <c r="U5" s="169"/>
      <c r="V5" s="45">
        <f>AVERAGEIFS($N$13:$N$9371,$AG$13:$AG$9371,R1)</f>
        <v>15.531060605981937</v>
      </c>
      <c r="W5" s="43">
        <f t="array" ref="W5">MIN(IF($AG$13:$AG$9371=R1,IF(ISNUMBER($N$13:$N$9371),IF($N$13:$N$9371&gt;0,$N$13:$N$9371))))</f>
        <v>12.299999993992969</v>
      </c>
      <c r="X5" s="173">
        <f t="array" ref="X5">MAX(IF($AG$13:$AG$9371=R1,IF(ISNUMBER($N$13:$N$9371),IF($N$13:$N$9371&gt;0,$N$13:$N$9371))))</f>
        <v>21.383333334233612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COUNT($O$13:$O$153)</f>
        <v>0</v>
      </c>
      <c r="K6" s="44"/>
      <c r="L6" s="44"/>
      <c r="M6" s="45">
        <f>IFERROR(AVERAGE($O$13:$O$153),0)</f>
        <v>0</v>
      </c>
      <c r="N6" s="43">
        <f>MIN($O$13:$O$153)</f>
        <v>0</v>
      </c>
      <c r="O6" s="3">
        <f>MAX($O$13:$O$153)</f>
        <v>0</v>
      </c>
      <c r="P6" s="2"/>
      <c r="R6" s="81" t="s">
        <v>43</v>
      </c>
      <c r="S6" s="55">
        <f>COUNT($O$13:$O$153)</f>
        <v>0</v>
      </c>
      <c r="T6" s="44"/>
      <c r="U6" s="169"/>
      <c r="V6" s="45">
        <f>IFERROR(AVERAGE($O$13:$O$153),0)</f>
        <v>0</v>
      </c>
      <c r="W6" s="43">
        <f>MIN($O$13:$O$153)</f>
        <v>0</v>
      </c>
      <c r="X6" s="173">
        <f>MAX($O$13:$O$153)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COUNTIFS($P$13:$P$9371,"&gt;0",$AG$13:$AG$9371,I1)</f>
        <v>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COUNTIFS($P$13:$P$9371,"&gt;0",$AG$13:$AG$9371,R1)</f>
        <v>3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138</v>
      </c>
      <c r="K8" s="44"/>
      <c r="L8" s="44"/>
      <c r="M8" s="45">
        <f>M5</f>
        <v>38.232729469436102</v>
      </c>
      <c r="N8" s="43">
        <f>N5</f>
        <v>34.016666676616296</v>
      </c>
      <c r="O8" s="3">
        <f>O5</f>
        <v>51.883333339355886</v>
      </c>
      <c r="P8" s="2"/>
      <c r="R8" s="80" t="s">
        <v>16</v>
      </c>
      <c r="S8" s="55">
        <f>S5</f>
        <v>44</v>
      </c>
      <c r="T8" s="44"/>
      <c r="U8" s="169"/>
      <c r="V8" s="45">
        <f>V5</f>
        <v>15.531060605981937</v>
      </c>
      <c r="W8" s="43">
        <f>W5</f>
        <v>12.299999993992969</v>
      </c>
      <c r="X8" s="173">
        <f>X5</f>
        <v>21.383333334233612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0.95833333333333337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0.93617021276595747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- 2016-12-01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AVERAGE(S13:S104)</f>
        <v>0.9846743295019158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409</v>
      </c>
      <c r="B13" s="7">
        <v>4040</v>
      </c>
      <c r="C13" s="22" t="s">
        <v>210</v>
      </c>
      <c r="D13" s="22" t="s">
        <v>660</v>
      </c>
      <c r="E13" s="13">
        <v>42705.126898148148</v>
      </c>
      <c r="F13" s="13">
        <v>42705.135717592595</v>
      </c>
      <c r="G13" s="7">
        <v>1</v>
      </c>
      <c r="H13" s="22" t="s">
        <v>338</v>
      </c>
      <c r="I13" s="13">
        <v>42705.16028935185</v>
      </c>
      <c r="J13" s="7">
        <v>1</v>
      </c>
      <c r="K13" s="109" t="str">
        <f>IF(ISEVEN(B13),(B13-1)&amp;"/"&amp;B13,B13&amp;"/"&amp;(B13+1))</f>
        <v>4039/4040</v>
      </c>
      <c r="L13" s="22" t="str">
        <f>VLOOKUP(A13,'Trips&amp;Operators'!$C$1:$G$99999,5,FALSE)</f>
        <v>MAELZER KURT</v>
      </c>
      <c r="M13" s="6">
        <f>I13-F13</f>
        <v>2.4571759255195502E-2</v>
      </c>
      <c r="N13" s="7">
        <f>24*60*SUM($M13:$M13)</f>
        <v>35.383333327481523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https://search-rtdc-monitor-bjffxe2xuh6vdkpspy63sjmuny.us-east-1.es.amazonaws.com/_plugin/kibana/#/discover/Steve-Slow-Train-Analysis-(2080s-and-2083s)?_g=(refreshInterval:(display:Off,section:0,value:0),time:(from:'2016-12-01 02:02:44-700',mode:absolute,to:'2016-12-01 04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" s="52" t="str">
        <f>IF(AA13&lt;IF(AG13="EC",23,5.65),"Y","N")</f>
        <v>N</v>
      </c>
      <c r="X13" s="177" t="e">
        <f>VALUE(LEFT(AD13,4))-VALUE(LEFT(AD12,4))</f>
        <v>#VALUE!</v>
      </c>
      <c r="Y13" s="67">
        <f>RIGHT(D13,LEN(D13)-4)/10000</f>
        <v>7.8799999999999995E-2</v>
      </c>
      <c r="Z13" s="67">
        <f>RIGHT(H13,LEN(H13)-4)/10000</f>
        <v>23.331199999999999</v>
      </c>
      <c r="AA13" s="67">
        <f>ABS(Z13-Y13)</f>
        <v>23.252399999999998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>IF(LEN(A13)=6,"0"&amp;A13,A13)</f>
        <v>0101-01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/stypes="app*4040*20161201*"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4040 --swversion DE.1.0.8.0 --startMP 204:788 --initTime 2016-12-01T03:02:44 --startdatetime 2016-12-01T03:15:26 --delay 1 --endMP 204:233312 --enddatetime 2016-12-01T03:50:49 --enforcementcount 1 &gt;&gt;C:\Users\stu\Documents\GitHub\eaglep3-reporting\EC\2016-12-01-refined-times.txt</v>
      </c>
      <c r="AI13" s="11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{"issue":{"subject":"","project_id":79,"tracker_id":40,"status_id":1,"priority_id":2,"assigned_to_id":23,"start_date":"2016-12-01","description":"","custom_fields":[{"id":1,"name":"Subdivision","value":"EC"},{"id":4,"name":"Milepost","value":"23.3312"},{"id":17,"name":"Train ID","value":"101-01"},{"id":16,"name":"Locomotive ID","value":"4040"},{"id":130,"name":"Impact","value":""},{"id":150,"name":"Time of Event (Mountain Time)","value":"03:50:49"},{"id":151,"name":"Denver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464</v>
      </c>
      <c r="B14" s="7">
        <v>4028</v>
      </c>
      <c r="C14" s="22" t="s">
        <v>210</v>
      </c>
      <c r="D14" s="22" t="s">
        <v>661</v>
      </c>
      <c r="E14" s="13">
        <v>42705.170706018522</v>
      </c>
      <c r="F14" s="13">
        <v>42705.17459490741</v>
      </c>
      <c r="G14" s="7">
        <v>1</v>
      </c>
      <c r="H14" s="22" t="s">
        <v>192</v>
      </c>
      <c r="I14" s="13">
        <v>42705.200787037036</v>
      </c>
      <c r="J14" s="7">
        <v>1</v>
      </c>
      <c r="K14" s="109" t="str">
        <f>IF(ISEVEN(B14),(B14-1)&amp;"/"&amp;B14,B14&amp;"/"&amp;(B14+1))</f>
        <v>4027/4028</v>
      </c>
      <c r="L14" s="22" t="str">
        <f>VLOOKUP(A14,'Trips&amp;Operators'!$C$1:$G$99999,5,FALSE)</f>
        <v>MAELZER KURT</v>
      </c>
      <c r="M14" s="6">
        <f>I14-F14</f>
        <v>2.619212962599704E-2</v>
      </c>
      <c r="N14" s="7">
        <f>24*60*SUM($M14:$M14)</f>
        <v>37.716666661435738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https://search-rtdc-monitor-bjffxe2xuh6vdkpspy63sjmuny.us-east-1.es.amazonaws.com/_plugin/kibana/#/discover/Steve-Slow-Train-Analysis-(2080s-and-2083s)?_g=(refreshInterval:(display:Off,section:0,value:0),time:(from:'2016-12-01 03:05:49-700',mode:absolute,to:'2016-12-01 05:49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" s="52" t="str">
        <f>IF(AA14&lt;IF(AG14="EC",23,5.65),"Y","N")</f>
        <v>N</v>
      </c>
      <c r="X14" s="177">
        <f>VALUE(LEFT(AD14,4))-VALUE(LEFT(AD13,4))</f>
        <v>1</v>
      </c>
      <c r="Y14" s="67">
        <f>RIGHT(D14,LEN(D14)-4)/10000</f>
        <v>23.267199999999999</v>
      </c>
      <c r="Z14" s="67">
        <f>RIGHT(H14,LEN(H14)-4)/10000</f>
        <v>1.49E-2</v>
      </c>
      <c r="AA14" s="67">
        <f>ABS(Z14-Y14)</f>
        <v>23.252299999999998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>IF(LEN(A14)=6,"0"&amp;A14,A14)</f>
        <v>0102-01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s3://rtdc.mdm.uploadarchive.raw/RTDC4028/ "%USERPROFILE%\AppData\Local\Temp\OnboardLogs"\RTDC4028\2016-12-01 --exclude "*" --recursive --include "*20161201*" &amp; "%USERPROFILE%\Documents\GitHub\mrs-test-scripts\Headless Mode &amp; Sideloading\WalkAndUnGZ.bat" "%USERPROFILE%\AppData\Local\Temp\OnboardLogs"\RTDC4028\2016-12-01 &amp; 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/stypes="app*4028*20161201*"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4028 --swversion DE.1.0.8.0 --startMP 204:232672 --initTime 2016-12-01T04:05:49 --startdatetime 2016-12-01T04:11:25 --delay 1 --endMP 204:149 --enddatetime 2016-12-01T04:49:08 --enforcementcount 1 &gt;&gt;C:\Users\stu\Documents\GitHub\eaglep3-reporting\EC\2016-12-01-refined-times.txt</v>
      </c>
      <c r="AI14" s="119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{"issue":{"subject":"","project_id":79,"tracker_id":40,"status_id":1,"priority_id":2,"assigned_to_id":23,"start_date":"2016-12-01","description":"","custom_fields":[{"id":1,"name":"Subdivision","value":"EC"},{"id":4,"name":"Milepost","value":"0.0149"},{"id":17,"name":"Train ID","value":"102-01"},{"id":16,"name":"Locomotive ID","value":"4028"},{"id":130,"name":"Impact","value":""},{"id":150,"name":"Time of Event (Mountain Time)","value":"04:49:08"},{"id":151,"name":"Denver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457</v>
      </c>
      <c r="B15" s="7">
        <v>4031</v>
      </c>
      <c r="C15" s="22" t="s">
        <v>210</v>
      </c>
      <c r="D15" s="22" t="s">
        <v>382</v>
      </c>
      <c r="E15" s="13">
        <v>42705.152627314812</v>
      </c>
      <c r="F15" s="13">
        <v>42705.156435185185</v>
      </c>
      <c r="G15" s="7">
        <v>1</v>
      </c>
      <c r="H15" s="22" t="s">
        <v>338</v>
      </c>
      <c r="I15" s="13">
        <v>42705.181875000002</v>
      </c>
      <c r="J15" s="7">
        <v>1</v>
      </c>
      <c r="K15" s="109" t="str">
        <f>IF(ISEVEN(B15),(B15-1)&amp;"/"&amp;B15,B15&amp;"/"&amp;(B15+1))</f>
        <v>4031/4032</v>
      </c>
      <c r="L15" s="22" t="str">
        <f>VLOOKUP(A15,'Trips&amp;Operators'!$C$1:$G$99999,5,FALSE)</f>
        <v>SPECTOR MICHAEL</v>
      </c>
      <c r="M15" s="6">
        <f>I15-F15</f>
        <v>2.5439814817218576E-2</v>
      </c>
      <c r="N15" s="7">
        <f>24*60*SUM($M15:$M15)</f>
        <v>36.633333336794749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https://search-rtdc-monitor-bjffxe2xuh6vdkpspy63sjmuny.us-east-1.es.amazonaws.com/_plugin/kibana/#/discover/Steve-Slow-Train-Analysis-(2080s-and-2083s)?_g=(refreshInterval:(display:Off,section:0,value:0),time:(from:'2016-12-01 02:39:47-700',mode:absolute,to:'2016-12-01 05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>IF(AA15&lt;IF(AG15="EC",23,5.65),"Y","N")</f>
        <v>N</v>
      </c>
      <c r="X15" s="177">
        <f>VALUE(LEFT(AD15,4))-VALUE(LEFT(AD14,4))</f>
        <v>1</v>
      </c>
      <c r="Y15" s="67">
        <f>RIGHT(D15,LEN(D15)-4)/10000</f>
        <v>7.5499999999999998E-2</v>
      </c>
      <c r="Z15" s="67">
        <f>RIGHT(H15,LEN(H15)-4)/10000</f>
        <v>23.331199999999999</v>
      </c>
      <c r="AA15" s="67">
        <f>ABS(Z15-Y15)</f>
        <v>23.255699999999997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>IF(LEN(A15)=6,"0"&amp;A15,A15)</f>
        <v>0103-01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/stypes="app*4031*20161201*"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103-01 --locoid 4031 --swversion DE.1.0.8.0 --startMP 204:755 --initTime 2016-12-01T03:39:47 --startdatetime 2016-12-01T03:45:16 --delay 1 --endMP 204:233312 --enddatetime 2016-12-01T04:21:54 --enforcementcount 1 &gt;&gt;C:\Users\stu\Documents\GitHub\eaglep3-reporting\EC\2016-12-01-refined-times.txt</v>
      </c>
      <c r="AI15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{"issue":{"subject":"","project_id":79,"tracker_id":40,"status_id":1,"priority_id":2,"assigned_to_id":23,"start_date":"2016-12-01","description":"","custom_fields":[{"id":1,"name":"Subdivision","value":"EC"},{"id":4,"name":"Milepost","value":"23.3312"},{"id":17,"name":"Train ID","value":"103-01"},{"id":16,"name":"Locomotive ID","value":"4031"},{"id":130,"name":"Impact","value":""},{"id":150,"name":"Time of Event (Mountain Time)","value":"04:21:54"},{"id":151,"name":"Denver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411</v>
      </c>
      <c r="B16" s="7">
        <v>4010</v>
      </c>
      <c r="C16" s="22" t="s">
        <v>210</v>
      </c>
      <c r="D16" s="22" t="s">
        <v>662</v>
      </c>
      <c r="E16" s="13">
        <v>42705.190601851849</v>
      </c>
      <c r="F16" s="13">
        <v>42705.195347222223</v>
      </c>
      <c r="G16" s="7">
        <v>1</v>
      </c>
      <c r="H16" s="22" t="s">
        <v>663</v>
      </c>
      <c r="I16" s="13">
        <v>42705.222881944443</v>
      </c>
      <c r="J16" s="7">
        <v>1</v>
      </c>
      <c r="K16" s="109" t="str">
        <f>IF(ISEVEN(B16),(B16-1)&amp;"/"&amp;B16,B16&amp;"/"&amp;(B16+1))</f>
        <v>4009/4010</v>
      </c>
      <c r="L16" s="22" t="str">
        <f>VLOOKUP(A16,'Trips&amp;Operators'!$C$1:$G$99999,5,FALSE)</f>
        <v>SPECTOR MICHAEL</v>
      </c>
      <c r="M16" s="6">
        <f>I16-F16</f>
        <v>2.753472221957054E-2</v>
      </c>
      <c r="N16" s="7">
        <f>24*60*SUM($M16:$M16)</f>
        <v>39.649999996181577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https://search-rtdc-monitor-bjffxe2xuh6vdkpspy63sjmuny.us-east-1.es.amazonaws.com/_plugin/kibana/#/discover/Steve-Slow-Train-Analysis-(2080s-and-2083s)?_g=(refreshInterval:(display:Off,section:0,value:0),time:(from:'2016-12-01 03:34:28-700',mode:absolute,to:'2016-12-01 06:20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" s="52" t="str">
        <f>IF(AA16&lt;IF(AG16="EC",23,5.65),"Y","N")</f>
        <v>N</v>
      </c>
      <c r="X16" s="177">
        <f>VALUE(LEFT(AD16,4))-VALUE(LEFT(AD15,4))</f>
        <v>1</v>
      </c>
      <c r="Y16" s="67">
        <f>RIGHT(D16,LEN(D16)-4)/10000</f>
        <v>23.2681</v>
      </c>
      <c r="Z16" s="67">
        <f>RIGHT(H16,LEN(H16)-4)/10000</f>
        <v>2.18E-2</v>
      </c>
      <c r="AA16" s="67">
        <f>ABS(Z16-Y16)</f>
        <v>23.246300000000002</v>
      </c>
      <c r="AB16" s="64" t="str">
        <f>VLOOKUP(A16,Enforcements!$C$7:$K$20,8,0)</f>
        <v>Speed (6)</v>
      </c>
      <c r="AC16" s="60" t="str">
        <f>VLOOKUP(A16,Enforcements!$C$7:$E$20,3,0)</f>
        <v>PERMANENT SPEED RESTRICTION</v>
      </c>
      <c r="AD16" s="61" t="str">
        <f>IF(LEN(A16)=6,"0"&amp;A16,A16)</f>
        <v>0104-01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/stypes="app*4010*20161201*"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104-01 --locoid 4010 --swversion DE.1.0.8.0 --startMP 204:232681 --initTime 2016-12-01T04:34:28 --startdatetime 2016-12-01T04:41:18 --delay 1 --endMP 204:218 --enddatetime 2016-12-01T05:20:57 --enforcementcount 1 &gt;&gt;C:\Users\stu\Documents\GitHub\eaglep3-reporting\EC\2016-12-01-refined-times.txt</v>
      </c>
      <c r="AI16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{"issue":{"subject":"","project_id":79,"tracker_id":40,"status_id":1,"priority_id":2,"assigned_to_id":23,"start_date":"2016-12-01","description":"","custom_fields":[{"id":1,"name":"Subdivision","value":"EC"},{"id":4,"name":"Milepost","value":"0.0218"},{"id":17,"name":"Train ID","value":"104-01"},{"id":16,"name":"Locomotive ID","value":"4010"},{"id":130,"name":"Impact","value":""},{"id":150,"name":"Time of Event (Mountain Time)","value":"05:20:57"},{"id":151,"name":"Denver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465</v>
      </c>
      <c r="B17" s="7">
        <v>4046</v>
      </c>
      <c r="C17" s="22" t="s">
        <v>210</v>
      </c>
      <c r="D17" s="22" t="s">
        <v>386</v>
      </c>
      <c r="E17" s="13">
        <v>42705.172800925924</v>
      </c>
      <c r="F17" s="13">
        <v>42705.177303240744</v>
      </c>
      <c r="G17" s="7">
        <v>2</v>
      </c>
      <c r="H17" s="22" t="s">
        <v>386</v>
      </c>
      <c r="I17" s="13">
        <v>42705.203252314815</v>
      </c>
      <c r="J17" s="7">
        <v>1</v>
      </c>
      <c r="K17" s="109" t="str">
        <f>IF(ISEVEN(B17),(B17-1)&amp;"/"&amp;B17,B17&amp;"/"&amp;(B17+1))</f>
        <v>4045/4046</v>
      </c>
      <c r="L17" s="22" t="str">
        <f>VLOOKUP(A17,'Trips&amp;Operators'!$C$1:$G$99999,5,FALSE)</f>
        <v>ROBINSON KADDIBA</v>
      </c>
      <c r="M17" s="6">
        <f>I17-F17</f>
        <v>2.5949074071832001E-2</v>
      </c>
      <c r="N17" s="7">
        <f>24*60*SUM($M17:$M17)</f>
        <v>37.366666663438082</v>
      </c>
      <c r="O17" s="7"/>
      <c r="P17" s="7"/>
      <c r="Q17" s="23"/>
      <c r="R17" s="23"/>
      <c r="S17" s="35">
        <f>SUM(U17:U17)/IF(AG17="EC",12,1)</f>
        <v>1</v>
      </c>
      <c r="T17" s="50" t="str">
        <f>IF(ISEVEN(LEFT(AD17,4)),"Southbound","NorthBound")</f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https://search-rtdc-monitor-bjffxe2xuh6vdkpspy63sjmuny.us-east-1.es.amazonaws.com/_plugin/kibana/#/discover/Steve-Slow-Train-Analysis-(2080s-and-2083s)?_g=(refreshInterval:(display:Off,section:0,value:0),time:(from:'2016-12-01 03:08:50-700',mode:absolute,to:'2016-12-01 05:52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" s="52" t="str">
        <f>IF(AA17&lt;IF(AG17="EC",23,5.65),"Y","N")</f>
        <v>N</v>
      </c>
      <c r="X17" s="177">
        <f>VALUE(LEFT(AD17,4))-VALUE(LEFT(AD16,4))</f>
        <v>1</v>
      </c>
      <c r="Y17" s="67">
        <f>RIGHT(D17,LEN(D17)-4)/10000</f>
        <v>6.6400000000000001E-2</v>
      </c>
      <c r="Z17" s="67">
        <v>23.3</v>
      </c>
      <c r="AA17" s="67">
        <f>ABS(Z17-Y17)</f>
        <v>23.233599999999999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>IF(LEN(A17)=6,"0"&amp;A17,A17)</f>
        <v>0105-01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 &amp; aws s3 cp s3://rtdc.mdm.uploadarchive.raw/RTDC4046/ "%USERPROFILE%\AppData\Local\Temp\OnboardLogs"\RTDC4046\2016-12-02 --exclude "*" --recursive --include "*20161202*" &amp; "%USERPROFILE%\Documents\GitHub\mrs-test-scripts\Headless Mode &amp; Sideloading\WalkAndUnGZ.bat" "%USERPROFILE%\AppData\Local\Temp\OnboardLogs"\RTDC4046\2016-12-02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/stypes="app*4046*20161201*"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105-01 --locoid 4046 --swversion DE.1.0.8.0 --startMP 204:664 --initTime 2016-12-01T04:08:50 --startdatetime 2016-12-01T04:15:19 --delay 2 --endMP 204:664 --enddatetime 2016-12-01T04:52:41 --enforcementcount 1 &gt;&gt;C:\Users\stu\Documents\GitHub\eaglep3-reporting\EC\2016-12-01-refined-times.txt</v>
      </c>
      <c r="AI17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{"issue":{"subject":"","project_id":79,"tracker_id":40,"status_id":1,"priority_id":2,"assigned_to_id":23,"start_date":"2016-12-01","description":"","custom_fields":[{"id":1,"name":"Subdivision","value":"EC"},{"id":4,"name":"Milepost","value":"23.3"},{"id":17,"name":"Train ID","value":"105-01"},{"id":16,"name":"Locomotive ID","value":"4046"},{"id":130,"name":"Impact","value":""},{"id":150,"name":"Time of Event (Mountain Time)","value":"04:52:41"},{"id":151,"name":"Denver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472</v>
      </c>
      <c r="B18" s="7">
        <v>4015</v>
      </c>
      <c r="C18" s="22" t="s">
        <v>210</v>
      </c>
      <c r="D18" s="22" t="s">
        <v>661</v>
      </c>
      <c r="E18" s="13">
        <v>42705.206377314818</v>
      </c>
      <c r="F18" s="13">
        <v>42705.216215277775</v>
      </c>
      <c r="G18" s="7">
        <v>1</v>
      </c>
      <c r="H18" s="22" t="s">
        <v>664</v>
      </c>
      <c r="I18" s="13">
        <v>42705.243101851855</v>
      </c>
      <c r="J18" s="7">
        <v>1</v>
      </c>
      <c r="K18" s="109" t="str">
        <f>IF(ISEVEN(B18),(B18-1)&amp;"/"&amp;B18,B18&amp;"/"&amp;(B18+1))</f>
        <v>4015/4016</v>
      </c>
      <c r="L18" s="22" t="str">
        <f>VLOOKUP(A18,'Trips&amp;Operators'!$C$1:$G$99999,5,FALSE)</f>
        <v>ROBINSON KADDIBA</v>
      </c>
      <c r="M18" s="6">
        <f>I18-F18</f>
        <v>2.6886574079981074E-2</v>
      </c>
      <c r="N18" s="7">
        <f>24*60*SUM($M18:$M18)</f>
        <v>38.716666675172746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https://search-rtdc-monitor-bjffxe2xuh6vdkpspy63sjmuny.us-east-1.es.amazonaws.com/_plugin/kibana/#/discover/Steve-Slow-Train-Analysis-(2080s-and-2083s)?_g=(refreshInterval:(display:Off,section:0,value:0),time:(from:'2016-12-01 03:57:11-700',mode:absolute,to:'2016-12-01 06:50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8" s="52" t="str">
        <f>IF(AA18&lt;IF(AG18="EC",23,5.65),"Y","N")</f>
        <v>N</v>
      </c>
      <c r="X18" s="177">
        <f>VALUE(LEFT(AD18,4))-VALUE(LEFT(AD17,4))</f>
        <v>1</v>
      </c>
      <c r="Y18" s="67">
        <f>RIGHT(D18,LEN(D18)-4)/10000</f>
        <v>23.267199999999999</v>
      </c>
      <c r="Z18" s="67">
        <f>RIGHT(H18,LEN(H18)-4)/10000</f>
        <v>1.12E-2</v>
      </c>
      <c r="AA18" s="67">
        <f>ABS(Z18-Y18)</f>
        <v>23.256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>IF(LEN(A18)=6,"0"&amp;A18,A18)</f>
        <v>0106-01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/stypes="app*4015*20161201*"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106-01 --locoid 4015 --swversion DE.1.0.8.0 --startMP 204:232672 --initTime 2016-12-01T04:57:11 --startdatetime 2016-12-01T05:11:21 --delay 1 --endMP 204:112 --enddatetime 2016-12-01T05:50:04 --enforcementcount 1 &gt;&gt;C:\Users\stu\Documents\GitHub\eaglep3-reporting\EC\2016-12-01-refined-times.txt</v>
      </c>
      <c r="AI18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{"issue":{"subject":"","project_id":79,"tracker_id":40,"status_id":1,"priority_id":2,"assigned_to_id":23,"start_date":"2016-12-01","description":"","custom_fields":[{"id":1,"name":"Subdivision","value":"EC"},{"id":4,"name":"Milepost","value":"0.0112"},{"id":17,"name":"Train ID","value":"106-01"},{"id":16,"name":"Locomotive ID","value":"4015"},{"id":130,"name":"Impact","value":""},{"id":150,"name":"Time of Event (Mountain Time)","value":"05:50:04"},{"id":151,"name":"Denver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466</v>
      </c>
      <c r="B19" s="7">
        <v>4029</v>
      </c>
      <c r="C19" s="22" t="s">
        <v>210</v>
      </c>
      <c r="D19" s="22" t="s">
        <v>665</v>
      </c>
      <c r="E19" s="13">
        <v>42705.184791666667</v>
      </c>
      <c r="F19" s="13">
        <v>42705.188148148147</v>
      </c>
      <c r="G19" s="7">
        <v>1</v>
      </c>
      <c r="H19" s="22" t="s">
        <v>338</v>
      </c>
      <c r="I19" s="13">
        <v>42705.214641203704</v>
      </c>
      <c r="J19" s="7">
        <v>1</v>
      </c>
      <c r="K19" s="109" t="str">
        <f>IF(ISEVEN(B19),(B19-1)&amp;"/"&amp;B19,B19&amp;"/"&amp;(B19+1))</f>
        <v>4029/4030</v>
      </c>
      <c r="L19" s="22" t="str">
        <f>VLOOKUP(A19,'Trips&amp;Operators'!$C$1:$G$99999,5,FALSE)</f>
        <v>STRICKLAND EVAN</v>
      </c>
      <c r="M19" s="6">
        <f>I19-F19</f>
        <v>2.6493055556784384E-2</v>
      </c>
      <c r="N19" s="7">
        <f>24*60*SUM($M19:$M19)</f>
        <v>38.150000001769513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https://search-rtdc-monitor-bjffxe2xuh6vdkpspy63sjmuny.us-east-1.es.amazonaws.com/_plugin/kibana/#/discover/Steve-Slow-Train-Analysis-(2080s-and-2083s)?_g=(refreshInterval:(display:Off,section:0,value:0),time:(from:'2016-12-01 03:26:06-700',mode:absolute,to:'2016-12-01 06:09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" s="52" t="str">
        <f>IF(AA19&lt;IF(AG19="EC",23,5.65),"Y","N")</f>
        <v>N</v>
      </c>
      <c r="X19" s="177">
        <f>VALUE(LEFT(AD19,4))-VALUE(LEFT(AD18,4))</f>
        <v>1</v>
      </c>
      <c r="Y19" s="67">
        <f>RIGHT(D19,LEN(D19)-4)/10000</f>
        <v>4.6899999999999997E-2</v>
      </c>
      <c r="Z19" s="67">
        <f>RIGHT(H19,LEN(H19)-4)/10000</f>
        <v>23.331199999999999</v>
      </c>
      <c r="AA19" s="67">
        <f>ABS(Z19-Y19)</f>
        <v>23.284299999999998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>IF(LEN(A19)=6,"0"&amp;A19,A19)</f>
        <v>0107-01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/stypes="app*4029*20161201*"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107-01 --locoid 4029 --swversion DE.1.0.8.0 --startMP 204:469 --initTime 2016-12-01T04:26:06 --startdatetime 2016-12-01T04:30:56 --delay 1 --endMP 204:233312 --enddatetime 2016-12-01T05:09:05 --enforcementcount 1 &gt;&gt;C:\Users\stu\Documents\GitHub\eaglep3-reporting\EC\2016-12-01-refined-times.txt</v>
      </c>
      <c r="AI19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{"issue":{"subject":"","project_id":79,"tracker_id":40,"status_id":1,"priority_id":2,"assigned_to_id":23,"start_date":"2016-12-01","description":"","custom_fields":[{"id":1,"name":"Subdivision","value":"EC"},{"id":4,"name":"Milepost","value":"23.3312"},{"id":17,"name":"Train ID","value":"107-01"},{"id":16,"name":"Locomotive ID","value":"4029"},{"id":130,"name":"Impact","value":""},{"id":150,"name":"Time of Event (Mountain Time)","value":"05:09:05"},{"id":151,"name":"Denver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477</v>
      </c>
      <c r="B20" s="7">
        <v>4030</v>
      </c>
      <c r="C20" s="22" t="s">
        <v>210</v>
      </c>
      <c r="D20" s="22" t="s">
        <v>236</v>
      </c>
      <c r="E20" s="13">
        <v>42705.221712962964</v>
      </c>
      <c r="F20" s="13">
        <v>42705.226967592593</v>
      </c>
      <c r="G20" s="7">
        <v>1</v>
      </c>
      <c r="H20" s="22" t="s">
        <v>230</v>
      </c>
      <c r="I20" s="13">
        <v>42705.254930555559</v>
      </c>
      <c r="J20" s="7">
        <v>1</v>
      </c>
      <c r="K20" s="109" t="str">
        <f>IF(ISEVEN(B20),(B20-1)&amp;"/"&amp;B20,B20&amp;"/"&amp;(B20+1))</f>
        <v>4029/4030</v>
      </c>
      <c r="L20" s="22" t="str">
        <f>VLOOKUP(A20,'Trips&amp;Operators'!$C$1:$G$99999,5,FALSE)</f>
        <v>STRICKLAND EVAN</v>
      </c>
      <c r="M20" s="6">
        <f>I20-F20</f>
        <v>2.7962962965830229E-2</v>
      </c>
      <c r="N20" s="7">
        <f>24*60*SUM($M20:$M20)</f>
        <v>40.26666667079553</v>
      </c>
      <c r="O20" s="7"/>
      <c r="P20" s="7"/>
      <c r="Q20" s="23"/>
      <c r="R20" s="23"/>
      <c r="S20" s="35">
        <f>SUM(U20:U20)/IF(AG20="EC",12,1)</f>
        <v>1</v>
      </c>
      <c r="T20" s="50" t="str">
        <f>IF(ISEVEN(LEFT(AD20,4)),"Southbound","NorthBound")</f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https://search-rtdc-monitor-bjffxe2xuh6vdkpspy63sjmuny.us-east-1.es.amazonaws.com/_plugin/kibana/#/discover/Steve-Slow-Train-Analysis-(2080s-and-2083s)?_g=(refreshInterval:(display:Off,section:0,value:0),time:(from:'2016-12-01 04:19:16-700',mode:absolute,to:'2016-12-01 07:07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" s="52" t="str">
        <f>IF(AA20&lt;IF(AG20="EC",23,5.65),"Y","N")</f>
        <v>N</v>
      </c>
      <c r="X20" s="177">
        <f>VALUE(LEFT(AD20,4))-VALUE(LEFT(AD19,4))</f>
        <v>1</v>
      </c>
      <c r="Y20" s="67">
        <f>RIGHT(D20,LEN(D20)-4)/10000</f>
        <v>23.297499999999999</v>
      </c>
      <c r="Z20" s="67">
        <f>RIGHT(H20,LEN(H20)-4)/10000</f>
        <v>1.54E-2</v>
      </c>
      <c r="AA20" s="67">
        <f>ABS(Z20-Y20)</f>
        <v>23.2821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>IF(LEN(A20)=6,"0"&amp;A20,A20)</f>
        <v>0108-01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/stypes="app*4030*20161201*"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108-01 --locoid 4030 --swversion DE.1.0.8.0 --startMP 204:232975 --initTime 2016-12-01T05:19:16 --startdatetime 2016-12-01T05:26:50 --delay 1 --endMP 204:154 --enddatetime 2016-12-01T06:07:06 --enforcementcount 1 &gt;&gt;C:\Users\stu\Documents\GitHub\eaglep3-reporting\EC\2016-12-01-refined-times.txt</v>
      </c>
      <c r="AI20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{"issue":{"subject":"","project_id":79,"tracker_id":40,"status_id":1,"priority_id":2,"assigned_to_id":23,"start_date":"2016-12-01","description":"","custom_fields":[{"id":1,"name":"Subdivision","value":"EC"},{"id":4,"name":"Milepost","value":"0.0154"},{"id":17,"name":"Train ID","value":"108-01"},{"id":16,"name":"Locomotive ID","value":"4030"},{"id":130,"name":"Impact","value":""},{"id":150,"name":"Time of Event (Mountain Time)","value":"06:07:06"},{"id":151,"name":"Denver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468</v>
      </c>
      <c r="B21" s="7">
        <v>4007</v>
      </c>
      <c r="C21" s="22" t="s">
        <v>210</v>
      </c>
      <c r="D21" s="22" t="s">
        <v>251</v>
      </c>
      <c r="E21" s="13">
        <v>42705.19635416667</v>
      </c>
      <c r="F21" s="13">
        <v>42705.198148148149</v>
      </c>
      <c r="G21" s="7">
        <v>1</v>
      </c>
      <c r="H21" s="22" t="s">
        <v>302</v>
      </c>
      <c r="I21" s="13">
        <v>42705.222280092596</v>
      </c>
      <c r="J21" s="7">
        <v>1</v>
      </c>
      <c r="K21" s="109" t="str">
        <f>IF(ISEVEN(B21),(B21-1)&amp;"/"&amp;B21,B21&amp;"/"&amp;(B21+1))</f>
        <v>4007/4008</v>
      </c>
      <c r="L21" s="22" t="str">
        <f>VLOOKUP(A21,'Trips&amp;Operators'!$C$1:$G$99999,5,FALSE)</f>
        <v>SAFIEF AEIMEN</v>
      </c>
      <c r="M21" s="6">
        <f>I21-F21</f>
        <v>2.4131944446708076E-2</v>
      </c>
      <c r="N21" s="7">
        <f>24*60*SUM($M21:$M21)</f>
        <v>34.750000003259629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https://search-rtdc-monitor-bjffxe2xuh6vdkpspy63sjmuny.us-east-1.es.amazonaws.com/_plugin/kibana/#/discover/Steve-Slow-Train-Analysis-(2080s-and-2083s)?_g=(refreshInterval:(display:Off,section:0,value:0),time:(from:'2016-12-01 03:42:45-700',mode:absolute,to:'2016-12-01 06:20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" s="52" t="str">
        <f>IF(AA21&lt;IF(AG21="EC",23,5.65),"Y","N")</f>
        <v>N</v>
      </c>
      <c r="X21" s="177">
        <f>VALUE(LEFT(AD21,4))-VALUE(LEFT(AD20,4))</f>
        <v>1</v>
      </c>
      <c r="Y21" s="67">
        <f>RIGHT(D21,LEN(D21)-4)/10000</f>
        <v>4.5999999999999999E-2</v>
      </c>
      <c r="Z21" s="67">
        <f>RIGHT(H21,LEN(H21)-4)/10000</f>
        <v>23.331900000000001</v>
      </c>
      <c r="AA21" s="67">
        <f>ABS(Z21-Y21)</f>
        <v>23.285900000000002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>IF(LEN(A21)=6,"0"&amp;A21,A21)</f>
        <v>0109-01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/stypes="app*4007*20161201*"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109-01 --locoid 4007 --swversion DE.1.0.8.0 --startMP 204:460 --initTime 2016-12-01T04:42:45 --startdatetime 2016-12-01T04:45:20 --delay 1 --endMP 204:233319 --enddatetime 2016-12-01T05:20:05 --enforcementcount 1 &gt;&gt;C:\Users\stu\Documents\GitHub\eaglep3-reporting\EC\2016-12-01-refined-times.txt</v>
      </c>
      <c r="AI21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{"issue":{"subject":"","project_id":79,"tracker_id":40,"status_id":1,"priority_id":2,"assigned_to_id":23,"start_date":"2016-12-01","description":"","custom_fields":[{"id":1,"name":"Subdivision","value":"EC"},{"id":4,"name":"Milepost","value":"23.3319"},{"id":17,"name":"Train ID","value":"109-01"},{"id":16,"name":"Locomotive ID","value":"4007"},{"id":130,"name":"Impact","value":""},{"id":150,"name":"Time of Event (Mountain Time)","value":"05:20:05"},{"id":151,"name":"Denver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481</v>
      </c>
      <c r="B22" s="7">
        <v>4008</v>
      </c>
      <c r="C22" s="22" t="s">
        <v>210</v>
      </c>
      <c r="D22" s="22" t="s">
        <v>341</v>
      </c>
      <c r="E22" s="13">
        <v>42705.233113425929</v>
      </c>
      <c r="F22" s="13">
        <v>42705.236990740741</v>
      </c>
      <c r="G22" s="7">
        <v>2</v>
      </c>
      <c r="H22" s="22" t="s">
        <v>316</v>
      </c>
      <c r="I22" s="13">
        <v>42705.263599537036</v>
      </c>
      <c r="J22" s="7">
        <v>1</v>
      </c>
      <c r="K22" s="109" t="str">
        <f>IF(ISEVEN(B22),(B22-1)&amp;"/"&amp;B22,B22&amp;"/"&amp;(B22+1))</f>
        <v>4007/4008</v>
      </c>
      <c r="L22" s="22" t="str">
        <f>VLOOKUP(A22,'Trips&amp;Operators'!$C$1:$G$99999,5,FALSE)</f>
        <v>SAFIEF AEIMEN</v>
      </c>
      <c r="M22" s="6">
        <f>I22-F22</f>
        <v>2.6608796295477077E-2</v>
      </c>
      <c r="N22" s="7">
        <f>24*60*SUM($M22:$M22)</f>
        <v>38.316666665486991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https://search-rtdc-monitor-bjffxe2xuh6vdkpspy63sjmuny.us-east-1.es.amazonaws.com/_plugin/kibana/#/discover/Steve-Slow-Train-Analysis-(2080s-and-2083s)?_g=(refreshInterval:(display:Off,section:0,value:0),time:(from:'2016-12-01 04:35:41-700',mode:absolute,to:'2016-12-01 07:19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" s="52" t="str">
        <f>IF(AA22&lt;IF(AG22="EC",23,5.65),"Y","N")</f>
        <v>N</v>
      </c>
      <c r="X22" s="177">
        <f>VALUE(LEFT(AD22,4))-VALUE(LEFT(AD21,4))</f>
        <v>1</v>
      </c>
      <c r="Y22" s="67">
        <f>RIGHT(D22,LEN(D22)-4)/10000</f>
        <v>23.298100000000002</v>
      </c>
      <c r="Z22" s="67">
        <f>RIGHT(H22,LEN(H22)-4)/10000</f>
        <v>1.52E-2</v>
      </c>
      <c r="AA22" s="67">
        <f>ABS(Z22-Y22)</f>
        <v>23.282900000000001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>IF(LEN(A22)=6,"0"&amp;A22,A22)</f>
        <v>0110-01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/stypes="app*4008*20161201*"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110-01 --locoid 4008 --swversion DE.1.0.8.0 --startMP 204:232981 --initTime 2016-12-01T05:35:41 --startdatetime 2016-12-01T05:41:16 --delay 2 --endMP 204:152 --enddatetime 2016-12-01T06:19:35 --enforcementcount 1 &gt;&gt;C:\Users\stu\Documents\GitHub\eaglep3-reporting\EC\2016-12-01-refined-times.txt</v>
      </c>
      <c r="AI22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{"issue":{"subject":"","project_id":79,"tracker_id":40,"status_id":1,"priority_id":2,"assigned_to_id":23,"start_date":"2016-12-01","description":"","custom_fields":[{"id":1,"name":"Subdivision","value":"EC"},{"id":4,"name":"Milepost","value":"0.0152"},{"id":17,"name":"Train ID","value":"110-01"},{"id":16,"name":"Locomotive ID","value":"4008"},{"id":130,"name":"Impact","value":""},{"id":150,"name":"Time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469</v>
      </c>
      <c r="B23" s="7">
        <v>4040</v>
      </c>
      <c r="C23" s="22" t="s">
        <v>210</v>
      </c>
      <c r="D23" s="22" t="s">
        <v>666</v>
      </c>
      <c r="E23" s="13">
        <v>42705.203206018516</v>
      </c>
      <c r="F23" s="13">
        <v>42705.208541666667</v>
      </c>
      <c r="G23" s="7">
        <v>1</v>
      </c>
      <c r="H23" s="22" t="s">
        <v>667</v>
      </c>
      <c r="I23" s="13">
        <v>42705.234143518515</v>
      </c>
      <c r="J23" s="7">
        <v>1</v>
      </c>
      <c r="K23" s="109" t="str">
        <f>IF(ISEVEN(B23),(B23-1)&amp;"/"&amp;B23,B23&amp;"/"&amp;(B23+1))</f>
        <v>4039/4040</v>
      </c>
      <c r="L23" s="22" t="str">
        <f>VLOOKUP(A23,'Trips&amp;Operators'!$C$1:$G$99999,5,FALSE)</f>
        <v>STARKS ANGELINA</v>
      </c>
      <c r="M23" s="6">
        <f>I23-F23</f>
        <v>2.5601851848477963E-2</v>
      </c>
      <c r="N23" s="7">
        <f>24*60*SUM($M23:$M23)</f>
        <v>36.866666661808267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https://search-rtdc-monitor-bjffxe2xuh6vdkpspy63sjmuny.us-east-1.es.amazonaws.com/_plugin/kibana/#/discover/Steve-Slow-Train-Analysis-(2080s-and-2083s)?_g=(refreshInterval:(display:Off,section:0,value:0),time:(from:'2016-12-01 03:52:37-700',mode:absolute,to:'2016-12-01 06:37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3" s="52" t="str">
        <f>IF(AA23&lt;IF(AG23="EC",23,5.65),"Y","N")</f>
        <v>N</v>
      </c>
      <c r="X23" s="177">
        <f>VALUE(LEFT(AD23,4))-VALUE(LEFT(AD22,4))</f>
        <v>1</v>
      </c>
      <c r="Y23" s="67">
        <f>RIGHT(D23,LEN(D23)-4)/10000</f>
        <v>7.3400000000000007E-2</v>
      </c>
      <c r="Z23" s="67">
        <f>RIGHT(H23,LEN(H23)-4)/10000</f>
        <v>23.328199999999999</v>
      </c>
      <c r="AA23" s="67">
        <f>ABS(Z23-Y23)</f>
        <v>23.254799999999999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>IF(LEN(A23)=6,"0"&amp;A23,A23)</f>
        <v>0111-01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/stypes="app*4040*20161201*"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111-01 --locoid 4040 --swversion DE.1.0.8.0 --startMP 204:734 --initTime 2016-12-01T04:52:37 --startdatetime 2016-12-01T05:00:18 --delay 1 --endMP 204:233282 --enddatetime 2016-12-01T05:37:10 --enforcementcount 1 &gt;&gt;C:\Users\stu\Documents\GitHub\eaglep3-reporting\EC\2016-12-01-refined-times.txt</v>
      </c>
      <c r="AI23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{"issue":{"subject":"","project_id":79,"tracker_id":40,"status_id":1,"priority_id":2,"assigned_to_id":23,"start_date":"2016-12-01","description":"","custom_fields":[{"id":1,"name":"Subdivision","value":"EC"},{"id":4,"name":"Milepost","value":"23.3282"},{"id":17,"name":"Train ID","value":"111-01"},{"id":16,"name":"Locomotive ID","value":"4040"},{"id":130,"name":"Impact","value":""},{"id":150,"name":"Time of Event (Mountain Time)","value":"05:37:10"},{"id":151,"name":"Denver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412</v>
      </c>
      <c r="B24" s="7">
        <v>4039</v>
      </c>
      <c r="C24" s="22" t="s">
        <v>210</v>
      </c>
      <c r="D24" s="22" t="s">
        <v>293</v>
      </c>
      <c r="E24" s="13">
        <v>42705.244155092594</v>
      </c>
      <c r="F24" s="13">
        <v>42705.247384259259</v>
      </c>
      <c r="G24" s="7">
        <v>2</v>
      </c>
      <c r="H24" s="22" t="s">
        <v>668</v>
      </c>
      <c r="I24" s="13">
        <v>42705.274236111109</v>
      </c>
      <c r="J24" s="7">
        <v>1</v>
      </c>
      <c r="K24" s="109" t="str">
        <f>IF(ISEVEN(B24),(B24-1)&amp;"/"&amp;B24,B24&amp;"/"&amp;(B24+1))</f>
        <v>4039/4040</v>
      </c>
      <c r="L24" s="22" t="str">
        <f>VLOOKUP(A24,'Trips&amp;Operators'!$C$1:$G$99999,5,FALSE)</f>
        <v>STARKS ANGELINA</v>
      </c>
      <c r="M24" s="6">
        <f>I24-F24</f>
        <v>2.6851851849642117E-2</v>
      </c>
      <c r="N24" s="7">
        <f>24*60*SUM($M24:$M24)</f>
        <v>38.666666663484648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https://search-rtdc-monitor-bjffxe2xuh6vdkpspy63sjmuny.us-east-1.es.amazonaws.com/_plugin/kibana/#/discover/Steve-Slow-Train-Analysis-(2080s-and-2083s)?_g=(refreshInterval:(display:Off,section:0,value:0),time:(from:'2016-12-01 04:51:35-700',mode:absolute,to:'2016-12-01 07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4" s="52" t="str">
        <f>IF(AA24&lt;IF(AG24="EC",23,5.65),"Y","N")</f>
        <v>N</v>
      </c>
      <c r="X24" s="177">
        <f>VALUE(LEFT(AD24,4))-VALUE(LEFT(AD23,4))</f>
        <v>1</v>
      </c>
      <c r="Y24" s="67">
        <f>RIGHT(D24,LEN(D24)-4)/10000</f>
        <v>23.298200000000001</v>
      </c>
      <c r="Z24" s="67">
        <f>RIGHT(H24,LEN(H24)-4)/10000</f>
        <v>2.4899999999999999E-2</v>
      </c>
      <c r="AA24" s="67">
        <f>ABS(Z24-Y24)</f>
        <v>23.273300000000003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>IF(LEN(A24)=6,"0"&amp;A24,A24)</f>
        <v>0112-01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/stypes="app*4039*20161201*"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112-01 --locoid 4039 --swversion DE.1.0.8.0 --startMP 204:232982 --initTime 2016-12-01T05:51:35 --startdatetime 2016-12-01T05:56:14 --delay 2 --endMP 204:249 --enddatetime 2016-12-01T06:34:54 --enforcementcount 1 &gt;&gt;C:\Users\stu\Documents\GitHub\eaglep3-reporting\EC\2016-12-01-refined-times.txt</v>
      </c>
      <c r="AI24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{"issue":{"subject":"","project_id":79,"tracker_id":40,"status_id":1,"priority_id":2,"assigned_to_id":23,"start_date":"2016-12-01","description":"","custom_fields":[{"id":1,"name":"Subdivision","value":"EC"},{"id":4,"name":"Milepost","value":"0.0249"},{"id":17,"name":"Train ID","value":"112-01"},{"id":16,"name":"Locomotive ID","value":"4039"},{"id":130,"name":"Impact","value":""},{"id":150,"name":"Time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471</v>
      </c>
      <c r="B25" s="7">
        <v>4027</v>
      </c>
      <c r="C25" s="22" t="s">
        <v>210</v>
      </c>
      <c r="D25" s="22" t="s">
        <v>669</v>
      </c>
      <c r="E25" s="13">
        <v>42705.20722222222</v>
      </c>
      <c r="F25" s="13">
        <v>42705.219189814816</v>
      </c>
      <c r="G25" s="7">
        <v>1</v>
      </c>
      <c r="H25" s="22" t="s">
        <v>272</v>
      </c>
      <c r="I25" s="13">
        <v>42705.244097222225</v>
      </c>
      <c r="J25" s="7">
        <v>1</v>
      </c>
      <c r="K25" s="109" t="str">
        <f>IF(ISEVEN(B25),(B25-1)&amp;"/"&amp;B25,B25&amp;"/"&amp;(B25+1))</f>
        <v>4027/4028</v>
      </c>
      <c r="L25" s="22" t="str">
        <f>VLOOKUP(A25,'Trips&amp;Operators'!$C$1:$G$99999,5,FALSE)</f>
        <v>MAELZER KURT</v>
      </c>
      <c r="M25" s="6">
        <f>I25-F25</f>
        <v>2.4907407409045845E-2</v>
      </c>
      <c r="N25" s="7">
        <f>24*60*SUM($M25:$M25)</f>
        <v>35.866666669026017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https://search-rtdc-monitor-bjffxe2xuh6vdkpspy63sjmuny.us-east-1.es.amazonaws.com/_plugin/kibana/#/discover/Steve-Slow-Train-Analysis-(2080s-and-2083s)?_g=(refreshInterval:(display:Off,section:0,value:0),time:(from:'2016-12-01 03:58:24-700',mode:absolute,to:'2016-12-01 06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5" s="52" t="str">
        <f>IF(AA25&lt;IF(AG25="EC",23,5.65),"Y","N")</f>
        <v>N</v>
      </c>
      <c r="X25" s="177">
        <f>VALUE(LEFT(AD25,4))-VALUE(LEFT(AD24,4))</f>
        <v>1</v>
      </c>
      <c r="Y25" s="67">
        <f>RIGHT(D25,LEN(D25)-4)/10000</f>
        <v>4.3299999999999998E-2</v>
      </c>
      <c r="Z25" s="67">
        <f>RIGHT(H25,LEN(H25)-4)/10000</f>
        <v>23.329799999999999</v>
      </c>
      <c r="AA25" s="67">
        <f>ABS(Z25-Y25)</f>
        <v>23.2865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>IF(LEN(A25)=6,"0"&amp;A25,A25)</f>
        <v>0113-01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s3://rtdc.mdm.uploadarchive.raw/RTDC4027/ "%USERPROFILE%\AppData\Local\Temp\OnboardLogs"\RTDC4027\2016-12-01 --exclude "*" --recursive --include "*20161201*" &amp; "%USERPROFILE%\Documents\GitHub\mrs-test-scripts\Headless Mode &amp; Sideloading\WalkAndUnGZ.bat" "%USERPROFILE%\AppData\Local\Temp\OnboardLogs"\RTDC4027\2016-12-01 &amp; 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/stypes="app*4027*20161201*"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113-01 --locoid 4027 --swversion DE.1.0.8.0 --startMP 204:433 --initTime 2016-12-01T04:58:24 --startdatetime 2016-12-01T05:15:38 --delay 1 --endMP 204:233298 --enddatetime 2016-12-01T05:51:30 --enforcementcount 1 &gt;&gt;C:\Users\stu\Documents\GitHub\eaglep3-reporting\EC\2016-12-01-refined-times.txt</v>
      </c>
      <c r="AI25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{"issue":{"subject":"","project_id":79,"tracker_id":40,"status_id":1,"priority_id":2,"assigned_to_id":23,"start_date":"2016-12-01","description":"","custom_fields":[{"id":1,"name":"Subdivision","value":"EC"},{"id":4,"name":"Milepost","value":"23.3298"},{"id":17,"name":"Train ID","value":"113-01"},{"id":16,"name":"Locomotive ID","value":"4027"},{"id":130,"name":"Impact","value":""},{"id":150,"name":"Time of Event (Mountain Time)","value":"05:51:30"},{"id":151,"name":"Denver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486</v>
      </c>
      <c r="B26" s="7">
        <v>4028</v>
      </c>
      <c r="C26" s="22" t="s">
        <v>210</v>
      </c>
      <c r="D26" s="22" t="s">
        <v>378</v>
      </c>
      <c r="E26" s="13">
        <v>42705.252083333333</v>
      </c>
      <c r="F26" s="13">
        <v>42705.257905092592</v>
      </c>
      <c r="G26" s="7">
        <v>1</v>
      </c>
      <c r="H26" s="22" t="s">
        <v>212</v>
      </c>
      <c r="I26" s="13">
        <v>42705.284004629626</v>
      </c>
      <c r="J26" s="7">
        <v>1</v>
      </c>
      <c r="K26" s="109" t="str">
        <f>IF(ISEVEN(B26),(B26-1)&amp;"/"&amp;B26,B26&amp;"/"&amp;(B26+1))</f>
        <v>4027/4028</v>
      </c>
      <c r="L26" s="22" t="str">
        <f>VLOOKUP(A26,'Trips&amp;Operators'!$C$1:$G$99999,5,FALSE)</f>
        <v>MAELZER KURT</v>
      </c>
      <c r="M26" s="6">
        <f>I26-F26</f>
        <v>2.6099537033587694E-2</v>
      </c>
      <c r="N26" s="7">
        <f>24*60*SUM($M26:$M26)</f>
        <v>37.58333332836628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https://search-rtdc-monitor-bjffxe2xuh6vdkpspy63sjmuny.us-east-1.es.amazonaws.com/_plugin/kibana/#/discover/Steve-Slow-Train-Analysis-(2080s-and-2083s)?_g=(refreshInterval:(display:Off,section:0,value:0),time:(from:'2016-12-01 05:03:00-700',mode:absolute,to:'2016-12-01 07:48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6" s="52" t="str">
        <f>IF(AA26&lt;IF(AG26="EC",23,5.65),"Y","N")</f>
        <v>N</v>
      </c>
      <c r="X26" s="177">
        <f>VALUE(LEFT(AD26,4))-VALUE(LEFT(AD25,4))</f>
        <v>1</v>
      </c>
      <c r="Y26" s="67">
        <f>RIGHT(D26,LEN(D26)-4)/10000</f>
        <v>23.299099999999999</v>
      </c>
      <c r="Z26" s="67">
        <f>RIGHT(H26,LEN(H26)-4)/10000</f>
        <v>1.5800000000000002E-2</v>
      </c>
      <c r="AA26" s="67">
        <f>ABS(Z26-Y26)</f>
        <v>23.283300000000001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>IF(LEN(A26)=6,"0"&amp;A26,A26)</f>
        <v>0114-01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s3://rtdc.mdm.uploadarchive.raw/RTDC4028/ "%USERPROFILE%\AppData\Local\Temp\OnboardLogs"\RTDC4028\2016-12-01 --exclude "*" --recursive --include "*20161201*" &amp; "%USERPROFILE%\Documents\GitHub\mrs-test-scripts\Headless Mode &amp; Sideloading\WalkAndUnGZ.bat" "%USERPROFILE%\AppData\Local\Temp\OnboardLogs"\RTDC4028\2016-12-01 &amp; 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/stypes="app*4028*20161201*"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114-01 --locoid 4028 --swversion DE.1.0.8.0 --startMP 204:232991 --initTime 2016-12-01T06:03:00 --startdatetime 2016-12-01T06:11:23 --delay 1 --endMP 204:158 --enddatetime 2016-12-01T06:48:58 --enforcementcount 1 &gt;&gt;C:\Users\stu\Documents\GitHub\eaglep3-reporting\EC\2016-12-01-refined-times.txt</v>
      </c>
      <c r="AI26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{"issue":{"subject":"","project_id":79,"tracker_id":40,"status_id":1,"priority_id":2,"assigned_to_id":23,"start_date":"2016-12-01","description":"","custom_fields":[{"id":1,"name":"Subdivision","value":"EC"},{"id":4,"name":"Milepost","value":"0.0158"},{"id":17,"name":"Train ID","value":"114-01"},{"id":16,"name":"Locomotive ID","value":"4028"},{"id":130,"name":"Impact","value":""},{"id":150,"name":"Time of Event (Mountain Time)","value":"06:48:58"},{"id":151,"name":"Denver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478</v>
      </c>
      <c r="B27" s="7">
        <v>4031</v>
      </c>
      <c r="C27" s="22" t="s">
        <v>210</v>
      </c>
      <c r="D27" s="22" t="s">
        <v>670</v>
      </c>
      <c r="E27" s="13">
        <v>42705.225416666668</v>
      </c>
      <c r="F27" s="13">
        <v>42705.229444444441</v>
      </c>
      <c r="G27" s="7">
        <v>1</v>
      </c>
      <c r="H27" s="22" t="s">
        <v>264</v>
      </c>
      <c r="I27" s="13">
        <v>42705.253912037035</v>
      </c>
      <c r="J27" s="7">
        <v>1</v>
      </c>
      <c r="K27" s="109" t="str">
        <f>IF(ISEVEN(B27),(B27-1)&amp;"/"&amp;B27,B27&amp;"/"&amp;(B27+1))</f>
        <v>4031/4032</v>
      </c>
      <c r="L27" s="22" t="str">
        <f>VLOOKUP(A27,'Trips&amp;Operators'!$C$1:$G$99999,5,FALSE)</f>
        <v>PERKINS DARREN</v>
      </c>
      <c r="M27" s="6">
        <f>I27-F27</f>
        <v>2.4467592593282461E-2</v>
      </c>
      <c r="N27" s="7">
        <f>24*60*SUM($M27:$M27)</f>
        <v>35.233333334326744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https://search-rtdc-monitor-bjffxe2xuh6vdkpspy63sjmuny.us-east-1.es.amazonaws.com/_plugin/kibana/#/discover/Steve-Slow-Train-Analysis-(2080s-and-2083s)?_g=(refreshInterval:(display:Off,section:0,value:0),time:(from:'2016-12-01 04:24:36-700',mode:absolute,to:'2016-12-01 07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>IF(AA27&lt;IF(AG27="EC",23,5.65),"Y","N")</f>
        <v>N</v>
      </c>
      <c r="X27" s="177">
        <f>VALUE(LEFT(AD27,4))-VALUE(LEFT(AD26,4))</f>
        <v>1</v>
      </c>
      <c r="Y27" s="67">
        <f>RIGHT(D27,LEN(D27)-4)/10000</f>
        <v>8.6999999999999994E-2</v>
      </c>
      <c r="Z27" s="67">
        <f>RIGHT(H27,LEN(H27)-4)/10000</f>
        <v>23.330300000000001</v>
      </c>
      <c r="AA27" s="67">
        <f>ABS(Z27-Y27)</f>
        <v>23.243300000000001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>IF(LEN(A27)=6,"0"&amp;A27,A27)</f>
        <v>0115-01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/stypes="app*4031*20161201*"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115-01 --locoid 4031 --swversion DE.1.0.8.0 --startMP 204:870 --initTime 2016-12-01T05:24:36 --startdatetime 2016-12-01T05:30:24 --delay 1 --endMP 204:233303 --enddatetime 2016-12-01T06:05:38 --enforcementcount 1 &gt;&gt;C:\Users\stu\Documents\GitHub\eaglep3-reporting\EC\2016-12-01-refined-times.txt</v>
      </c>
      <c r="AI27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{"issue":{"subject":"","project_id":79,"tracker_id":40,"status_id":1,"priority_id":2,"assigned_to_id":23,"start_date":"2016-12-01","description":"","custom_fields":[{"id":1,"name":"Subdivision","value":"EC"},{"id":4,"name":"Milepost","value":"23.3303"},{"id":17,"name":"Train ID","value":"115-01"},{"id":16,"name":"Locomotive ID","value":"4031"},{"id":130,"name":"Impact","value":""},{"id":150,"name":"Time of Event (Mountain Time)","value":"06:05:38"},{"id":151,"name":"Denver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489</v>
      </c>
      <c r="B28" s="7">
        <v>4032</v>
      </c>
      <c r="C28" s="22" t="s">
        <v>210</v>
      </c>
      <c r="D28" s="22" t="s">
        <v>204</v>
      </c>
      <c r="E28" s="13">
        <v>42705.255659722221</v>
      </c>
      <c r="F28" s="13">
        <v>42705.268229166664</v>
      </c>
      <c r="G28" s="7">
        <v>1</v>
      </c>
      <c r="H28" s="22" t="s">
        <v>217</v>
      </c>
      <c r="I28" s="13">
        <v>42705.294386574074</v>
      </c>
      <c r="J28" s="7">
        <v>1</v>
      </c>
      <c r="K28" s="109" t="str">
        <f>IF(ISEVEN(B28),(B28-1)&amp;"/"&amp;B28,B28&amp;"/"&amp;(B28+1))</f>
        <v>4031/4032</v>
      </c>
      <c r="L28" s="22" t="str">
        <f>VLOOKUP(A28,'Trips&amp;Operators'!$C$1:$G$99999,5,FALSE)</f>
        <v>PERKINS DARREN</v>
      </c>
      <c r="M28" s="6">
        <f>I28-F28</f>
        <v>2.6157407410209998E-2</v>
      </c>
      <c r="N28" s="7">
        <f>24*60*SUM($M28:$M28)</f>
        <v>37.666666670702398</v>
      </c>
      <c r="O28" s="7"/>
      <c r="P28" s="7"/>
      <c r="Q28" s="23"/>
      <c r="R28" s="23"/>
      <c r="S28" s="35">
        <f>SUM(U28:U28)/IF(AG28="EC",12,1)</f>
        <v>1</v>
      </c>
      <c r="T28" s="50" t="str">
        <f>IF(ISEVEN(LEFT(AD28,4)),"Southbound","NorthBound")</f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https://search-rtdc-monitor-bjffxe2xuh6vdkpspy63sjmuny.us-east-1.es.amazonaws.com/_plugin/kibana/#/discover/Steve-Slow-Train-Analysis-(2080s-and-2083s)?_g=(refreshInterval:(display:Off,section:0,value:0),time:(from:'2016-12-01 05:08:09-700',mode:absolute,to:'2016-12-01 08:03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>IF(AA28&lt;IF(AG28="EC",23,5.65),"Y","N")</f>
        <v>N</v>
      </c>
      <c r="X28" s="177">
        <f>VALUE(LEFT(AD28,4))-VALUE(LEFT(AD27,4))</f>
        <v>1</v>
      </c>
      <c r="Y28" s="67">
        <f>RIGHT(D28,LEN(D28)-4)/10000</f>
        <v>23.297699999999999</v>
      </c>
      <c r="Z28" s="67">
        <f>RIGHT(H28,LEN(H28)-4)/10000</f>
        <v>1.4999999999999999E-2</v>
      </c>
      <c r="AA28" s="67">
        <f>ABS(Z28-Y28)</f>
        <v>23.282699999999998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>IF(LEN(A28)=6,"0"&amp;A28,A28)</f>
        <v>0116-01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/stypes="app*4032*20161201*"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116-01 --locoid 4032 --swversion DE.1.0.8.0 --startMP 204:232977 --initTime 2016-12-01T06:08:09 --startdatetime 2016-12-01T06:26:15 --delay 1 --endMP 204:150 --enddatetime 2016-12-01T07:03:55 --enforcementcount 1 &gt;&gt;C:\Users\stu\Documents\GitHub\eaglep3-reporting\EC\2016-12-01-refined-times.txt</v>
      </c>
      <c r="AI28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{"issue":{"subject":"","project_id":79,"tracker_id":40,"status_id":1,"priority_id":2,"assigned_to_id":23,"start_date":"2016-12-01","description":"","custom_fields":[{"id":1,"name":"Subdivision","value":"EC"},{"id":4,"name":"Milepost","value":"0.015"},{"id":17,"name":"Train ID","value":"116-01"},{"id":16,"name":"Locomotive ID","value":"4032"},{"id":130,"name":"Impact","value":""},{"id":150,"name":"Time of Event (Mountain Time)","value":"07:03:55"},{"id":151,"name":"Denver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480</v>
      </c>
      <c r="B29" s="7">
        <v>4009</v>
      </c>
      <c r="C29" s="22" t="s">
        <v>210</v>
      </c>
      <c r="D29" s="22" t="s">
        <v>671</v>
      </c>
      <c r="E29" s="13">
        <v>42705.233495370368</v>
      </c>
      <c r="F29" s="13">
        <v>42705.239872685182</v>
      </c>
      <c r="G29" s="7">
        <v>2</v>
      </c>
      <c r="H29" s="22" t="s">
        <v>672</v>
      </c>
      <c r="I29" s="13">
        <v>42705.264004629629</v>
      </c>
      <c r="J29" s="7">
        <v>1</v>
      </c>
      <c r="K29" s="109" t="str">
        <f>IF(ISEVEN(B29),(B29-1)&amp;"/"&amp;B29,B29&amp;"/"&amp;(B29+1))</f>
        <v>4009/4010</v>
      </c>
      <c r="L29" s="22" t="str">
        <f>VLOOKUP(A29,'Trips&amp;Operators'!$C$1:$G$99999,5,FALSE)</f>
        <v>SPECTOR MICHAEL</v>
      </c>
      <c r="M29" s="6">
        <f>I29-F29</f>
        <v>2.4131944446708076E-2</v>
      </c>
      <c r="N29" s="7">
        <f>24*60*SUM($M29:$M29)</f>
        <v>34.750000003259629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https://search-rtdc-monitor-bjffxe2xuh6vdkpspy63sjmuny.us-east-1.es.amazonaws.com/_plugin/kibana/#/discover/Steve-Slow-Train-Analysis-(2080s-and-2083s)?_g=(refreshInterval:(display:Off,section:0,value:0),time:(from:'2016-12-01 04:36:14-700',mode:absolute,to:'2016-12-01 07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9" s="52" t="str">
        <f>IF(AA29&lt;IF(AG29="EC",23,5.65),"Y","N")</f>
        <v>N</v>
      </c>
      <c r="X29" s="177">
        <f>VALUE(LEFT(AD29,4))-VALUE(LEFT(AD28,4))</f>
        <v>1</v>
      </c>
      <c r="Y29" s="67">
        <f>RIGHT(D29,LEN(D29)-4)/10000</f>
        <v>4.9799999999999997E-2</v>
      </c>
      <c r="Z29" s="67">
        <f>RIGHT(H29,LEN(H29)-4)/10000</f>
        <v>23.332899999999999</v>
      </c>
      <c r="AA29" s="67">
        <f>ABS(Z29-Y29)</f>
        <v>23.283099999999997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>IF(LEN(A29)=6,"0"&amp;A29,A29)</f>
        <v>0117-01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/stypes="app*4009*20161201*"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117-01 --locoid 4009 --swversion DE.1.0.8.0 --startMP 204:498 --initTime 2016-12-01T05:36:14 --startdatetime 2016-12-01T05:45:25 --delay 2 --endMP 204:233329 --enddatetime 2016-12-01T06:20:10 --enforcementcount 1 &gt;&gt;C:\Users\stu\Documents\GitHub\eaglep3-reporting\EC\2016-12-01-refined-times.txt</v>
      </c>
      <c r="AI29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{"issue":{"subject":"","project_id":79,"tracker_id":40,"status_id":1,"priority_id":2,"assigned_to_id":23,"start_date":"2016-12-01","description":"","custom_fields":[{"id":1,"name":"Subdivision","value":"EC"},{"id":4,"name":"Milepost","value":"23.3329"},{"id":17,"name":"Train ID","value":"117-01"},{"id":16,"name":"Locomotive ID","value":"4009"},{"id":130,"name":"Impact","value":""},{"id":150,"name":"Time of Event (Mountain Time)","value":"06:20:10"},{"id":151,"name":"Denver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493</v>
      </c>
      <c r="B30" s="7">
        <v>4010</v>
      </c>
      <c r="C30" s="22" t="s">
        <v>210</v>
      </c>
      <c r="D30" s="22" t="s">
        <v>291</v>
      </c>
      <c r="E30" s="13">
        <v>42705.274780092594</v>
      </c>
      <c r="F30" s="13">
        <v>42705.278634259259</v>
      </c>
      <c r="G30" s="7">
        <v>1</v>
      </c>
      <c r="H30" s="22" t="s">
        <v>192</v>
      </c>
      <c r="I30" s="13">
        <v>42705.304918981485</v>
      </c>
      <c r="J30" s="7">
        <v>1</v>
      </c>
      <c r="K30" s="109" t="str">
        <f>IF(ISEVEN(B30),(B30-1)&amp;"/"&amp;B30,B30&amp;"/"&amp;(B30+1))</f>
        <v>4009/4010</v>
      </c>
      <c r="L30" s="22" t="str">
        <f>VLOOKUP(A30,'Trips&amp;Operators'!$C$1:$G$99999,5,FALSE)</f>
        <v>SPECTOR MICHAEL</v>
      </c>
      <c r="M30" s="6">
        <f>I30-F30</f>
        <v>2.6284722225682344E-2</v>
      </c>
      <c r="N30" s="7">
        <f>24*60*SUM($M30:$M30)</f>
        <v>37.850000004982576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https://search-rtdc-monitor-bjffxe2xuh6vdkpspy63sjmuny.us-east-1.es.amazonaws.com/_plugin/kibana/#/discover/Steve-Slow-Train-Analysis-(2080s-and-2083s)?_g=(refreshInterval:(display:Off,section:0,value:0),time:(from:'2016-12-01 05:35:41-700',mode:absolute,to:'2016-12-01 08:19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0" s="52" t="str">
        <f>IF(AA30&lt;IF(AG30="EC",23,5.65),"Y","N")</f>
        <v>N</v>
      </c>
      <c r="X30" s="177">
        <f>VALUE(LEFT(AD30,4))-VALUE(LEFT(AD29,4))</f>
        <v>1</v>
      </c>
      <c r="Y30" s="67">
        <f>RIGHT(D30,LEN(D30)-4)/10000</f>
        <v>23.3004</v>
      </c>
      <c r="Z30" s="67">
        <f>RIGHT(H30,LEN(H30)-4)/10000</f>
        <v>1.49E-2</v>
      </c>
      <c r="AA30" s="67">
        <f>ABS(Z30-Y30)</f>
        <v>23.285499999999999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>IF(LEN(A30)=6,"0"&amp;A30,A30)</f>
        <v>0118-01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/stypes="app*4010*20161201*"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118-01 --locoid 4010 --swversion DE.1.0.8.0 --startMP 204:233004 --initTime 2016-12-01T06:35:41 --startdatetime 2016-12-01T06:41:14 --delay 1 --endMP 204:149 --enddatetime 2016-12-01T07:19:05 --enforcementcount 1 &gt;&gt;C:\Users\stu\Documents\GitHub\eaglep3-reporting\EC\2016-12-01-refined-times.txt</v>
      </c>
      <c r="AI30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{"issue":{"subject":"","project_id":79,"tracker_id":40,"status_id":1,"priority_id":2,"assigned_to_id":23,"start_date":"2016-12-01","description":"","custom_fields":[{"id":1,"name":"Subdivision","value":"EC"},{"id":4,"name":"Milepost","value":"0.0149"},{"id":17,"name":"Train ID","value":"118-01"},{"id":16,"name":"Locomotive ID","value":"4010"},{"id":130,"name":"Impact","value":""},{"id":150,"name":"Time of Event (Mountain Time)","value":"07:19:05"},{"id":151,"name":"Denver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485</v>
      </c>
      <c r="B31" s="7">
        <v>4046</v>
      </c>
      <c r="C31" s="22" t="s">
        <v>210</v>
      </c>
      <c r="D31" s="22" t="s">
        <v>673</v>
      </c>
      <c r="E31" s="13">
        <v>42705.246562499997</v>
      </c>
      <c r="F31" s="13">
        <v>42705.250185185185</v>
      </c>
      <c r="G31" s="7">
        <v>1</v>
      </c>
      <c r="H31" s="22" t="s">
        <v>264</v>
      </c>
      <c r="I31" s="13">
        <v>42705.275092592594</v>
      </c>
      <c r="J31" s="7">
        <v>1</v>
      </c>
      <c r="K31" s="109" t="str">
        <f>IF(ISEVEN(B31),(B31-1)&amp;"/"&amp;B31,B31&amp;"/"&amp;(B31+1))</f>
        <v>4045/4046</v>
      </c>
      <c r="L31" s="22" t="str">
        <f>VLOOKUP(A31,'Trips&amp;Operators'!$C$1:$G$99999,5,FALSE)</f>
        <v>ROBINSON KADDIBA</v>
      </c>
      <c r="M31" s="6">
        <f>I31-F31</f>
        <v>2.4907407409045845E-2</v>
      </c>
      <c r="N31" s="7">
        <f>24*60*SUM($M31:$M31)</f>
        <v>35.866666669026017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https://search-rtdc-monitor-bjffxe2xuh6vdkpspy63sjmuny.us-east-1.es.amazonaws.com/_plugin/kibana/#/discover/Steve-Slow-Train-Analysis-(2080s-and-2083s)?_g=(refreshInterval:(display:Off,section:0,value:0),time:(from:'2016-12-01 04:55:03-700',mode:absolute,to:'2016-12-01 07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1" s="52" t="str">
        <f>IF(AA31&lt;IF(AG31="EC",23,5.65),"Y","N")</f>
        <v>N</v>
      </c>
      <c r="X31" s="177">
        <f>VALUE(LEFT(AD31,4))-VALUE(LEFT(AD30,4))</f>
        <v>1</v>
      </c>
      <c r="Y31" s="67">
        <f>RIGHT(D31,LEN(D31)-4)/10000</f>
        <v>7.46E-2</v>
      </c>
      <c r="Z31" s="67">
        <f>RIGHT(H31,LEN(H31)-4)/10000</f>
        <v>23.330300000000001</v>
      </c>
      <c r="AA31" s="67">
        <f>ABS(Z31-Y31)</f>
        <v>23.255700000000001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>IF(LEN(A31)=6,"0"&amp;A31,A31)</f>
        <v>0119-01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 &amp; aws s3 cp s3://rtdc.mdm.uploadarchive.raw/RTDC4046/ "%USERPROFILE%\AppData\Local\Temp\OnboardLogs"\RTDC4046\2016-12-02 --exclude "*" --recursive --include "*20161202*" &amp; "%USERPROFILE%\Documents\GitHub\mrs-test-scripts\Headless Mode &amp; Sideloading\WalkAndUnGZ.bat" "%USERPROFILE%\AppData\Local\Temp\OnboardLogs"\RTDC4046\2016-12-02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/stypes="app*4046*20161201*"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119-01 --locoid 4046 --swversion DE.1.0.8.0 --startMP 204:746 --initTime 2016-12-01T05:55:03 --startdatetime 2016-12-01T06:00:16 --delay 1 --endMP 204:233303 --enddatetime 2016-12-01T06:36:08 --enforcementcount 1 &gt;&gt;C:\Users\stu\Documents\GitHub\eaglep3-reporting\EC\2016-12-01-refined-times.txt</v>
      </c>
      <c r="AI31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{"issue":{"subject":"","project_id":79,"tracker_id":40,"status_id":1,"priority_id":2,"assigned_to_id":23,"start_date":"2016-12-01","description":"","custom_fields":[{"id":1,"name":"Subdivision","value":"EC"},{"id":4,"name":"Milepost","value":"23.3303"},{"id":17,"name":"Train ID","value":"119-01"},{"id":16,"name":"Locomotive ID","value":"4046"},{"id":130,"name":"Impact","value":""},{"id":150,"name":"Time of Event (Mountain Time)","value":"06:36:08"},{"id":151,"name":"Denver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495</v>
      </c>
      <c r="B32" s="7">
        <v>4045</v>
      </c>
      <c r="C32" s="22" t="s">
        <v>210</v>
      </c>
      <c r="D32" s="22" t="s">
        <v>267</v>
      </c>
      <c r="E32" s="13">
        <v>42705.276944444442</v>
      </c>
      <c r="F32" s="13">
        <v>42705.289097222223</v>
      </c>
      <c r="G32" s="7">
        <v>1</v>
      </c>
      <c r="H32" s="22" t="s">
        <v>192</v>
      </c>
      <c r="I32" s="13">
        <v>42705.321620370371</v>
      </c>
      <c r="J32" s="7">
        <v>1</v>
      </c>
      <c r="K32" s="109" t="str">
        <f>IF(ISEVEN(B32),(B32-1)&amp;"/"&amp;B32,B32&amp;"/"&amp;(B32+1))</f>
        <v>4045/4046</v>
      </c>
      <c r="L32" s="22" t="str">
        <f>VLOOKUP(A32,'Trips&amp;Operators'!$C$1:$G$99999,5,FALSE)</f>
        <v>ROBINSON KADDIBA</v>
      </c>
      <c r="M32" s="6">
        <f>I32-F32</f>
        <v>3.25231481474475E-2</v>
      </c>
      <c r="N32" s="7">
        <f>24*60*SUM($M32:$M32)</f>
        <v>46.833333332324401</v>
      </c>
      <c r="O32" s="7"/>
      <c r="P32" s="7"/>
      <c r="Q32" s="23"/>
      <c r="R32" s="23"/>
      <c r="S32" s="35">
        <f>SUM(U32:U32)/IF(AG32="EC",12,1)</f>
        <v>1</v>
      </c>
      <c r="T32" s="50" t="str">
        <f>IF(ISEVEN(LEFT(AD32,4)),"Southbound","NorthBound")</f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https://search-rtdc-monitor-bjffxe2xuh6vdkpspy63sjmuny.us-east-1.es.amazonaws.com/_plugin/kibana/#/discover/Steve-Slow-Train-Analysis-(2080s-and-2083s)?_g=(refreshInterval:(display:Off,section:0,value:0),time:(from:'2016-12-01 05:38:48-700',mode:absolute,to:'2016-12-01 08:43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2" s="52" t="str">
        <f>IF(AA32&lt;IF(AG32="EC",23,5.65),"Y","N")</f>
        <v>N</v>
      </c>
      <c r="X32" s="177">
        <f>VALUE(LEFT(AD32,4))-VALUE(LEFT(AD31,4))</f>
        <v>1</v>
      </c>
      <c r="Y32" s="67">
        <f>RIGHT(D32,LEN(D32)-4)/10000</f>
        <v>23.2988</v>
      </c>
      <c r="Z32" s="67">
        <f>RIGHT(H32,LEN(H32)-4)/10000</f>
        <v>1.49E-2</v>
      </c>
      <c r="AA32" s="67">
        <f>ABS(Z32-Y32)</f>
        <v>23.283899999999999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>IF(LEN(A32)=6,"0"&amp;A32,A32)</f>
        <v>0120-01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 &amp; aws s3 cp s3://rtdc.mdm.uploadarchive.raw/RTDC4045/ "%USERPROFILE%\AppData\Local\Temp\OnboardLogs"\RTDC4045\2016-12-02 --exclude "*" --recursive --include "*20161202*" &amp; "%USERPROFILE%\Documents\GitHub\mrs-test-scripts\Headless Mode &amp; Sideloading\WalkAndUnGZ.bat" "%USERPROFILE%\AppData\Local\Temp\OnboardLogs"\RTDC4045\2016-12-02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/stypes="app*4045*20161201*"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120-01 --locoid 4045 --swversion DE.1.0.8.0 --startMP 204:232988 --initTime 2016-12-01T06:38:48 --startdatetime 2016-12-01T06:56:18 --delay 1 --endMP 204:149 --enddatetime 2016-12-01T07:43:08 --enforcementcount 1 &gt;&gt;C:\Users\stu\Documents\GitHub\eaglep3-reporting\EC\2016-12-01-refined-times.txt</v>
      </c>
      <c r="AI32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{"issue":{"subject":"","project_id":79,"tracker_id":40,"status_id":1,"priority_id":2,"assigned_to_id":23,"start_date":"2016-12-01","description":"","custom_fields":[{"id":1,"name":"Subdivision","value":"EC"},{"id":4,"name":"Milepost","value":"0.0149"},{"id":17,"name":"Train ID","value":"120-01"},{"id":16,"name":"Locomotive ID","value":"4045"},{"id":130,"name":"Impact","value":""},{"id":150,"name":"Time of Event (Mountain Time)","value":"07:43:08"},{"id":151,"name":"Denver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490</v>
      </c>
      <c r="B33" s="7">
        <v>4029</v>
      </c>
      <c r="C33" s="22" t="s">
        <v>210</v>
      </c>
      <c r="D33" s="22" t="s">
        <v>232</v>
      </c>
      <c r="E33" s="13">
        <v>42705.256793981483</v>
      </c>
      <c r="F33" s="13">
        <v>42705.260787037034</v>
      </c>
      <c r="G33" s="7">
        <v>1</v>
      </c>
      <c r="H33" s="22" t="s">
        <v>295</v>
      </c>
      <c r="I33" s="13">
        <v>42705.286192129628</v>
      </c>
      <c r="J33" s="7">
        <v>1</v>
      </c>
      <c r="K33" s="109" t="str">
        <f>IF(ISEVEN(B33),(B33-1)&amp;"/"&amp;B33,B33&amp;"/"&amp;(B33+1))</f>
        <v>4029/4030</v>
      </c>
      <c r="L33" s="22" t="str">
        <f>VLOOKUP(A33,'Trips&amp;Operators'!$C$1:$G$99999,5,FALSE)</f>
        <v>STRICKLAND EVAN</v>
      </c>
      <c r="M33" s="6">
        <f>I33-F33</f>
        <v>2.5405092594155576E-2</v>
      </c>
      <c r="N33" s="7">
        <f>24*60*SUM($M33:$M33)</f>
        <v>36.58333333558403</v>
      </c>
      <c r="O33" s="7"/>
      <c r="P33" s="7"/>
      <c r="Q33" s="23"/>
      <c r="R33" s="23"/>
      <c r="S33" s="35">
        <f>SUM(U33:U33)/IF(AG33="EC",12,1)</f>
        <v>1</v>
      </c>
      <c r="T33" s="50" t="str">
        <f>IF(ISEVEN(LEFT(AD33,4)),"Southbound","NorthBound")</f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https://search-rtdc-monitor-bjffxe2xuh6vdkpspy63sjmuny.us-east-1.es.amazonaws.com/_plugin/kibana/#/discover/Steve-Slow-Train-Analysis-(2080s-and-2083s)?_g=(refreshInterval:(display:Off,section:0,value:0),time:(from:'2016-12-01 05:09:47-700',mode:absolute,to:'2016-12-01 07:52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3" s="52" t="str">
        <f>IF(AA33&lt;IF(AG33="EC",23,5.65),"Y","N")</f>
        <v>N</v>
      </c>
      <c r="X33" s="177">
        <f>VALUE(LEFT(AD33,4))-VALUE(LEFT(AD32,4))</f>
        <v>1</v>
      </c>
      <c r="Y33" s="67">
        <f>RIGHT(D33,LEN(D33)-4)/10000</f>
        <v>4.4900000000000002E-2</v>
      </c>
      <c r="Z33" s="67">
        <f>RIGHT(H33,LEN(H33)-4)/10000</f>
        <v>23.3325</v>
      </c>
      <c r="AA33" s="67">
        <f>ABS(Z33-Y33)</f>
        <v>23.287600000000001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>IF(LEN(A33)=6,"0"&amp;A33,A33)</f>
        <v>0121-01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/stypes="app*4029*20161201*"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121-01 --locoid 4029 --swversion DE.1.0.8.0 --startMP 204:449 --initTime 2016-12-01T06:09:47 --startdatetime 2016-12-01T06:15:32 --delay 1 --endMP 204:233325 --enddatetime 2016-12-01T06:52:07 --enforcementcount 1 &gt;&gt;C:\Users\stu\Documents\GitHub\eaglep3-reporting\EC\2016-12-01-refined-times.txt</v>
      </c>
      <c r="AI33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{"issue":{"subject":"","project_id":79,"tracker_id":40,"status_id":1,"priority_id":2,"assigned_to_id":23,"start_date":"2016-12-01","description":"","custom_fields":[{"id":1,"name":"Subdivision","value":"EC"},{"id":4,"name":"Milepost","value":"23.3325"},{"id":17,"name":"Train ID","value":"121-01"},{"id":16,"name":"Locomotive ID","value":"4029"},{"id":130,"name":"Impact","value":""},{"id":150,"name":"Time of Event (Mountain Time)","value":"06:52:07"},{"id":151,"name":"Denver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414</v>
      </c>
      <c r="B34" s="7">
        <v>4030</v>
      </c>
      <c r="C34" s="22" t="s">
        <v>210</v>
      </c>
      <c r="D34" s="22" t="s">
        <v>374</v>
      </c>
      <c r="E34" s="13">
        <v>42705.295300925929</v>
      </c>
      <c r="F34" s="13">
        <v>42705.299849537034</v>
      </c>
      <c r="G34" s="7">
        <v>1</v>
      </c>
      <c r="H34" s="22" t="s">
        <v>674</v>
      </c>
      <c r="I34" s="13">
        <v>42705.330416666664</v>
      </c>
      <c r="J34" s="7">
        <v>1</v>
      </c>
      <c r="K34" s="109" t="str">
        <f>IF(ISEVEN(B34),(B34-1)&amp;"/"&amp;B34,B34&amp;"/"&amp;(B34+1))</f>
        <v>4029/4030</v>
      </c>
      <c r="L34" s="22" t="str">
        <f>VLOOKUP(A34,'Trips&amp;Operators'!$C$1:$G$99999,5,FALSE)</f>
        <v>STRICKLAND EVAN</v>
      </c>
      <c r="M34" s="6">
        <f>I34-F34</f>
        <v>3.0567129630071577E-2</v>
      </c>
      <c r="N34" s="7">
        <f>24*60*SUM($M34:$M34)</f>
        <v>44.01666666730307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https://search-rtdc-monitor-bjffxe2xuh6vdkpspy63sjmuny.us-east-1.es.amazonaws.com/_plugin/kibana/#/discover/Steve-Slow-Train-Analysis-(2080s-and-2083s)?_g=(refreshInterval:(display:Off,section:0,value:0),time:(from:'2016-12-01 06:05:14-700',mode:absolute,to:'2016-12-01 08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4" s="52" t="str">
        <f>IF(AA34&lt;IF(AG34="EC",23,5.65),"Y","N")</f>
        <v>N</v>
      </c>
      <c r="X34" s="177">
        <f>VALUE(LEFT(AD34,4))-VALUE(LEFT(AD33,4))</f>
        <v>1</v>
      </c>
      <c r="Y34" s="67">
        <f>RIGHT(D34,LEN(D34)-4)/10000</f>
        <v>23.300599999999999</v>
      </c>
      <c r="Z34" s="67">
        <f>RIGHT(H34,LEN(H34)-4)/10000</f>
        <v>1.83E-2</v>
      </c>
      <c r="AA34" s="67">
        <f>ABS(Z34-Y34)</f>
        <v>23.282299999999999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>IF(LEN(A34)=6,"0"&amp;A34,A34)</f>
        <v>0122-01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/stypes="app*4030*20161201*"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122-01 --locoid 4030 --swversion DE.1.0.8.0 --startMP 204:233006 --initTime 2016-12-01T07:05:14 --startdatetime 2016-12-01T07:11:47 --delay 1 --endMP 204:183 --enddatetime 2016-12-01T07:55:48 --enforcementcount 1 &gt;&gt;C:\Users\stu\Documents\GitHub\eaglep3-reporting\EC\2016-12-01-refined-times.txt</v>
      </c>
      <c r="AI34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{"issue":{"subject":"","project_id":79,"tracker_id":40,"status_id":1,"priority_id":2,"assigned_to_id":23,"start_date":"2016-12-01","description":"","custom_fields":[{"id":1,"name":"Subdivision","value":"EC"},{"id":4,"name":"Milepost","value":"0.0183"},{"id":17,"name":"Train ID","value":"122-01"},{"id":16,"name":"Locomotive ID","value":"4030"},{"id":130,"name":"Impact","value":""},{"id":150,"name":"Time of Event (Mountain Time)","value":"07:55:48"},{"id":151,"name":"Denver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491</v>
      </c>
      <c r="B35" s="7">
        <v>4007</v>
      </c>
      <c r="C35" s="22" t="s">
        <v>210</v>
      </c>
      <c r="D35" s="22" t="s">
        <v>251</v>
      </c>
      <c r="E35" s="13">
        <v>42705.265127314815</v>
      </c>
      <c r="F35" s="13">
        <v>42705.271111111113</v>
      </c>
      <c r="G35" s="7">
        <v>2</v>
      </c>
      <c r="H35" s="22" t="s">
        <v>338</v>
      </c>
      <c r="I35" s="13">
        <v>42705.296851851854</v>
      </c>
      <c r="J35" s="7">
        <v>1</v>
      </c>
      <c r="K35" s="109" t="str">
        <f>IF(ISEVEN(B35),(B35-1)&amp;"/"&amp;B35,B35&amp;"/"&amp;(B35+1))</f>
        <v>4007/4008</v>
      </c>
      <c r="L35" s="22" t="str">
        <f>VLOOKUP(A35,'Trips&amp;Operators'!$C$1:$G$99999,5,FALSE)</f>
        <v>SAFIEF AEIMEN</v>
      </c>
      <c r="M35" s="6">
        <f>I35-F35</f>
        <v>2.5740740740729962E-2</v>
      </c>
      <c r="N35" s="7">
        <f>24*60*SUM($M35:$M35)</f>
        <v>37.066666666651145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https://search-rtdc-monitor-bjffxe2xuh6vdkpspy63sjmuny.us-east-1.es.amazonaws.com/_plugin/kibana/#/discover/Steve-Slow-Train-Analysis-(2080s-and-2083s)?_g=(refreshInterval:(display:Off,section:0,value:0),time:(from:'2016-12-01 05:21:47-700',mode:absolute,to:'2016-12-01 08:07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35" s="52" t="str">
        <f>IF(AA35&lt;IF(AG35="EC",23,5.65),"Y","N")</f>
        <v>N</v>
      </c>
      <c r="X35" s="177">
        <f>VALUE(LEFT(AD35,4))-VALUE(LEFT(AD34,4))</f>
        <v>1</v>
      </c>
      <c r="Y35" s="67">
        <f>RIGHT(D35,LEN(D35)-4)/10000</f>
        <v>4.5999999999999999E-2</v>
      </c>
      <c r="Z35" s="67">
        <f>RIGHT(H35,LEN(H35)-4)/10000</f>
        <v>23.331199999999999</v>
      </c>
      <c r="AA35" s="67">
        <f>ABS(Z35-Y35)</f>
        <v>23.2852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>IF(LEN(A35)=6,"0"&amp;A35,A35)</f>
        <v>0123-01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/stypes="app*4007*20161201*"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123-01 --locoid 4007 --swversion DE.1.0.8.0 --startMP 204:460 --initTime 2016-12-01T06:21:47 --startdatetime 2016-12-01T06:30:24 --delay 2 --endMP 204:233312 --enddatetime 2016-12-01T07:07:28 --enforcementcount 1 &gt;&gt;C:\Users\stu\Documents\GitHub\eaglep3-reporting\EC\2016-12-01-refined-times.txt</v>
      </c>
      <c r="AI35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{"issue":{"subject":"","project_id":79,"tracker_id":40,"status_id":1,"priority_id":2,"assigned_to_id":23,"start_date":"2016-12-01","description":"","custom_fields":[{"id":1,"name":"Subdivision","value":"EC"},{"id":4,"name":"Milepost","value":"23.3312"},{"id":17,"name":"Train ID","value":"123-01"},{"id":16,"name":"Locomotive ID","value":"4007"},{"id":130,"name":"Impact","value":""},{"id":150,"name":"Time of Event (Mountain Time)","value":"07:07:28"},{"id":151,"name":"Denver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500</v>
      </c>
      <c r="B36" s="7">
        <v>4008</v>
      </c>
      <c r="C36" s="22" t="s">
        <v>210</v>
      </c>
      <c r="D36" s="22" t="s">
        <v>367</v>
      </c>
      <c r="E36" s="13">
        <v>42705.299629629626</v>
      </c>
      <c r="F36" s="13">
        <v>42705.310057870367</v>
      </c>
      <c r="G36" s="7">
        <v>1</v>
      </c>
      <c r="H36" s="22" t="s">
        <v>675</v>
      </c>
      <c r="I36" s="13">
        <v>42705.346087962964</v>
      </c>
      <c r="J36" s="7">
        <v>1</v>
      </c>
      <c r="K36" s="109" t="str">
        <f>IF(ISEVEN(B36),(B36-1)&amp;"/"&amp;B36,B36&amp;"/"&amp;(B36+1))</f>
        <v>4007/4008</v>
      </c>
      <c r="L36" s="22" t="str">
        <f>VLOOKUP(A36,'Trips&amp;Operators'!$C$1:$G$99999,5,FALSE)</f>
        <v>SAFIEF AEIMEN</v>
      </c>
      <c r="M36" s="6">
        <f>I36-F36</f>
        <v>3.6030092596774921E-2</v>
      </c>
      <c r="N36" s="7">
        <f>24*60*SUM($M36:$M36)</f>
        <v>51.883333339355886</v>
      </c>
      <c r="O36" s="7"/>
      <c r="P36" s="7"/>
      <c r="Q36" s="23"/>
      <c r="R36" s="23" t="s">
        <v>861</v>
      </c>
      <c r="S36" s="35">
        <f>SUM(U36:U36)/IF(AG36="EC",12,1)</f>
        <v>1</v>
      </c>
      <c r="T36" s="50" t="str">
        <f>IF(ISEVEN(LEFT(AD36,4)),"Southbound","NorthBound")</f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https://search-rtdc-monitor-bjffxe2xuh6vdkpspy63sjmuny.us-east-1.es.amazonaws.com/_plugin/kibana/#/discover/Steve-Slow-Train-Analysis-(2080s-and-2083s)?_g=(refreshInterval:(display:Off,section:0,value:0),time:(from:'2016-12-01 06:11:28-700',mode:absolute,to:'2016-12-01 09:18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6" s="52" t="str">
        <f>IF(AA36&lt;IF(AG36="EC",23,5.65),"Y","N")</f>
        <v>N</v>
      </c>
      <c r="X36" s="177">
        <f>VALUE(LEFT(AD36,4))-VALUE(LEFT(AD35,4))</f>
        <v>1</v>
      </c>
      <c r="Y36" s="67">
        <f>RIGHT(D36,LEN(D36)-4)/10000</f>
        <v>23.299199999999999</v>
      </c>
      <c r="Z36" s="67">
        <f>RIGHT(H36,LEN(H36)-4)/10000</f>
        <v>1.67E-2</v>
      </c>
      <c r="AA36" s="67">
        <f>ABS(Z36-Y36)</f>
        <v>23.282499999999999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>IF(LEN(A36)=6,"0"&amp;A36,A36)</f>
        <v>0124-01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/stypes="app*4008*20161201*"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124-01 --locoid 4008 --swversion DE.1.0.8.0 --startMP 204:232992 --initTime 2016-12-01T07:11:28 --startdatetime 2016-12-01T07:26:29 --delay 1 --endMP 204:167 --enddatetime 2016-12-01T08:18:22 --enforcementcount 1 &gt;&gt;C:\Users\stu\Documents\GitHub\eaglep3-reporting\EC\2016-12-01-refined-times.txt</v>
      </c>
      <c r="AI36" s="119" t="str">
        <f t="shared" si="3"/>
        <v>echo {"issue":{"subject":"Delayed at 40th","project_id":79,"tracker_id":40,"status_id":1,"priority_id":2,"assigned_to_id":23,"start_date":"2016-12-01","description":"","custom_fields":[{"id":1,"name":"Subdivision","value":"EC"},{"id":4,"name":"Milepost","value":"0.0167"},{"id":17,"name":"Train ID","value":"124-01"},{"id":16,"name":"Locomotive ID","value":"4008"},{"id":130,"name":"Impact","value":""},{"id":150,"name":"Time of Event (Mountain Time)","value":"08:18:22"},{"id":151,"name":"Denver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496</v>
      </c>
      <c r="B37" s="7">
        <v>4040</v>
      </c>
      <c r="C37" s="22" t="s">
        <v>210</v>
      </c>
      <c r="D37" s="22" t="s">
        <v>676</v>
      </c>
      <c r="E37" s="13">
        <v>42705.278298611112</v>
      </c>
      <c r="F37" s="13">
        <v>42705.281527777777</v>
      </c>
      <c r="G37" s="7">
        <v>1</v>
      </c>
      <c r="H37" s="22" t="s">
        <v>336</v>
      </c>
      <c r="I37" s="13">
        <v>42705.307025462964</v>
      </c>
      <c r="J37" s="7">
        <v>1</v>
      </c>
      <c r="K37" s="109" t="str">
        <f>IF(ISEVEN(B37),(B37-1)&amp;"/"&amp;B37,B37&amp;"/"&amp;(B37+1))</f>
        <v>4039/4040</v>
      </c>
      <c r="L37" s="22" t="str">
        <f>VLOOKUP(A37,'Trips&amp;Operators'!$C$1:$G$99999,5,FALSE)</f>
        <v>STARKS ANGELINA</v>
      </c>
      <c r="M37" s="6">
        <f>I37-F37</f>
        <v>2.5497685186564922E-2</v>
      </c>
      <c r="N37" s="7">
        <f>24*60*SUM($M37:$M37)</f>
        <v>36.716666668653488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https://search-rtdc-monitor-bjffxe2xuh6vdkpspy63sjmuny.us-east-1.es.amazonaws.com/_plugin/kibana/#/discover/Steve-Slow-Train-Analysis-(2080s-and-2083s)?_g=(refreshInterval:(display:Off,section:0,value:0),time:(from:'2016-12-01 05:40:45-700',mode:absolute,to:'2016-12-01 08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7" s="52" t="str">
        <f>IF(AA37&lt;IF(AG37="EC",23,5.65),"Y","N")</f>
        <v>N</v>
      </c>
      <c r="X37" s="177">
        <f>VALUE(LEFT(AD37,4))-VALUE(LEFT(AD36,4))</f>
        <v>1</v>
      </c>
      <c r="Y37" s="67">
        <f>RIGHT(D37,LEN(D37)-4)/10000</f>
        <v>5.5899999999999998E-2</v>
      </c>
      <c r="Z37" s="67">
        <f>RIGHT(H37,LEN(H37)-4)/10000</f>
        <v>23.331</v>
      </c>
      <c r="AA37" s="67">
        <f>ABS(Z37-Y37)</f>
        <v>23.275099999999998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>IF(LEN(A37)=6,"0"&amp;A37,A37)</f>
        <v>0125-01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/stypes="app*4040*20161201*"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125-01 --locoid 4040 --swversion DE.1.0.8.0 --startMP 204:559 --initTime 2016-12-01T06:40:45 --startdatetime 2016-12-01T06:45:24 --delay 1 --endMP 204:233310 --enddatetime 2016-12-01T07:22:07 --enforcementcount 1 &gt;&gt;C:\Users\stu\Documents\GitHub\eaglep3-reporting\EC\2016-12-01-refined-times.txt</v>
      </c>
      <c r="AI37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{"issue":{"subject":"","project_id":79,"tracker_id":40,"status_id":1,"priority_id":2,"assigned_to_id":23,"start_date":"2016-12-01","description":"","custom_fields":[{"id":1,"name":"Subdivision","value":"EC"},{"id":4,"name":"Milepost","value":"23.331"},{"id":17,"name":"Train ID","value":"125-01"},{"id":16,"name":"Locomotive ID","value":"4040"},{"id":130,"name":"Impact","value":""},{"id":150,"name":"Time of Event (Mountain Time)","value":"07:22:07"},{"id":151,"name":"Denver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505</v>
      </c>
      <c r="B38" s="7">
        <v>4039</v>
      </c>
      <c r="C38" s="22" t="s">
        <v>210</v>
      </c>
      <c r="D38" s="22" t="s">
        <v>242</v>
      </c>
      <c r="E38" s="13">
        <v>42705.316805555558</v>
      </c>
      <c r="F38" s="13">
        <v>42705.3203587963</v>
      </c>
      <c r="G38" s="7">
        <v>1</v>
      </c>
      <c r="H38" s="22" t="s">
        <v>268</v>
      </c>
      <c r="I38" s="13">
        <v>42705.354247685187</v>
      </c>
      <c r="J38" s="7">
        <v>1</v>
      </c>
      <c r="K38" s="109" t="str">
        <f>IF(ISEVEN(B38),(B38-1)&amp;"/"&amp;B38,B38&amp;"/"&amp;(B38+1))</f>
        <v>4039/4040</v>
      </c>
      <c r="L38" s="22" t="str">
        <f>VLOOKUP(A38,'Trips&amp;Operators'!$C$1:$G$99999,5,FALSE)</f>
        <v>STARKS ANGELINA</v>
      </c>
      <c r="M38" s="6">
        <f>I38-F38</f>
        <v>3.3888888887304347E-2</v>
      </c>
      <c r="N38" s="7">
        <f>24*60*SUM($M38:$M38)</f>
        <v>48.79999999771826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https://search-rtdc-monitor-bjffxe2xuh6vdkpspy63sjmuny.us-east-1.es.amazonaws.com/_plugin/kibana/#/discover/Steve-Slow-Train-Analysis-(2080s-and-2083s)?_g=(refreshInterval:(display:Off,section:0,value:0),time:(from:'2016-12-01 06:36:12-700',mode:absolute,to:'2016-12-01 09:30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8" s="52" t="str">
        <f>IF(AA38&lt;IF(AG38="EC",23,5.65),"Y","N")</f>
        <v>N</v>
      </c>
      <c r="X38" s="177">
        <f>VALUE(LEFT(AD38,4))-VALUE(LEFT(AD37,4))</f>
        <v>1</v>
      </c>
      <c r="Y38" s="67">
        <f>RIGHT(D38,LEN(D38)-4)/10000</f>
        <v>23.299299999999999</v>
      </c>
      <c r="Z38" s="67">
        <f>RIGHT(H38,LEN(H38)-4)/10000</f>
        <v>1.4500000000000001E-2</v>
      </c>
      <c r="AA38" s="67">
        <f>ABS(Z38-Y38)</f>
        <v>23.284799999999997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>IF(LEN(A38)=6,"0"&amp;A38,A38)</f>
        <v>0126-01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/stypes="app*4039*20161201*"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126-01 --locoid 4039 --swversion DE.1.0.8.0 --startMP 204:232993 --initTime 2016-12-01T07:36:12 --startdatetime 2016-12-01T07:41:19 --delay 1 --endMP 204:145 --enddatetime 2016-12-01T08:30:07 --enforcementcount 1 &gt;&gt;C:\Users\stu\Documents\GitHub\eaglep3-reporting\EC\2016-12-01-refined-times.txt</v>
      </c>
      <c r="AI38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{"issue":{"subject":"","project_id":79,"tracker_id":40,"status_id":1,"priority_id":2,"assigned_to_id":23,"start_date":"2016-12-01","description":"","custom_fields":[{"id":1,"name":"Subdivision","value":"EC"},{"id":4,"name":"Milepost","value":"0.0145"},{"id":17,"name":"Train ID","value":"126-01"},{"id":16,"name":"Locomotive ID","value":"4039"},{"id":130,"name":"Impact","value":""},{"id":150,"name":"Time of Event (Mountain Time)","value":"08:30:07"},{"id":151,"name":"Denver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497</v>
      </c>
      <c r="B39" s="7">
        <v>4027</v>
      </c>
      <c r="C39" s="22" t="s">
        <v>210</v>
      </c>
      <c r="D39" s="22" t="s">
        <v>231</v>
      </c>
      <c r="E39" s="13">
        <v>42705.286469907405</v>
      </c>
      <c r="F39" s="13">
        <v>42705.291944444441</v>
      </c>
      <c r="G39" s="7">
        <v>1</v>
      </c>
      <c r="H39" s="22" t="s">
        <v>287</v>
      </c>
      <c r="I39" s="13">
        <v>42705.316342592596</v>
      </c>
      <c r="J39" s="7">
        <v>1</v>
      </c>
      <c r="K39" s="109" t="str">
        <f>IF(ISEVEN(B39),(B39-1)&amp;"/"&amp;B39,B39&amp;"/"&amp;(B39+1))</f>
        <v>4027/4028</v>
      </c>
      <c r="L39" s="22" t="str">
        <f>VLOOKUP(A39,'Trips&amp;Operators'!$C$1:$G$99999,5,FALSE)</f>
        <v>MAELZER KURT</v>
      </c>
      <c r="M39" s="6">
        <f>I39-F39</f>
        <v>2.439814815443242E-2</v>
      </c>
      <c r="N39" s="7">
        <f>24*60*SUM($M39:$M39)</f>
        <v>35.133333342382684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https://search-rtdc-monitor-bjffxe2xuh6vdkpspy63sjmuny.us-east-1.es.amazonaws.com/_plugin/kibana/#/discover/Steve-Slow-Train-Analysis-(2080s-and-2083s)?_g=(refreshInterval:(display:Off,section:0,value:0),time:(from:'2016-12-01 05:52:31-700',mode:absolute,to:'2016-12-01 08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9" s="52" t="str">
        <f>IF(AA39&lt;IF(AG39="EC",23,5.65),"Y","N")</f>
        <v>N</v>
      </c>
      <c r="X39" s="177">
        <f>VALUE(LEFT(AD39,4))-VALUE(LEFT(AD38,4))</f>
        <v>1</v>
      </c>
      <c r="Y39" s="67">
        <f>RIGHT(D39,LEN(D39)-4)/10000</f>
        <v>4.6600000000000003E-2</v>
      </c>
      <c r="Z39" s="67">
        <f>RIGHT(H39,LEN(H39)-4)/10000</f>
        <v>23.330100000000002</v>
      </c>
      <c r="AA39" s="67">
        <f>ABS(Z39-Y39)</f>
        <v>23.2835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>IF(LEN(A39)=6,"0"&amp;A39,A39)</f>
        <v>0127-01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s3://rtdc.mdm.uploadarchive.raw/RTDC4027/ "%USERPROFILE%\AppData\Local\Temp\OnboardLogs"\RTDC4027\2016-12-01 --exclude "*" --recursive --include "*20161201*" &amp; "%USERPROFILE%\Documents\GitHub\mrs-test-scripts\Headless Mode &amp; Sideloading\WalkAndUnGZ.bat" "%USERPROFILE%\AppData\Local\Temp\OnboardLogs"\RTDC4027\2016-12-01 &amp; 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/stypes="app*4027*20161201*"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127-01 --locoid 4027 --swversion DE.1.0.8.0 --startMP 204:466 --initTime 2016-12-01T06:52:31 --startdatetime 2016-12-01T07:00:24 --delay 1 --endMP 204:233301 --enddatetime 2016-12-01T07:35:32 --enforcementcount 1 &gt;&gt;C:\Users\stu\Documents\GitHub\eaglep3-reporting\EC\2016-12-01-refined-times.txt</v>
      </c>
      <c r="AI39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{"issue":{"subject":"","project_id":79,"tracker_id":40,"status_id":1,"priority_id":2,"assigned_to_id":23,"start_date":"2016-12-01","description":"","custom_fields":[{"id":1,"name":"Subdivision","value":"EC"},{"id":4,"name":"Milepost","value":"23.3301"},{"id":17,"name":"Train ID","value":"127-01"},{"id":16,"name":"Locomotive ID","value":"4027"},{"id":130,"name":"Impact","value":""},{"id":150,"name":"Time of Event (Mountain Time)","value":"07:35:32"},{"id":151,"name":"Denver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507</v>
      </c>
      <c r="B40" s="7">
        <v>4028</v>
      </c>
      <c r="C40" s="22" t="s">
        <v>210</v>
      </c>
      <c r="D40" s="22" t="s">
        <v>270</v>
      </c>
      <c r="E40" s="13">
        <v>42705.325046296297</v>
      </c>
      <c r="F40" s="13">
        <v>42705.33079861111</v>
      </c>
      <c r="G40" s="7">
        <v>2</v>
      </c>
      <c r="H40" s="22" t="s">
        <v>292</v>
      </c>
      <c r="I40" s="13">
        <v>42705.359537037039</v>
      </c>
      <c r="J40" s="7">
        <v>1</v>
      </c>
      <c r="K40" s="109" t="str">
        <f>IF(ISEVEN(B40),(B40-1)&amp;"/"&amp;B40,B40&amp;"/"&amp;(B40+1))</f>
        <v>4027/4028</v>
      </c>
      <c r="L40" s="22" t="str">
        <f>VLOOKUP(A40,'Trips&amp;Operators'!$C$1:$G$99999,5,FALSE)</f>
        <v>MAELZER KURT</v>
      </c>
      <c r="M40" s="6">
        <f>I40-F40</f>
        <v>2.8738425928167999E-2</v>
      </c>
      <c r="N40" s="7">
        <f>24*60*SUM($M40:$M40)</f>
        <v>41.383333336561918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https://search-rtdc-monitor-bjffxe2xuh6vdkpspy63sjmuny.us-east-1.es.amazonaws.com/_plugin/kibana/#/discover/Steve-Slow-Train-Analysis-(2080s-and-2083s)?_g=(refreshInterval:(display:Off,section:0,value:0),time:(from:'2016-12-01 06:48:04-700',mode:absolute,to:'2016-12-01 09:37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0" s="52" t="str">
        <f>IF(AA40&lt;IF(AG40="EC",23,5.65),"Y","N")</f>
        <v>N</v>
      </c>
      <c r="X40" s="177">
        <f>VALUE(LEFT(AD40,4))-VALUE(LEFT(AD39,4))</f>
        <v>1</v>
      </c>
      <c r="Y40" s="67">
        <f>RIGHT(D40,LEN(D40)-4)/10000</f>
        <v>23.297999999999998</v>
      </c>
      <c r="Z40" s="67">
        <f>RIGHT(H40,LEN(H40)-4)/10000</f>
        <v>1.6E-2</v>
      </c>
      <c r="AA40" s="67">
        <f>ABS(Z40-Y40)</f>
        <v>23.282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>IF(LEN(A40)=6,"0"&amp;A40,A40)</f>
        <v>0128-01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s3://rtdc.mdm.uploadarchive.raw/RTDC4028/ "%USERPROFILE%\AppData\Local\Temp\OnboardLogs"\RTDC4028\2016-12-01 --exclude "*" --recursive --include "*20161201*" &amp; "%USERPROFILE%\Documents\GitHub\mrs-test-scripts\Headless Mode &amp; Sideloading\WalkAndUnGZ.bat" "%USERPROFILE%\AppData\Local\Temp\OnboardLogs"\RTDC4028\2016-12-01 &amp; 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/stypes="app*4028*20161201*"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128-01 --locoid 4028 --swversion DE.1.0.8.0 --startMP 204:232980 --initTime 2016-12-01T07:48:04 --startdatetime 2016-12-01T07:56:21 --delay 2 --endMP 204:160 --enddatetime 2016-12-01T08:37:44 --enforcementcount 1 &gt;&gt;C:\Users\stu\Documents\GitHub\eaglep3-reporting\EC\2016-12-01-refined-times.txt</v>
      </c>
      <c r="AI40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{"issue":{"subject":"","project_id":79,"tracker_id":40,"status_id":1,"priority_id":2,"assigned_to_id":23,"start_date":"2016-12-01","description":"","custom_fields":[{"id":1,"name":"Subdivision","value":"EC"},{"id":4,"name":"Milepost","value":"0.016"},{"id":17,"name":"Train ID","value":"128-01"},{"id":16,"name":"Locomotive ID","value":"4028"},{"id":130,"name":"Impact","value":""},{"id":150,"name":"Time of Event (Mountain Time)","value":"08:37:44"},{"id":151,"name":"Denver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413</v>
      </c>
      <c r="B41" s="7">
        <v>4031</v>
      </c>
      <c r="C41" s="22" t="s">
        <v>210</v>
      </c>
      <c r="D41" s="22" t="s">
        <v>232</v>
      </c>
      <c r="E41" s="13">
        <v>42705.296770833331</v>
      </c>
      <c r="F41" s="13">
        <v>42705.302476851852</v>
      </c>
      <c r="G41" s="7">
        <v>1</v>
      </c>
      <c r="H41" s="22" t="s">
        <v>302</v>
      </c>
      <c r="I41" s="13">
        <v>42705.334224537037</v>
      </c>
      <c r="J41" s="7">
        <v>1</v>
      </c>
      <c r="K41" s="109" t="str">
        <f>IF(ISEVEN(B41),(B41-1)&amp;"/"&amp;B41,B41&amp;"/"&amp;(B41+1))</f>
        <v>4031/4032</v>
      </c>
      <c r="L41" s="22" t="str">
        <f>VLOOKUP(A41,'Trips&amp;Operators'!$C$1:$G$99999,5,FALSE)</f>
        <v>PERKINS DARREN</v>
      </c>
      <c r="M41" s="6">
        <f>I41-F41</f>
        <v>3.1747685185109731E-2</v>
      </c>
      <c r="N41" s="7">
        <f>24*60*SUM($M41:$M41)</f>
        <v>45.716666666558012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https://search-rtdc-monitor-bjffxe2xuh6vdkpspy63sjmuny.us-east-1.es.amazonaws.com/_plugin/kibana/#/discover/Steve-Slow-Train-Analysis-(2080s-and-2083s)?_g=(refreshInterval:(display:Off,section:0,value:0),time:(from:'2016-12-01 06:07:21-700',mode:absolute,to:'2016-12-01 09:01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1" s="52" t="str">
        <f>IF(AA41&lt;IF(AG41="EC",23,5.65),"Y","N")</f>
        <v>N</v>
      </c>
      <c r="X41" s="177">
        <f>VALUE(LEFT(AD41,4))-VALUE(LEFT(AD40,4))</f>
        <v>1</v>
      </c>
      <c r="Y41" s="67">
        <f>RIGHT(D41,LEN(D41)-4)/10000</f>
        <v>4.4900000000000002E-2</v>
      </c>
      <c r="Z41" s="67">
        <f>RIGHT(H41,LEN(H41)-4)/10000</f>
        <v>23.331900000000001</v>
      </c>
      <c r="AA41" s="67">
        <f>ABS(Z41-Y41)</f>
        <v>23.287000000000003</v>
      </c>
      <c r="AB41" s="64" t="str">
        <f>VLOOKUP(A41,Enforcements!$C$7:$K$20,8,0)</f>
        <v>Speed (6)</v>
      </c>
      <c r="AC41" s="60" t="str">
        <f>VLOOKUP(A41,Enforcements!$C$7:$E$20,3,0)</f>
        <v>PERMANENT SPEED RESTRICTION</v>
      </c>
      <c r="AD41" s="61" t="str">
        <f>IF(LEN(A41)=6,"0"&amp;A41,A41)</f>
        <v>0129-01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/stypes="app*4031*20161201*" /stext=" 15:.+((SYSTEM_STATE.+slice.+state.+changed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129-01 --locoid 4031 --swversion DE.1.0.8.0 --startMP 204:449 --initTime 2016-12-01T07:07:21 --startdatetime 2016-12-01T07:15:34 --delay 1 --endMP 204:233319 --enddatetime 2016-12-01T08:01:17 --enforcementcount 1 &gt;&gt;C:\Users\stu\Documents\GitHub\eaglep3-reporting\EC\2016-12-01-refined-times.txt</v>
      </c>
      <c r="AI41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{"issue":{"subject":"","project_id":79,"tracker_id":40,"status_id":1,"priority_id":2,"assigned_to_id":23,"start_date":"2016-12-01","description":"","custom_fields":[{"id":1,"name":"Subdivision","value":"EC"},{"id":4,"name":"Milepost","value":"23.3319"},{"id":17,"name":"Train ID","value":"129-01"},{"id":16,"name":"Locomotive ID","value":"4031"},{"id":130,"name":"Impact","value":""},{"id":150,"name":"Time of Event (Mountain Time)","value":"08:01:17"},{"id":151,"name":"Denver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510</v>
      </c>
      <c r="B42" s="7">
        <v>4032</v>
      </c>
      <c r="C42" s="22" t="s">
        <v>210</v>
      </c>
      <c r="D42" s="22" t="s">
        <v>340</v>
      </c>
      <c r="E42" s="13">
        <v>42705.336504629631</v>
      </c>
      <c r="F42" s="13">
        <v>42705.341157407405</v>
      </c>
      <c r="G42" s="7">
        <v>1</v>
      </c>
      <c r="H42" s="22" t="s">
        <v>217</v>
      </c>
      <c r="I42" s="13">
        <v>42705.373171296298</v>
      </c>
      <c r="J42" s="7">
        <v>1</v>
      </c>
      <c r="K42" s="109" t="str">
        <f>IF(ISEVEN(B42),(B42-1)&amp;"/"&amp;B42,B42&amp;"/"&amp;(B42+1))</f>
        <v>4031/4032</v>
      </c>
      <c r="L42" s="22" t="str">
        <f>VLOOKUP(A42,'Trips&amp;Operators'!$C$1:$G$99999,5,FALSE)</f>
        <v>PERKINS DARREN</v>
      </c>
      <c r="M42" s="6">
        <f>I42-F42</f>
        <v>3.2013888892834075E-2</v>
      </c>
      <c r="N42" s="7">
        <f>24*60*SUM($M42:$M42)</f>
        <v>46.100000005681068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https://search-rtdc-monitor-bjffxe2xuh6vdkpspy63sjmuny.us-east-1.es.amazonaws.com/_plugin/kibana/#/discover/Steve-Slow-Train-Analysis-(2080s-and-2083s)?_g=(refreshInterval:(display:Off,section:0,value:0),time:(from:'2016-12-01 07:04:34-700',mode:absolute,to:'2016-12-01 09:57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2" s="52" t="str">
        <f>IF(AA42&lt;IF(AG42="EC",23,5.65),"Y","N")</f>
        <v>N</v>
      </c>
      <c r="X42" s="177">
        <f>VALUE(LEFT(AD42,4))-VALUE(LEFT(AD41,4))</f>
        <v>1</v>
      </c>
      <c r="Y42" s="67">
        <f>RIGHT(D42,LEN(D42)-4)/10000</f>
        <v>23.300799999999999</v>
      </c>
      <c r="Z42" s="67">
        <f>RIGHT(H42,LEN(H42)-4)/10000</f>
        <v>1.4999999999999999E-2</v>
      </c>
      <c r="AA42" s="67">
        <f>ABS(Z42-Y42)</f>
        <v>23.285799999999998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>IF(LEN(A42)=6,"0"&amp;A42,A42)</f>
        <v>0130-01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/stypes="app*4032*20161201*"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130-01 --locoid 4032 --swversion DE.1.0.8.0 --startMP 204:233008 --initTime 2016-12-01T08:04:34 --startdatetime 2016-12-01T08:11:16 --delay 1 --endMP 204:150 --enddatetime 2016-12-01T08:57:22 --enforcementcount 1 &gt;&gt;C:\Users\stu\Documents\GitHub\eaglep3-reporting\EC\2016-12-01-refined-times.txt</v>
      </c>
      <c r="AI42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{"issue":{"subject":"","project_id":79,"tracker_id":40,"status_id":1,"priority_id":2,"assigned_to_id":23,"start_date":"2016-12-01","description":"","custom_fields":[{"id":1,"name":"Subdivision","value":"EC"},{"id":4,"name":"Milepost","value":"0.015"},{"id":17,"name":"Train ID","value":"130-01"},{"id":16,"name":"Locomotive ID","value":"4032"},{"id":130,"name":"Impact","value":""},{"id":150,"name":"Time of Event (Mountain Time)","value":"08:57:22"},{"id":151,"name":"Denver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501</v>
      </c>
      <c r="B43" s="7">
        <v>4009</v>
      </c>
      <c r="C43" s="22" t="s">
        <v>210</v>
      </c>
      <c r="D43" s="22" t="s">
        <v>365</v>
      </c>
      <c r="E43" s="13">
        <v>42705.307708333334</v>
      </c>
      <c r="F43" s="13">
        <v>42705.312951388885</v>
      </c>
      <c r="G43" s="7">
        <v>1</v>
      </c>
      <c r="H43" s="22" t="s">
        <v>372</v>
      </c>
      <c r="I43" s="13">
        <v>42705.343599537038</v>
      </c>
      <c r="J43" s="7">
        <v>1</v>
      </c>
      <c r="K43" s="109" t="str">
        <f>IF(ISEVEN(B43),(B43-1)&amp;"/"&amp;B43,B43&amp;"/"&amp;(B43+1))</f>
        <v>4009/4010</v>
      </c>
      <c r="L43" s="22" t="str">
        <f>VLOOKUP(A43,'Trips&amp;Operators'!$C$1:$G$99999,5,FALSE)</f>
        <v>GRASTON MATHEU</v>
      </c>
      <c r="M43" s="6">
        <f>I43-F43</f>
        <v>3.0648148152977228E-2</v>
      </c>
      <c r="N43" s="7">
        <f>24*60*SUM($M43:$M43)</f>
        <v>44.133333340287209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https://search-rtdc-monitor-bjffxe2xuh6vdkpspy63sjmuny.us-east-1.es.amazonaws.com/_plugin/kibana/#/discover/Steve-Slow-Train-Analysis-(2080s-and-2083s)?_g=(refreshInterval:(display:Off,section:0,value:0),time:(from:'2016-12-01 06:23:06-700',mode:absolute,to:'2016-12-01 09:14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3" s="52" t="str">
        <f>IF(AA43&lt;IF(AG43="EC",23,5.65),"Y","N")</f>
        <v>N</v>
      </c>
      <c r="X43" s="177">
        <f>VALUE(LEFT(AD43,4))-VALUE(LEFT(AD42,4))</f>
        <v>1</v>
      </c>
      <c r="Y43" s="67">
        <f>RIGHT(D43,LEN(D43)-4)/10000</f>
        <v>4.4600000000000001E-2</v>
      </c>
      <c r="Z43" s="67">
        <f>RIGHT(H43,LEN(H43)-4)/10000</f>
        <v>23.331099999999999</v>
      </c>
      <c r="AA43" s="67">
        <f>ABS(Z43-Y43)</f>
        <v>23.2865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>IF(LEN(A43)=6,"0"&amp;A43,A43)</f>
        <v>0131-01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/stypes="app*4009*20161201*"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131-01 --locoid 4009 --swversion DE.1.0.8.0 --startMP 204:446 --initTime 2016-12-01T07:23:06 --startdatetime 2016-12-01T07:30:39 --delay 1 --endMP 204:233311 --enddatetime 2016-12-01T08:14:47 --enforcementcount 1 &gt;&gt;C:\Users\stu\Documents\GitHub\eaglep3-reporting\EC\2016-12-01-refined-times.txt</v>
      </c>
      <c r="AI43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{"issue":{"subject":"","project_id":79,"tracker_id":40,"status_id":1,"priority_id":2,"assigned_to_id":23,"start_date":"2016-12-01","description":"","custom_fields":[{"id":1,"name":"Subdivision","value":"EC"},{"id":4,"name":"Milepost","value":"23.3311"},{"id":17,"name":"Train ID","value":"131-01"},{"id":16,"name":"Locomotive ID","value":"4009"},{"id":130,"name":"Impact","value":""},{"id":150,"name":"Time of Event (Mountain Time)","value":"08:14:47"},{"id":151,"name":"Denver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512</v>
      </c>
      <c r="B44" s="7">
        <v>4010</v>
      </c>
      <c r="C44" s="22" t="s">
        <v>210</v>
      </c>
      <c r="D44" s="22" t="s">
        <v>237</v>
      </c>
      <c r="E44" s="13">
        <v>42705.345289351855</v>
      </c>
      <c r="F44" s="13">
        <v>42705.352349537039</v>
      </c>
      <c r="G44" s="7">
        <v>3</v>
      </c>
      <c r="H44" s="22" t="s">
        <v>343</v>
      </c>
      <c r="I44" s="13">
        <v>42705.382615740738</v>
      </c>
      <c r="J44" s="7">
        <v>1</v>
      </c>
      <c r="K44" s="109" t="str">
        <f>IF(ISEVEN(B44),(B44-1)&amp;"/"&amp;B44,B44&amp;"/"&amp;(B44+1))</f>
        <v>4009/4010</v>
      </c>
      <c r="L44" s="22" t="str">
        <f>VLOOKUP(A44,'Trips&amp;Operators'!$C$1:$G$99999,5,FALSE)</f>
        <v>GRASTON MATHEU</v>
      </c>
      <c r="M44" s="6">
        <f>I44-F44</f>
        <v>3.0266203699284233E-2</v>
      </c>
      <c r="N44" s="7">
        <f>24*60*SUM($M44:$M44)</f>
        <v>43.583333326969296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https://search-rtdc-monitor-bjffxe2xuh6vdkpspy63sjmuny.us-east-1.es.amazonaws.com/_plugin/kibana/#/discover/Steve-Slow-Train-Analysis-(2080s-and-2083s)?_g=(refreshInterval:(display:Off,section:0,value:0),time:(from:'2016-12-01 07:17:13-700',mode:absolute,to:'2016-12-01 10:10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4" s="52" t="str">
        <f>IF(AA44&lt;IF(AG44="EC",23,5.65),"Y","N")</f>
        <v>N</v>
      </c>
      <c r="X44" s="177">
        <f>VALUE(LEFT(AD44,4))-VALUE(LEFT(AD43,4))</f>
        <v>1</v>
      </c>
      <c r="Y44" s="67">
        <f>RIGHT(D44,LEN(D44)-4)/10000</f>
        <v>23.299399999999999</v>
      </c>
      <c r="Z44" s="67">
        <f>RIGHT(H44,LEN(H44)-4)/10000</f>
        <v>1.6899999999999998E-2</v>
      </c>
      <c r="AA44" s="67">
        <f>ABS(Z44-Y44)</f>
        <v>23.282499999999999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>IF(LEN(A44)=6,"0"&amp;A44,A44)</f>
        <v>0132-01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/stypes="app*4010*20161201*"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132-01 --locoid 4010 --swversion DE.1.0.8.0 --startMP 204:232994 --initTime 2016-12-01T08:17:13 --startdatetime 2016-12-01T08:27:23 --delay 3 --endMP 204:169 --enddatetime 2016-12-01T09:10:58 --enforcementcount 1 &gt;&gt;C:\Users\stu\Documents\GitHub\eaglep3-reporting\EC\2016-12-01-refined-times.txt</v>
      </c>
      <c r="AI44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{"issue":{"subject":"","project_id":79,"tracker_id":40,"status_id":1,"priority_id":2,"assigned_to_id":23,"start_date":"2016-12-01","description":"","custom_fields":[{"id":1,"name":"Subdivision","value":"EC"},{"id":4,"name":"Milepost","value":"0.0169"},{"id":17,"name":"Train ID","value":"132-01"},{"id":16,"name":"Locomotive ID","value":"4010"},{"id":130,"name":"Impact","value":""},{"id":150,"name":"Time of Event (Mountain Time)","value":"09:10:58"},{"id":151,"name":"Denver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506</v>
      </c>
      <c r="B45" s="7">
        <v>4046</v>
      </c>
      <c r="C45" s="22" t="s">
        <v>210</v>
      </c>
      <c r="D45" s="22" t="s">
        <v>344</v>
      </c>
      <c r="E45" s="13">
        <v>42705.323449074072</v>
      </c>
      <c r="F45" s="13">
        <v>42705.324583333335</v>
      </c>
      <c r="G45" s="7">
        <v>1</v>
      </c>
      <c r="H45" s="22" t="s">
        <v>336</v>
      </c>
      <c r="I45" s="13">
        <v>42705.353634259256</v>
      </c>
      <c r="J45" s="7">
        <v>1</v>
      </c>
      <c r="K45" s="109" t="str">
        <f>IF(ISEVEN(B45),(B45-1)&amp;"/"&amp;B45,B45&amp;"/"&amp;(B45+1))</f>
        <v>4045/4046</v>
      </c>
      <c r="L45" s="22" t="str">
        <f>VLOOKUP(A45,'Trips&amp;Operators'!$C$1:$G$99999,5,FALSE)</f>
        <v>ROBINSON KADDIBA</v>
      </c>
      <c r="M45" s="6">
        <f>I45-F45</f>
        <v>2.9050925921183079E-2</v>
      </c>
      <c r="N45" s="7">
        <f>24*60*SUM($M45:$M45)</f>
        <v>41.833333326503634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https://search-rtdc-monitor-bjffxe2xuh6vdkpspy63sjmuny.us-east-1.es.amazonaws.com/_plugin/kibana/#/discover/Steve-Slow-Train-Analysis-(2080s-and-2083s)?_g=(refreshInterval:(display:Off,section:0,value:0),time:(from:'2016-12-01 06:45:46-700',mode:absolute,to:'2016-12-01 09:29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5" s="52" t="str">
        <f>IF(AA45&lt;IF(AG45="EC",23,5.65),"Y","N")</f>
        <v>N</v>
      </c>
      <c r="X45" s="177">
        <f>VALUE(LEFT(AD45,4))-VALUE(LEFT(AD44,4))</f>
        <v>1</v>
      </c>
      <c r="Y45" s="67">
        <f>RIGHT(D45,LEN(D45)-4)/10000</f>
        <v>4.3099999999999999E-2</v>
      </c>
      <c r="Z45" s="67">
        <f>RIGHT(H45,LEN(H45)-4)/10000</f>
        <v>23.331</v>
      </c>
      <c r="AA45" s="67">
        <f>ABS(Z45-Y45)</f>
        <v>23.2879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>IF(LEN(A45)=6,"0"&amp;A45,A45)</f>
        <v>0133-01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 &amp; aws s3 cp s3://rtdc.mdm.uploadarchive.raw/RTDC4046/ "%USERPROFILE%\AppData\Local\Temp\OnboardLogs"\RTDC4046\2016-12-02 --exclude "*" --recursive --include "*20161202*" &amp; "%USERPROFILE%\Documents\GitHub\mrs-test-scripts\Headless Mode &amp; Sideloading\WalkAndUnGZ.bat" "%USERPROFILE%\AppData\Local\Temp\OnboardLogs"\RTDC4046\2016-12-02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/stypes="app*4046*20161201*"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133-01 --locoid 4046 --swversion DE.1.0.8.0 --startMP 204:431 --initTime 2016-12-01T07:45:46 --startdatetime 2016-12-01T07:47:24 --delay 1 --endMP 204:233310 --enddatetime 2016-12-01T08:29:14 --enforcementcount 1 &gt;&gt;C:\Users\stu\Documents\GitHub\eaglep3-reporting\EC\2016-12-01-refined-times.txt</v>
      </c>
      <c r="AI45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{"issue":{"subject":"","project_id":79,"tracker_id":40,"status_id":1,"priority_id":2,"assigned_to_id":23,"start_date":"2016-12-01","description":"","custom_fields":[{"id":1,"name":"Subdivision","value":"EC"},{"id":4,"name":"Milepost","value":"23.331"},{"id":17,"name":"Train ID","value":"133-01"},{"id":16,"name":"Locomotive ID","value":"4046"},{"id":130,"name":"Impact","value":""},{"id":150,"name":"Time of Event (Mountain Time)","value":"08:29:14"},{"id":151,"name":"Denver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516</v>
      </c>
      <c r="B46" s="7">
        <v>4045</v>
      </c>
      <c r="C46" s="22" t="s">
        <v>210</v>
      </c>
      <c r="D46" s="22" t="s">
        <v>677</v>
      </c>
      <c r="E46" s="13">
        <v>42705.360127314816</v>
      </c>
      <c r="F46" s="13">
        <v>42705.362002314818</v>
      </c>
      <c r="G46" s="7">
        <v>1</v>
      </c>
      <c r="H46" s="22" t="s">
        <v>233</v>
      </c>
      <c r="I46" s="13">
        <v>42705.389236111114</v>
      </c>
      <c r="J46" s="7">
        <v>1</v>
      </c>
      <c r="K46" s="109" t="str">
        <f>IF(ISEVEN(B46),(B46-1)&amp;"/"&amp;B46,B46&amp;"/"&amp;(B46+1))</f>
        <v>4045/4046</v>
      </c>
      <c r="L46" s="22" t="str">
        <f>VLOOKUP(A46,'Trips&amp;Operators'!$C$1:$G$99999,5,FALSE)</f>
        <v>ROBINSON KADDIBA</v>
      </c>
      <c r="M46" s="6">
        <f>I46-F46</f>
        <v>2.7233796296059154E-2</v>
      </c>
      <c r="N46" s="7">
        <f>24*60*SUM($M46:$M46)</f>
        <v>39.216666666325182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https://search-rtdc-monitor-bjffxe2xuh6vdkpspy63sjmuny.us-east-1.es.amazonaws.com/_plugin/kibana/#/discover/Steve-Slow-Train-Analysis-(2080s-and-2083s)?_g=(refreshInterval:(display:Off,section:0,value:0),time:(from:'2016-12-01 07:38:35-700',mode:absolute,to:'2016-12-01 10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6" s="52" t="str">
        <f>IF(AA46&lt;IF(AG46="EC",23,5.65),"Y","N")</f>
        <v>N</v>
      </c>
      <c r="X46" s="177">
        <f>VALUE(LEFT(AD46,4))-VALUE(LEFT(AD45,4))</f>
        <v>1</v>
      </c>
      <c r="Y46" s="67">
        <f>RIGHT(D46,LEN(D46)-4)/10000</f>
        <v>23.3</v>
      </c>
      <c r="Z46" s="67">
        <f>RIGHT(H46,LEN(H46)-4)/10000</f>
        <v>1.41E-2</v>
      </c>
      <c r="AA46" s="67">
        <f>ABS(Z46-Y46)</f>
        <v>23.285900000000002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>IF(LEN(A46)=6,"0"&amp;A46,A46)</f>
        <v>0134-01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 &amp; aws s3 cp s3://rtdc.mdm.uploadarchive.raw/RTDC4045/ "%USERPROFILE%\AppData\Local\Temp\OnboardLogs"\RTDC4045\2016-12-02 --exclude "*" --recursive --include "*20161202*" &amp; "%USERPROFILE%\Documents\GitHub\mrs-test-scripts\Headless Mode &amp; Sideloading\WalkAndUnGZ.bat" "%USERPROFILE%\AppData\Local\Temp\OnboardLogs"\RTDC4045\2016-12-02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/stypes="app*4045*20161201*"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134-01 --locoid 4045 --swversion DE.1.0.8.0 --startMP 204:233000 --initTime 2016-12-01T08:38:35 --startdatetime 2016-12-01T08:41:17 --delay 1 --endMP 204:141 --enddatetime 2016-12-01T09:20:30 --enforcementcount 1 &gt;&gt;C:\Users\stu\Documents\GitHub\eaglep3-reporting\EC\2016-12-01-refined-times.txt</v>
      </c>
      <c r="AI46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{"issue":{"subject":"","project_id":79,"tracker_id":40,"status_id":1,"priority_id":2,"assigned_to_id":23,"start_date":"2016-12-01","description":"","custom_fields":[{"id":1,"name":"Subdivision","value":"EC"},{"id":4,"name":"Milepost","value":"0.0141"},{"id":17,"name":"Train ID","value":"134-01"},{"id":16,"name":"Locomotive ID","value":"4045"},{"id":130,"name":"Impact","value":""},{"id":150,"name":"Time of Event (Mountain Time)","value":"09:20:30"},{"id":151,"name":"Denver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508</v>
      </c>
      <c r="B47" s="7">
        <v>4029</v>
      </c>
      <c r="C47" s="22" t="s">
        <v>210</v>
      </c>
      <c r="D47" s="22" t="s">
        <v>678</v>
      </c>
      <c r="E47" s="13">
        <v>42705.337199074071</v>
      </c>
      <c r="F47" s="13">
        <v>42705.338078703702</v>
      </c>
      <c r="G47" s="7">
        <v>1</v>
      </c>
      <c r="H47" s="22" t="s">
        <v>372</v>
      </c>
      <c r="I47" s="13">
        <v>42705.362453703703</v>
      </c>
      <c r="J47" s="7">
        <v>1</v>
      </c>
      <c r="K47" s="109" t="str">
        <f>IF(ISEVEN(B47),(B47-1)&amp;"/"&amp;B47,B47&amp;"/"&amp;(B47+1))</f>
        <v>4029/4030</v>
      </c>
      <c r="L47" s="22" t="str">
        <f>VLOOKUP(A47,'Trips&amp;Operators'!$C$1:$G$99999,5,FALSE)</f>
        <v>STRICKLAND EVAN</v>
      </c>
      <c r="M47" s="6">
        <f>I47-F47</f>
        <v>2.4375000000873115E-2</v>
      </c>
      <c r="N47" s="7"/>
      <c r="O47" s="7"/>
      <c r="P47" s="7">
        <f>24*60*SUM($M47:$M47)</f>
        <v>35.100000001257285</v>
      </c>
      <c r="Q47" s="23"/>
      <c r="R47" s="23" t="s">
        <v>388</v>
      </c>
      <c r="S47" s="35">
        <f>SUM(U47:U47)/IF(AG47="EC",12,1)</f>
        <v>1</v>
      </c>
      <c r="T47" s="50" t="str">
        <f>IF(ISEVEN(LEFT(AD47,4)),"Southbound","NorthBound")</f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https://search-rtdc-monitor-bjffxe2xuh6vdkpspy63sjmuny.us-east-1.es.amazonaws.com/_plugin/kibana/#/discover/Steve-Slow-Train-Analysis-(2080s-and-2083s)?_g=(refreshInterval:(display:Off,section:0,value:0),time:(from:'2016-12-01 07:05:34-700',mode:absolute,to:'2016-12-01 09:41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7" s="52" t="str">
        <f>IF(AA47&lt;IF(AG47="EC",23,5.65),"Y","N")</f>
        <v>Y</v>
      </c>
      <c r="X47" s="177">
        <f>VALUE(LEFT(AD47,4))-VALUE(LEFT(AD46,4))</f>
        <v>1</v>
      </c>
      <c r="Y47" s="67">
        <f>RIGHT(D47,LEN(D47)-4)/10000</f>
        <v>1.9121999999999999</v>
      </c>
      <c r="Z47" s="67">
        <f>RIGHT(H47,LEN(H47)-4)/10000</f>
        <v>23.331099999999999</v>
      </c>
      <c r="AA47" s="67">
        <f>ABS(Z47-Y47)</f>
        <v>21.418900000000001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>IF(LEN(A47)=6,"0"&amp;A47,A47)</f>
        <v>0135-01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/stypes="app*4029*20161201*"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135-01 --locoid 4029 --swversion DE.1.0.8.0 --startMP 204:19122 --initTime 2016-12-01T08:05:34 --startdatetime 2016-12-01T08:06:50 --delay 1 --endMP 204:233311 --enddatetime 2016-12-01T08:41:56 --enforcementcount 1 &gt;&gt;C:\Users\stu\Documents\GitHub\eaglep3-reporting\EC\2016-12-01-refined-times.txt</v>
      </c>
      <c r="AI47" s="119" t="str">
        <f t="shared" si="3"/>
        <v>echo {"issue":{"subject":"Onboard in-route failure","project_id":79,"tracker_id":40,"status_id":1,"priority_id":2,"assigned_to_id":23,"start_date":"2016-12-01","description":"","custom_fields":[{"id":1,"name":"Subdivision","value":"EC"},{"id":4,"name":"Milepost","value":"23.3311"},{"id":17,"name":"Train ID","value":"135-01"},{"id":16,"name":"Locomotive ID","value":"4029"},{"id":130,"name":"Impact","value":""},{"id":150,"name":"Time of Event (Mountain Time)","value":"08:41:56"},{"id":151,"name":"Denver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508</v>
      </c>
      <c r="B48" s="7">
        <v>4029</v>
      </c>
      <c r="C48" s="22" t="s">
        <v>210</v>
      </c>
      <c r="D48" s="22" t="s">
        <v>296</v>
      </c>
      <c r="E48" s="13">
        <v>42705.331701388888</v>
      </c>
      <c r="F48" s="13">
        <v>42705.338078703702</v>
      </c>
      <c r="G48" s="7">
        <v>2</v>
      </c>
      <c r="H48" s="22" t="s">
        <v>679</v>
      </c>
      <c r="I48" s="13">
        <v>42705.362453703703</v>
      </c>
      <c r="J48" s="7">
        <v>1</v>
      </c>
      <c r="K48" s="109" t="str">
        <f>IF(ISEVEN(B48),(B48-1)&amp;"/"&amp;B48,B48&amp;"/"&amp;(B48+1))</f>
        <v>4029/4030</v>
      </c>
      <c r="L48" s="22" t="str">
        <f>VLOOKUP(A48,'Trips&amp;Operators'!$C$1:$G$99999,5,FALSE)</f>
        <v>STRICKLAND EVAN</v>
      </c>
      <c r="M48" s="6">
        <f>I48-F48</f>
        <v>2.4375000000873115E-2</v>
      </c>
      <c r="N48" s="7"/>
      <c r="O48" s="7"/>
      <c r="P48" s="7"/>
      <c r="Q48" s="23"/>
      <c r="R48" s="23"/>
      <c r="S48" s="35">
        <f>SUM(U48:U48)/IF(AG48="EC",12,1)</f>
        <v>0</v>
      </c>
      <c r="T48" s="50" t="str">
        <f>IF(ISEVEN(LEFT(AD48,4)),"Southbound","NorthBound")</f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https://search-rtdc-monitor-bjffxe2xuh6vdkpspy63sjmuny.us-east-1.es.amazonaws.com/_plugin/kibana/#/discover/Steve-Slow-Train-Analysis-(2080s-and-2083s)?_g=(refreshInterval:(display:Off,section:0,value:0),time:(from:'2016-12-01 06:57:39-700',mode:absolute,to:'2016-12-01 09:41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8" s="52" t="str">
        <f>IF(AA48&lt;IF(AG48="EC",23,5.65),"Y","N")</f>
        <v>Y</v>
      </c>
      <c r="X48" s="177">
        <f>VALUE(LEFT(AD48,4))-VALUE(LEFT(AD47,4))</f>
        <v>0</v>
      </c>
      <c r="Y48" s="67">
        <f>RIGHT(D48,LEN(D48)-4)/10000</f>
        <v>4.7699999999999999E-2</v>
      </c>
      <c r="Z48" s="67">
        <f>RIGHT(H48,LEN(H48)-4)/10000</f>
        <v>0.27050000000000002</v>
      </c>
      <c r="AA48" s="67">
        <f>ABS(Z48-Y48)</f>
        <v>0.22280000000000003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>IF(LEN(A48)=6,"0"&amp;A48,A48)</f>
        <v>0135-01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/stypes="app*4029*20161201*" /stext=" 15:.+((SYSTEM_STATE.+slice.+state.+changed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135-01 --locoid 4029 --swversion DE.1.0.8.0 --startMP 204:477 --initTime 2016-12-01T07:57:39 --startdatetime 2016-12-01T08:06:50 --delay 2 --endMP 204:2705 --enddatetime 2016-12-01T08:41:56 --enforcementcount 1 &gt;&gt;C:\Users\stu\Documents\GitHub\eaglep3-reporting\EC\2016-12-01-refined-times.txt</v>
      </c>
      <c r="AI48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{"issue":{"subject":"","project_id":79,"tracker_id":40,"status_id":1,"priority_id":2,"assigned_to_id":23,"start_date":"2016-12-01","description":"","custom_fields":[{"id":1,"name":"Subdivision","value":"EC"},{"id":4,"name":"Milepost","value":"0.2705"},{"id":17,"name":"Train ID","value":"135-01"},{"id":16,"name":"Locomotive ID","value":"4029"},{"id":130,"name":"Impact","value":""},{"id":150,"name":"Time of Event (Mountain Time)","value":"08:41:56"},{"id":151,"name":"Denver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518</v>
      </c>
      <c r="B49" s="7">
        <v>4030</v>
      </c>
      <c r="C49" s="22" t="s">
        <v>210</v>
      </c>
      <c r="D49" s="22" t="s">
        <v>367</v>
      </c>
      <c r="E49" s="13">
        <v>42705.363912037035</v>
      </c>
      <c r="F49" s="13">
        <v>42705.371736111112</v>
      </c>
      <c r="G49" s="7">
        <v>1</v>
      </c>
      <c r="H49" s="22" t="s">
        <v>217</v>
      </c>
      <c r="I49" s="13">
        <v>42705.400752314818</v>
      </c>
      <c r="J49" s="7">
        <v>1</v>
      </c>
      <c r="K49" s="109" t="str">
        <f>IF(ISEVEN(B49),(B49-1)&amp;"/"&amp;B49,B49&amp;"/"&amp;(B49+1))</f>
        <v>4029/4030</v>
      </c>
      <c r="L49" s="22" t="str">
        <f>VLOOKUP(A49,'Trips&amp;Operators'!$C$1:$G$99999,5,FALSE)</f>
        <v>STRICKLAND EVAN</v>
      </c>
      <c r="M49" s="6">
        <f>I49-F49</f>
        <v>2.9016203705396038E-2</v>
      </c>
      <c r="N49" s="7">
        <f>24*60*SUM($M49:$M49)</f>
        <v>41.783333335770294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https://search-rtdc-monitor-bjffxe2xuh6vdkpspy63sjmuny.us-east-1.es.amazonaws.com/_plugin/kibana/#/discover/Steve-Slow-Train-Analysis-(2080s-and-2083s)?_g=(refreshInterval:(display:Off,section:0,value:0),time:(from:'2016-12-01 07:44:02-700',mode:absolute,to:'2016-12-01 10:37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9" s="52" t="str">
        <f>IF(AA49&lt;IF(AG49="EC",23,5.65),"Y","N")</f>
        <v>N</v>
      </c>
      <c r="X49" s="177">
        <f>VALUE(LEFT(AD49,4))-VALUE(LEFT(AD48,4))</f>
        <v>1</v>
      </c>
      <c r="Y49" s="67">
        <f>RIGHT(D49,LEN(D49)-4)/10000</f>
        <v>23.299199999999999</v>
      </c>
      <c r="Z49" s="67">
        <f>RIGHT(H49,LEN(H49)-4)/10000</f>
        <v>1.4999999999999999E-2</v>
      </c>
      <c r="AA49" s="67">
        <f>ABS(Z49-Y49)</f>
        <v>23.284199999999998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>IF(LEN(A49)=6,"0"&amp;A49,A49)</f>
        <v>0136-01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/stypes="app*4030*20161201*" /stext=" 16:.+((SYSTEM_STATE.+slice.+state.+changed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136-01 --locoid 4030 --swversion DE.1.0.8.0 --startMP 204:232992 --initTime 2016-12-01T08:44:02 --startdatetime 2016-12-01T08:55:18 --delay 1 --endMP 204:150 --enddatetime 2016-12-01T09:37:05 --enforcementcount 1 &gt;&gt;C:\Users\stu\Documents\GitHub\eaglep3-reporting\EC\2016-12-01-refined-times.txt</v>
      </c>
      <c r="AI49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{"issue":{"subject":"","project_id":79,"tracker_id":40,"status_id":1,"priority_id":2,"assigned_to_id":23,"start_date":"2016-12-01","description":"","custom_fields":[{"id":1,"name":"Subdivision","value":"EC"},{"id":4,"name":"Milepost","value":"0.015"},{"id":17,"name":"Train ID","value":"136-01"},{"id":16,"name":"Locomotive ID","value":"4030"},{"id":130,"name":"Impact","value":""},{"id":150,"name":"Time of Event (Mountain Time)","value":"09:37:05"},{"id":151,"name":"Denver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513</v>
      </c>
      <c r="B50" s="7">
        <v>4007</v>
      </c>
      <c r="C50" s="22" t="s">
        <v>210</v>
      </c>
      <c r="D50" s="22" t="s">
        <v>245</v>
      </c>
      <c r="E50" s="13">
        <v>42705.347141203703</v>
      </c>
      <c r="F50" s="13">
        <v>42705.348414351851</v>
      </c>
      <c r="G50" s="7">
        <v>1</v>
      </c>
      <c r="H50" s="22" t="s">
        <v>261</v>
      </c>
      <c r="I50" s="13">
        <v>42705.374884259261</v>
      </c>
      <c r="J50" s="7">
        <v>1</v>
      </c>
      <c r="K50" s="109" t="str">
        <f>IF(ISEVEN(B50),(B50-1)&amp;"/"&amp;B50,B50&amp;"/"&amp;(B50+1))</f>
        <v>4007/4008</v>
      </c>
      <c r="L50" s="22" t="str">
        <f>VLOOKUP(A50,'Trips&amp;Operators'!$C$1:$G$99999,5,FALSE)</f>
        <v>SAFIEF AEIMEN</v>
      </c>
      <c r="M50" s="6">
        <f>I50-F50</f>
        <v>2.6469907410501037E-2</v>
      </c>
      <c r="N50" s="7">
        <f>24*60*SUM($M50:$M50)</f>
        <v>38.116666671121493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https://search-rtdc-monitor-bjffxe2xuh6vdkpspy63sjmuny.us-east-1.es.amazonaws.com/_plugin/kibana/#/discover/Steve-Slow-Train-Analysis-(2080s-and-2083s)?_g=(refreshInterval:(display:Off,section:0,value:0),time:(from:'2016-12-01 07:19:53-700',mode:absolute,to:'2016-12-01 09:59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0" s="52" t="str">
        <f>IF(AA50&lt;IF(AG50="EC",23,5.65),"Y","N")</f>
        <v>N</v>
      </c>
      <c r="X50" s="177">
        <f>VALUE(LEFT(AD50,4))-VALUE(LEFT(AD49,4))</f>
        <v>1</v>
      </c>
      <c r="Y50" s="67">
        <f>RIGHT(D50,LEN(D50)-4)/10000</f>
        <v>4.5499999999999999E-2</v>
      </c>
      <c r="Z50" s="67">
        <f>RIGHT(H50,LEN(H50)-4)/10000</f>
        <v>23.3308</v>
      </c>
      <c r="AA50" s="67">
        <f>ABS(Z50-Y50)</f>
        <v>23.285299999999999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>IF(LEN(A50)=6,"0"&amp;A50,A50)</f>
        <v>0137-01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/stypes="app*4007*20161201*" /stext=" 15:.+((SYSTEM_STATE.+slice.+state.+changed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137-01 --locoid 4007 --swversion DE.1.0.8.0 --startMP 204:455 --initTime 2016-12-01T08:19:53 --startdatetime 2016-12-01T08:21:43 --delay 1 --endMP 204:233308 --enddatetime 2016-12-01T08:59:50 --enforcementcount 1 &gt;&gt;C:\Users\stu\Documents\GitHub\eaglep3-reporting\EC\2016-12-01-refined-times.txt</v>
      </c>
      <c r="AI50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{"issue":{"subject":"","project_id":79,"tracker_id":40,"status_id":1,"priority_id":2,"assigned_to_id":23,"start_date":"2016-12-01","description":"","custom_fields":[{"id":1,"name":"Subdivision","value":"EC"},{"id":4,"name":"Milepost","value":"23.3308"},{"id":17,"name":"Train ID","value":"137-01"},{"id":16,"name":"Locomotive ID","value":"4007"},{"id":130,"name":"Impact","value":""},{"id":150,"name":"Time of Event (Mountain Time)","value":"08:59:50"},{"id":151,"name":"Denver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520</v>
      </c>
      <c r="B51" s="7">
        <v>4008</v>
      </c>
      <c r="C51" s="22" t="s">
        <v>210</v>
      </c>
      <c r="D51" s="22" t="s">
        <v>371</v>
      </c>
      <c r="E51" s="13">
        <v>42705.379687499997</v>
      </c>
      <c r="F51" s="13">
        <v>42705.382800925923</v>
      </c>
      <c r="G51" s="7">
        <v>1</v>
      </c>
      <c r="H51" s="22" t="s">
        <v>206</v>
      </c>
      <c r="I51" s="13">
        <v>42705.409247685187</v>
      </c>
      <c r="J51" s="7">
        <v>1</v>
      </c>
      <c r="K51" s="109" t="str">
        <f>IF(ISEVEN(B51),(B51-1)&amp;"/"&amp;B51,B51&amp;"/"&amp;(B51+1))</f>
        <v>4007/4008</v>
      </c>
      <c r="L51" s="22" t="str">
        <f>VLOOKUP(A51,'Trips&amp;Operators'!$C$1:$G$99999,5,FALSE)</f>
        <v>SAFIEF AEIMEN</v>
      </c>
      <c r="M51" s="6">
        <f>I51-F51</f>
        <v>2.644675926421769E-2</v>
      </c>
      <c r="N51" s="7">
        <f>24*60*SUM($M51:$M51)</f>
        <v>38.083333340473473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https://search-rtdc-monitor-bjffxe2xuh6vdkpspy63sjmuny.us-east-1.es.amazonaws.com/_plugin/kibana/#/discover/Steve-Slow-Train-Analysis-(2080s-and-2083s)?_g=(refreshInterval:(display:Off,section:0,value:0),time:(from:'2016-12-01 08:06:45-700',mode:absolute,to:'2016-12-01 10:49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1" s="52" t="str">
        <f>IF(AA51&lt;IF(AG51="EC",23,5.65),"Y","N")</f>
        <v>N</v>
      </c>
      <c r="X51" s="177">
        <f>VALUE(LEFT(AD51,4))-VALUE(LEFT(AD50,4))</f>
        <v>1</v>
      </c>
      <c r="Y51" s="67">
        <f>RIGHT(D51,LEN(D51)-4)/10000</f>
        <v>23.2987</v>
      </c>
      <c r="Z51" s="67">
        <f>RIGHT(H51,LEN(H51)-4)/10000</f>
        <v>1.5599999999999999E-2</v>
      </c>
      <c r="AA51" s="67">
        <f>ABS(Z51-Y51)</f>
        <v>23.283100000000001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>IF(LEN(A51)=6,"0"&amp;A51,A51)</f>
        <v>0138-01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/stypes="app*4008*20161201*"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138-01 --locoid 4008 --swversion DE.1.0.8.0 --startMP 204:232987 --initTime 2016-12-01T09:06:45 --startdatetime 2016-12-01T09:11:14 --delay 1 --endMP 204:156 --enddatetime 2016-12-01T09:49:19 --enforcementcount 1 &gt;&gt;C:\Users\stu\Documents\GitHub\eaglep3-reporting\EC\2016-12-01-refined-times.txt</v>
      </c>
      <c r="AI51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{"issue":{"subject":"","project_id":79,"tracker_id":40,"status_id":1,"priority_id":2,"assigned_to_id":23,"start_date":"2016-12-01","description":"","custom_fields":[{"id":1,"name":"Subdivision","value":"EC"},{"id":4,"name":"Milepost","value":"0.0156"},{"id":17,"name":"Train ID","value":"138-01"},{"id":16,"name":"Locomotive ID","value":"4008"},{"id":130,"name":"Impact","value":""},{"id":150,"name":"Time of Event (Mountain Time)","value":"09:49:19"},{"id":151,"name":"Denver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515</v>
      </c>
      <c r="B52" s="7">
        <v>4040</v>
      </c>
      <c r="C52" s="22" t="s">
        <v>210</v>
      </c>
      <c r="D52" s="22" t="s">
        <v>245</v>
      </c>
      <c r="E52" s="13">
        <v>42705.355497685188</v>
      </c>
      <c r="F52" s="13">
        <v>42705.357048611113</v>
      </c>
      <c r="G52" s="7">
        <v>0</v>
      </c>
      <c r="H52" s="22" t="s">
        <v>680</v>
      </c>
      <c r="I52" s="13">
        <v>42705.387071759258</v>
      </c>
      <c r="J52" s="7">
        <v>1</v>
      </c>
      <c r="K52" s="109" t="str">
        <f>IF(ISEVEN(B52),(B52-1)&amp;"/"&amp;B52,B52&amp;"/"&amp;(B52+1))</f>
        <v>4039/4040</v>
      </c>
      <c r="L52" s="22" t="str">
        <f>VLOOKUP(A52,'Trips&amp;Operators'!$C$1:$G$99999,5,FALSE)</f>
        <v>STARKS ANGELINA</v>
      </c>
      <c r="M52" s="6">
        <f>I52-F52</f>
        <v>3.0023148145119194E-2</v>
      </c>
      <c r="N52" s="7">
        <f>24*60*SUM($M52:$M52)</f>
        <v>43.233333328971639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https://search-rtdc-monitor-bjffxe2xuh6vdkpspy63sjmuny.us-east-1.es.amazonaws.com/_plugin/kibana/#/discover/Steve-Slow-Train-Analysis-(2080s-and-2083s)?_g=(refreshInterval:(display:Off,section:0,value:0),time:(from:'2016-12-01 07:31:55-700',mode:absolute,to:'2016-12-01 10:17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52" s="52" t="str">
        <f>IF(AA52&lt;IF(AG52="EC",23,5.65),"Y","N")</f>
        <v>N</v>
      </c>
      <c r="X52" s="177">
        <f>VALUE(LEFT(AD52,4))-VALUE(LEFT(AD51,4))</f>
        <v>1</v>
      </c>
      <c r="Y52" s="67">
        <f>RIGHT(D52,LEN(D52)-4)/10000</f>
        <v>4.5499999999999999E-2</v>
      </c>
      <c r="Z52" s="67">
        <f>RIGHT(H52,LEN(H52)-4)/10000</f>
        <v>23.3264</v>
      </c>
      <c r="AA52" s="67">
        <f>ABS(Z52-Y52)</f>
        <v>23.280899999999999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>IF(LEN(A52)=6,"0"&amp;A52,A52)</f>
        <v>0139-01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/stypes="app*4040*20161201*" /stext=" 16:.+((SYSTEM_STATE.+slice.+state.+changed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139-01 --locoid 4040 --swversion DE.1.0.8.0 --startMP 204:455 --initTime 2016-12-01T08:31:55 --startdatetime 2016-12-01T08:34:09 --delay 0 --endMP 204:233264 --enddatetime 2016-12-01T09:17:23 --enforcementcount 1 &gt;&gt;C:\Users\stu\Documents\GitHub\eaglep3-reporting\EC\2016-12-01-refined-times.txt</v>
      </c>
      <c r="AI52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{"issue":{"subject":"","project_id":79,"tracker_id":40,"status_id":1,"priority_id":2,"assigned_to_id":23,"start_date":"2016-12-01","description":"","custom_fields":[{"id":1,"name":"Subdivision","value":"EC"},{"id":4,"name":"Milepost","value":"23.3264"},{"id":17,"name":"Train ID","value":"139-01"},{"id":16,"name":"Locomotive ID","value":"4040"},{"id":130,"name":"Impact","value":""},{"id":150,"name":"Time of Event (Mountain Time)","value":"09:17:23"},{"id":151,"name":"Denver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420</v>
      </c>
      <c r="B53" s="7">
        <v>4039</v>
      </c>
      <c r="C53" s="22" t="s">
        <v>210</v>
      </c>
      <c r="D53" s="22" t="s">
        <v>293</v>
      </c>
      <c r="E53" s="13">
        <v>42705.391840277778</v>
      </c>
      <c r="F53" s="13">
        <v>42705.393217592595</v>
      </c>
      <c r="G53" s="7">
        <v>1</v>
      </c>
      <c r="H53" s="22" t="s">
        <v>369</v>
      </c>
      <c r="I53" s="13">
        <v>42705.421747685185</v>
      </c>
      <c r="J53" s="7">
        <v>1</v>
      </c>
      <c r="K53" s="109" t="str">
        <f>IF(ISEVEN(B53),(B53-1)&amp;"/"&amp;B53,B53&amp;"/"&amp;(B53+1))</f>
        <v>4039/4040</v>
      </c>
      <c r="L53" s="22" t="str">
        <f>VLOOKUP(A53,'Trips&amp;Operators'!$C$1:$G$99999,5,FALSE)</f>
        <v>STARKS ANGELINA</v>
      </c>
      <c r="M53" s="6">
        <f>I53-F53</f>
        <v>2.8530092589790002E-2</v>
      </c>
      <c r="N53" s="7">
        <f>24*60*SUM($M53:$M53)</f>
        <v>41.083333329297602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https://search-rtdc-monitor-bjffxe2xuh6vdkpspy63sjmuny.us-east-1.es.amazonaws.com/_plugin/kibana/#/discover/Steve-Slow-Train-Analysis-(2080s-and-2083s)?_g=(refreshInterval:(display:Off,section:0,value:0),time:(from:'2016-12-01 08:24:15-700',mode:absolute,to:'2016-12-01 11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53" s="52" t="str">
        <f>IF(AA53&lt;IF(AG53="EC",23,5.65),"Y","N")</f>
        <v>N</v>
      </c>
      <c r="X53" s="177">
        <f>VALUE(LEFT(AD53,4))-VALUE(LEFT(AD52,4))</f>
        <v>1</v>
      </c>
      <c r="Y53" s="67">
        <f>RIGHT(D53,LEN(D53)-4)/10000</f>
        <v>23.298200000000001</v>
      </c>
      <c r="Z53" s="67">
        <f>RIGHT(H53,LEN(H53)-4)/10000</f>
        <v>2.1100000000000001E-2</v>
      </c>
      <c r="AA53" s="67">
        <f>ABS(Z53-Y53)</f>
        <v>23.277100000000001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>IF(LEN(A53)=6,"0"&amp;A53,A53)</f>
        <v>0140-01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/stypes="app*4039*20161201*" /stext=" 17:.+((SYSTEM_STATE.+slice.+state.+changed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140-01 --locoid 4039 --swversion DE.1.0.8.0 --startMP 204:232982 --initTime 2016-12-01T09:24:15 --startdatetime 2016-12-01T09:26:14 --delay 1 --endMP 204:211 --enddatetime 2016-12-01T10:07:19 --enforcementcount 1 &gt;&gt;C:\Users\stu\Documents\GitHub\eaglep3-reporting\EC\2016-12-01-refined-times.txt</v>
      </c>
      <c r="AI53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{"issue":{"subject":"","project_id":79,"tracker_id":40,"status_id":1,"priority_id":2,"assigned_to_id":23,"start_date":"2016-12-01","description":"","custom_fields":[{"id":1,"name":"Subdivision","value":"EC"},{"id":4,"name":"Milepost","value":"0.0211"},{"id":17,"name":"Train ID","value":"140-01"},{"id":16,"name":"Locomotive ID","value":"4039"},{"id":130,"name":"Impact","value":""},{"id":150,"name":"Time of Event (Mountain Time)","value":"10:07:19"},{"id":151,"name":"Denver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517</v>
      </c>
      <c r="B54" s="7">
        <v>4027</v>
      </c>
      <c r="C54" s="22" t="s">
        <v>210</v>
      </c>
      <c r="D54" s="22" t="s">
        <v>380</v>
      </c>
      <c r="E54" s="13">
        <v>42705.360798611109</v>
      </c>
      <c r="F54" s="13">
        <v>42705.36482638889</v>
      </c>
      <c r="G54" s="7">
        <v>1</v>
      </c>
      <c r="H54" s="22" t="s">
        <v>261</v>
      </c>
      <c r="I54" s="13">
        <v>42705.390393518515</v>
      </c>
      <c r="J54" s="7">
        <v>1</v>
      </c>
      <c r="K54" s="109" t="str">
        <f>IF(ISEVEN(B54),(B54-1)&amp;"/"&amp;B54,B54&amp;"/"&amp;(B54+1))</f>
        <v>4027/4028</v>
      </c>
      <c r="L54" s="22" t="str">
        <f>VLOOKUP(A54,'Trips&amp;Operators'!$C$1:$G$99999,5,FALSE)</f>
        <v>MAELZER KURT</v>
      </c>
      <c r="M54" s="6">
        <f>I54-F54</f>
        <v>2.5567129625414964E-2</v>
      </c>
      <c r="N54" s="7">
        <f>24*60*SUM($M54:$M54)</f>
        <v>36.816666660597548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https://search-rtdc-monitor-bjffxe2xuh6vdkpspy63sjmuny.us-east-1.es.amazonaws.com/_plugin/kibana/#/discover/Steve-Slow-Train-Analysis-(2080s-and-2083s)?_g=(refreshInterval:(display:Off,section:0,value:0),time:(from:'2016-12-01 07:39:33-700',mode:absolute,to:'2016-12-01 10:22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4" s="52" t="str">
        <f>IF(AA54&lt;IF(AG54="EC",23,5.65),"Y","N")</f>
        <v>N</v>
      </c>
      <c r="X54" s="177">
        <f>VALUE(LEFT(AD54,4))-VALUE(LEFT(AD53,4))</f>
        <v>1</v>
      </c>
      <c r="Y54" s="67">
        <f>RIGHT(D54,LEN(D54)-4)/10000</f>
        <v>4.2700000000000002E-2</v>
      </c>
      <c r="Z54" s="67">
        <f>RIGHT(H54,LEN(H54)-4)/10000</f>
        <v>23.3308</v>
      </c>
      <c r="AA54" s="67">
        <f>ABS(Z54-Y54)</f>
        <v>23.2881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>IF(LEN(A54)=6,"0"&amp;A54,A54)</f>
        <v>0141-01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s3://rtdc.mdm.uploadarchive.raw/RTDC4027/ "%USERPROFILE%\AppData\Local\Temp\OnboardLogs"\RTDC4027\2016-12-01 --exclude "*" --recursive --include "*20161201*" &amp; "%USERPROFILE%\Documents\GitHub\mrs-test-scripts\Headless Mode &amp; Sideloading\WalkAndUnGZ.bat" "%USERPROFILE%\AppData\Local\Temp\OnboardLogs"\RTDC4027\2016-12-01 &amp; 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/stypes="app*4027*20161201*" /stext=" 16:.+((SYSTEM_STATE.+slice.+state.+changed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141-01 --locoid 4027 --swversion DE.1.0.8.0 --startMP 204:427 --initTime 2016-12-01T08:39:33 --startdatetime 2016-12-01T08:45:21 --delay 1 --endMP 204:233308 --enddatetime 2016-12-01T09:22:10 --enforcementcount 1 &gt;&gt;C:\Users\stu\Documents\GitHub\eaglep3-reporting\EC\2016-12-01-refined-times.txt</v>
      </c>
      <c r="AI54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{"issue":{"subject":"","project_id":79,"tracker_id":40,"status_id":1,"priority_id":2,"assigned_to_id":23,"start_date":"2016-12-01","description":"","custom_fields":[{"id":1,"name":"Subdivision","value":"EC"},{"id":4,"name":"Milepost","value":"23.3308"},{"id":17,"name":"Train ID","value":"141-01"},{"id":16,"name":"Locomotive ID","value":"4027"},{"id":130,"name":"Impact","value":""},{"id":150,"name":"Time of Event (Mountain Time)","value":"09:22:10"},{"id":151,"name":"Denver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524</v>
      </c>
      <c r="B55" s="7">
        <v>4028</v>
      </c>
      <c r="C55" s="22" t="s">
        <v>210</v>
      </c>
      <c r="D55" s="22" t="s">
        <v>269</v>
      </c>
      <c r="E55" s="13">
        <v>42705.397662037038</v>
      </c>
      <c r="F55" s="13">
        <v>42705.403946759259</v>
      </c>
      <c r="G55" s="7">
        <v>1</v>
      </c>
      <c r="H55" s="22" t="s">
        <v>206</v>
      </c>
      <c r="I55" s="13">
        <v>42705.430069444446</v>
      </c>
      <c r="J55" s="7">
        <v>1</v>
      </c>
      <c r="K55" s="109" t="str">
        <f>IF(ISEVEN(B55),(B55-1)&amp;"/"&amp;B55,B55&amp;"/"&amp;(B55+1))</f>
        <v>4027/4028</v>
      </c>
      <c r="L55" s="22" t="str">
        <f>VLOOKUP(A55,'Trips&amp;Operators'!$C$1:$G$99999,5,FALSE)</f>
        <v>MAELZER KURT</v>
      </c>
      <c r="M55" s="6">
        <f>I55-F55</f>
        <v>2.6122685187146999E-2</v>
      </c>
      <c r="N55" s="7">
        <f>24*60*SUM($M55:$M55)</f>
        <v>37.616666669491678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https://search-rtdc-monitor-bjffxe2xuh6vdkpspy63sjmuny.us-east-1.es.amazonaws.com/_plugin/kibana/#/discover/Steve-Slow-Train-Analysis-(2080s-and-2083s)?_g=(refreshInterval:(display:Off,section:0,value:0),time:(from:'2016-12-01 08:32:38-700',mode:absolute,to:'2016-12-01 11:19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5" s="52" t="str">
        <f>IF(AA55&lt;IF(AG55="EC",23,5.65),"Y","N")</f>
        <v>N</v>
      </c>
      <c r="X55" s="177">
        <f>VALUE(LEFT(AD55,4))-VALUE(LEFT(AD54,4))</f>
        <v>1</v>
      </c>
      <c r="Y55" s="67">
        <f>RIGHT(D55,LEN(D55)-4)/10000</f>
        <v>23.299600000000002</v>
      </c>
      <c r="Z55" s="67">
        <f>RIGHT(H55,LEN(H55)-4)/10000</f>
        <v>1.5599999999999999E-2</v>
      </c>
      <c r="AA55" s="67">
        <f>ABS(Z55-Y55)</f>
        <v>23.284000000000002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>IF(LEN(A55)=6,"0"&amp;A55,A55)</f>
        <v>0142-01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s3://rtdc.mdm.uploadarchive.raw/RTDC4028/ "%USERPROFILE%\AppData\Local\Temp\OnboardLogs"\RTDC4028\2016-12-01 --exclude "*" --recursive --include "*20161201*" &amp; "%USERPROFILE%\Documents\GitHub\mrs-test-scripts\Headless Mode &amp; Sideloading\WalkAndUnGZ.bat" "%USERPROFILE%\AppData\Local\Temp\OnboardLogs"\RTDC4028\2016-12-01 &amp; 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/stypes="app*4028*20161201*" /stext=" 17:.+((SYSTEM_STATE.+slice.+state.+changed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142-01 --locoid 4028 --swversion DE.1.0.8.0 --startMP 204:232996 --initTime 2016-12-01T09:32:38 --startdatetime 2016-12-01T09:41:41 --delay 1 --endMP 204:156 --enddatetime 2016-12-01T10:19:18 --enforcementcount 1 &gt;&gt;C:\Users\stu\Documents\GitHub\eaglep3-reporting\EC\2016-12-01-refined-times.txt</v>
      </c>
      <c r="AI55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{"issue":{"subject":"","project_id":79,"tracker_id":40,"status_id":1,"priority_id":2,"assigned_to_id":23,"start_date":"2016-12-01","description":"","custom_fields":[{"id":1,"name":"Subdivision","value":"EC"},{"id":4,"name":"Milepost","value":"0.0156"},{"id":17,"name":"Train ID","value":"142-01"},{"id":16,"name":"Locomotive ID","value":"4028"},{"id":130,"name":"Impact","value":""},{"id":150,"name":"Time of Event (Mountain Time)","value":"10:19:18"},{"id":151,"name":"Denver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519</v>
      </c>
      <c r="B56" s="7">
        <v>4031</v>
      </c>
      <c r="C56" s="22" t="s">
        <v>210</v>
      </c>
      <c r="D56" s="22" t="s">
        <v>194</v>
      </c>
      <c r="E56" s="13">
        <v>42705.374664351853</v>
      </c>
      <c r="F56" s="13">
        <v>42705.376597222225</v>
      </c>
      <c r="G56" s="7">
        <v>1</v>
      </c>
      <c r="H56" s="22" t="s">
        <v>362</v>
      </c>
      <c r="I56" s="13">
        <v>42705.401932870373</v>
      </c>
      <c r="J56" s="7">
        <v>1</v>
      </c>
      <c r="K56" s="109" t="str">
        <f>IF(ISEVEN(B56),(B56-1)&amp;"/"&amp;B56,B56&amp;"/"&amp;(B56+1))</f>
        <v>4031/4032</v>
      </c>
      <c r="L56" s="22" t="str">
        <f>VLOOKUP(A56,'Trips&amp;Operators'!$C$1:$G$99999,5,FALSE)</f>
        <v>PERKINS DARREN</v>
      </c>
      <c r="M56" s="6">
        <f>I56-F56</f>
        <v>2.5335648148029577E-2</v>
      </c>
      <c r="N56" s="7">
        <f>24*60*SUM($M56:$M56)</f>
        <v>36.483333333162591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https://search-rtdc-monitor-bjffxe2xuh6vdkpspy63sjmuny.us-east-1.es.amazonaws.com/_plugin/kibana/#/discover/Steve-Slow-Train-Analysis-(2080s-and-2083s)?_g=(refreshInterval:(display:Off,section:0,value:0),time:(from:'2016-12-01 07:59:31-700',mode:absolute,to:'2016-12-01 10:38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6" s="52" t="str">
        <f>IF(AA56&lt;IF(AG56="EC",23,5.65),"Y","N")</f>
        <v>N</v>
      </c>
      <c r="X56" s="177">
        <f>VALUE(LEFT(AD56,4))-VALUE(LEFT(AD55,4))</f>
        <v>1</v>
      </c>
      <c r="Y56" s="67">
        <f>RIGHT(D56,LEN(D56)-4)/10000</f>
        <v>4.4699999999999997E-2</v>
      </c>
      <c r="Z56" s="67">
        <f>RIGHT(H56,LEN(H56)-4)/10000</f>
        <v>23.3309</v>
      </c>
      <c r="AA56" s="67">
        <f>ABS(Z56-Y56)</f>
        <v>23.286200000000001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>IF(LEN(A56)=6,"0"&amp;A56,A56)</f>
        <v>0143-01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/stypes="app*4031*20161201*" /stext=" 16:.+((SYSTEM_STATE.+slice.+state.+changed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143-01 --locoid 4031 --swversion DE.1.0.8.0 --startMP 204:447 --initTime 2016-12-01T08:59:31 --startdatetime 2016-12-01T09:02:18 --delay 1 --endMP 204:233309 --enddatetime 2016-12-01T09:38:47 --enforcementcount 1 &gt;&gt;C:\Users\stu\Documents\GitHub\eaglep3-reporting\EC\2016-12-01-refined-times.txt</v>
      </c>
      <c r="AI56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{"issue":{"subject":"","project_id":79,"tracker_id":40,"status_id":1,"priority_id":2,"assigned_to_id":23,"start_date":"2016-12-01","description":"","custom_fields":[{"id":1,"name":"Subdivision","value":"EC"},{"id":4,"name":"Milepost","value":"23.3309"},{"id":17,"name":"Train ID","value":"143-01"},{"id":16,"name":"Locomotive ID","value":"4031"},{"id":130,"name":"Impact","value":""},{"id":150,"name":"Time of Event (Mountain Time)","value":"09:38:47"},{"id":151,"name":"Denver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421</v>
      </c>
      <c r="B57" s="7">
        <v>4032</v>
      </c>
      <c r="C57" s="22" t="s">
        <v>210</v>
      </c>
      <c r="D57" s="22" t="s">
        <v>204</v>
      </c>
      <c r="E57" s="13">
        <v>42705.408263888887</v>
      </c>
      <c r="F57" s="13">
        <v>42705.414050925923</v>
      </c>
      <c r="G57" s="7">
        <v>1</v>
      </c>
      <c r="H57" s="22" t="s">
        <v>316</v>
      </c>
      <c r="I57" s="13">
        <v>42705.442141203705</v>
      </c>
      <c r="J57" s="7">
        <v>1</v>
      </c>
      <c r="K57" s="109" t="str">
        <f>IF(ISEVEN(B57),(B57-1)&amp;"/"&amp;B57,B57&amp;"/"&amp;(B57+1))</f>
        <v>4031/4032</v>
      </c>
      <c r="L57" s="22" t="str">
        <f>VLOOKUP(A57,'Trips&amp;Operators'!$C$1:$G$99999,5,FALSE)</f>
        <v>PERKINS DARREN</v>
      </c>
      <c r="M57" s="6">
        <f>I57-F57</f>
        <v>2.8090277781302575E-2</v>
      </c>
      <c r="N57" s="7">
        <f>24*60*SUM($M57:$M57)</f>
        <v>40.450000005075708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https://search-rtdc-monitor-bjffxe2xuh6vdkpspy63sjmuny.us-east-1.es.amazonaws.com/_plugin/kibana/#/discover/Steve-Slow-Train-Analysis-(2080s-and-2083s)?_g=(refreshInterval:(display:Off,section:0,value:0),time:(from:'2016-12-01 08:47:54-700',mode:absolute,to:'2016-12-01 11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7" s="52" t="str">
        <f>IF(AA57&lt;IF(AG57="EC",23,5.65),"Y","N")</f>
        <v>N</v>
      </c>
      <c r="X57" s="177">
        <f>VALUE(LEFT(AD57,4))-VALUE(LEFT(AD56,4))</f>
        <v>1</v>
      </c>
      <c r="Y57" s="67">
        <f>RIGHT(D57,LEN(D57)-4)/10000</f>
        <v>23.297699999999999</v>
      </c>
      <c r="Z57" s="67">
        <f>RIGHT(H57,LEN(H57)-4)/10000</f>
        <v>1.52E-2</v>
      </c>
      <c r="AA57" s="67">
        <f>ABS(Z57-Y57)</f>
        <v>23.282499999999999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>IF(LEN(A57)=6,"0"&amp;A57,A57)</f>
        <v>0144-01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/stypes="app*4032*20161201*" /stext=" 17:.+((SYSTEM_STATE.+slice.+state.+changed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144-01 --locoid 4032 --swversion DE.1.0.8.0 --startMP 204:232977 --initTime 2016-12-01T09:47:54 --startdatetime 2016-12-01T09:56:14 --delay 1 --endMP 204:152 --enddatetime 2016-12-01T10:36:41 --enforcementcount 1 &gt;&gt;C:\Users\stu\Documents\GitHub\eaglep3-reporting\EC\2016-12-01-refined-times.txt</v>
      </c>
      <c r="AI57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{"issue":{"subject":"","project_id":79,"tracker_id":40,"status_id":1,"priority_id":2,"assigned_to_id":23,"start_date":"2016-12-01","description":"","custom_fields":[{"id":1,"name":"Subdivision","value":"EC"},{"id":4,"name":"Milepost","value":"0.0152"},{"id":17,"name":"Train ID","value":"144-01"},{"id":16,"name":"Locomotive ID","value":"4032"},{"id":130,"name":"Impact","value":""},{"id":150,"name":"Time of Event (Mountain Time)","value":"10:36:41"},{"id":151,"name":"Denver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521</v>
      </c>
      <c r="B58" s="7">
        <v>4009</v>
      </c>
      <c r="C58" s="22" t="s">
        <v>210</v>
      </c>
      <c r="D58" s="22" t="s">
        <v>665</v>
      </c>
      <c r="E58" s="13">
        <v>42705.385000000002</v>
      </c>
      <c r="F58" s="13">
        <v>42705.38685185185</v>
      </c>
      <c r="G58" s="7">
        <v>1</v>
      </c>
      <c r="H58" s="22" t="s">
        <v>336</v>
      </c>
      <c r="I58" s="13">
        <v>42705.410798611112</v>
      </c>
      <c r="J58" s="7">
        <v>1</v>
      </c>
      <c r="K58" s="109" t="str">
        <f>IF(ISEVEN(B58),(B58-1)&amp;"/"&amp;B58,B58&amp;"/"&amp;(B58+1))</f>
        <v>4009/4010</v>
      </c>
      <c r="L58" s="22" t="str">
        <f>VLOOKUP(A58,'Trips&amp;Operators'!$C$1:$G$99999,5,FALSE)</f>
        <v>SPECTOR MICHAEL</v>
      </c>
      <c r="M58" s="6">
        <f>I58-F58</f>
        <v>2.3946759261889383E-2</v>
      </c>
      <c r="N58" s="7">
        <f>24*60*SUM($M58:$M58)</f>
        <v>34.483333337120712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https://search-rtdc-monitor-bjffxe2xuh6vdkpspy63sjmuny.us-east-1.es.amazonaws.com/_plugin/kibana/#/discover/Steve-Slow-Train-Analysis-(2080s-and-2083s)?_g=(refreshInterval:(display:Off,section:0,value:0),time:(from:'2016-12-01 08:14:24-700',mode:absolute,to:'2016-12-01 10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8" s="52" t="str">
        <f>IF(AA58&lt;IF(AG58="EC",23,5.65),"Y","N")</f>
        <v>N</v>
      </c>
      <c r="X58" s="177">
        <f>VALUE(LEFT(AD58,4))-VALUE(LEFT(AD57,4))</f>
        <v>1</v>
      </c>
      <c r="Y58" s="67">
        <f>RIGHT(D58,LEN(D58)-4)/10000</f>
        <v>4.6899999999999997E-2</v>
      </c>
      <c r="Z58" s="67">
        <f>RIGHT(H58,LEN(H58)-4)/10000</f>
        <v>23.331</v>
      </c>
      <c r="AA58" s="67">
        <f>ABS(Z58-Y58)</f>
        <v>23.284099999999999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>IF(LEN(A58)=6,"0"&amp;A58,A58)</f>
        <v>0145-01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/stypes="app*4009*20161201*" /stext=" 16:.+((SYSTEM_STATE.+slice.+state.+changed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145-01 --locoid 4009 --swversion DE.1.0.8.0 --startMP 204:469 --initTime 2016-12-01T09:14:24 --startdatetime 2016-12-01T09:17:04 --delay 1 --endMP 204:233310 --enddatetime 2016-12-01T09:51:33 --enforcementcount 1 &gt;&gt;C:\Users\stu\Documents\GitHub\eaglep3-reporting\EC\2016-12-01-refined-times.txt</v>
      </c>
      <c r="AI58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{"issue":{"subject":"","project_id":79,"tracker_id":40,"status_id":1,"priority_id":2,"assigned_to_id":23,"start_date":"2016-12-01","description":"","custom_fields":[{"id":1,"name":"Subdivision","value":"EC"},{"id":4,"name":"Milepost","value":"23.331"},{"id":17,"name":"Train ID","value":"145-01"},{"id":16,"name":"Locomotive ID","value":"4009"},{"id":130,"name":"Impact","value":""},{"id":150,"name":"Time of Event (Mountain Time)","value":"09:51:33"},{"id":151,"name":"Denver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527</v>
      </c>
      <c r="B59" s="7">
        <v>4010</v>
      </c>
      <c r="C59" s="22" t="s">
        <v>210</v>
      </c>
      <c r="D59" s="22" t="s">
        <v>371</v>
      </c>
      <c r="E59" s="13">
        <v>42705.418993055559</v>
      </c>
      <c r="F59" s="13">
        <v>42705.424467592595</v>
      </c>
      <c r="G59" s="7">
        <v>1</v>
      </c>
      <c r="H59" s="22" t="s">
        <v>681</v>
      </c>
      <c r="I59" s="13">
        <v>42705.451111111113</v>
      </c>
      <c r="J59" s="7">
        <v>1</v>
      </c>
      <c r="K59" s="109" t="str">
        <f>IF(ISEVEN(B59),(B59-1)&amp;"/"&amp;B59,B59&amp;"/"&amp;(B59+1))</f>
        <v>4009/4010</v>
      </c>
      <c r="L59" s="22" t="str">
        <f>VLOOKUP(A59,'Trips&amp;Operators'!$C$1:$G$99999,5,FALSE)</f>
        <v>SPECTOR MICHAEL</v>
      </c>
      <c r="M59" s="6">
        <f>I59-F59</f>
        <v>2.6643518518540077E-2</v>
      </c>
      <c r="N59" s="7">
        <f>24*60*SUM($M59:$M59)</f>
        <v>38.366666666697711</v>
      </c>
      <c r="O59" s="7"/>
      <c r="P59" s="7"/>
      <c r="Q59" s="23"/>
      <c r="R59" s="23"/>
      <c r="S59" s="35">
        <f>SUM(U59:U59)/IF(AG59="EC",12,1)</f>
        <v>1</v>
      </c>
      <c r="T59" s="50" t="str">
        <f>IF(ISEVEN(LEFT(AD59,4)),"Southbound","NorthBound")</f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https://search-rtdc-monitor-bjffxe2xuh6vdkpspy63sjmuny.us-east-1.es.amazonaws.com/_plugin/kibana/#/discover/Steve-Slow-Train-Analysis-(2080s-and-2083s)?_g=(refreshInterval:(display:Off,section:0,value:0),time:(from:'2016-12-01 09:03:21-700',mode:absolute,to:'2016-12-01 11:49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9" s="52" t="str">
        <f>IF(AA59&lt;IF(AG59="EC",23,5.65),"Y","N")</f>
        <v>N</v>
      </c>
      <c r="X59" s="177">
        <f>VALUE(LEFT(AD59,4))-VALUE(LEFT(AD58,4))</f>
        <v>1</v>
      </c>
      <c r="Y59" s="67">
        <f>RIGHT(D59,LEN(D59)-4)/10000</f>
        <v>23.2987</v>
      </c>
      <c r="Z59" s="67">
        <f>RIGHT(H59,LEN(H59)-4)/10000</f>
        <v>1.32E-2</v>
      </c>
      <c r="AA59" s="67">
        <f>ABS(Z59-Y59)</f>
        <v>23.285499999999999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>IF(LEN(A59)=6,"0"&amp;A59,A59)</f>
        <v>0146-01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/stypes="app*4010*20161201*"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146-01 --locoid 4010 --swversion DE.1.0.8.0 --startMP 204:232987 --initTime 2016-12-01T10:03:21 --startdatetime 2016-12-01T10:11:14 --delay 1 --endMP 204:132 --enddatetime 2016-12-01T10:49:36 --enforcementcount 1 &gt;&gt;C:\Users\stu\Documents\GitHub\eaglep3-reporting\EC\2016-12-01-refined-times.txt</v>
      </c>
      <c r="AI59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{"issue":{"subject":"","project_id":79,"tracker_id":40,"status_id":1,"priority_id":2,"assigned_to_id":23,"start_date":"2016-12-01","description":"","custom_fields":[{"id":1,"name":"Subdivision","value":"EC"},{"id":4,"name":"Milepost","value":"0.0132"},{"id":17,"name":"Train ID","value":"146-01"},{"id":16,"name":"Locomotive ID","value":"4010"},{"id":130,"name":"Impact","value":""},{"id":150,"name":"Time of Event (Mountain Time)","value":"10:49:36"},{"id":151,"name":"Denver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523</v>
      </c>
      <c r="B60" s="7">
        <v>4046</v>
      </c>
      <c r="C60" s="22" t="s">
        <v>210</v>
      </c>
      <c r="D60" s="22" t="s">
        <v>314</v>
      </c>
      <c r="E60" s="13">
        <v>42705.390740740739</v>
      </c>
      <c r="F60" s="13">
        <v>42705.434965277775</v>
      </c>
      <c r="G60" s="7">
        <v>1</v>
      </c>
      <c r="H60" s="22" t="s">
        <v>682</v>
      </c>
      <c r="I60" s="13">
        <v>42705.460972222223</v>
      </c>
      <c r="J60" s="7">
        <v>1</v>
      </c>
      <c r="K60" s="109" t="str">
        <f>IF(ISEVEN(B60),(B60-1)&amp;"/"&amp;B60,B60&amp;"/"&amp;(B60+1))</f>
        <v>4045/4046</v>
      </c>
      <c r="L60" s="22" t="str">
        <f>VLOOKUP(A60,'Trips&amp;Operators'!$C$1:$G$99999,5,FALSE)</f>
        <v>ROBINSON KADDIBA</v>
      </c>
      <c r="M60" s="6">
        <f>I60-F60</f>
        <v>2.6006944448454306E-2</v>
      </c>
      <c r="N60" s="7">
        <f>24*60*SUM($M60:$M60)</f>
        <v>37.4500000057742</v>
      </c>
      <c r="O60" s="7"/>
      <c r="P60" s="7"/>
      <c r="Q60" s="23"/>
      <c r="R60" s="23"/>
      <c r="S60" s="35">
        <f>SUM(U60:U60)/IF(AG60="EC",12,1)</f>
        <v>1</v>
      </c>
      <c r="T60" s="50" t="str">
        <f>IF(ISEVEN(LEFT(AD60,4)),"Southbound","NorthBound")</f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https://search-rtdc-monitor-bjffxe2xuh6vdkpspy63sjmuny.us-east-1.es.amazonaws.com/_plugin/kibana/#/discover/Steve-Slow-Train-Analysis-(2080s-and-2083s)?_g=(refreshInterval:(display:Off,section:0,value:0),time:(from:'2016-12-01 08:22:40-700',mode:absolute,to:'2016-12-01 12:03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0" s="52" t="str">
        <f>IF(AA60&lt;IF(AG60="EC",23,5.65),"Y","N")</f>
        <v>N</v>
      </c>
      <c r="X60" s="177">
        <f>VALUE(LEFT(AD60,4))-VALUE(LEFT(AD59,4))</f>
        <v>1</v>
      </c>
      <c r="Y60" s="67">
        <f>RIGHT(D60,LEN(D60)-4)/10000</f>
        <v>4.3799999999999999E-2</v>
      </c>
      <c r="Z60" s="67">
        <f>RIGHT(H60,LEN(H60)-4)/10000</f>
        <v>23.331600000000002</v>
      </c>
      <c r="AA60" s="67">
        <f>ABS(Z60-Y60)</f>
        <v>23.287800000000001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>IF(LEN(A60)=6,"0"&amp;A60,A60)</f>
        <v>0147-01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 &amp; aws s3 cp s3://rtdc.mdm.uploadarchive.raw/RTDC4046/ "%USERPROFILE%\AppData\Local\Temp\OnboardLogs"\RTDC4046\2016-12-02 --exclude "*" --recursive --include "*20161202*" &amp; "%USERPROFILE%\Documents\GitHub\mrs-test-scripts\Headless Mode &amp; Sideloading\WalkAndUnGZ.bat" "%USERPROFILE%\AppData\Local\Temp\OnboardLogs"\RTDC4046\2016-12-02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/stypes="app*4046*20161201*" /stext=" 18:.+((SYSTEM_STATE.+slice.+state.+changed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147-01 --locoid 4046 --swversion DE.1.0.8.0 --startMP 204:438 --initTime 2016-12-01T09:22:40 --startdatetime 2016-12-01T10:26:21 --delay 1 --endMP 204:233316 --enddatetime 2016-12-01T11:03:48 --enforcementcount 1 &gt;&gt;C:\Users\stu\Documents\GitHub\eaglep3-reporting\EC\2016-12-01-refined-times.txt</v>
      </c>
      <c r="AI60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{"issue":{"subject":"","project_id":79,"tracker_id":40,"status_id":1,"priority_id":2,"assigned_to_id":23,"start_date":"2016-12-01","description":"","custom_fields":[{"id":1,"name":"Subdivision","value":"EC"},{"id":4,"name":"Milepost","value":"23.3316"},{"id":17,"name":"Train ID","value":"147-01"},{"id":16,"name":"Locomotive ID","value":"4046"},{"id":130,"name":"Impact","value":""},{"id":150,"name":"Time of Event (Mountain Time)","value":"11:03:48"},{"id":151,"name":"Denver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528</v>
      </c>
      <c r="B61" s="7">
        <v>4045</v>
      </c>
      <c r="C61" s="22" t="s">
        <v>210</v>
      </c>
      <c r="D61" s="22" t="s">
        <v>267</v>
      </c>
      <c r="E61" s="13">
        <v>42705.423634259256</v>
      </c>
      <c r="F61" s="13">
        <v>42705.434965277775</v>
      </c>
      <c r="G61" s="7">
        <v>1</v>
      </c>
      <c r="H61" s="22" t="s">
        <v>241</v>
      </c>
      <c r="I61" s="13">
        <v>42705.460972222223</v>
      </c>
      <c r="J61" s="7">
        <v>1</v>
      </c>
      <c r="K61" s="109" t="str">
        <f>IF(ISEVEN(B61),(B61-1)&amp;"/"&amp;B61,B61&amp;"/"&amp;(B61+1))</f>
        <v>4045/4046</v>
      </c>
      <c r="L61" s="22" t="str">
        <f>VLOOKUP(A61,'Trips&amp;Operators'!$C$1:$G$99999,5,FALSE)</f>
        <v>ROBINSON KADDIBA</v>
      </c>
      <c r="M61" s="6">
        <f>I61-F61</f>
        <v>2.6006944448454306E-2</v>
      </c>
      <c r="N61" s="7">
        <f>24*60*SUM($M61:$M61)</f>
        <v>37.4500000057742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https://search-rtdc-monitor-bjffxe2xuh6vdkpspy63sjmuny.us-east-1.es.amazonaws.com/_plugin/kibana/#/discover/Steve-Slow-Train-Analysis-(2080s-and-2083s)?_g=(refreshInterval:(display:Off,section:0,value:0),time:(from:'2016-12-01 09:10:02-700',mode:absolute,to:'2016-12-01 12:03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1" s="52" t="str">
        <f>IF(AA61&lt;IF(AG61="EC",23,5.65),"Y","N")</f>
        <v>N</v>
      </c>
      <c r="X61" s="177">
        <f>VALUE(LEFT(AD61,4))-VALUE(LEFT(AD60,4))</f>
        <v>1</v>
      </c>
      <c r="Y61" s="67">
        <f>RIGHT(D61,LEN(D61)-4)/10000</f>
        <v>23.2988</v>
      </c>
      <c r="Z61" s="67">
        <f>RIGHT(H61,LEN(H61)-4)/10000</f>
        <v>1.47E-2</v>
      </c>
      <c r="AA61" s="67">
        <f>ABS(Z61-Y61)</f>
        <v>23.284099999999999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>IF(LEN(A61)=6,"0"&amp;A61,A61)</f>
        <v>0148-01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 &amp; aws s3 cp s3://rtdc.mdm.uploadarchive.raw/RTDC4045/ "%USERPROFILE%\AppData\Local\Temp\OnboardLogs"\RTDC4045\2016-12-02 --exclude "*" --recursive --include "*20161202*" &amp; "%USERPROFILE%\Documents\GitHub\mrs-test-scripts\Headless Mode &amp; Sideloading\WalkAndUnGZ.bat" "%USERPROFILE%\AppData\Local\Temp\OnboardLogs"\RTDC4045\2016-12-02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/stypes="app*4045*20161201*" /stext=" 18:.+((SYSTEM_STATE.+slice.+state.+changed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148-01 --locoid 4045 --swversion DE.1.0.8.0 --startMP 204:232988 --initTime 2016-12-01T10:10:02 --startdatetime 2016-12-01T10:26:21 --delay 1 --endMP 204:147 --enddatetime 2016-12-01T11:03:48 --enforcementcount 1 &gt;&gt;C:\Users\stu\Documents\GitHub\eaglep3-reporting\EC\2016-12-01-refined-times.txt</v>
      </c>
      <c r="AI61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{"issue":{"subject":"","project_id":79,"tracker_id":40,"status_id":1,"priority_id":2,"assigned_to_id":23,"start_date":"2016-12-01","description":"","custom_fields":[{"id":1,"name":"Subdivision","value":"EC"},{"id":4,"name":"Milepost","value":"0.0147"},{"id":17,"name":"Train ID","value":"148-01"},{"id":16,"name":"Locomotive ID","value":"4045"},{"id":130,"name":"Impact","value":""},{"id":150,"name":"Time of Event (Mountain Time)","value":"11:03:48"},{"id":151,"name":"Denver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525</v>
      </c>
      <c r="B62" s="7">
        <v>4029</v>
      </c>
      <c r="C62" s="22" t="s">
        <v>210</v>
      </c>
      <c r="D62" s="22" t="s">
        <v>294</v>
      </c>
      <c r="E62" s="13">
        <v>42705.403506944444</v>
      </c>
      <c r="F62" s="13">
        <v>42705.406747685185</v>
      </c>
      <c r="G62" s="7">
        <v>1</v>
      </c>
      <c r="H62" s="22" t="s">
        <v>252</v>
      </c>
      <c r="I62" s="13">
        <v>42705.433287037034</v>
      </c>
      <c r="J62" s="7">
        <v>1</v>
      </c>
      <c r="K62" s="109" t="str">
        <f>IF(ISEVEN(B62),(B62-1)&amp;"/"&amp;B62,B62&amp;"/"&amp;(B62+1))</f>
        <v>4029/4030</v>
      </c>
      <c r="L62" s="22" t="str">
        <f>VLOOKUP(A62,'Trips&amp;Operators'!$C$1:$G$99999,5,FALSE)</f>
        <v>STRICKLAND EVAN</v>
      </c>
      <c r="M62" s="6">
        <f>I62-F62</f>
        <v>2.6539351849351078E-2</v>
      </c>
      <c r="N62" s="7">
        <f>24*60*SUM($M62:$M62)</f>
        <v>38.216666663065553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https://search-rtdc-monitor-bjffxe2xuh6vdkpspy63sjmuny.us-east-1.es.amazonaws.com/_plugin/kibana/#/discover/Steve-Slow-Train-Analysis-(2080s-and-2083s)?_g=(refreshInterval:(display:Off,section:0,value:0),time:(from:'2016-12-01 08:41:03-700',mode:absolute,to:'2016-12-01 11:23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2" s="52" t="str">
        <f>IF(AA62&lt;IF(AG62="EC",23,5.65),"Y","N")</f>
        <v>N</v>
      </c>
      <c r="X62" s="177">
        <f>VALUE(LEFT(AD62,4))-VALUE(LEFT(AD61,4))</f>
        <v>1</v>
      </c>
      <c r="Y62" s="67">
        <f>RIGHT(D62,LEN(D62)-4)/10000</f>
        <v>4.58E-2</v>
      </c>
      <c r="Z62" s="67">
        <f>RIGHT(H62,LEN(H62)-4)/10000</f>
        <v>23.330200000000001</v>
      </c>
      <c r="AA62" s="67">
        <f>ABS(Z62-Y62)</f>
        <v>23.284400000000002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>IF(LEN(A62)=6,"0"&amp;A62,A62)</f>
        <v>0149-01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/stypes="app*4029*20161201*" /stext=" 17:.+((SYSTEM_STATE.+slice.+state.+changed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149-01 --locoid 4029 --swversion DE.1.0.8.0 --startMP 204:458 --initTime 2016-12-01T09:41:03 --startdatetime 2016-12-01T09:45:43 --delay 1 --endMP 204:233302 --enddatetime 2016-12-01T10:23:56 --enforcementcount 1 &gt;&gt;C:\Users\stu\Documents\GitHub\eaglep3-reporting\EC\2016-12-01-refined-times.txt</v>
      </c>
      <c r="AI62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{"issue":{"subject":"","project_id":79,"tracker_id":40,"status_id":1,"priority_id":2,"assigned_to_id":23,"start_date":"2016-12-01","description":"","custom_fields":[{"id":1,"name":"Subdivision","value":"EC"},{"id":4,"name":"Milepost","value":"23.3302"},{"id":17,"name":"Train ID","value":"149-01"},{"id":16,"name":"Locomotive ID","value":"4029"},{"id":130,"name":"Impact","value":""},{"id":150,"name":"Time of Event (Mountain Time)","value":"10:23:56"},{"id":151,"name":"Denver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531</v>
      </c>
      <c r="B63" s="7">
        <v>4030</v>
      </c>
      <c r="C63" s="22" t="s">
        <v>210</v>
      </c>
      <c r="D63" s="22" t="s">
        <v>204</v>
      </c>
      <c r="E63" s="13">
        <v>42705.435370370367</v>
      </c>
      <c r="F63" s="13">
        <v>42705.445486111108</v>
      </c>
      <c r="G63" s="7">
        <v>1</v>
      </c>
      <c r="H63" s="22" t="s">
        <v>303</v>
      </c>
      <c r="I63" s="13">
        <v>42705.472037037034</v>
      </c>
      <c r="J63" s="7">
        <v>1</v>
      </c>
      <c r="K63" s="109" t="str">
        <f>IF(ISEVEN(B63),(B63-1)&amp;"/"&amp;B63,B63&amp;"/"&amp;(B63+1))</f>
        <v>4029/4030</v>
      </c>
      <c r="L63" s="22" t="str">
        <f>VLOOKUP(A63,'Trips&amp;Operators'!$C$1:$G$99999,5,FALSE)</f>
        <v>STRICKLAND EVAN</v>
      </c>
      <c r="M63" s="6">
        <f>I63-F63</f>
        <v>2.6550925926130731E-2</v>
      </c>
      <c r="N63" s="7">
        <f>24*60*SUM($M63:$M63)</f>
        <v>38.233333333628252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https://search-rtdc-monitor-bjffxe2xuh6vdkpspy63sjmuny.us-east-1.es.amazonaws.com/_plugin/kibana/#/discover/Steve-Slow-Train-Analysis-(2080s-and-2083s)?_g=(refreshInterval:(display:Off,section:0,value:0),time:(from:'2016-12-01 09:26:56-700',mode:absolute,to:'2016-12-01 12:19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3" s="52" t="str">
        <f>IF(AA63&lt;IF(AG63="EC",23,5.65),"Y","N")</f>
        <v>N</v>
      </c>
      <c r="X63" s="177">
        <f>VALUE(LEFT(AD63,4))-VALUE(LEFT(AD62,4))</f>
        <v>1</v>
      </c>
      <c r="Y63" s="67">
        <f>RIGHT(D63,LEN(D63)-4)/10000</f>
        <v>23.297699999999999</v>
      </c>
      <c r="Z63" s="67">
        <f>RIGHT(H63,LEN(H63)-4)/10000</f>
        <v>1.6299999999999999E-2</v>
      </c>
      <c r="AA63" s="67">
        <f>ABS(Z63-Y63)</f>
        <v>23.281399999999998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>IF(LEN(A63)=6,"0"&amp;A63,A63)</f>
        <v>0150-01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/stypes="app*4030*20161201*" /stext=" 18:.+((SYSTEM_STATE.+slice.+state.+changed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150-01 --locoid 4030 --swversion DE.1.0.8.0 --startMP 204:232977 --initTime 2016-12-01T10:26:56 --startdatetime 2016-12-01T10:41:30 --delay 1 --endMP 204:163 --enddatetime 2016-12-01T11:19:44 --enforcementcount 1 &gt;&gt;C:\Users\stu\Documents\GitHub\eaglep3-reporting\EC\2016-12-01-refined-times.txt</v>
      </c>
      <c r="AI63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{"issue":{"subject":"","project_id":79,"tracker_id":40,"status_id":1,"priority_id":2,"assigned_to_id":23,"start_date":"2016-12-01","description":"","custom_fields":[{"id":1,"name":"Subdivision","value":"EC"},{"id":4,"name":"Milepost","value":"0.0163"},{"id":17,"name":"Train ID","value":"150-01"},{"id":16,"name":"Locomotive ID","value":"4030"},{"id":130,"name":"Impact","value":""},{"id":150,"name":"Time of Event (Mountain Time)","value":"11:19:44"},{"id":151,"name":"Denver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526</v>
      </c>
      <c r="B64" s="7">
        <v>4007</v>
      </c>
      <c r="C64" s="22" t="s">
        <v>210</v>
      </c>
      <c r="D64" s="22" t="s">
        <v>254</v>
      </c>
      <c r="E64" s="13">
        <v>42705.410914351851</v>
      </c>
      <c r="F64" s="13">
        <v>42705.416909722226</v>
      </c>
      <c r="G64" s="7">
        <v>1</v>
      </c>
      <c r="H64" s="22" t="s">
        <v>260</v>
      </c>
      <c r="I64" s="13">
        <v>42705.44158564815</v>
      </c>
      <c r="J64" s="7">
        <v>1</v>
      </c>
      <c r="K64" s="109" t="str">
        <f>IF(ISEVEN(B64),(B64-1)&amp;"/"&amp;B64,B64&amp;"/"&amp;(B64+1))</f>
        <v>4007/4008</v>
      </c>
      <c r="L64" s="22" t="str">
        <f>VLOOKUP(A64,'Trips&amp;Operators'!$C$1:$G$99999,5,FALSE)</f>
        <v>SAFIEF AEIMEN</v>
      </c>
      <c r="M64" s="6">
        <f>I64-F64</f>
        <v>2.4675925924384501E-2</v>
      </c>
      <c r="N64" s="7">
        <f>24*60*SUM($M64:$M64)</f>
        <v>35.533333331113681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https://search-rtdc-monitor-bjffxe2xuh6vdkpspy63sjmuny.us-east-1.es.amazonaws.com/_plugin/kibana/#/discover/Steve-Slow-Train-Analysis-(2080s-and-2083s)?_g=(refreshInterval:(display:Off,section:0,value:0),time:(from:'2016-12-01 08:51:43-700',mode:absolute,to:'2016-12-01 11:35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4" s="52" t="str">
        <f>IF(AA64&lt;IF(AG64="EC",23,5.65),"Y","N")</f>
        <v>N</v>
      </c>
      <c r="X64" s="177">
        <f>VALUE(LEFT(AD64,4))-VALUE(LEFT(AD63,4))</f>
        <v>1</v>
      </c>
      <c r="Y64" s="67">
        <f>RIGHT(D64,LEN(D64)-4)/10000</f>
        <v>4.5699999999999998E-2</v>
      </c>
      <c r="Z64" s="67">
        <f>RIGHT(H64,LEN(H64)-4)/10000</f>
        <v>23.3307</v>
      </c>
      <c r="AA64" s="67">
        <f>ABS(Z64-Y64)</f>
        <v>23.285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>IF(LEN(A64)=6,"0"&amp;A64,A64)</f>
        <v>0151-01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/stypes="app*4007*20161201*" /stext=" 17:.+((SYSTEM_STATE.+slice.+state.+changed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151-01 --locoid 4007 --swversion DE.1.0.8.0 --startMP 204:457 --initTime 2016-12-01T09:51:43 --startdatetime 2016-12-01T10:00:21 --delay 1 --endMP 204:233307 --enddatetime 2016-12-01T10:35:53 --enforcementcount 1 &gt;&gt;C:\Users\stu\Documents\GitHub\eaglep3-reporting\EC\2016-12-01-refined-times.txt</v>
      </c>
      <c r="AI64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{"issue":{"subject":"","project_id":79,"tracker_id":40,"status_id":1,"priority_id":2,"assigned_to_id":23,"start_date":"2016-12-01","description":"","custom_fields":[{"id":1,"name":"Subdivision","value":"EC"},{"id":4,"name":"Milepost","value":"23.3307"},{"id":17,"name":"Train ID","value":"151-01"},{"id":16,"name":"Locomotive ID","value":"4007"},{"id":130,"name":"Impact","value":""},{"id":150,"name":"Time of Event (Mountain Time)","value":"10:35:53"},{"id":151,"name":"Denver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536</v>
      </c>
      <c r="B65" s="7">
        <v>4008</v>
      </c>
      <c r="C65" s="22" t="s">
        <v>210</v>
      </c>
      <c r="D65" s="22" t="s">
        <v>683</v>
      </c>
      <c r="E65" s="13">
        <v>42705.44599537037</v>
      </c>
      <c r="F65" s="13">
        <v>42705.456041666665</v>
      </c>
      <c r="G65" s="7">
        <v>2</v>
      </c>
      <c r="H65" s="22" t="s">
        <v>268</v>
      </c>
      <c r="I65" s="13">
        <v>42705.482523148145</v>
      </c>
      <c r="J65" s="7">
        <v>1</v>
      </c>
      <c r="K65" s="109" t="str">
        <f>IF(ISEVEN(B65),(B65-1)&amp;"/"&amp;B65,B65&amp;"/"&amp;(B65+1))</f>
        <v>4007/4008</v>
      </c>
      <c r="L65" s="22" t="str">
        <f>VLOOKUP(A65,'Trips&amp;Operators'!$C$1:$G$99999,5,FALSE)</f>
        <v>SAFIEF AEIMEN</v>
      </c>
      <c r="M65" s="6">
        <f>I65-F65</f>
        <v>2.6481481480004732E-2</v>
      </c>
      <c r="N65" s="7">
        <f>24*60*SUM($M65:$M65)</f>
        <v>38.133333331206813</v>
      </c>
      <c r="O65" s="7"/>
      <c r="P65" s="7"/>
      <c r="Q65" s="23"/>
      <c r="R65" s="23"/>
      <c r="S65" s="35">
        <f>SUM(U65:U65)/IF(AG65="EC",12,1)</f>
        <v>1</v>
      </c>
      <c r="T65" s="50" t="str">
        <f>IF(ISEVEN(LEFT(AD65,4)),"Southbound","NorthBound")</f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https://search-rtdc-monitor-bjffxe2xuh6vdkpspy63sjmuny.us-east-1.es.amazonaws.com/_plugin/kibana/#/discover/Steve-Slow-Train-Analysis-(2080s-and-2083s)?_g=(refreshInterval:(display:Off,section:0,value:0),time:(from:'2016-12-01 09:42:14-700',mode:absolute,to:'2016-12-01 12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5" s="52" t="str">
        <f>IF(AA65&lt;IF(AG65="EC",23,5.65),"Y","N")</f>
        <v>N</v>
      </c>
      <c r="X65" s="177">
        <f>VALUE(LEFT(AD65,4))-VALUE(LEFT(AD64,4))</f>
        <v>1</v>
      </c>
      <c r="Y65" s="67">
        <f>RIGHT(D65,LEN(D65)-4)/10000</f>
        <v>23.297799999999999</v>
      </c>
      <c r="Z65" s="67">
        <f>RIGHT(H65,LEN(H65)-4)/10000</f>
        <v>1.4500000000000001E-2</v>
      </c>
      <c r="AA65" s="67">
        <f>ABS(Z65-Y65)</f>
        <v>23.283299999999997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>IF(LEN(A65)=6,"0"&amp;A65,A65)</f>
        <v>0152-01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/stypes="app*4008*20161201*" /stext=" 18:.+((SYSTEM_STATE.+slice.+state.+changed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152-01 --locoid 4008 --swversion DE.1.0.8.0 --startMP 204:232978 --initTime 2016-12-01T10:42:14 --startdatetime 2016-12-01T10:56:42 --delay 2 --endMP 204:145 --enddatetime 2016-12-01T11:34:50 --enforcementcount 1 &gt;&gt;C:\Users\stu\Documents\GitHub\eaglep3-reporting\EC\2016-12-01-refined-times.txt</v>
      </c>
      <c r="AI65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{"issue":{"subject":"","project_id":79,"tracker_id":40,"status_id":1,"priority_id":2,"assigned_to_id":23,"start_date":"2016-12-01","description":"","custom_fields":[{"id":1,"name":"Subdivision","value":"EC"},{"id":4,"name":"Milepost","value":"0.0145"},{"id":17,"name":"Train ID","value":"152-01"},{"id":16,"name":"Locomotive ID","value":"4008"},{"id":130,"name":"Impact","value":""},{"id":150,"name":"Time of Event (Mountain Time)","value":"11:34:50"},{"id":151,"name":"Denver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529</v>
      </c>
      <c r="B66" s="7">
        <v>4040</v>
      </c>
      <c r="C66" s="22" t="s">
        <v>210</v>
      </c>
      <c r="D66" s="22" t="s">
        <v>671</v>
      </c>
      <c r="E66" s="13">
        <v>42705.424293981479</v>
      </c>
      <c r="F66" s="13">
        <v>42705.427476851852</v>
      </c>
      <c r="G66" s="7">
        <v>2</v>
      </c>
      <c r="H66" s="22" t="s">
        <v>305</v>
      </c>
      <c r="I66" s="13">
        <v>42705.452303240738</v>
      </c>
      <c r="J66" s="7">
        <v>1</v>
      </c>
      <c r="K66" s="109" t="str">
        <f>IF(ISEVEN(B66),(B66-1)&amp;"/"&amp;B66,B66&amp;"/"&amp;(B66+1))</f>
        <v>4039/4040</v>
      </c>
      <c r="L66" s="22" t="str">
        <f>VLOOKUP(A66,'Trips&amp;Operators'!$C$1:$G$99999,5,FALSE)</f>
        <v>STARKS ANGELINA</v>
      </c>
      <c r="M66" s="6">
        <f>I66-F66</f>
        <v>2.4826388886140194E-2</v>
      </c>
      <c r="N66" s="7">
        <f>24*60*SUM($M66:$M66)</f>
        <v>35.749999996041879</v>
      </c>
      <c r="O66" s="7"/>
      <c r="P66" s="7"/>
      <c r="Q66" s="23"/>
      <c r="R66" s="23"/>
      <c r="S66" s="35">
        <f>SUM(U66:U66)/IF(AG66="EC",12,1)</f>
        <v>1</v>
      </c>
      <c r="T66" s="50" t="str">
        <f>IF(ISEVEN(LEFT(AD66,4)),"Southbound","NorthBound")</f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https://search-rtdc-monitor-bjffxe2xuh6vdkpspy63sjmuny.us-east-1.es.amazonaws.com/_plugin/kibana/#/discover/Steve-Slow-Train-Analysis-(2080s-and-2083s)?_g=(refreshInterval:(display:Off,section:0,value:0),time:(from:'2016-12-01 09:10:59-700',mode:absolute,to:'2016-12-01 11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6" s="52" t="str">
        <f>IF(AA66&lt;IF(AG66="EC",23,5.65),"Y","N")</f>
        <v>N</v>
      </c>
      <c r="X66" s="177">
        <f>VALUE(LEFT(AD66,4))-VALUE(LEFT(AD65,4))</f>
        <v>1</v>
      </c>
      <c r="Y66" s="67">
        <f>RIGHT(D66,LEN(D66)-4)/10000</f>
        <v>4.9799999999999997E-2</v>
      </c>
      <c r="Z66" s="67">
        <f>RIGHT(H66,LEN(H66)-4)/10000</f>
        <v>23.329699999999999</v>
      </c>
      <c r="AA66" s="67">
        <f>ABS(Z66-Y66)</f>
        <v>23.279899999999998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>IF(LEN(A66)=6,"0"&amp;A66,A66)</f>
        <v>0153-01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/stypes="app*4040*20161201*" /stext=" 17:.+((SYSTEM_STATE.+slice.+state.+changed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153-01 --locoid 4040 --swversion DE.1.0.8.0 --startMP 204:498 --initTime 2016-12-01T10:10:59 --startdatetime 2016-12-01T10:15:34 --delay 2 --endMP 204:233297 --enddatetime 2016-12-01T10:51:19 --enforcementcount 1 &gt;&gt;C:\Users\stu\Documents\GitHub\eaglep3-reporting\EC\2016-12-01-refined-times.txt</v>
      </c>
      <c r="AI66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{"issue":{"subject":"","project_id":79,"tracker_id":40,"status_id":1,"priority_id":2,"assigned_to_id":23,"start_date":"2016-12-01","description":"","custom_fields":[{"id":1,"name":"Subdivision","value":"EC"},{"id":4,"name":"Milepost","value":"23.3297"},{"id":17,"name":"Train ID","value":"153-01"},{"id":16,"name":"Locomotive ID","value":"4040"},{"id":130,"name":"Impact","value":""},{"id":150,"name":"Time of Event (Mountain Time)","value":"10:51:19"},{"id":151,"name":"Denver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424</v>
      </c>
      <c r="B67" s="7">
        <v>4039</v>
      </c>
      <c r="C67" s="22" t="s">
        <v>210</v>
      </c>
      <c r="D67" s="22" t="s">
        <v>364</v>
      </c>
      <c r="E67" s="13">
        <v>42705.463958333334</v>
      </c>
      <c r="F67" s="13">
        <v>42705.466192129628</v>
      </c>
      <c r="G67" s="7">
        <v>1</v>
      </c>
      <c r="H67" s="22" t="s">
        <v>192</v>
      </c>
      <c r="I67" s="13">
        <v>42705.493391203701</v>
      </c>
      <c r="J67" s="7">
        <v>1</v>
      </c>
      <c r="K67" s="109" t="str">
        <f>IF(ISEVEN(B67),(B67-1)&amp;"/"&amp;B67,B67&amp;"/"&amp;(B67+1))</f>
        <v>4039/4040</v>
      </c>
      <c r="L67" s="22" t="str">
        <f>VLOOKUP(A67,'Trips&amp;Operators'!$C$1:$G$99999,5,FALSE)</f>
        <v>STARKS ANGELINA</v>
      </c>
      <c r="M67" s="6">
        <f>I67-F67</f>
        <v>2.7199074072996154E-2</v>
      </c>
      <c r="N67" s="7">
        <f>24*60*SUM($M67:$M67)</f>
        <v>39.166666665114462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https://search-rtdc-monitor-bjffxe2xuh6vdkpspy63sjmuny.us-east-1.es.amazonaws.com/_plugin/kibana/#/discover/Steve-Slow-Train-Analysis-(2080s-and-2083s)?_g=(refreshInterval:(display:Off,section:0,value:0),time:(from:'2016-12-01 10:08:06-700',mode:absolute,to:'2016-12-01 12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7" s="52" t="str">
        <f>IF(AA67&lt;IF(AG67="EC",23,5.65),"Y","N")</f>
        <v>N</v>
      </c>
      <c r="X67" s="177">
        <f>VALUE(LEFT(AD67,4))-VALUE(LEFT(AD66,4))</f>
        <v>1</v>
      </c>
      <c r="Y67" s="67">
        <f>RIGHT(D67,LEN(D67)-4)/10000</f>
        <v>23.297899999999998</v>
      </c>
      <c r="Z67" s="67">
        <f>RIGHT(H67,LEN(H67)-4)/10000</f>
        <v>1.49E-2</v>
      </c>
      <c r="AA67" s="67">
        <f>ABS(Z67-Y67)</f>
        <v>23.282999999999998</v>
      </c>
      <c r="AB67" s="64" t="str">
        <f>VLOOKUP(A67,Enforcements!$C$7:$K$20,8,0)</f>
        <v>Signal based authority (5)</v>
      </c>
      <c r="AC67" s="60" t="str">
        <f>VLOOKUP(A67,Enforcements!$C$7:$E$20,3,0)</f>
        <v>SIGNAL</v>
      </c>
      <c r="AD67" s="61" t="str">
        <f>IF(LEN(A67)=6,"0"&amp;A67,A67)</f>
        <v>0154-01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/stypes="app*4039*20161201*"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154-01 --locoid 4039 --swversion DE.1.0.8.0 --startMP 204:232979 --initTime 2016-12-01T11:08:06 --startdatetime 2016-12-01T11:11:19 --delay 1 --endMP 204:149 --enddatetime 2016-12-01T11:50:29 --enforcementcount 1 &gt;&gt;C:\Users\stu\Documents\GitHub\eaglep3-reporting\EC\2016-12-01-refined-times.txt</v>
      </c>
      <c r="AI67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{"issue":{"subject":"","project_id":79,"tracker_id":40,"status_id":1,"priority_id":2,"assigned_to_id":23,"start_date":"2016-12-01","description":"","custom_fields":[{"id":1,"name":"Subdivision","value":"EC"},{"id":4,"name":"Milepost","value":"0.0149"},{"id":17,"name":"Train ID","value":"154-01"},{"id":16,"name":"Locomotive ID","value":"4039"},{"id":130,"name":"Impact","value":""},{"id":150,"name":"Time of Event (Mountain Time)","value":"11:50:29"},{"id":151,"name":"Denver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530</v>
      </c>
      <c r="B68" s="7">
        <v>4027</v>
      </c>
      <c r="C68" s="22" t="s">
        <v>210</v>
      </c>
      <c r="D68" s="22" t="s">
        <v>209</v>
      </c>
      <c r="E68" s="13">
        <v>42705.432719907411</v>
      </c>
      <c r="F68" s="13">
        <v>42705.437777777777</v>
      </c>
      <c r="G68" s="7">
        <v>2</v>
      </c>
      <c r="H68" s="22" t="s">
        <v>363</v>
      </c>
      <c r="I68" s="13">
        <v>42705.461631944447</v>
      </c>
      <c r="J68" s="7">
        <v>1</v>
      </c>
      <c r="K68" s="109" t="str">
        <f>IF(ISEVEN(B68),(B68-1)&amp;"/"&amp;B68,B68&amp;"/"&amp;(B68+1))</f>
        <v>4027/4028</v>
      </c>
      <c r="L68" s="22" t="str">
        <f>VLOOKUP(A68,'Trips&amp;Operators'!$C$1:$G$99999,5,FALSE)</f>
        <v>YORK EDGAR</v>
      </c>
      <c r="M68" s="6">
        <f>I68-F68</f>
        <v>2.3854166669480037E-2</v>
      </c>
      <c r="N68" s="7">
        <f>24*60*SUM($M68:$M68)</f>
        <v>34.350000004051253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https://search-rtdc-monitor-bjffxe2xuh6vdkpspy63sjmuny.us-east-1.es.amazonaws.com/_plugin/kibana/#/discover/Steve-Slow-Train-Analysis-(2080s-and-2083s)?_g=(refreshInterval:(display:Off,section:0,value:0),time:(from:'2016-12-01 09:23:07-700',mode:absolute,to:'2016-12-01 12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8" s="52" t="str">
        <f>IF(AA68&lt;IF(AG68="EC",23,5.65),"Y","N")</f>
        <v>N</v>
      </c>
      <c r="X68" s="177">
        <f>VALUE(LEFT(AD68,4))-VALUE(LEFT(AD67,4))</f>
        <v>1</v>
      </c>
      <c r="Y68" s="67">
        <f>RIGHT(D68,LEN(D68)-4)/10000</f>
        <v>4.6399999999999997E-2</v>
      </c>
      <c r="Z68" s="67">
        <f>RIGHT(H68,LEN(H68)-4)/10000</f>
        <v>23.328399999999998</v>
      </c>
      <c r="AA68" s="67">
        <f>ABS(Z68-Y68)</f>
        <v>23.282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>IF(LEN(A68)=6,"0"&amp;A68,A68)</f>
        <v>0155-01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s3://rtdc.mdm.uploadarchive.raw/RTDC4027/ "%USERPROFILE%\AppData\Local\Temp\OnboardLogs"\RTDC4027\2016-12-01 --exclude "*" --recursive --include "*20161201*" &amp; "%USERPROFILE%\Documents\GitHub\mrs-test-scripts\Headless Mode &amp; Sideloading\WalkAndUnGZ.bat" "%USERPROFILE%\AppData\Local\Temp\OnboardLogs"\RTDC4027\2016-12-01 &amp; 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/stypes="app*4027*20161201*" /stext=" 18:.+((SYSTEM_STATE.+slice.+state.+changed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155-01 --locoid 4027 --swversion DE.1.0.8.0 --startMP 204:464 --initTime 2016-12-01T10:23:07 --startdatetime 2016-12-01T10:30:24 --delay 2 --endMP 204:233284 --enddatetime 2016-12-01T11:04:45 --enforcementcount 1 &gt;&gt;C:\Users\stu\Documents\GitHub\eaglep3-reporting\EC\2016-12-01-refined-times.txt</v>
      </c>
      <c r="AI68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{"issue":{"subject":"","project_id":79,"tracker_id":40,"status_id":1,"priority_id":2,"assigned_to_id":23,"start_date":"2016-12-01","description":"","custom_fields":[{"id":1,"name":"Subdivision","value":"EC"},{"id":4,"name":"Milepost","value":"23.3284"},{"id":17,"name":"Train ID","value":"155-01"},{"id":16,"name":"Locomotive ID","value":"4027"},{"id":130,"name":"Impact","value":""},{"id":150,"name":"Time of Event (Mountain Time)","value":"11:04:45"},{"id":151,"name":"Denver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540</v>
      </c>
      <c r="B69" s="7">
        <v>4028</v>
      </c>
      <c r="C69" s="22" t="s">
        <v>210</v>
      </c>
      <c r="D69" s="22" t="s">
        <v>684</v>
      </c>
      <c r="E69" s="13">
        <v>42705.462696759256</v>
      </c>
      <c r="F69" s="13">
        <v>42705.476666666669</v>
      </c>
      <c r="G69" s="7">
        <v>1</v>
      </c>
      <c r="H69" s="22" t="s">
        <v>685</v>
      </c>
      <c r="I69" s="13">
        <v>42705.492974537039</v>
      </c>
      <c r="J69" s="7">
        <v>0</v>
      </c>
      <c r="K69" s="109" t="str">
        <f>IF(ISEVEN(B69),(B69-1)&amp;"/"&amp;B69,B69&amp;"/"&amp;(B69+1))</f>
        <v>4027/4028</v>
      </c>
      <c r="L69" s="22" t="str">
        <f>VLOOKUP(A69,'Trips&amp;Operators'!$C$1:$G$99999,5,FALSE)</f>
        <v>YORK EDGAR</v>
      </c>
      <c r="M69" s="6">
        <f>I69-F69</f>
        <v>1.6307870369928423E-2</v>
      </c>
      <c r="N69" s="7">
        <f>24*60*SUM($M69:$M70)</f>
        <v>41.333333335351199</v>
      </c>
      <c r="O69" s="7"/>
      <c r="P69" s="7"/>
      <c r="Q69" s="23"/>
      <c r="R69" s="23" t="s">
        <v>857</v>
      </c>
      <c r="S69" s="35">
        <f>SUM(U69:U70)/IF(AG69="EC",12,1)</f>
        <v>1</v>
      </c>
      <c r="T69" s="50" t="str">
        <f>IF(ISEVEN(LEFT(AD69,4)),"Southbound","NorthBound")</f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https://search-rtdc-monitor-bjffxe2xuh6vdkpspy63sjmuny.us-east-1.es.amazonaws.com/_plugin/kibana/#/discover/Steve-Slow-Train-Analysis-(2080s-and-2083s)?_g=(refreshInterval:(display:Off,section:0,value:0),time:(from:'2016-12-01 10:06:17-700',mode:absolute,to:'2016-12-01 12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9" s="52" t="str">
        <f>IF(AA69&lt;IF(AG69="EC",23,5.65),"Y","N")</f>
        <v>Y</v>
      </c>
      <c r="X69" s="177">
        <f>VALUE(LEFT(AD69,4))-VALUE(LEFT(AD68,4))</f>
        <v>1</v>
      </c>
      <c r="Y69" s="67">
        <f>RIGHT(D69,LEN(D69)-4)/10000</f>
        <v>23.2971</v>
      </c>
      <c r="Z69" s="67">
        <f>RIGHT(H69,LEN(H69)-4)/10000</f>
        <v>8.6351999999999993</v>
      </c>
      <c r="AA69" s="67">
        <f>ABS(Z69-Y69)</f>
        <v>14.661900000000001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>IF(LEN(A69)=6,"0"&amp;A69,A69)</f>
        <v>0156-01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s3://rtdc.mdm.uploadarchive.raw/RTDC4028/ "%USERPROFILE%\AppData\Local\Temp\OnboardLogs"\RTDC4028\2016-12-01 --exclude "*" --recursive --include "*20161201*" &amp; "%USERPROFILE%\Documents\GitHub\mrs-test-scripts\Headless Mode &amp; Sideloading\WalkAndUnGZ.bat" "%USERPROFILE%\AppData\Local\Temp\OnboardLogs"\RTDC4028\2016-12-01 &amp; 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/stypes="app*4028*20161201*"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156-01 --locoid 4028 --swversion DE.1.0.8.0 --startMP 204:232971 --initTime 2016-12-01T11:06:17 --startdatetime 2016-12-01T11:26:24 --delay 1 --endMP 204:86352 --enddatetime 2016-12-01T11:49:53 --enforcementcount 0 &gt;&gt;C:\Users\stu\Documents\GitHub\eaglep3-reporting\EC\2016-12-01-refined-times.txt</v>
      </c>
      <c r="AI69" s="119" t="str">
        <f t="shared" si="3"/>
        <v>echo {"issue":{"subject":"Reinit at Station Stop","project_id":79,"tracker_id":40,"status_id":1,"priority_id":2,"assigned_to_id":23,"start_date":"2016-12-01","description":"","custom_fields":[{"id":1,"name":"Subdivision","value":"EC"},{"id":4,"name":"Milepost","value":"8.6352"},{"id":17,"name":"Train ID","value":"156-01"},{"id":16,"name":"Locomotive ID","value":"4028"},{"id":130,"name":"Impact","value":""},{"id":150,"name":"Time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540</v>
      </c>
      <c r="B70" s="7">
        <v>4028</v>
      </c>
      <c r="C70" s="22" t="s">
        <v>210</v>
      </c>
      <c r="D70" s="22" t="s">
        <v>685</v>
      </c>
      <c r="E70" s="13">
        <v>42705.495219907411</v>
      </c>
      <c r="F70" s="13">
        <v>42705.496076388888</v>
      </c>
      <c r="G70" s="7">
        <v>1</v>
      </c>
      <c r="H70" s="22" t="s">
        <v>686</v>
      </c>
      <c r="I70" s="13">
        <v>42705.508472222224</v>
      </c>
      <c r="J70" s="7">
        <v>0</v>
      </c>
      <c r="K70" s="109" t="str">
        <f>IF(ISEVEN(B70),(B70-1)&amp;"/"&amp;B70,B70&amp;"/"&amp;(B70+1))</f>
        <v>4027/4028</v>
      </c>
      <c r="L70" s="22" t="str">
        <f>VLOOKUP(A70,'Trips&amp;Operators'!$C$1:$G$99999,5,FALSE)</f>
        <v>YORK EDGAR</v>
      </c>
      <c r="M70" s="6">
        <f>I70-F70</f>
        <v>1.2395833335176576E-2</v>
      </c>
      <c r="N70" s="7"/>
      <c r="O70" s="7"/>
      <c r="P70" s="7"/>
      <c r="Q70" s="23"/>
      <c r="R70" s="23"/>
      <c r="S70" s="35"/>
      <c r="T70" s="50" t="str">
        <f>IF(ISEVEN(LEFT(AD70,4)),"Southbound","NorthBound")</f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10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https://search-rtdc-monitor-bjffxe2xuh6vdkpspy63sjmuny.us-east-1.es.amazonaws.com/_plugin/kibana/#/discover/Steve-Slow-Train-Analysis-(2080s-and-2083s)?_g=(refreshInterval:(display:Off,section:0,value:0),time:(from:'2016-12-01 10:53:07-700',mode:absolute,to:'2016-12-01 13:12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0" s="52" t="str">
        <f>IF(AA70&lt;IF(AG70="EC",23,5.65),"Y","N")</f>
        <v>Y</v>
      </c>
      <c r="X70" s="177">
        <f>VALUE(LEFT(AD70,4))-VALUE(LEFT(AD69,4))</f>
        <v>0</v>
      </c>
      <c r="Y70" s="67">
        <f>RIGHT(D70,LEN(D70)-4)/10000</f>
        <v>8.6351999999999993</v>
      </c>
      <c r="Z70" s="67">
        <f>RIGHT(H70,LEN(H70)-4)/10000</f>
        <v>0.11840000000000001</v>
      </c>
      <c r="AA70" s="67">
        <f>ABS(Z70-Y70)</f>
        <v>8.5167999999999999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>IF(LEN(A70)=6,"0"&amp;A70,A70)</f>
        <v>0156-01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s3://rtdc.mdm.uploadarchive.raw/RTDC4028/ "%USERPROFILE%\AppData\Local\Temp\OnboardLogs"\RTDC4028\2016-12-01 --exclude "*" --recursive --include "*20161201*" &amp; "%USERPROFILE%\Documents\GitHub\mrs-test-scripts\Headless Mode &amp; Sideloading\WalkAndUnGZ.bat" "%USERPROFILE%\AppData\Local\Temp\OnboardLogs"\RTDC4028\2016-12-01 &amp; 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/stypes="app*4028*20161201*"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156-01 --locoid 4028 --swversion DE.1.0.8.0 --startMP 204:86352 --initTime 2016-12-01T11:53:07 --startdatetime 2016-12-01T11:54:21 --delay 1 --endMP 204:1184 --enddatetime 2016-12-01T12:12:12 --enforcementcount 0 &gt;&gt;C:\Users\stu\Documents\GitHub\eaglep3-reporting\EC\2016-12-01-refined-times.txt</v>
      </c>
      <c r="AI70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{"issue":{"subject":"","project_id":79,"tracker_id":40,"status_id":1,"priority_id":2,"assigned_to_id":23,"start_date":"2016-12-01","description":"","custom_fields":[{"id":1,"name":"Subdivision","value":"EC"},{"id":4,"name":"Milepost","value":"0.1184"},{"id":17,"name":"Train ID","value":"156-01"},{"id":16,"name":"Locomotive ID","value":"4028"},{"id":130,"name":"Impact","value":""},{"id":150,"name":"Time of Event (Mountain Time)","value":"12:12:12"},{"id":151,"name":"Denver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425</v>
      </c>
      <c r="B71" s="7">
        <v>4031</v>
      </c>
      <c r="C71" s="22" t="s">
        <v>210</v>
      </c>
      <c r="D71" s="22" t="s">
        <v>207</v>
      </c>
      <c r="E71" s="13">
        <v>42705.445277777777</v>
      </c>
      <c r="F71" s="13">
        <v>42705.448078703703</v>
      </c>
      <c r="G71" s="7">
        <v>1</v>
      </c>
      <c r="H71" s="22" t="s">
        <v>338</v>
      </c>
      <c r="I71" s="13">
        <v>42705.47314814815</v>
      </c>
      <c r="J71" s="7">
        <v>1</v>
      </c>
      <c r="K71" s="109" t="str">
        <f>IF(ISEVEN(B71),(B71-1)&amp;"/"&amp;B71,B71&amp;"/"&amp;(B71+1))</f>
        <v>4031/4032</v>
      </c>
      <c r="L71" s="22" t="str">
        <f>VLOOKUP(A71,'Trips&amp;Operators'!$C$1:$G$99999,5,FALSE)</f>
        <v>PERKINS DARREN</v>
      </c>
      <c r="M71" s="6">
        <f>I71-F71</f>
        <v>2.5069444447581191E-2</v>
      </c>
      <c r="N71" s="7">
        <f>24*60*SUM($M71:$M71)</f>
        <v>36.100000004516914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https://search-rtdc-monitor-bjffxe2xuh6vdkpspy63sjmuny.us-east-1.es.amazonaws.com/_plugin/kibana/#/discover/Steve-Slow-Train-Analysis-(2080s-and-2083s)?_g=(refreshInterval:(display:Off,section:0,value:0),time:(from:'2016-12-01 09:41:12-700',mode:absolute,to:'2016-12-01 12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1" s="52" t="str">
        <f>IF(AA71&lt;IF(AG71="EC",23,5.65),"Y","N")</f>
        <v>N</v>
      </c>
      <c r="X71" s="177">
        <f>VALUE(LEFT(AD71,4))-VALUE(LEFT(AD70,4))</f>
        <v>1</v>
      </c>
      <c r="Y71" s="67">
        <f>RIGHT(D71,LEN(D71)-4)/10000</f>
        <v>4.6199999999999998E-2</v>
      </c>
      <c r="Z71" s="67">
        <f>RIGHT(H71,LEN(H71)-4)/10000</f>
        <v>23.331199999999999</v>
      </c>
      <c r="AA71" s="67">
        <f>ABS(Z71-Y71)</f>
        <v>23.285</v>
      </c>
      <c r="AB71" s="64" t="str">
        <f>VLOOKUP(A71,Enforcements!$C$7:$K$20,8,0)</f>
        <v>Speed (6)</v>
      </c>
      <c r="AC71" s="60" t="str">
        <f>VLOOKUP(A71,Enforcements!$C$7:$E$20,3,0)</f>
        <v>PERMANENT SPEED RESTRICTION</v>
      </c>
      <c r="AD71" s="61" t="str">
        <f>IF(LEN(A71)=6,"0"&amp;A71,A71)</f>
        <v>0157-01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/stypes="app*4031*20161201*"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157-01 --locoid 4031 --swversion DE.1.0.8.0 --startMP 204:462 --initTime 2016-12-01T10:41:12 --startdatetime 2016-12-01T10:45:14 --delay 1 --endMP 204:233312 --enddatetime 2016-12-01T11:21:20 --enforcementcount 1 &gt;&gt;C:\Users\stu\Documents\GitHub\eaglep3-reporting\EC\2016-12-01-refined-times.txt</v>
      </c>
      <c r="AI71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{"issue":{"subject":"","project_id":79,"tracker_id":40,"status_id":1,"priority_id":2,"assigned_to_id":23,"start_date":"2016-12-01","description":"","custom_fields":[{"id":1,"name":"Subdivision","value":"EC"},{"id":4,"name":"Milepost","value":"23.3312"},{"id":17,"name":"Train ID","value":"157-01"},{"id":16,"name":"Locomotive ID","value":"4031"},{"id":130,"name":"Impact","value":""},{"id":150,"name":"Time of Event (Mountain Time)","value":"11:21:20"},{"id":151,"name":"Denver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545</v>
      </c>
      <c r="B72" s="7">
        <v>4032</v>
      </c>
      <c r="C72" s="22" t="s">
        <v>210</v>
      </c>
      <c r="D72" s="22" t="s">
        <v>239</v>
      </c>
      <c r="E72" s="13">
        <v>42705.478368055556</v>
      </c>
      <c r="F72" s="13">
        <v>42705.487129629626</v>
      </c>
      <c r="G72" s="7">
        <v>1</v>
      </c>
      <c r="H72" s="22" t="s">
        <v>292</v>
      </c>
      <c r="I72" s="13">
        <v>42705.5159375</v>
      </c>
      <c r="J72" s="7">
        <v>1</v>
      </c>
      <c r="K72" s="109" t="str">
        <f>IF(ISEVEN(B72),(B72-1)&amp;"/"&amp;B72,B72&amp;"/"&amp;(B72+1))</f>
        <v>4031/4032</v>
      </c>
      <c r="L72" s="22" t="str">
        <f>VLOOKUP(A72,'Trips&amp;Operators'!$C$1:$G$99999,5,FALSE)</f>
        <v>PERKINS DARREN</v>
      </c>
      <c r="M72" s="6">
        <f>I72-F72</f>
        <v>2.8807870374293998E-2</v>
      </c>
      <c r="N72" s="7">
        <f>24*60*SUM($M72:$M72)</f>
        <v>41.483333338983357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https://search-rtdc-monitor-bjffxe2xuh6vdkpspy63sjmuny.us-east-1.es.amazonaws.com/_plugin/kibana/#/discover/Steve-Slow-Train-Analysis-(2080s-and-2083s)?_g=(refreshInterval:(display:Off,section:0,value:0),time:(from:'2016-12-01 10:28:51-700',mode:absolute,to:'2016-12-01 13:22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2" s="52" t="str">
        <f>IF(AA72&lt;IF(AG72="EC",23,5.65),"Y","N")</f>
        <v>N</v>
      </c>
      <c r="X72" s="177">
        <f>VALUE(LEFT(AD72,4))-VALUE(LEFT(AD71,4))</f>
        <v>1</v>
      </c>
      <c r="Y72" s="67">
        <f>RIGHT(D72,LEN(D72)-4)/10000</f>
        <v>23.299800000000001</v>
      </c>
      <c r="Z72" s="67">
        <f>RIGHT(H72,LEN(H72)-4)/10000</f>
        <v>1.6E-2</v>
      </c>
      <c r="AA72" s="67">
        <f>ABS(Z72-Y72)</f>
        <v>23.283800000000003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>IF(LEN(A72)=6,"0"&amp;A72,A72)</f>
        <v>0158-01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/stypes="app*4032*20161201*"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158-01 --locoid 4032 --swversion DE.1.0.8.0 --startMP 204:232998 --initTime 2016-12-01T11:28:51 --startdatetime 2016-12-01T11:41:28 --delay 1 --endMP 204:160 --enddatetime 2016-12-01T12:22:57 --enforcementcount 1 &gt;&gt;C:\Users\stu\Documents\GitHub\eaglep3-reporting\EC\2016-12-01-refined-times.txt</v>
      </c>
      <c r="AI72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{"issue":{"subject":"","project_id":79,"tracker_id":40,"status_id":1,"priority_id":2,"assigned_to_id":23,"start_date":"2016-12-01","description":"","custom_fields":[{"id":1,"name":"Subdivision","value":"EC"},{"id":4,"name":"Milepost","value":"0.016"},{"id":17,"name":"Train ID","value":"158-01"},{"id":16,"name":"Locomotive ID","value":"4032"},{"id":130,"name":"Impact","value":""},{"id":150,"name":"Time of Event (Mountain Time)","value":"12:22:57"},{"id":151,"name":"Denver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537</v>
      </c>
      <c r="B73" s="7">
        <v>4009</v>
      </c>
      <c r="C73" s="22" t="s">
        <v>210</v>
      </c>
      <c r="D73" s="22" t="s">
        <v>687</v>
      </c>
      <c r="E73" s="13">
        <v>42705.454074074078</v>
      </c>
      <c r="F73" s="13">
        <v>42705.458506944444</v>
      </c>
      <c r="G73" s="7">
        <v>1</v>
      </c>
      <c r="H73" s="22" t="s">
        <v>368</v>
      </c>
      <c r="I73" s="13">
        <v>42705.48300925926</v>
      </c>
      <c r="J73" s="7">
        <v>1</v>
      </c>
      <c r="K73" s="109" t="str">
        <f>IF(ISEVEN(B73),(B73-1)&amp;"/"&amp;B73,B73&amp;"/"&amp;(B73+1))</f>
        <v>4009/4010</v>
      </c>
      <c r="L73" s="22" t="str">
        <f>VLOOKUP(A73,'Trips&amp;Operators'!$C$1:$G$99999,5,FALSE)</f>
        <v>BONDS REYNALDO</v>
      </c>
      <c r="M73" s="6">
        <f>I73-F73</f>
        <v>2.4502314816345461E-2</v>
      </c>
      <c r="N73" s="7">
        <f>24*60*SUM($M73:$M73)</f>
        <v>35.283333335537463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https://search-rtdc-monitor-bjffxe2xuh6vdkpspy63sjmuny.us-east-1.es.amazonaws.com/_plugin/kibana/#/discover/Steve-Slow-Train-Analysis-(2080s-and-2083s)?_g=(refreshInterval:(display:Off,section:0,value:0),time:(from:'2016-12-01 09:53:52-700',mode:absolute,to:'2016-12-01 12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3" s="52" t="str">
        <f>IF(AA73&lt;IF(AG73="EC",23,5.65),"Y","N")</f>
        <v>N</v>
      </c>
      <c r="X73" s="177">
        <f>VALUE(LEFT(AD73,4))-VALUE(LEFT(AD72,4))</f>
        <v>1</v>
      </c>
      <c r="Y73" s="67">
        <f>RIGHT(D73,LEN(D73)-4)/10000</f>
        <v>4.8899999999999999E-2</v>
      </c>
      <c r="Z73" s="67">
        <f>RIGHT(H73,LEN(H73)-4)/10000</f>
        <v>23.329899999999999</v>
      </c>
      <c r="AA73" s="67">
        <f>ABS(Z73-Y73)</f>
        <v>23.280999999999999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>IF(LEN(A73)=6,"0"&amp;A73,A73)</f>
        <v>0159-01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/stypes="app*4009*20161201*" /stext=" 18:.+((SYSTEM_STATE.+slice.+state.+changed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159-01 --locoid 4009 --swversion DE.1.0.8.0 --startMP 204:489 --initTime 2016-12-01T10:53:52 --startdatetime 2016-12-01T11:00:15 --delay 1 --endMP 204:233299 --enddatetime 2016-12-01T11:35:32 --enforcementcount 1 &gt;&gt;C:\Users\stu\Documents\GitHub\eaglep3-reporting\EC\2016-12-01-refined-times.txt</v>
      </c>
      <c r="AI73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{"issue":{"subject":"","project_id":79,"tracker_id":40,"status_id":1,"priority_id":2,"assigned_to_id":23,"start_date":"2016-12-01","description":"","custom_fields":[{"id":1,"name":"Subdivision","value":"EC"},{"id":4,"name":"Milepost","value":"23.3299"},{"id":17,"name":"Train ID","value":"159-01"},{"id":16,"name":"Locomotive ID","value":"4009"},{"id":130,"name":"Impact","value":""},{"id":150,"name":"Time of Event (Mountain Time)","value":"11:35:32"},{"id":151,"name":"Denver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428</v>
      </c>
      <c r="B74" s="7">
        <v>4010</v>
      </c>
      <c r="C74" s="22" t="s">
        <v>210</v>
      </c>
      <c r="D74" s="22" t="s">
        <v>293</v>
      </c>
      <c r="E74" s="13">
        <v>42705.491898148146</v>
      </c>
      <c r="F74" s="13">
        <v>42705.497581018521</v>
      </c>
      <c r="G74" s="7">
        <v>1</v>
      </c>
      <c r="H74" s="22" t="s">
        <v>230</v>
      </c>
      <c r="I74" s="13">
        <v>42705.525995370372</v>
      </c>
      <c r="J74" s="7">
        <v>1</v>
      </c>
      <c r="K74" s="109" t="str">
        <f>IF(ISEVEN(B74),(B74-1)&amp;"/"&amp;B74,B74&amp;"/"&amp;(B74+1))</f>
        <v>4009/4010</v>
      </c>
      <c r="L74" s="22" t="str">
        <f>VLOOKUP(A74,'Trips&amp;Operators'!$C$1:$G$99999,5,FALSE)</f>
        <v>BONDS REYNALDO</v>
      </c>
      <c r="M74" s="6">
        <f>I74-F74</f>
        <v>2.8414351851097308E-2</v>
      </c>
      <c r="N74" s="7">
        <f>24*60*SUM($M74:$M74)</f>
        <v>40.916666665580124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https://search-rtdc-monitor-bjffxe2xuh6vdkpspy63sjmuny.us-east-1.es.amazonaws.com/_plugin/kibana/#/discover/Steve-Slow-Train-Analysis-(2080s-and-2083s)?_g=(refreshInterval:(display:Off,section:0,value:0),time:(from:'2016-12-01 10:48:20-700',mode:absolute,to:'2016-12-01 13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4" s="52" t="str">
        <f>IF(AA74&lt;IF(AG74="EC",23,5.65),"Y","N")</f>
        <v>N</v>
      </c>
      <c r="X74" s="177">
        <f>VALUE(LEFT(AD74,4))-VALUE(LEFT(AD73,4))</f>
        <v>1</v>
      </c>
      <c r="Y74" s="67">
        <f>RIGHT(D74,LEN(D74)-4)/10000</f>
        <v>23.298200000000001</v>
      </c>
      <c r="Z74" s="67">
        <f>RIGHT(H74,LEN(H74)-4)/10000</f>
        <v>1.54E-2</v>
      </c>
      <c r="AA74" s="67">
        <f>ABS(Z74-Y74)</f>
        <v>23.282800000000002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>IF(LEN(A74)=6,"0"&amp;A74,A74)</f>
        <v>0160-01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/stypes="app*4010*20161201*"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160-01 --locoid 4010 --swversion DE.1.0.8.0 --startMP 204:232982 --initTime 2016-12-01T11:48:20 --startdatetime 2016-12-01T11:56:31 --delay 1 --endMP 204:154 --enddatetime 2016-12-01T12:37:26 --enforcementcount 1 &gt;&gt;C:\Users\stu\Documents\GitHub\eaglep3-reporting\EC\2016-12-01-refined-times.txt</v>
      </c>
      <c r="AI74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{"issue":{"subject":"","project_id":79,"tracker_id":40,"status_id":1,"priority_id":2,"assigned_to_id":23,"start_date":"2016-12-01","description":"","custom_fields":[{"id":1,"name":"Subdivision","value":"EC"},{"id":4,"name":"Milepost","value":"0.0154"},{"id":17,"name":"Train ID","value":"160-01"},{"id":16,"name":"Locomotive ID","value":"4010"},{"id":130,"name":"Impact","value":""},{"id":150,"name":"Time of Event (Mountain Time)","value":"12:37:26"},{"id":151,"name":"Denver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541</v>
      </c>
      <c r="B75" s="7">
        <v>4046</v>
      </c>
      <c r="C75" s="22" t="s">
        <v>210</v>
      </c>
      <c r="D75" s="22" t="s">
        <v>247</v>
      </c>
      <c r="E75" s="13">
        <v>42705.463020833333</v>
      </c>
      <c r="F75" s="13">
        <v>42705.468946759262</v>
      </c>
      <c r="G75" s="7">
        <v>1</v>
      </c>
      <c r="H75" s="22" t="s">
        <v>688</v>
      </c>
      <c r="I75" s="13">
        <v>42705.494733796295</v>
      </c>
      <c r="J75" s="7">
        <v>1</v>
      </c>
      <c r="K75" s="109" t="str">
        <f>IF(ISEVEN(B75),(B75-1)&amp;"/"&amp;B75,B75&amp;"/"&amp;(B75+1))</f>
        <v>4045/4046</v>
      </c>
      <c r="L75" s="22" t="str">
        <f>VLOOKUP(A75,'Trips&amp;Operators'!$C$1:$G$99999,5,FALSE)</f>
        <v>SHOOK JOHN</v>
      </c>
      <c r="M75" s="6">
        <f>I75-F75</f>
        <v>2.5787037033296656E-2</v>
      </c>
      <c r="N75" s="7">
        <f>24*60*SUM($M75:$M75)</f>
        <v>37.133333327947184</v>
      </c>
      <c r="O75" s="7"/>
      <c r="P75" s="7"/>
      <c r="Q75" s="23"/>
      <c r="R75" s="23"/>
      <c r="S75" s="35">
        <f>SUM(U75:U75)/IF(AG75="EC",12,1)</f>
        <v>1</v>
      </c>
      <c r="T75" s="50" t="str">
        <f>IF(ISEVEN(LEFT(AD75,4)),"Southbound","NorthBound")</f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https://search-rtdc-monitor-bjffxe2xuh6vdkpspy63sjmuny.us-east-1.es.amazonaws.com/_plugin/kibana/#/discover/Steve-Slow-Train-Analysis-(2080s-and-2083s)?_g=(refreshInterval:(display:Off,section:0,value:0),time:(from:'2016-12-01 10:06:45-700',mode:absolute,to:'2016-12-01 12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5" s="52" t="str">
        <f>IF(AA75&lt;IF(AG75="EC",23,5.65),"Y","N")</f>
        <v>N</v>
      </c>
      <c r="X75" s="177">
        <f>VALUE(LEFT(AD75,4))-VALUE(LEFT(AD74,4))</f>
        <v>1</v>
      </c>
      <c r="Y75" s="67">
        <f>RIGHT(D75,LEN(D75)-4)/10000</f>
        <v>4.4200000000000003E-2</v>
      </c>
      <c r="Z75" s="67">
        <f>RIGHT(H75,LEN(H75)-4)/10000</f>
        <v>23.336600000000001</v>
      </c>
      <c r="AA75" s="67">
        <f>ABS(Z75-Y75)</f>
        <v>23.292400000000001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>IF(LEN(A75)=6,"0"&amp;A75,A75)</f>
        <v>0161-01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 &amp; aws s3 cp s3://rtdc.mdm.uploadarchive.raw/RTDC4046/ "%USERPROFILE%\AppData\Local\Temp\OnboardLogs"\RTDC4046\2016-12-02 --exclude "*" --recursive --include "*20161202*" &amp; "%USERPROFILE%\Documents\GitHub\mrs-test-scripts\Headless Mode &amp; Sideloading\WalkAndUnGZ.bat" "%USERPROFILE%\AppData\Local\Temp\OnboardLogs"\RTDC4046\2016-12-02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/stypes="app*4046*20161201*" /stext=" 18:.+((SYSTEM_STATE.+slice.+state.+changed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161-01 --locoid 4046 --swversion DE.1.0.8.0 --startMP 204:442 --initTime 2016-12-01T11:06:45 --startdatetime 2016-12-01T11:15:17 --delay 1 --endMP 204:233366 --enddatetime 2016-12-01T11:52:25 --enforcementcount 1 &gt;&gt;C:\Users\stu\Documents\GitHub\eaglep3-reporting\EC\2016-12-01-refined-times.txt</v>
      </c>
      <c r="AI75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{"issue":{"subject":"","project_id":79,"tracker_id":40,"status_id":1,"priority_id":2,"assigned_to_id":23,"start_date":"2016-12-01","description":"","custom_fields":[{"id":1,"name":"Subdivision","value":"EC"},{"id":4,"name":"Milepost","value":"23.3366"},{"id":17,"name":"Train ID","value":"161-01"},{"id":16,"name":"Locomotive ID","value":"4046"},{"id":130,"name":"Impact","value":""},{"id":150,"name":"Time of Event (Mountain Time)","value":"11:52:25"},{"id":151,"name":"Denver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553</v>
      </c>
      <c r="B76" s="7">
        <v>4045</v>
      </c>
      <c r="C76" s="22" t="s">
        <v>210</v>
      </c>
      <c r="D76" s="22" t="s">
        <v>689</v>
      </c>
      <c r="E76" s="13">
        <v>42705.500567129631</v>
      </c>
      <c r="F76" s="13">
        <v>42705.507847222223</v>
      </c>
      <c r="G76" s="7">
        <v>1</v>
      </c>
      <c r="H76" s="22" t="s">
        <v>233</v>
      </c>
      <c r="I76" s="13">
        <v>42705.534467592595</v>
      </c>
      <c r="J76" s="7">
        <v>1</v>
      </c>
      <c r="K76" s="109" t="str">
        <f>IF(ISEVEN(B76),(B76-1)&amp;"/"&amp;B76,B76&amp;"/"&amp;(B76+1))</f>
        <v>4045/4046</v>
      </c>
      <c r="L76" s="22" t="str">
        <f>VLOOKUP(A76,'Trips&amp;Operators'!$C$1:$G$99999,5,FALSE)</f>
        <v>SHOOK JOHN</v>
      </c>
      <c r="M76" s="6">
        <f>I76-F76</f>
        <v>2.662037037225673E-2</v>
      </c>
      <c r="N76" s="7">
        <f>24*60*SUM($M76:$M76)</f>
        <v>38.333333336049691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https://search-rtdc-monitor-bjffxe2xuh6vdkpspy63sjmuny.us-east-1.es.amazonaws.com/_plugin/kibana/#/discover/Steve-Slow-Train-Analysis-(2080s-and-2083s)?_g=(refreshInterval:(display:Off,section:0,value:0),time:(from:'2016-12-01 11:00:49-700',mode:absolute,to:'2016-12-01 13:49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6" s="52" t="str">
        <f>IF(AA76&lt;IF(AG76="EC",23,5.65),"Y","N")</f>
        <v>N</v>
      </c>
      <c r="X76" s="177">
        <f>VALUE(LEFT(AD76,4))-VALUE(LEFT(AD75,4))</f>
        <v>1</v>
      </c>
      <c r="Y76" s="67">
        <f>RIGHT(D76,LEN(D76)-4)/10000</f>
        <v>23.303000000000001</v>
      </c>
      <c r="Z76" s="67">
        <f>RIGHT(H76,LEN(H76)-4)/10000</f>
        <v>1.41E-2</v>
      </c>
      <c r="AA76" s="67">
        <f>ABS(Z76-Y76)</f>
        <v>23.288900000000002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>IF(LEN(A76)=6,"0"&amp;A76,A76)</f>
        <v>0162-01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 &amp; aws s3 cp s3://rtdc.mdm.uploadarchive.raw/RTDC4045/ "%USERPROFILE%\AppData\Local\Temp\OnboardLogs"\RTDC4045\2016-12-02 --exclude "*" --recursive --include "*20161202*" &amp; "%USERPROFILE%\Documents\GitHub\mrs-test-scripts\Headless Mode &amp; Sideloading\WalkAndUnGZ.bat" "%USERPROFILE%\AppData\Local\Temp\OnboardLogs"\RTDC4045\2016-12-02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/stypes="app*4045*20161201*"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si="2"/>
        <v>"%USERPROFILE%\Documents\GitHub\eaglep3\Utilities\RefineRTDCRunTimes.py" --tripid 162-01 --locoid 4045 --swversion DE.1.0.8.0 --startMP 204:233030 --initTime 2016-12-01T12:00:49 --startdatetime 2016-12-01T12:11:18 --delay 1 --endMP 204:141 --enddatetime 2016-12-01T12:49:38 --enforcementcount 1 &gt;&gt;C:\Users\stu\Documents\GitHub\eaglep3-reporting\EC\2016-12-01-refined-times.txt</v>
      </c>
      <c r="AI76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{"issue":{"subject":"","project_id":79,"tracker_id":40,"status_id":1,"priority_id":2,"assigned_to_id":23,"start_date":"2016-12-01","description":"","custom_fields":[{"id":1,"name":"Subdivision","value":"EC"},{"id":4,"name":"Milepost","value":"0.0141"},{"id":17,"name":"Train ID","value":"162-01"},{"id":16,"name":"Locomotive ID","value":"4045"},{"id":130,"name":"Impact","value":""},{"id":150,"name":"Time of Event (Mountain Time)","value":"12:49:38"},{"id":151,"name":"Denver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426</v>
      </c>
      <c r="B77" s="7">
        <v>4029</v>
      </c>
      <c r="C77" s="22" t="s">
        <v>210</v>
      </c>
      <c r="D77" s="22" t="s">
        <v>296</v>
      </c>
      <c r="E77" s="13">
        <v>42705.475277777776</v>
      </c>
      <c r="F77" s="13">
        <v>42705.479502314818</v>
      </c>
      <c r="G77" s="7">
        <v>5</v>
      </c>
      <c r="H77" s="22" t="s">
        <v>690</v>
      </c>
      <c r="I77" s="13">
        <v>42705.507662037038</v>
      </c>
      <c r="J77" s="7">
        <v>1</v>
      </c>
      <c r="K77" s="109" t="str">
        <f>IF(ISEVEN(B77),(B77-1)&amp;"/"&amp;B77,B77&amp;"/"&amp;(B77+1))</f>
        <v>4029/4030</v>
      </c>
      <c r="L77" s="22" t="str">
        <f>VLOOKUP(A77,'Trips&amp;Operators'!$C$1:$G$99999,5,FALSE)</f>
        <v>MOSES BRADLEY</v>
      </c>
      <c r="M77" s="6">
        <f>I77-F77</f>
        <v>2.8159722220152617E-2</v>
      </c>
      <c r="N77" s="7">
        <f>24*60*SUM($M77:$M77)</f>
        <v>40.549999997019768</v>
      </c>
      <c r="O77" s="7"/>
      <c r="P77" s="7"/>
      <c r="Q77" s="23"/>
      <c r="R77" s="23"/>
      <c r="S77" s="35">
        <f>SUM(U77:U77)/IF(AG77="EC",12,1)</f>
        <v>1</v>
      </c>
      <c r="T77" s="50" t="str">
        <f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https://search-rtdc-monitor-bjffxe2xuh6vdkpspy63sjmuny.us-east-1.es.amazonaws.com/_plugin/kibana/#/discover/Steve-Slow-Train-Analysis-(2080s-and-2083s)?_g=(refreshInterval:(display:Off,section:0,value:0),time:(from:'2016-12-01 10:24:24-700',mode:absolute,to:'2016-12-01 13:11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7" s="52" t="str">
        <f>IF(AA77&lt;IF(AG77="EC",23,5.65),"Y","N")</f>
        <v>N</v>
      </c>
      <c r="X77" s="177">
        <f>VALUE(LEFT(AD77,4))-VALUE(LEFT(AD76,4))</f>
        <v>1</v>
      </c>
      <c r="Y77" s="67">
        <f>RIGHT(D77,LEN(D77)-4)/10000</f>
        <v>4.7699999999999999E-2</v>
      </c>
      <c r="Z77" s="67">
        <f>RIGHT(H77,LEN(H77)-4)/10000</f>
        <v>23.333200000000001</v>
      </c>
      <c r="AA77" s="67">
        <f>ABS(Z77-Y77)</f>
        <v>23.285500000000003</v>
      </c>
      <c r="AB77" s="64" t="str">
        <f>VLOOKUP(A77,Enforcements!$C$7:$K$20,8,0)</f>
        <v>Speed (6)</v>
      </c>
      <c r="AC77" s="60" t="str">
        <f>VLOOKUP(A77,Enforcements!$C$7:$E$20,3,0)</f>
        <v>PERMANENT SPEED RESTRICTION</v>
      </c>
      <c r="AD77" s="61" t="str">
        <f>IF(LEN(A77)=6,"0"&amp;A77,A77)</f>
        <v>0163-01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/stypes="app*4029*20161201*" /stext=" 19:.+((SYSTEM_STATE.+slice.+state.+changed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2"/>
        <v>"%USERPROFILE%\Documents\GitHub\eaglep3\Utilities\RefineRTDCRunTimes.py" --tripid 163-01 --locoid 4029 --swversion DE.1.0.8.0 --startMP 204:477 --initTime 2016-12-01T11:24:24 --startdatetime 2016-12-01T11:30:29 --delay 5 --endMP 204:233332 --enddatetime 2016-12-01T12:11:02 --enforcementcount 1 &gt;&gt;C:\Users\stu\Documents\GitHub\eaglep3-reporting\EC\2016-12-01-refined-times.txt</v>
      </c>
      <c r="AI77" s="119" t="str">
        <f t="shared" si="3"/>
        <v>echo {"issue":{"subject":"","project_id":79,"tracker_id":40,"status_id":1,"priority_id":2,"assigned_to_id":23,"start_date":"2016-12-01","description":"","custom_fields":[{"id":1,"name":"Subdivision","value":"EC"},{"id":4,"name":"Milepost","value":"23.3332"},{"id":17,"name":"Train ID","value":"163-01"},{"id":16,"name":"Locomotive ID","value":"4029"},{"id":130,"name":"Impact","value":""},{"id":150,"name":"Time of Event (Mountain Time)","value":"12:11:02"},{"id":151,"name":"Denver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555</v>
      </c>
      <c r="B78" s="7">
        <v>4030</v>
      </c>
      <c r="C78" s="22" t="s">
        <v>210</v>
      </c>
      <c r="D78" s="22" t="s">
        <v>239</v>
      </c>
      <c r="E78" s="13">
        <v>42705.51353009259</v>
      </c>
      <c r="F78" s="13">
        <v>42705.51866898148</v>
      </c>
      <c r="G78" s="7">
        <v>7</v>
      </c>
      <c r="H78" s="22" t="s">
        <v>212</v>
      </c>
      <c r="I78" s="13">
        <v>42705.54583333333</v>
      </c>
      <c r="J78" s="7">
        <v>1</v>
      </c>
      <c r="K78" s="109" t="str">
        <f>IF(ISEVEN(B78),(B78-1)&amp;"/"&amp;B78,B78&amp;"/"&amp;(B78+1))</f>
        <v>4029/4030</v>
      </c>
      <c r="L78" s="22" t="str">
        <f>VLOOKUP(A78,'Trips&amp;Operators'!$C$1:$G$99999,5,FALSE)</f>
        <v>MOSES BRADLEY</v>
      </c>
      <c r="M78" s="6">
        <f>I78-F78</f>
        <v>2.7164351849933155E-2</v>
      </c>
      <c r="N78" s="7">
        <f>24*60*SUM($M78:$M78)</f>
        <v>39.116666663903743</v>
      </c>
      <c r="O78" s="7"/>
      <c r="P78" s="7"/>
      <c r="Q78" s="23"/>
      <c r="R78" s="23"/>
      <c r="S78" s="35">
        <f>SUM(U78:U78)/IF(AG78="EC",12,1)</f>
        <v>1</v>
      </c>
      <c r="T78" s="50" t="str">
        <f>IF(ISEVEN(LEFT(AD78,4)),"Southbound","NorthBound")</f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https://search-rtdc-monitor-bjffxe2xuh6vdkpspy63sjmuny.us-east-1.es.amazonaws.com/_plugin/kibana/#/discover/Steve-Slow-Train-Analysis-(2080s-and-2083s)?_g=(refreshInterval:(display:Off,section:0,value:0),time:(from:'2016-12-01 11:19:29-700',mode:absolute,to:'2016-12-01 14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8" s="52" t="str">
        <f>IF(AA78&lt;IF(AG78="EC",23,5.65),"Y","N")</f>
        <v>N</v>
      </c>
      <c r="X78" s="177">
        <f>VALUE(LEFT(AD78,4))-VALUE(LEFT(AD77,4))</f>
        <v>1</v>
      </c>
      <c r="Y78" s="67">
        <f>RIGHT(D78,LEN(D78)-4)/10000</f>
        <v>23.299800000000001</v>
      </c>
      <c r="Z78" s="67">
        <f>RIGHT(H78,LEN(H78)-4)/10000</f>
        <v>1.5800000000000002E-2</v>
      </c>
      <c r="AA78" s="67">
        <f>ABS(Z78-Y78)</f>
        <v>23.284000000000002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>IF(LEN(A78)=6,"0"&amp;A78,A78)</f>
        <v>0164-01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/stypes="app*4030*20161201*" /stext=" 20:.+((SYSTEM_STATE.+slice.+state.+changed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ref="AH78:AH141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164-01 --locoid 4030 --swversion DE.1.0.8.0 --startMP 204:232998 --initTime 2016-12-01T12:19:29 --startdatetime 2016-12-01T12:26:53 --delay 7 --endMP 204:158 --enddatetime 2016-12-01T13:06:00 --enforcementcount 1 &gt;&gt;C:\Users\stu\Documents\GitHub\eaglep3-reporting\EC\2016-12-01-refined-times.txt</v>
      </c>
      <c r="AI78" s="119" t="str">
        <f t="shared" ref="AI78:AI141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{"issue":{"subject":"","project_id":79,"tracker_id":40,"status_id":1,"priority_id":2,"assigned_to_id":23,"start_date":"2016-12-01","description":"","custom_fields":[{"id":1,"name":"Subdivision","value":"EC"},{"id":4,"name":"Milepost","value":"0.0158"},{"id":17,"name":"Train ID","value":"164-01"},{"id":16,"name":"Locomotive ID","value":"4030"},{"id":130,"name":"Impact","value":""},{"id":150,"name":"Time of Event (Mountain Time)","value":"13:06:00"},{"id":151,"name":"Denver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546</v>
      </c>
      <c r="B79" s="7">
        <v>4007</v>
      </c>
      <c r="C79" s="22" t="s">
        <v>210</v>
      </c>
      <c r="D79" s="22" t="s">
        <v>255</v>
      </c>
      <c r="E79" s="13">
        <v>42705.485115740739</v>
      </c>
      <c r="F79" s="13">
        <v>42705.489733796298</v>
      </c>
      <c r="G79" s="7">
        <v>2</v>
      </c>
      <c r="H79" s="22" t="s">
        <v>690</v>
      </c>
      <c r="I79" s="13">
        <v>42705.514999999999</v>
      </c>
      <c r="J79" s="7">
        <v>1</v>
      </c>
      <c r="K79" s="109" t="str">
        <f>IF(ISEVEN(B79),(B79-1)&amp;"/"&amp;B79,B79&amp;"/"&amp;(B79+1))</f>
        <v>4007/4008</v>
      </c>
      <c r="L79" s="22" t="str">
        <f>VLOOKUP(A79,'Trips&amp;Operators'!$C$1:$G$99999,5,FALSE)</f>
        <v>BROWN JACOB</v>
      </c>
      <c r="M79" s="6">
        <f>I79-F79</f>
        <v>2.5266203701903578E-2</v>
      </c>
      <c r="N79" s="7">
        <f>24*60*SUM($M79:$M79)</f>
        <v>36.383333330741152</v>
      </c>
      <c r="O79" s="7"/>
      <c r="P79" s="7"/>
      <c r="Q79" s="23"/>
      <c r="R79" s="23"/>
      <c r="S79" s="35">
        <f>SUM(U79:U79)/IF(AG79="EC",12,1)</f>
        <v>1</v>
      </c>
      <c r="T79" s="50" t="str">
        <f>IF(ISEVEN(LEFT(AD79,4)),"Southbound","NorthBound")</f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https://search-rtdc-monitor-bjffxe2xuh6vdkpspy63sjmuny.us-east-1.es.amazonaws.com/_plugin/kibana/#/discover/Steve-Slow-Train-Analysis-(2080s-and-2083s)?_g=(refreshInterval:(display:Off,section:0,value:0),time:(from:'2016-12-01 10:38:34-700',mode:absolute,to:'2016-12-01 13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9" s="52" t="str">
        <f>IF(AA79&lt;IF(AG79="EC",23,5.65),"Y","N")</f>
        <v>N</v>
      </c>
      <c r="X79" s="177">
        <f>VALUE(LEFT(AD79,4))-VALUE(LEFT(AD78,4))</f>
        <v>1</v>
      </c>
      <c r="Y79" s="67">
        <f>RIGHT(D79,LEN(D79)-4)/10000</f>
        <v>4.7100000000000003E-2</v>
      </c>
      <c r="Z79" s="67">
        <f>RIGHT(H79,LEN(H79)-4)/10000</f>
        <v>23.333200000000001</v>
      </c>
      <c r="AA79" s="67">
        <f>ABS(Z79-Y79)</f>
        <v>23.286100000000001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>IF(LEN(A79)=6,"0"&amp;A79,A79)</f>
        <v>0165-01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/stypes="app*4007*20161201*" /stext=" 19:.+((SYSTEM_STATE.+slice.+state.+changed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4"/>
        <v>"%USERPROFILE%\Documents\GitHub\eaglep3\Utilities\RefineRTDCRunTimes.py" --tripid 165-01 --locoid 4007 --swversion DE.1.0.8.0 --startMP 204:471 --initTime 2016-12-01T11:38:34 --startdatetime 2016-12-01T11:45:13 --delay 2 --endMP 204:233332 --enddatetime 2016-12-01T12:21:36 --enforcementcount 1 &gt;&gt;C:\Users\stu\Documents\GitHub\eaglep3-reporting\EC\2016-12-01-refined-times.txt</v>
      </c>
      <c r="AI79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{"issue":{"subject":"","project_id":79,"tracker_id":40,"status_id":1,"priority_id":2,"assigned_to_id":23,"start_date":"2016-12-01","description":"","custom_fields":[{"id":1,"name":"Subdivision","value":"EC"},{"id":4,"name":"Milepost","value":"23.3332"},{"id":17,"name":"Train ID","value":"165-01"},{"id":16,"name":"Locomotive ID","value":"4007"},{"id":130,"name":"Impact","value":""},{"id":150,"name":"Time of Event (Mountain Time)","value":"12:21:36"},{"id":151,"name":"Denver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557</v>
      </c>
      <c r="B80" s="7">
        <v>4008</v>
      </c>
      <c r="C80" s="22" t="s">
        <v>210</v>
      </c>
      <c r="D80" s="22" t="s">
        <v>691</v>
      </c>
      <c r="E80" s="13">
        <v>42705.519502314812</v>
      </c>
      <c r="F80" s="13">
        <v>42705.528657407405</v>
      </c>
      <c r="G80" s="7">
        <v>1</v>
      </c>
      <c r="H80" s="22" t="s">
        <v>217</v>
      </c>
      <c r="I80" s="13">
        <v>42705.555150462962</v>
      </c>
      <c r="J80" s="7">
        <v>1</v>
      </c>
      <c r="K80" s="109" t="str">
        <f>IF(ISEVEN(B80),(B80-1)&amp;"/"&amp;B80,B80&amp;"/"&amp;(B80+1))</f>
        <v>4007/4008</v>
      </c>
      <c r="L80" s="22" t="str">
        <f>VLOOKUP(A80,'Trips&amp;Operators'!$C$1:$G$99999,5,FALSE)</f>
        <v>BROWN JACOB</v>
      </c>
      <c r="M80" s="6">
        <f>I80-F80</f>
        <v>2.6493055556784384E-2</v>
      </c>
      <c r="N80" s="7">
        <f>24*60*SUM($M80:$M80)</f>
        <v>38.150000001769513</v>
      </c>
      <c r="O80" s="7"/>
      <c r="P80" s="7"/>
      <c r="Q80" s="23"/>
      <c r="R80" s="23"/>
      <c r="S80" s="35">
        <f>SUM(U80:U80)/IF(AG80="EC",12,1)</f>
        <v>1</v>
      </c>
      <c r="T80" s="50" t="str">
        <f>IF(ISEVEN(LEFT(AD80,4)),"Southbound","NorthBound")</f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https://search-rtdc-monitor-bjffxe2xuh6vdkpspy63sjmuny.us-east-1.es.amazonaws.com/_plugin/kibana/#/discover/Steve-Slow-Train-Analysis-(2080s-and-2083s)?_g=(refreshInterval:(display:Off,section:0,value:0),time:(from:'2016-12-01 11:28:05-700',mode:absolute,to:'2016-12-01 14:19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0" s="52" t="str">
        <f>IF(AA80&lt;IF(AG80="EC",23,5.65),"Y","N")</f>
        <v>N</v>
      </c>
      <c r="X80" s="177">
        <f>VALUE(LEFT(AD80,4))-VALUE(LEFT(AD79,4))</f>
        <v>1</v>
      </c>
      <c r="Y80" s="67">
        <f>RIGHT(D80,LEN(D80)-4)/10000</f>
        <v>23.302800000000001</v>
      </c>
      <c r="Z80" s="67">
        <f>RIGHT(H80,LEN(H80)-4)/10000</f>
        <v>1.4999999999999999E-2</v>
      </c>
      <c r="AA80" s="67">
        <f>ABS(Z80-Y80)</f>
        <v>23.287800000000001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>IF(LEN(A80)=6,"0"&amp;A80,A80)</f>
        <v>0166-01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/stypes="app*4008*20161201*" /stext=" 20:.+((SYSTEM_STATE.+slice.+state.+changed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4"/>
        <v>"%USERPROFILE%\Documents\GitHub\eaglep3\Utilities\RefineRTDCRunTimes.py" --tripid 166-01 --locoid 4008 --swversion DE.1.0.8.0 --startMP 204:233028 --initTime 2016-12-01T12:28:05 --startdatetime 2016-12-01T12:41:16 --delay 1 --endMP 204:150 --enddatetime 2016-12-01T13:19:25 --enforcementcount 1 &gt;&gt;C:\Users\stu\Documents\GitHub\eaglep3-reporting\EC\2016-12-01-refined-times.txt</v>
      </c>
      <c r="AI80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{"issue":{"subject":"","project_id":79,"tracker_id":40,"status_id":1,"priority_id":2,"assigned_to_id":23,"start_date":"2016-12-01","description":"","custom_fields":[{"id":1,"name":"Subdivision","value":"EC"},{"id":4,"name":"Milepost","value":"0.015"},{"id":17,"name":"Train ID","value":"166-01"},{"id":16,"name":"Locomotive ID","value":"4008"},{"id":130,"name":"Impact","value":""},{"id":150,"name":"Time of Event (Mountain Time)","value":"13:19:25"},{"id":151,"name":"Denver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549</v>
      </c>
      <c r="B81" s="7">
        <v>4040</v>
      </c>
      <c r="C81" s="22" t="s">
        <v>210</v>
      </c>
      <c r="D81" s="22" t="s">
        <v>247</v>
      </c>
      <c r="E81" s="13">
        <v>42705.498912037037</v>
      </c>
      <c r="F81" s="13">
        <v>42705.500856481478</v>
      </c>
      <c r="G81" s="7">
        <v>1</v>
      </c>
      <c r="H81" s="22" t="s">
        <v>692</v>
      </c>
      <c r="I81" s="13">
        <v>42705.526412037034</v>
      </c>
      <c r="J81" s="7">
        <v>1</v>
      </c>
      <c r="K81" s="109" t="str">
        <f>IF(ISEVEN(B81),(B81-1)&amp;"/"&amp;B81,B81&amp;"/"&amp;(B81+1))</f>
        <v>4039/4040</v>
      </c>
      <c r="L81" s="22" t="str">
        <f>VLOOKUP(A81,'Trips&amp;Operators'!$C$1:$G$99999,5,FALSE)</f>
        <v>HILLS DUSTIN</v>
      </c>
      <c r="M81" s="6">
        <f>I81-F81</f>
        <v>2.5555555555911269E-2</v>
      </c>
      <c r="N81" s="7">
        <f>24*60*SUM($M81:$M81)</f>
        <v>36.800000000512227</v>
      </c>
      <c r="O81" s="7"/>
      <c r="P81" s="7"/>
      <c r="Q81" s="23"/>
      <c r="R81" s="23"/>
      <c r="S81" s="35">
        <f>SUM(U81:U81)/IF(AG81="EC",12,1)</f>
        <v>1</v>
      </c>
      <c r="T81" s="50" t="str">
        <f>IF(ISEVEN(LEFT(AD81,4)),"Southbound","NorthBound")</f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https://search-rtdc-monitor-bjffxe2xuh6vdkpspy63sjmuny.us-east-1.es.amazonaws.com/_plugin/kibana/#/discover/Steve-Slow-Train-Analysis-(2080s-and-2083s)?_g=(refreshInterval:(display:Off,section:0,value:0),time:(from:'2016-12-01 10:58:26-700',mode:absolute,to:'2016-12-01 13:38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1" s="52" t="str">
        <f>IF(AA81&lt;IF(AG81="EC",23,5.65),"Y","N")</f>
        <v>N</v>
      </c>
      <c r="X81" s="177">
        <f>VALUE(LEFT(AD81,4))-VALUE(LEFT(AD80,4))</f>
        <v>1</v>
      </c>
      <c r="Y81" s="67">
        <f>RIGHT(D81,LEN(D81)-4)/10000</f>
        <v>4.4200000000000003E-2</v>
      </c>
      <c r="Z81" s="67">
        <f>RIGHT(H81,LEN(H81)-4)/10000</f>
        <v>23.334099999999999</v>
      </c>
      <c r="AA81" s="67">
        <f>ABS(Z81-Y81)</f>
        <v>23.289899999999999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>IF(LEN(A81)=6,"0"&amp;A81,A81)</f>
        <v>0167-01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/stypes="app*4040*20161201*" /stext=" 19:.+((SYSTEM_STATE.+slice.+state.+changed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4"/>
        <v>"%USERPROFILE%\Documents\GitHub\eaglep3\Utilities\RefineRTDCRunTimes.py" --tripid 167-01 --locoid 4040 --swversion DE.1.0.8.0 --startMP 204:442 --initTime 2016-12-01T11:58:26 --startdatetime 2016-12-01T12:01:14 --delay 1 --endMP 204:233341 --enddatetime 2016-12-01T12:38:02 --enforcementcount 1 &gt;&gt;C:\Users\stu\Documents\GitHub\eaglep3-reporting\EC\2016-12-01-refined-times.txt</v>
      </c>
      <c r="AI81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{"issue":{"subject":"","project_id":79,"tracker_id":40,"status_id":1,"priority_id":2,"assigned_to_id":23,"start_date":"2016-12-01","description":"","custom_fields":[{"id":1,"name":"Subdivision","value":"EC"},{"id":4,"name":"Milepost","value":"23.3341"},{"id":17,"name":"Train ID","value":"167-01"},{"id":16,"name":"Locomotive ID","value":"4040"},{"id":130,"name":"Impact","value":""},{"id":150,"name":"Time of Event (Mountain Time)","value":"12:38:02"},{"id":151,"name":"Denver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562</v>
      </c>
      <c r="B82" s="7">
        <v>4039</v>
      </c>
      <c r="C82" s="22" t="s">
        <v>210</v>
      </c>
      <c r="D82" s="22" t="s">
        <v>693</v>
      </c>
      <c r="E82" s="13">
        <v>42705.532685185186</v>
      </c>
      <c r="F82" s="13">
        <v>42705.539236111108</v>
      </c>
      <c r="G82" s="7">
        <v>1</v>
      </c>
      <c r="H82" s="22" t="s">
        <v>268</v>
      </c>
      <c r="I82" s="13">
        <v>42705.56622685185</v>
      </c>
      <c r="J82" s="7">
        <v>1</v>
      </c>
      <c r="K82" s="109" t="str">
        <f>IF(ISEVEN(B82),(B82-1)&amp;"/"&amp;B82,B82&amp;"/"&amp;(B82+1))</f>
        <v>4039/4040</v>
      </c>
      <c r="L82" s="22" t="str">
        <f>VLOOKUP(A82,'Trips&amp;Operators'!$C$1:$G$99999,5,FALSE)</f>
        <v>ARVIDSON DANIEL</v>
      </c>
      <c r="M82" s="6">
        <f>I82-F82</f>
        <v>2.6990740741894115E-2</v>
      </c>
      <c r="N82" s="7">
        <f>24*60*SUM($M82:$M82)</f>
        <v>38.866666668327525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https://search-rtdc-monitor-bjffxe2xuh6vdkpspy63sjmuny.us-east-1.es.amazonaws.com/_plugin/kibana/#/discover/Steve-Slow-Train-Analysis-(2080s-and-2083s)?_g=(refreshInterval:(display:Off,section:0,value:0),time:(from:'2016-12-01 11:47:04-700',mode:absolute,to:'2016-12-01 14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82" s="52" t="str">
        <f>IF(AA82&lt;IF(AG82="EC",23,5.65),"Y","N")</f>
        <v>N</v>
      </c>
      <c r="X82" s="177">
        <f>VALUE(LEFT(AD82,4))-VALUE(LEFT(AD81,4))</f>
        <v>1</v>
      </c>
      <c r="Y82" s="67">
        <f>RIGHT(D82,LEN(D82)-4)/10000</f>
        <v>23.302299999999999</v>
      </c>
      <c r="Z82" s="67">
        <f>RIGHT(H82,LEN(H82)-4)/10000</f>
        <v>1.4500000000000001E-2</v>
      </c>
      <c r="AA82" s="67">
        <f>ABS(Z82-Y82)</f>
        <v>23.287799999999997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>IF(LEN(A82)=6,"0"&amp;A82,A82)</f>
        <v>0168-01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/stypes="app*4039*20161201*"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4"/>
        <v>"%USERPROFILE%\Documents\GitHub\eaglep3\Utilities\RefineRTDCRunTimes.py" --tripid 168-01 --locoid 4039 --swversion DE.1.0.8.0 --startMP 204:233023 --initTime 2016-12-01T12:47:04 --startdatetime 2016-12-01T12:56:30 --delay 1 --endMP 204:145 --enddatetime 2016-12-01T13:35:22 --enforcementcount 1 &gt;&gt;C:\Users\stu\Documents\GitHub\eaglep3-reporting\EC\2016-12-01-refined-times.txt</v>
      </c>
      <c r="AI82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{"issue":{"subject":"","project_id":79,"tracker_id":40,"status_id":1,"priority_id":2,"assigned_to_id":23,"start_date":"2016-12-01","description":"","custom_fields":[{"id":1,"name":"Subdivision","value":"EC"},{"id":4,"name":"Milepost","value":"0.0145"},{"id":17,"name":"Train ID","value":"168-01"},{"id":16,"name":"Locomotive ID","value":"4039"},{"id":130,"name":"Impact","value":""},{"id":150,"name":"Time of Event (Mountain Time)","value":"13:35:22"},{"id":151,"name":"Denver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554</v>
      </c>
      <c r="B83" s="7">
        <v>4016</v>
      </c>
      <c r="C83" s="22" t="s">
        <v>210</v>
      </c>
      <c r="D83" s="22" t="s">
        <v>344</v>
      </c>
      <c r="E83" s="13">
        <v>42705.505416666667</v>
      </c>
      <c r="F83" s="13">
        <v>42705.510740740741</v>
      </c>
      <c r="G83" s="7">
        <v>1</v>
      </c>
      <c r="H83" s="22" t="s">
        <v>694</v>
      </c>
      <c r="I83" s="13">
        <v>42705.535243055558</v>
      </c>
      <c r="J83" s="7">
        <v>1</v>
      </c>
      <c r="K83" s="109" t="str">
        <f>IF(ISEVEN(B83),(B83-1)&amp;"/"&amp;B83,B83&amp;"/"&amp;(B83+1))</f>
        <v>4015/4016</v>
      </c>
      <c r="L83" s="22" t="str">
        <f>VLOOKUP(A83,'Trips&amp;Operators'!$C$1:$G$99999,5,FALSE)</f>
        <v>ADANE ELSHADAY</v>
      </c>
      <c r="M83" s="6">
        <f>I83-F83</f>
        <v>2.4502314816345461E-2</v>
      </c>
      <c r="N83" s="7">
        <f>24*60*SUM($M83:$M83)</f>
        <v>35.283333335537463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https://search-rtdc-monitor-bjffxe2xuh6vdkpspy63sjmuny.us-east-1.es.amazonaws.com/_plugin/kibana/#/discover/Steve-Slow-Train-Analysis-(2080s-and-2083s)?_g=(refreshInterval:(display:Off,section:0,value:0),time:(from:'2016-12-01 11:07:48-700',mode:absolute,to:'2016-12-01 13:50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3" s="52" t="str">
        <f>IF(AA83&lt;IF(AG83="EC",23,5.65),"Y","N")</f>
        <v>N</v>
      </c>
      <c r="X83" s="177">
        <f>VALUE(LEFT(AD83,4))-VALUE(LEFT(AD82,4))</f>
        <v>1</v>
      </c>
      <c r="Y83" s="67">
        <f>RIGHT(D83,LEN(D83)-4)/10000</f>
        <v>4.3099999999999999E-2</v>
      </c>
      <c r="Z83" s="67">
        <f>RIGHT(H83,LEN(H83)-4)/10000</f>
        <v>23.3323</v>
      </c>
      <c r="AA83" s="67">
        <f>ABS(Z83-Y83)</f>
        <v>23.289200000000001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>IF(LEN(A83)=6,"0"&amp;A83,A83)</f>
        <v>0169-01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s3://rtdc.mdm.uploadarchive.raw/RTDC4016/ "%USERPROFILE%\AppData\Local\Temp\OnboardLogs"\RTDC4016\2016-12-01 --exclude "*" --recursive --include "*20161201*" &amp; "%USERPROFILE%\Documents\GitHub\mrs-test-scripts\Headless Mode &amp; Sideloading\WalkAndUnGZ.bat" "%USERPROFILE%\AppData\Local\Temp\OnboardLogs"\RTDC4016\2016-12-01 &amp; 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/stypes="app*4016*20161201*" /stext=" 19:.+((SYSTEM_STATE.+slice.+state.+changed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4"/>
        <v>"%USERPROFILE%\Documents\GitHub\eaglep3\Utilities\RefineRTDCRunTimes.py" --tripid 169-01 --locoid 4016 --swversion DE.1.0.8.0 --startMP 204:431 --initTime 2016-12-01T12:07:48 --startdatetime 2016-12-01T12:15:28 --delay 1 --endMP 204:233323 --enddatetime 2016-12-01T12:50:45 --enforcementcount 1 &gt;&gt;C:\Users\stu\Documents\GitHub\eaglep3-reporting\EC\2016-12-01-refined-times.txt</v>
      </c>
      <c r="AI83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{"issue":{"subject":"","project_id":79,"tracker_id":40,"status_id":1,"priority_id":2,"assigned_to_id":23,"start_date":"2016-12-01","description":"","custom_fields":[{"id":1,"name":"Subdivision","value":"EC"},{"id":4,"name":"Milepost","value":"23.3323"},{"id":17,"name":"Train ID","value":"169-01"},{"id":16,"name":"Locomotive ID","value":"4016"},{"id":130,"name":"Impact","value":""},{"id":150,"name":"Time of Event (Mountain Time)","value":"12:50:45"},{"id":151,"name":"Denver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565</v>
      </c>
      <c r="B84" s="7">
        <v>4015</v>
      </c>
      <c r="C84" s="22" t="s">
        <v>210</v>
      </c>
      <c r="D84" s="22" t="s">
        <v>242</v>
      </c>
      <c r="E84" s="13">
        <v>42705.53738425926</v>
      </c>
      <c r="F84" s="13">
        <v>42705.549664351849</v>
      </c>
      <c r="G84" s="7">
        <v>1</v>
      </c>
      <c r="H84" s="22" t="s">
        <v>241</v>
      </c>
      <c r="I84" s="13">
        <v>42705.575798611113</v>
      </c>
      <c r="J84" s="7">
        <v>1</v>
      </c>
      <c r="K84" s="109" t="str">
        <f>IF(ISEVEN(B84),(B84-1)&amp;"/"&amp;B84,B84&amp;"/"&amp;(B84+1))</f>
        <v>4015/4016</v>
      </c>
      <c r="L84" s="22" t="str">
        <f>VLOOKUP(A84,'Trips&amp;Operators'!$C$1:$G$99999,5,FALSE)</f>
        <v>ADANE ELSHADAY</v>
      </c>
      <c r="M84" s="6">
        <f>I84-F84</f>
        <v>2.6134259263926651E-2</v>
      </c>
      <c r="N84" s="7">
        <f>24*60*SUM($M84:$M84)</f>
        <v>37.633333340054378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https://search-rtdc-monitor-bjffxe2xuh6vdkpspy63sjmuny.us-east-1.es.amazonaws.com/_plugin/kibana/#/discover/Steve-Slow-Train-Analysis-(2080s-and-2083s)?_g=(refreshInterval:(display:Off,section:0,value:0),time:(from:'2016-12-01 11:53:50-700',mode:absolute,to:'2016-12-01 14:49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4" s="52" t="str">
        <f>IF(AA84&lt;IF(AG84="EC",23,5.65),"Y","N")</f>
        <v>N</v>
      </c>
      <c r="X84" s="177">
        <f>VALUE(LEFT(AD84,4))-VALUE(LEFT(AD83,4))</f>
        <v>1</v>
      </c>
      <c r="Y84" s="67">
        <f>RIGHT(D84,LEN(D84)-4)/10000</f>
        <v>23.299299999999999</v>
      </c>
      <c r="Z84" s="67">
        <f>RIGHT(H84,LEN(H84)-4)/10000</f>
        <v>1.47E-2</v>
      </c>
      <c r="AA84" s="67">
        <f>ABS(Z84-Y84)</f>
        <v>23.284599999999998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>IF(LEN(A84)=6,"0"&amp;A84,A84)</f>
        <v>0170-01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/stypes="app*4015*20161201*"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4"/>
        <v>"%USERPROFILE%\Documents\GitHub\eaglep3\Utilities\RefineRTDCRunTimes.py" --tripid 170-01 --locoid 4015 --swversion DE.1.0.8.0 --startMP 204:232993 --initTime 2016-12-01T12:53:50 --startdatetime 2016-12-01T13:11:31 --delay 1 --endMP 204:147 --enddatetime 2016-12-01T13:49:09 --enforcementcount 1 &gt;&gt;C:\Users\stu\Documents\GitHub\eaglep3-reporting\EC\2016-12-01-refined-times.txt</v>
      </c>
      <c r="AI84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{"issue":{"subject":"","project_id":79,"tracker_id":40,"status_id":1,"priority_id":2,"assigned_to_id":23,"start_date":"2016-12-01","description":"","custom_fields":[{"id":1,"name":"Subdivision","value":"EC"},{"id":4,"name":"Milepost","value":"0.0147"},{"id":17,"name":"Train ID","value":"170-01"},{"id":16,"name":"Locomotive ID","value":"4015"},{"id":130,"name":"Impact","value":""},{"id":150,"name":"Time of Event (Mountain Time)","value":"13:49:09"},{"id":151,"name":"Denver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556</v>
      </c>
      <c r="B85" s="7">
        <v>4031</v>
      </c>
      <c r="C85" s="22" t="s">
        <v>210</v>
      </c>
      <c r="D85" s="22" t="s">
        <v>194</v>
      </c>
      <c r="E85" s="13">
        <v>42705.518101851849</v>
      </c>
      <c r="F85" s="13">
        <v>42705.521180555559</v>
      </c>
      <c r="G85" s="7">
        <v>2</v>
      </c>
      <c r="H85" s="22" t="s">
        <v>305</v>
      </c>
      <c r="I85" s="13">
        <v>42705.546122685184</v>
      </c>
      <c r="J85" s="7">
        <v>1</v>
      </c>
      <c r="K85" s="109" t="str">
        <f>IF(ISEVEN(B85),(B85-1)&amp;"/"&amp;B85,B85&amp;"/"&amp;(B85+1))</f>
        <v>4031/4032</v>
      </c>
      <c r="L85" s="22" t="str">
        <f>VLOOKUP(A85,'Trips&amp;Operators'!$C$1:$G$99999,5,FALSE)</f>
        <v>STORY SAMANTHA</v>
      </c>
      <c r="M85" s="6">
        <f>I85-F85</f>
        <v>2.4942129624832887E-2</v>
      </c>
      <c r="N85" s="7">
        <f>24*60*SUM($M85:$M85)</f>
        <v>35.916666659759358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https://search-rtdc-monitor-bjffxe2xuh6vdkpspy63sjmuny.us-east-1.es.amazonaws.com/_plugin/kibana/#/discover/Steve-Slow-Train-Analysis-(2080s-and-2083s)?_g=(refreshInterval:(display:Off,section:0,value:0),time:(from:'2016-12-01 11:26:04-700',mode:absolute,to:'2016-12-01 14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5" s="52" t="str">
        <f>IF(AA85&lt;IF(AG85="EC",23,5.65),"Y","N")</f>
        <v>N</v>
      </c>
      <c r="X85" s="177">
        <f>VALUE(LEFT(AD85,4))-VALUE(LEFT(AD84,4))</f>
        <v>1</v>
      </c>
      <c r="Y85" s="67">
        <f>RIGHT(D85,LEN(D85)-4)/10000</f>
        <v>4.4699999999999997E-2</v>
      </c>
      <c r="Z85" s="67">
        <f>RIGHT(H85,LEN(H85)-4)/10000</f>
        <v>23.329699999999999</v>
      </c>
      <c r="AA85" s="67">
        <f>ABS(Z85-Y85)</f>
        <v>23.285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>IF(LEN(A85)=6,"0"&amp;A85,A85)</f>
        <v>0171-01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/stypes="app*4031*20161201*"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4"/>
        <v>"%USERPROFILE%\Documents\GitHub\eaglep3\Utilities\RefineRTDCRunTimes.py" --tripid 171-01 --locoid 4031 --swversion DE.1.0.8.0 --startMP 204:447 --initTime 2016-12-01T12:26:04 --startdatetime 2016-12-01T12:30:30 --delay 2 --endMP 204:233297 --enddatetime 2016-12-01T13:06:25 --enforcementcount 1 &gt;&gt;C:\Users\stu\Documents\GitHub\eaglep3-reporting\EC\2016-12-01-refined-times.txt</v>
      </c>
      <c r="AI85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{"issue":{"subject":"","project_id":79,"tracker_id":40,"status_id":1,"priority_id":2,"assigned_to_id":23,"start_date":"2016-12-01","description":"","custom_fields":[{"id":1,"name":"Subdivision","value":"EC"},{"id":4,"name":"Milepost","value":"23.3297"},{"id":17,"name":"Train ID","value":"171-01"},{"id":16,"name":"Locomotive ID","value":"4031"},{"id":130,"name":"Impact","value":""},{"id":150,"name":"Time of Event (Mountain Time)","value":"13:06:25"},{"id":151,"name":"Denver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567</v>
      </c>
      <c r="B86" s="7">
        <v>4032</v>
      </c>
      <c r="C86" s="22" t="s">
        <v>210</v>
      </c>
      <c r="D86" s="22" t="s">
        <v>695</v>
      </c>
      <c r="E86" s="13">
        <v>42705.555636574078</v>
      </c>
      <c r="F86" s="13">
        <v>42705.560196759259</v>
      </c>
      <c r="G86" s="7">
        <v>3</v>
      </c>
      <c r="H86" s="22" t="s">
        <v>303</v>
      </c>
      <c r="I86" s="13">
        <v>42705.587106481478</v>
      </c>
      <c r="J86" s="7">
        <v>1</v>
      </c>
      <c r="K86" s="109" t="str">
        <f>IF(ISEVEN(B86),(B86-1)&amp;"/"&amp;B86,B86&amp;"/"&amp;(B86+1))</f>
        <v>4031/4032</v>
      </c>
      <c r="L86" s="22" t="str">
        <f>VLOOKUP(A86,'Trips&amp;Operators'!$C$1:$G$99999,5,FALSE)</f>
        <v>STORY SAMANTHA</v>
      </c>
      <c r="M86" s="6">
        <f>I86-F86</f>
        <v>2.6909722218988463E-2</v>
      </c>
      <c r="N86" s="7">
        <f>24*60*SUM($M86:$M86)</f>
        <v>38.749999995343387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https://search-rtdc-monitor-bjffxe2xuh6vdkpspy63sjmuny.us-east-1.es.amazonaws.com/_plugin/kibana/#/discover/Steve-Slow-Train-Analysis-(2080s-and-2083s)?_g=(refreshInterval:(display:Off,section:0,value:0),time:(from:'2016-12-01 12:20:07-700',mode:absolute,to:'2016-12-01 15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6" s="52" t="str">
        <f>IF(AA86&lt;IF(AG86="EC",23,5.65),"Y","N")</f>
        <v>N</v>
      </c>
      <c r="X86" s="177">
        <f>VALUE(LEFT(AD86,4))-VALUE(LEFT(AD85,4))</f>
        <v>1</v>
      </c>
      <c r="Y86" s="67">
        <f>RIGHT(D86,LEN(D86)-4)/10000</f>
        <v>23.2973</v>
      </c>
      <c r="Z86" s="67">
        <f>RIGHT(H86,LEN(H86)-4)/10000</f>
        <v>1.6299999999999999E-2</v>
      </c>
      <c r="AA86" s="67">
        <f>ABS(Z86-Y86)</f>
        <v>23.280999999999999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>IF(LEN(A86)=6,"0"&amp;A86,A86)</f>
        <v>0172-01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/stypes="app*4032*20161201*"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4"/>
        <v>"%USERPROFILE%\Documents\GitHub\eaglep3\Utilities\RefineRTDCRunTimes.py" --tripid 172-01 --locoid 4032 --swversion DE.1.0.8.0 --startMP 204:232973 --initTime 2016-12-01T13:20:07 --startdatetime 2016-12-01T13:26:41 --delay 3 --endMP 204:163 --enddatetime 2016-12-01T14:05:26 --enforcementcount 1 &gt;&gt;C:\Users\stu\Documents\GitHub\eaglep3-reporting\EC\2016-12-01-refined-times.txt</v>
      </c>
      <c r="AI86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{"issue":{"subject":"","project_id":79,"tracker_id":40,"status_id":1,"priority_id":2,"assigned_to_id":23,"start_date":"2016-12-01","description":"","custom_fields":[{"id":1,"name":"Subdivision","value":"EC"},{"id":4,"name":"Milepost","value":"0.0163"},{"id":17,"name":"Train ID","value":"172-01"},{"id":16,"name":"Locomotive ID","value":"4032"},{"id":130,"name":"Impact","value":""},{"id":150,"name":"Time of Event (Mountain Time)","value":"14:05:26"},{"id":151,"name":"Denver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561</v>
      </c>
      <c r="B87" s="7">
        <v>4009</v>
      </c>
      <c r="C87" s="22" t="s">
        <v>210</v>
      </c>
      <c r="D87" s="22" t="s">
        <v>294</v>
      </c>
      <c r="E87" s="13">
        <v>42705.527488425927</v>
      </c>
      <c r="F87" s="13">
        <v>42705.531423611108</v>
      </c>
      <c r="G87" s="7">
        <v>1</v>
      </c>
      <c r="H87" s="22" t="s">
        <v>696</v>
      </c>
      <c r="I87" s="13">
        <v>42705.556250000001</v>
      </c>
      <c r="J87" s="7">
        <v>1</v>
      </c>
      <c r="K87" s="109" t="str">
        <f>IF(ISEVEN(B87),(B87-1)&amp;"/"&amp;B87,B87&amp;"/"&amp;(B87+1))</f>
        <v>4009/4010</v>
      </c>
      <c r="L87" s="22" t="str">
        <f>VLOOKUP(A87,'Trips&amp;Operators'!$C$1:$G$99999,5,FALSE)</f>
        <v>BONDS REYNALDO</v>
      </c>
      <c r="M87" s="6">
        <f>I87-F87</f>
        <v>2.4826388893416151E-2</v>
      </c>
      <c r="N87" s="7">
        <f>24*60*SUM($M87:$M87)</f>
        <v>35.750000006519258</v>
      </c>
      <c r="O87" s="7"/>
      <c r="P87" s="7"/>
      <c r="Q87" s="23"/>
      <c r="R87" s="23"/>
      <c r="S87" s="35">
        <f>SUM(U87:U87)/IF(AG87="EC",12,1)</f>
        <v>1</v>
      </c>
      <c r="T87" s="50" t="str">
        <f>IF(ISEVEN(LEFT(AD87,4)),"Southbound","NorthBound")</f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https://search-rtdc-monitor-bjffxe2xuh6vdkpspy63sjmuny.us-east-1.es.amazonaws.com/_plugin/kibana/#/discover/Steve-Slow-Train-Analysis-(2080s-and-2083s)?_g=(refreshInterval:(display:Off,section:0,value:0),time:(from:'2016-12-01 11:39:35-700',mode:absolute,to:'2016-12-01 14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7" s="52" t="str">
        <f>IF(AA87&lt;IF(AG87="EC",23,5.65),"Y","N")</f>
        <v>N</v>
      </c>
      <c r="X87" s="177">
        <f>VALUE(LEFT(AD87,4))-VALUE(LEFT(AD86,4))</f>
        <v>1</v>
      </c>
      <c r="Y87" s="67">
        <f>RIGHT(D87,LEN(D87)-4)/10000</f>
        <v>4.58E-2</v>
      </c>
      <c r="Z87" s="67">
        <f>RIGHT(H87,LEN(H87)-4)/10000</f>
        <v>23.328299999999999</v>
      </c>
      <c r="AA87" s="67">
        <f>ABS(Z87-Y87)</f>
        <v>23.282499999999999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>IF(LEN(A87)=6,"0"&amp;A87,A87)</f>
        <v>0173-01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/stypes="app*4009*20161201*"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4"/>
        <v>"%USERPROFILE%\Documents\GitHub\eaglep3\Utilities\RefineRTDCRunTimes.py" --tripid 173-01 --locoid 4009 --swversion DE.1.0.8.0 --startMP 204:458 --initTime 2016-12-01T12:39:35 --startdatetime 2016-12-01T12:45:15 --delay 1 --endMP 204:233283 --enddatetime 2016-12-01T13:21:00 --enforcementcount 1 &gt;&gt;C:\Users\stu\Documents\GitHub\eaglep3-reporting\EC\2016-12-01-refined-times.txt</v>
      </c>
      <c r="AI87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{"issue":{"subject":"","project_id":79,"tracker_id":40,"status_id":1,"priority_id":2,"assigned_to_id":23,"start_date":"2016-12-01","description":"","custom_fields":[{"id":1,"name":"Subdivision","value":"EC"},{"id":4,"name":"Milepost","value":"23.3283"},{"id":17,"name":"Train ID","value":"173-01"},{"id":16,"name":"Locomotive ID","value":"4009"},{"id":130,"name":"Impact","value":""},{"id":150,"name":"Time of Event (Mountain Time)","value":"13:21:00"},{"id":151,"name":"Denver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569</v>
      </c>
      <c r="B88" s="7">
        <v>4010</v>
      </c>
      <c r="C88" s="22" t="s">
        <v>210</v>
      </c>
      <c r="D88" s="22" t="s">
        <v>697</v>
      </c>
      <c r="E88" s="13">
        <v>42705.564004629632</v>
      </c>
      <c r="F88" s="13">
        <v>42705.570555555554</v>
      </c>
      <c r="G88" s="7">
        <v>1</v>
      </c>
      <c r="H88" s="22" t="s">
        <v>343</v>
      </c>
      <c r="I88" s="13">
        <v>42705.596967592595</v>
      </c>
      <c r="J88" s="7">
        <v>1</v>
      </c>
      <c r="K88" s="109" t="str">
        <f>IF(ISEVEN(B88),(B88-1)&amp;"/"&amp;B88,B88&amp;"/"&amp;(B88+1))</f>
        <v>4009/4010</v>
      </c>
      <c r="L88" s="22" t="str">
        <f>VLOOKUP(A88,'Trips&amp;Operators'!$C$1:$G$99999,5,FALSE)</f>
        <v>BONDS REYNALDO</v>
      </c>
      <c r="M88" s="6">
        <f>I88-F88</f>
        <v>2.641203704115469E-2</v>
      </c>
      <c r="N88" s="7">
        <f>24*60*SUM($M88:$M88)</f>
        <v>38.033333339262754</v>
      </c>
      <c r="O88" s="7"/>
      <c r="P88" s="7"/>
      <c r="Q88" s="23"/>
      <c r="R88" s="23"/>
      <c r="S88" s="35">
        <f>SUM(U88:U88)/IF(AG88="EC",12,1)</f>
        <v>1</v>
      </c>
      <c r="T88" s="50" t="str">
        <f>IF(ISEVEN(LEFT(AD88,4)),"Southbound","NorthBound")</f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https://search-rtdc-monitor-bjffxe2xuh6vdkpspy63sjmuny.us-east-1.es.amazonaws.com/_plugin/kibana/#/discover/Steve-Slow-Train-Analysis-(2080s-and-2083s)?_g=(refreshInterval:(display:Off,section:0,value:0),time:(from:'2016-12-01 12:32:10-700',mode:absolute,to:'2016-12-01 15:19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8" s="52" t="str">
        <f>IF(AA88&lt;IF(AG88="EC",23,5.65),"Y","N")</f>
        <v>N</v>
      </c>
      <c r="X88" s="177">
        <f>VALUE(LEFT(AD88,4))-VALUE(LEFT(AD87,4))</f>
        <v>1</v>
      </c>
      <c r="Y88" s="67">
        <f>RIGHT(D88,LEN(D88)-4)/10000</f>
        <v>23.297599999999999</v>
      </c>
      <c r="Z88" s="67">
        <f>RIGHT(H88,LEN(H88)-4)/10000</f>
        <v>1.6899999999999998E-2</v>
      </c>
      <c r="AA88" s="67">
        <f>ABS(Z88-Y88)</f>
        <v>23.2807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>IF(LEN(A88)=6,"0"&amp;A88,A88)</f>
        <v>0174-01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/stypes="app*4010*20161201*"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4"/>
        <v>"%USERPROFILE%\Documents\GitHub\eaglep3\Utilities\RefineRTDCRunTimes.py" --tripid 174-01 --locoid 4010 --swversion DE.1.0.8.0 --startMP 204:232976 --initTime 2016-12-01T13:32:10 --startdatetime 2016-12-01T13:41:36 --delay 1 --endMP 204:169 --enddatetime 2016-12-01T14:19:38 --enforcementcount 1 &gt;&gt;C:\Users\stu\Documents\GitHub\eaglep3-reporting\EC\2016-12-01-refined-times.txt</v>
      </c>
      <c r="AI88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{"issue":{"subject":"","project_id":79,"tracker_id":40,"status_id":1,"priority_id":2,"assigned_to_id":23,"start_date":"2016-12-01","description":"","custom_fields":[{"id":1,"name":"Subdivision","value":"EC"},{"id":4,"name":"Milepost","value":"0.0169"},{"id":17,"name":"Train ID","value":"174-01"},{"id":16,"name":"Locomotive ID","value":"4010"},{"id":130,"name":"Impact","value":""},{"id":150,"name":"Time of Event (Mountain Time)","value":"14:19:38"},{"id":151,"name":"Denver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564</v>
      </c>
      <c r="B89" s="7">
        <v>4046</v>
      </c>
      <c r="C89" s="22" t="s">
        <v>210</v>
      </c>
      <c r="D89" s="22" t="s">
        <v>271</v>
      </c>
      <c r="E89" s="13">
        <v>42705.536180555559</v>
      </c>
      <c r="F89" s="13">
        <v>42705.541875000003</v>
      </c>
      <c r="G89" s="7">
        <v>1</v>
      </c>
      <c r="H89" s="22" t="s">
        <v>373</v>
      </c>
      <c r="I89" s="13">
        <v>42705.567175925928</v>
      </c>
      <c r="J89" s="7">
        <v>1</v>
      </c>
      <c r="K89" s="109" t="str">
        <f>IF(ISEVEN(B89),(B89-1)&amp;"/"&amp;B89,B89&amp;"/"&amp;(B89+1))</f>
        <v>4045/4046</v>
      </c>
      <c r="L89" s="22" t="str">
        <f>VLOOKUP(A89,'Trips&amp;Operators'!$C$1:$G$99999,5,FALSE)</f>
        <v>SHOOK JOHN</v>
      </c>
      <c r="M89" s="6">
        <f>I89-F89</f>
        <v>2.5300925924966577E-2</v>
      </c>
      <c r="N89" s="7">
        <f>24*60*SUM($M89:$M89)</f>
        <v>36.433333331951872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https://search-rtdc-monitor-bjffxe2xuh6vdkpspy63sjmuny.us-east-1.es.amazonaws.com/_plugin/kibana/#/discover/Steve-Slow-Train-Analysis-(2080s-and-2083s)?_g=(refreshInterval:(display:Off,section:0,value:0),time:(from:'2016-12-01 11:52:06-700',mode:absolute,to:'2016-12-01 14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9" s="52" t="str">
        <f>IF(AA89&lt;IF(AG89="EC",23,5.65),"Y","N")</f>
        <v>N</v>
      </c>
      <c r="X89" s="177">
        <f>VALUE(LEFT(AD89,4))-VALUE(LEFT(AD88,4))</f>
        <v>1</v>
      </c>
      <c r="Y89" s="67">
        <f>RIGHT(D89,LEN(D89)-4)/10000</f>
        <v>4.6699999999999998E-2</v>
      </c>
      <c r="Z89" s="67">
        <f>RIGHT(H89,LEN(H89)-4)/10000</f>
        <v>23.330500000000001</v>
      </c>
      <c r="AA89" s="67">
        <f>ABS(Z89-Y89)</f>
        <v>23.283799999999999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>IF(LEN(A89)=6,"0"&amp;A89,A89)</f>
        <v>0175-01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 &amp; aws s3 cp s3://rtdc.mdm.uploadarchive.raw/RTDC4046/ "%USERPROFILE%\AppData\Local\Temp\OnboardLogs"\RTDC4046\2016-12-02 --exclude "*" --recursive --include "*20161202*" &amp; "%USERPROFILE%\Documents\GitHub\mrs-test-scripts\Headless Mode &amp; Sideloading\WalkAndUnGZ.bat" "%USERPROFILE%\AppData\Local\Temp\OnboardLogs"\RTDC4046\2016-12-02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/stypes="app*4046*20161201*" /stext=" 20:.+((SYSTEM_STATE.+slice.+state.+changed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4"/>
        <v>"%USERPROFILE%\Documents\GitHub\eaglep3\Utilities\RefineRTDCRunTimes.py" --tripid 175-01 --locoid 4046 --swversion DE.1.0.8.0 --startMP 204:467 --initTime 2016-12-01T12:52:06 --startdatetime 2016-12-01T13:00:18 --delay 1 --endMP 204:233305 --enddatetime 2016-12-01T13:36:44 --enforcementcount 1 &gt;&gt;C:\Users\stu\Documents\GitHub\eaglep3-reporting\EC\2016-12-01-refined-times.txt</v>
      </c>
      <c r="AI89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{"issue":{"subject":"","project_id":79,"tracker_id":40,"status_id":1,"priority_id":2,"assigned_to_id":23,"start_date":"2016-12-01","description":"","custom_fields":[{"id":1,"name":"Subdivision","value":"EC"},{"id":4,"name":"Milepost","value":"23.3305"},{"id":17,"name":"Train ID","value":"175-01"},{"id":16,"name":"Locomotive ID","value":"4046"},{"id":130,"name":"Impact","value":""},{"id":150,"name":"Time of Event (Mountain Time)","value":"13:36:44"},{"id":151,"name":"Denver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571</v>
      </c>
      <c r="B90" s="7">
        <v>4045</v>
      </c>
      <c r="C90" s="22" t="s">
        <v>210</v>
      </c>
      <c r="D90" s="22" t="s">
        <v>698</v>
      </c>
      <c r="E90" s="13">
        <v>42705.575358796297</v>
      </c>
      <c r="F90" s="13">
        <v>42705.581030092595</v>
      </c>
      <c r="G90" s="7">
        <v>1</v>
      </c>
      <c r="H90" s="22" t="s">
        <v>193</v>
      </c>
      <c r="I90" s="13">
        <v>42705.608564814815</v>
      </c>
      <c r="J90" s="7">
        <v>1</v>
      </c>
      <c r="K90" s="109" t="str">
        <f>IF(ISEVEN(B90),(B90-1)&amp;"/"&amp;B90,B90&amp;"/"&amp;(B90+1))</f>
        <v>4045/4046</v>
      </c>
      <c r="L90" s="22" t="str">
        <f>VLOOKUP(A90,'Trips&amp;Operators'!$C$1:$G$99999,5,FALSE)</f>
        <v>SHOOK JOHN</v>
      </c>
      <c r="M90" s="6">
        <f>I90-F90</f>
        <v>2.753472221957054E-2</v>
      </c>
      <c r="N90" s="7">
        <f>24*60*SUM($M90:$M90)</f>
        <v>39.649999996181577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https://search-rtdc-monitor-bjffxe2xuh6vdkpspy63sjmuny.us-east-1.es.amazonaws.com/_plugin/kibana/#/discover/Steve-Slow-Train-Analysis-(2080s-and-2083s)?_g=(refreshInterval:(display:Off,section:0,value:0),time:(from:'2016-12-01 12:48:31-700',mode:absolute,to:'2016-12-01 15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0" s="52" t="str">
        <f>IF(AA90&lt;IF(AG90="EC",23,5.65),"Y","N")</f>
        <v>N</v>
      </c>
      <c r="X90" s="177">
        <f>VALUE(LEFT(AD90,4))-VALUE(LEFT(AD89,4))</f>
        <v>1</v>
      </c>
      <c r="Y90" s="67">
        <f>RIGHT(D90,LEN(D90)-4)/10000</f>
        <v>23.304200000000002</v>
      </c>
      <c r="Z90" s="67">
        <f>RIGHT(H90,LEN(H90)-4)/10000</f>
        <v>1.43E-2</v>
      </c>
      <c r="AA90" s="67">
        <f>ABS(Z90-Y90)</f>
        <v>23.289900000000003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>IF(LEN(A90)=6,"0"&amp;A90,A90)</f>
        <v>0176-01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 &amp; aws s3 cp s3://rtdc.mdm.uploadarchive.raw/RTDC4045/ "%USERPROFILE%\AppData\Local\Temp\OnboardLogs"\RTDC4045\2016-12-02 --exclude "*" --recursive --include "*20161202*" &amp; "%USERPROFILE%\Documents\GitHub\mrs-test-scripts\Headless Mode &amp; Sideloading\WalkAndUnGZ.bat" "%USERPROFILE%\AppData\Local\Temp\OnboardLogs"\RTDC4045\2016-12-02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/stypes="app*4045*20161201*"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4"/>
        <v>"%USERPROFILE%\Documents\GitHub\eaglep3\Utilities\RefineRTDCRunTimes.py" --tripid 176-01 --locoid 4045 --swversion DE.1.0.8.0 --startMP 204:233042 --initTime 2016-12-01T13:48:31 --startdatetime 2016-12-01T13:56:41 --delay 1 --endMP 204:143 --enddatetime 2016-12-01T14:36:20 --enforcementcount 1 &gt;&gt;C:\Users\stu\Documents\GitHub\eaglep3-reporting\EC\2016-12-01-refined-times.txt</v>
      </c>
      <c r="AI90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{"issue":{"subject":"","project_id":79,"tracker_id":40,"status_id":1,"priority_id":2,"assigned_to_id":23,"start_date":"2016-12-01","description":"","custom_fields":[{"id":1,"name":"Subdivision","value":"EC"},{"id":4,"name":"Milepost","value":"0.0143"},{"id":17,"name":"Train ID","value":"176-01"},{"id":16,"name":"Locomotive ID","value":"4045"},{"id":130,"name":"Impact","value":""},{"id":150,"name":"Time of Event (Mountain Time)","value":"14:36:20"},{"id":151,"name":"Denver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566</v>
      </c>
      <c r="B91" s="7">
        <v>4029</v>
      </c>
      <c r="C91" s="22" t="s">
        <v>210</v>
      </c>
      <c r="D91" s="22" t="s">
        <v>209</v>
      </c>
      <c r="E91" s="13">
        <v>42705.548414351855</v>
      </c>
      <c r="F91" s="13">
        <v>42705.552361111113</v>
      </c>
      <c r="G91" s="7">
        <v>1</v>
      </c>
      <c r="H91" s="22" t="s">
        <v>699</v>
      </c>
      <c r="I91" s="13">
        <v>42705.577407407407</v>
      </c>
      <c r="J91" s="7">
        <v>1</v>
      </c>
      <c r="K91" s="109" t="str">
        <f>IF(ISEVEN(B91),(B91-1)&amp;"/"&amp;B91,B91&amp;"/"&amp;(B91+1))</f>
        <v>4029/4030</v>
      </c>
      <c r="L91" s="22" t="str">
        <f>VLOOKUP(A91,'Trips&amp;Operators'!$C$1:$G$99999,5,FALSE)</f>
        <v>MOSES BRADLEY</v>
      </c>
      <c r="M91" s="6">
        <f>I91-F91</f>
        <v>2.5046296294021886E-2</v>
      </c>
      <c r="N91" s="7">
        <f>24*60*SUM($M91:$M91)</f>
        <v>36.066666663391516</v>
      </c>
      <c r="O91" s="7"/>
      <c r="P91" s="7"/>
      <c r="Q91" s="23"/>
      <c r="R91" s="23"/>
      <c r="S91" s="35">
        <f>SUM(U91:U91)/IF(AG91="EC",12,1)</f>
        <v>1</v>
      </c>
      <c r="T91" s="50" t="str">
        <f>IF(ISEVEN(LEFT(AD91,4)),"Southbound","NorthBound")</f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https://search-rtdc-monitor-bjffxe2xuh6vdkpspy63sjmuny.us-east-1.es.amazonaws.com/_plugin/kibana/#/discover/Steve-Slow-Train-Analysis-(2080s-and-2083s)?_g=(refreshInterval:(display:Off,section:0,value:0),time:(from:'2016-12-01 12:09:43-700',mode:absolute,to:'2016-12-01 14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1" s="52" t="str">
        <f>IF(AA91&lt;IF(AG91="EC",23,5.65),"Y","N")</f>
        <v>N</v>
      </c>
      <c r="X91" s="177">
        <f>VALUE(LEFT(AD91,4))-VALUE(LEFT(AD90,4))</f>
        <v>1</v>
      </c>
      <c r="Y91" s="67">
        <f>RIGHT(D91,LEN(D91)-4)/10000</f>
        <v>4.6399999999999997E-2</v>
      </c>
      <c r="Z91" s="67">
        <f>RIGHT(H91,LEN(H91)-4)/10000</f>
        <v>23.332699999999999</v>
      </c>
      <c r="AA91" s="67">
        <f>ABS(Z91-Y91)</f>
        <v>23.286300000000001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>IF(LEN(A91)=6,"0"&amp;A91,A91)</f>
        <v>0177-01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/stypes="app*4029*20161201*" /stext=" 20:.+((SYSTEM_STATE.+slice.+state.+changed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4"/>
        <v>"%USERPROFILE%\Documents\GitHub\eaglep3\Utilities\RefineRTDCRunTimes.py" --tripid 177-01 --locoid 4029 --swversion DE.1.0.8.0 --startMP 204:464 --initTime 2016-12-01T13:09:43 --startdatetime 2016-12-01T13:15:24 --delay 1 --endMP 204:233327 --enddatetime 2016-12-01T13:51:28 --enforcementcount 1 &gt;&gt;C:\Users\stu\Documents\GitHub\eaglep3-reporting\EC\2016-12-01-refined-times.txt</v>
      </c>
      <c r="AI91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{"issue":{"subject":"","project_id":79,"tracker_id":40,"status_id":1,"priority_id":2,"assigned_to_id":23,"start_date":"2016-12-01","description":"","custom_fields":[{"id":1,"name":"Subdivision","value":"EC"},{"id":4,"name":"Milepost","value":"23.3327"},{"id":17,"name":"Train ID","value":"177-01"},{"id":16,"name":"Locomotive ID","value":"4029"},{"id":130,"name":"Impact","value":""},{"id":150,"name":"Time of Event (Mountain Time)","value":"13:51:28"},{"id":151,"name":"Denver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572</v>
      </c>
      <c r="B92" s="7">
        <v>4030</v>
      </c>
      <c r="C92" s="22" t="s">
        <v>210</v>
      </c>
      <c r="D92" s="22" t="s">
        <v>377</v>
      </c>
      <c r="E92" s="13">
        <v>42705.587256944447</v>
      </c>
      <c r="F92" s="13">
        <v>42705.591423611113</v>
      </c>
      <c r="G92" s="7">
        <v>1</v>
      </c>
      <c r="H92" s="22" t="s">
        <v>303</v>
      </c>
      <c r="I92" s="13">
        <v>42705.618819444448</v>
      </c>
      <c r="J92" s="7">
        <v>1</v>
      </c>
      <c r="K92" s="109" t="str">
        <f>IF(ISEVEN(B92),(B92-1)&amp;"/"&amp;B92,B92&amp;"/"&amp;(B92+1))</f>
        <v>4029/4030</v>
      </c>
      <c r="L92" s="22" t="str">
        <f>VLOOKUP(A92,'Trips&amp;Operators'!$C$1:$G$99999,5,FALSE)</f>
        <v>MOSES BRADLEY</v>
      </c>
      <c r="M92" s="6">
        <f>I92-F92</f>
        <v>2.7395833334594499E-2</v>
      </c>
      <c r="N92" s="7">
        <f>24*60*SUM($M92:$M92)</f>
        <v>39.450000001816079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https://search-rtdc-monitor-bjffxe2xuh6vdkpspy63sjmuny.us-east-1.es.amazonaws.com/_plugin/kibana/#/discover/Steve-Slow-Train-Analysis-(2080s-and-2083s)?_g=(refreshInterval:(display:Off,section:0,value:0),time:(from:'2016-12-01 13:05:39-700',mode:absolute,to:'2016-12-01 15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2" s="52" t="str">
        <f>IF(AA92&lt;IF(AG92="EC",23,5.65),"Y","N")</f>
        <v>N</v>
      </c>
      <c r="X92" s="177">
        <f>VALUE(LEFT(AD92,4))-VALUE(LEFT(AD91,4))</f>
        <v>1</v>
      </c>
      <c r="Y92" s="67">
        <f>RIGHT(D92,LEN(D92)-4)/10000</f>
        <v>23.301500000000001</v>
      </c>
      <c r="Z92" s="67">
        <f>RIGHT(H92,LEN(H92)-4)/10000</f>
        <v>1.6299999999999999E-2</v>
      </c>
      <c r="AA92" s="67">
        <f>ABS(Z92-Y92)</f>
        <v>23.2852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>IF(LEN(A92)=6,"0"&amp;A92,A92)</f>
        <v>0178-01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/stypes="app*4030*20161201*"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4"/>
        <v>"%USERPROFILE%\Documents\GitHub\eaglep3\Utilities\RefineRTDCRunTimes.py" --tripid 178-01 --locoid 4030 --swversion DE.1.0.8.0 --startMP 204:233015 --initTime 2016-12-01T14:05:39 --startdatetime 2016-12-01T14:11:39 --delay 1 --endMP 204:163 --enddatetime 2016-12-01T14:51:06 --enforcementcount 1 &gt;&gt;C:\Users\stu\Documents\GitHub\eaglep3-reporting\EC\2016-12-01-refined-times.txt</v>
      </c>
      <c r="AI92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{"issue":{"subject":"","project_id":79,"tracker_id":40,"status_id":1,"priority_id":2,"assigned_to_id":23,"start_date":"2016-12-01","description":"","custom_fields":[{"id":1,"name":"Subdivision","value":"EC"},{"id":4,"name":"Milepost","value":"0.0163"},{"id":17,"name":"Train ID","value":"178-01"},{"id":16,"name":"Locomotive ID","value":"4030"},{"id":130,"name":"Impact","value":""},{"id":150,"name":"Time of Event (Mountain Time)","value":"14:51:06"},{"id":151,"name":"Denver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568</v>
      </c>
      <c r="B93" s="7">
        <v>4007</v>
      </c>
      <c r="C93" s="22" t="s">
        <v>210</v>
      </c>
      <c r="D93" s="22" t="s">
        <v>700</v>
      </c>
      <c r="E93" s="13">
        <v>42705.586921296293</v>
      </c>
      <c r="F93" s="13">
        <v>42705.588020833333</v>
      </c>
      <c r="G93" s="7">
        <v>1</v>
      </c>
      <c r="H93" s="22" t="s">
        <v>672</v>
      </c>
      <c r="I93" s="13">
        <v>42705.596319444441</v>
      </c>
      <c r="J93" s="7">
        <v>0</v>
      </c>
      <c r="K93" s="109" t="str">
        <f>IF(ISEVEN(B93),(B93-1)&amp;"/"&amp;B93,B93&amp;"/"&amp;(B93+1))</f>
        <v>4007/4008</v>
      </c>
      <c r="L93" s="22" t="str">
        <f>VLOOKUP(A93,'Trips&amp;Operators'!$C$1:$G$99999,5,FALSE)</f>
        <v>BROWN JACOB</v>
      </c>
      <c r="M93" s="6">
        <f>I93-F93</f>
        <v>8.2986111083300784E-3</v>
      </c>
      <c r="N93" s="7">
        <f>24*60*SUM($M93:$M95)</f>
        <v>40.716666660737246</v>
      </c>
      <c r="O93" s="7"/>
      <c r="P93" s="7"/>
      <c r="Q93" s="23"/>
      <c r="R93" s="23" t="s">
        <v>858</v>
      </c>
      <c r="S93" s="35">
        <f>SUM(U93:U95)/IF(AG93="EC",12,1)</f>
        <v>1</v>
      </c>
      <c r="T93" s="50" t="str">
        <f>IF(ISEVEN(LEFT(AD93,4)),"Southbound","NorthBound")</f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0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https://search-rtdc-monitor-bjffxe2xuh6vdkpspy63sjmuny.us-east-1.es.amazonaws.com/_plugin/kibana/#/discover/Steve-Slow-Train-Analysis-(2080s-and-2083s)?_g=(refreshInterval:(display:Off,section:0,value:0),time:(from:'2016-12-01 13:05:10-700',mode:absolute,to:'2016-12-01 15:18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3" s="52" t="str">
        <f>IF(AA93&lt;IF(AG93="EC",23,5.65),"Y","N")</f>
        <v>Y</v>
      </c>
      <c r="X93" s="177">
        <f>VALUE(LEFT(AD93,4))-VALUE(LEFT(AD92,4))</f>
        <v>1</v>
      </c>
      <c r="Y93" s="67">
        <f>RIGHT(D93,LEN(D93)-4)/10000</f>
        <v>15.430999999999999</v>
      </c>
      <c r="Z93" s="67">
        <f>RIGHT(H93,LEN(H93)-4)/10000</f>
        <v>23.332899999999999</v>
      </c>
      <c r="AA93" s="67">
        <f>ABS(Z93-Y93)</f>
        <v>7.9018999999999995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>IF(LEN(A93)=6,"0"&amp;A93,A93)</f>
        <v>0179-01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/stypes="app*4007*20161201*" /stext=" 21:.+((SYSTEM_STATE.+slice.+state.+changed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4"/>
        <v>"%USERPROFILE%\Documents\GitHub\eaglep3\Utilities\RefineRTDCRunTimes.py" --tripid 179-01 --locoid 4007 --swversion DE.1.0.8.0 --startMP 204:154310 --initTime 2016-12-01T14:05:10 --startdatetime 2016-12-01T14:06:45 --delay 1 --endMP 204:233329 --enddatetime 2016-12-01T14:18:42 --enforcementcount 0 &gt;&gt;C:\Users\stu\Documents\GitHub\eaglep3-reporting\EC\2016-12-01-refined-times.txt</v>
      </c>
      <c r="AI93" s="119" t="str">
        <f t="shared" si="5"/>
        <v>echo {"issue":{"subject":"Overshot 61st platform (also selected wrong track at start of run)","project_id":79,"tracker_id":40,"status_id":1,"priority_id":2,"assigned_to_id":23,"start_date":"2016-12-01","description":"","custom_fields":[{"id":1,"name":"Subdivision","value":"EC"},{"id":4,"name":"Milepost","value":"23.3329"},{"id":17,"name":"Train ID","value":"179-01"},{"id":16,"name":"Locomotive ID","value":"4007"},{"id":130,"name":"Impact","value":""},{"id":150,"name":"Time of Event (Mountain Time)","value":"14:18:42"},{"id":151,"name":"Denver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568</v>
      </c>
      <c r="B94" s="7">
        <v>4007</v>
      </c>
      <c r="C94" s="22" t="s">
        <v>210</v>
      </c>
      <c r="D94" s="22" t="s">
        <v>195</v>
      </c>
      <c r="E94" s="13">
        <v>42705.559328703705</v>
      </c>
      <c r="F94" s="13">
        <v>42705.56082175926</v>
      </c>
      <c r="G94" s="7">
        <v>2</v>
      </c>
      <c r="H94" s="22" t="s">
        <v>701</v>
      </c>
      <c r="I94" s="13">
        <v>42705.56287037037</v>
      </c>
      <c r="J94" s="7">
        <v>0</v>
      </c>
      <c r="K94" s="109" t="str">
        <f>IF(ISEVEN(B94),(B94-1)&amp;"/"&amp;B94,B94&amp;"/"&amp;(B94+1))</f>
        <v>4007/4008</v>
      </c>
      <c r="L94" s="22" t="str">
        <f>VLOOKUP(A94,'Trips&amp;Operators'!$C$1:$G$99999,5,FALSE)</f>
        <v>BROWN JACOB</v>
      </c>
      <c r="M94" s="6">
        <f>I94-F94</f>
        <v>2.0486111097852699E-3</v>
      </c>
      <c r="N94" s="7"/>
      <c r="O94" s="7"/>
      <c r="P94" s="7"/>
      <c r="Q94" s="23"/>
      <c r="R94" s="23"/>
      <c r="S94" s="35"/>
      <c r="T94" s="50" t="str">
        <f>IF(ISEVEN(LEFT(AD94,4)),"Southbound","NorthBound")</f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0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https://search-rtdc-monitor-bjffxe2xuh6vdkpspy63sjmuny.us-east-1.es.amazonaws.com/_plugin/kibana/#/discover/Steve-Slow-Train-Analysis-(2080s-and-2083s)?_g=(refreshInterval:(display:Off,section:0,value:0),time:(from:'2016-12-01 12:25:26-700',mode:absolute,to:'2016-12-01 14:30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4" s="52" t="str">
        <f>IF(AA94&lt;IF(AG94="EC",23,5.65),"Y","N")</f>
        <v>Y</v>
      </c>
      <c r="X94" s="177">
        <f>VALUE(LEFT(AD94,4))-VALUE(LEFT(AD93,4))</f>
        <v>0</v>
      </c>
      <c r="Y94" s="67">
        <f>RIGHT(D94,LEN(D94)-4)/10000</f>
        <v>4.5100000000000001E-2</v>
      </c>
      <c r="Z94" s="67">
        <f>RIGHT(H94,LEN(H94)-4)/10000</f>
        <v>9.0300000000000005E-2</v>
      </c>
      <c r="AA94" s="67">
        <f>ABS(Z94-Y94)</f>
        <v>4.5200000000000004E-2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>IF(LEN(A94)=6,"0"&amp;A94,A94)</f>
        <v>0179-01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/stypes="app*4007*20161201*" /stext=" 20:.+((SYSTEM_STATE.+slice.+state.+changed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4"/>
        <v>"%USERPROFILE%\Documents\GitHub\eaglep3\Utilities\RefineRTDCRunTimes.py" --tripid 179-01 --locoid 4007 --swversion DE.1.0.8.0 --startMP 204:451 --initTime 2016-12-01T13:25:26 --startdatetime 2016-12-01T13:27:35 --delay 2 --endMP 204:903 --enddatetime 2016-12-01T13:30:32 --enforcementcount 0 &gt;&gt;C:\Users\stu\Documents\GitHub\eaglep3-reporting\EC\2016-12-01-refined-times.txt</v>
      </c>
      <c r="AI94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{"issue":{"subject":"","project_id":79,"tracker_id":40,"status_id":1,"priority_id":2,"assigned_to_id":23,"start_date":"2016-12-01","description":"","custom_fields":[{"id":1,"name":"Subdivision","value":"EC"},{"id":4,"name":"Milepost","value":"0.0903"},{"id":17,"name":"Train ID","value":"179-01"},{"id":16,"name":"Locomotive ID","value":"4007"},{"id":130,"name":"Impact","value":""},{"id":150,"name":"Time of Event (Mountain Time)","value":"13:30:32"},{"id":151,"name":"Denver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568</v>
      </c>
      <c r="B95" s="7">
        <v>4007</v>
      </c>
      <c r="C95" s="22" t="s">
        <v>210</v>
      </c>
      <c r="D95" s="22" t="s">
        <v>702</v>
      </c>
      <c r="E95" s="13">
        <v>42705.563599537039</v>
      </c>
      <c r="F95" s="13">
        <v>42705.564293981479</v>
      </c>
      <c r="G95" s="7">
        <v>0</v>
      </c>
      <c r="H95" s="22" t="s">
        <v>703</v>
      </c>
      <c r="I95" s="13">
        <v>42705.58222222222</v>
      </c>
      <c r="J95" s="7">
        <v>0</v>
      </c>
      <c r="K95" s="109" t="str">
        <f>IF(ISEVEN(B95),(B95-1)&amp;"/"&amp;B95,B95&amp;"/"&amp;(B95+1))</f>
        <v>4007/4008</v>
      </c>
      <c r="L95" s="22" t="str">
        <f>VLOOKUP(A95,'Trips&amp;Operators'!$C$1:$G$99999,5,FALSE)</f>
        <v>BROWN JACOB</v>
      </c>
      <c r="M95" s="6">
        <f>I95-F95</f>
        <v>1.7928240740729962E-2</v>
      </c>
      <c r="N95" s="7"/>
      <c r="O95" s="7"/>
      <c r="P95" s="7"/>
      <c r="Q95" s="23"/>
      <c r="R95" s="23"/>
      <c r="S95" s="35"/>
      <c r="T95" s="50" t="str">
        <f>IF(ISEVEN(LEFT(AD95,4)),"Southbound","NorthBound")</f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https://search-rtdc-monitor-bjffxe2xuh6vdkpspy63sjmuny.us-east-1.es.amazonaws.com/_plugin/kibana/#/discover/Steve-Slow-Train-Analysis-(2080s-and-2083s)?_g=(refreshInterval:(display:Off,section:0,value:0),time:(from:'2016-12-01 12:31:35-700',mode:absolute,to:'2016-12-01 14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5" s="52" t="str">
        <f>IF(AA95&lt;IF(AG95="EC",23,5.65),"Y","N")</f>
        <v>Y</v>
      </c>
      <c r="X95" s="177">
        <f>VALUE(LEFT(AD95,4))-VALUE(LEFT(AD94,4))</f>
        <v>0</v>
      </c>
      <c r="Y95" s="67">
        <f>RIGHT(D95,LEN(D95)-4)/10000</f>
        <v>9.1800000000000007E-2</v>
      </c>
      <c r="Z95" s="67">
        <f>RIGHT(H95,LEN(H95)-4)/10000</f>
        <v>15.4968</v>
      </c>
      <c r="AA95" s="67">
        <f>ABS(Z95-Y95)</f>
        <v>15.405000000000001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>IF(LEN(A95)=6,"0"&amp;A95,A95)</f>
        <v>0179-01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/stypes="app*4007*20161201*" /stext=" 20:.+((SYSTEM_STATE.+slice.+state.+changed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4"/>
        <v>"%USERPROFILE%\Documents\GitHub\eaglep3\Utilities\RefineRTDCRunTimes.py" --tripid 179-01 --locoid 4007 --swversion DE.1.0.8.0 --startMP 204:918 --initTime 2016-12-01T13:31:35 --startdatetime 2016-12-01T13:32:35 --delay 0 --endMP 204:154968 --enddatetime 2016-12-01T13:58:24 --enforcementcount 0 &gt;&gt;C:\Users\stu\Documents\GitHub\eaglep3-reporting\EC\2016-12-01-refined-times.txt</v>
      </c>
      <c r="AI95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{"issue":{"subject":"","project_id":79,"tracker_id":40,"status_id":1,"priority_id":2,"assigned_to_id":23,"start_date":"2016-12-01","description":"","custom_fields":[{"id":1,"name":"Subdivision","value":"EC"},{"id":4,"name":"Milepost","value":"15.4968"},{"id":17,"name":"Train ID","value":"179-01"},{"id":16,"name":"Locomotive ID","value":"4007"},{"id":130,"name":"Impact","value":""},{"id":150,"name":"Time of Event (Mountain Time)","value":"13:58:24"},{"id":151,"name":"Denver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435</v>
      </c>
      <c r="B96" s="7">
        <v>4008</v>
      </c>
      <c r="C96" s="22" t="s">
        <v>210</v>
      </c>
      <c r="D96" s="22" t="s">
        <v>376</v>
      </c>
      <c r="E96" s="13">
        <v>42705.599710648145</v>
      </c>
      <c r="F96" s="13">
        <v>42705.602141203701</v>
      </c>
      <c r="G96" s="7">
        <v>1</v>
      </c>
      <c r="H96" s="22" t="s">
        <v>253</v>
      </c>
      <c r="I96" s="13">
        <v>42705.629537037035</v>
      </c>
      <c r="J96" s="7">
        <v>1</v>
      </c>
      <c r="K96" s="109" t="str">
        <f>IF(ISEVEN(B96),(B96-1)&amp;"/"&amp;B96,B96&amp;"/"&amp;(B96+1))</f>
        <v>4007/4008</v>
      </c>
      <c r="L96" s="22" t="str">
        <f>VLOOKUP(A96,'Trips&amp;Operators'!$C$1:$G$99999,5,FALSE)</f>
        <v>BROWN JACOB</v>
      </c>
      <c r="M96" s="6">
        <f>I96-F96</f>
        <v>2.7395833334594499E-2</v>
      </c>
      <c r="N96" s="7">
        <f>24*60*SUM($M96:$M96)</f>
        <v>39.450000001816079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https://search-rtdc-monitor-bjffxe2xuh6vdkpspy63sjmuny.us-east-1.es.amazonaws.com/_plugin/kibana/#/discover/Steve-Slow-Train-Analysis-(2080s-and-2083s)?_g=(refreshInterval:(display:Off,section:0,value:0),time:(from:'2016-12-01 13:23:35-700',mode:absolute,to:'2016-12-01 16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6" s="52" t="str">
        <f>IF(AA96&lt;IF(AG96="EC",23,5.65),"Y","N")</f>
        <v>N</v>
      </c>
      <c r="X96" s="177">
        <f>VALUE(LEFT(AD96,4))-VALUE(LEFT(AD95,4))</f>
        <v>1</v>
      </c>
      <c r="Y96" s="67">
        <f>RIGHT(D96,LEN(D96)-4)/10000</f>
        <v>23.302099999999999</v>
      </c>
      <c r="Z96" s="67">
        <f>RIGHT(H96,LEN(H96)-4)/10000</f>
        <v>1.3899999999999999E-2</v>
      </c>
      <c r="AA96" s="67">
        <f>ABS(Z96-Y96)</f>
        <v>23.2882</v>
      </c>
      <c r="AB96" s="64" t="str">
        <f>VLOOKUP(A96,Enforcements!$C$7:$K$20,8,0)</f>
        <v>Speed (6)</v>
      </c>
      <c r="AC96" s="60" t="str">
        <f>VLOOKUP(A96,Enforcements!$C$7:$E$20,3,0)</f>
        <v>PERMANENT SPEED RESTRICTION</v>
      </c>
      <c r="AD96" s="61" t="str">
        <f>IF(LEN(A96)=6,"0"&amp;A96,A96)</f>
        <v>0180-01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/stypes="app*4008*20161201*"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4"/>
        <v>"%USERPROFILE%\Documents\GitHub\eaglep3\Utilities\RefineRTDCRunTimes.py" --tripid 180-01 --locoid 4008 --swversion DE.1.0.8.0 --startMP 204:233021 --initTime 2016-12-01T14:23:35 --startdatetime 2016-12-01T14:27:05 --delay 1 --endMP 204:139 --enddatetime 2016-12-01T15:06:32 --enforcementcount 1 &gt;&gt;C:\Users\stu\Documents\GitHub\eaglep3-reporting\EC\2016-12-01-refined-times.txt</v>
      </c>
      <c r="AI96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{"issue":{"subject":"","project_id":79,"tracker_id":40,"status_id":1,"priority_id":2,"assigned_to_id":23,"start_date":"2016-12-01","description":"","custom_fields":[{"id":1,"name":"Subdivision","value":"EC"},{"id":4,"name":"Milepost","value":"0.0139"},{"id":17,"name":"Train ID","value":"180-01"},{"id":16,"name":"Locomotive ID","value":"4008"},{"id":130,"name":"Impact","value":""},{"id":150,"name":"Time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570</v>
      </c>
      <c r="B97" s="7">
        <v>4040</v>
      </c>
      <c r="C97" s="22" t="s">
        <v>210</v>
      </c>
      <c r="D97" s="22" t="s">
        <v>194</v>
      </c>
      <c r="E97" s="13">
        <v>42705.5703587963</v>
      </c>
      <c r="F97" s="13">
        <v>42705.573171296295</v>
      </c>
      <c r="G97" s="7">
        <v>1</v>
      </c>
      <c r="H97" s="22" t="s">
        <v>305</v>
      </c>
      <c r="I97" s="13">
        <v>42705.599317129629</v>
      </c>
      <c r="J97" s="7">
        <v>1</v>
      </c>
      <c r="K97" s="109" t="str">
        <f>IF(ISEVEN(B97),(B97-1)&amp;"/"&amp;B97,B97&amp;"/"&amp;(B97+1))</f>
        <v>4039/4040</v>
      </c>
      <c r="L97" s="22" t="str">
        <f>VLOOKUP(A97,'Trips&amp;Operators'!$C$1:$G$99999,5,FALSE)</f>
        <v>ARVIDSON DANIEL</v>
      </c>
      <c r="M97" s="6">
        <f>I97-F97</f>
        <v>2.6145833333430346E-2</v>
      </c>
      <c r="N97" s="7">
        <f>24*60*SUM($M97:$M97)</f>
        <v>37.650000000139698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https://search-rtdc-monitor-bjffxe2xuh6vdkpspy63sjmuny.us-east-1.es.amazonaws.com/_plugin/kibana/#/discover/Steve-Slow-Train-Analysis-(2080s-and-2083s)?_g=(refreshInterval:(display:Off,section:0,value:0),time:(from:'2016-12-01 12:41:19-700',mode:absolute,to:'2016-12-01 15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7" s="52" t="str">
        <f>IF(AA97&lt;IF(AG97="EC",23,5.65),"Y","N")</f>
        <v>N</v>
      </c>
      <c r="X97" s="177">
        <f>VALUE(LEFT(AD97,4))-VALUE(LEFT(AD96,4))</f>
        <v>1</v>
      </c>
      <c r="Y97" s="67">
        <f>RIGHT(D97,LEN(D97)-4)/10000</f>
        <v>4.4699999999999997E-2</v>
      </c>
      <c r="Z97" s="67">
        <f>RIGHT(H97,LEN(H97)-4)/10000</f>
        <v>23.329699999999999</v>
      </c>
      <c r="AA97" s="67">
        <f>ABS(Z97-Y97)</f>
        <v>23.285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>IF(LEN(A97)=6,"0"&amp;A97,A97)</f>
        <v>0181-01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/stypes="app*4040*20161201*" /stext=" 21:.+((SYSTEM_STATE.+slice.+state.+changed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4"/>
        <v>"%USERPROFILE%\Documents\GitHub\eaglep3\Utilities\RefineRTDCRunTimes.py" --tripid 181-01 --locoid 4040 --swversion DE.1.0.8.0 --startMP 204:447 --initTime 2016-12-01T13:41:19 --startdatetime 2016-12-01T13:45:22 --delay 1 --endMP 204:233297 --enddatetime 2016-12-01T14:23:01 --enforcementcount 1 &gt;&gt;C:\Users\stu\Documents\GitHub\eaglep3-reporting\EC\2016-12-01-refined-times.txt</v>
      </c>
      <c r="AI97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{"issue":{"subject":"","project_id":79,"tracker_id":40,"status_id":1,"priority_id":2,"assigned_to_id":23,"start_date":"2016-12-01","description":"","custom_fields":[{"id":1,"name":"Subdivision","value":"EC"},{"id":4,"name":"Milepost","value":"23.3297"},{"id":17,"name":"Train ID","value":"181-01"},{"id":16,"name":"Locomotive ID","value":"4040"},{"id":130,"name":"Impact","value":""},{"id":150,"name":"Time of Event (Mountain Time)","value":"14:23:01"},{"id":151,"name":"Denver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576</v>
      </c>
      <c r="B98" s="7">
        <v>4039</v>
      </c>
      <c r="C98" s="22" t="s">
        <v>210</v>
      </c>
      <c r="D98" s="22" t="s">
        <v>239</v>
      </c>
      <c r="E98" s="13">
        <v>42705.608819444446</v>
      </c>
      <c r="F98" s="13">
        <v>42705.612118055556</v>
      </c>
      <c r="G98" s="7">
        <v>1</v>
      </c>
      <c r="H98" s="22" t="s">
        <v>704</v>
      </c>
      <c r="I98" s="13">
        <v>42705.640300925923</v>
      </c>
      <c r="J98" s="7">
        <v>1</v>
      </c>
      <c r="K98" s="109" t="str">
        <f>IF(ISEVEN(B98),(B98-1)&amp;"/"&amp;B98,B98&amp;"/"&amp;(B98+1))</f>
        <v>4039/4040</v>
      </c>
      <c r="L98" s="22" t="str">
        <f>VLOOKUP(A98,'Trips&amp;Operators'!$C$1:$G$99999,5,FALSE)</f>
        <v>ARVIDSON DANIEL</v>
      </c>
      <c r="M98" s="6">
        <f>I98-F98</f>
        <v>2.8182870366435964E-2</v>
      </c>
      <c r="N98" s="7">
        <f>24*60*SUM($M98:$M98)</f>
        <v>40.583333327667788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https://search-rtdc-monitor-bjffxe2xuh6vdkpspy63sjmuny.us-east-1.es.amazonaws.com/_plugin/kibana/#/discover/Steve-Slow-Train-Analysis-(2080s-and-2083s)?_g=(refreshInterval:(display:Off,section:0,value:0),time:(from:'2016-12-01 13:36:42-700',mode:absolute,to:'2016-12-01 16:22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8" s="52" t="str">
        <f>IF(AA98&lt;IF(AG98="EC",23,5.65),"Y","N")</f>
        <v>N</v>
      </c>
      <c r="X98" s="177">
        <f>VALUE(LEFT(AD98,4))-VALUE(LEFT(AD97,4))</f>
        <v>1</v>
      </c>
      <c r="Y98" s="67">
        <f>RIGHT(D98,LEN(D98)-4)/10000</f>
        <v>23.299800000000001</v>
      </c>
      <c r="Z98" s="67">
        <f>RIGHT(H98,LEN(H98)-4)/10000</f>
        <v>1.0500000000000001E-2</v>
      </c>
      <c r="AA98" s="67">
        <f>ABS(Z98-Y98)</f>
        <v>23.289300000000001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>IF(LEN(A98)=6,"0"&amp;A98,A98)</f>
        <v>0182-01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/stypes="app*4039*20161201*"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4"/>
        <v>"%USERPROFILE%\Documents\GitHub\eaglep3\Utilities\RefineRTDCRunTimes.py" --tripid 182-01 --locoid 4039 --swversion DE.1.0.8.0 --startMP 204:232998 --initTime 2016-12-01T14:36:42 --startdatetime 2016-12-01T14:41:27 --delay 1 --endMP 204:105 --enddatetime 2016-12-01T15:22:02 --enforcementcount 1 &gt;&gt;C:\Users\stu\Documents\GitHub\eaglep3-reporting\EC\2016-12-01-refined-times.txt</v>
      </c>
      <c r="AI98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{"issue":{"subject":"","project_id":79,"tracker_id":40,"status_id":1,"priority_id":2,"assigned_to_id":23,"start_date":"2016-12-01","description":"","custom_fields":[{"id":1,"name":"Subdivision","value":"EC"},{"id":4,"name":"Milepost","value":"0.0105"},{"id":17,"name":"Train ID","value":"182-01"},{"id":16,"name":"Locomotive ID","value":"4039"},{"id":130,"name":"Impact","value":""},{"id":150,"name":"Time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433</v>
      </c>
      <c r="B99" s="7">
        <v>4016</v>
      </c>
      <c r="C99" s="22" t="s">
        <v>210</v>
      </c>
      <c r="D99" s="22" t="s">
        <v>245</v>
      </c>
      <c r="E99" s="13">
        <v>42705.580092592594</v>
      </c>
      <c r="F99" s="13">
        <v>42705.584085648145</v>
      </c>
      <c r="G99" s="7">
        <v>1</v>
      </c>
      <c r="H99" s="22" t="s">
        <v>680</v>
      </c>
      <c r="I99" s="13">
        <v>42705.608229166668</v>
      </c>
      <c r="J99" s="7">
        <v>1</v>
      </c>
      <c r="K99" s="109" t="str">
        <f>IF(ISEVEN(B99),(B99-1)&amp;"/"&amp;B99,B99&amp;"/"&amp;(B99+1))</f>
        <v>4015/4016</v>
      </c>
      <c r="L99" s="22" t="str">
        <f>VLOOKUP(A99,'Trips&amp;Operators'!$C$1:$G$99999,5,FALSE)</f>
        <v>ADANE ELSHADAY</v>
      </c>
      <c r="M99" s="6">
        <f>I99-F99</f>
        <v>2.4143518523487728E-2</v>
      </c>
      <c r="N99" s="7">
        <f>24*60*SUM($M99:$M99)</f>
        <v>34.766666673822328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https://search-rtdc-monitor-bjffxe2xuh6vdkpspy63sjmuny.us-east-1.es.amazonaws.com/_plugin/kibana/#/discover/Steve-Slow-Train-Analysis-(2080s-and-2083s)?_g=(refreshInterval:(display:Off,section:0,value:0),time:(from:'2016-12-01 12:55:20-700',mode:absolute,to:'2016-12-01 15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>IF(AA99&lt;IF(AG99="EC",23,5.65),"Y","N")</f>
        <v>N</v>
      </c>
      <c r="X99" s="177">
        <f>VALUE(LEFT(AD99,4))-VALUE(LEFT(AD98,4))</f>
        <v>1</v>
      </c>
      <c r="Y99" s="67">
        <f>RIGHT(D99,LEN(D99)-4)/10000</f>
        <v>4.5499999999999999E-2</v>
      </c>
      <c r="Z99" s="67">
        <f>RIGHT(H99,LEN(H99)-4)/10000</f>
        <v>23.3264</v>
      </c>
      <c r="AA99" s="67">
        <f>ABS(Z99-Y99)</f>
        <v>23.280899999999999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>IF(LEN(A99)=6,"0"&amp;A99,A99)</f>
        <v>0183-01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s3://rtdc.mdm.uploadarchive.raw/RTDC4016/ "%USERPROFILE%\AppData\Local\Temp\OnboardLogs"\RTDC4016\2016-12-01 --exclude "*" --recursive --include "*20161201*" &amp; "%USERPROFILE%\Documents\GitHub\mrs-test-scripts\Headless Mode &amp; Sideloading\WalkAndUnGZ.bat" "%USERPROFILE%\AppData\Local\Temp\OnboardLogs"\RTDC4016\2016-12-01 &amp; 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/stypes="app*4016*20161201*" /stext=" 21:.+((SYSTEM_STATE.+slice.+state.+changed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4"/>
        <v>"%USERPROFILE%\Documents\GitHub\eaglep3\Utilities\RefineRTDCRunTimes.py" --tripid 183-01 --locoid 4016 --swversion DE.1.0.8.0 --startMP 204:455 --initTime 2016-12-01T13:55:20 --startdatetime 2016-12-01T14:01:05 --delay 1 --endMP 204:233264 --enddatetime 2016-12-01T14:35:51 --enforcementcount 1 &gt;&gt;C:\Users\stu\Documents\GitHub\eaglep3-reporting\EC\2016-12-01-refined-times.txt</v>
      </c>
      <c r="AI99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{"issue":{"subject":"","project_id":79,"tracker_id":40,"status_id":1,"priority_id":2,"assigned_to_id":23,"start_date":"2016-12-01","description":"","custom_fields":[{"id":1,"name":"Subdivision","value":"EC"},{"id":4,"name":"Milepost","value":"23.3264"},{"id":17,"name":"Train ID","value":"183-01"},{"id":16,"name":"Locomotive ID","value":"4016"},{"id":130,"name":"Impact","value":""},{"id":150,"name":"Time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437</v>
      </c>
      <c r="B100" s="7">
        <v>4015</v>
      </c>
      <c r="C100" s="22" t="s">
        <v>210</v>
      </c>
      <c r="D100" s="22" t="s">
        <v>366</v>
      </c>
      <c r="E100" s="13">
        <v>42705.610486111109</v>
      </c>
      <c r="F100" s="13">
        <v>42705.611134259256</v>
      </c>
      <c r="G100" s="7">
        <v>0</v>
      </c>
      <c r="H100" s="22" t="s">
        <v>705</v>
      </c>
      <c r="I100" s="13">
        <v>42705.643067129633</v>
      </c>
      <c r="J100" s="7">
        <v>2</v>
      </c>
      <c r="K100" s="109" t="str">
        <f>IF(ISEVEN(B100),(B100-1)&amp;"/"&amp;B100,B100&amp;"/"&amp;(B100+1))</f>
        <v>4015/4016</v>
      </c>
      <c r="L100" s="22" t="str">
        <f>VLOOKUP(A100,'Trips&amp;Operators'!$C$1:$G$99999,5,FALSE)</f>
        <v>ADANE ELSHADAY</v>
      </c>
      <c r="M100" s="6">
        <f>I100-F100</f>
        <v>3.1932870377204381E-2</v>
      </c>
      <c r="N100" s="7"/>
      <c r="O100" s="7"/>
      <c r="P100" s="7">
        <f>24*60*SUM($M100:$M101)</f>
        <v>49.933333344524726</v>
      </c>
      <c r="Q100" s="23"/>
      <c r="R100" s="23" t="s">
        <v>860</v>
      </c>
      <c r="S100" s="35">
        <f>SUM(U100:U101)/IF(AG100="EC",12,1)</f>
        <v>0.91666666666666663</v>
      </c>
      <c r="T100" s="50" t="str">
        <f>IF(ISEVEN(LEFT(AD100,4)),"Southbound","NorthBound")</f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9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https://search-rtdc-monitor-bjffxe2xuh6vdkpspy63sjmuny.us-east-1.es.amazonaws.com/_plugin/kibana/#/discover/Steve-Slow-Train-Analysis-(2080s-and-2083s)?_g=(refreshInterval:(display:Off,section:0,value:0),time:(from:'2016-12-01 13:39:06-700',mode:absolute,to:'2016-12-01 16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0" s="52" t="str">
        <f>IF(AA100&lt;IF(AG100="EC",23,5.65),"Y","N")</f>
        <v>Y</v>
      </c>
      <c r="X100" s="177">
        <f>VALUE(LEFT(AD100,4))-VALUE(LEFT(AD99,4))</f>
        <v>1</v>
      </c>
      <c r="Y100" s="67">
        <f>RIGHT(D100,LEN(D100)-4)/10000</f>
        <v>23.2957</v>
      </c>
      <c r="Z100" s="67">
        <f>RIGHT(H100,LEN(H100)-4)/10000</f>
        <v>3.6669</v>
      </c>
      <c r="AA100" s="67">
        <f>ABS(Z100-Y100)</f>
        <v>19.628799999999998</v>
      </c>
      <c r="AB100" s="64" t="str">
        <f>VLOOKUP(A100,Enforcements!$C$7:$K$20,8,0)</f>
        <v>Signal based authority (5)</v>
      </c>
      <c r="AC100" s="60" t="str">
        <f>VLOOKUP(A100,Enforcements!$C$7:$E$20,3,0)</f>
        <v>SIGNAL</v>
      </c>
      <c r="AD100" s="61" t="str">
        <f>IF(LEN(A100)=6,"0"&amp;A100,A100)</f>
        <v>0184-01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/stypes="app*4015*20161201*"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4"/>
        <v>"%USERPROFILE%\Documents\GitHub\eaglep3\Utilities\RefineRTDCRunTimes.py" --tripid 184-01 --locoid 4015 --swversion DE.1.0.8.0 --startMP 204:232957 --initTime 2016-12-01T14:39:06 --startdatetime 2016-12-01T14:40:02 --delay 0 --endMP 204:36669 --enddatetime 2016-12-01T15:26:01 --enforcementcount 2 &gt;&gt;C:\Users\stu\Documents\GitHub\eaglep3-reporting\EC\2016-12-01-refined-times.txt</v>
      </c>
      <c r="AI100" s="119" t="str">
        <f t="shared" si="5"/>
        <v>echo {"issue":{"subject":"CP Bright ELXS Failure","project_id":79,"tracker_id":40,"status_id":1,"priority_id":2,"assigned_to_id":23,"start_date":"2016-12-01","description":"At 15:23:40, EC0365RH 40-2T 2S dropped from 270 to STOP &amp; PROCEED. Did anything wrong happen during this time?","custom_fields":[{"id":1,"name":"Subdivision","value":"EC"},{"id":4,"name":"Milepost","value":"3.6669"},{"id":17,"name":"Train ID","value":"184-01"},{"id":16,"name":"Locomotive ID","value":"4015"},{"id":130,"name":"Impact","value":"Enforcement"},{"id":150,"name":"Time of Event (Mountain Time)","value":"15:26:01"},{"id":151,"name":"Denver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00" s="53" t="s">
        <v>859</v>
      </c>
      <c r="AK100" s="53" t="s">
        <v>125</v>
      </c>
      <c r="AL100" s="53" t="s">
        <v>130</v>
      </c>
    </row>
    <row r="101" spans="1:91" x14ac:dyDescent="0.25">
      <c r="A101" s="37" t="s">
        <v>437</v>
      </c>
      <c r="B101" s="7">
        <v>4015</v>
      </c>
      <c r="C101" s="22" t="s">
        <v>210</v>
      </c>
      <c r="D101" s="22" t="s">
        <v>706</v>
      </c>
      <c r="E101" s="13">
        <v>42705.644861111112</v>
      </c>
      <c r="F101" s="13">
        <v>42705.646134259259</v>
      </c>
      <c r="G101" s="7">
        <v>1</v>
      </c>
      <c r="H101" s="22" t="s">
        <v>707</v>
      </c>
      <c r="I101" s="13">
        <v>42705.648877314816</v>
      </c>
      <c r="J101" s="7">
        <v>0</v>
      </c>
      <c r="K101" s="109" t="str">
        <f>IF(ISEVEN(B101),(B101-1)&amp;"/"&amp;B101,B101&amp;"/"&amp;(B101+1))</f>
        <v>4015/4016</v>
      </c>
      <c r="L101" s="22" t="str">
        <f>VLOOKUP(A101,'Trips&amp;Operators'!$C$1:$G$99999,5,FALSE)</f>
        <v>ADANE ELSHADAY</v>
      </c>
      <c r="M101" s="6">
        <f>I101-F101</f>
        <v>2.7430555564933456E-3</v>
      </c>
      <c r="N101" s="7"/>
      <c r="O101" s="7"/>
      <c r="P101" s="7"/>
      <c r="Q101" s="23"/>
      <c r="R101" s="23"/>
      <c r="S101" s="35"/>
      <c r="T101" s="50" t="str">
        <f>IF(ISEVEN(LEFT(AD101,4)),"Southbound","NorthBound")</f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https://search-rtdc-monitor-bjffxe2xuh6vdkpspy63sjmuny.us-east-1.es.amazonaws.com/_plugin/kibana/#/discover/Steve-Slow-Train-Analysis-(2080s-and-2083s)?_g=(refreshInterval:(display:Off,section:0,value:0),time:(from:'2016-12-01 14:28:36-700',mode:absolute,to:'2016-12-01 16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1" s="52" t="str">
        <f>IF(AA101&lt;IF(AG101="EC",23,5.65),"Y","N")</f>
        <v>Y</v>
      </c>
      <c r="X101" s="177">
        <f>VALUE(LEFT(AD101,4))-VALUE(LEFT(AD100,4))</f>
        <v>0</v>
      </c>
      <c r="Y101" s="67">
        <f>RIGHT(D101,LEN(D101)-4)/10000</f>
        <v>3.6673</v>
      </c>
      <c r="Z101" s="67">
        <f>RIGHT(H101,LEN(H101)-4)/10000</f>
        <v>3.0032999999999999</v>
      </c>
      <c r="AA101" s="67">
        <f>ABS(Z101-Y101)</f>
        <v>0.66400000000000015</v>
      </c>
      <c r="AB101" s="64" t="str">
        <f>VLOOKUP(A101,Enforcements!$C$7:$K$20,8,0)</f>
        <v>Signal based authority (5)</v>
      </c>
      <c r="AC101" s="60" t="str">
        <f>VLOOKUP(A101,Enforcements!$C$7:$E$20,3,0)</f>
        <v>SIGNAL</v>
      </c>
      <c r="AD101" s="61" t="str">
        <f>IF(LEN(A101)=6,"0"&amp;A101,A101)</f>
        <v>0184-01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/stypes="app*4015*20161201*" /stext=" 22:.+((SYSTEM_STATE.+slice.+state.+changed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4"/>
        <v>"%USERPROFILE%\Documents\GitHub\eaglep3\Utilities\RefineRTDCRunTimes.py" --tripid 184-01 --locoid 4015 --swversion DE.1.0.8.0 --startMP 204:36673 --initTime 2016-12-01T15:28:36 --startdatetime 2016-12-01T15:30:26 --delay 1 --endMP 204:30033 --enddatetime 2016-12-01T15:34:23 --enforcementcount 0 &gt;&gt;C:\Users\stu\Documents\GitHub\eaglep3-reporting\EC\2016-12-01-refined-times.txt</v>
      </c>
      <c r="AI101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{"issue":{"subject":"","project_id":79,"tracker_id":40,"status_id":1,"priority_id":2,"assigned_to_id":23,"start_date":"2016-12-01","description":"","custom_fields":[{"id":1,"name":"Subdivision","value":"EC"},{"id":4,"name":"Milepost","value":"3.0033"},{"id":17,"name":"Train ID","value":"184-01"},{"id":16,"name":"Locomotive ID","value":"4015"},{"id":130,"name":"Impact","value":""},{"id":150,"name":"Time of Event (Mountain Time)","value":"15:34:23"},{"id":151,"name":"Denver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573</v>
      </c>
      <c r="B102" s="7">
        <v>4031</v>
      </c>
      <c r="C102" s="22" t="s">
        <v>210</v>
      </c>
      <c r="D102" s="22" t="s">
        <v>271</v>
      </c>
      <c r="E102" s="13">
        <v>42705.591168981482</v>
      </c>
      <c r="F102" s="13">
        <v>42705.5940162037</v>
      </c>
      <c r="G102" s="7">
        <v>1</v>
      </c>
      <c r="H102" s="22" t="s">
        <v>708</v>
      </c>
      <c r="I102" s="13">
        <v>42705.619733796295</v>
      </c>
      <c r="J102" s="7">
        <v>1</v>
      </c>
      <c r="K102" s="109" t="str">
        <f>IF(ISEVEN(B102),(B102-1)&amp;"/"&amp;B102,B102&amp;"/"&amp;(B102+1))</f>
        <v>4031/4032</v>
      </c>
      <c r="L102" s="22" t="str">
        <f>VLOOKUP(A102,'Trips&amp;Operators'!$C$1:$G$99999,5,FALSE)</f>
        <v>STORY SAMANTHA</v>
      </c>
      <c r="M102" s="6">
        <f>I102-F102</f>
        <v>2.5717592594446614E-2</v>
      </c>
      <c r="N102" s="7">
        <f>24*60*SUM($M102:$M102)</f>
        <v>37.033333336003125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https://search-rtdc-monitor-bjffxe2xuh6vdkpspy63sjmuny.us-east-1.es.amazonaws.com/_plugin/kibana/#/discover/Steve-Slow-Train-Analysis-(2080s-and-2083s)?_g=(refreshInterval:(display:Off,section:0,value:0),time:(from:'2016-12-01 13:11:17-700',mode:absolute,to:'2016-12-01 15:52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2" s="52" t="str">
        <f>IF(AA102&lt;IF(AG102="EC",23,5.65),"Y","N")</f>
        <v>N</v>
      </c>
      <c r="X102" s="177">
        <f>VALUE(LEFT(AD102,4))-VALUE(LEFT(AD101,4))</f>
        <v>1</v>
      </c>
      <c r="Y102" s="67">
        <f>RIGHT(D102,LEN(D102)-4)/10000</f>
        <v>4.6699999999999998E-2</v>
      </c>
      <c r="Z102" s="67">
        <f>RIGHT(H102,LEN(H102)-4)/10000</f>
        <v>23.325900000000001</v>
      </c>
      <c r="AA102" s="67">
        <f>ABS(Z102-Y102)</f>
        <v>23.279199999999999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>IF(LEN(A102)=6,"0"&amp;A102,A102)</f>
        <v>0185-01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/stypes="app*4031*20161201*" /stext=" 21:.+((SYSTEM_STATE.+slice.+state.+changed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4"/>
        <v>"%USERPROFILE%\Documents\GitHub\eaglep3\Utilities\RefineRTDCRunTimes.py" --tripid 185-01 --locoid 4031 --swversion DE.1.0.8.0 --startMP 204:467 --initTime 2016-12-01T14:11:17 --startdatetime 2016-12-01T14:15:23 --delay 1 --endMP 204:233259 --enddatetime 2016-12-01T14:52:25 --enforcementcount 1 &gt;&gt;C:\Users\stu\Documents\GitHub\eaglep3-reporting\EC\2016-12-01-refined-times.txt</v>
      </c>
      <c r="AI102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{"issue":{"subject":"","project_id":79,"tracker_id":40,"status_id":1,"priority_id":2,"assigned_to_id":23,"start_date":"2016-12-01","description":"","custom_fields":[{"id":1,"name":"Subdivision","value":"EC"},{"id":4,"name":"Milepost","value":"23.3259"},{"id":17,"name":"Train ID","value":"185-01"},{"id":16,"name":"Locomotive ID","value":"4031"},{"id":130,"name":"Impact","value":""},{"id":150,"name":"Time of Event (Mountain Time)","value":"14:52:25"},{"id":151,"name":"Denver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440</v>
      </c>
      <c r="B103" s="7">
        <v>4032</v>
      </c>
      <c r="C103" s="22" t="s">
        <v>210</v>
      </c>
      <c r="D103" s="22" t="s">
        <v>709</v>
      </c>
      <c r="E103" s="13">
        <v>42705.628321759257</v>
      </c>
      <c r="F103" s="13">
        <v>42705.629293981481</v>
      </c>
      <c r="G103" s="7">
        <v>1</v>
      </c>
      <c r="H103" s="22" t="s">
        <v>710</v>
      </c>
      <c r="I103" s="13">
        <v>42705.656944444447</v>
      </c>
      <c r="J103" s="7">
        <v>1</v>
      </c>
      <c r="K103" s="109" t="str">
        <f>IF(ISEVEN(B103),(B103-1)&amp;"/"&amp;B103,B103&amp;"/"&amp;(B103+1))</f>
        <v>4031/4032</v>
      </c>
      <c r="L103" s="22" t="str">
        <f>VLOOKUP(A103,'Trips&amp;Operators'!$C$1:$G$99999,5,FALSE)</f>
        <v>STORY SAMANTHA</v>
      </c>
      <c r="M103" s="6">
        <f>I103-F103</f>
        <v>2.7650462965539191E-2</v>
      </c>
      <c r="N103" s="7"/>
      <c r="O103" s="7"/>
      <c r="P103" s="7">
        <f>24*60*SUM($M103:$M104)</f>
        <v>54.466666668886319</v>
      </c>
      <c r="Q103" s="23"/>
      <c r="R103" s="23" t="s">
        <v>860</v>
      </c>
      <c r="S103" s="35">
        <f>SUM(U103:U104)/IF(AG103="EC",12,1)</f>
        <v>0.75</v>
      </c>
      <c r="T103" s="50" t="str">
        <f>IF(ISEVEN(LEFT(AD103,4)),"Southbound","NorthBound")</f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6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https://search-rtdc-monitor-bjffxe2xuh6vdkpspy63sjmuny.us-east-1.es.amazonaws.com/_plugin/kibana/#/discover/Steve-Slow-Train-Analysis-(2080s-and-2083s)?_g=(refreshInterval:(display:Off,section:0,value:0),time:(from:'2016-12-01 14:04:47-700',mode:absolute,to:'2016-12-01 16:46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3" s="52" t="str">
        <f>IF(AA103&lt;IF(AG103="EC",23,5.65),"Y","N")</f>
        <v>Y</v>
      </c>
      <c r="X103" s="177">
        <f>VALUE(LEFT(AD103,4))-VALUE(LEFT(AD102,4))</f>
        <v>1</v>
      </c>
      <c r="Y103" s="67">
        <f>RIGHT(D103,LEN(D103)-4)/10000</f>
        <v>23.2942</v>
      </c>
      <c r="Z103" s="67">
        <f>RIGHT(H103,LEN(H103)-4)/10000</f>
        <v>5.8038999999999996</v>
      </c>
      <c r="AA103" s="67">
        <f>ABS(Z103-Y103)</f>
        <v>17.490300000000001</v>
      </c>
      <c r="AB103" s="64" t="str">
        <f>VLOOKUP(A103,Enforcements!$C$7:$K$20,8,0)</f>
        <v>Signal based authority (5)</v>
      </c>
      <c r="AC103" s="60" t="str">
        <f>VLOOKUP(A103,Enforcements!$C$7:$E$20,3,0)</f>
        <v>SIGNAL</v>
      </c>
      <c r="AD103" s="61" t="str">
        <f>IF(LEN(A103)=6,"0"&amp;A103,A103)</f>
        <v>0186-01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/stypes="app*4032*20161201*"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4"/>
        <v>"%USERPROFILE%\Documents\GitHub\eaglep3\Utilities\RefineRTDCRunTimes.py" --tripid 186-01 --locoid 4032 --swversion DE.1.0.8.0 --startMP 204:232942 --initTime 2016-12-01T15:04:47 --startdatetime 2016-12-01T15:06:11 --delay 1 --endMP 204:58039 --enddatetime 2016-12-01T15:46:00 --enforcementcount 1 &gt;&gt;C:\Users\stu\Documents\GitHub\eaglep3-reporting\EC\2016-12-01-refined-times.txt</v>
      </c>
      <c r="AI103" s="119" t="str">
        <f t="shared" si="5"/>
        <v>echo {"issue":{"subject":"CP Bright ELXS Failure","project_id":79,"tracker_id":40,"status_id":1,"priority_id":2,"assigned_to_id":23,"start_date":"2016-12-01","description":"","custom_fields":[{"id":1,"name":"Subdivision","value":"EC"},{"id":4,"name":"Milepost","value":"5.8039"},{"id":17,"name":"Train ID","value":"186-01"},{"id":16,"name":"Locomotive ID","value":"4032"},{"id":130,"name":"Impact","value":""},{"id":150,"name":"Time of Event (Mountain Time)","value":"15:46:00"},{"id":151,"name":"Denver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440</v>
      </c>
      <c r="B104" s="7">
        <v>4032</v>
      </c>
      <c r="C104" s="22" t="s">
        <v>210</v>
      </c>
      <c r="D104" s="22" t="s">
        <v>711</v>
      </c>
      <c r="E104" s="13">
        <v>42705.661006944443</v>
      </c>
      <c r="F104" s="13">
        <v>42705.661666666667</v>
      </c>
      <c r="G104" s="7">
        <v>0</v>
      </c>
      <c r="H104" s="22" t="s">
        <v>212</v>
      </c>
      <c r="I104" s="13">
        <v>42705.671840277777</v>
      </c>
      <c r="J104" s="7">
        <v>0</v>
      </c>
      <c r="K104" s="109" t="str">
        <f>IF(ISEVEN(B104),(B104-1)&amp;"/"&amp;B104,B104&amp;"/"&amp;(B104+1))</f>
        <v>4031/4032</v>
      </c>
      <c r="L104" s="22" t="str">
        <f>VLOOKUP(A104,'Trips&amp;Operators'!$C$1:$G$99999,5,FALSE)</f>
        <v>STORY SAMANTHA</v>
      </c>
      <c r="M104" s="6">
        <f>I104-F104</f>
        <v>1.0173611110076308E-2</v>
      </c>
      <c r="N104" s="7"/>
      <c r="O104" s="7"/>
      <c r="P104" s="7"/>
      <c r="Q104" s="23"/>
      <c r="R104" s="23"/>
      <c r="S104" s="35"/>
      <c r="T104" s="50" t="str">
        <f>IF(ISEVEN(LEFT(AD104,4)),"Southbound","NorthBound")</f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3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https://search-rtdc-monitor-bjffxe2xuh6vdkpspy63sjmuny.us-east-1.es.amazonaws.com/_plugin/kibana/#/discover/Steve-Slow-Train-Analysis-(2080s-and-2083s)?_g=(refreshInterval:(display:Off,section:0,value:0),time:(from:'2016-12-01 14:51:51-700',mode:absolute,to:'2016-12-01 17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>IF(AA104&lt;IF(AG104="EC",23,5.65),"Y","N")</f>
        <v>Y</v>
      </c>
      <c r="X104" s="177">
        <f>VALUE(LEFT(AD104,4))-VALUE(LEFT(AD103,4))</f>
        <v>0</v>
      </c>
      <c r="Y104" s="67">
        <f>RIGHT(D104,LEN(D104)-4)/10000</f>
        <v>3.6808000000000001</v>
      </c>
      <c r="Z104" s="67">
        <f>RIGHT(H104,LEN(H104)-4)/10000</f>
        <v>1.5800000000000002E-2</v>
      </c>
      <c r="AA104" s="67">
        <f>ABS(Z104-Y104)</f>
        <v>3.665</v>
      </c>
      <c r="AB104" s="64" t="str">
        <f>VLOOKUP(A104,Enforcements!$C$7:$K$20,8,0)</f>
        <v>Signal based authority (5)</v>
      </c>
      <c r="AC104" s="60" t="str">
        <f>VLOOKUP(A104,Enforcements!$C$7:$E$20,3,0)</f>
        <v>SIGNAL</v>
      </c>
      <c r="AD104" s="61" t="str">
        <f>IF(LEN(A104)=6,"0"&amp;A104,A104)</f>
        <v>0186-01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/stypes="app*4032*20161201*"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4"/>
        <v>"%USERPROFILE%\Documents\GitHub\eaglep3\Utilities\RefineRTDCRunTimes.py" --tripid 186-01 --locoid 4032 --swversion DE.1.0.8.0 --startMP 204:36808 --initTime 2016-12-01T15:51:51 --startdatetime 2016-12-01T15:52:48 --delay 0 --endMP 204:158 --enddatetime 2016-12-01T16:07:27 --enforcementcount 0 &gt;&gt;C:\Users\stu\Documents\GitHub\eaglep3-reporting\EC\2016-12-01-refined-times.txt</v>
      </c>
      <c r="AI104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{"issue":{"subject":"","project_id":79,"tracker_id":40,"status_id":1,"priority_id":2,"assigned_to_id":23,"start_date":"2016-12-01","description":"","custom_fields":[{"id":1,"name":"Subdivision","value":"EC"},{"id":4,"name":"Milepost","value":"0.0158"},{"id":17,"name":"Train ID","value":"186-01"},{"id":16,"name":"Locomotive ID","value":"4032"},{"id":130,"name":"Impact","value":""},{"id":150,"name":"Time of Event (Mountain Time)","value":"16:07:27"},{"id":151,"name":"Denver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575</v>
      </c>
      <c r="B105" s="7">
        <v>4009</v>
      </c>
      <c r="C105" s="22" t="s">
        <v>210</v>
      </c>
      <c r="D105" s="22" t="s">
        <v>254</v>
      </c>
      <c r="E105" s="13">
        <v>42705.598657407405</v>
      </c>
      <c r="F105" s="13">
        <v>42705.604421296295</v>
      </c>
      <c r="G105" s="7">
        <v>1</v>
      </c>
      <c r="H105" s="22" t="s">
        <v>690</v>
      </c>
      <c r="I105" s="13">
        <v>42705.629236111112</v>
      </c>
      <c r="J105" s="7">
        <v>1</v>
      </c>
      <c r="K105" s="109" t="str">
        <f>IF(ISEVEN(B105),(B105-1)&amp;"/"&amp;B105,B105&amp;"/"&amp;(B105+1))</f>
        <v>4009/4010</v>
      </c>
      <c r="L105" s="22" t="str">
        <f>VLOOKUP(A105,'Trips&amp;Operators'!$C$1:$G$99999,5,FALSE)</f>
        <v>BONDS REYNALDO</v>
      </c>
      <c r="M105" s="6">
        <f>I105-F105</f>
        <v>2.4814814816636499E-2</v>
      </c>
      <c r="N105" s="7">
        <f>24*60*SUM($M105:$M105)</f>
        <v>35.733333335956559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https://search-rtdc-monitor-bjffxe2xuh6vdkpspy63sjmuny.us-east-1.es.amazonaws.com/_plugin/kibana/#/discover/Steve-Slow-Train-Analysis-(2080s-and-2083s)?_g=(refreshInterval:(display:Off,section:0,value:0),time:(from:'2016-12-01 13:22:04-700',mode:absolute,to:'2016-12-01 16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5" s="52" t="str">
        <f>IF(AA105&lt;IF(AG105="EC",23,5.65),"Y","N")</f>
        <v>N</v>
      </c>
      <c r="X105" s="177">
        <f>VALUE(LEFT(AD105,4))-VALUE(LEFT(AD104,4))</f>
        <v>1</v>
      </c>
      <c r="Y105" s="67">
        <f>RIGHT(D105,LEN(D105)-4)/10000</f>
        <v>4.5699999999999998E-2</v>
      </c>
      <c r="Z105" s="67">
        <f>RIGHT(H105,LEN(H105)-4)/10000</f>
        <v>23.333200000000001</v>
      </c>
      <c r="AA105" s="67">
        <f>ABS(Z105-Y105)</f>
        <v>23.287500000000001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>IF(LEN(A105)=6,"0"&amp;A105,A105)</f>
        <v>0187-01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/stypes="app*4009*20161201*" /stext=" 22:.+((SYSTEM_STATE.+slice.+state.+changed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4"/>
        <v>"%USERPROFILE%\Documents\GitHub\eaglep3\Utilities\RefineRTDCRunTimes.py" --tripid 187-01 --locoid 4009 --swversion DE.1.0.8.0 --startMP 204:457 --initTime 2016-12-01T14:22:04 --startdatetime 2016-12-01T14:30:22 --delay 1 --endMP 204:233332 --enddatetime 2016-12-01T15:06:06 --enforcementcount 1 &gt;&gt;C:\Users\stu\Documents\GitHub\eaglep3-reporting\EC\2016-12-01-refined-times.txt</v>
      </c>
      <c r="AI105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{"issue":{"subject":"","project_id":79,"tracker_id":40,"status_id":1,"priority_id":2,"assigned_to_id":23,"start_date":"2016-12-01","description":"","custom_fields":[{"id":1,"name":"Subdivision","value":"EC"},{"id":4,"name":"Milepost","value":"23.3332"},{"id":17,"name":"Train ID","value":"187-01"},{"id":16,"name":"Locomotive ID","value":"4009"},{"id":130,"name":"Impact","value":""},{"id":150,"name":"Time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579</v>
      </c>
      <c r="B106" s="7">
        <v>4010</v>
      </c>
      <c r="C106" s="22" t="s">
        <v>210</v>
      </c>
      <c r="D106" s="22" t="s">
        <v>677</v>
      </c>
      <c r="E106" s="13">
        <v>42705.631365740737</v>
      </c>
      <c r="F106" s="13">
        <v>42705.643240740741</v>
      </c>
      <c r="G106" s="7">
        <v>0</v>
      </c>
      <c r="H106" s="22" t="s">
        <v>316</v>
      </c>
      <c r="I106" s="13">
        <v>42705.674363425926</v>
      </c>
      <c r="J106" s="7">
        <v>1</v>
      </c>
      <c r="K106" s="109" t="str">
        <f>IF(ISEVEN(B106),(B106-1)&amp;"/"&amp;B106,B106&amp;"/"&amp;(B106+1))</f>
        <v>4009/4010</v>
      </c>
      <c r="L106" s="22" t="str">
        <f>VLOOKUP(A106,'Trips&amp;Operators'!$C$1:$G$99999,5,FALSE)</f>
        <v>BONDS REYNALDO</v>
      </c>
      <c r="M106" s="6">
        <f>I106-F106</f>
        <v>3.1122685184527654E-2</v>
      </c>
      <c r="N106" s="7">
        <f>24*60*SUM($M106:$M106)</f>
        <v>44.816666665719822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https://search-rtdc-monitor-bjffxe2xuh6vdkpspy63sjmuny.us-east-1.es.amazonaws.com/_plugin/kibana/#/discover/Steve-Slow-Train-Analysis-(2080s-and-2083s)?_g=(refreshInterval:(display:Off,section:0,value:0),time:(from:'2016-12-01 14:09:10-700',mode:absolute,to:'2016-12-01 17:11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6" s="52" t="str">
        <f>IF(AA106&lt;IF(AG106="EC",23,5.65),"Y","N")</f>
        <v>N</v>
      </c>
      <c r="X106" s="177">
        <f>VALUE(LEFT(AD106,4))-VALUE(LEFT(AD105,4))</f>
        <v>1</v>
      </c>
      <c r="Y106" s="67">
        <f>RIGHT(D106,LEN(D106)-4)/10000</f>
        <v>23.3</v>
      </c>
      <c r="Z106" s="67">
        <f>RIGHT(H106,LEN(H106)-4)/10000</f>
        <v>1.52E-2</v>
      </c>
      <c r="AA106" s="67">
        <f>ABS(Z106-Y106)</f>
        <v>23.284800000000001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>IF(LEN(A106)=6,"0"&amp;A106,A106)</f>
        <v>0188-01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/stypes="app*4010*20161201*"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4"/>
        <v>"%USERPROFILE%\Documents\GitHub\eaglep3\Utilities\RefineRTDCRunTimes.py" --tripid 188-01 --locoid 4010 --swversion DE.1.0.8.0 --startMP 204:233000 --initTime 2016-12-01T15:09:10 --startdatetime 2016-12-01T15:26:16 --delay 0 --endMP 204:152 --enddatetime 2016-12-01T16:11:05 --enforcementcount 1 &gt;&gt;C:\Users\stu\Documents\GitHub\eaglep3-reporting\EC\2016-12-01-refined-times.txt</v>
      </c>
      <c r="AI106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{"issue":{"subject":"","project_id":79,"tracker_id":40,"status_id":1,"priority_id":2,"assigned_to_id":23,"start_date":"2016-12-01","description":"","custom_fields":[{"id":1,"name":"Subdivision","value":"EC"},{"id":4,"name":"Milepost","value":"0.0152"},{"id":17,"name":"Train ID","value":"188-01"},{"id":16,"name":"Locomotive ID","value":"4010"},{"id":130,"name":"Impact","value":""},{"id":150,"name":"Time of Event (Mountain Time)","value":"16:11:05"},{"id":151,"name":"Denver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577</v>
      </c>
      <c r="B107" s="7">
        <v>4046</v>
      </c>
      <c r="C107" s="22" t="s">
        <v>210</v>
      </c>
      <c r="D107" s="22" t="s">
        <v>254</v>
      </c>
      <c r="E107" s="13">
        <v>42705.610289351855</v>
      </c>
      <c r="F107" s="13">
        <v>42705.614756944444</v>
      </c>
      <c r="G107" s="7">
        <v>1</v>
      </c>
      <c r="H107" s="22" t="s">
        <v>712</v>
      </c>
      <c r="I107" s="13">
        <v>42705.639965277776</v>
      </c>
      <c r="J107" s="7">
        <v>1</v>
      </c>
      <c r="K107" s="109" t="str">
        <f>IF(ISEVEN(B107),(B107-1)&amp;"/"&amp;B107,B107&amp;"/"&amp;(B107+1))</f>
        <v>4045/4046</v>
      </c>
      <c r="L107" s="22" t="str">
        <f>VLOOKUP(A107,'Trips&amp;Operators'!$C$1:$G$99999,5,FALSE)</f>
        <v>SHOOK JOHN</v>
      </c>
      <c r="M107" s="6">
        <f>I107-F107</f>
        <v>2.5208333332557231E-2</v>
      </c>
      <c r="N107" s="7">
        <f>24*60*SUM($M107:$M107)</f>
        <v>36.299999998882413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https://search-rtdc-monitor-bjffxe2xuh6vdkpspy63sjmuny.us-east-1.es.amazonaws.com/_plugin/kibana/#/discover/Steve-Slow-Train-Analysis-(2080s-and-2083s)?_g=(refreshInterval:(display:Off,section:0,value:0),time:(from:'2016-12-01 13:38:49-700',mode:absolute,to:'2016-12-01 16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7" s="52" t="str">
        <f>IF(AA107&lt;IF(AG107="EC",23,5.65),"Y","N")</f>
        <v>N</v>
      </c>
      <c r="X107" s="177">
        <f>VALUE(LEFT(AD107,4))-VALUE(LEFT(AD106,4))</f>
        <v>1</v>
      </c>
      <c r="Y107" s="67">
        <f>RIGHT(D107,LEN(D107)-4)/10000</f>
        <v>4.5699999999999998E-2</v>
      </c>
      <c r="Z107" s="67">
        <f>RIGHT(H107,LEN(H107)-4)/10000</f>
        <v>23.3368</v>
      </c>
      <c r="AA107" s="67">
        <f>ABS(Z107-Y107)</f>
        <v>23.2911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>IF(LEN(A107)=6,"0"&amp;A107,A107)</f>
        <v>0189-01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 &amp; aws s3 cp s3://rtdc.mdm.uploadarchive.raw/RTDC4046/ "%USERPROFILE%\AppData\Local\Temp\OnboardLogs"\RTDC4046\2016-12-02 --exclude "*" --recursive --include "*20161202*" &amp; "%USERPROFILE%\Documents\GitHub\mrs-test-scripts\Headless Mode &amp; Sideloading\WalkAndUnGZ.bat" "%USERPROFILE%\AppData\Local\Temp\OnboardLogs"\RTDC4046\2016-12-02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/stypes="app*4046*20161201*" /stext=" 22:.+((SYSTEM_STATE.+slice.+state.+changed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4"/>
        <v>"%USERPROFILE%\Documents\GitHub\eaglep3\Utilities\RefineRTDCRunTimes.py" --tripid 189-01 --locoid 4046 --swversion DE.1.0.8.0 --startMP 204:457 --initTime 2016-12-01T14:38:49 --startdatetime 2016-12-01T14:45:15 --delay 1 --endMP 204:233368 --enddatetime 2016-12-01T15:21:33 --enforcementcount 1 &gt;&gt;C:\Users\stu\Documents\GitHub\eaglep3-reporting\EC\2016-12-01-refined-times.txt</v>
      </c>
      <c r="AI107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{"issue":{"subject":"","project_id":79,"tracker_id":40,"status_id":1,"priority_id":2,"assigned_to_id":23,"start_date":"2016-12-01","description":"","custom_fields":[{"id":1,"name":"Subdivision","value":"EC"},{"id":4,"name":"Milepost","value":"23.3368"},{"id":17,"name":"Train ID","value":"189-01"},{"id":16,"name":"Locomotive ID","value":"4046"},{"id":130,"name":"Impact","value":""},{"id":150,"name":"Time of Event (Mountain Time)","value":"15:21:33"},{"id":151,"name":"Denver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442</v>
      </c>
      <c r="B108" s="7">
        <v>4045</v>
      </c>
      <c r="C108" s="22" t="s">
        <v>210</v>
      </c>
      <c r="D108" s="22" t="s">
        <v>713</v>
      </c>
      <c r="E108" s="13">
        <v>42705.645127314812</v>
      </c>
      <c r="F108" s="13">
        <v>42705.653668981482</v>
      </c>
      <c r="G108" s="7">
        <v>1</v>
      </c>
      <c r="H108" s="22" t="s">
        <v>714</v>
      </c>
      <c r="I108" s="13">
        <v>42705.683622685188</v>
      </c>
      <c r="J108" s="7">
        <v>1</v>
      </c>
      <c r="K108" s="109" t="str">
        <f>IF(ISEVEN(B108),(B108-1)&amp;"/"&amp;B108,B108&amp;"/"&amp;(B108+1))</f>
        <v>4045/4046</v>
      </c>
      <c r="L108" s="22" t="str">
        <f>VLOOKUP(A108,'Trips&amp;Operators'!$C$1:$G$99999,5,FALSE)</f>
        <v>SHOOK JOHN</v>
      </c>
      <c r="M108" s="6">
        <f>I108-F108</f>
        <v>2.9953703706269152E-2</v>
      </c>
      <c r="N108" s="7">
        <f>24*60*SUM($M108:$M108)</f>
        <v>43.13333333702758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https://search-rtdc-monitor-bjffxe2xuh6vdkpspy63sjmuny.us-east-1.es.amazonaws.com/_plugin/kibana/#/discover/Steve-Slow-Train-Analysis-(2080s-and-2083s)?_g=(refreshInterval:(display:Off,section:0,value:0),time:(from:'2016-12-01 14:28:59-700',mode:absolute,to:'2016-12-01 17:24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8" s="52" t="str">
        <f>IF(AA108&lt;IF(AG108="EC",23,5.65),"Y","N")</f>
        <v>N</v>
      </c>
      <c r="X108" s="177">
        <f>VALUE(LEFT(AD108,4))-VALUE(LEFT(AD107,4))</f>
        <v>1</v>
      </c>
      <c r="Y108" s="67">
        <f>RIGHT(D108,LEN(D108)-4)/10000</f>
        <v>23.304400000000001</v>
      </c>
      <c r="Z108" s="67">
        <f>RIGHT(H108,LEN(H108)-4)/10000</f>
        <v>9.0200000000000002E-2</v>
      </c>
      <c r="AA108" s="67">
        <f>ABS(Z108-Y108)</f>
        <v>23.214200000000002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>IF(LEN(A108)=6,"0"&amp;A108,A108)</f>
        <v>0190-01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 &amp; aws s3 cp s3://rtdc.mdm.uploadarchive.raw/RTDC4045/ "%USERPROFILE%\AppData\Local\Temp\OnboardLogs"\RTDC4045\2016-12-02 --exclude "*" --recursive --include "*20161202*" &amp; "%USERPROFILE%\Documents\GitHub\mrs-test-scripts\Headless Mode &amp; Sideloading\WalkAndUnGZ.bat" "%USERPROFILE%\AppData\Local\Temp\OnboardLogs"\RTDC4045\2016-12-02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/stypes="app*4045*20161201*"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4"/>
        <v>"%USERPROFILE%\Documents\GitHub\eaglep3\Utilities\RefineRTDCRunTimes.py" --tripid 190-01 --locoid 4045 --swversion DE.1.0.8.0 --startMP 204:233044 --initTime 2016-12-01T15:28:59 --startdatetime 2016-12-01T15:41:17 --delay 1 --endMP 204:902 --enddatetime 2016-12-01T16:24:25 --enforcementcount 1 &gt;&gt;C:\Users\stu\Documents\GitHub\eaglep3-reporting\EC\2016-12-01-refined-times.txt</v>
      </c>
      <c r="AI108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{"issue":{"subject":"","project_id":79,"tracker_id":40,"status_id":1,"priority_id":2,"assigned_to_id":23,"start_date":"2016-12-01","description":"","custom_fields":[{"id":1,"name":"Subdivision","value":"EC"},{"id":4,"name":"Milepost","value":"0.0902"},{"id":17,"name":"Train ID","value":"190-01"},{"id":16,"name":"Locomotive ID","value":"4045"},{"id":130,"name":"Impact","value":""},{"id":150,"name":"Time of Event (Mountain Time)","value":"16:24:25"},{"id":151,"name":"Denver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578</v>
      </c>
      <c r="B109" s="7">
        <v>4029</v>
      </c>
      <c r="C109" s="22" t="s">
        <v>210</v>
      </c>
      <c r="D109" s="22" t="s">
        <v>715</v>
      </c>
      <c r="E109" s="13">
        <v>42705.622164351851</v>
      </c>
      <c r="F109" s="13">
        <v>42705.625474537039</v>
      </c>
      <c r="G109" s="7">
        <v>1</v>
      </c>
      <c r="H109" s="22" t="s">
        <v>716</v>
      </c>
      <c r="I109" s="13">
        <v>42705.650879629633</v>
      </c>
      <c r="J109" s="7">
        <v>1</v>
      </c>
      <c r="K109" s="109" t="str">
        <f>IF(ISEVEN(B109),(B109-1)&amp;"/"&amp;B109,B109&amp;"/"&amp;(B109+1))</f>
        <v>4029/4030</v>
      </c>
      <c r="L109" s="22" t="str">
        <f>VLOOKUP(A109,'Trips&amp;Operators'!$C$1:$G$99999,5,FALSE)</f>
        <v>MOSES BRADLEY</v>
      </c>
      <c r="M109" s="6">
        <f>I109-F109</f>
        <v>2.5405092594155576E-2</v>
      </c>
      <c r="N109" s="7">
        <f>24*60*SUM($M109:$M109)</f>
        <v>36.58333333558403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https://search-rtdc-monitor-bjffxe2xuh6vdkpspy63sjmuny.us-east-1.es.amazonaws.com/_plugin/kibana/#/discover/Steve-Slow-Train-Analysis-(2080s-and-2083s)?_g=(refreshInterval:(display:Off,section:0,value:0),time:(from:'2016-12-01 13:55:55-700',mode:absolute,to:'2016-12-01 16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9" s="52" t="str">
        <f>IF(AA109&lt;IF(AG109="EC",23,5.65),"Y","N")</f>
        <v>N</v>
      </c>
      <c r="X109" s="177">
        <f>VALUE(LEFT(AD109,4))-VALUE(LEFT(AD108,4))</f>
        <v>1</v>
      </c>
      <c r="Y109" s="67">
        <f>RIGHT(D109,LEN(D109)-4)/10000</f>
        <v>4.2599999999999999E-2</v>
      </c>
      <c r="Z109" s="67">
        <f>RIGHT(H109,LEN(H109)-4)/10000</f>
        <v>23.333600000000001</v>
      </c>
      <c r="AA109" s="67">
        <f>ABS(Z109-Y109)</f>
        <v>23.291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>IF(LEN(A109)=6,"0"&amp;A109,A109)</f>
        <v>0191-01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/stypes="app*4029*20161201*" /stext=" 22:.+((SYSTEM_STATE.+slice.+state.+changed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4"/>
        <v>"%USERPROFILE%\Documents\GitHub\eaglep3\Utilities\RefineRTDCRunTimes.py" --tripid 191-01 --locoid 4029 --swversion DE.1.0.8.0 --startMP 204:426 --initTime 2016-12-01T14:55:55 --startdatetime 2016-12-01T15:00:41 --delay 1 --endMP 204:233336 --enddatetime 2016-12-01T15:37:16 --enforcementcount 1 &gt;&gt;C:\Users\stu\Documents\GitHub\eaglep3-reporting\EC\2016-12-01-refined-times.txt</v>
      </c>
      <c r="AI109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{"issue":{"subject":"","project_id":79,"tracker_id":40,"status_id":1,"priority_id":2,"assigned_to_id":23,"start_date":"2016-12-01","description":"","custom_fields":[{"id":1,"name":"Subdivision","value":"EC"},{"id":4,"name":"Milepost","value":"23.3336"},{"id":17,"name":"Train ID","value":"191-01"},{"id":16,"name":"Locomotive ID","value":"4029"},{"id":130,"name":"Impact","value":""},{"id":150,"name":"Time of Event (Mountain Time)","value":"15:37:16"},{"id":151,"name":"Denver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584</v>
      </c>
      <c r="B110" s="7">
        <v>4030</v>
      </c>
      <c r="C110" s="22" t="s">
        <v>210</v>
      </c>
      <c r="D110" s="22" t="s">
        <v>689</v>
      </c>
      <c r="E110" s="13">
        <v>42705.659097222226</v>
      </c>
      <c r="F110" s="13">
        <v>42705.664282407408</v>
      </c>
      <c r="G110" s="7">
        <v>1</v>
      </c>
      <c r="H110" s="22" t="s">
        <v>243</v>
      </c>
      <c r="I110" s="13">
        <v>42705.692986111113</v>
      </c>
      <c r="J110" s="7">
        <v>1</v>
      </c>
      <c r="K110" s="109" t="str">
        <f>IF(ISEVEN(B110),(B110-1)&amp;"/"&amp;B110,B110&amp;"/"&amp;(B110+1))</f>
        <v>4029/4030</v>
      </c>
      <c r="L110" s="22" t="str">
        <f>VLOOKUP(A110,'Trips&amp;Operators'!$C$1:$G$99999,5,FALSE)</f>
        <v>MOSES BRADLEY</v>
      </c>
      <c r="M110" s="6">
        <f>I110-F110</f>
        <v>2.8703703705104999E-2</v>
      </c>
      <c r="N110" s="7">
        <f>24*60*SUM($M110:$M110)</f>
        <v>41.333333335351199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https://search-rtdc-monitor-bjffxe2xuh6vdkpspy63sjmuny.us-east-1.es.amazonaws.com/_plugin/kibana/#/discover/Steve-Slow-Train-Analysis-(2080s-and-2083s)?_g=(refreshInterval:(display:Off,section:0,value:0),time:(from:'2016-12-01 14:49:06-700',mode:absolute,to:'2016-12-01 17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0" s="52" t="str">
        <f>IF(AA110&lt;IF(AG110="EC",23,5.65),"Y","N")</f>
        <v>N</v>
      </c>
      <c r="X110" s="177">
        <f>VALUE(LEFT(AD110,4))-VALUE(LEFT(AD109,4))</f>
        <v>1</v>
      </c>
      <c r="Y110" s="67">
        <f>RIGHT(D110,LEN(D110)-4)/10000</f>
        <v>23.303000000000001</v>
      </c>
      <c r="Z110" s="67">
        <f>RIGHT(H110,LEN(H110)-4)/10000</f>
        <v>1.6500000000000001E-2</v>
      </c>
      <c r="AA110" s="67">
        <f>ABS(Z110-Y110)</f>
        <v>23.2865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>IF(LEN(A110)=6,"0"&amp;A110,A110)</f>
        <v>0192-01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/stypes="app*4030*20161201*" /stext=" 23:.+((SYSTEM_STATE.+slice.+state.+changed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4"/>
        <v>"%USERPROFILE%\Documents\GitHub\eaglep3\Utilities\RefineRTDCRunTimes.py" --tripid 192-01 --locoid 4030 --swversion DE.1.0.8.0 --startMP 204:233030 --initTime 2016-12-01T15:49:06 --startdatetime 2016-12-01T15:56:34 --delay 1 --endMP 204:165 --enddatetime 2016-12-01T16:37:54 --enforcementcount 1 &gt;&gt;C:\Users\stu\Documents\GitHub\eaglep3-reporting\EC\2016-12-01-refined-times.txt</v>
      </c>
      <c r="AI110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{"issue":{"subject":"","project_id":79,"tracker_id":40,"status_id":1,"priority_id":2,"assigned_to_id":23,"start_date":"2016-12-01","description":"","custom_fields":[{"id":1,"name":"Subdivision","value":"EC"},{"id":4,"name":"Milepost","value":"0.0165"},{"id":17,"name":"Train ID","value":"192-01"},{"id":16,"name":"Locomotive ID","value":"4030"},{"id":130,"name":"Impact","value":""},{"id":150,"name":"Time of Event (Mountain Time)","value":"16:37:54"},{"id":151,"name":"Denver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441</v>
      </c>
      <c r="B111" s="7">
        <v>4007</v>
      </c>
      <c r="C111" s="22" t="s">
        <v>210</v>
      </c>
      <c r="D111" s="22" t="s">
        <v>314</v>
      </c>
      <c r="E111" s="13">
        <v>42705.632164351853</v>
      </c>
      <c r="F111" s="13">
        <v>42705.635659722226</v>
      </c>
      <c r="G111" s="7">
        <v>1</v>
      </c>
      <c r="H111" s="22" t="s">
        <v>717</v>
      </c>
      <c r="I111" s="13">
        <v>42705.661203703705</v>
      </c>
      <c r="J111" s="7">
        <v>1</v>
      </c>
      <c r="K111" s="109" t="str">
        <f>IF(ISEVEN(B111),(B111-1)&amp;"/"&amp;B111,B111&amp;"/"&amp;(B111+1))</f>
        <v>4007/4008</v>
      </c>
      <c r="L111" s="22" t="str">
        <f>VLOOKUP(A111,'Trips&amp;Operators'!$C$1:$G$99999,5,FALSE)</f>
        <v>BROWN JACOB</v>
      </c>
      <c r="M111" s="6">
        <f>I111-F111</f>
        <v>2.5543981479131617E-2</v>
      </c>
      <c r="N111" s="7">
        <f>24*60*SUM($M111:$M111)</f>
        <v>36.783333329949528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https://search-rtdc-monitor-bjffxe2xuh6vdkpspy63sjmuny.us-east-1.es.amazonaws.com/_plugin/kibana/#/discover/Steve-Slow-Train-Analysis-(2080s-and-2083s)?_g=(refreshInterval:(display:Off,section:0,value:0),time:(from:'2016-12-01 14:10:19-700',mode:absolute,to:'2016-12-01 16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1" s="52" t="str">
        <f>IF(AA111&lt;IF(AG111="EC",23,5.65),"Y","N")</f>
        <v>N</v>
      </c>
      <c r="X111" s="177">
        <f>VALUE(LEFT(AD111,4))-VALUE(LEFT(AD110,4))</f>
        <v>1</v>
      </c>
      <c r="Y111" s="67">
        <f>RIGHT(D111,LEN(D111)-4)/10000</f>
        <v>4.3799999999999999E-2</v>
      </c>
      <c r="Z111" s="67">
        <f>RIGHT(H111,LEN(H111)-4)/10000</f>
        <v>23.328600000000002</v>
      </c>
      <c r="AA111" s="67">
        <f>ABS(Z111-Y111)</f>
        <v>23.284800000000001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>IF(LEN(A111)=6,"0"&amp;A111,A111)</f>
        <v>0193-01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/stypes="app*4007*20161201*" /stext=" 22:.+((SYSTEM_STATE.+slice.+state.+changed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4"/>
        <v>"%USERPROFILE%\Documents\GitHub\eaglep3\Utilities\RefineRTDCRunTimes.py" --tripid 193-01 --locoid 4007 --swversion DE.1.0.8.0 --startMP 204:438 --initTime 2016-12-01T15:10:19 --startdatetime 2016-12-01T15:15:21 --delay 1 --endMP 204:233286 --enddatetime 2016-12-01T15:52:08 --enforcementcount 1 &gt;&gt;C:\Users\stu\Documents\GitHub\eaglep3-reporting\EC\2016-12-01-refined-times.txt</v>
      </c>
      <c r="AI111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{"issue":{"subject":"","project_id":79,"tracker_id":40,"status_id":1,"priority_id":2,"assigned_to_id":23,"start_date":"2016-12-01","description":"","custom_fields":[{"id":1,"name":"Subdivision","value":"EC"},{"id":4,"name":"Milepost","value":"23.3286"},{"id":17,"name":"Train ID","value":"193-01"},{"id":16,"name":"Locomotive ID","value":"4007"},{"id":130,"name":"Impact","value":""},{"id":150,"name":"Time of Event (Mountain Time)","value":"15:52:08"},{"id":151,"name":"Denver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585</v>
      </c>
      <c r="B112" s="7">
        <v>4008</v>
      </c>
      <c r="C112" s="22" t="s">
        <v>210</v>
      </c>
      <c r="D112" s="22" t="s">
        <v>684</v>
      </c>
      <c r="E112" s="13">
        <v>42705.665127314816</v>
      </c>
      <c r="F112" s="13">
        <v>42705.674560185187</v>
      </c>
      <c r="G112" s="7">
        <v>1</v>
      </c>
      <c r="H112" s="22" t="s">
        <v>233</v>
      </c>
      <c r="I112" s="13">
        <v>42705.704513888886</v>
      </c>
      <c r="J112" s="7">
        <v>1</v>
      </c>
      <c r="K112" s="109" t="str">
        <f>IF(ISEVEN(B112),(B112-1)&amp;"/"&amp;B112,B112&amp;"/"&amp;(B112+1))</f>
        <v>4007/4008</v>
      </c>
      <c r="L112" s="22" t="str">
        <f>VLOOKUP(A112,'Trips&amp;Operators'!$C$1:$G$99999,5,FALSE)</f>
        <v>BROWN JACOB</v>
      </c>
      <c r="M112" s="6">
        <f>I112-F112</f>
        <v>2.9953703698993195E-2</v>
      </c>
      <c r="N112" s="7">
        <f>24*60*SUM($M112:$M112)</f>
        <v>43.133333326550201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https://search-rtdc-monitor-bjffxe2xuh6vdkpspy63sjmuny.us-east-1.es.amazonaws.com/_plugin/kibana/#/discover/Steve-Slow-Train-Analysis-(2080s-and-2083s)?_g=(refreshInterval:(display:Off,section:0,value:0),time:(from:'2016-12-01 14:57:47-700',mode:absolute,to:'2016-12-01 17:54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2" s="52" t="str">
        <f>IF(AA112&lt;IF(AG112="EC",23,5.65),"Y","N")</f>
        <v>N</v>
      </c>
      <c r="X112" s="177">
        <f>VALUE(LEFT(AD112,4))-VALUE(LEFT(AD111,4))</f>
        <v>1</v>
      </c>
      <c r="Y112" s="67">
        <f>RIGHT(D112,LEN(D112)-4)/10000</f>
        <v>23.2971</v>
      </c>
      <c r="Z112" s="67">
        <f>RIGHT(H112,LEN(H112)-4)/10000</f>
        <v>1.41E-2</v>
      </c>
      <c r="AA112" s="67">
        <f>ABS(Z112-Y112)</f>
        <v>23.283000000000001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>IF(LEN(A112)=6,"0"&amp;A112,A112)</f>
        <v>0194-01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/stypes="app*4008*20161201*" /stext=" 23:.+((SYSTEM_STATE.+slice.+state.+changed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4"/>
        <v>"%USERPROFILE%\Documents\GitHub\eaglep3\Utilities\RefineRTDCRunTimes.py" --tripid 194-01 --locoid 4008 --swversion DE.1.0.8.0 --startMP 204:232971 --initTime 2016-12-01T15:57:47 --startdatetime 2016-12-01T16:11:22 --delay 1 --endMP 204:141 --enddatetime 2016-12-01T16:54:30 --enforcementcount 1 &gt;&gt;C:\Users\stu\Documents\GitHub\eaglep3-reporting\EC\2016-12-01-refined-times.txt</v>
      </c>
      <c r="AI112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{"issue":{"subject":"","project_id":79,"tracker_id":40,"status_id":1,"priority_id":2,"assigned_to_id":23,"start_date":"2016-12-01","description":"","custom_fields":[{"id":1,"name":"Subdivision","value":"EC"},{"id":4,"name":"Milepost","value":"0.0141"},{"id":17,"name":"Train ID","value":"194-01"},{"id":16,"name":"Locomotive ID","value":"4008"},{"id":130,"name":"Impact","value":""},{"id":150,"name":"Time of Event (Mountain Time)","value":"16:54:30"},{"id":151,"name":"Denver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580</v>
      </c>
      <c r="B113" s="7">
        <v>4040</v>
      </c>
      <c r="C113" s="22" t="s">
        <v>210</v>
      </c>
      <c r="D113" s="22" t="s">
        <v>320</v>
      </c>
      <c r="E113" s="13">
        <v>42705.643321759257</v>
      </c>
      <c r="F113" s="13">
        <v>42705.646365740744</v>
      </c>
      <c r="G113" s="7">
        <v>1</v>
      </c>
      <c r="H113" s="22" t="s">
        <v>304</v>
      </c>
      <c r="I113" s="13">
        <v>42705.674328703702</v>
      </c>
      <c r="J113" s="7">
        <v>1</v>
      </c>
      <c r="K113" s="109" t="str">
        <f>IF(ISEVEN(B113),(B113-1)&amp;"/"&amp;B113,B113&amp;"/"&amp;(B113+1))</f>
        <v>4039/4040</v>
      </c>
      <c r="L113" s="22" t="str">
        <f>VLOOKUP(A113,'Trips&amp;Operators'!$C$1:$G$99999,5,FALSE)</f>
        <v>ARVIDSON DANIEL</v>
      </c>
      <c r="M113" s="6">
        <f>I113-F113</f>
        <v>2.7962962958554272E-2</v>
      </c>
      <c r="N113" s="7">
        <f>24*60*SUM($M113:$M113)</f>
        <v>40.266666660318151</v>
      </c>
      <c r="O113" s="7"/>
      <c r="P113" s="7"/>
      <c r="Q113" s="23"/>
      <c r="R113" s="23"/>
      <c r="S113" s="35">
        <f>SUM(U113:U113)/IF(AG113="EC",12,1)</f>
        <v>1</v>
      </c>
      <c r="T113" s="50" t="str">
        <f>IF(ISEVEN(LEFT(AD113,4)),"Southbound","NorthBound")</f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https://search-rtdc-monitor-bjffxe2xuh6vdkpspy63sjmuny.us-east-1.es.amazonaws.com/_plugin/kibana/#/discover/Steve-Slow-Train-Analysis-(2080s-and-2083s)?_g=(refreshInterval:(display:Off,section:0,value:0),time:(from:'2016-12-01 14:26:23-700',mode:absolute,to:'2016-12-01 17:11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3" s="52" t="str">
        <f>IF(AA113&lt;IF(AG113="EC",23,5.65),"Y","N")</f>
        <v>N</v>
      </c>
      <c r="X113" s="177">
        <f>VALUE(LEFT(AD113,4))-VALUE(LEFT(AD112,4))</f>
        <v>1</v>
      </c>
      <c r="Y113" s="67">
        <f>RIGHT(D113,LEN(D113)-4)/10000</f>
        <v>4.3700000000000003E-2</v>
      </c>
      <c r="Z113" s="67">
        <f>RIGHT(H113,LEN(H113)-4)/10000</f>
        <v>23.328900000000001</v>
      </c>
      <c r="AA113" s="67">
        <f>ABS(Z113-Y113)</f>
        <v>23.2852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>IF(LEN(A113)=6,"0"&amp;A113,A113)</f>
        <v>0195-01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/stypes="app*4040*20161201*" /stext=" 23:.+((SYSTEM_STATE.+slice.+state.+changed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4"/>
        <v>"%USERPROFILE%\Documents\GitHub\eaglep3\Utilities\RefineRTDCRunTimes.py" --tripid 195-01 --locoid 4040 --swversion DE.1.0.8.0 --startMP 204:437 --initTime 2016-12-01T15:26:23 --startdatetime 2016-12-01T15:30:46 --delay 1 --endMP 204:233289 --enddatetime 2016-12-01T16:11:02 --enforcementcount 1 &gt;&gt;C:\Users\stu\Documents\GitHub\eaglep3-reporting\EC\2016-12-01-refined-times.txt</v>
      </c>
      <c r="AI113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{"issue":{"subject":"","project_id":79,"tracker_id":40,"status_id":1,"priority_id":2,"assigned_to_id":23,"start_date":"2016-12-01","description":"","custom_fields":[{"id":1,"name":"Subdivision","value":"EC"},{"id":4,"name":"Milepost","value":"23.3289"},{"id":17,"name":"Train ID","value":"195-01"},{"id":16,"name":"Locomotive ID","value":"4040"},{"id":130,"name":"Impact","value":""},{"id":150,"name":"Time of Event (Mountain Time)","value":"16:11:02"},{"id":151,"name":"Denver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590</v>
      </c>
      <c r="B114" s="7">
        <v>4039</v>
      </c>
      <c r="C114" s="22" t="s">
        <v>210</v>
      </c>
      <c r="D114" s="22" t="s">
        <v>718</v>
      </c>
      <c r="E114" s="13">
        <v>42705.679050925923</v>
      </c>
      <c r="F114" s="13">
        <v>42705.691967592589</v>
      </c>
      <c r="G114" s="7">
        <v>17</v>
      </c>
      <c r="H114" s="22" t="s">
        <v>719</v>
      </c>
      <c r="I114" s="13">
        <v>42705.716249999998</v>
      </c>
      <c r="J114" s="7">
        <v>1</v>
      </c>
      <c r="K114" s="109" t="str">
        <f>IF(ISEVEN(B114),(B114-1)&amp;"/"&amp;B114,B114&amp;"/"&amp;(B114+1))</f>
        <v>4039/4040</v>
      </c>
      <c r="L114" s="22" t="str">
        <f>VLOOKUP(A114,'Trips&amp;Operators'!$C$1:$G$99999,5,FALSE)</f>
        <v>ARVIDSON DANIEL</v>
      </c>
      <c r="M114" s="6">
        <f>I114-F114</f>
        <v>2.4282407408463769E-2</v>
      </c>
      <c r="N114" s="7"/>
      <c r="O114" s="7"/>
      <c r="P114" s="7">
        <f>24*60*SUM($M114:$M114)</f>
        <v>34.966666668187827</v>
      </c>
      <c r="Q114" s="23"/>
      <c r="R114" s="23" t="s">
        <v>388</v>
      </c>
      <c r="S114" s="35">
        <f>SUM(U114:U114)/IF(AG114="EC",12,1)</f>
        <v>1</v>
      </c>
      <c r="T114" s="50" t="str">
        <f>IF(ISEVEN(LEFT(AD114,4)),"Southbound","NorthBound")</f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https://search-rtdc-monitor-bjffxe2xuh6vdkpspy63sjmuny.us-east-1.es.amazonaws.com/_plugin/kibana/#/discover/Steve-Slow-Train-Analysis-(2080s-and-2083s)?_g=(refreshInterval:(display:Off,section:0,value:0),time:(from:'2016-12-01 15:17:50-700',mode:absolute,to:'2016-12-01 18:11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4" s="52" t="str">
        <f>IF(AA114&lt;IF(AG114="EC",23,5.65),"Y","N")</f>
        <v>Y</v>
      </c>
      <c r="X114" s="177">
        <f t="shared" ref="X114:X118" si="6">VALUE(LEFT(AD114,4))-VALUE(LEFT(AD113,4))</f>
        <v>1</v>
      </c>
      <c r="Y114" s="67">
        <f>RIGHT(D114,LEN(D114)-4)/10000</f>
        <v>19.478000000000002</v>
      </c>
      <c r="Z114" s="67">
        <f>RIGHT(H114,LEN(H114)-4)/10000</f>
        <v>0.12379999999999999</v>
      </c>
      <c r="AA114" s="67">
        <f>ABS(Z114-Y114)</f>
        <v>19.354200000000002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>IF(LEN(A114)=6,"0"&amp;A114,A114)</f>
        <v>0196-01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/stypes="app*4039*20161202*"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4"/>
        <v>"%USERPROFILE%\Documents\GitHub\eaglep3\Utilities\RefineRTDCRunTimes.py" --tripid 196-01 --locoid 4039 --swversion DE.1.0.8.0 --startMP 204:194780 --initTime 2016-12-01T16:17:50 --startdatetime 2016-12-01T16:36:26 --delay 17 --endMP 204:1238 --enddatetime 2016-12-01T17:11:24 --enforcementcount 1 &gt;&gt;C:\Users\stu\Documents\GitHub\eaglep3-reporting\EC\2016-12-01-refined-times.txt</v>
      </c>
      <c r="AI114" s="119" t="str">
        <f t="shared" si="5"/>
        <v>echo {"issue":{"subject":"Onboard in-route failure","project_id":79,"tracker_id":40,"status_id":1,"priority_id":2,"assigned_to_id":23,"start_date":"2016-12-01","description":"","custom_fields":[{"id":1,"name":"Subdivision","value":"EC"},{"id":4,"name":"Milepost","value":"0.1238"},{"id":17,"name":"Train ID","value":"196-01"},{"id":16,"name":"Locomotive ID","value":"4039"},{"id":130,"name":"Impact","value":""},{"id":150,"name":"Time of Event (Mountain Time)","value":"17:11:24"},{"id":151,"name":"Denver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583</v>
      </c>
      <c r="B115" s="7">
        <v>4016</v>
      </c>
      <c r="C115" s="22" t="s">
        <v>210</v>
      </c>
      <c r="D115" s="22" t="s">
        <v>255</v>
      </c>
      <c r="E115" s="13">
        <v>42705.658171296294</v>
      </c>
      <c r="F115" s="13">
        <v>42705.659513888888</v>
      </c>
      <c r="G115" s="7">
        <v>1</v>
      </c>
      <c r="H115" s="22" t="s">
        <v>720</v>
      </c>
      <c r="I115" s="13">
        <v>42705.684305555558</v>
      </c>
      <c r="J115" s="7">
        <v>1</v>
      </c>
      <c r="K115" s="109" t="str">
        <f>IF(ISEVEN(B115),(B115-1)&amp;"/"&amp;B115,B115&amp;"/"&amp;(B115+1))</f>
        <v>4015/4016</v>
      </c>
      <c r="L115" s="22" t="str">
        <f>VLOOKUP(A115,'Trips&amp;Operators'!$C$1:$G$99999,5,FALSE)</f>
        <v>ADANE ELSHADAY</v>
      </c>
      <c r="M115" s="6">
        <f>I115-F115</f>
        <v>2.4791666670353152E-2</v>
      </c>
      <c r="N115" s="7">
        <f>24*60*SUM($M115:$M115)</f>
        <v>35.700000005308539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https://search-rtdc-monitor-bjffxe2xuh6vdkpspy63sjmuny.us-east-1.es.amazonaws.com/_plugin/kibana/#/discover/Steve-Slow-Train-Analysis-(2080s-and-2083s)?_g=(refreshInterval:(display:Off,section:0,value:0),time:(from:'2016-12-01 14:47:46-700',mode:absolute,to:'2016-12-01 17:25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5" s="52" t="str">
        <f>IF(AA115&lt;IF(AG115="EC",23,5.65),"Y","N")</f>
        <v>N</v>
      </c>
      <c r="X115" s="177">
        <f t="shared" si="6"/>
        <v>1</v>
      </c>
      <c r="Y115" s="67">
        <f>RIGHT(D115,LEN(D115)-4)/10000</f>
        <v>4.7100000000000003E-2</v>
      </c>
      <c r="Z115" s="67">
        <f>RIGHT(H115,LEN(H115)-4)/10000</f>
        <v>23.327400000000001</v>
      </c>
      <c r="AA115" s="67">
        <f>ABS(Z115-Y115)</f>
        <v>23.2803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>IF(LEN(A115)=6,"0"&amp;A115,A115)</f>
        <v>0197-01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s3://rtdc.mdm.uploadarchive.raw/RTDC4016/ "%USERPROFILE%\AppData\Local\Temp\OnboardLogs"\RTDC4016\2016-12-01 --exclude "*" --recursive --include "*20161201*" &amp; "%USERPROFILE%\Documents\GitHub\mrs-test-scripts\Headless Mode &amp; Sideloading\WalkAndUnGZ.bat" "%USERPROFILE%\AppData\Local\Temp\OnboardLogs"\RTDC4016\2016-12-01 &amp; 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/stypes="app*4016*20161201*" /stext=" 23:.+((SYSTEM_STATE.+slice.+state.+changed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4"/>
        <v>"%USERPROFILE%\Documents\GitHub\eaglep3\Utilities\RefineRTDCRunTimes.py" --tripid 197-01 --locoid 4016 --swversion DE.1.0.8.0 --startMP 204:471 --initTime 2016-12-01T15:47:46 --startdatetime 2016-12-01T15:49:42 --delay 1 --endMP 204:233274 --enddatetime 2016-12-01T16:25:24 --enforcementcount 1 &gt;&gt;C:\Users\stu\Documents\GitHub\eaglep3-reporting\EC\2016-12-01-refined-times.txt</v>
      </c>
      <c r="AI115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{"issue":{"subject":"","project_id":79,"tracker_id":40,"status_id":1,"priority_id":2,"assigned_to_id":23,"start_date":"2016-12-01","description":"","custom_fields":[{"id":1,"name":"Subdivision","value":"EC"},{"id":4,"name":"Milepost","value":"23.3274"},{"id":17,"name":"Train ID","value":"197-01"},{"id":16,"name":"Locomotive ID","value":"4016"},{"id":130,"name":"Impact","value":""},{"id":150,"name":"Time of Event (Mountain Time)","value":"16:25:24"},{"id":151,"name":"Denver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595</v>
      </c>
      <c r="B116" s="7">
        <v>4015</v>
      </c>
      <c r="C116" s="22" t="s">
        <v>210</v>
      </c>
      <c r="D116" s="22" t="s">
        <v>342</v>
      </c>
      <c r="E116" s="13">
        <v>42705.685879629629</v>
      </c>
      <c r="F116" s="13">
        <v>42705.695613425924</v>
      </c>
      <c r="G116" s="7">
        <v>1</v>
      </c>
      <c r="H116" s="22" t="s">
        <v>217</v>
      </c>
      <c r="I116" s="13">
        <v>42705.721388888887</v>
      </c>
      <c r="J116" s="7">
        <v>1</v>
      </c>
      <c r="K116" s="109" t="str">
        <f>IF(ISEVEN(B116),(B116-1)&amp;"/"&amp;B116,B116&amp;"/"&amp;(B116+1))</f>
        <v>4015/4016</v>
      </c>
      <c r="L116" s="22" t="str">
        <f>VLOOKUP(A116,'Trips&amp;Operators'!$C$1:$G$99999,5,FALSE)</f>
        <v>ADANE ELSHADAY</v>
      </c>
      <c r="M116" s="6">
        <f>I116-F116</f>
        <v>2.5775462963792961E-2</v>
      </c>
      <c r="N116" s="7">
        <f>24*60*SUM($M116:$M116)</f>
        <v>37.116666667861864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https://search-rtdc-monitor-bjffxe2xuh6vdkpspy63sjmuny.us-east-1.es.amazonaws.com/_plugin/kibana/#/discover/Steve-Slow-Train-Analysis-(2080s-and-2083s)?_g=(refreshInterval:(display:Off,section:0,value:0),time:(from:'2016-12-01 15:27:40-700',mode:absolute,to:'2016-12-01 18:18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6" s="52" t="str">
        <f>IF(AA116&lt;IF(AG116="EC",23,5.65),"Y","N")</f>
        <v>N</v>
      </c>
      <c r="X116" s="177">
        <f t="shared" si="6"/>
        <v>1</v>
      </c>
      <c r="Y116" s="67">
        <f>RIGHT(D116,LEN(D116)-4)/10000</f>
        <v>23.296900000000001</v>
      </c>
      <c r="Z116" s="67">
        <f>RIGHT(H116,LEN(H116)-4)/10000</f>
        <v>1.4999999999999999E-2</v>
      </c>
      <c r="AA116" s="67">
        <f>ABS(Z116-Y116)</f>
        <v>23.2819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>IF(LEN(A116)=6,"0"&amp;A116,A116)</f>
        <v>0198-01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/stypes="app*4015*20161202*"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4"/>
        <v>"%USERPROFILE%\Documents\GitHub\eaglep3\Utilities\RefineRTDCRunTimes.py" --tripid 198-01 --locoid 4015 --swversion DE.1.0.8.0 --startMP 204:232969 --initTime 2016-12-01T16:27:40 --startdatetime 2016-12-01T16:41:41 --delay 1 --endMP 204:150 --enddatetime 2016-12-01T17:18:48 --enforcementcount 1 &gt;&gt;C:\Users\stu\Documents\GitHub\eaglep3-reporting\EC\2016-12-01-refined-times.txt</v>
      </c>
      <c r="AI116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{"issue":{"subject":"","project_id":79,"tracker_id":40,"status_id":1,"priority_id":2,"assigned_to_id":23,"start_date":"2016-12-01","description":"","custom_fields":[{"id":1,"name":"Subdivision","value":"EC"},{"id":4,"name":"Milepost","value":"0.015"},{"id":17,"name":"Train ID","value":"198-01"},{"id":16,"name":"Locomotive ID","value":"4015"},{"id":130,"name":"Impact","value":""},{"id":150,"name":"Time of Event (Mountain Time)","value":"17:18:48"},{"id":151,"name":"Denver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587</v>
      </c>
      <c r="B117" s="7">
        <v>4002</v>
      </c>
      <c r="C117" s="22" t="s">
        <v>210</v>
      </c>
      <c r="D117" s="22" t="s">
        <v>721</v>
      </c>
      <c r="E117" s="13">
        <v>42705.667407407411</v>
      </c>
      <c r="F117" s="13">
        <v>42705.669641203705</v>
      </c>
      <c r="G117" s="7">
        <v>1</v>
      </c>
      <c r="H117" s="22" t="s">
        <v>722</v>
      </c>
      <c r="I117" s="13">
        <v>42705.694652777776</v>
      </c>
      <c r="J117" s="7">
        <v>1</v>
      </c>
      <c r="K117" s="109" t="str">
        <f>IF(ISEVEN(B117),(B117-1)&amp;"/"&amp;B117,B117&amp;"/"&amp;(B117+1))</f>
        <v>4001/4002</v>
      </c>
      <c r="L117" s="22" t="str">
        <f>VLOOKUP(A117,'Trips&amp;Operators'!$C$1:$G$99999,5,FALSE)</f>
        <v>HILLS DUSTIN</v>
      </c>
      <c r="M117" s="6">
        <f>I117-F117</f>
        <v>2.5011574070958886E-2</v>
      </c>
      <c r="N117" s="7">
        <f>24*60*SUM($M117:$M117)</f>
        <v>36.016666662180796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https://search-rtdc-monitor-bjffxe2xuh6vdkpspy63sjmuny.us-east-1.es.amazonaws.com/_plugin/kibana/#/discover/Steve-Slow-Train-Analysis-(2080s-and-2083s)?_g=(refreshInterval:(display:Off,section:0,value:0),time:(from:'2016-12-01 15:01:04-700',mode:absolute,to:'2016-12-01 17:40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7" s="52" t="str">
        <f>IF(AA117&lt;IF(AG117="EC",23,5.65),"Y","N")</f>
        <v>N</v>
      </c>
      <c r="X117" s="177">
        <f t="shared" si="6"/>
        <v>1</v>
      </c>
      <c r="Y117" s="67">
        <f>RIGHT(D117,LEN(D117)-4)/10000</f>
        <v>4.1599999999999998E-2</v>
      </c>
      <c r="Z117" s="67">
        <f>RIGHT(H117,LEN(H117)-4)/10000</f>
        <v>23.339099999999998</v>
      </c>
      <c r="AA117" s="67">
        <f>ABS(Z117-Y117)</f>
        <v>23.297499999999999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>IF(LEN(A117)=6,"0"&amp;A117,A117)</f>
        <v>0199-01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 &amp; 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/stypes="app*4002*20161201*" /stext=" 23:.+((SYSTEM_STATE.+slice.+state.+changed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4"/>
        <v>"%USERPROFILE%\Documents\GitHub\eaglep3\Utilities\RefineRTDCRunTimes.py" --tripid 199-01 --locoid 4002 --swversion DE.1.0.8.0 --startMP 204:416 --initTime 2016-12-01T16:01:04 --startdatetime 2016-12-01T16:04:17 --delay 1 --endMP 204:233391 --enddatetime 2016-12-01T16:40:18 --enforcementcount 1 &gt;&gt;C:\Users\stu\Documents\GitHub\eaglep3-reporting\EC\2016-12-01-refined-times.txt</v>
      </c>
      <c r="AI117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{"issue":{"subject":"","project_id":79,"tracker_id":40,"status_id":1,"priority_id":2,"assigned_to_id":23,"start_date":"2016-12-01","description":"","custom_fields":[{"id":1,"name":"Subdivision","value":"EC"},{"id":4,"name":"Milepost","value":"23.3391"},{"id":17,"name":"Train ID","value":"199-01"},{"id":16,"name":"Locomotive ID","value":"4002"},{"id":130,"name":"Impact","value":""},{"id":150,"name":"Time of Event (Mountain Time)","value":"16:40:18"},{"id":151,"name":"Denver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598</v>
      </c>
      <c r="B118" s="7">
        <v>4001</v>
      </c>
      <c r="C118" s="22" t="s">
        <v>210</v>
      </c>
      <c r="D118" s="22" t="s">
        <v>379</v>
      </c>
      <c r="E118" s="13">
        <v>42705.696562500001</v>
      </c>
      <c r="F118" s="13">
        <v>42705.705729166664</v>
      </c>
      <c r="G118" s="7">
        <v>1</v>
      </c>
      <c r="H118" s="22" t="s">
        <v>723</v>
      </c>
      <c r="I118" s="13">
        <v>42705.732210648152</v>
      </c>
      <c r="J118" s="7">
        <v>1</v>
      </c>
      <c r="K118" s="109" t="str">
        <f>IF(ISEVEN(B118),(B118-1)&amp;"/"&amp;B118,B118&amp;"/"&amp;(B118+1))</f>
        <v>4001/4002</v>
      </c>
      <c r="L118" s="22" t="str">
        <f>VLOOKUP(A118,'Trips&amp;Operators'!$C$1:$G$99999,5,FALSE)</f>
        <v>HILLS DUSTIN</v>
      </c>
      <c r="M118" s="6">
        <f>I118-F118</f>
        <v>2.6481481487280689E-2</v>
      </c>
      <c r="N118" s="7">
        <f>24*60*SUM($M118:$M118)</f>
        <v>38.133333341684192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https://search-rtdc-monitor-bjffxe2xuh6vdkpspy63sjmuny.us-east-1.es.amazonaws.com/_plugin/kibana/#/discover/Steve-Slow-Train-Analysis-(2080s-and-2083s)?_g=(refreshInterval:(display:Off,section:0,value:0),time:(from:'2016-12-01 15:43:03-700',mode:absolute,to:'2016-12-01 18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8" s="52" t="str">
        <f>IF(AA118&lt;IF(AG118="EC",23,5.65),"Y","N")</f>
        <v>N</v>
      </c>
      <c r="X118" s="177">
        <f t="shared" si="6"/>
        <v>1</v>
      </c>
      <c r="Y118" s="67">
        <f>RIGHT(D118,LEN(D118)-4)/10000</f>
        <v>23.306799999999999</v>
      </c>
      <c r="Z118" s="67">
        <f>RIGHT(H118,LEN(H118)-4)/10000</f>
        <v>9.7999999999999997E-3</v>
      </c>
      <c r="AA118" s="67">
        <f>ABS(Z118-Y118)</f>
        <v>23.297000000000001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>IF(LEN(A118)=6,"0"&amp;A118,A118)</f>
        <v>0200-01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/stypes="app*4001*20161202*" /stext=" 00:.+((SYSTEM_STATE.+slice.+state.+changed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4"/>
        <v>"%USERPROFILE%\Documents\GitHub\eaglep3\Utilities\RefineRTDCRunTimes.py" --tripid 200-01 --locoid 4001 --swversion DE.1.0.8.0 --startMP 204:233068 --initTime 2016-12-01T16:43:03 --startdatetime 2016-12-01T16:56:15 --delay 1 --endMP 204:98 --enddatetime 2016-12-01T17:34:23 --enforcementcount 1 &gt;&gt;C:\Users\stu\Documents\GitHub\eaglep3-reporting\EC\2016-12-01-refined-times.txt</v>
      </c>
      <c r="AI118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{"issue":{"subject":"","project_id":79,"tracker_id":40,"status_id":1,"priority_id":2,"assigned_to_id":23,"start_date":"2016-12-01","description":"","custom_fields":[{"id":1,"name":"Subdivision","value":"EC"},{"id":4,"name":"Milepost","value":"0.0098"},{"id":17,"name":"Train ID","value":"200-01"},{"id":16,"name":"Locomotive ID","value":"4001"},{"id":130,"name":"Impact","value":""},{"id":150,"name":"Time of Event (Mountain Time)","value":"17:34:23"},{"id":151,"name":"Denver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589</v>
      </c>
      <c r="B119" s="7">
        <v>4009</v>
      </c>
      <c r="C119" s="22" t="s">
        <v>210</v>
      </c>
      <c r="D119" s="22" t="s">
        <v>247</v>
      </c>
      <c r="E119" s="13">
        <v>42705.675509259258</v>
      </c>
      <c r="F119" s="13">
        <v>42705.677430555559</v>
      </c>
      <c r="G119" s="7">
        <v>1</v>
      </c>
      <c r="H119" s="22" t="s">
        <v>724</v>
      </c>
      <c r="I119" s="13">
        <v>42705.702789351853</v>
      </c>
      <c r="J119" s="7">
        <v>1</v>
      </c>
      <c r="K119" s="109" t="str">
        <f>IF(ISEVEN(B119),(B119-1)&amp;"/"&amp;B119,B119&amp;"/"&amp;(B119+1))</f>
        <v>4009/4010</v>
      </c>
      <c r="L119" s="22" t="str">
        <f>VLOOKUP(A119,'Trips&amp;Operators'!$C$1:$G$99999,5,FALSE)</f>
        <v>BONDS REYNALDO</v>
      </c>
      <c r="M119" s="6">
        <f>I119-F119</f>
        <v>2.5358796294312924E-2</v>
      </c>
      <c r="N119" s="7">
        <f>24*60*SUM($M119:$M119)</f>
        <v>36.516666663810611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https://search-rtdc-monitor-bjffxe2xuh6vdkpspy63sjmuny.us-east-1.es.amazonaws.com/_plugin/kibana/#/discover/Steve-Slow-Train-Analysis-(2080s-and-2083s)?_g=(refreshInterval:(display:Off,section:0,value:0),time:(from:'2016-12-01 15:12:44-700',mode:absolute,to:'2016-12-01 17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9" s="52" t="str">
        <f>IF(AA119&lt;IF(AG119="EC",23,5.65),"Y","N")</f>
        <v>N</v>
      </c>
      <c r="X119" s="177">
        <f>VALUE(LEFT(AD119,4))-VALUE(LEFT(AD118,4))</f>
        <v>1</v>
      </c>
      <c r="Y119" s="67">
        <f>RIGHT(D119,LEN(D119)-4)/10000</f>
        <v>4.4200000000000003E-2</v>
      </c>
      <c r="Z119" s="67">
        <f>RIGHT(H119,LEN(H119)-4)/10000</f>
        <v>23.328800000000001</v>
      </c>
      <c r="AA119" s="67">
        <f>ABS(Z119-Y119)</f>
        <v>23.284600000000001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>IF(LEN(A119)=6,"0"&amp;A119,A119)</f>
        <v>0201-01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/stypes="app*4009*20161201*" /stext=" 23:.+((SYSTEM_STATE.+slice.+state.+changed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4"/>
        <v>"%USERPROFILE%\Documents\GitHub\eaglep3\Utilities\RefineRTDCRunTimes.py" --tripid 201-01 --locoid 4009 --swversion DE.1.0.8.0 --startMP 204:442 --initTime 2016-12-01T16:12:44 --startdatetime 2016-12-01T16:15:30 --delay 1 --endMP 204:233288 --enddatetime 2016-12-01T16:52:01 --enforcementcount 1 &gt;&gt;C:\Users\stu\Documents\GitHub\eaglep3-reporting\EC\2016-12-01-refined-times.txt</v>
      </c>
      <c r="AI119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{"issue":{"subject":"","project_id":79,"tracker_id":40,"status_id":1,"priority_id":2,"assigned_to_id":23,"start_date":"2016-12-01","description":"","custom_fields":[{"id":1,"name":"Subdivision","value":"EC"},{"id":4,"name":"Milepost","value":"23.3288"},{"id":17,"name":"Train ID","value":"201-01"},{"id":16,"name":"Locomotive ID","value":"4009"},{"id":130,"name":"Impact","value":""},{"id":150,"name":"Time of Event (Mountain Time)","value":"16:52:01"},{"id":151,"name":"Denver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600</v>
      </c>
      <c r="B120" s="7">
        <v>4010</v>
      </c>
      <c r="C120" s="22" t="s">
        <v>210</v>
      </c>
      <c r="D120" s="22" t="s">
        <v>725</v>
      </c>
      <c r="E120" s="13">
        <v>42705.706805555557</v>
      </c>
      <c r="F120" s="13">
        <v>42705.716215277775</v>
      </c>
      <c r="G120" s="7">
        <v>1</v>
      </c>
      <c r="H120" s="22" t="s">
        <v>206</v>
      </c>
      <c r="I120" s="13">
        <v>42705.743541666663</v>
      </c>
      <c r="J120" s="7">
        <v>1</v>
      </c>
      <c r="K120" s="109" t="str">
        <f>IF(ISEVEN(B120),(B120-1)&amp;"/"&amp;B120,B120&amp;"/"&amp;(B120+1))</f>
        <v>4009/4010</v>
      </c>
      <c r="L120" s="22" t="str">
        <f>VLOOKUP(A120,'Trips&amp;Operators'!$C$1:$G$99999,5,FALSE)</f>
        <v>BONDS REYNALDO</v>
      </c>
      <c r="M120" s="6">
        <f>I120-F120</f>
        <v>2.73263888884685E-2</v>
      </c>
      <c r="N120" s="7">
        <f>24*60*SUM($M120:$M120)</f>
        <v>39.34999999939464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https://search-rtdc-monitor-bjffxe2xuh6vdkpspy63sjmuny.us-east-1.es.amazonaws.com/_plugin/kibana/#/discover/Steve-Slow-Train-Analysis-(2080s-and-2083s)?_g=(refreshInterval:(display:Off,section:0,value:0),time:(from:'2016-12-01 15:57:48-700',mode:absolute,to:'2016-12-01 18:50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0" s="52" t="str">
        <f>IF(AA120&lt;IF(AG120="EC",23,5.65),"Y","N")</f>
        <v>N</v>
      </c>
      <c r="X120" s="177">
        <f>VALUE(LEFT(AD120,4))-VALUE(LEFT(AD119,4))</f>
        <v>1</v>
      </c>
      <c r="Y120" s="67">
        <f>RIGHT(D120,LEN(D120)-4)/10000</f>
        <v>23.296700000000001</v>
      </c>
      <c r="Z120" s="67">
        <f>RIGHT(H120,LEN(H120)-4)/10000</f>
        <v>1.5599999999999999E-2</v>
      </c>
      <c r="AA120" s="67">
        <f>ABS(Z120-Y120)</f>
        <v>23.281100000000002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>IF(LEN(A120)=6,"0"&amp;A120,A120)</f>
        <v>0202-01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/stypes="app*4010*20161202*" /stext=" 00:.+((SYSTEM_STATE.+slice.+state.+changed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4"/>
        <v>"%USERPROFILE%\Documents\GitHub\eaglep3\Utilities\RefineRTDCRunTimes.py" --tripid 202-01 --locoid 4010 --swversion DE.1.0.8.0 --startMP 204:232967 --initTime 2016-12-01T16:57:48 --startdatetime 2016-12-01T17:11:21 --delay 1 --endMP 204:156 --enddatetime 2016-12-01T17:50:42 --enforcementcount 1 &gt;&gt;C:\Users\stu\Documents\GitHub\eaglep3-reporting\EC\2016-12-01-refined-times.txt</v>
      </c>
      <c r="AI120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{"issue":{"subject":"","project_id":79,"tracker_id":40,"status_id":1,"priority_id":2,"assigned_to_id":23,"start_date":"2016-12-01","description":"","custom_fields":[{"id":1,"name":"Subdivision","value":"EC"},{"id":4,"name":"Milepost","value":"0.0156"},{"id":17,"name":"Train ID","value":"202-01"},{"id":16,"name":"Locomotive ID","value":"4010"},{"id":130,"name":"Impact","value":""},{"id":150,"name":"Time of Event (Mountain Time)","value":"17:50:42"},{"id":151,"name":"Denver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591</v>
      </c>
      <c r="B121" s="7">
        <v>4031</v>
      </c>
      <c r="C121" s="22" t="s">
        <v>210</v>
      </c>
      <c r="D121" s="22" t="s">
        <v>255</v>
      </c>
      <c r="E121" s="13">
        <v>42705.681087962963</v>
      </c>
      <c r="F121" s="13">
        <v>42705.687777777777</v>
      </c>
      <c r="G121" s="7">
        <v>2</v>
      </c>
      <c r="H121" s="22" t="s">
        <v>726</v>
      </c>
      <c r="I121" s="13">
        <v>42705.713923611111</v>
      </c>
      <c r="J121" s="7">
        <v>1</v>
      </c>
      <c r="K121" s="109" t="str">
        <f>IF(ISEVEN(B121),(B121-1)&amp;"/"&amp;B121,B121&amp;"/"&amp;(B121+1))</f>
        <v>4031/4032</v>
      </c>
      <c r="L121" s="22" t="str">
        <f>VLOOKUP(A121,'Trips&amp;Operators'!$C$1:$G$99999,5,FALSE)</f>
        <v>SHOOK JOHN</v>
      </c>
      <c r="M121" s="6">
        <f>I121-F121</f>
        <v>2.6145833333430346E-2</v>
      </c>
      <c r="N121" s="7">
        <f>24*60*SUM($M121:$M121)</f>
        <v>37.650000000139698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https://search-rtdc-monitor-bjffxe2xuh6vdkpspy63sjmuny.us-east-1.es.amazonaws.com/_plugin/kibana/#/discover/Steve-Slow-Train-Analysis-(2080s-and-2083s)?_g=(refreshInterval:(display:Off,section:0,value:0),time:(from:'2016-12-01 15:20:46-700',mode:absolute,to:'2016-12-01 18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1" s="52" t="str">
        <f>IF(AA121&lt;IF(AG121="EC",23,5.65),"Y","N")</f>
        <v>N</v>
      </c>
      <c r="X121" s="177">
        <f>VALUE(LEFT(AD121,4))-VALUE(LEFT(AD120,4))</f>
        <v>1</v>
      </c>
      <c r="Y121" s="67">
        <f>RIGHT(D121,LEN(D121)-4)/10000</f>
        <v>4.7100000000000003E-2</v>
      </c>
      <c r="Z121" s="67">
        <f>RIGHT(H121,LEN(H121)-4)/10000</f>
        <v>23.336099999999998</v>
      </c>
      <c r="AA121" s="67">
        <f>ABS(Z121-Y121)</f>
        <v>23.288999999999998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>IF(LEN(A121)=6,"0"&amp;A121,A121)</f>
        <v>0203-01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/stypes="app*4031*20161202*" /stext=" 00:.+((SYSTEM_STATE.+slice.+state.+changed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4"/>
        <v>"%USERPROFILE%\Documents\GitHub\eaglep3\Utilities\RefineRTDCRunTimes.py" --tripid 203-01 --locoid 4031 --swversion DE.1.0.8.0 --startMP 204:471 --initTime 2016-12-01T16:20:46 --startdatetime 2016-12-01T16:30:24 --delay 2 --endMP 204:233361 --enddatetime 2016-12-01T17:08:03 --enforcementcount 1 &gt;&gt;C:\Users\stu\Documents\GitHub\eaglep3-reporting\EC\2016-12-01-refined-times.txt</v>
      </c>
      <c r="AI121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{"issue":{"subject":"","project_id":79,"tracker_id":40,"status_id":1,"priority_id":2,"assigned_to_id":23,"start_date":"2016-12-01","description":"","custom_fields":[{"id":1,"name":"Subdivision","value":"EC"},{"id":4,"name":"Milepost","value":"23.3361"},{"id":17,"name":"Train ID","value":"203-01"},{"id":16,"name":"Locomotive ID","value":"4031"},{"id":130,"name":"Impact","value":""},{"id":150,"name":"Time of Event (Mountain Time)","value":"17:08:03"},{"id":151,"name":"Denver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605</v>
      </c>
      <c r="B122" s="7">
        <v>4032</v>
      </c>
      <c r="C122" s="22" t="s">
        <v>210</v>
      </c>
      <c r="D122" s="22" t="s">
        <v>727</v>
      </c>
      <c r="E122" s="13">
        <v>42705.720243055555</v>
      </c>
      <c r="F122" s="13">
        <v>42705.726620370369</v>
      </c>
      <c r="G122" s="7">
        <v>1</v>
      </c>
      <c r="H122" s="22" t="s">
        <v>347</v>
      </c>
      <c r="I122" s="13">
        <v>42705.753622685188</v>
      </c>
      <c r="J122" s="7">
        <v>1</v>
      </c>
      <c r="K122" s="109" t="str">
        <f>IF(ISEVEN(B122),(B122-1)&amp;"/"&amp;B122,B122&amp;"/"&amp;(B122+1))</f>
        <v>4031/4032</v>
      </c>
      <c r="L122" s="22" t="str">
        <f>VLOOKUP(A122,'Trips&amp;Operators'!$C$1:$G$99999,5,FALSE)</f>
        <v>SHOOK JOHN</v>
      </c>
      <c r="M122" s="6">
        <f>I122-F122</f>
        <v>2.7002314818673767E-2</v>
      </c>
      <c r="N122" s="7">
        <f>24*60*SUM($M122:$M122)</f>
        <v>38.883333338890225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https://search-rtdc-monitor-bjffxe2xuh6vdkpspy63sjmuny.us-east-1.es.amazonaws.com/_plugin/kibana/#/discover/Steve-Slow-Train-Analysis-(2080s-and-2083s)?_g=(refreshInterval:(display:Off,section:0,value:0),time:(from:'2016-12-01 16:17:09-700',mode:absolute,to:'2016-12-01 19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2" s="52" t="str">
        <f>IF(AA122&lt;IF(AG122="EC",23,5.65),"Y","N")</f>
        <v>N</v>
      </c>
      <c r="X122" s="177">
        <f>VALUE(LEFT(AD122,4))-VALUE(LEFT(AD121,4))</f>
        <v>1</v>
      </c>
      <c r="Y122" s="67">
        <f>RIGHT(D122,LEN(D122)-4)/10000</f>
        <v>23.3047</v>
      </c>
      <c r="Z122" s="67">
        <f>RIGHT(H122,LEN(H122)-4)/10000</f>
        <v>1.29E-2</v>
      </c>
      <c r="AA122" s="67">
        <f>ABS(Z122-Y122)</f>
        <v>23.291800000000002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>IF(LEN(A122)=6,"0"&amp;A122,A122)</f>
        <v>0204-01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/stypes="app*4032*20161202*"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4"/>
        <v>"%USERPROFILE%\Documents\GitHub\eaglep3\Utilities\RefineRTDCRunTimes.py" --tripid 204-01 --locoid 4032 --swversion DE.1.0.8.0 --startMP 204:233047 --initTime 2016-12-01T17:17:09 --startdatetime 2016-12-01T17:26:20 --delay 1 --endMP 204:129 --enddatetime 2016-12-01T18:05:13 --enforcementcount 1 &gt;&gt;C:\Users\stu\Documents\GitHub\eaglep3-reporting\EC\2016-12-01-refined-times.txt</v>
      </c>
      <c r="AI122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{"issue":{"subject":"","project_id":79,"tracker_id":40,"status_id":1,"priority_id":2,"assigned_to_id":23,"start_date":"2016-12-01","description":"","custom_fields":[{"id":1,"name":"Subdivision","value":"EC"},{"id":4,"name":"Milepost","value":"0.0129"},{"id":17,"name":"Train ID","value":"204-01"},{"id":16,"name":"Locomotive ID","value":"4032"},{"id":130,"name":"Impact","value":""},{"id":150,"name":"Time of Event (Mountain Time)","value":"18:05:13"},{"id":151,"name":"Denver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599</v>
      </c>
      <c r="B123" s="7">
        <v>4029</v>
      </c>
      <c r="C123" s="22" t="s">
        <v>210</v>
      </c>
      <c r="D123" s="22" t="s">
        <v>318</v>
      </c>
      <c r="E123" s="13">
        <v>42705.697372685187</v>
      </c>
      <c r="F123" s="13">
        <v>42705.699212962965</v>
      </c>
      <c r="G123" s="7">
        <v>1</v>
      </c>
      <c r="H123" s="22" t="s">
        <v>728</v>
      </c>
      <c r="I123" s="13">
        <v>42705.72587962963</v>
      </c>
      <c r="J123" s="7">
        <v>1</v>
      </c>
      <c r="K123" s="109" t="str">
        <f>IF(ISEVEN(B123),(B123-1)&amp;"/"&amp;B123,B123&amp;"/"&amp;(B123+1))</f>
        <v>4029/4030</v>
      </c>
      <c r="L123" s="22" t="str">
        <f>VLOOKUP(A123,'Trips&amp;Operators'!$C$1:$G$99999,5,FALSE)</f>
        <v>MOSES BRADLEY</v>
      </c>
      <c r="M123" s="6">
        <f>I123-F123</f>
        <v>2.6666666664823424E-2</v>
      </c>
      <c r="N123" s="7">
        <f>24*60*SUM($M123:$M123)</f>
        <v>38.399999997345731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https://search-rtdc-monitor-bjffxe2xuh6vdkpspy63sjmuny.us-east-1.es.amazonaws.com/_plugin/kibana/#/discover/Steve-Slow-Train-Analysis-(2080s-and-2083s)?_g=(refreshInterval:(display:Off,section:0,value:0),time:(from:'2016-12-01 15:44:13-700',mode:absolute,to:'2016-12-01 18:25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3" s="52" t="str">
        <f>IF(AA123&lt;IF(AG123="EC",23,5.65),"Y","N")</f>
        <v>N</v>
      </c>
      <c r="X123" s="177">
        <f>VALUE(LEFT(AD123,4))-VALUE(LEFT(AD122,4))</f>
        <v>1</v>
      </c>
      <c r="Y123" s="67">
        <f>RIGHT(D123,LEN(D123)-4)/10000</f>
        <v>4.82E-2</v>
      </c>
      <c r="Z123" s="67">
        <f>RIGHT(H123,LEN(H123)-4)/10000</f>
        <v>23.3324</v>
      </c>
      <c r="AA123" s="67">
        <f>ABS(Z123-Y123)</f>
        <v>23.284199999999998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>IF(LEN(A123)=6,"0"&amp;A123,A123)</f>
        <v>0205-01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/stypes="app*4029*20161202*" /stext=" 00:.+((SYSTEM_STATE.+slice.+state.+changed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4"/>
        <v>"%USERPROFILE%\Documents\GitHub\eaglep3\Utilities\RefineRTDCRunTimes.py" --tripid 205-01 --locoid 4029 --swversion DE.1.0.8.0 --startMP 204:482 --initTime 2016-12-01T16:44:13 --startdatetime 2016-12-01T16:46:52 --delay 1 --endMP 204:233324 --enddatetime 2016-12-01T17:25:16 --enforcementcount 1 &gt;&gt;C:\Users\stu\Documents\GitHub\eaglep3-reporting\EC\2016-12-01-refined-times.txt</v>
      </c>
      <c r="AI123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{"issue":{"subject":"","project_id":79,"tracker_id":40,"status_id":1,"priority_id":2,"assigned_to_id":23,"start_date":"2016-12-01","description":"","custom_fields":[{"id":1,"name":"Subdivision","value":"EC"},{"id":4,"name":"Milepost","value":"23.3324"},{"id":17,"name":"Train ID","value":"205-01"},{"id":16,"name":"Locomotive ID","value":"4029"},{"id":130,"name":"Impact","value":""},{"id":150,"name":"Time of Event (Mountain Time)","value":"17:25:16"},{"id":151,"name":"Denver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x14ac:dyDescent="0.25">
      <c r="A124" s="37" t="s">
        <v>609</v>
      </c>
      <c r="B124" s="7">
        <v>4030</v>
      </c>
      <c r="C124" s="22" t="s">
        <v>210</v>
      </c>
      <c r="D124" s="22" t="s">
        <v>375</v>
      </c>
      <c r="E124" s="13">
        <v>42705.734907407408</v>
      </c>
      <c r="F124" s="13">
        <v>42705.737407407411</v>
      </c>
      <c r="G124" s="7">
        <v>1</v>
      </c>
      <c r="H124" s="22" t="s">
        <v>217</v>
      </c>
      <c r="I124" s="13">
        <v>42705.764768518522</v>
      </c>
      <c r="J124" s="7">
        <v>1</v>
      </c>
      <c r="K124" s="109" t="str">
        <f>IF(ISEVEN(B124),(B124-1)&amp;"/"&amp;B124,B124&amp;"/"&amp;(B124+1))</f>
        <v>4029/4030</v>
      </c>
      <c r="L124" s="22" t="str">
        <f>VLOOKUP(A124,'Trips&amp;Operators'!$C$1:$G$99999,5,FALSE)</f>
        <v>MOSES BRADLEY</v>
      </c>
      <c r="M124" s="6">
        <f>I124-F124</f>
        <v>2.73611111115315E-2</v>
      </c>
      <c r="N124" s="7">
        <f>24*60*SUM($M124:$M124)</f>
        <v>39.40000000060536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https://search-rtdc-monitor-bjffxe2xuh6vdkpspy63sjmuny.us-east-1.es.amazonaws.com/_plugin/kibana/#/discover/Steve-Slow-Train-Analysis-(2080s-and-2083s)?_g=(refreshInterval:(display:Off,section:0,value:0),time:(from:'2016-12-01 16:38:16-700',mode:absolute,to:'2016-12-01 19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4" s="52" t="str">
        <f>IF(AA124&lt;IF(AG124="EC",23,5.65),"Y","N")</f>
        <v>N</v>
      </c>
      <c r="X124" s="177">
        <f>VALUE(LEFT(AD124,4))-VALUE(LEFT(AD123,4))</f>
        <v>1</v>
      </c>
      <c r="Y124" s="67">
        <f>RIGHT(D124,LEN(D124)-4)/10000</f>
        <v>23.3003</v>
      </c>
      <c r="Z124" s="67">
        <f>RIGHT(H124,LEN(H124)-4)/10000</f>
        <v>1.4999999999999999E-2</v>
      </c>
      <c r="AA124" s="67">
        <f>ABS(Z124-Y124)</f>
        <v>23.285299999999999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>IF(LEN(A124)=6,"0"&amp;A124,A124)</f>
        <v>0206-01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/stypes="app*4030*20161202*"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4"/>
        <v>"%USERPROFILE%\Documents\GitHub\eaglep3\Utilities\RefineRTDCRunTimes.py" --tripid 206-01 --locoid 4030 --swversion DE.1.0.8.0 --startMP 204:233003 --initTime 2016-12-01T17:38:16 --startdatetime 2016-12-01T17:41:52 --delay 1 --endMP 204:150 --enddatetime 2016-12-01T18:21:16 --enforcementcount 1 &gt;&gt;C:\Users\stu\Documents\GitHub\eaglep3-reporting\EC\2016-12-01-refined-times.txt</v>
      </c>
      <c r="AI124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{"issue":{"subject":"","project_id":79,"tracker_id":40,"status_id":1,"priority_id":2,"assigned_to_id":23,"start_date":"2016-12-01","description":"","custom_fields":[{"id":1,"name":"Subdivision","value":"EC"},{"id":4,"name":"Milepost","value":"0.015"},{"id":17,"name":"Train ID","value":"206-01"},{"id":16,"name":"Locomotive ID","value":"4030"},{"id":130,"name":"Impact","value":""},{"id":150,"name":"Time of Event (Mountain Time)","value":"18:21:16"},{"id":151,"name":"Denver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91" s="21" customFormat="1" x14ac:dyDescent="0.25">
      <c r="A125" s="37" t="s">
        <v>601</v>
      </c>
      <c r="B125" s="7">
        <v>4007</v>
      </c>
      <c r="C125" s="22" t="s">
        <v>210</v>
      </c>
      <c r="D125" s="22" t="s">
        <v>247</v>
      </c>
      <c r="E125" s="13">
        <v>42705.707638888889</v>
      </c>
      <c r="F125" s="13">
        <v>42705.70884259259</v>
      </c>
      <c r="G125" s="7">
        <v>1</v>
      </c>
      <c r="H125" s="22" t="s">
        <v>699</v>
      </c>
      <c r="I125" s="13">
        <v>42705.734293981484</v>
      </c>
      <c r="J125" s="7">
        <v>1</v>
      </c>
      <c r="K125" s="109" t="str">
        <f>IF(ISEVEN(B125),(B125-1)&amp;"/"&amp;B125,B125&amp;"/"&amp;(B125+1))</f>
        <v>4007/4008</v>
      </c>
      <c r="L125" s="22" t="str">
        <f>VLOOKUP(A125,'Trips&amp;Operators'!$C$1:$G$99999,5,FALSE)</f>
        <v>BROWN JACOB</v>
      </c>
      <c r="M125" s="6">
        <f>I125-F125</f>
        <v>2.5451388893998228E-2</v>
      </c>
      <c r="N125" s="7">
        <f>24*60*SUM($M125:$M125)</f>
        <v>36.650000007357448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https://search-rtdc-monitor-bjffxe2xuh6vdkpspy63sjmuny.us-east-1.es.amazonaws.com/_plugin/kibana/#/discover/Steve-Slow-Train-Analysis-(2080s-and-2083s)?_g=(refreshInterval:(display:Off,section:0,value:0),time:(from:'2016-12-01 15:59:00-700',mode:absolute,to:'2016-12-01 18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5" s="52" t="str">
        <f>IF(AA125&lt;IF(AG125="EC",23,5.65),"Y","N")</f>
        <v>N</v>
      </c>
      <c r="X125" s="177">
        <f>VALUE(LEFT(AD125,4))-VALUE(LEFT(AD124,4))</f>
        <v>1</v>
      </c>
      <c r="Y125" s="67">
        <f>RIGHT(D125,LEN(D125)-4)/10000</f>
        <v>4.4200000000000003E-2</v>
      </c>
      <c r="Z125" s="67">
        <f>RIGHT(H125,LEN(H125)-4)/10000</f>
        <v>23.332699999999999</v>
      </c>
      <c r="AA125" s="67">
        <f>ABS(Z125-Y125)</f>
        <v>23.288499999999999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>IF(LEN(A125)=6,"0"&amp;A125,A125)</f>
        <v>0207-01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/stypes="app*4007*20161202*" /stext=" 00:.+((SYSTEM_STATE.+slice.+state.+changed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4"/>
        <v>"%USERPROFILE%\Documents\GitHub\eaglep3\Utilities\RefineRTDCRunTimes.py" --tripid 207-01 --locoid 4007 --swversion DE.1.0.8.0 --startMP 204:442 --initTime 2016-12-01T16:59:00 --startdatetime 2016-12-01T17:00:44 --delay 1 --endMP 204:233327 --enddatetime 2016-12-01T17:37:23 --enforcementcount 1 &gt;&gt;C:\Users\stu\Documents\GitHub\eaglep3-reporting\EC\2016-12-01-refined-times.txt</v>
      </c>
      <c r="AI125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{"issue":{"subject":"","project_id":79,"tracker_id":40,"status_id":1,"priority_id":2,"assigned_to_id":23,"start_date":"2016-12-01","description":"","custom_fields":[{"id":1,"name":"Subdivision","value":"EC"},{"id":4,"name":"Milepost","value":"23.3327"},{"id":17,"name":"Train ID","value":"207-01"},{"id":16,"name":"Locomotive ID","value":"4007"},{"id":130,"name":"Impact","value":""},{"id":150,"name":"Time of Event (Mountain Time)","value":"17:37:23"},{"id":151,"name":"Denver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611</v>
      </c>
      <c r="B126" s="7">
        <v>4008</v>
      </c>
      <c r="C126" s="22" t="s">
        <v>210</v>
      </c>
      <c r="D126" s="22" t="s">
        <v>315</v>
      </c>
      <c r="E126" s="13">
        <v>42705.743518518517</v>
      </c>
      <c r="F126" s="13">
        <v>42705.747430555559</v>
      </c>
      <c r="G126" s="7">
        <v>1</v>
      </c>
      <c r="H126" s="22" t="s">
        <v>729</v>
      </c>
      <c r="I126" s="13">
        <v>42705.774594907409</v>
      </c>
      <c r="J126" s="7">
        <v>1</v>
      </c>
      <c r="K126" s="109" t="str">
        <f>IF(ISEVEN(B126),(B126-1)&amp;"/"&amp;B126,B126&amp;"/"&amp;(B126+1))</f>
        <v>4007/4008</v>
      </c>
      <c r="L126" s="22" t="str">
        <f>VLOOKUP(A126,'Trips&amp;Operators'!$C$1:$G$99999,5,FALSE)</f>
        <v>BROWN JACOB</v>
      </c>
      <c r="M126" s="6">
        <f>I126-F126</f>
        <v>2.7164351849933155E-2</v>
      </c>
      <c r="N126" s="7">
        <f>24*60*SUM($M126:$M126)</f>
        <v>39.116666663903743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https://search-rtdc-monitor-bjffxe2xuh6vdkpspy63sjmuny.us-east-1.es.amazonaws.com/_plugin/kibana/#/discover/Steve-Slow-Train-Analysis-(2080s-and-2083s)?_g=(refreshInterval:(display:Off,section:0,value:0),time:(from:'2016-12-01 16:50:40-700',mode:absolute,to:'2016-12-01 19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6" s="52" t="str">
        <f>IF(AA126&lt;IF(AG126="EC",23,5.65),"Y","N")</f>
        <v>N</v>
      </c>
      <c r="X126" s="177">
        <f>VALUE(LEFT(AD126,4))-VALUE(LEFT(AD125,4))</f>
        <v>1</v>
      </c>
      <c r="Y126" s="67">
        <f>RIGHT(D126,LEN(D126)-4)/10000</f>
        <v>23.301300000000001</v>
      </c>
      <c r="Z126" s="67">
        <f>RIGHT(H126,LEN(H126)-4)/10000</f>
        <v>1.2699999999999999E-2</v>
      </c>
      <c r="AA126" s="67">
        <f>ABS(Z126-Y126)</f>
        <v>23.288600000000002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>IF(LEN(A126)=6,"0"&amp;A126,A126)</f>
        <v>0208-01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/stypes="app*4008*20161202*" /stext=" 01:.+((SYSTEM_STATE.+slice.+state.+changed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4"/>
        <v>"%USERPROFILE%\Documents\GitHub\eaglep3\Utilities\RefineRTDCRunTimes.py" --tripid 208-01 --locoid 4008 --swversion DE.1.0.8.0 --startMP 204:233013 --initTime 2016-12-01T17:50:40 --startdatetime 2016-12-01T17:56:18 --delay 1 --endMP 204:127 --enddatetime 2016-12-01T18:35:25 --enforcementcount 1 &gt;&gt;C:\Users\stu\Documents\GitHub\eaglep3-reporting\EC\2016-12-01-refined-times.txt</v>
      </c>
      <c r="AI126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{"issue":{"subject":"","project_id":79,"tracker_id":40,"status_id":1,"priority_id":2,"assigned_to_id":23,"start_date":"2016-12-01","description":"","custom_fields":[{"id":1,"name":"Subdivision","value":"EC"},{"id":4,"name":"Milepost","value":"0.0127"},{"id":17,"name":"Train ID","value":"208-01"},{"id":16,"name":"Locomotive ID","value":"4008"},{"id":130,"name":"Impact","value":""},{"id":150,"name":"Time of Event (Mountain Time)","value":"18:35:25"},{"id":151,"name":"Denver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603</v>
      </c>
      <c r="B127" s="7">
        <v>4018</v>
      </c>
      <c r="C127" s="22" t="s">
        <v>210</v>
      </c>
      <c r="D127" s="22" t="s">
        <v>247</v>
      </c>
      <c r="E127" s="13">
        <v>42705.713564814818</v>
      </c>
      <c r="F127" s="13">
        <v>42705.719247685185</v>
      </c>
      <c r="G127" s="7">
        <v>2</v>
      </c>
      <c r="H127" s="22" t="s">
        <v>728</v>
      </c>
      <c r="I127" s="13">
        <v>42705.744490740741</v>
      </c>
      <c r="J127" s="7">
        <v>1</v>
      </c>
      <c r="K127" s="109" t="str">
        <f>IF(ISEVEN(B127),(B127-1)&amp;"/"&amp;B127,B127&amp;"/"&amp;(B127+1))</f>
        <v>4017/4018</v>
      </c>
      <c r="L127" s="22" t="str">
        <f>VLOOKUP(A127,'Trips&amp;Operators'!$C$1:$G$99999,5,FALSE)</f>
        <v>LEVERE CRAIG</v>
      </c>
      <c r="M127" s="6">
        <f>I127-F127</f>
        <v>2.5243055555620231E-2</v>
      </c>
      <c r="N127" s="7">
        <f>24*60*SUM($M127:$M127)</f>
        <v>36.350000000093132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https://search-rtdc-monitor-bjffxe2xuh6vdkpspy63sjmuny.us-east-1.es.amazonaws.com/_plugin/kibana/#/discover/Steve-Slow-Train-Analysis-(2080s-and-2083s)?_g=(refreshInterval:(display:Off,section:0,value:0),time:(from:'2016-12-01 16:07:32-700',mode:absolute,to:'2016-12-01 18:52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>IF(AA127&lt;IF(AG127="EC",23,5.65),"Y","N")</f>
        <v>N</v>
      </c>
      <c r="X127" s="177">
        <f>VALUE(LEFT(AD127,4))-VALUE(LEFT(AD126,4))</f>
        <v>1</v>
      </c>
      <c r="Y127" s="67">
        <f>RIGHT(D127,LEN(D127)-4)/10000</f>
        <v>4.4200000000000003E-2</v>
      </c>
      <c r="Z127" s="67">
        <f>RIGHT(H127,LEN(H127)-4)/10000</f>
        <v>23.3324</v>
      </c>
      <c r="AA127" s="67">
        <f>ABS(Z127-Y127)</f>
        <v>23.2882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>IF(LEN(A127)=6,"0"&amp;A127,A127)</f>
        <v>0209-01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s3://rtdc.mdm.uploadarchive.raw/RTDC4018/ "%USERPROFILE%\AppData\Local\Temp\OnboardLogs"\RTDC4018\2016-12-01 --exclude "*" --recursive --include "*20161201*" &amp; "%USERPROFILE%\Documents\GitHub\mrs-test-scripts\Headless Mode &amp; Sideloading\WalkAndUnGZ.bat" "%USERPROFILE%\AppData\Local\Temp\OnboardLogs"\RTDC4018\2016-12-01 &amp; aws s3 cp s3://rtdc.mdm.uploadarchive.raw/RTDC4018/ "%USERPROFILE%\AppData\Local\Temp\OnboardLogs"\RTDC4018\2016-12-02 --exclude "*" --recursive --include "*20161202*" &amp; "%USERPROFILE%\Documents\GitHub\mrs-test-scripts\Headless Mode &amp; Sideloading\WalkAndUnGZ.bat" "%USERPROFILE%\AppData\Local\Temp\OnboardLogs"\RTDC4018\2016-12-02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/stypes="app*4018*20161202*" /stext=" 00:.+((SYSTEM_STATE.+slice.+state.+changed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4"/>
        <v>"%USERPROFILE%\Documents\GitHub\eaglep3\Utilities\RefineRTDCRunTimes.py" --tripid 209-01 --locoid 4018 --swversion DE.1.0.8.0 --startMP 204:442 --initTime 2016-12-01T17:07:32 --startdatetime 2016-12-01T17:15:43 --delay 2 --endMP 204:233324 --enddatetime 2016-12-01T17:52:04 --enforcementcount 1 &gt;&gt;C:\Users\stu\Documents\GitHub\eaglep3-reporting\EC\2016-12-01-refined-times.txt</v>
      </c>
      <c r="AI127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{"issue":{"subject":"","project_id":79,"tracker_id":40,"status_id":1,"priority_id":2,"assigned_to_id":23,"start_date":"2016-12-01","description":"","custom_fields":[{"id":1,"name":"Subdivision","value":"EC"},{"id":4,"name":"Milepost","value":"23.3324"},{"id":17,"name":"Train ID","value":"209-01"},{"id":16,"name":"Locomotive ID","value":"4018"},{"id":130,"name":"Impact","value":""},{"id":150,"name":"Time of Event (Mountain Time)","value":"17:52:04"},{"id":151,"name":"Denver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617</v>
      </c>
      <c r="B128" s="7">
        <v>4017</v>
      </c>
      <c r="C128" s="22" t="s">
        <v>210</v>
      </c>
      <c r="D128" s="22" t="s">
        <v>290</v>
      </c>
      <c r="E128" s="13">
        <v>42705.753900462965</v>
      </c>
      <c r="F128" s="13">
        <v>42705.758043981485</v>
      </c>
      <c r="G128" s="7">
        <v>1</v>
      </c>
      <c r="H128" s="22" t="s">
        <v>250</v>
      </c>
      <c r="I128" s="13">
        <v>42705.785185185188</v>
      </c>
      <c r="J128" s="7">
        <v>1</v>
      </c>
      <c r="K128" s="109" t="str">
        <f>IF(ISEVEN(B128),(B128-1)&amp;"/"&amp;B128,B128&amp;"/"&amp;(B128+1))</f>
        <v>4017/4018</v>
      </c>
      <c r="L128" s="22" t="str">
        <f>VLOOKUP(A128,'Trips&amp;Operators'!$C$1:$G$99999,5,FALSE)</f>
        <v>LEVERE CRAIG</v>
      </c>
      <c r="M128" s="6">
        <f>I128-F128</f>
        <v>2.7141203703649808E-2</v>
      </c>
      <c r="N128" s="7">
        <f>24*60*SUM($M128:$M128)</f>
        <v>39.083333333255723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https://search-rtdc-monitor-bjffxe2xuh6vdkpspy63sjmuny.us-east-1.es.amazonaws.com/_plugin/kibana/#/discover/Steve-Slow-Train-Analysis-(2080s-and-2083s)?_g=(refreshInterval:(display:Off,section:0,value:0),time:(from:'2016-12-01 17:05:37-700',mode:absolute,to:'2016-12-01 19:50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>IF(AA128&lt;IF(AG128="EC",23,5.65),"Y","N")</f>
        <v>N</v>
      </c>
      <c r="X128" s="177">
        <f>VALUE(LEFT(AD128,4))-VALUE(LEFT(AD127,4))</f>
        <v>1</v>
      </c>
      <c r="Y128" s="67">
        <f>RIGHT(D128,LEN(D128)-4)/10000</f>
        <v>23.298999999999999</v>
      </c>
      <c r="Z128" s="67">
        <f>RIGHT(H128,LEN(H128)-4)/10000</f>
        <v>1.61E-2</v>
      </c>
      <c r="AA128" s="67">
        <f>ABS(Z128-Y128)</f>
        <v>23.282899999999998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>IF(LEN(A128)=6,"0"&amp;A128,A128)</f>
        <v>0210-01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s3://rtdc.mdm.uploadarchive.raw/RTDC4017/ "%USERPROFILE%\AppData\Local\Temp\OnboardLogs"\RTDC4017\2016-12-01 --exclude "*" --recursive --include "*20161201*" &amp; "%USERPROFILE%\Documents\GitHub\mrs-test-scripts\Headless Mode &amp; Sideloading\WalkAndUnGZ.bat" "%USERPROFILE%\AppData\Local\Temp\OnboardLogs"\RTDC4017\2016-12-01 &amp; 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/stypes="app*4017*20161202*" /stext=" 01:.+((SYSTEM_STATE.+slice.+state.+changed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4"/>
        <v>"%USERPROFILE%\Documents\GitHub\eaglep3\Utilities\RefineRTDCRunTimes.py" --tripid 210-01 --locoid 4017 --swversion DE.1.0.8.0 --startMP 204:232990 --initTime 2016-12-01T18:05:37 --startdatetime 2016-12-01T18:11:35 --delay 1 --endMP 204:161 --enddatetime 2016-12-01T18:50:40 --enforcementcount 1 &gt;&gt;C:\Users\stu\Documents\GitHub\eaglep3-reporting\EC\2016-12-01-refined-times.txt</v>
      </c>
      <c r="AI128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{"issue":{"subject":"","project_id":79,"tracker_id":40,"status_id":1,"priority_id":2,"assigned_to_id":23,"start_date":"2016-12-01","description":"","custom_fields":[{"id":1,"name":"Subdivision","value":"EC"},{"id":4,"name":"Milepost","value":"0.0161"},{"id":17,"name":"Train ID","value":"210-01"},{"id":16,"name":"Locomotive ID","value":"4017"},{"id":130,"name":"Impact","value":""},{"id":150,"name":"Time of Event (Mountain Time)","value":"18:50:40"},{"id":151,"name":"Denver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606</v>
      </c>
      <c r="B129" s="7">
        <v>4016</v>
      </c>
      <c r="C129" s="22" t="s">
        <v>210</v>
      </c>
      <c r="D129" s="22" t="s">
        <v>245</v>
      </c>
      <c r="E129" s="13">
        <v>42705.7262962963</v>
      </c>
      <c r="F129" s="13">
        <v>42705.729456018518</v>
      </c>
      <c r="G129" s="7">
        <v>4</v>
      </c>
      <c r="H129" s="22" t="s">
        <v>338</v>
      </c>
      <c r="I129" s="13">
        <v>42705.755937499998</v>
      </c>
      <c r="J129" s="7">
        <v>1</v>
      </c>
      <c r="K129" s="109" t="str">
        <f>IF(ISEVEN(B129),(B129-1)&amp;"/"&amp;B129,B129&amp;"/"&amp;(B129+1))</f>
        <v>4015/4016</v>
      </c>
      <c r="L129" s="22" t="str">
        <f>VLOOKUP(A129,'Trips&amp;Operators'!$C$1:$G$99999,5,FALSE)</f>
        <v>ARVIDSON DANIEL</v>
      </c>
      <c r="M129" s="6">
        <f>I129-F129</f>
        <v>2.6481481480004732E-2</v>
      </c>
      <c r="N129" s="7">
        <f>24*60*SUM($M129:$M129)</f>
        <v>38.133333331206813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https://search-rtdc-monitor-bjffxe2xuh6vdkpspy63sjmuny.us-east-1.es.amazonaws.com/_plugin/kibana/#/discover/Steve-Slow-Train-Analysis-(2080s-and-2083s)?_g=(refreshInterval:(display:Off,section:0,value:0),time:(from:'2016-12-01 16:25:52-700',mode:absolute,to:'2016-12-01 19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9" s="52" t="str">
        <f>IF(AA129&lt;IF(AG129="EC",23,5.65),"Y","N")</f>
        <v>N</v>
      </c>
      <c r="X129" s="177">
        <f>VALUE(LEFT(AD129,4))-VALUE(LEFT(AD128,4))</f>
        <v>1</v>
      </c>
      <c r="Y129" s="67">
        <f>RIGHT(D129,LEN(D129)-4)/10000</f>
        <v>4.5499999999999999E-2</v>
      </c>
      <c r="Z129" s="67">
        <f>RIGHT(H129,LEN(H129)-4)/10000</f>
        <v>23.331199999999999</v>
      </c>
      <c r="AA129" s="67">
        <f>ABS(Z129-Y129)</f>
        <v>23.285699999999999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>IF(LEN(A129)=6,"0"&amp;A129,A129)</f>
        <v>0211-01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s3://rtdc.mdm.uploadarchive.raw/RTDC4016/ "%USERPROFILE%\AppData\Local\Temp\OnboardLogs"\RTDC4016\2016-12-01 --exclude "*" --recursive --include "*20161201*" &amp; "%USERPROFILE%\Documents\GitHub\mrs-test-scripts\Headless Mode &amp; Sideloading\WalkAndUnGZ.bat" "%USERPROFILE%\AppData\Local\Temp\OnboardLogs"\RTDC4016\2016-12-01 &amp; 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/stypes="app*4016*20161202*" /stext=" 01:.+((SYSTEM_STATE.+slice.+state.+changed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4"/>
        <v>"%USERPROFILE%\Documents\GitHub\eaglep3\Utilities\RefineRTDCRunTimes.py" --tripid 211-01 --locoid 4016 --swversion DE.1.0.8.0 --startMP 204:455 --initTime 2016-12-01T17:25:52 --startdatetime 2016-12-01T17:30:25 --delay 4 --endMP 204:233312 --enddatetime 2016-12-01T18:08:33 --enforcementcount 1 &gt;&gt;C:\Users\stu\Documents\GitHub\eaglep3-reporting\EC\2016-12-01-refined-times.txt</v>
      </c>
      <c r="AI129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{"issue":{"subject":"","project_id":79,"tracker_id":40,"status_id":1,"priority_id":2,"assigned_to_id":23,"start_date":"2016-12-01","description":"","custom_fields":[{"id":1,"name":"Subdivision","value":"EC"},{"id":4,"name":"Milepost","value":"23.3312"},{"id":17,"name":"Train ID","value":"211-01"},{"id":16,"name":"Locomotive ID","value":"4016"},{"id":130,"name":"Impact","value":""},{"id":150,"name":"Time of Event (Mountain Time)","value":"18:08:33"},{"id":151,"name":"Denver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618</v>
      </c>
      <c r="B130" s="7">
        <v>4015</v>
      </c>
      <c r="C130" s="22" t="s">
        <v>210</v>
      </c>
      <c r="D130" s="22" t="s">
        <v>374</v>
      </c>
      <c r="E130" s="13">
        <v>42705.765613425923</v>
      </c>
      <c r="F130" s="13">
        <v>42705.768240740741</v>
      </c>
      <c r="G130" s="7">
        <v>2</v>
      </c>
      <c r="H130" s="22" t="s">
        <v>233</v>
      </c>
      <c r="I130" s="13">
        <v>42705.796793981484</v>
      </c>
      <c r="J130" s="7">
        <v>1</v>
      </c>
      <c r="K130" s="109" t="str">
        <f>IF(ISEVEN(B130),(B130-1)&amp;"/"&amp;B130,B130&amp;"/"&amp;(B130+1))</f>
        <v>4015/4016</v>
      </c>
      <c r="L130" s="22" t="str">
        <f>VLOOKUP(A130,'Trips&amp;Operators'!$C$1:$G$99999,5,FALSE)</f>
        <v>ARVIDSON DANIEL</v>
      </c>
      <c r="M130" s="6">
        <f>I130-F130</f>
        <v>2.8553240743349306E-2</v>
      </c>
      <c r="N130" s="7">
        <f>24*60*SUM($M130:$M130)</f>
        <v>41.116666670423001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https://search-rtdc-monitor-bjffxe2xuh6vdkpspy63sjmuny.us-east-1.es.amazonaws.com/_plugin/kibana/#/discover/Steve-Slow-Train-Analysis-(2080s-and-2083s)?_g=(refreshInterval:(display:Off,section:0,value:0),time:(from:'2016-12-01 17:22:29-700',mode:absolute,to:'2016-12-01 20:07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0" s="52" t="str">
        <f>IF(AA130&lt;IF(AG130="EC",23,5.65),"Y","N")</f>
        <v>N</v>
      </c>
      <c r="X130" s="177">
        <f>VALUE(LEFT(AD130,4))-VALUE(LEFT(AD129,4))</f>
        <v>1</v>
      </c>
      <c r="Y130" s="67">
        <f>RIGHT(D130,LEN(D130)-4)/10000</f>
        <v>23.300599999999999</v>
      </c>
      <c r="Z130" s="67">
        <f>RIGHT(H130,LEN(H130)-4)/10000</f>
        <v>1.41E-2</v>
      </c>
      <c r="AA130" s="67">
        <f>ABS(Z130-Y130)</f>
        <v>23.2865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>IF(LEN(A130)=6,"0"&amp;A130,A130)</f>
        <v>0212-01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/stypes="app*4015*20161202*" /stext=" 02:.+((SYSTEM_STATE.+slice.+state.+changed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4"/>
        <v>"%USERPROFILE%\Documents\GitHub\eaglep3\Utilities\RefineRTDCRunTimes.py" --tripid 212-01 --locoid 4015 --swversion DE.1.0.8.0 --startMP 204:233006 --initTime 2016-12-01T18:22:29 --startdatetime 2016-12-01T18:26:16 --delay 2 --endMP 204:141 --enddatetime 2016-12-01T19:07:23 --enforcementcount 1 &gt;&gt;C:\Users\stu\Documents\GitHub\eaglep3-reporting\EC\2016-12-01-refined-times.txt</v>
      </c>
      <c r="AI130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{"issue":{"subject":"","project_id":79,"tracker_id":40,"status_id":1,"priority_id":2,"assigned_to_id":23,"start_date":"2016-12-01","description":"","custom_fields":[{"id":1,"name":"Subdivision","value":"EC"},{"id":4,"name":"Milepost","value":"0.0141"},{"id":17,"name":"Train ID","value":"212-01"},{"id":16,"name":"Locomotive ID","value":"4015"},{"id":130,"name":"Impact","value":""},{"id":150,"name":"Time of Event (Mountain Time)","value":"19:07:23"},{"id":151,"name":"Denver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608</v>
      </c>
      <c r="B131" s="7">
        <v>4002</v>
      </c>
      <c r="C131" s="22" t="s">
        <v>210</v>
      </c>
      <c r="D131" s="22" t="s">
        <v>344</v>
      </c>
      <c r="E131" s="13">
        <v>42705.734293981484</v>
      </c>
      <c r="F131" s="13">
        <v>42705.739884259259</v>
      </c>
      <c r="G131" s="7">
        <v>2</v>
      </c>
      <c r="H131" s="22" t="s">
        <v>362</v>
      </c>
      <c r="I131" s="13">
        <v>42705.765127314815</v>
      </c>
      <c r="J131" s="7">
        <v>1</v>
      </c>
      <c r="K131" s="109" t="str">
        <f>IF(ISEVEN(B131),(B131-1)&amp;"/"&amp;B131,B131&amp;"/"&amp;(B131+1))</f>
        <v>4001/4002</v>
      </c>
      <c r="L131" s="22" t="str">
        <f>VLOOKUP(A131,'Trips&amp;Operators'!$C$1:$G$99999,5,FALSE)</f>
        <v>COOLAHAN JOHN</v>
      </c>
      <c r="M131" s="6">
        <f>I131-F131</f>
        <v>2.5243055555620231E-2</v>
      </c>
      <c r="N131" s="7">
        <f>24*60*SUM($M131:$M131)</f>
        <v>36.350000000093132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https://search-rtdc-monitor-bjffxe2xuh6vdkpspy63sjmuny.us-east-1.es.amazonaws.com/_plugin/kibana/#/discover/Steve-Slow-Train-Analysis-(2080s-and-2083s)?_g=(refreshInterval:(display:Off,section:0,value:0),time:(from:'2016-12-01 16:37:23-700',mode:absolute,to:'2016-12-01 19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1" s="52" t="str">
        <f>IF(AA131&lt;IF(AG131="EC",23,5.65),"Y","N")</f>
        <v>N</v>
      </c>
      <c r="X131" s="177">
        <f>VALUE(LEFT(AD131,4))-VALUE(LEFT(AD130,4))</f>
        <v>1</v>
      </c>
      <c r="Y131" s="67">
        <f>RIGHT(D131,LEN(D131)-4)/10000</f>
        <v>4.3099999999999999E-2</v>
      </c>
      <c r="Z131" s="67">
        <f>RIGHT(H131,LEN(H131)-4)/10000</f>
        <v>23.3309</v>
      </c>
      <c r="AA131" s="67">
        <f>ABS(Z131-Y131)</f>
        <v>23.287800000000001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>IF(LEN(A131)=6,"0"&amp;A131,A131)</f>
        <v>0213-01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 &amp; aws s3 cp s3://rtdc.mdm.uploadarchive.raw/RTDC4002/ "%USERPROFILE%\AppData\Local\Temp\OnboardLogs"\RTDC4002\2016-12-02 --exclude "*" --recursive --include "*20161202*" &amp; "%USERPROFILE%\Documents\GitHub\mrs-test-scripts\Headless Mode &amp; Sideloading\WalkAndUnGZ.bat" "%USERPROFILE%\AppData\Local\Temp\OnboardLogs"\RTDC4002\2016-12-02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/stypes="app*4002*20161202*" /stext=" 01:.+((SYSTEM_STATE.+slice.+state.+changed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4"/>
        <v>"%USERPROFILE%\Documents\GitHub\eaglep3\Utilities\RefineRTDCRunTimes.py" --tripid 213-01 --locoid 4002 --swversion DE.1.0.8.0 --startMP 204:431 --initTime 2016-12-01T17:37:23 --startdatetime 2016-12-01T17:45:26 --delay 2 --endMP 204:233309 --enddatetime 2016-12-01T18:21:47 --enforcementcount 1 &gt;&gt;C:\Users\stu\Documents\GitHub\eaglep3-reporting\EC\2016-12-01-refined-times.txt</v>
      </c>
      <c r="AI131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{"issue":{"subject":"","project_id":79,"tracker_id":40,"status_id":1,"priority_id":2,"assigned_to_id":23,"start_date":"2016-12-01","description":"","custom_fields":[{"id":1,"name":"Subdivision","value":"EC"},{"id":4,"name":"Milepost","value":"23.3309"},{"id":17,"name":"Train ID","value":"213-01"},{"id":16,"name":"Locomotive ID","value":"4002"},{"id":130,"name":"Impact","value":""},{"id":150,"name":"Time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621</v>
      </c>
      <c r="B132" s="7">
        <v>4001</v>
      </c>
      <c r="C132" s="22" t="s">
        <v>210</v>
      </c>
      <c r="D132" s="22" t="s">
        <v>337</v>
      </c>
      <c r="E132" s="13">
        <v>42705.774143518516</v>
      </c>
      <c r="F132" s="13">
        <v>42705.775335648148</v>
      </c>
      <c r="G132" s="7">
        <v>1</v>
      </c>
      <c r="H132" s="22" t="s">
        <v>730</v>
      </c>
      <c r="I132" s="13">
        <v>42705.797986111109</v>
      </c>
      <c r="J132" s="7">
        <v>0</v>
      </c>
      <c r="K132" s="109" t="str">
        <f>IF(ISEVEN(B132),(B132-1)&amp;"/"&amp;B132,B132&amp;"/"&amp;(B132+1))</f>
        <v>4001/4002</v>
      </c>
      <c r="L132" s="22" t="str">
        <f>VLOOKUP(A132,'Trips&amp;Operators'!$C$1:$G$99999,5,FALSE)</f>
        <v>COOLAHAN JOHN</v>
      </c>
      <c r="M132" s="6">
        <f>I132-F132</f>
        <v>2.2650462960882578E-2</v>
      </c>
      <c r="N132" s="7"/>
      <c r="O132" s="7"/>
      <c r="P132" s="7">
        <f>24*60*SUM($M132:$M132)</f>
        <v>32.616666663670912</v>
      </c>
      <c r="Q132" s="23"/>
      <c r="R132" s="23" t="s">
        <v>388</v>
      </c>
      <c r="S132" s="35">
        <f>SUM(U132:U132)/IF(AG132="EC",12,1)</f>
        <v>0.75</v>
      </c>
      <c r="T132" s="50" t="str">
        <f>IF(ISEVEN(LEFT(AD132,4)),"Southbound","NorthBound")</f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9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https://search-rtdc-monitor-bjffxe2xuh6vdkpspy63sjmuny.us-east-1.es.amazonaws.com/_plugin/kibana/#/discover/Steve-Slow-Train-Analysis-(2080s-and-2083s)?_g=(refreshInterval:(display:Off,section:0,value:0),time:(from:'2016-12-01 17:34:46-700',mode:absolute,to:'2016-12-01 20:09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2" s="52" t="str">
        <f>IF(AA132&lt;IF(AG132="EC",23,5.65),"Y","N")</f>
        <v>Y</v>
      </c>
      <c r="X132" s="177">
        <f>VALUE(LEFT(AD132,4))-VALUE(LEFT(AD131,4))</f>
        <v>1</v>
      </c>
      <c r="Y132" s="67">
        <f>RIGHT(D132,LEN(D132)-4)/10000</f>
        <v>23.3005</v>
      </c>
      <c r="Z132" s="67">
        <f>RIGHT(H132,LEN(H132)-4)/10000</f>
        <v>3.6284000000000001</v>
      </c>
      <c r="AA132" s="67">
        <f>ABS(Z132-Y132)</f>
        <v>19.6721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>IF(LEN(A132)=6,"0"&amp;A132,A132)</f>
        <v>0214-01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/stypes="app*4001*20161202*"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4"/>
        <v>"%USERPROFILE%\Documents\GitHub\eaglep3\Utilities\RefineRTDCRunTimes.py" --tripid 214-01 --locoid 4001 --swversion DE.1.0.8.0 --startMP 204:233005 --initTime 2016-12-01T18:34:46 --startdatetime 2016-12-01T18:36:29 --delay 1 --endMP 204:36284 --enddatetime 2016-12-01T19:09:06 --enforcementcount 0 &gt;&gt;C:\Users\stu\Documents\GitHub\eaglep3-reporting\EC\2016-12-01-refined-times.txt</v>
      </c>
      <c r="AI132" s="119" t="str">
        <f t="shared" si="5"/>
        <v>echo {"issue":{"subject":"Onboard in-route failure","project_id":79,"tracker_id":40,"status_id":1,"priority_id":2,"assigned_to_id":23,"start_date":"2016-12-01","description":"","custom_fields":[{"id":1,"name":"Subdivision","value":"EC"},{"id":4,"name":"Milepost","value":"3.6284"},{"id":17,"name":"Train ID","value":"214-01"},{"id":16,"name":"Locomotive ID","value":"4001"},{"id":130,"name":"Impact","value":""},{"id":150,"name":"Time of Event (Mountain Time)","value":"19:09:06"},{"id":151,"name":"Denver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612</v>
      </c>
      <c r="B133" s="7">
        <v>4009</v>
      </c>
      <c r="C133" s="22" t="s">
        <v>210</v>
      </c>
      <c r="D133" s="22" t="s">
        <v>294</v>
      </c>
      <c r="E133" s="13">
        <v>42705.745358796295</v>
      </c>
      <c r="F133" s="13">
        <v>42705.750717592593</v>
      </c>
      <c r="G133" s="7">
        <v>2</v>
      </c>
      <c r="H133" s="22" t="s">
        <v>731</v>
      </c>
      <c r="I133" s="13">
        <v>42705.776875000003</v>
      </c>
      <c r="J133" s="7">
        <v>1</v>
      </c>
      <c r="K133" s="109" t="str">
        <f>IF(ISEVEN(B133),(B133-1)&amp;"/"&amp;B133,B133&amp;"/"&amp;(B133+1))</f>
        <v>4009/4010</v>
      </c>
      <c r="L133" s="22" t="str">
        <f>VLOOKUP(A133,'Trips&amp;Operators'!$C$1:$G$99999,5,FALSE)</f>
        <v>STORY SAMANTHA</v>
      </c>
      <c r="M133" s="6">
        <f>I133-F133</f>
        <v>2.6157407410209998E-2</v>
      </c>
      <c r="N133" s="7">
        <f>24*60*SUM($M133:$M133)</f>
        <v>37.666666670702398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https://search-rtdc-monitor-bjffxe2xuh6vdkpspy63sjmuny.us-east-1.es.amazonaws.com/_plugin/kibana/#/discover/Steve-Slow-Train-Analysis-(2080s-and-2083s)?_g=(refreshInterval:(display:Off,section:0,value:0),time:(from:'2016-12-01 16:53:19-700',mode:absolute,to:'2016-12-01 19:38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3" s="52" t="str">
        <f>IF(AA133&lt;IF(AG133="EC",23,5.65),"Y","N")</f>
        <v>N</v>
      </c>
      <c r="X133" s="177">
        <f>VALUE(LEFT(AD133,4))-VALUE(LEFT(AD132,4))</f>
        <v>1</v>
      </c>
      <c r="Y133" s="67">
        <f>RIGHT(D133,LEN(D133)-4)/10000</f>
        <v>4.58E-2</v>
      </c>
      <c r="Z133" s="67">
        <f>RIGHT(H133,LEN(H133)-4)/10000</f>
        <v>23.338899999999999</v>
      </c>
      <c r="AA133" s="67">
        <f>ABS(Z133-Y133)</f>
        <v>23.293099999999999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>IF(LEN(A133)=6,"0"&amp;A133,A133)</f>
        <v>0215-01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/stypes="app*4009*20161202*" /stext=" 01:.+((SYSTEM_STATE.+slice.+state.+changed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4"/>
        <v>"%USERPROFILE%\Documents\GitHub\eaglep3\Utilities\RefineRTDCRunTimes.py" --tripid 215-01 --locoid 4009 --swversion DE.1.0.8.0 --startMP 204:458 --initTime 2016-12-01T17:53:19 --startdatetime 2016-12-01T18:01:02 --delay 2 --endMP 204:233389 --enddatetime 2016-12-01T18:38:42 --enforcementcount 1 &gt;&gt;C:\Users\stu\Documents\GitHub\eaglep3-reporting\EC\2016-12-01-refined-times.txt</v>
      </c>
      <c r="AI133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{"issue":{"subject":"","project_id":79,"tracker_id":40,"status_id":1,"priority_id":2,"assigned_to_id":23,"start_date":"2016-12-01","description":"","custom_fields":[{"id":1,"name":"Subdivision","value":"EC"},{"id":4,"name":"Milepost","value":"23.3389"},{"id":17,"name":"Train ID","value":"215-01"},{"id":16,"name":"Locomotive ID","value":"4009"},{"id":130,"name":"Impact","value":""},{"id":150,"name":"Time of Event (Mountain Time)","value":"18:38:42"},{"id":151,"name":"Denver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x14ac:dyDescent="0.25">
      <c r="A134" s="37" t="s">
        <v>622</v>
      </c>
      <c r="B134" s="7">
        <v>4010</v>
      </c>
      <c r="C134" s="22" t="s">
        <v>210</v>
      </c>
      <c r="D134" s="22" t="s">
        <v>732</v>
      </c>
      <c r="E134" s="13">
        <v>42705.784884259258</v>
      </c>
      <c r="F134" s="13">
        <v>42705.789409722223</v>
      </c>
      <c r="G134" s="7">
        <v>1</v>
      </c>
      <c r="H134" s="22" t="s">
        <v>230</v>
      </c>
      <c r="I134" s="13">
        <v>42705.81659722222</v>
      </c>
      <c r="J134" s="7">
        <v>1</v>
      </c>
      <c r="K134" s="109" t="str">
        <f>IF(ISEVEN(B134),(B134-1)&amp;"/"&amp;B134,B134&amp;"/"&amp;(B134+1))</f>
        <v>4009/4010</v>
      </c>
      <c r="L134" s="22" t="str">
        <f>VLOOKUP(A134,'Trips&amp;Operators'!$C$1:$G$99999,5,FALSE)</f>
        <v>STORY SAMANTHA</v>
      </c>
      <c r="M134" s="6">
        <f>I134-F134</f>
        <v>2.7187499996216502E-2</v>
      </c>
      <c r="N134" s="7">
        <f>24*60*SUM($M134:$M134)</f>
        <v>39.149999994551763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https://search-rtdc-monitor-bjffxe2xuh6vdkpspy63sjmuny.us-east-1.es.amazonaws.com/_plugin/kibana/#/discover/Steve-Slow-Train-Analysis-(2080s-and-2083s)?_g=(refreshInterval:(display:Off,section:0,value:0),time:(from:'2016-12-01 17:50:14-700',mode:absolute,to:'2016-12-01 20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4" s="52" t="str">
        <f>IF(AA134&lt;IF(AG134="EC",23,5.65),"Y","N")</f>
        <v>N</v>
      </c>
      <c r="X134" s="177">
        <f>VALUE(LEFT(AD134,4))-VALUE(LEFT(AD133,4))</f>
        <v>1</v>
      </c>
      <c r="Y134" s="67">
        <f>RIGHT(D134,LEN(D134)-4)/10000</f>
        <v>23.308700000000002</v>
      </c>
      <c r="Z134" s="67">
        <f>RIGHT(H134,LEN(H134)-4)/10000</f>
        <v>1.54E-2</v>
      </c>
      <c r="AA134" s="67">
        <f>ABS(Z134-Y134)</f>
        <v>23.293300000000002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>IF(LEN(A134)=6,"0"&amp;A134,A134)</f>
        <v>0216-01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/stypes="app*4010*20161202*" /stext=" 02:.+((SYSTEM_STATE.+slice.+state.+changed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4"/>
        <v>"%USERPROFILE%\Documents\GitHub\eaglep3\Utilities\RefineRTDCRunTimes.py" --tripid 216-01 --locoid 4010 --swversion DE.1.0.8.0 --startMP 204:233087 --initTime 2016-12-01T18:50:14 --startdatetime 2016-12-01T18:56:45 --delay 1 --endMP 204:154 --enddatetime 2016-12-01T19:35:54 --enforcementcount 1 &gt;&gt;C:\Users\stu\Documents\GitHub\eaglep3-reporting\EC\2016-12-01-refined-times.txt</v>
      </c>
      <c r="AI134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{"issue":{"subject":"","project_id":79,"tracker_id":40,"status_id":1,"priority_id":2,"assigned_to_id":23,"start_date":"2016-12-01","description":"","custom_fields":[{"id":1,"name":"Subdivision","value":"EC"},{"id":4,"name":"Milepost","value":"0.0154"},{"id":17,"name":"Train ID","value":"216-01"},{"id":16,"name":"Locomotive ID","value":"4010"},{"id":130,"name":"Impact","value":""},{"id":150,"name":"Time of Event (Mountain Time)","value":"19:35:54"},{"id":151,"name":"Denver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448</v>
      </c>
      <c r="B135" s="7">
        <v>4031</v>
      </c>
      <c r="C135" s="22" t="s">
        <v>210</v>
      </c>
      <c r="D135" s="22" t="s">
        <v>245</v>
      </c>
      <c r="E135" s="13">
        <v>42705.755312499998</v>
      </c>
      <c r="F135" s="13">
        <v>42705.760775462964</v>
      </c>
      <c r="G135" s="7">
        <v>2</v>
      </c>
      <c r="H135" s="22" t="s">
        <v>692</v>
      </c>
      <c r="I135" s="13">
        <v>42705.785092592596</v>
      </c>
      <c r="J135" s="7">
        <v>1</v>
      </c>
      <c r="K135" s="109" t="str">
        <f>IF(ISEVEN(B135),(B135-1)&amp;"/"&amp;B135,B135&amp;"/"&amp;(B135+1))</f>
        <v>4031/4032</v>
      </c>
      <c r="L135" s="22" t="str">
        <f>VLOOKUP(A135,'Trips&amp;Operators'!$C$1:$G$99999,5,FALSE)</f>
        <v>LEVIN SCOTT</v>
      </c>
      <c r="M135" s="6">
        <f>I135-F135</f>
        <v>2.4317129631526768E-2</v>
      </c>
      <c r="N135" s="7">
        <f>24*60*SUM($M135:$M135)</f>
        <v>35.016666669398546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https://search-rtdc-monitor-bjffxe2xuh6vdkpspy63sjmuny.us-east-1.es.amazonaws.com/_plugin/kibana/#/discover/Steve-Slow-Train-Analysis-(2080s-and-2083s)?_g=(refreshInterval:(display:Off,section:0,value:0),time:(from:'2016-12-01 17:07:39-700',mode:absolute,to:'2016-12-01 19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5" s="52" t="str">
        <f>IF(AA135&lt;IF(AG135="EC",23,5.65),"Y","N")</f>
        <v>N</v>
      </c>
      <c r="X135" s="177">
        <f>VALUE(LEFT(AD135,4))-VALUE(LEFT(AD134,4))</f>
        <v>1</v>
      </c>
      <c r="Y135" s="67">
        <f>RIGHT(D135,LEN(D135)-4)/10000</f>
        <v>4.5499999999999999E-2</v>
      </c>
      <c r="Z135" s="67">
        <f>RIGHT(H135,LEN(H135)-4)/10000</f>
        <v>23.334099999999999</v>
      </c>
      <c r="AA135" s="67">
        <f>ABS(Z135-Y135)</f>
        <v>23.288599999999999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>IF(LEN(A135)=6,"0"&amp;A135,A135)</f>
        <v>0217-01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/stypes="app*4031*20161202*" /stext=" 01:.+((SYSTEM_STATE.+slice.+state.+changed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4"/>
        <v>"%USERPROFILE%\Documents\GitHub\eaglep3\Utilities\RefineRTDCRunTimes.py" --tripid 217-01 --locoid 4031 --swversion DE.1.0.8.0 --startMP 204:455 --initTime 2016-12-01T18:07:39 --startdatetime 2016-12-01T18:15:31 --delay 2 --endMP 204:233341 --enddatetime 2016-12-01T18:50:32 --enforcementcount 1 &gt;&gt;C:\Users\stu\Documents\GitHub\eaglep3-reporting\EC\2016-12-01-refined-times.txt</v>
      </c>
      <c r="AI135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{"issue":{"subject":"","project_id":79,"tracker_id":40,"status_id":1,"priority_id":2,"assigned_to_id":23,"start_date":"2016-12-01","description":"","custom_fields":[{"id":1,"name":"Subdivision","value":"EC"},{"id":4,"name":"Milepost","value":"23.3341"},{"id":17,"name":"Train ID","value":"217-01"},{"id":16,"name":"Locomotive ID","value":"4031"},{"id":130,"name":"Impact","value":""},{"id":150,"name":"Time of Event (Mountain Time)","value":"18:50:32"},{"id":151,"name":"Denver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451</v>
      </c>
      <c r="B136" s="7">
        <v>4032</v>
      </c>
      <c r="C136" s="22" t="s">
        <v>210</v>
      </c>
      <c r="D136" s="22" t="s">
        <v>319</v>
      </c>
      <c r="E136" s="13">
        <v>42705.796956018516</v>
      </c>
      <c r="F136" s="13">
        <v>42705.79954861111</v>
      </c>
      <c r="G136" s="7">
        <v>1</v>
      </c>
      <c r="H136" s="22" t="s">
        <v>217</v>
      </c>
      <c r="I136" s="13">
        <v>42705.826331018521</v>
      </c>
      <c r="J136" s="7">
        <v>1</v>
      </c>
      <c r="K136" s="109" t="str">
        <f>IF(ISEVEN(B136),(B136-1)&amp;"/"&amp;B136,B136&amp;"/"&amp;(B136+1))</f>
        <v>4031/4032</v>
      </c>
      <c r="L136" s="22" t="str">
        <f>VLOOKUP(A136,'Trips&amp;Operators'!$C$1:$G$99999,5,FALSE)</f>
        <v>LEVIN SCOTT</v>
      </c>
      <c r="M136" s="6">
        <f>I136-F136</f>
        <v>2.6782407410792075E-2</v>
      </c>
      <c r="N136" s="7">
        <f>24*60*SUM($M136:$M136)</f>
        <v>38.566666671540588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https://search-rtdc-monitor-bjffxe2xuh6vdkpspy63sjmuny.us-east-1.es.amazonaws.com/_plugin/kibana/#/discover/Steve-Slow-Train-Analysis-(2080s-and-2083s)?_g=(refreshInterval:(display:Off,section:0,value:0),time:(from:'2016-12-01 18:07:37-700',mode:absolute,to:'2016-12-01 20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6" s="52" t="str">
        <f>IF(AA136&lt;IF(AG136="EC",23,5.65),"Y","N")</f>
        <v>N</v>
      </c>
      <c r="X136" s="177">
        <f>VALUE(LEFT(AD136,4))-VALUE(LEFT(AD135,4))</f>
        <v>1</v>
      </c>
      <c r="Y136" s="67">
        <f>RIGHT(D136,LEN(D136)-4)/10000</f>
        <v>23.3017</v>
      </c>
      <c r="Z136" s="67">
        <f>RIGHT(H136,LEN(H136)-4)/10000</f>
        <v>1.4999999999999999E-2</v>
      </c>
      <c r="AA136" s="67">
        <f>ABS(Z136-Y136)</f>
        <v>23.2867</v>
      </c>
      <c r="AB136" s="64" t="str">
        <f>VLOOKUP(A136,Enforcements!$C$7:$K$20,8,0)</f>
        <v>Bulletin (2)</v>
      </c>
      <c r="AC136" s="60" t="str">
        <f>VLOOKUP(A136,Enforcements!$C$7:$E$20,3,0)</f>
        <v>GRADE CROSSING</v>
      </c>
      <c r="AD136" s="61" t="str">
        <f>IF(LEN(A136)=6,"0"&amp;A136,A136)</f>
        <v>0218-01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/stypes="app*4032*20161202*" /stext=" 02:.+((SYSTEM_STATE.+slice.+state.+changed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4"/>
        <v>"%USERPROFILE%\Documents\GitHub\eaglep3\Utilities\RefineRTDCRunTimes.py" --tripid 218-01 --locoid 4032 --swversion DE.1.0.8.0 --startMP 204:233017 --initTime 2016-12-01T19:07:37 --startdatetime 2016-12-01T19:11:21 --delay 1 --endMP 204:150 --enddatetime 2016-12-01T19:49:55 --enforcementcount 1 &gt;&gt;C:\Users\stu\Documents\GitHub\eaglep3-reporting\EC\2016-12-01-refined-times.txt</v>
      </c>
      <c r="AI136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{"issue":{"subject":"","project_id":79,"tracker_id":40,"status_id":1,"priority_id":2,"assigned_to_id":23,"start_date":"2016-12-01","description":"","custom_fields":[{"id":1,"name":"Subdivision","value":"EC"},{"id":4,"name":"Milepost","value":"0.015"},{"id":17,"name":"Train ID","value":"218-01"},{"id":16,"name":"Locomotive ID","value":"4032"},{"id":130,"name":"Impact","value":""},{"id":150,"name":"Time of Event (Mountain Time)","value":"19:49:55"},{"id":151,"name":"Denver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619</v>
      </c>
      <c r="B137" s="7">
        <v>4029</v>
      </c>
      <c r="C137" s="22" t="s">
        <v>210</v>
      </c>
      <c r="D137" s="22" t="s">
        <v>319</v>
      </c>
      <c r="E137" s="13">
        <v>42705.796956018516</v>
      </c>
      <c r="F137" s="13">
        <v>42705.76761574074</v>
      </c>
      <c r="G137" s="7">
        <v>1</v>
      </c>
      <c r="H137" s="22" t="s">
        <v>217</v>
      </c>
      <c r="I137" s="13">
        <v>42705.772407407407</v>
      </c>
      <c r="J137" s="7">
        <v>1</v>
      </c>
      <c r="K137" s="109" t="str">
        <f>IF(ISEVEN(B137),(B137-1)&amp;"/"&amp;B137,B137&amp;"/"&amp;(B137+1))</f>
        <v>4029/4030</v>
      </c>
      <c r="L137" s="22" t="str">
        <f>VLOOKUP(A137,'Trips&amp;Operators'!$C$1:$G$99999,5,FALSE)</f>
        <v>STAMBAUGH JAMES</v>
      </c>
      <c r="M137" s="6">
        <f>I137-F137</f>
        <v>4.7916666662786156E-3</v>
      </c>
      <c r="N137" s="7"/>
      <c r="O137" s="7"/>
      <c r="P137" s="7">
        <f>24*60*SUM($M137:$M137)</f>
        <v>6.8999999994412065</v>
      </c>
      <c r="Q137" s="23"/>
      <c r="R137" s="23" t="s">
        <v>388</v>
      </c>
      <c r="S137" s="35">
        <f>SUM(U137:U137)/IF(AG137="EC",12,1)</f>
        <v>0</v>
      </c>
      <c r="T137" s="50" t="str">
        <f>IF(ISEVEN(LEFT(AD137,4)),"Southbound","NorthBound")</f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https://search-rtdc-monitor-bjffxe2xuh6vdkpspy63sjmuny.us-east-1.es.amazonaws.com/_plugin/kibana/#/discover/Steve-Slow-Train-Analysis-(2080s-and-2083s)?_g=(refreshInterval:(display:Off,section:0,value:0),time:(from:'2016-12-01 18:07:37-700',mode:absolute,to:'2016-12-01 19:32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7" s="52" t="str">
        <f>IF(AA137&lt;IF(AG137="EC",23,5.65),"Y","N")</f>
        <v>N</v>
      </c>
      <c r="X137" s="177">
        <f>VALUE(LEFT(AD137,4))-VALUE(LEFT(AD136,4))</f>
        <v>1</v>
      </c>
      <c r="Y137" s="67">
        <f>RIGHT(D137,LEN(D137)-4)/10000</f>
        <v>23.3017</v>
      </c>
      <c r="Z137" s="67">
        <f>RIGHT(H137,LEN(H137)-4)/10000</f>
        <v>1.4999999999999999E-2</v>
      </c>
      <c r="AA137" s="67">
        <f>ABS(Z137-Y137)</f>
        <v>23.2867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>IF(LEN(A137)=6,"0"&amp;A137,A137)</f>
        <v>0219-01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/stypes="app*4029*20161202*" /stext=" 01:.+((SYSTEM_STATE.+slice.+state.+changed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ref="AH137" si="7"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219-01 --locoid 4029 --swversion DE.1.0.8.0 --startMP 204:233017 --initTime 2016-12-01T19:07:37 --startdatetime 2016-12-01T18:25:22 --delay 1 --endMP 204:150 --enddatetime 2016-12-01T18:32:16 --enforcementcount 1 &gt;&gt;C:\Users\stu\Documents\GitHub\eaglep3-reporting\EC\2016-12-01-refined-times.txt</v>
      </c>
      <c r="AI137" s="119" t="str">
        <f t="shared" ref="AI137" si="8"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failure","project_id":79,"tracker_id":40,"status_id":1,"priority_id":2,"assigned_to_id":23,"start_date":"2016-12-01","description":"","custom_fields":[{"id":1,"name":"Subdivision","value":"EC"},{"id":4,"name":"Milepost","value":"0.015"},{"id":17,"name":"Train ID","value":"219-01"},{"id":16,"name":"Locomotive ID","value":"4029"},{"id":130,"name":"Impact","value":""},{"id":150,"name":"Time of Event (Mountain Time)","value":"18:32:16"},{"id":151,"name":"Denver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628</v>
      </c>
      <c r="B138" s="7">
        <v>4030</v>
      </c>
      <c r="C138" s="22" t="s">
        <v>210</v>
      </c>
      <c r="D138" s="22" t="s">
        <v>269</v>
      </c>
      <c r="E138" s="13">
        <v>42705.808171296296</v>
      </c>
      <c r="F138" s="13">
        <v>42705.810439814813</v>
      </c>
      <c r="G138" s="7">
        <v>1</v>
      </c>
      <c r="H138" s="22" t="s">
        <v>702</v>
      </c>
      <c r="I138" s="13">
        <v>42705.835046296299</v>
      </c>
      <c r="J138" s="7">
        <v>1</v>
      </c>
      <c r="K138" s="109" t="str">
        <f>IF(ISEVEN(B138),(B138-1)&amp;"/"&amp;B138,B138&amp;"/"&amp;(B138+1))</f>
        <v>4029/4030</v>
      </c>
      <c r="L138" s="22" t="str">
        <f>VLOOKUP(A138,'Trips&amp;Operators'!$C$1:$G$99999,5,FALSE)</f>
        <v>STAMBAUGH JAMES</v>
      </c>
      <c r="M138" s="6">
        <f>I138-F138</f>
        <v>2.4606481485534459E-2</v>
      </c>
      <c r="N138" s="7">
        <f>24*60*SUM($M138:$M138)</f>
        <v>35.433333339169621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https://search-rtdc-monitor-bjffxe2xuh6vdkpspy63sjmuny.us-east-1.es.amazonaws.com/_plugin/kibana/#/discover/Steve-Slow-Train-Analysis-(2080s-and-2083s)?_g=(refreshInterval:(display:Off,section:0,value:0),time:(from:'2016-12-01 18:23:46-700',mode:absolute,to:'2016-12-01 21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8" s="52" t="str">
        <f>IF(AA138&lt;IF(AG138="EC",23,5.65),"Y","N")</f>
        <v>N</v>
      </c>
      <c r="X138" s="177">
        <f t="shared" ref="X138:X140" si="9">VALUE(LEFT(AD138,4))-VALUE(LEFT(AD137,4))</f>
        <v>1</v>
      </c>
      <c r="Y138" s="67">
        <f>RIGHT(D138,LEN(D138)-4)/10000</f>
        <v>23.299600000000002</v>
      </c>
      <c r="Z138" s="67">
        <f>RIGHT(H138,LEN(H138)-4)/10000</f>
        <v>9.1800000000000007E-2</v>
      </c>
      <c r="AA138" s="67">
        <f>ABS(Z138-Y138)</f>
        <v>23.207800000000002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>IF(LEN(A138)=6,"0"&amp;A138,A138)</f>
        <v>0220-01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/stypes="app*4030*20161202*" /stext=" 03:.+((SYSTEM_STATE.+slice.+state.+changed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4"/>
        <v>"%USERPROFILE%\Documents\GitHub\eaglep3\Utilities\RefineRTDCRunTimes.py" --tripid 220-01 --locoid 4030 --swversion DE.1.0.8.0 --startMP 204:232996 --initTime 2016-12-01T19:23:46 --startdatetime 2016-12-01T19:27:02 --delay 1 --endMP 204:918 --enddatetime 2016-12-01T20:02:28 --enforcementcount 1 &gt;&gt;C:\Users\stu\Documents\GitHub\eaglep3-reporting\EC\2016-12-01-refined-times.txt</v>
      </c>
      <c r="AI138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{"issue":{"subject":"","project_id":79,"tracker_id":40,"status_id":1,"priority_id":2,"assigned_to_id":23,"start_date":"2016-12-01","description":"","custom_fields":[{"id":1,"name":"Subdivision","value":"EC"},{"id":4,"name":"Milepost","value":"0.0918"},{"id":17,"name":"Train ID","value":"220-01"},{"id":16,"name":"Locomotive ID","value":"4030"},{"id":130,"name":"Impact","value":""},{"id":150,"name":"Time of Event (Mountain Time)","value":"20:02:28"},{"id":151,"name":"Denver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623</v>
      </c>
      <c r="B139" s="7">
        <v>4018</v>
      </c>
      <c r="C139" s="22" t="s">
        <v>210</v>
      </c>
      <c r="D139" s="22" t="s">
        <v>209</v>
      </c>
      <c r="E139" s="13">
        <v>42705.787893518522</v>
      </c>
      <c r="F139" s="13">
        <v>42705.791967592595</v>
      </c>
      <c r="G139" s="7">
        <v>3</v>
      </c>
      <c r="H139" s="22" t="s">
        <v>261</v>
      </c>
      <c r="I139" s="13">
        <v>42705.817164351851</v>
      </c>
      <c r="J139" s="7">
        <v>1</v>
      </c>
      <c r="K139" s="109" t="str">
        <f>IF(ISEVEN(B139),(B139-1)&amp;"/"&amp;B139,B139&amp;"/"&amp;(B139+1))</f>
        <v>4017/4018</v>
      </c>
      <c r="L139" s="22" t="str">
        <f>VLOOKUP(A139,'Trips&amp;Operators'!$C$1:$G$99999,5,FALSE)</f>
        <v>LALONDE GREGORY</v>
      </c>
      <c r="M139" s="6">
        <f>I139-F139</f>
        <v>2.5196759255777579E-2</v>
      </c>
      <c r="N139" s="7">
        <f>24*60*SUM($M139:$M139)</f>
        <v>36.283333328319713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https://search-rtdc-monitor-bjffxe2xuh6vdkpspy63sjmuny.us-east-1.es.amazonaws.com/_plugin/kibana/#/discover/Steve-Slow-Train-Analysis-(2080s-and-2083s)?_g=(refreshInterval:(display:Off,section:0,value:0),time:(from:'2016-12-01 17:54:34-700',mode:absolute,to:'2016-12-01 20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9" s="52" t="str">
        <f>IF(AA139&lt;IF(AG139="EC",23,5.65),"Y","N")</f>
        <v>N</v>
      </c>
      <c r="X139" s="177">
        <f t="shared" si="9"/>
        <v>1</v>
      </c>
      <c r="Y139" s="67">
        <f>RIGHT(D139,LEN(D139)-4)/10000</f>
        <v>4.6399999999999997E-2</v>
      </c>
      <c r="Z139" s="67">
        <f>RIGHT(H139,LEN(H139)-4)/10000</f>
        <v>23.3308</v>
      </c>
      <c r="AA139" s="67">
        <f>ABS(Z139-Y139)</f>
        <v>23.284400000000002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>IF(LEN(A139)=6,"0"&amp;A139,A139)</f>
        <v>0221-01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s3://rtdc.mdm.uploadarchive.raw/RTDC4018/ "%USERPROFILE%\AppData\Local\Temp\OnboardLogs"\RTDC4018\2016-12-01 --exclude "*" --recursive --include "*20161201*" &amp; "%USERPROFILE%\Documents\GitHub\mrs-test-scripts\Headless Mode &amp; Sideloading\WalkAndUnGZ.bat" "%USERPROFILE%\AppData\Local\Temp\OnboardLogs"\RTDC4018\2016-12-01 &amp; aws s3 cp s3://rtdc.mdm.uploadarchive.raw/RTDC4018/ "%USERPROFILE%\AppData\Local\Temp\OnboardLogs"\RTDC4018\2016-12-02 --exclude "*" --recursive --include "*20161202*" &amp; "%USERPROFILE%\Documents\GitHub\mrs-test-scripts\Headless Mode &amp; Sideloading\WalkAndUnGZ.bat" "%USERPROFILE%\AppData\Local\Temp\OnboardLogs"\RTDC4018\2016-12-02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/stypes="app*4018*20161202*" /stext=" 02:.+((SYSTEM_STATE.+slice.+state.+changed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4"/>
        <v>"%USERPROFILE%\Documents\GitHub\eaglep3\Utilities\RefineRTDCRunTimes.py" --tripid 221-01 --locoid 4018 --swversion DE.1.0.8.0 --startMP 204:464 --initTime 2016-12-01T18:54:34 --startdatetime 2016-12-01T19:00:26 --delay 3 --endMP 204:233308 --enddatetime 2016-12-01T19:36:43 --enforcementcount 1 &gt;&gt;C:\Users\stu\Documents\GitHub\eaglep3-reporting\EC\2016-12-01-refined-times.txt</v>
      </c>
      <c r="AI139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{"issue":{"subject":"","project_id":79,"tracker_id":40,"status_id":1,"priority_id":2,"assigned_to_id":23,"start_date":"2016-12-01","description":"","custom_fields":[{"id":1,"name":"Subdivision","value":"EC"},{"id":4,"name":"Milepost","value":"23.3308"},{"id":17,"name":"Train ID","value":"221-01"},{"id":16,"name":"Locomotive ID","value":"4018"},{"id":130,"name":"Impact","value":""},{"id":150,"name":"Time of Event (Mountain Time)","value":"19:36:43"},{"id":151,"name":"Denver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453</v>
      </c>
      <c r="B140" s="7">
        <v>4017</v>
      </c>
      <c r="C140" s="22" t="s">
        <v>210</v>
      </c>
      <c r="D140" s="22" t="s">
        <v>265</v>
      </c>
      <c r="E140" s="13">
        <v>42705.819826388892</v>
      </c>
      <c r="F140" s="13">
        <v>42705.830740740741</v>
      </c>
      <c r="G140" s="7">
        <v>1</v>
      </c>
      <c r="H140" s="22" t="s">
        <v>253</v>
      </c>
      <c r="I140" s="13">
        <v>42705.860439814816</v>
      </c>
      <c r="J140" s="7">
        <v>1</v>
      </c>
      <c r="K140" s="109" t="str">
        <f>IF(ISEVEN(B140),(B140-1)&amp;"/"&amp;B140,B140&amp;"/"&amp;(B140+1))</f>
        <v>4017/4018</v>
      </c>
      <c r="L140" s="22" t="str">
        <f>VLOOKUP(A140,'Trips&amp;Operators'!$C$1:$G$99999,5,FALSE)</f>
        <v>LALONDE GREGORY</v>
      </c>
      <c r="M140" s="6">
        <f>I140-F140</f>
        <v>2.9699074075324461E-2</v>
      </c>
      <c r="N140" s="7">
        <f>24*60*SUM($M140:$M140)</f>
        <v>42.766666668467224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https://search-rtdc-monitor-bjffxe2xuh6vdkpspy63sjmuny.us-east-1.es.amazonaws.com/_plugin/kibana/#/discover/Steve-Slow-Train-Analysis-(2080s-and-2083s)?_g=(refreshInterval:(display:Off,section:0,value:0),time:(from:'2016-12-01 18:40:33-700',mode:absolute,to:'2016-12-01 21:39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0" s="52" t="str">
        <f>IF(AA140&lt;IF(AG140="EC",23,5.65),"Y","N")</f>
        <v>N</v>
      </c>
      <c r="X140" s="177">
        <f t="shared" si="9"/>
        <v>1</v>
      </c>
      <c r="Y140" s="67">
        <f>RIGHT(D140,LEN(D140)-4)/10000</f>
        <v>23.2989</v>
      </c>
      <c r="Z140" s="67">
        <f>RIGHT(H140,LEN(H140)-4)/10000</f>
        <v>1.3899999999999999E-2</v>
      </c>
      <c r="AA140" s="67">
        <f>ABS(Z140-Y140)</f>
        <v>23.285</v>
      </c>
      <c r="AB140" s="64" t="str">
        <f>VLOOKUP(A140,Enforcements!$C$7:$K$20,8,0)</f>
        <v>Track device (7)</v>
      </c>
      <c r="AC140" s="60" t="str">
        <f>VLOOKUP(A140,Enforcements!$C$7:$E$20,3,0)</f>
        <v>SWITCH UNKNOWN</v>
      </c>
      <c r="AD140" s="61" t="str">
        <f>IF(LEN(A140)=6,"0"&amp;A140,A140)</f>
        <v>0222-01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s3://rtdc.mdm.uploadarchive.raw/RTDC4017/ "%USERPROFILE%\AppData\Local\Temp\OnboardLogs"\RTDC4017\2016-12-01 --exclude "*" --recursive --include "*20161201*" &amp; "%USERPROFILE%\Documents\GitHub\mrs-test-scripts\Headless Mode &amp; Sideloading\WalkAndUnGZ.bat" "%USERPROFILE%\AppData\Local\Temp\OnboardLogs"\RTDC4017\2016-12-01 &amp; 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/stypes="app*4017*20161202*" /stext=" 03:.+((SYSTEM_STATE.+slice.+state.+changed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si="4"/>
        <v>"%USERPROFILE%\Documents\GitHub\eaglep3\Utilities\RefineRTDCRunTimes.py" --tripid 222-01 --locoid 4017 --swversion DE.1.0.8.0 --startMP 204:232989 --initTime 2016-12-01T19:40:33 --startdatetime 2016-12-01T19:56:16 --delay 1 --endMP 204:139 --enddatetime 2016-12-01T20:39:02 --enforcementcount 1 &gt;&gt;C:\Users\stu\Documents\GitHub\eaglep3-reporting\EC\2016-12-01-refined-times.txt</v>
      </c>
      <c r="AI140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{"issue":{"subject":"","project_id":79,"tracker_id":40,"status_id":1,"priority_id":2,"assigned_to_id":23,"start_date":"2016-12-01","description":"","custom_fields":[{"id":1,"name":"Subdivision","value":"EC"},{"id":4,"name":"Milepost","value":"0.0139"},{"id":17,"name":"Train ID","value":"222-01"},{"id":16,"name":"Locomotive ID","value":"4017"},{"id":130,"name":"Impact","value":""},{"id":150,"name":"Time of Event (Mountain Time)","value":"20:39:02"},{"id":151,"name":"Denver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627</v>
      </c>
      <c r="B141" s="7">
        <v>4038</v>
      </c>
      <c r="C141" s="22" t="s">
        <v>210</v>
      </c>
      <c r="D141" s="22" t="s">
        <v>733</v>
      </c>
      <c r="E141" s="13">
        <v>42705.807314814818</v>
      </c>
      <c r="F141" s="13">
        <v>42705.814363425925</v>
      </c>
      <c r="G141" s="7">
        <v>2</v>
      </c>
      <c r="H141" s="22" t="s">
        <v>321</v>
      </c>
      <c r="I141" s="13">
        <v>42705.840891203705</v>
      </c>
      <c r="J141" s="7">
        <v>1</v>
      </c>
      <c r="K141" s="109" t="str">
        <f>IF(ISEVEN(B141),(B141-1)&amp;"/"&amp;B141,B141&amp;"/"&amp;(B141+1))</f>
        <v>4037/4038</v>
      </c>
      <c r="L141" s="22" t="str">
        <f>VLOOKUP(A141,'Trips&amp;Operators'!$C$1:$G$99999,5,FALSE)</f>
        <v>MACDONALD THOMAS</v>
      </c>
      <c r="M141" s="6">
        <f>I141-F141</f>
        <v>2.6527777779847383E-2</v>
      </c>
      <c r="N141" s="7">
        <f>24*60*SUM($M141:$M141)</f>
        <v>38.200000002980232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https://search-rtdc-monitor-bjffxe2xuh6vdkpspy63sjmuny.us-east-1.es.amazonaws.com/_plugin/kibana/#/discover/Steve-Slow-Train-Analysis-(2080s-and-2083s)?_g=(refreshInterval:(display:Off,section:0,value:0),time:(from:'2016-12-01 18:22:32-700',mode:absolute,to:'2016-12-01 21:10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1" s="52" t="str">
        <f>IF(AA141&lt;IF(AG141="EC",23,5.65),"Y","N")</f>
        <v>N</v>
      </c>
      <c r="X141" s="177">
        <f>VALUE(LEFT(AD141,4))-VALUE(LEFT(AD140,4))</f>
        <v>1</v>
      </c>
      <c r="Y141" s="67">
        <f>RIGHT(D141,LEN(D141)-4)/10000</f>
        <v>0.12230000000000001</v>
      </c>
      <c r="Z141" s="67">
        <f>RIGHT(H141,LEN(H141)-4)/10000</f>
        <v>23.327999999999999</v>
      </c>
      <c r="AA141" s="67">
        <f>ABS(Z141-Y141)</f>
        <v>23.2057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>IF(LEN(A141)=6,"0"&amp;A141,A141)</f>
        <v>0223-01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 &amp; aws s3 cp s3://rtdc.mdm.uploadarchive.raw/RTDC4038/ "%USERPROFILE%\AppData\Local\Temp\OnboardLogs"\RTDC4038\2016-12-02 --exclude "*" --recursive --include "*20161202*" &amp; "%USERPROFILE%\Documents\GitHub\mrs-test-scripts\Headless Mode &amp; Sideloading\WalkAndUnGZ.bat" "%USERPROFILE%\AppData\Local\Temp\OnboardLogs"\RTDC4038\2016-12-02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/stypes="app*4038*20161202*" /stext=" 03:.+((SYSTEM_STATE.+slice.+state.+changed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4"/>
        <v>"%USERPROFILE%\Documents\GitHub\eaglep3\Utilities\RefineRTDCRunTimes.py" --tripid 223-01 --locoid 4038 --swversion DE.1.0.8.0 --startMP 204:1223 --initTime 2016-12-01T19:22:32 --startdatetime 2016-12-01T19:32:41 --delay 2 --endMP 204:233280 --enddatetime 2016-12-01T20:10:53 --enforcementcount 1 &gt;&gt;C:\Users\stu\Documents\GitHub\eaglep3-reporting\EC\2016-12-01-refined-times.txt</v>
      </c>
      <c r="AI141" s="119" t="str">
        <f t="shared" si="5"/>
        <v>echo {"issue":{"subject":"","project_id":79,"tracker_id":40,"status_id":1,"priority_id":2,"assigned_to_id":23,"start_date":"2016-12-01","description":"","custom_fields":[{"id":1,"name":"Subdivision","value":"EC"},{"id":4,"name":"Milepost","value":"23.328"},{"id":17,"name":"Train ID","value":"223-01"},{"id":16,"name":"Locomotive ID","value":"4038"},{"id":130,"name":"Impact","value":""},{"id":150,"name":"Time of Event (Mountain Time)","value":"20:10:53"},{"id":151,"name":"Denver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634</v>
      </c>
      <c r="B142" s="7">
        <v>4037</v>
      </c>
      <c r="C142" s="22" t="s">
        <v>210</v>
      </c>
      <c r="D142" s="22" t="s">
        <v>734</v>
      </c>
      <c r="E142" s="13">
        <v>42705.847731481481</v>
      </c>
      <c r="F142" s="13">
        <v>42705.851793981485</v>
      </c>
      <c r="G142" s="7">
        <v>1</v>
      </c>
      <c r="H142" s="22" t="s">
        <v>292</v>
      </c>
      <c r="I142" s="13">
        <v>42705.878344907411</v>
      </c>
      <c r="J142" s="7">
        <v>1</v>
      </c>
      <c r="K142" s="109" t="str">
        <f>IF(ISEVEN(B142),(B142-1)&amp;"/"&amp;B142,B142&amp;"/"&amp;(B142+1))</f>
        <v>4037/4038</v>
      </c>
      <c r="L142" s="22" t="str">
        <f>VLOOKUP(A142,'Trips&amp;Operators'!$C$1:$G$99999,5,FALSE)</f>
        <v>MACDONALD THOMAS</v>
      </c>
      <c r="M142" s="6">
        <f>I142-F142</f>
        <v>2.6550925926130731E-2</v>
      </c>
      <c r="N142" s="7">
        <f>24*60*SUM($M142:$M142)</f>
        <v>38.233333333628252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https://search-rtdc-monitor-bjffxe2xuh6vdkpspy63sjmuny.us-east-1.es.amazonaws.com/_plugin/kibana/#/discover/Steve-Slow-Train-Analysis-(2080s-and-2083s)?_g=(refreshInterval:(display:Off,section:0,value:0),time:(from:'2016-12-01 19:20:44-700',mode:absolute,to:'2016-12-01 22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2" s="52" t="str">
        <f>IF(AA142&lt;IF(AG142="EC",23,5.65),"Y","N")</f>
        <v>N</v>
      </c>
      <c r="X142" s="177">
        <f>VALUE(LEFT(AD142,4))-VALUE(LEFT(AD141,4))</f>
        <v>1</v>
      </c>
      <c r="Y142" s="67">
        <f>RIGHT(D142,LEN(D142)-4)/10000</f>
        <v>23.298300000000001</v>
      </c>
      <c r="Z142" s="67">
        <f>RIGHT(H142,LEN(H142)-4)/10000</f>
        <v>1.6E-2</v>
      </c>
      <c r="AA142" s="67">
        <f>ABS(Z142-Y142)</f>
        <v>23.282300000000003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>IF(LEN(A142)=6,"0"&amp;A142,A142)</f>
        <v>0224-01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 &amp; aws s3 cp s3://rtdc.mdm.uploadarchive.raw/RTDC4037/ "%USERPROFILE%\AppData\Local\Temp\OnboardLogs"\RTDC4037\2016-12-02 --exclude "*" --recursive --include "*20161202*" &amp; "%USERPROFILE%\Documents\GitHub\mrs-test-scripts\Headless Mode &amp; Sideloading\WalkAndUnGZ.bat" "%USERPROFILE%\AppData\Local\Temp\OnboardLogs"\RTDC4037\2016-12-02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/stypes="app*4037*20161202*" /stext=" 04:.+((SYSTEM_STATE.+slice.+state.+changed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ref="AH142:AH204" si="1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224-01 --locoid 4037 --swversion DE.1.0.8.0 --startMP 204:232983 --initTime 2016-12-01T20:20:44 --startdatetime 2016-12-01T20:26:35 --delay 1 --endMP 204:160 --enddatetime 2016-12-01T21:04:49 --enforcementcount 1 &gt;&gt;C:\Users\stu\Documents\GitHub\eaglep3-reporting\EC\2016-12-01-refined-times.txt</v>
      </c>
      <c r="AI142" s="119" t="str">
        <f t="shared" ref="AI142:AI204" si="1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{"issue":{"subject":"","project_id":79,"tracker_id":40,"status_id":1,"priority_id":2,"assigned_to_id":23,"start_date":"2016-12-01","description":"","custom_fields":[{"id":1,"name":"Subdivision","value":"EC"},{"id":4,"name":"Milepost","value":"0.016"},{"id":17,"name":"Train ID","value":"224-01"},{"id":16,"name":"Locomotive ID","value":"4037"},{"id":130,"name":"Impact","value":""},{"id":150,"name":"Time of Event (Mountain Time)","value":"21:04:49"},{"id":151,"name":"Denver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631</v>
      </c>
      <c r="B143" s="7">
        <v>4031</v>
      </c>
      <c r="C143" s="22" t="s">
        <v>210</v>
      </c>
      <c r="D143" s="22" t="s">
        <v>209</v>
      </c>
      <c r="E143" s="13">
        <v>42705.829710648148</v>
      </c>
      <c r="F143" s="13">
        <v>42705.833506944444</v>
      </c>
      <c r="G143" s="7">
        <v>1</v>
      </c>
      <c r="H143" s="22" t="s">
        <v>339</v>
      </c>
      <c r="I143" s="13">
        <v>42705.858032407406</v>
      </c>
      <c r="J143" s="7">
        <v>1</v>
      </c>
      <c r="K143" s="109" t="str">
        <f>IF(ISEVEN(B143),(B143-1)&amp;"/"&amp;B143,B143&amp;"/"&amp;(B143+1))</f>
        <v>4031/4032</v>
      </c>
      <c r="L143" s="22" t="str">
        <f>VLOOKUP(A143,'Trips&amp;Operators'!$C$1:$G$99999,5,FALSE)</f>
        <v>LEVIN SCOTT</v>
      </c>
      <c r="M143" s="6">
        <f>I143-F143</f>
        <v>2.4525462962628808E-2</v>
      </c>
      <c r="N143" s="7">
        <f>24*60*SUM($M143:$M143)</f>
        <v>35.316666666185483</v>
      </c>
      <c r="O143" s="7"/>
      <c r="P143" s="7"/>
      <c r="Q143" s="23"/>
      <c r="R143" s="23"/>
      <c r="S143" s="35">
        <f>SUM(U143:U143)/IF(AG143="EC",12,1)</f>
        <v>1</v>
      </c>
      <c r="T143" s="50" t="str">
        <f>IF(ISEVEN(LEFT(AD143,4)),"Southbound","NorthBound")</f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https://search-rtdc-monitor-bjffxe2xuh6vdkpspy63sjmuny.us-east-1.es.amazonaws.com/_plugin/kibana/#/discover/Steve-Slow-Train-Analysis-(2080s-and-2083s)?_g=(refreshInterval:(display:Off,section:0,value:0),time:(from:'2016-12-01 18:54:47-700',mode:absolute,to:'2016-12-01 21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3" s="52" t="str">
        <f>IF(AA143&lt;IF(AG143="EC",23,5.65),"Y","N")</f>
        <v>N</v>
      </c>
      <c r="X143" s="177">
        <f>VALUE(LEFT(AD143,4))-VALUE(LEFT(AD142,4))</f>
        <v>1</v>
      </c>
      <c r="Y143" s="67">
        <f>RIGHT(D143,LEN(D143)-4)/10000</f>
        <v>4.6399999999999997E-2</v>
      </c>
      <c r="Z143" s="67">
        <f>RIGHT(H143,LEN(H143)-4)/10000</f>
        <v>23.332100000000001</v>
      </c>
      <c r="AA143" s="67">
        <f>ABS(Z143-Y143)</f>
        <v>23.285700000000002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>IF(LEN(A143)=6,"0"&amp;A143,A143)</f>
        <v>0225-01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/stypes="app*4031*20161202*" /stext=" 03:.+((SYSTEM_STATE.+slice.+state.+changed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10"/>
        <v>"%USERPROFILE%\Documents\GitHub\eaglep3\Utilities\RefineRTDCRunTimes.py" --tripid 225-01 --locoid 4031 --swversion DE.1.0.8.0 --startMP 204:464 --initTime 2016-12-01T19:54:47 --startdatetime 2016-12-01T20:00:15 --delay 1 --endMP 204:233321 --enddatetime 2016-12-01T20:35:34 --enforcementcount 1 &gt;&gt;C:\Users\stu\Documents\GitHub\eaglep3-reporting\EC\2016-12-01-refined-times.txt</v>
      </c>
      <c r="AI143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{"issue":{"subject":"","project_id":79,"tracker_id":40,"status_id":1,"priority_id":2,"assigned_to_id":23,"start_date":"2016-12-01","description":"","custom_fields":[{"id":1,"name":"Subdivision","value":"EC"},{"id":4,"name":"Milepost","value":"23.3321"},{"id":17,"name":"Train ID","value":"225-01"},{"id":16,"name":"Locomotive ID","value":"4031"},{"id":130,"name":"Impact","value":""},{"id":150,"name":"Time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636</v>
      </c>
      <c r="B144" s="7">
        <v>4032</v>
      </c>
      <c r="C144" s="22" t="s">
        <v>210</v>
      </c>
      <c r="D144" s="22" t="s">
        <v>317</v>
      </c>
      <c r="E144" s="13">
        <v>42705.867986111109</v>
      </c>
      <c r="F144" s="13">
        <v>42705.872465277775</v>
      </c>
      <c r="G144" s="7">
        <v>1</v>
      </c>
      <c r="H144" s="22" t="s">
        <v>268</v>
      </c>
      <c r="I144" s="13">
        <v>42705.897986111115</v>
      </c>
      <c r="J144" s="7">
        <v>1</v>
      </c>
      <c r="K144" s="109" t="str">
        <f>IF(ISEVEN(B144),(B144-1)&amp;"/"&amp;B144,B144&amp;"/"&amp;(B144+1))</f>
        <v>4031/4032</v>
      </c>
      <c r="L144" s="22" t="str">
        <f>VLOOKUP(A144,'Trips&amp;Operators'!$C$1:$G$99999,5,FALSE)</f>
        <v>LEVIN SCOTT</v>
      </c>
      <c r="M144" s="6">
        <f>I144-F144</f>
        <v>2.5520833340124227E-2</v>
      </c>
      <c r="N144" s="7">
        <f>24*60*SUM($M144:$M144)</f>
        <v>36.750000009778887</v>
      </c>
      <c r="O144" s="7"/>
      <c r="P144" s="7"/>
      <c r="Q144" s="23"/>
      <c r="R144" s="23"/>
      <c r="S144" s="35">
        <f>SUM(U144:U144)/IF(AG144="EC",12,1)</f>
        <v>1</v>
      </c>
      <c r="T144" s="50" t="str">
        <f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https://search-rtdc-monitor-bjffxe2xuh6vdkpspy63sjmuny.us-east-1.es.amazonaws.com/_plugin/kibana/#/discover/Steve-Slow-Train-Analysis-(2080s-and-2083s)?_g=(refreshInterval:(display:Off,section:0,value:0),time:(from:'2016-12-01 19:49:54-700',mode:absolute,to:'2016-12-01 22:33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4" s="52" t="str">
        <f>IF(AA144&lt;IF(AG144="EC",23,5.65),"Y","N")</f>
        <v>N</v>
      </c>
      <c r="X144" s="177">
        <f>VALUE(LEFT(AD144,4))-VALUE(LEFT(AD143,4))</f>
        <v>1</v>
      </c>
      <c r="Y144" s="67">
        <f>RIGHT(D144,LEN(D144)-4)/10000</f>
        <v>23.301100000000002</v>
      </c>
      <c r="Z144" s="67">
        <f>RIGHT(H144,LEN(H144)-4)/10000</f>
        <v>1.4500000000000001E-2</v>
      </c>
      <c r="AA144" s="67">
        <f>ABS(Z144-Y144)</f>
        <v>23.2866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>IF(LEN(A144)=6,"0"&amp;A144,A144)</f>
        <v>0226-01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/stypes="app*4032*20161202*" /stext=" 04:.+((SYSTEM_STATE.+slice.+state.+changed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10"/>
        <v>"%USERPROFILE%\Documents\GitHub\eaglep3\Utilities\RefineRTDCRunTimes.py" --tripid 226-01 --locoid 4032 --swversion DE.1.0.8.0 --startMP 204:233011 --initTime 2016-12-01T20:49:54 --startdatetime 2016-12-01T20:56:21 --delay 1 --endMP 204:145 --enddatetime 2016-12-01T21:33:06 --enforcementcount 1 &gt;&gt;C:\Users\stu\Documents\GitHub\eaglep3-reporting\EC\2016-12-01-refined-times.txt</v>
      </c>
      <c r="AI144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{"issue":{"subject":"","project_id":79,"tracker_id":40,"status_id":1,"priority_id":2,"assigned_to_id":23,"start_date":"2016-12-01","description":"","custom_fields":[{"id":1,"name":"Subdivision","value":"EC"},{"id":4,"name":"Milepost","value":"0.0145"},{"id":17,"name":"Train ID","value":"226-01"},{"id":16,"name":"Locomotive ID","value":"4032"},{"id":130,"name":"Impact","value":""},{"id":150,"name":"Time of Event (Mountain Time)","value":"21:33:06"},{"id":151,"name":"Denver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632</v>
      </c>
      <c r="B145" s="7">
        <v>4009</v>
      </c>
      <c r="C145" s="22" t="s">
        <v>210</v>
      </c>
      <c r="D145" s="22" t="s">
        <v>294</v>
      </c>
      <c r="E145" s="13">
        <v>42705.840115740742</v>
      </c>
      <c r="F145" s="13">
        <v>42705.854733796295</v>
      </c>
      <c r="G145" s="7">
        <v>1</v>
      </c>
      <c r="H145" s="22" t="s">
        <v>244</v>
      </c>
      <c r="I145" s="13">
        <v>42705.878958333335</v>
      </c>
      <c r="J145" s="7">
        <v>1</v>
      </c>
      <c r="K145" s="109" t="str">
        <f>IF(ISEVEN(B145),(B145-1)&amp;"/"&amp;B145,B145&amp;"/"&amp;(B145+1))</f>
        <v>4009/4010</v>
      </c>
      <c r="L145" s="22" t="str">
        <f>VLOOKUP(A145,'Trips&amp;Operators'!$C$1:$G$99999,5,FALSE)</f>
        <v>STAMBAUGH JAMES</v>
      </c>
      <c r="M145" s="6">
        <f>I145-F145</f>
        <v>2.4224537039117422E-2</v>
      </c>
      <c r="N145" s="7">
        <f>24*60*SUM($M145:$M145)</f>
        <v>34.883333336329088</v>
      </c>
      <c r="O145" s="7"/>
      <c r="P145" s="7"/>
      <c r="Q145" s="23"/>
      <c r="R145" s="23"/>
      <c r="S145" s="35">
        <f>SUM(U145:U145)/IF(AG145="EC",12,1)</f>
        <v>1</v>
      </c>
      <c r="T145" s="50" t="str">
        <f>IF(ISEVEN(LEFT(AD145,4)),"Southbound","NorthBound")</f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https://search-rtdc-monitor-bjffxe2xuh6vdkpspy63sjmuny.us-east-1.es.amazonaws.com/_plugin/kibana/#/discover/Steve-Slow-Train-Analysis-(2080s-and-2083s)?_g=(refreshInterval:(display:Off,section:0,value:0),time:(from:'2016-12-01 19:09:46-700',mode:absolute,to:'2016-12-01 22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5" s="52" t="str">
        <f>IF(AA145&lt;IF(AG145="EC",23,5.65),"Y","N")</f>
        <v>N</v>
      </c>
      <c r="X145" s="177">
        <f>VALUE(LEFT(AD145,4))-VALUE(LEFT(AD144,4))</f>
        <v>1</v>
      </c>
      <c r="Y145" s="67">
        <f>RIGHT(D145,LEN(D145)-4)/10000</f>
        <v>4.58E-2</v>
      </c>
      <c r="Z145" s="67">
        <f>RIGHT(H145,LEN(H145)-4)/10000</f>
        <v>23.331399999999999</v>
      </c>
      <c r="AA145" s="67">
        <f>ABS(Z145-Y145)</f>
        <v>23.285599999999999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>IF(LEN(A145)=6,"0"&amp;A145,A145)</f>
        <v>0227-01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/stypes="app*4009*20161202*" /stext=" 04:.+((SYSTEM_STATE.+slice.+state.+changed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10"/>
        <v>"%USERPROFILE%\Documents\GitHub\eaglep3\Utilities\RefineRTDCRunTimes.py" --tripid 227-01 --locoid 4009 --swversion DE.1.0.8.0 --startMP 204:458 --initTime 2016-12-01T20:09:46 --startdatetime 2016-12-01T20:30:49 --delay 1 --endMP 204:233314 --enddatetime 2016-12-01T21:05:42 --enforcementcount 1 &gt;&gt;C:\Users\stu\Documents\GitHub\eaglep3-reporting\EC\2016-12-01-refined-times.txt</v>
      </c>
      <c r="AI145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{"issue":{"subject":"","project_id":79,"tracker_id":40,"status_id":1,"priority_id":2,"assigned_to_id":23,"start_date":"2016-12-01","description":"","custom_fields":[{"id":1,"name":"Subdivision","value":"EC"},{"id":4,"name":"Milepost","value":"23.3314"},{"id":17,"name":"Train ID","value":"227-01"},{"id":16,"name":"Locomotive ID","value":"4009"},{"id":130,"name":"Impact","value":""},{"id":150,"name":"Time of Event (Mountain Time)","value":"21:05:42"},{"id":151,"name":"Denver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639</v>
      </c>
      <c r="B146" s="7">
        <v>4010</v>
      </c>
      <c r="C146" s="22" t="s">
        <v>210</v>
      </c>
      <c r="D146" s="22" t="s">
        <v>677</v>
      </c>
      <c r="E146" s="13">
        <v>42705.887986111113</v>
      </c>
      <c r="F146" s="13">
        <v>42705.893622685187</v>
      </c>
      <c r="G146" s="7">
        <v>1</v>
      </c>
      <c r="H146" s="22" t="s">
        <v>206</v>
      </c>
      <c r="I146" s="13">
        <v>42705.919085648151</v>
      </c>
      <c r="J146" s="7">
        <v>1</v>
      </c>
      <c r="K146" s="109" t="str">
        <f>IF(ISEVEN(B146),(B146-1)&amp;"/"&amp;B146,B146&amp;"/"&amp;(B146+1))</f>
        <v>4009/4010</v>
      </c>
      <c r="L146" s="22" t="str">
        <f>VLOOKUP(A146,'Trips&amp;Operators'!$C$1:$G$99999,5,FALSE)</f>
        <v>STAMBAUGH JAMES</v>
      </c>
      <c r="M146" s="6">
        <f>I146-F146</f>
        <v>2.5462962963501923E-2</v>
      </c>
      <c r="N146" s="7">
        <f>24*60*SUM($M146:$M146)</f>
        <v>36.666666667442769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https://search-rtdc-monitor-bjffxe2xuh6vdkpspy63sjmuny.us-east-1.es.amazonaws.com/_plugin/kibana/#/discover/Steve-Slow-Train-Analysis-(2080s-and-2083s)?_g=(refreshInterval:(display:Off,section:0,value:0),time:(from:'2016-12-01 20:18:42-700',mode:absolute,to:'2016-12-01 23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6" s="52" t="str">
        <f>IF(AA146&lt;IF(AG146="EC",23,5.65),"Y","N")</f>
        <v>N</v>
      </c>
      <c r="X146" s="177">
        <f>VALUE(LEFT(AD146,4))-VALUE(LEFT(AD145,4))</f>
        <v>1</v>
      </c>
      <c r="Y146" s="67">
        <f>RIGHT(D146,LEN(D146)-4)/10000</f>
        <v>23.3</v>
      </c>
      <c r="Z146" s="67">
        <f>RIGHT(H146,LEN(H146)-4)/10000</f>
        <v>1.5599999999999999E-2</v>
      </c>
      <c r="AA146" s="67">
        <f>ABS(Z146-Y146)</f>
        <v>23.284400000000002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>IF(LEN(A146)=6,"0"&amp;A146,A146)</f>
        <v>0228-01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/stypes="app*4010*20161202*" /stext=" 05:.+((SYSTEM_STATE.+slice.+state.+changed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10"/>
        <v>"%USERPROFILE%\Documents\GitHub\eaglep3\Utilities\RefineRTDCRunTimes.py" --tripid 228-01 --locoid 4010 --swversion DE.1.0.8.0 --startMP 204:233000 --initTime 2016-12-01T21:18:42 --startdatetime 2016-12-01T21:26:49 --delay 1 --endMP 204:156 --enddatetime 2016-12-01T22:03:29 --enforcementcount 1 &gt;&gt;C:\Users\stu\Documents\GitHub\eaglep3-reporting\EC\2016-12-01-refined-times.txt</v>
      </c>
      <c r="AI146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{"issue":{"subject":"","project_id":79,"tracker_id":40,"status_id":1,"priority_id":2,"assigned_to_id":23,"start_date":"2016-12-01","description":"","custom_fields":[{"id":1,"name":"Subdivision","value":"EC"},{"id":4,"name":"Milepost","value":"0.0156"},{"id":17,"name":"Train ID","value":"228-01"},{"id":16,"name":"Locomotive ID","value":"4010"},{"id":130,"name":"Impact","value":""},{"id":150,"name":"Time of Event (Mountain Time)","value":"22:03:29"},{"id":151,"name":"Denver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637</v>
      </c>
      <c r="B147" s="7">
        <v>4018</v>
      </c>
      <c r="C147" s="22" t="s">
        <v>210</v>
      </c>
      <c r="D147" s="22" t="s">
        <v>231</v>
      </c>
      <c r="E147" s="13">
        <v>42705.870925925927</v>
      </c>
      <c r="F147" s="13">
        <v>42705.8753125</v>
      </c>
      <c r="G147" s="7">
        <v>2</v>
      </c>
      <c r="H147" s="22" t="s">
        <v>305</v>
      </c>
      <c r="I147" s="13">
        <v>42705.900439814817</v>
      </c>
      <c r="J147" s="7">
        <v>1</v>
      </c>
      <c r="K147" s="109" t="str">
        <f>IF(ISEVEN(B147),(B147-1)&amp;"/"&amp;B147,B147&amp;"/"&amp;(B147+1))</f>
        <v>4017/4018</v>
      </c>
      <c r="L147" s="22" t="str">
        <f>VLOOKUP(A147,'Trips&amp;Operators'!$C$1:$G$99999,5,FALSE)</f>
        <v>LEVERE CRAIG</v>
      </c>
      <c r="M147" s="6">
        <f>I147-F147</f>
        <v>2.5127314816927537E-2</v>
      </c>
      <c r="N147" s="7">
        <f>24*60*SUM($M147:$M147)</f>
        <v>36.183333336375654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https://search-rtdc-monitor-bjffxe2xuh6vdkpspy63sjmuny.us-east-1.es.amazonaws.com/_plugin/kibana/#/discover/Steve-Slow-Train-Analysis-(2080s-and-2083s)?_g=(refreshInterval:(display:Off,section:0,value:0),time:(from:'2016-12-01 19:54:08-700',mode:absolute,to:'2016-12-01 22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7" s="52" t="str">
        <f>IF(AA147&lt;IF(AG147="EC",23,5.65),"Y","N")</f>
        <v>N</v>
      </c>
      <c r="X147" s="177">
        <f>VALUE(LEFT(AD147,4))-VALUE(LEFT(AD146,4))</f>
        <v>1</v>
      </c>
      <c r="Y147" s="67">
        <f>RIGHT(D147,LEN(D147)-4)/10000</f>
        <v>4.6600000000000003E-2</v>
      </c>
      <c r="Z147" s="67">
        <f>RIGHT(H147,LEN(H147)-4)/10000</f>
        <v>23.329699999999999</v>
      </c>
      <c r="AA147" s="67">
        <f>ABS(Z147-Y147)</f>
        <v>23.283099999999997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>IF(LEN(A147)=6,"0"&amp;A147,A147)</f>
        <v>0229-01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s3://rtdc.mdm.uploadarchive.raw/RTDC4018/ "%USERPROFILE%\AppData\Local\Temp\OnboardLogs"\RTDC4018\2016-12-01 --exclude "*" --recursive --include "*20161201*" &amp; "%USERPROFILE%\Documents\GitHub\mrs-test-scripts\Headless Mode &amp; Sideloading\WalkAndUnGZ.bat" "%USERPROFILE%\AppData\Local\Temp\OnboardLogs"\RTDC4018\2016-12-01 &amp; aws s3 cp s3://rtdc.mdm.uploadarchive.raw/RTDC4018/ "%USERPROFILE%\AppData\Local\Temp\OnboardLogs"\RTDC4018\2016-12-02 --exclude "*" --recursive --include "*20161202*" &amp; "%USERPROFILE%\Documents\GitHub\mrs-test-scripts\Headless Mode &amp; Sideloading\WalkAndUnGZ.bat" "%USERPROFILE%\AppData\Local\Temp\OnboardLogs"\RTDC4018\2016-12-02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/stypes="app*4018*20161202*" /stext=" 04:.+((SYSTEM_STATE.+slice.+state.+changed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10"/>
        <v>"%USERPROFILE%\Documents\GitHub\eaglep3\Utilities\RefineRTDCRunTimes.py" --tripid 229-01 --locoid 4018 --swversion DE.1.0.8.0 --startMP 204:466 --initTime 2016-12-01T20:54:08 --startdatetime 2016-12-01T21:00:27 --delay 2 --endMP 204:233297 --enddatetime 2016-12-01T21:36:38 --enforcementcount 1 &gt;&gt;C:\Users\stu\Documents\GitHub\eaglep3-reporting\EC\2016-12-01-refined-times.txt</v>
      </c>
      <c r="AI147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{"issue":{"subject":"","project_id":79,"tracker_id":40,"status_id":1,"priority_id":2,"assigned_to_id":23,"start_date":"2016-12-01","description":"","custom_fields":[{"id":1,"name":"Subdivision","value":"EC"},{"id":4,"name":"Milepost","value":"23.3297"},{"id":17,"name":"Train ID","value":"229-01"},{"id":16,"name":"Locomotive ID","value":"4018"},{"id":130,"name":"Impact","value":""},{"id":150,"name":"Time of Event (Mountain Time)","value":"21:36:38"},{"id":151,"name":"Denver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642</v>
      </c>
      <c r="B148" s="7">
        <v>4017</v>
      </c>
      <c r="C148" s="22" t="s">
        <v>210</v>
      </c>
      <c r="D148" s="22" t="s">
        <v>683</v>
      </c>
      <c r="E148" s="13">
        <v>42705.905659722222</v>
      </c>
      <c r="F148" s="13">
        <v>42705.914803240739</v>
      </c>
      <c r="G148" s="7">
        <v>1</v>
      </c>
      <c r="H148" s="22" t="s">
        <v>212</v>
      </c>
      <c r="I148" s="13">
        <v>42705.941238425927</v>
      </c>
      <c r="J148" s="7">
        <v>1</v>
      </c>
      <c r="K148" s="109" t="str">
        <f>IF(ISEVEN(B148),(B148-1)&amp;"/"&amp;B148,B148&amp;"/"&amp;(B148+1))</f>
        <v>4017/4018</v>
      </c>
      <c r="L148" s="22" t="str">
        <f>VLOOKUP(A148,'Trips&amp;Operators'!$C$1:$G$99999,5,FALSE)</f>
        <v>LEVERE CRAIG</v>
      </c>
      <c r="M148" s="6">
        <f>I148-F148</f>
        <v>2.6435185187438037E-2</v>
      </c>
      <c r="N148" s="7">
        <f>24*60*SUM($M148:$M148)</f>
        <v>38.066666669910774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https://search-rtdc-monitor-bjffxe2xuh6vdkpspy63sjmuny.us-east-1.es.amazonaws.com/_plugin/kibana/#/discover/Steve-Slow-Train-Analysis-(2080s-and-2083s)?_g=(refreshInterval:(display:Off,section:0,value:0),time:(from:'2016-12-01 20:44:09-700',mode:absolute,to:'2016-12-01 23:35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8" s="52" t="str">
        <f>IF(AA148&lt;IF(AG148="EC",23,5.65),"Y","N")</f>
        <v>N</v>
      </c>
      <c r="X148" s="177">
        <f>VALUE(LEFT(AD148,4))-VALUE(LEFT(AD147,4))</f>
        <v>1</v>
      </c>
      <c r="Y148" s="67">
        <f>RIGHT(D148,LEN(D148)-4)/10000</f>
        <v>23.297799999999999</v>
      </c>
      <c r="Z148" s="67">
        <f>RIGHT(H148,LEN(H148)-4)/10000</f>
        <v>1.5800000000000002E-2</v>
      </c>
      <c r="AA148" s="67">
        <f>ABS(Z148-Y148)</f>
        <v>23.282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>IF(LEN(A148)=6,"0"&amp;A148,A148)</f>
        <v>0230-01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s3://rtdc.mdm.uploadarchive.raw/RTDC4017/ "%USERPROFILE%\AppData\Local\Temp\OnboardLogs"\RTDC4017\2016-12-01 --exclude "*" --recursive --include "*20161201*" &amp; "%USERPROFILE%\Documents\GitHub\mrs-test-scripts\Headless Mode &amp; Sideloading\WalkAndUnGZ.bat" "%USERPROFILE%\AppData\Local\Temp\OnboardLogs"\RTDC4017\2016-12-01 &amp; 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/stypes="app*4017*20161202*" /stext=" 05:.+((SYSTEM_STATE.+slice.+state.+changed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10"/>
        <v>"%USERPROFILE%\Documents\GitHub\eaglep3\Utilities\RefineRTDCRunTimes.py" --tripid 230-01 --locoid 4017 --swversion DE.1.0.8.0 --startMP 204:232978 --initTime 2016-12-01T21:44:09 --startdatetime 2016-12-01T21:57:19 --delay 1 --endMP 204:158 --enddatetime 2016-12-01T22:35:23 --enforcementcount 1 &gt;&gt;C:\Users\stu\Documents\GitHub\eaglep3-reporting\EC\2016-12-01-refined-times.txt</v>
      </c>
      <c r="AI148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{"issue":{"subject":"","project_id":79,"tracker_id":40,"status_id":1,"priority_id":2,"assigned_to_id":23,"start_date":"2016-12-01","description":"","custom_fields":[{"id":1,"name":"Subdivision","value":"EC"},{"id":4,"name":"Milepost","value":"0.0158"},{"id":17,"name":"Train ID","value":"230-01"},{"id":16,"name":"Locomotive ID","value":"4017"},{"id":130,"name":"Impact","value":""},{"id":150,"name":"Time of Event (Mountain Time)","value":"22:35:23"},{"id":151,"name":"Denver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640</v>
      </c>
      <c r="B149" s="7">
        <v>4038</v>
      </c>
      <c r="C149" s="22" t="s">
        <v>210</v>
      </c>
      <c r="D149" s="22" t="s">
        <v>735</v>
      </c>
      <c r="E149" s="13">
        <v>42705.892500000002</v>
      </c>
      <c r="F149" s="13">
        <v>42705.896481481483</v>
      </c>
      <c r="G149" s="7">
        <v>2</v>
      </c>
      <c r="H149" s="22" t="s">
        <v>736</v>
      </c>
      <c r="I149" s="13">
        <v>42705.920590277776</v>
      </c>
      <c r="J149" s="7">
        <v>1</v>
      </c>
      <c r="K149" s="109" t="str">
        <f>IF(ISEVEN(B149),(B149-1)&amp;"/"&amp;B149,B149&amp;"/"&amp;(B149+1))</f>
        <v>4037/4038</v>
      </c>
      <c r="L149" s="22" t="str">
        <f>VLOOKUP(A149,'Trips&amp;Operators'!$C$1:$G$99999,5,FALSE)</f>
        <v>COOLAHAN JOHN</v>
      </c>
      <c r="M149" s="6">
        <f>I149-F149</f>
        <v>2.4108796293148771E-2</v>
      </c>
      <c r="N149" s="7">
        <f>24*60*SUM($M149:$M149)</f>
        <v>34.71666666213423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https://search-rtdc-monitor-bjffxe2xuh6vdkpspy63sjmuny.us-east-1.es.amazonaws.com/_plugin/kibana/#/discover/Steve-Slow-Train-Analysis-(2080s-and-2083s)?_g=(refreshInterval:(display:Off,section:0,value:0),time:(from:'2016-12-01 20:25:12-700',mode:absolute,to:'2016-12-01 23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9" s="52" t="str">
        <f>IF(AA149&lt;IF(AG149="EC",23,5.65),"Y","N")</f>
        <v>N</v>
      </c>
      <c r="X149" s="177">
        <f>VALUE(LEFT(AD149,4))-VALUE(LEFT(AD148,4))</f>
        <v>1</v>
      </c>
      <c r="Y149" s="67">
        <f>RIGHT(D149,LEN(D149)-4)/10000</f>
        <v>4.7300000000000002E-2</v>
      </c>
      <c r="Z149" s="67">
        <f>RIGHT(H149,LEN(H149)-4)/10000</f>
        <v>23.3355</v>
      </c>
      <c r="AA149" s="67">
        <f>ABS(Z149-Y149)</f>
        <v>23.2882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>IF(LEN(A149)=6,"0"&amp;A149,A149)</f>
        <v>0231-01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 &amp; aws s3 cp s3://rtdc.mdm.uploadarchive.raw/RTDC4038/ "%USERPROFILE%\AppData\Local\Temp\OnboardLogs"\RTDC4038\2016-12-02 --exclude "*" --recursive --include "*20161202*" &amp; "%USERPROFILE%\Documents\GitHub\mrs-test-scripts\Headless Mode &amp; Sideloading\WalkAndUnGZ.bat" "%USERPROFILE%\AppData\Local\Temp\OnboardLogs"\RTDC4038\2016-12-02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/stypes="app*4038*20161202*" /stext=" 05:.+((SYSTEM_STATE.+slice.+state.+changed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10"/>
        <v>"%USERPROFILE%\Documents\GitHub\eaglep3\Utilities\RefineRTDCRunTimes.py" --tripid 231-01 --locoid 4038 --swversion DE.1.0.8.0 --startMP 204:473 --initTime 2016-12-01T21:25:12 --startdatetime 2016-12-01T21:30:56 --delay 2 --endMP 204:233355 --enddatetime 2016-12-01T22:05:39 --enforcementcount 1 &gt;&gt;C:\Users\stu\Documents\GitHub\eaglep3-reporting\EC\2016-12-01-refined-times.txt</v>
      </c>
      <c r="AI149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{"issue":{"subject":"","project_id":79,"tracker_id":40,"status_id":1,"priority_id":2,"assigned_to_id":23,"start_date":"2016-12-01","description":"","custom_fields":[{"id":1,"name":"Subdivision","value":"EC"},{"id":4,"name":"Milepost","value":"23.3355"},{"id":17,"name":"Train ID","value":"231-01"},{"id":16,"name":"Locomotive ID","value":"4038"},{"id":130,"name":"Impact","value":""},{"id":150,"name":"Time of Event (Mountain Time)","value":"22:05:39"},{"id":151,"name":"Denver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646</v>
      </c>
      <c r="B150" s="7">
        <v>4037</v>
      </c>
      <c r="C150" s="22" t="s">
        <v>210</v>
      </c>
      <c r="D150" s="22" t="s">
        <v>737</v>
      </c>
      <c r="E150" s="13">
        <v>42705.928206018521</v>
      </c>
      <c r="F150" s="13">
        <v>42705.935150462959</v>
      </c>
      <c r="G150" s="7">
        <v>1</v>
      </c>
      <c r="H150" s="22" t="s">
        <v>738</v>
      </c>
      <c r="I150" s="13">
        <v>42705.960636574076</v>
      </c>
      <c r="J150" s="7">
        <v>1</v>
      </c>
      <c r="K150" s="109" t="str">
        <f>IF(ISEVEN(B150),(B150-1)&amp;"/"&amp;B150,B150&amp;"/"&amp;(B150+1))</f>
        <v>4037/4038</v>
      </c>
      <c r="L150" s="22" t="str">
        <f>VLOOKUP(A150,'Trips&amp;Operators'!$C$1:$G$99999,5,FALSE)</f>
        <v>COOLAHAN JOHN</v>
      </c>
      <c r="M150" s="6">
        <f>I150-F150</f>
        <v>2.5486111117061228E-2</v>
      </c>
      <c r="N150" s="7">
        <f>24*60*SUM($M150:$M150)</f>
        <v>36.700000008568168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https://search-rtdc-monitor-bjffxe2xuh6vdkpspy63sjmuny.us-east-1.es.amazonaws.com/_plugin/kibana/#/discover/Steve-Slow-Train-Analysis-(2080s-and-2083s)?_g=(refreshInterval:(display:Off,section:0,value:0),time:(from:'2016-12-01 21:16:37-700',mode:absolute,to:'2016-12-02 00:03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0" s="52" t="str">
        <f>IF(AA150&lt;IF(AG150="EC",23,5.65),"Y","N")</f>
        <v>N</v>
      </c>
      <c r="X150" s="177">
        <f>VALUE(LEFT(AD150,4))-VALUE(LEFT(AD149,4))</f>
        <v>1</v>
      </c>
      <c r="Y150" s="67">
        <f>RIGHT(D150,LEN(D150)-4)/10000</f>
        <v>23.305099999999999</v>
      </c>
      <c r="Z150" s="67">
        <f>RIGHT(H150,LEN(H150)-4)/10000</f>
        <v>1.14E-2</v>
      </c>
      <c r="AA150" s="67">
        <f>ABS(Z150-Y150)</f>
        <v>23.293700000000001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>IF(LEN(A150)=6,"0"&amp;A150,A150)</f>
        <v>0232-01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 &amp; aws s3 cp s3://rtdc.mdm.uploadarchive.raw/RTDC4037/ "%USERPROFILE%\AppData\Local\Temp\OnboardLogs"\RTDC4037\2016-12-02 --exclude "*" --recursive --include "*20161202*" &amp; "%USERPROFILE%\Documents\GitHub\mrs-test-scripts\Headless Mode &amp; Sideloading\WalkAndUnGZ.bat" "%USERPROFILE%\AppData\Local\Temp\OnboardLogs"\RTDC4037\2016-12-02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/stypes="app*4037*20161202*" /stext=" 06:.+((SYSTEM_STATE.+slice.+state.+changed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10"/>
        <v>"%USERPROFILE%\Documents\GitHub\eaglep3\Utilities\RefineRTDCRunTimes.py" --tripid 232-01 --locoid 4037 --swversion DE.1.0.8.0 --startMP 204:233051 --initTime 2016-12-01T22:16:37 --startdatetime 2016-12-01T22:26:37 --delay 1 --endMP 204:114 --enddatetime 2016-12-01T23:03:19 --enforcementcount 1 &gt;&gt;C:\Users\stu\Documents\GitHub\eaglep3-reporting\EC\2016-12-01-refined-times.txt</v>
      </c>
      <c r="AI150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{"issue":{"subject":"","project_id":79,"tracker_id":40,"status_id":1,"priority_id":2,"assigned_to_id":23,"start_date":"2016-12-01","description":"","custom_fields":[{"id":1,"name":"Subdivision","value":"EC"},{"id":4,"name":"Milepost","value":"0.0114"},{"id":17,"name":"Train ID","value":"232-01"},{"id":16,"name":"Locomotive ID","value":"4037"},{"id":130,"name":"Impact","value":""},{"id":150,"name":"Time of Event (Mountain Time)","value":"23:03:19"},{"id":151,"name":"Denver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x14ac:dyDescent="0.25">
      <c r="A151" s="37" t="s">
        <v>643</v>
      </c>
      <c r="B151" s="7">
        <v>4031</v>
      </c>
      <c r="C151" s="22" t="s">
        <v>210</v>
      </c>
      <c r="D151" s="22" t="s">
        <v>254</v>
      </c>
      <c r="E151" s="13">
        <v>42705.910034722219</v>
      </c>
      <c r="F151" s="13">
        <v>42705.916851851849</v>
      </c>
      <c r="G151" s="7">
        <v>1</v>
      </c>
      <c r="H151" s="22" t="s">
        <v>739</v>
      </c>
      <c r="I151" s="13">
        <v>42705.941365740742</v>
      </c>
      <c r="J151" s="7">
        <v>1</v>
      </c>
      <c r="K151" s="109" t="str">
        <f>IF(ISEVEN(B151),(B151-1)&amp;"/"&amp;B151,B151&amp;"/"&amp;(B151+1))</f>
        <v>4031/4032</v>
      </c>
      <c r="L151" s="22" t="str">
        <f>VLOOKUP(A151,'Trips&amp;Operators'!$C$1:$G$99999,5,FALSE)</f>
        <v>LEVIN SCOTT</v>
      </c>
      <c r="M151" s="6">
        <f>I151-F151</f>
        <v>2.4513888893125113E-2</v>
      </c>
      <c r="N151" s="7">
        <f>24*60*SUM($M151:$M151)</f>
        <v>35.300000006100163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https://search-rtdc-monitor-bjffxe2xuh6vdkpspy63sjmuny.us-east-1.es.amazonaws.com/_plugin/kibana/#/discover/Steve-Slow-Train-Analysis-(2080s-and-2083s)?_g=(refreshInterval:(display:Off,section:0,value:0),time:(from:'2016-12-01 20:50:27-700',mode:absolute,to:'2016-12-01 23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1" s="52" t="str">
        <f>IF(AA151&lt;IF(AG151="EC",23,5.65),"Y","N")</f>
        <v>N</v>
      </c>
      <c r="X151" s="177">
        <f>VALUE(LEFT(AD151,4))-VALUE(LEFT(AD150,4))</f>
        <v>1</v>
      </c>
      <c r="Y151" s="67">
        <f>RIGHT(D151,LEN(D151)-4)/10000</f>
        <v>4.5699999999999998E-2</v>
      </c>
      <c r="Z151" s="67">
        <f>RIGHT(H151,LEN(H151)-4)/10000</f>
        <v>23.334</v>
      </c>
      <c r="AA151" s="67">
        <f>ABS(Z151-Y151)</f>
        <v>23.2883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>IF(LEN(A151)=6,"0"&amp;A151,A151)</f>
        <v>0233-01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/stypes="app*4031*20161202*" /stext=" 05:.+((SYSTEM_STATE.+slice.+state.+changed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10"/>
        <v>"%USERPROFILE%\Documents\GitHub\eaglep3\Utilities\RefineRTDCRunTimes.py" --tripid 233-01 --locoid 4031 --swversion DE.1.0.8.0 --startMP 204:457 --initTime 2016-12-01T21:50:27 --startdatetime 2016-12-01T22:00:16 --delay 1 --endMP 204:233340 --enddatetime 2016-12-01T22:35:34 --enforcementcount 1 &gt;&gt;C:\Users\stu\Documents\GitHub\eaglep3-reporting\EC\2016-12-01-refined-times.txt</v>
      </c>
      <c r="AI151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{"issue":{"subject":"","project_id":79,"tracker_id":40,"status_id":1,"priority_id":2,"assigned_to_id":23,"start_date":"2016-12-01","description":"","custom_fields":[{"id":1,"name":"Subdivision","value":"EC"},{"id":4,"name":"Milepost","value":"23.334"},{"id":17,"name":"Train ID","value":"233-01"},{"id":16,"name":"Locomotive ID","value":"4031"},{"id":130,"name":"Impact","value":""},{"id":150,"name":"Time of Event (Mountain Time)","value":"22:35:34"},{"id":151,"name":"Denver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649</v>
      </c>
      <c r="B152" s="7">
        <v>4032</v>
      </c>
      <c r="C152" s="22" t="s">
        <v>210</v>
      </c>
      <c r="D152" s="22" t="s">
        <v>319</v>
      </c>
      <c r="E152" s="13">
        <v>42705.951655092591</v>
      </c>
      <c r="F152" s="13">
        <v>42705.955729166664</v>
      </c>
      <c r="G152" s="7">
        <v>1</v>
      </c>
      <c r="H152" s="22" t="s">
        <v>740</v>
      </c>
      <c r="I152" s="13">
        <v>42705.981365740743</v>
      </c>
      <c r="J152" s="7">
        <v>1</v>
      </c>
      <c r="K152" s="109" t="str">
        <f>IF(ISEVEN(B152),(B152-1)&amp;"/"&amp;B152,B152&amp;"/"&amp;(B152+1))</f>
        <v>4031/4032</v>
      </c>
      <c r="L152" s="22" t="str">
        <f>VLOOKUP(A152,'Trips&amp;Operators'!$C$1:$G$99999,5,FALSE)</f>
        <v>LEVIN SCOTT</v>
      </c>
      <c r="M152" s="6">
        <f>I152-F152</f>
        <v>2.5636574078816921E-2</v>
      </c>
      <c r="N152" s="7">
        <f>24*60*SUM($M152:$M152)</f>
        <v>36.916666673496366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https://search-rtdc-monitor-bjffxe2xuh6vdkpspy63sjmuny.us-east-1.es.amazonaws.com/_plugin/kibana/#/discover/Steve-Slow-Train-Analysis-(2080s-and-2083s)?_g=(refreshInterval:(display:Off,section:0,value:0),time:(from:'2016-12-01 21:50:23-700',mode:absolute,to:'2016-12-02 00:33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2" s="52" t="str">
        <f>IF(AA152&lt;IF(AG152="EC",23,5.65),"Y","N")</f>
        <v>N</v>
      </c>
      <c r="X152" s="177">
        <f>VALUE(LEFT(AD152,4))-VALUE(LEFT(AD151,4))</f>
        <v>1</v>
      </c>
      <c r="Y152" s="67">
        <f>RIGHT(D152,LEN(D152)-4)/10000</f>
        <v>23.3017</v>
      </c>
      <c r="Z152" s="67">
        <f>RIGHT(H152,LEN(H152)-4)/10000</f>
        <v>2.5999999999999999E-2</v>
      </c>
      <c r="AA152" s="67">
        <f>ABS(Z152-Y152)</f>
        <v>23.275700000000001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>IF(LEN(A152)=6,"0"&amp;A152,A152)</f>
        <v>0234-01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/stypes="app*4032*20161202*" /stext=" 06:.+((SYSTEM_STATE.+slice.+state.+changed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10"/>
        <v>"%USERPROFILE%\Documents\GitHub\eaglep3\Utilities\RefineRTDCRunTimes.py" --tripid 234-01 --locoid 4032 --swversion DE.1.0.8.0 --startMP 204:233017 --initTime 2016-12-01T22:50:23 --startdatetime 2016-12-01T22:56:15 --delay 1 --endMP 204:260 --enddatetime 2016-12-01T23:33:10 --enforcementcount 1 &gt;&gt;C:\Users\stu\Documents\GitHub\eaglep3-reporting\EC\2016-12-01-refined-times.txt</v>
      </c>
      <c r="AI152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{"issue":{"subject":"","project_id":79,"tracker_id":40,"status_id":1,"priority_id":2,"assigned_to_id":23,"start_date":"2016-12-01","description":"","custom_fields":[{"id":1,"name":"Subdivision","value":"EC"},{"id":4,"name":"Milepost","value":"0.026"},{"id":17,"name":"Train ID","value":"234-01"},{"id":16,"name":"Locomotive ID","value":"4032"},{"id":130,"name":"Impact","value":""},{"id":150,"name":"Time of Event (Mountain Time)","value":"23:33:10"},{"id":151,"name":"Denver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645</v>
      </c>
      <c r="B153" s="7">
        <v>4009</v>
      </c>
      <c r="C153" s="22" t="s">
        <v>210</v>
      </c>
      <c r="D153" s="22" t="s">
        <v>254</v>
      </c>
      <c r="E153" s="13">
        <v>42705.921631944446</v>
      </c>
      <c r="F153" s="13">
        <v>42705.937858796293</v>
      </c>
      <c r="G153" s="7">
        <v>1</v>
      </c>
      <c r="H153" s="22" t="s">
        <v>272</v>
      </c>
      <c r="I153" s="13">
        <v>42705.961481481485</v>
      </c>
      <c r="J153" s="7">
        <v>1</v>
      </c>
      <c r="K153" s="109" t="str">
        <f>IF(ISEVEN(B153),(B153-1)&amp;"/"&amp;B153,B153&amp;"/"&amp;(B153+1))</f>
        <v>4009/4010</v>
      </c>
      <c r="L153" s="22" t="str">
        <f>VLOOKUP(A153,'Trips&amp;Operators'!$C$1:$G$99999,5,FALSE)</f>
        <v>STAMBAUGH JAMES</v>
      </c>
      <c r="M153" s="6">
        <f>I153-F153</f>
        <v>2.362268519209465E-2</v>
      </c>
      <c r="N153" s="7">
        <f>24*60*SUM($M153:$M153)</f>
        <v>34.016666676616296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https://search-rtdc-monitor-bjffxe2xuh6vdkpspy63sjmuny.us-east-1.es.amazonaws.com/_plugin/kibana/#/discover/Steve-Slow-Train-Analysis-(2080s-and-2083s)?_g=(refreshInterval:(display:Off,section:0,value:0),time:(from:'2016-12-01 21:07:09-700',mode:absolute,to:'2016-12-02 00:04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3" s="52" t="str">
        <f>IF(AA153&lt;IF(AG153="EC",23,5.65),"Y","N")</f>
        <v>N</v>
      </c>
      <c r="X153" s="177">
        <f>VALUE(LEFT(AD153,4))-VALUE(LEFT(AD152,4))</f>
        <v>1</v>
      </c>
      <c r="Y153" s="67">
        <f>RIGHT(D153,LEN(D153)-4)/10000</f>
        <v>4.5699999999999998E-2</v>
      </c>
      <c r="Z153" s="67">
        <f>RIGHT(H153,LEN(H153)-4)/10000</f>
        <v>23.329799999999999</v>
      </c>
      <c r="AA153" s="67">
        <f>ABS(Z153-Y153)</f>
        <v>23.284099999999999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>IF(LEN(A153)=6,"0"&amp;A153,A153)</f>
        <v>0235-01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 &amp; 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/stypes="app*4009*20161202*" /stext=" 06:.+((SYSTEM_STATE.+slice.+state.+changed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10"/>
        <v>"%USERPROFILE%\Documents\GitHub\eaglep3\Utilities\RefineRTDCRunTimes.py" --tripid 235-01 --locoid 4009 --swversion DE.1.0.8.0 --startMP 204:457 --initTime 2016-12-01T22:07:09 --startdatetime 2016-12-01T22:30:31 --delay 1 --endMP 204:233298 --enddatetime 2016-12-01T23:04:32 --enforcementcount 1 &gt;&gt;C:\Users\stu\Documents\GitHub\eaglep3-reporting\EC\2016-12-01-refined-times.txt</v>
      </c>
      <c r="AI153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{"issue":{"subject":"","project_id":79,"tracker_id":40,"status_id":1,"priority_id":2,"assigned_to_id":23,"start_date":"2016-12-01","description":"","custom_fields":[{"id":1,"name":"Subdivision","value":"EC"},{"id":4,"name":"Milepost","value":"23.3298"},{"id":17,"name":"Train ID","value":"235-01"},{"id":16,"name":"Locomotive ID","value":"4009"},{"id":130,"name":"Impact","value":""},{"id":150,"name":"Time of Event (Mountain Time)","value":"23:04:32"},{"id":151,"name":"Denver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650</v>
      </c>
      <c r="B154" s="7">
        <v>4010</v>
      </c>
      <c r="C154" s="22" t="s">
        <v>210</v>
      </c>
      <c r="D154" s="22" t="s">
        <v>371</v>
      </c>
      <c r="E154" s="13">
        <v>42705.974166666667</v>
      </c>
      <c r="F154" s="13">
        <v>42705.976724537039</v>
      </c>
      <c r="G154" s="7">
        <v>1</v>
      </c>
      <c r="H154" s="22" t="s">
        <v>193</v>
      </c>
      <c r="I154" s="13">
        <v>42706.002141203702</v>
      </c>
      <c r="J154" s="7">
        <v>1</v>
      </c>
      <c r="K154" s="109" t="str">
        <f>IF(ISEVEN(B154),(B154-1)&amp;"/"&amp;B154,B154&amp;"/"&amp;(B154+1))</f>
        <v>4009/4010</v>
      </c>
      <c r="L154" s="22" t="str">
        <f>VLOOKUP(A154,'Trips&amp;Operators'!$C$1:$G$99999,5,FALSE)</f>
        <v>STAMBAUGH JAMES</v>
      </c>
      <c r="M154" s="6">
        <f>I154-F154</f>
        <v>2.5416666663659271E-2</v>
      </c>
      <c r="N154" s="7">
        <f>24*60*SUM($M154:$M154)</f>
        <v>36.59999999566935</v>
      </c>
      <c r="O154" s="7"/>
      <c r="P154" s="7"/>
      <c r="Q154" s="23"/>
      <c r="R154" s="23"/>
      <c r="S154" s="35">
        <f>SUM(U154:U154)/IF(AG154="EC",12,1)</f>
        <v>1</v>
      </c>
      <c r="T154" s="50" t="str">
        <f>IF(ISEVEN(LEFT(AD154,4)),"Southbound","NorthBound")</f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https://search-rtdc-monitor-bjffxe2xuh6vdkpspy63sjmuny.us-east-1.es.amazonaws.com/_plugin/kibana/#/discover/Steve-Slow-Train-Analysis-(2080s-and-2083s)?_g=(refreshInterval:(display:Off,section:0,value:0),time:(from:'2016-12-01 22:22:48-700',mode:absolute,to:'2016-12-02 01:03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4" s="52" t="str">
        <f>IF(AA154&lt;IF(AG154="EC",23,5.65),"Y","N")</f>
        <v>N</v>
      </c>
      <c r="X154" s="177">
        <f>VALUE(LEFT(AD154,4))-VALUE(LEFT(AD153,4))</f>
        <v>1</v>
      </c>
      <c r="Y154" s="67">
        <f>RIGHT(D154,LEN(D154)-4)/10000</f>
        <v>23.2987</v>
      </c>
      <c r="Z154" s="67">
        <f>RIGHT(H154,LEN(H154)-4)/10000</f>
        <v>1.43E-2</v>
      </c>
      <c r="AA154" s="67">
        <f>ABS(Z154-Y154)</f>
        <v>23.284400000000002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>IF(LEN(A154)=6,"0"&amp;A154,A154)</f>
        <v>0236-01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/stypes="app*4010*20161202*" /stext=" 07:.+((SYSTEM_STATE.+slice.+state.+changed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10"/>
        <v>"%USERPROFILE%\Documents\GitHub\eaglep3\Utilities\RefineRTDCRunTimes.py" --tripid 236-01 --locoid 4010 --swversion DE.1.0.8.0 --startMP 204:232987 --initTime 2016-12-01T23:22:48 --startdatetime 2016-12-01T23:26:29 --delay 1 --endMP 204:143 --enddatetime 2016-12-02T00:03:05 --enforcementcount 1 &gt;&gt;C:\Users\stu\Documents\GitHub\eaglep3-reporting\EC\2016-12-01-refined-times.txt</v>
      </c>
      <c r="AI154" s="119" t="str">
        <f t="shared" si="11"/>
        <v>echo {"issue":{"subject":"","project_id":79,"tracker_id":40,"status_id":1,"priority_id":2,"assigned_to_id":23,"start_date":"2016-12-02","description":"","custom_fields":[{"id":1,"name":"Subdivision","value":"EC"},{"id":4,"name":"Milepost","value":"0.0143"},{"id":17,"name":"Train ID","value":"236-01"},{"id":16,"name":"Locomotive ID","value":"4010"},{"id":130,"name":"Impact","value":""},{"id":150,"name":"Time of Event (Mountain Time)","value":"00:03:05"},{"id":151,"name":"Denver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648</v>
      </c>
      <c r="B155" s="7">
        <v>4018</v>
      </c>
      <c r="C155" s="22" t="s">
        <v>210</v>
      </c>
      <c r="D155" s="22" t="s">
        <v>254</v>
      </c>
      <c r="E155" s="13">
        <v>42705.951180555552</v>
      </c>
      <c r="F155" s="13">
        <v>42705.958587962959</v>
      </c>
      <c r="G155" s="7">
        <v>1</v>
      </c>
      <c r="H155" s="22" t="s">
        <v>252</v>
      </c>
      <c r="I155" s="13">
        <v>42705.983888888892</v>
      </c>
      <c r="J155" s="7">
        <v>1</v>
      </c>
      <c r="K155" s="109" t="str">
        <f>IF(ISEVEN(B155),(B155-1)&amp;"/"&amp;B155,B155&amp;"/"&amp;(B155+1))</f>
        <v>4017/4018</v>
      </c>
      <c r="L155" s="22" t="str">
        <f>VLOOKUP(A155,'Trips&amp;Operators'!$C$1:$G$99999,5,FALSE)</f>
        <v>LEVERE CRAIG</v>
      </c>
      <c r="M155" s="6">
        <f>I155-F155</f>
        <v>2.5300925932242535E-2</v>
      </c>
      <c r="N155" s="7">
        <f>24*60*SUM($M155:$M155)</f>
        <v>36.43333334242925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https://search-rtdc-monitor-bjffxe2xuh6vdkpspy63sjmuny.us-east-1.es.amazonaws.com/_plugin/kibana/#/discover/Steve-Slow-Train-Analysis-(2080s-and-2083s)?_g=(refreshInterval:(display:Off,section:0,value:0),time:(from:'2016-12-01 21:49:42-700',mode:absolute,to:'2016-12-02 00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5" s="52" t="str">
        <f>IF(AA155&lt;IF(AG155="EC",23,5.65),"Y","N")</f>
        <v>N</v>
      </c>
      <c r="X155" s="177">
        <f>VALUE(LEFT(AD155,4))-VALUE(LEFT(AD154,4))</f>
        <v>1</v>
      </c>
      <c r="Y155" s="67">
        <f>RIGHT(D155,LEN(D155)-4)/10000</f>
        <v>4.5699999999999998E-2</v>
      </c>
      <c r="Z155" s="67">
        <f>RIGHT(H155,LEN(H155)-4)/10000</f>
        <v>23.330200000000001</v>
      </c>
      <c r="AA155" s="67">
        <f>ABS(Z155-Y155)</f>
        <v>23.284500000000001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>IF(LEN(A155)=6,"0"&amp;A155,A155)</f>
        <v>0237-01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s3://rtdc.mdm.uploadarchive.raw/RTDC4018/ "%USERPROFILE%\AppData\Local\Temp\OnboardLogs"\RTDC4018\2016-12-01 --exclude "*" --recursive --include "*20161201*" &amp; "%USERPROFILE%\Documents\GitHub\mrs-test-scripts\Headless Mode &amp; Sideloading\WalkAndUnGZ.bat" "%USERPROFILE%\AppData\Local\Temp\OnboardLogs"\RTDC4018\2016-12-01 &amp; aws s3 cp s3://rtdc.mdm.uploadarchive.raw/RTDC4018/ "%USERPROFILE%\AppData\Local\Temp\OnboardLogs"\RTDC4018\2016-12-02 --exclude "*" --recursive --include "*20161202*" &amp; "%USERPROFILE%\Documents\GitHub\mrs-test-scripts\Headless Mode &amp; Sideloading\WalkAndUnGZ.bat" "%USERPROFILE%\AppData\Local\Temp\OnboardLogs"\RTDC4018\2016-12-02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/stypes="app*4018*20161202*" /stext=" 06:.+((SYSTEM_STATE.+slice.+state.+changed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10"/>
        <v>"%USERPROFILE%\Documents\GitHub\eaglep3\Utilities\RefineRTDCRunTimes.py" --tripid 237-01 --locoid 4018 --swversion DE.1.0.8.0 --startMP 204:457 --initTime 2016-12-01T22:49:42 --startdatetime 2016-12-01T23:00:22 --delay 1 --endMP 204:233302 --enddatetime 2016-12-01T23:36:48 --enforcementcount 1 &gt;&gt;C:\Users\stu\Documents\GitHub\eaglep3-reporting\EC\2016-12-01-refined-times.txt</v>
      </c>
      <c r="AI155" s="119" t="str">
        <f t="shared" si="11"/>
        <v>echo {"issue":{"subject":"","project_id":79,"tracker_id":40,"status_id":1,"priority_id":2,"assigned_to_id":23,"start_date":"2016-12-01","description":"","custom_fields":[{"id":1,"name":"Subdivision","value":"EC"},{"id":4,"name":"Milepost","value":"23.3302"},{"id":17,"name":"Train ID","value":"237-01"},{"id":16,"name":"Locomotive ID","value":"4018"},{"id":130,"name":"Impact","value":""},{"id":150,"name":"Time of Event (Mountain Time)","value":"23:36:48"},{"id":151,"name":"Denver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652</v>
      </c>
      <c r="B156" s="7">
        <v>4017</v>
      </c>
      <c r="C156" s="22" t="s">
        <v>210</v>
      </c>
      <c r="D156" s="22" t="s">
        <v>265</v>
      </c>
      <c r="E156" s="13">
        <v>42705.993449074071</v>
      </c>
      <c r="F156" s="13">
        <v>42705.997488425928</v>
      </c>
      <c r="G156" s="7">
        <v>1</v>
      </c>
      <c r="H156" s="22" t="s">
        <v>230</v>
      </c>
      <c r="I156" s="13">
        <v>42706.024131944447</v>
      </c>
      <c r="J156" s="7">
        <v>1</v>
      </c>
      <c r="K156" s="109" t="str">
        <f>IF(ISEVEN(B156),(B156-1)&amp;"/"&amp;B156,B156&amp;"/"&amp;(B156+1))</f>
        <v>4017/4018</v>
      </c>
      <c r="L156" s="22" t="str">
        <f>VLOOKUP(A156,'Trips&amp;Operators'!$C$1:$G$99999,5,FALSE)</f>
        <v>LEVERE CRAIG</v>
      </c>
      <c r="M156" s="6">
        <f>I156-F156</f>
        <v>2.6643518518540077E-2</v>
      </c>
      <c r="N156" s="7">
        <f>24*60*SUM($M156:$M156)</f>
        <v>38.366666666697711</v>
      </c>
      <c r="O156" s="7"/>
      <c r="P156" s="7"/>
      <c r="Q156" s="23"/>
      <c r="R156" s="23"/>
      <c r="S156" s="35">
        <f>SUM(U156:U156)/IF(AG156="EC",12,1)</f>
        <v>1</v>
      </c>
      <c r="T156" s="50" t="str">
        <f>IF(ISEVEN(LEFT(AD156,4)),"Southbound","NorthBound")</f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https://search-rtdc-monitor-bjffxe2xuh6vdkpspy63sjmuny.us-east-1.es.amazonaws.com/_plugin/kibana/#/discover/Steve-Slow-Train-Analysis-(2080s-and-2083s)?_g=(refreshInterval:(display:Off,section:0,value:0),time:(from:'2016-12-01 22:50:34-700',mode:absolute,to:'2016-12-02 01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6" s="52" t="str">
        <f>IF(AA156&lt;IF(AG156="EC",23,5.65),"Y","N")</f>
        <v>N</v>
      </c>
      <c r="X156" s="177">
        <f>VALUE(LEFT(AD156,4))-VALUE(LEFT(AD155,4))</f>
        <v>1</v>
      </c>
      <c r="Y156" s="67">
        <f>RIGHT(D156,LEN(D156)-4)/10000</f>
        <v>23.2989</v>
      </c>
      <c r="Z156" s="67">
        <f>RIGHT(H156,LEN(H156)-4)/10000</f>
        <v>1.54E-2</v>
      </c>
      <c r="AA156" s="67">
        <f>ABS(Z156-Y156)</f>
        <v>23.2835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>IF(LEN(A156)=6,"0"&amp;A156,A156)</f>
        <v>0238-01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s3://rtdc.mdm.uploadarchive.raw/RTDC4017/ "%USERPROFILE%\AppData\Local\Temp\OnboardLogs"\RTDC4017\2016-12-01 --exclude "*" --recursive --include "*20161201*" &amp; "%USERPROFILE%\Documents\GitHub\mrs-test-scripts\Headless Mode &amp; Sideloading\WalkAndUnGZ.bat" "%USERPROFILE%\AppData\Local\Temp\OnboardLogs"\RTDC4017\2016-12-01 &amp; 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/stypes="app*4017*20161202*" /stext=" 07:.+((SYSTEM_STATE.+slice.+state.+changed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10"/>
        <v>"%USERPROFILE%\Documents\GitHub\eaglep3\Utilities\RefineRTDCRunTimes.py" --tripid 238-01 --locoid 4017 --swversion DE.1.0.8.0 --startMP 204:232989 --initTime 2016-12-01T23:50:34 --startdatetime 2016-12-01T23:56:23 --delay 1 --endMP 204:154 --enddatetime 2016-12-02T00:34:45 --enforcementcount 1 &gt;&gt;C:\Users\stu\Documents\GitHub\eaglep3-reporting\EC\2016-12-01-refined-times.txt</v>
      </c>
      <c r="AI156" s="119" t="str">
        <f t="shared" si="11"/>
        <v>echo {"issue":{"subject":"","project_id":79,"tracker_id":40,"status_id":1,"priority_id":2,"assigned_to_id":23,"start_date":"2016-12-02","description":"","custom_fields":[{"id":1,"name":"Subdivision","value":"EC"},{"id":4,"name":"Milepost","value":"0.0154"},{"id":17,"name":"Train ID","value":"238-01"},{"id":16,"name":"Locomotive ID","value":"4017"},{"id":130,"name":"Impact","value":""},{"id":150,"name":"Time of Event (Mountain Time)","value":"00:34:45"},{"id":151,"name":"Denver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651</v>
      </c>
      <c r="B157" s="7">
        <v>4038</v>
      </c>
      <c r="C157" s="22" t="s">
        <v>210</v>
      </c>
      <c r="D157" s="22" t="s">
        <v>741</v>
      </c>
      <c r="E157" s="13">
        <v>42705.975578703707</v>
      </c>
      <c r="F157" s="13">
        <v>42705.979467592595</v>
      </c>
      <c r="G157" s="7">
        <v>2</v>
      </c>
      <c r="H157" s="22" t="s">
        <v>370</v>
      </c>
      <c r="I157" s="13">
        <v>42706.00341435185</v>
      </c>
      <c r="J157" s="7">
        <v>1</v>
      </c>
      <c r="K157" s="109" t="str">
        <f>IF(ISEVEN(B157),(B157-1)&amp;"/"&amp;B157,B157&amp;"/"&amp;(B157+1))</f>
        <v>4037/4038</v>
      </c>
      <c r="L157" s="22" t="str">
        <f>VLOOKUP(A157,'Trips&amp;Operators'!$C$1:$G$99999,5,FALSE)</f>
        <v>COOLAHAN JOHN</v>
      </c>
      <c r="M157" s="6">
        <f>I157-F157</f>
        <v>2.3946759254613426E-2</v>
      </c>
      <c r="N157" s="7">
        <f>24*60*SUM($M157:$M157)</f>
        <v>34.483333326643333</v>
      </c>
      <c r="O157" s="7"/>
      <c r="P157" s="7"/>
      <c r="Q157" s="23"/>
      <c r="R157" s="23"/>
      <c r="S157" s="35">
        <f>SUM(U157:U157)/IF(AG157="EC",12,1)</f>
        <v>1</v>
      </c>
      <c r="T157" s="50" t="str">
        <f>IF(ISEVEN(LEFT(AD157,4)),"Southbound","NorthBound")</f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https://search-rtdc-monitor-bjffxe2xuh6vdkpspy63sjmuny.us-east-1.es.amazonaws.com/_plugin/kibana/#/discover/Steve-Slow-Train-Analysis-(2080s-and-2083s)?_g=(refreshInterval:(display:Off,section:0,value:0),time:(from:'2016-12-01 22:24:50-700',mode:absolute,to:'2016-12-02 01:04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7" s="52" t="str">
        <f>IF(AA157&lt;IF(AG157="EC",23,5.65),"Y","N")</f>
        <v>N</v>
      </c>
      <c r="X157" s="177">
        <f>VALUE(LEFT(AD157,4))-VALUE(LEFT(AD156,4))</f>
        <v>1</v>
      </c>
      <c r="Y157" s="67">
        <f>RIGHT(D157,LEN(D157)-4)/10000</f>
        <v>4.1799999999999997E-2</v>
      </c>
      <c r="Z157" s="67">
        <f>RIGHT(H157,LEN(H157)-4)/10000</f>
        <v>23.334399999999999</v>
      </c>
      <c r="AA157" s="67">
        <f>ABS(Z157-Y157)</f>
        <v>23.2926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>IF(LEN(A157)=6,"0"&amp;A157,A157)</f>
        <v>0239-01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 &amp; aws s3 cp s3://rtdc.mdm.uploadarchive.raw/RTDC4038/ "%USERPROFILE%\AppData\Local\Temp\OnboardLogs"\RTDC4038\2016-12-02 --exclude "*" --recursive --include "*20161202*" &amp; "%USERPROFILE%\Documents\GitHub\mrs-test-scripts\Headless Mode &amp; Sideloading\WalkAndUnGZ.bat" "%USERPROFILE%\AppData\Local\Temp\OnboardLogs"\RTDC4038\2016-12-02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/stypes="app*4038*20161202*" /stext=" 07:.+((SYSTEM_STATE.+slice.+state.+changed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2" t="str">
        <f t="shared" si="10"/>
        <v>"%USERPROFILE%\Documents\GitHub\eaglep3\Utilities\RefineRTDCRunTimes.py" --tripid 239-01 --locoid 4038 --swversion DE.1.0.8.0 --startMP 204:418 --initTime 2016-12-01T23:24:50 --startdatetime 2016-12-01T23:30:26 --delay 2 --endMP 204:233344 --enddatetime 2016-12-02T00:04:55 --enforcementcount 1 &gt;&gt;C:\Users\stu\Documents\GitHub\eaglep3-reporting\EC\2016-12-01-refined-times.txt</v>
      </c>
      <c r="AI157" s="119" t="str">
        <f t="shared" si="11"/>
        <v>echo {"issue":{"subject":"","project_id":79,"tracker_id":40,"status_id":1,"priority_id":2,"assigned_to_id":23,"start_date":"2016-12-02","description":"","custom_fields":[{"id":1,"name":"Subdivision","value":"EC"},{"id":4,"name":"Milepost","value":"23.3344"},{"id":17,"name":"Train ID","value":"239-01"},{"id":16,"name":"Locomotive ID","value":"4038"},{"id":130,"name":"Impact","value":""},{"id":150,"name":"Time of Event (Mountain Time)","value":"00:04:55"},{"id":151,"name":"Denver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455</v>
      </c>
      <c r="B158" s="7">
        <v>4037</v>
      </c>
      <c r="C158" s="22" t="s">
        <v>210</v>
      </c>
      <c r="D158" s="22" t="s">
        <v>742</v>
      </c>
      <c r="E158" s="13">
        <v>42706.009212962963</v>
      </c>
      <c r="F158" s="13">
        <v>42706.018449074072</v>
      </c>
      <c r="G158" s="7">
        <v>1</v>
      </c>
      <c r="H158" s="22" t="s">
        <v>743</v>
      </c>
      <c r="I158" s="13">
        <v>42706.044803240744</v>
      </c>
      <c r="J158" s="7">
        <v>1</v>
      </c>
      <c r="K158" s="109" t="str">
        <f>IF(ISEVEN(B158),(B158-1)&amp;"/"&amp;B158,B158&amp;"/"&amp;(B158+1))</f>
        <v>4037/4038</v>
      </c>
      <c r="L158" s="22" t="str">
        <f>VLOOKUP(A158,'Trips&amp;Operators'!$C$1:$G$99999,5,FALSE)</f>
        <v>COOLAHAN JOHN</v>
      </c>
      <c r="M158" s="6">
        <f>I158-F158</f>
        <v>2.6354166671808343E-2</v>
      </c>
      <c r="N158" s="7">
        <f>24*60*SUM($M158:$M158)</f>
        <v>37.950000007404014</v>
      </c>
      <c r="O158" s="7"/>
      <c r="P158" s="7"/>
      <c r="Q158" s="23"/>
      <c r="R158" s="23"/>
      <c r="S158" s="35">
        <f>SUM(U158:U158)/IF(AG158="EC",12,1)</f>
        <v>1</v>
      </c>
      <c r="T158" s="50" t="str">
        <f>IF(ISEVEN(LEFT(AD158,4)),"Southbound","NorthBound")</f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https://search-rtdc-monitor-bjffxe2xuh6vdkpspy63sjmuny.us-east-1.es.amazonaws.com/_plugin/kibana/#/discover/Steve-Slow-Train-Analysis-(2080s-and-2083s)?_g=(refreshInterval:(display:Off,section:0,value:0),time:(from:'2016-12-01 23:13:16-700',mode:absolute,to:'2016-12-02 02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8" s="52" t="str">
        <f>IF(AA158&lt;IF(AG158="EC",23,5.65),"Y","N")</f>
        <v>N</v>
      </c>
      <c r="X158" s="177">
        <f>VALUE(LEFT(AD158,4))-VALUE(LEFT(AD157,4))</f>
        <v>1</v>
      </c>
      <c r="Y158" s="67">
        <f>RIGHT(D158,LEN(D158)-4)/10000</f>
        <v>23.302499999999998</v>
      </c>
      <c r="Z158" s="67">
        <f>RIGHT(H158,LEN(H158)-4)/10000</f>
        <v>0.1109</v>
      </c>
      <c r="AA158" s="67">
        <f>ABS(Z158-Y158)</f>
        <v>23.191599999999998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>IF(LEN(A158)=6,"0"&amp;A158,A158)</f>
        <v>0240-01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s3://rtdc.mdm.uploadarchive.raw/RTDC4037/ "%USERPROFILE%\AppData\Local\Temp\OnboardLogs"\RTDC4037\2016-12-02 --exclude "*" --recursive --include "*20161202*" &amp; "%USERPROFILE%\Documents\GitHub\mrs-test-scripts\Headless Mode &amp; Sideloading\WalkAndUnGZ.bat" "%USERPROFILE%\AppData\Local\Temp\OnboardLogs"\RTDC4037\2016-12-02 &amp; 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/stypes="app*4037*20161202*" /stext=" 08:.+((SYSTEM_STATE.+slice.+state.+changed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2" t="str">
        <f t="shared" si="10"/>
        <v>"%USERPROFILE%\Documents\GitHub\eaglep3\Utilities\RefineRTDCRunTimes.py" --tripid 240-01 --locoid 4037 --swversion DE.1.0.8.0 --startMP 204:233025 --initTime 2016-12-02T00:13:16 --startdatetime 2016-12-02T00:26:34 --delay 1 --endMP 204:1109 --enddatetime 2016-12-02T01:04:31 --enforcementcount 1 &gt;&gt;C:\Users\stu\Documents\GitHub\eaglep3-reporting\EC\2016-12-01-refined-times.txt</v>
      </c>
      <c r="AI158" s="119" t="str">
        <f t="shared" si="11"/>
        <v>echo {"issue":{"subject":"","project_id":79,"tracker_id":40,"status_id":1,"priority_id":2,"assigned_to_id":23,"start_date":"2016-12-02","description":"","custom_fields":[{"id":1,"name":"Subdivision","value":"EC"},{"id":4,"name":"Milepost","value":"0.1109"},{"id":17,"name":"Train ID","value":"240-01"},{"id":16,"name":"Locomotive ID","value":"4037"},{"id":130,"name":"Impact","value":""},{"id":150,"name":"Time of Event (Mountain Time)","value":"01:04:31"},{"id":151,"name":"Denver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653</v>
      </c>
      <c r="B159" s="7">
        <v>4031</v>
      </c>
      <c r="C159" s="22" t="s">
        <v>210</v>
      </c>
      <c r="D159" s="22" t="s">
        <v>676</v>
      </c>
      <c r="E159" s="13">
        <v>42705.995844907404</v>
      </c>
      <c r="F159" s="13">
        <v>42706.000185185185</v>
      </c>
      <c r="G159" s="7">
        <v>1</v>
      </c>
      <c r="H159" s="22" t="s">
        <v>694</v>
      </c>
      <c r="I159" s="13">
        <v>42706.024293981478</v>
      </c>
      <c r="J159" s="7">
        <v>1</v>
      </c>
      <c r="K159" s="109" t="str">
        <f>IF(ISEVEN(B159),(B159-1)&amp;"/"&amp;B159,B159&amp;"/"&amp;(B159+1))</f>
        <v>4031/4032</v>
      </c>
      <c r="L159" s="22" t="str">
        <f>VLOOKUP(A159,'Trips&amp;Operators'!$C$1:$G$99999,5,FALSE)</f>
        <v>LEVIN SCOTT</v>
      </c>
      <c r="M159" s="6">
        <f>I159-F159</f>
        <v>2.4108796293148771E-2</v>
      </c>
      <c r="N159" s="7">
        <f>24*60*SUM($M159:$M159)</f>
        <v>34.71666666213423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https://search-rtdc-monitor-bjffxe2xuh6vdkpspy63sjmuny.us-east-1.es.amazonaws.com/_plugin/kibana/#/discover/Steve-Slow-Train-Analysis-(2080s-and-2083s)?_g=(refreshInterval:(display:Off,section:0,value:0),time:(from:'2016-12-01 22:54:01-700',mode:absolute,to:'2016-12-02 01:34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9" s="52" t="str">
        <f>IF(AA159&lt;IF(AG159="EC",23,5.65),"Y","N")</f>
        <v>N</v>
      </c>
      <c r="X159" s="177">
        <f>VALUE(LEFT(AD159,4))-VALUE(LEFT(AD158,4))</f>
        <v>1</v>
      </c>
      <c r="Y159" s="67">
        <f>RIGHT(D159,LEN(D159)-4)/10000</f>
        <v>5.5899999999999998E-2</v>
      </c>
      <c r="Z159" s="67">
        <f>RIGHT(H159,LEN(H159)-4)/10000</f>
        <v>23.3323</v>
      </c>
      <c r="AA159" s="67">
        <f>ABS(Z159-Y159)</f>
        <v>23.276399999999999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>IF(LEN(A159)=6,"0"&amp;A159,A159)</f>
        <v>0241-01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 &amp; aws s3 cp s3://rtdc.mdm.uploadarchive.raw/RTDC4031/ "%USERPROFILE%\AppData\Local\Temp\OnboardLogs"\RTDC4031\2016-12-03 --exclude "*" --recursive --include "*20161203*" &amp; "%USERPROFILE%\Documents\GitHub\mrs-test-scripts\Headless Mode &amp; Sideloading\WalkAndUnGZ.bat" "%USERPROFILE%\AppData\Local\Temp\OnboardLogs"\RTDC4031\2016-12-03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/stypes="app*4031*20161202*" /stext=" 07:.+((SYSTEM_STATE.+slice.+state.+changed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92" t="str">
        <f t="shared" si="10"/>
        <v>"%USERPROFILE%\Documents\GitHub\eaglep3\Utilities\RefineRTDCRunTimes.py" --tripid 241-01 --locoid 4031 --swversion DE.1.0.8.0 --startMP 204:559 --initTime 2016-12-01T23:54:01 --startdatetime 2016-12-02T00:00:16 --delay 1 --endMP 204:233323 --enddatetime 2016-12-02T00:34:59 --enforcementcount 1 &gt;&gt;C:\Users\stu\Documents\GitHub\eaglep3-reporting\EC\2016-12-01-refined-times.txt</v>
      </c>
      <c r="AI159" s="119" t="str">
        <f t="shared" si="11"/>
        <v>echo {"issue":{"subject":"","project_id":79,"tracker_id":40,"status_id":1,"priority_id":2,"assigned_to_id":23,"start_date":"2016-12-02","description":"","custom_fields":[{"id":1,"name":"Subdivision","value":"EC"},{"id":4,"name":"Milepost","value":"23.3323"},{"id":17,"name":"Train ID","value":"241-01"},{"id":16,"name":"Locomotive ID","value":"4031"},{"id":130,"name":"Impact","value":""},{"id":150,"name":"Time of Event (Mountain Time)","value":"00:34:59"},{"id":151,"name":"Denver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454</v>
      </c>
      <c r="B160" s="7">
        <v>4032</v>
      </c>
      <c r="C160" s="22" t="s">
        <v>210</v>
      </c>
      <c r="D160" s="22" t="s">
        <v>374</v>
      </c>
      <c r="E160" s="13">
        <v>42706.035405092596</v>
      </c>
      <c r="F160" s="13">
        <v>42706.039097222223</v>
      </c>
      <c r="G160" s="7">
        <v>1</v>
      </c>
      <c r="H160" s="22" t="s">
        <v>192</v>
      </c>
      <c r="I160" s="13">
        <v>42706.064953703702</v>
      </c>
      <c r="J160" s="7">
        <v>1</v>
      </c>
      <c r="K160" s="109" t="str">
        <f>IF(ISEVEN(B160),(B160-1)&amp;"/"&amp;B160,B160&amp;"/"&amp;(B160+1))</f>
        <v>4031/4032</v>
      </c>
      <c r="L160" s="22" t="str">
        <f>VLOOKUP(A160,'Trips&amp;Operators'!$C$1:$G$99999,5,FALSE)</f>
        <v>LEVIN SCOTT</v>
      </c>
      <c r="M160" s="6">
        <f>I160-F160</f>
        <v>2.5856481479422655E-2</v>
      </c>
      <c r="N160" s="7">
        <f>24*60*SUM($M160:$M160)</f>
        <v>37.233333330368623</v>
      </c>
      <c r="O160" s="7"/>
      <c r="P160" s="7"/>
      <c r="Q160" s="23"/>
      <c r="R160" s="23"/>
      <c r="S160" s="35">
        <f>SUM(U160:U160)/IF(AG160="EC",12,1)</f>
        <v>1</v>
      </c>
      <c r="T160" s="50" t="str">
        <f>IF(ISEVEN(LEFT(AD160,4)),"Southbound","NorthBound")</f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https://search-rtdc-monitor-bjffxe2xuh6vdkpspy63sjmuny.us-east-1.es.amazonaws.com/_plugin/kibana/#/discover/Steve-Slow-Train-Analysis-(2080s-and-2083s)?_g=(refreshInterval:(display:Off,section:0,value:0),time:(from:'2016-12-01 23:50:59-700',mode:absolute,to:'2016-12-02 02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0" s="52" t="str">
        <f>IF(AA160&lt;IF(AG160="EC",23,5.65),"Y","N")</f>
        <v>N</v>
      </c>
      <c r="X160" s="177">
        <f>VALUE(LEFT(AD160,4))-VALUE(LEFT(AD159,4))</f>
        <v>1</v>
      </c>
      <c r="Y160" s="67">
        <f>RIGHT(D160,LEN(D160)-4)/10000</f>
        <v>23.300599999999999</v>
      </c>
      <c r="Z160" s="67">
        <f>RIGHT(H160,LEN(H160)-4)/10000</f>
        <v>1.49E-2</v>
      </c>
      <c r="AA160" s="67">
        <f>ABS(Z160-Y160)</f>
        <v>23.285699999999999</v>
      </c>
      <c r="AB160" s="64" t="str">
        <f>VLOOKUP(A160,Enforcements!$C$7:$K$20,8,0)</f>
        <v>Speed (6)</v>
      </c>
      <c r="AC160" s="60" t="str">
        <f>VLOOKUP(A160,Enforcements!$C$7:$E$20,3,0)</f>
        <v>PERMANENT SPEED RESTRICTION</v>
      </c>
      <c r="AD160" s="61" t="str">
        <f>IF(LEN(A160)=6,"0"&amp;A160,A160)</f>
        <v>0242-01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 &amp; aws s3 cp s3://rtdc.mdm.uploadarchive.raw/RTDC4032/ "%USERPROFILE%\AppData\Local\Temp\OnboardLogs"\RTDC4032\2016-12-03 --exclude "*" --recursive --include "*20161203*" &amp; "%USERPROFILE%\Documents\GitHub\mrs-test-scripts\Headless Mode &amp; Sideloading\WalkAndUnGZ.bat" "%USERPROFILE%\AppData\Local\Temp\OnboardLogs"\RTDC4032\2016-12-03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/stypes="app*4032*20161202*" /stext=" 08:.+((SYSTEM_STATE.+slice.+state.+changed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EC</v>
      </c>
      <c r="AH160" s="92" t="str">
        <f t="shared" si="10"/>
        <v>"%USERPROFILE%\Documents\GitHub\eaglep3\Utilities\RefineRTDCRunTimes.py" --tripid 242-01 --locoid 4032 --swversion DE.1.0.8.0 --startMP 204:233006 --initTime 2016-12-02T00:50:59 --startdatetime 2016-12-02T00:56:18 --delay 1 --endMP 204:149 --enddatetime 2016-12-02T01:33:32 --enforcementcount 1 &gt;&gt;C:\Users\stu\Documents\GitHub\eaglep3-reporting\EC\2016-12-01-refined-times.txt</v>
      </c>
      <c r="AI160" s="119" t="str">
        <f t="shared" si="11"/>
        <v>echo {"issue":{"subject":"","project_id":79,"tracker_id":40,"status_id":1,"priority_id":2,"assigned_to_id":23,"start_date":"2016-12-02","description":"","custom_fields":[{"id":1,"name":"Subdivision","value":"EC"},{"id":4,"name":"Milepost","value":"0.0149"},{"id":17,"name":"Train ID","value":"242-01"},{"id":16,"name":"Locomotive ID","value":"4032"},{"id":130,"name":"Impact","value":""},{"id":150,"name":"Time of Event (Mountain Time)","value":"01:33:32"},{"id":151,"name":"Denver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654</v>
      </c>
      <c r="B161" s="7">
        <v>4009</v>
      </c>
      <c r="C161" s="22" t="s">
        <v>210</v>
      </c>
      <c r="D161" s="22" t="s">
        <v>294</v>
      </c>
      <c r="E161" s="13">
        <v>42706.003958333335</v>
      </c>
      <c r="F161" s="13">
        <v>42706.021261574075</v>
      </c>
      <c r="G161" s="7">
        <v>1</v>
      </c>
      <c r="H161" s="22" t="s">
        <v>302</v>
      </c>
      <c r="I161" s="13">
        <v>42706.044918981483</v>
      </c>
      <c r="J161" s="7">
        <v>1</v>
      </c>
      <c r="K161" s="109" t="str">
        <f>IF(ISEVEN(B161),(B161-1)&amp;"/"&amp;B161,B161&amp;"/"&amp;(B161+1))</f>
        <v>4009/4010</v>
      </c>
      <c r="L161" s="22" t="str">
        <f>VLOOKUP(A161,'Trips&amp;Operators'!$C$1:$G$99999,5,FALSE)</f>
        <v>STAMBAUGH JAMES</v>
      </c>
      <c r="M161" s="6">
        <f>I161-F161</f>
        <v>2.3657407407881692E-2</v>
      </c>
      <c r="N161" s="7">
        <f>24*60*SUM($M161:$M161)</f>
        <v>34.066666667349637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https://search-rtdc-monitor-bjffxe2xuh6vdkpspy63sjmuny.us-east-1.es.amazonaws.com/_plugin/kibana/#/discover/Steve-Slow-Train-Analysis-(2080s-and-2083s)?_g=(refreshInterval:(display:Off,section:0,value:0),time:(from:'2016-12-01 23:05:42-700',mode:absolute,to:'2016-12-02 02:04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1" s="52" t="str">
        <f>IF(AA161&lt;IF(AG161="EC",23,5.65),"Y","N")</f>
        <v>N</v>
      </c>
      <c r="X161" s="177">
        <f>VALUE(LEFT(AD161,4))-VALUE(LEFT(AD160,4))</f>
        <v>1</v>
      </c>
      <c r="Y161" s="67">
        <f>RIGHT(D161,LEN(D161)-4)/10000</f>
        <v>4.58E-2</v>
      </c>
      <c r="Z161" s="67">
        <f>RIGHT(H161,LEN(H161)-4)/10000</f>
        <v>23.331900000000001</v>
      </c>
      <c r="AA161" s="67">
        <f>ABS(Z161-Y161)</f>
        <v>23.286100000000001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>IF(LEN(A161)=6,"0"&amp;A161,A161)</f>
        <v>0243-01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s3://rtdc.mdm.uploadarchive.raw/RTDC4009/ "%USERPROFILE%\AppData\Local\Temp\OnboardLogs"\RTDC4009\2016-12-02 --exclude "*" --recursive --include "*20161202*" &amp; "%USERPROFILE%\Documents\GitHub\mrs-test-scripts\Headless Mode &amp; Sideloading\WalkAndUnGZ.bat" "%USERPROFILE%\AppData\Local\Temp\OnboardLogs"\RTDC4009\2016-12-02 &amp; aws s3 cp s3://rtdc.mdm.uploadarchive.raw/RTDC4009/ "%USERPROFILE%\AppData\Local\Temp\OnboardLogs"\RTDC4009\2016-12-03 --exclude "*" --recursive --include "*20161203*" &amp; "%USERPROFILE%\Documents\GitHub\mrs-test-scripts\Headless Mode &amp; Sideloading\WalkAndUnGZ.bat" "%USERPROFILE%\AppData\Local\Temp\OnboardLogs"\RTDC4009\2016-12-03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/stypes="app*4009*20161202*" /stext=" 08:.+((SYSTEM_STATE.+slice.+state.+changed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EC</v>
      </c>
      <c r="AH161" s="92" t="str">
        <f t="shared" si="10"/>
        <v>"%USERPROFILE%\Documents\GitHub\eaglep3\Utilities\RefineRTDCRunTimes.py" --tripid 243-01 --locoid 4009 --swversion DE.1.0.8.0 --startMP 204:458 --initTime 2016-12-02T00:05:42 --startdatetime 2016-12-02T00:30:37 --delay 1 --endMP 204:233319 --enddatetime 2016-12-02T01:04:41 --enforcementcount 1 &gt;&gt;C:\Users\stu\Documents\GitHub\eaglep3-reporting\EC\2016-12-01-refined-times.txt</v>
      </c>
      <c r="AI161" s="119" t="str">
        <f t="shared" si="11"/>
        <v>echo {"issue":{"subject":"","project_id":79,"tracker_id":40,"status_id":1,"priority_id":2,"assigned_to_id":23,"start_date":"2016-12-02","description":"","custom_fields":[{"id":1,"name":"Subdivision","value":"EC"},{"id":4,"name":"Milepost","value":"23.3319"},{"id":17,"name":"Train ID","value":"243-01"},{"id":16,"name":"Locomotive ID","value":"4009"},{"id":130,"name":"Impact","value":""},{"id":150,"name":"Time of Event (Mountain Time)","value":"01:04:41"},{"id":151,"name":"Denver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657</v>
      </c>
      <c r="B162" s="7">
        <v>4010</v>
      </c>
      <c r="C162" s="22" t="s">
        <v>210</v>
      </c>
      <c r="D162" s="22" t="s">
        <v>677</v>
      </c>
      <c r="E162" s="13">
        <v>42706.05673611111</v>
      </c>
      <c r="F162" s="13">
        <v>42706.060173611113</v>
      </c>
      <c r="G162" s="7">
        <v>1</v>
      </c>
      <c r="H162" s="22" t="s">
        <v>744</v>
      </c>
      <c r="I162" s="13">
        <v>42706.085636574076</v>
      </c>
      <c r="J162" s="7">
        <v>1</v>
      </c>
      <c r="K162" s="109" t="str">
        <f>IF(ISEVEN(B162),(B162-1)&amp;"/"&amp;B162,B162&amp;"/"&amp;(B162+1))</f>
        <v>4009/4010</v>
      </c>
      <c r="L162" s="22" t="str">
        <f>VLOOKUP(A162,'Trips&amp;Operators'!$C$1:$G$99999,5,FALSE)</f>
        <v>STAMBAUGH JAMES</v>
      </c>
      <c r="M162" s="6">
        <f>I162-F162</f>
        <v>2.5462962963501923E-2</v>
      </c>
      <c r="N162" s="7">
        <f>24*60*SUM($M162:$M162)</f>
        <v>36.666666667442769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https://search-rtdc-monitor-bjffxe2xuh6vdkpspy63sjmuny.us-east-1.es.amazonaws.com/_plugin/kibana/#/discover/Steve-Slow-Train-Analysis-(2080s-and-2083s)?_g=(refreshInterval:(display:Off,section:0,value:0),time:(from:'2016-12-02 00:21:42-700',mode:absolute,to:'2016-12-02 03:03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2" s="52" t="str">
        <f>IF(AA162&lt;IF(AG162="EC",23,5.65),"Y","N")</f>
        <v>N</v>
      </c>
      <c r="X162" s="177">
        <f>VALUE(LEFT(AD162,4))-VALUE(LEFT(AD161,4))</f>
        <v>1</v>
      </c>
      <c r="Y162" s="67">
        <f>RIGHT(D162,LEN(D162)-4)/10000</f>
        <v>23.3</v>
      </c>
      <c r="Z162" s="67">
        <f>RIGHT(H162,LEN(H162)-4)/10000</f>
        <v>0.02</v>
      </c>
      <c r="AA162" s="67">
        <f>ABS(Z162-Y162)</f>
        <v>23.28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>IF(LEN(A162)=6,"0"&amp;A162,A162)</f>
        <v>0244-01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 &amp; aws s3 cp s3://rtdc.mdm.uploadarchive.raw/RTDC4010/ "%USERPROFILE%\AppData\Local\Temp\OnboardLogs"\RTDC4010\2016-12-03 --exclude "*" --recursive --include "*20161203*" &amp; "%USERPROFILE%\Documents\GitHub\mrs-test-scripts\Headless Mode &amp; Sideloading\WalkAndUnGZ.bat" "%USERPROFILE%\AppData\Local\Temp\OnboardLogs"\RTDC4010\2016-12-03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/stypes="app*4010*20161202*" /stext=" 09:.+((SYSTEM_STATE.+slice.+state.+changed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EC</v>
      </c>
      <c r="AH162" s="92" t="str">
        <f t="shared" si="10"/>
        <v>"%USERPROFILE%\Documents\GitHub\eaglep3\Utilities\RefineRTDCRunTimes.py" --tripid 244-01 --locoid 4010 --swversion DE.1.0.8.0 --startMP 204:233000 --initTime 2016-12-02T01:21:42 --startdatetime 2016-12-02T01:26:39 --delay 1 --endMP 204:200 --enddatetime 2016-12-02T02:03:19 --enforcementcount 1 &gt;&gt;C:\Users\stu\Documents\GitHub\eaglep3-reporting\EC\2016-12-01-refined-times.txt</v>
      </c>
      <c r="AI162" s="119" t="str">
        <f t="shared" si="11"/>
        <v>echo {"issue":{"subject":"","project_id":79,"tracker_id":40,"status_id":1,"priority_id":2,"assigned_to_id":23,"start_date":"2016-12-02","description":"","custom_fields":[{"id":1,"name":"Subdivision","value":"EC"},{"id":4,"name":"Milepost","value":"0.02"},{"id":17,"name":"Train ID","value":"244-01"},{"id":16,"name":"Locomotive ID","value":"4010"},{"id":130,"name":"Impact","value":""},{"id":150,"name":"Time of Event (Mountain Time)","value":"02:03:19"},{"id":151,"name":"Denver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476</v>
      </c>
      <c r="B163" s="7">
        <v>4043</v>
      </c>
      <c r="C163" s="22" t="s">
        <v>210</v>
      </c>
      <c r="D163" s="22" t="s">
        <v>779</v>
      </c>
      <c r="E163" s="13">
        <v>42705.216539351852</v>
      </c>
      <c r="F163" s="13">
        <v>42705.217824074076</v>
      </c>
      <c r="G163" s="7">
        <v>1</v>
      </c>
      <c r="H163" s="22" t="s">
        <v>780</v>
      </c>
      <c r="I163" s="13">
        <v>42705.226365740738</v>
      </c>
      <c r="J163" s="7">
        <v>1</v>
      </c>
      <c r="K163" s="109" t="str">
        <f>IF(ISEVEN(B163),(B163-1)&amp;"/"&amp;B163,B163&amp;"/"&amp;(B163+1))</f>
        <v>4043/4044</v>
      </c>
      <c r="L163" s="22" t="str">
        <f>VLOOKUP(A163,'Trips&amp;Operators'!$C$1:$G$99999,5,FALSE)</f>
        <v>YORK EDGAR</v>
      </c>
      <c r="M163" s="6">
        <f>I163-F163</f>
        <v>8.5416666624951176E-3</v>
      </c>
      <c r="N163" s="7">
        <f>24*60*SUM($M163:$M163)</f>
        <v>12.299999993992969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https://search-rtdc-monitor-bjffxe2xuh6vdkpspy63sjmuny.us-east-1.es.amazonaws.com/_plugin/kibana/#/discover/Steve-Slow-Train-Analysis-(2080s-and-2083s)?_g=(refreshInterval:(display:Off,section:0,value:0),time:(from:'2016-12-01 04:11:49-700',mode:absolute,to:'2016-12-01 06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52" t="str">
        <f>IF(AA163&lt;IF(AG163="EC",23,5.65),"Y","N")</f>
        <v>N</v>
      </c>
      <c r="X163" s="177">
        <f>VALUE(LEFT(AD163,4))-VALUE(LEFT(AD162,4))</f>
        <v>556</v>
      </c>
      <c r="Y163" s="67">
        <f>RIGHT(D163,LEN(D163)-4)/10000</f>
        <v>5.8604000000000003</v>
      </c>
      <c r="Z163" s="67">
        <f>RIGHT(H163,LEN(H163)-4)/10000</f>
        <v>7.4499999999999997E-2</v>
      </c>
      <c r="AA163" s="67">
        <f>ABS(Z163-Y163)</f>
        <v>5.7859000000000007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>IF(LEN(A163)=6,"0"&amp;A163,A163)</f>
        <v>0800-01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/stypes="app*4043*20161201*" /stext=" 12:.+((SYSTEM_STATE.+slice.+state.+changed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10"/>
        <v>"%USERPROFILE%\Documents\GitHub\eaglep3\Utilities\RefineRTDCRunTimes.py" --tripid 800-01 --locoid 4043 --swversion DE.1.0.8.0 --startMP 300:58604 --initTime 2016-12-01T05:11:49 --startdatetime 2016-12-01T05:13:40 --delay 1 --endMP 204:745 --enddatetime 2016-12-01T05:25:58 --enforcementcount 1 &gt;&gt;C:\Users\stu\Documents\GitHub\eaglep3-reporting\EC\2016-12-01-refined-times.txt</v>
      </c>
      <c r="AI163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{"issue":{"subject":"","project_id":79,"tracker_id":40,"status_id":1,"priority_id":2,"assigned_to_id":23,"start_date":"2016-12-01","description":"","custom_fields":[{"id":1,"name":"Subdivision","value":"NW"},{"id":4,"name":"Milepost","value":"0.0745"},{"id":17,"name":"Train ID","value":"800-01"},{"id":16,"name":"Locomotive ID","value":"4043"},{"id":130,"name":"Impact","value":""},{"id":150,"name":"Time of Event (Mountain Time)","value":"05:25:58"},{"id":151,"name":"Denver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479</v>
      </c>
      <c r="B164" s="7">
        <v>4044</v>
      </c>
      <c r="C164" s="22" t="s">
        <v>210</v>
      </c>
      <c r="D164" s="22" t="s">
        <v>781</v>
      </c>
      <c r="E164" s="13">
        <v>42705.227893518517</v>
      </c>
      <c r="F164" s="13">
        <v>42705.244131944448</v>
      </c>
      <c r="G164" s="7">
        <v>1</v>
      </c>
      <c r="H164" s="22" t="s">
        <v>782</v>
      </c>
      <c r="I164" s="13">
        <v>42705.253888888888</v>
      </c>
      <c r="J164" s="7">
        <v>1</v>
      </c>
      <c r="K164" s="109" t="str">
        <f>IF(ISEVEN(B164),(B164-1)&amp;"/"&amp;B164,B164&amp;"/"&amp;(B164+1))</f>
        <v>4043/4044</v>
      </c>
      <c r="L164" s="22" t="str">
        <f>VLOOKUP(A164,'Trips&amp;Operators'!$C$1:$G$99999,5,FALSE)</f>
        <v>YORK EDGAR</v>
      </c>
      <c r="M164" s="6">
        <f>I164-F164</f>
        <v>9.7569444405962713E-3</v>
      </c>
      <c r="N164" s="7">
        <f>24*60*SUM($M164:$M164)</f>
        <v>14.049999994458631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https://search-rtdc-monitor-bjffxe2xuh6vdkpspy63sjmuny.us-east-1.es.amazonaws.com/_plugin/kibana/#/discover/Steve-Slow-Train-Analysis-(2080s-and-2083s)?_g=(refreshInterval:(display:Off,section:0,value:0),time:(from:'2016-12-01 04:28:10-700',mode:absolute,to:'2016-12-01 07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4" s="52" t="str">
        <f>IF(AA164&lt;IF(AG164="EC",23,5.65),"Y","N")</f>
        <v>N</v>
      </c>
      <c r="X164" s="177">
        <f>VALUE(LEFT(AD164,4))-VALUE(LEFT(AD163,4))</f>
        <v>1</v>
      </c>
      <c r="Y164" s="67">
        <f>RIGHT(D164,LEN(D164)-4)/10000</f>
        <v>0.10199999999999999</v>
      </c>
      <c r="Z164" s="67">
        <f>RIGHT(H164,LEN(H164)-4)/10000</f>
        <v>5.8928000000000003</v>
      </c>
      <c r="AA164" s="67">
        <f>ABS(Z164-Y164)</f>
        <v>5.7907999999999999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>IF(LEN(A164)=6,"0"&amp;A164,A164)</f>
        <v>0801-01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/stypes="app*4044*20161201*" /stext=" 13:.+((SYSTEM_STATE.+slice.+state.+changed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10"/>
        <v>"%USERPROFILE%\Documents\GitHub\eaglep3\Utilities\RefineRTDCRunTimes.py" --tripid 801-01 --locoid 4044 --swversion DE.1.0.8.0 --startMP 204:1020 --initTime 2016-12-01T05:28:10 --startdatetime 2016-12-01T05:51:33 --delay 1 --endMP 300:58928 --enddatetime 2016-12-01T06:05:36 --enforcementcount 1 &gt;&gt;C:\Users\stu\Documents\GitHub\eaglep3-reporting\EC\2016-12-01-refined-times.txt</v>
      </c>
      <c r="AI164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{"issue":{"subject":"","project_id":79,"tracker_id":40,"status_id":1,"priority_id":2,"assigned_to_id":23,"start_date":"2016-12-01","description":"","custom_fields":[{"id":1,"name":"Subdivision","value":"NW"},{"id":4,"name":"Milepost","value":"5.8928"},{"id":17,"name":"Train ID","value":"801-01"},{"id":16,"name":"Locomotive ID","value":"4044"},{"id":130,"name":"Impact","value":""},{"id":150,"name":"Time of Event (Mountain Time)","value":"06:05:36"},{"id":151,"name":"Denver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488</v>
      </c>
      <c r="B165" s="7">
        <v>4043</v>
      </c>
      <c r="C165" s="22" t="s">
        <v>210</v>
      </c>
      <c r="D165" s="22" t="s">
        <v>783</v>
      </c>
      <c r="E165" s="13">
        <v>42705.255613425928</v>
      </c>
      <c r="F165" s="13">
        <v>42705.258263888885</v>
      </c>
      <c r="G165" s="7">
        <v>1</v>
      </c>
      <c r="H165" s="22" t="s">
        <v>784</v>
      </c>
      <c r="I165" s="13">
        <v>42705.26766203704</v>
      </c>
      <c r="J165" s="7">
        <v>1</v>
      </c>
      <c r="K165" s="109" t="str">
        <f>IF(ISEVEN(B165),(B165-1)&amp;"/"&amp;B165,B165&amp;"/"&amp;(B165+1))</f>
        <v>4043/4044</v>
      </c>
      <c r="L165" s="22" t="str">
        <f>VLOOKUP(A165,'Trips&amp;Operators'!$C$1:$G$99999,5,FALSE)</f>
        <v>YORK EDGAR</v>
      </c>
      <c r="M165" s="6">
        <f>I165-F165</f>
        <v>9.3981481550144963E-3</v>
      </c>
      <c r="N165" s="7">
        <f>24*60*SUM($M165:$M165)</f>
        <v>13.533333343220875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https://search-rtdc-monitor-bjffxe2xuh6vdkpspy63sjmuny.us-east-1.es.amazonaws.com/_plugin/kibana/#/discover/Steve-Slow-Train-Analysis-(2080s-and-2083s)?_g=(refreshInterval:(display:Off,section:0,value:0),time:(from:'2016-12-01 05:08:05-700',mode:absolute,to:'2016-12-01 07:25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5" s="52" t="str">
        <f>IF(AA165&lt;IF(AG165="EC",23,5.65),"Y","N")</f>
        <v>N</v>
      </c>
      <c r="X165" s="177">
        <f>VALUE(LEFT(AD165,4))-VALUE(LEFT(AD164,4))</f>
        <v>1</v>
      </c>
      <c r="Y165" s="67">
        <f>RIGHT(D165,LEN(D165)-4)/10000</f>
        <v>5.8596000000000004</v>
      </c>
      <c r="Z165" s="67">
        <f>RIGHT(H165,LEN(H165)-4)/10000</f>
        <v>7.4300000000000005E-2</v>
      </c>
      <c r="AA165" s="67">
        <f>ABS(Z165-Y165)</f>
        <v>5.7853000000000003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>IF(LEN(A165)=6,"0"&amp;A165,A165)</f>
        <v>0802-01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/stypes="app*4043*20161201*" /stext=" 13:.+((SYSTEM_STATE.+slice.+state.+changed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10"/>
        <v>"%USERPROFILE%\Documents\GitHub\eaglep3\Utilities\RefineRTDCRunTimes.py" --tripid 802-01 --locoid 4043 --swversion DE.1.0.8.0 --startMP 300:58596 --initTime 2016-12-01T06:08:05 --startdatetime 2016-12-01T06:11:54 --delay 1 --endMP 204:743 --enddatetime 2016-12-01T06:25:26 --enforcementcount 1 &gt;&gt;C:\Users\stu\Documents\GitHub\eaglep3-reporting\EC\2016-12-01-refined-times.txt</v>
      </c>
      <c r="AI165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{"issue":{"subject":"","project_id":79,"tracker_id":40,"status_id":1,"priority_id":2,"assigned_to_id":23,"start_date":"2016-12-01","description":"","custom_fields":[{"id":1,"name":"Subdivision","value":"NW"},{"id":4,"name":"Milepost","value":"0.0743"},{"id":17,"name":"Train ID","value":"802-01"},{"id":16,"name":"Locomotive ID","value":"4043"},{"id":130,"name":"Impact","value":""},{"id":150,"name":"Time of Event (Mountain Time)","value":"06:25:26"},{"id":151,"name":"Denver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487</v>
      </c>
      <c r="B166" s="7">
        <v>4003</v>
      </c>
      <c r="C166" s="22" t="s">
        <v>210</v>
      </c>
      <c r="D166" s="22" t="s">
        <v>346</v>
      </c>
      <c r="E166" s="13">
        <v>42705.253391203703</v>
      </c>
      <c r="F166" s="13">
        <v>42705.264826388891</v>
      </c>
      <c r="G166" s="7">
        <v>12</v>
      </c>
      <c r="H166" s="22" t="s">
        <v>785</v>
      </c>
      <c r="I166" s="13">
        <v>42705.27449074074</v>
      </c>
      <c r="J166" s="7">
        <v>1</v>
      </c>
      <c r="K166" s="109" t="str">
        <f>IF(ISEVEN(B166),(B166-1)&amp;"/"&amp;B166,B166&amp;"/"&amp;(B166+1))</f>
        <v>4003/4004</v>
      </c>
      <c r="L166" s="22" t="str">
        <f>VLOOKUP(A166,'Trips&amp;Operators'!$C$1:$G$99999,5,FALSE)</f>
        <v>ISHMAEL JOSEPH</v>
      </c>
      <c r="M166" s="6">
        <f>I166-F166</f>
        <v>9.6643518481869251E-3</v>
      </c>
      <c r="N166" s="7">
        <f>24*60*SUM($M166:$M166)</f>
        <v>13.916666661389172</v>
      </c>
      <c r="O166" s="7"/>
      <c r="P166" s="7"/>
      <c r="Q166" s="23"/>
      <c r="R166" s="23"/>
      <c r="S166" s="35">
        <f>SUM(U166:U166)/IF(AG166="EC",12,1)</f>
        <v>1</v>
      </c>
      <c r="T166" s="50" t="str">
        <f>IF(ISEVEN(LEFT(AD166,4)),"Southbound","NorthBound")</f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https://search-rtdc-monitor-bjffxe2xuh6vdkpspy63sjmuny.us-east-1.es.amazonaws.com/_plugin/kibana/#/discover/Steve-Slow-Train-Analysis-(2080s-and-2083s)?_g=(refreshInterval:(display:Off,section:0,value:0),time:(from:'2016-12-01 05:04:53-700',mode:absolute,to:'2016-12-01 07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6" s="52" t="str">
        <f>IF(AA166&lt;IF(AG166="EC",23,5.65),"Y","N")</f>
        <v>N</v>
      </c>
      <c r="X166" s="177">
        <f>VALUE(LEFT(AD166,4))-VALUE(LEFT(AD165,4))</f>
        <v>1</v>
      </c>
      <c r="Y166" s="67">
        <f>RIGHT(D166,LEN(D166)-4)/10000</f>
        <v>9.7600000000000006E-2</v>
      </c>
      <c r="Z166" s="67">
        <f>RIGHT(H166,LEN(H166)-4)/10000</f>
        <v>5.8936999999999999</v>
      </c>
      <c r="AA166" s="67">
        <f>ABS(Z166-Y166)</f>
        <v>5.7961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>IF(LEN(A166)=6,"0"&amp;A166,A166)</f>
        <v>0803-01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/stypes="app*4003*20161201*" /stext=" 13:.+((SYSTEM_STATE.+slice.+state.+changed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10"/>
        <v>"%USERPROFILE%\Documents\GitHub\eaglep3\Utilities\RefineRTDCRunTimes.py" --tripid 803-01 --locoid 4003 --swversion DE.1.0.8.0 --startMP 204:976 --initTime 2016-12-01T06:04:53 --startdatetime 2016-12-01T06:21:21 --delay 12 --endMP 300:58937 --enddatetime 2016-12-01T06:35:16 --enforcementcount 1 &gt;&gt;C:\Users\stu\Documents\GitHub\eaglep3-reporting\EC\2016-12-01-refined-times.txt</v>
      </c>
      <c r="AI166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{"issue":{"subject":"","project_id":79,"tracker_id":40,"status_id":1,"priority_id":2,"assigned_to_id":23,"start_date":"2016-12-01","description":"","custom_fields":[{"id":1,"name":"Subdivision","value":"NW"},{"id":4,"name":"Milepost","value":"5.8937"},{"id":17,"name":"Train ID","value":"803-01"},{"id":16,"name":"Locomotive ID","value":"4003"},{"id":130,"name":"Impact","value":""},{"id":150,"name":"Time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494</v>
      </c>
      <c r="B167" s="7">
        <v>4004</v>
      </c>
      <c r="C167" s="22" t="s">
        <v>210</v>
      </c>
      <c r="D167" s="22" t="s">
        <v>786</v>
      </c>
      <c r="E167" s="13">
        <v>42705.275636574072</v>
      </c>
      <c r="F167" s="13">
        <v>42705.277314814812</v>
      </c>
      <c r="G167" s="7">
        <v>1</v>
      </c>
      <c r="H167" s="22" t="s">
        <v>787</v>
      </c>
      <c r="I167" s="13">
        <v>42705.290046296293</v>
      </c>
      <c r="J167" s="7">
        <v>1</v>
      </c>
      <c r="K167" s="109" t="str">
        <f>IF(ISEVEN(B167),(B167-1)&amp;"/"&amp;B167,B167&amp;"/"&amp;(B167+1))</f>
        <v>4003/4004</v>
      </c>
      <c r="L167" s="22" t="str">
        <f>VLOOKUP(A167,'Trips&amp;Operators'!$C$1:$G$99999,5,FALSE)</f>
        <v>ISHMAEL JOSEPH</v>
      </c>
      <c r="M167" s="6">
        <f>I167-F167</f>
        <v>1.2731481481750961E-2</v>
      </c>
      <c r="N167" s="7">
        <f>24*60*SUM($M167:$M167)</f>
        <v>18.333333333721384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https://search-rtdc-monitor-bjffxe2xuh6vdkpspy63sjmuny.us-east-1.es.amazonaws.com/_plugin/kibana/#/discover/Steve-Slow-Train-Analysis-(2080s-and-2083s)?_g=(refreshInterval:(display:Off,section:0,value:0),time:(from:'2016-12-01 05:36:55-700',mode:absolute,to:'2016-12-01 07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7" s="52" t="str">
        <f>IF(AA167&lt;IF(AG167="EC",23,5.65),"Y","N")</f>
        <v>N</v>
      </c>
      <c r="X167" s="177">
        <f>VALUE(LEFT(AD167,4))-VALUE(LEFT(AD166,4))</f>
        <v>1</v>
      </c>
      <c r="Y167" s="67">
        <f>RIGHT(D167,LEN(D167)-4)/10000</f>
        <v>5.8619000000000003</v>
      </c>
      <c r="Z167" s="67">
        <f>RIGHT(H167,LEN(H167)-4)/10000</f>
        <v>7.0099999999999996E-2</v>
      </c>
      <c r="AA167" s="67">
        <f>ABS(Z167-Y167)</f>
        <v>5.7918000000000003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>IF(LEN(A167)=6,"0"&amp;A167,A167)</f>
        <v>0804-01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/stypes="app*4004*20161201*" /stext=" 13:.+((SYSTEM_STATE.+slice.+state.+changed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10"/>
        <v>"%USERPROFILE%\Documents\GitHub\eaglep3\Utilities\RefineRTDCRunTimes.py" --tripid 804-01 --locoid 4004 --swversion DE.1.0.8.0 --startMP 300:58619 --initTime 2016-12-01T06:36:55 --startdatetime 2016-12-01T06:39:20 --delay 1 --endMP 204:701 --enddatetime 2016-12-01T06:57:40 --enforcementcount 1 &gt;&gt;C:\Users\stu\Documents\GitHub\eaglep3-reporting\EC\2016-12-01-refined-times.txt</v>
      </c>
      <c r="AI167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{"issue":{"subject":"","project_id":79,"tracker_id":40,"status_id":1,"priority_id":2,"assigned_to_id":23,"start_date":"2016-12-01","description":"","custom_fields":[{"id":1,"name":"Subdivision","value":"NW"},{"id":4,"name":"Milepost","value":"0.0701"},{"id":17,"name":"Train ID","value":"804-01"},{"id":16,"name":"Locomotive ID","value":"4004"},{"id":130,"name":"Impact","value":""},{"id":150,"name":"Time of Event (Mountain Time)","value":"06:57:40"},{"id":151,"name":"Denver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x14ac:dyDescent="0.25">
      <c r="A168" s="37" t="s">
        <v>492</v>
      </c>
      <c r="B168" s="7">
        <v>4044</v>
      </c>
      <c r="C168" s="22" t="s">
        <v>210</v>
      </c>
      <c r="D168" s="22" t="s">
        <v>788</v>
      </c>
      <c r="E168" s="13">
        <v>42705.269074074073</v>
      </c>
      <c r="F168" s="13">
        <v>42705.286006944443</v>
      </c>
      <c r="G168" s="7">
        <v>0</v>
      </c>
      <c r="H168" s="22" t="s">
        <v>789</v>
      </c>
      <c r="I168" s="13">
        <v>42705.294722222221</v>
      </c>
      <c r="J168" s="7">
        <v>1</v>
      </c>
      <c r="K168" s="109" t="str">
        <f>IF(ISEVEN(B168),(B168-1)&amp;"/"&amp;B168,B168&amp;"/"&amp;(B168+1))</f>
        <v>4043/4044</v>
      </c>
      <c r="L168" s="22" t="str">
        <f>VLOOKUP(A168,'Trips&amp;Operators'!$C$1:$G$99999,5,FALSE)</f>
        <v>YORK EDGAR</v>
      </c>
      <c r="M168" s="6">
        <f>I168-F168</f>
        <v>8.7152777778101154E-3</v>
      </c>
      <c r="N168" s="7">
        <f>24*60*SUM($M168:$M168)</f>
        <v>12.550000000046566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https://search-rtdc-monitor-bjffxe2xuh6vdkpspy63sjmuny.us-east-1.es.amazonaws.com/_plugin/kibana/#/discover/Steve-Slow-Train-Analysis-(2080s-and-2083s)?_g=(refreshInterval:(display:Off,section:0,value:0),time:(from:'2016-12-01 05:27:28-700',mode:absolute,to:'2016-12-01 08:04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8" s="52" t="str">
        <f>IF(AA168&lt;IF(AG168="EC",23,5.65),"Y","N")</f>
        <v>N</v>
      </c>
      <c r="X168" s="177">
        <f>VALUE(LEFT(AD168,4))-VALUE(LEFT(AD167,4))</f>
        <v>1</v>
      </c>
      <c r="Y168" s="67">
        <f>RIGHT(D168,LEN(D168)-4)/10000</f>
        <v>0.1023</v>
      </c>
      <c r="Z168" s="67">
        <f>RIGHT(H168,LEN(H168)-4)/10000</f>
        <v>5.8925999999999998</v>
      </c>
      <c r="AA168" s="67">
        <f>ABS(Z168-Y168)</f>
        <v>5.7903000000000002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>IF(LEN(A168)=6,"0"&amp;A168,A168)</f>
        <v>0805-01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/stypes="app*4044*20161201*" /stext=" 14:.+((SYSTEM_STATE.+slice.+state.+changed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10"/>
        <v>"%USERPROFILE%\Documents\GitHub\eaglep3\Utilities\RefineRTDCRunTimes.py" --tripid 805-01 --locoid 4044 --swversion DE.1.0.8.0 --startMP 204:1023 --initTime 2016-12-01T06:27:28 --startdatetime 2016-12-01T06:51:51 --delay 0 --endMP 300:58926 --enddatetime 2016-12-01T07:04:24 --enforcementcount 1 &gt;&gt;C:\Users\stu\Documents\GitHub\eaglep3-reporting\EC\2016-12-01-refined-times.txt</v>
      </c>
      <c r="AI168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{"issue":{"subject":"","project_id":79,"tracker_id":40,"status_id":1,"priority_id":2,"assigned_to_id":23,"start_date":"2016-12-01","description":"","custom_fields":[{"id":1,"name":"Subdivision","value":"NW"},{"id":4,"name":"Milepost","value":"5.8926"},{"id":17,"name":"Train ID","value":"805-01"},{"id":16,"name":"Locomotive ID","value":"4044"},{"id":130,"name":"Impact","value":""},{"id":150,"name":"Time of Event (Mountain Time)","value":"07:04:24"},{"id":151,"name":"Denver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499</v>
      </c>
      <c r="B169" s="7">
        <v>4043</v>
      </c>
      <c r="C169" s="22" t="s">
        <v>210</v>
      </c>
      <c r="D169" s="22" t="s">
        <v>790</v>
      </c>
      <c r="E169" s="13">
        <v>42705.296736111108</v>
      </c>
      <c r="F169" s="13">
        <v>42705.300243055557</v>
      </c>
      <c r="G169" s="7">
        <v>1</v>
      </c>
      <c r="H169" s="22" t="s">
        <v>791</v>
      </c>
      <c r="I169" s="13">
        <v>42705.309537037036</v>
      </c>
      <c r="J169" s="7">
        <v>1</v>
      </c>
      <c r="K169" s="109" t="str">
        <f>IF(ISEVEN(B169),(B169-1)&amp;"/"&amp;B169,B169&amp;"/"&amp;(B169+1))</f>
        <v>4043/4044</v>
      </c>
      <c r="L169" s="22" t="str">
        <f>VLOOKUP(A169,'Trips&amp;Operators'!$C$1:$G$99999,5,FALSE)</f>
        <v>YORK EDGAR</v>
      </c>
      <c r="M169" s="6">
        <f>I169-F169</f>
        <v>9.29398147854954E-3</v>
      </c>
      <c r="N169" s="7">
        <f>24*60*SUM($M169:$M169)</f>
        <v>13.383333329111338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https://search-rtdc-monitor-bjffxe2xuh6vdkpspy63sjmuny.us-east-1.es.amazonaws.com/_plugin/kibana/#/discover/Steve-Slow-Train-Analysis-(2080s-and-2083s)?_g=(refreshInterval:(display:Off,section:0,value:0),time:(from:'2016-12-01 06:07:18-700',mode:absolute,to:'2016-12-01 08:25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9" s="52" t="str">
        <f>IF(AA169&lt;IF(AG169="EC",23,5.65),"Y","N")</f>
        <v>N</v>
      </c>
      <c r="X169" s="177">
        <f>VALUE(LEFT(AD169,4))-VALUE(LEFT(AD168,4))</f>
        <v>1</v>
      </c>
      <c r="Y169" s="67">
        <f>RIGHT(D169,LEN(D169)-4)/10000</f>
        <v>5.8616999999999999</v>
      </c>
      <c r="Z169" s="67">
        <f>RIGHT(H169,LEN(H169)-4)/10000</f>
        <v>7.3099999999999998E-2</v>
      </c>
      <c r="AA169" s="67">
        <f>ABS(Z169-Y169)</f>
        <v>5.7885999999999997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>IF(LEN(A169)=6,"0"&amp;A169,A169)</f>
        <v>0806-01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/stypes="app*4043*20161201*" /stext=" 14:.+((SYSTEM_STATE.+slice.+state.+changed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10"/>
        <v>"%USERPROFILE%\Documents\GitHub\eaglep3\Utilities\RefineRTDCRunTimes.py" --tripid 806-01 --locoid 4043 --swversion DE.1.0.8.0 --startMP 300:58617 --initTime 2016-12-01T07:07:18 --startdatetime 2016-12-01T07:12:21 --delay 1 --endMP 204:731 --enddatetime 2016-12-01T07:25:44 --enforcementcount 1 &gt;&gt;C:\Users\stu\Documents\GitHub\eaglep3-reporting\EC\2016-12-01-refined-times.txt</v>
      </c>
      <c r="AI169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{"issue":{"subject":"","project_id":79,"tracker_id":40,"status_id":1,"priority_id":2,"assigned_to_id":23,"start_date":"2016-12-01","description":"","custom_fields":[{"id":1,"name":"Subdivision","value":"NW"},{"id":4,"name":"Milepost","value":"0.0731"},{"id":17,"name":"Train ID","value":"806-01"},{"id":16,"name":"Locomotive ID","value":"4043"},{"id":130,"name":"Impact","value":""},{"id":150,"name":"Time of Event (Mountain Time)","value":"07:25:44"},{"id":151,"name":"Denver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498</v>
      </c>
      <c r="B170" s="7">
        <v>4003</v>
      </c>
      <c r="C170" s="22" t="s">
        <v>210</v>
      </c>
      <c r="D170" s="22" t="s">
        <v>792</v>
      </c>
      <c r="E170" s="13">
        <v>42705.291504629633</v>
      </c>
      <c r="F170" s="13">
        <v>42705.306458333333</v>
      </c>
      <c r="G170" s="7">
        <v>1</v>
      </c>
      <c r="H170" s="22" t="s">
        <v>793</v>
      </c>
      <c r="I170" s="13">
        <v>42705.315428240741</v>
      </c>
      <c r="J170" s="7">
        <v>1</v>
      </c>
      <c r="K170" s="109" t="str">
        <f>IF(ISEVEN(B170),(B170-1)&amp;"/"&amp;B170,B170&amp;"/"&amp;(B170+1))</f>
        <v>4003/4004</v>
      </c>
      <c r="L170" s="22" t="str">
        <f>VLOOKUP(A170,'Trips&amp;Operators'!$C$1:$G$99999,5,FALSE)</f>
        <v>ISHMAEL JOSEPH</v>
      </c>
      <c r="M170" s="6">
        <f>I170-F170</f>
        <v>8.969907408754807E-3</v>
      </c>
      <c r="N170" s="7">
        <f>24*60*SUM($M170:$M170)</f>
        <v>12.916666668606922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https://search-rtdc-monitor-bjffxe2xuh6vdkpspy63sjmuny.us-east-1.es.amazonaws.com/_plugin/kibana/#/discover/Steve-Slow-Train-Analysis-(2080s-and-2083s)?_g=(refreshInterval:(display:Off,section:0,value:0),time:(from:'2016-12-01 05:59:46-700',mode:absolute,to:'2016-12-01 08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0" s="52" t="str">
        <f>IF(AA170&lt;IF(AG170="EC",23,5.65),"Y","N")</f>
        <v>N</v>
      </c>
      <c r="X170" s="177">
        <f>VALUE(LEFT(AD170,4))-VALUE(LEFT(AD169,4))</f>
        <v>1</v>
      </c>
      <c r="Y170" s="67">
        <f>RIGHT(D170,LEN(D170)-4)/10000</f>
        <v>9.8500000000000004E-2</v>
      </c>
      <c r="Z170" s="67">
        <f>RIGHT(H170,LEN(H170)-4)/10000</f>
        <v>5.8066000000000004</v>
      </c>
      <c r="AA170" s="67">
        <f>ABS(Z170-Y170)</f>
        <v>5.7081000000000008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>IF(LEN(A170)=6,"0"&amp;A170,A170)</f>
        <v>0807-01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/stypes="app*4003*20161201*" /stext=" 14:.+((SYSTEM_STATE.+slice.+state.+changed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10"/>
        <v>"%USERPROFILE%\Documents\GitHub\eaglep3\Utilities\RefineRTDCRunTimes.py" --tripid 807-01 --locoid 4003 --swversion DE.1.0.8.0 --startMP 204:985 --initTime 2016-12-01T06:59:46 --startdatetime 2016-12-01T07:21:18 --delay 1 --endMP 300:58066 --enddatetime 2016-12-01T07:34:13 --enforcementcount 1 &gt;&gt;C:\Users\stu\Documents\GitHub\eaglep3-reporting\EC\2016-12-01-refined-times.txt</v>
      </c>
      <c r="AI170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{"issue":{"subject":"","project_id":79,"tracker_id":40,"status_id":1,"priority_id":2,"assigned_to_id":23,"start_date":"2016-12-01","description":"","custom_fields":[{"id":1,"name":"Subdivision","value":"NW"},{"id":4,"name":"Milepost","value":"5.8066"},{"id":17,"name":"Train ID","value":"807-01"},{"id":16,"name":"Locomotive ID","value":"4003"},{"id":130,"name":"Impact","value":""},{"id":150,"name":"Time of Event (Mountain Time)","value":"07:34:13"},{"id":151,"name":"Denver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415</v>
      </c>
      <c r="B171" s="7">
        <v>4004</v>
      </c>
      <c r="C171" s="22" t="s">
        <v>210</v>
      </c>
      <c r="D171" s="22" t="s">
        <v>273</v>
      </c>
      <c r="E171" s="13">
        <v>42705.316736111112</v>
      </c>
      <c r="F171" s="13">
        <v>42705.317974537036</v>
      </c>
      <c r="G171" s="7">
        <v>1</v>
      </c>
      <c r="H171" s="22" t="s">
        <v>787</v>
      </c>
      <c r="I171" s="13">
        <v>42705.331273148149</v>
      </c>
      <c r="J171" s="7">
        <v>1</v>
      </c>
      <c r="K171" s="109" t="str">
        <f>IF(ISEVEN(B171),(B171-1)&amp;"/"&amp;B171,B171&amp;"/"&amp;(B171+1))</f>
        <v>4003/4004</v>
      </c>
      <c r="L171" s="22" t="str">
        <f>VLOOKUP(A171,'Trips&amp;Operators'!$C$1:$G$99999,5,FALSE)</f>
        <v>ISHMAEL JOSEPH</v>
      </c>
      <c r="M171" s="6">
        <f>I171-F171</f>
        <v>1.3298611112986691E-2</v>
      </c>
      <c r="N171" s="7">
        <f>24*60*SUM($M171:$M171)</f>
        <v>19.150000002700835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https://search-rtdc-monitor-bjffxe2xuh6vdkpspy63sjmuny.us-east-1.es.amazonaws.com/_plugin/kibana/#/discover/Steve-Slow-Train-Analysis-(2080s-and-2083s)?_g=(refreshInterval:(display:Off,section:0,value:0),time:(from:'2016-12-01 06:36:06-700',mode:absolute,to:'2016-12-01 08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1" s="52" t="str">
        <f>IF(AA171&lt;IF(AG171="EC",23,5.65),"Y","N")</f>
        <v>N</v>
      </c>
      <c r="X171" s="177">
        <f t="shared" ref="X171:X175" si="12">VALUE(LEFT(AD171,4))-VALUE(LEFT(AD170,4))</f>
        <v>1</v>
      </c>
      <c r="Y171" s="67">
        <f>RIGHT(D171,LEN(D171)-4)/10000</f>
        <v>5.8611000000000004</v>
      </c>
      <c r="Z171" s="67">
        <f>RIGHT(H171,LEN(H171)-4)/10000</f>
        <v>7.0099999999999996E-2</v>
      </c>
      <c r="AA171" s="67">
        <f>ABS(Z171-Y171)</f>
        <v>5.7910000000000004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>IF(LEN(A171)=6,"0"&amp;A171,A171)</f>
        <v>0808-01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/stypes="app*4004*20161201*" /stext=" 14:.+((SYSTEM_STATE.+slice.+state.+changed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10"/>
        <v>"%USERPROFILE%\Documents\GitHub\eaglep3\Utilities\RefineRTDCRunTimes.py" --tripid 808-01 --locoid 4004 --swversion DE.1.0.8.0 --startMP 300:58611 --initTime 2016-12-01T07:36:06 --startdatetime 2016-12-01T07:37:53 --delay 1 --endMP 204:701 --enddatetime 2016-12-01T07:57:02 --enforcementcount 1 &gt;&gt;C:\Users\stu\Documents\GitHub\eaglep3-reporting\EC\2016-12-01-refined-times.txt</v>
      </c>
      <c r="AI171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{"issue":{"subject":"","project_id":79,"tracker_id":40,"status_id":1,"priority_id":2,"assigned_to_id":23,"start_date":"2016-12-01","description":"","custom_fields":[{"id":1,"name":"Subdivision","value":"NW"},{"id":4,"name":"Milepost","value":"0.0701"},{"id":17,"name":"Train ID","value":"808-01"},{"id":16,"name":"Locomotive ID","value":"4004"},{"id":130,"name":"Impact","value":""},{"id":150,"name":"Time of Event (Mountain Time)","value":"07:57:02"},{"id":151,"name":"Denver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504</v>
      </c>
      <c r="B172" s="7">
        <v>4044</v>
      </c>
      <c r="C172" s="22" t="s">
        <v>210</v>
      </c>
      <c r="D172" s="22" t="s">
        <v>794</v>
      </c>
      <c r="E172" s="13">
        <v>42705.318796296298</v>
      </c>
      <c r="F172" s="13">
        <v>42705.327534722222</v>
      </c>
      <c r="G172" s="7">
        <v>1</v>
      </c>
      <c r="H172" s="22" t="s">
        <v>349</v>
      </c>
      <c r="I172" s="13">
        <v>42705.336817129632</v>
      </c>
      <c r="J172" s="7">
        <v>1</v>
      </c>
      <c r="K172" s="109" t="str">
        <f>IF(ISEVEN(B172),(B172-1)&amp;"/"&amp;B172,B172&amp;"/"&amp;(B172+1))</f>
        <v>4043/4044</v>
      </c>
      <c r="L172" s="22" t="str">
        <f>VLOOKUP(A172,'Trips&amp;Operators'!$C$1:$G$99999,5,FALSE)</f>
        <v>YORK EDGAR</v>
      </c>
      <c r="M172" s="6">
        <f>I172-F172</f>
        <v>9.2824074090458453E-3</v>
      </c>
      <c r="N172" s="7">
        <f>24*60*SUM($M172:$M172)</f>
        <v>13.366666669026017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https://search-rtdc-monitor-bjffxe2xuh6vdkpspy63sjmuny.us-east-1.es.amazonaws.com/_plugin/kibana/#/discover/Steve-Slow-Train-Analysis-(2080s-and-2083s)?_g=(refreshInterval:(display:Off,section:0,value:0),time:(from:'2016-12-01 06:39:04-700',mode:absolute,to:'2016-12-01 09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2" s="52" t="str">
        <f>IF(AA172&lt;IF(AG172="EC",23,5.65),"Y","N")</f>
        <v>N</v>
      </c>
      <c r="X172" s="177">
        <f t="shared" si="12"/>
        <v>1</v>
      </c>
      <c r="Y172" s="67">
        <f>RIGHT(D172,LEN(D172)-4)/10000</f>
        <v>0.10249999999999999</v>
      </c>
      <c r="Z172" s="67">
        <f>RIGHT(H172,LEN(H172)-4)/10000</f>
        <v>5.8960999999999997</v>
      </c>
      <c r="AA172" s="67">
        <f>ABS(Z172-Y172)</f>
        <v>5.7935999999999996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>IF(LEN(A172)=6,"0"&amp;A172,A172)</f>
        <v>0809-01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/stypes="app*4044*20161201*" /stext=" 15:.+((SYSTEM_STATE.+slice.+state.+changed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10"/>
        <v>"%USERPROFILE%\Documents\GitHub\eaglep3\Utilities\RefineRTDCRunTimes.py" --tripid 809-01 --locoid 4044 --swversion DE.1.0.8.0 --startMP 204:1025 --initTime 2016-12-01T07:39:04 --startdatetime 2016-12-01T07:51:39 --delay 1 --endMP 300:58961 --enddatetime 2016-12-01T08:05:01 --enforcementcount 1 &gt;&gt;C:\Users\stu\Documents\GitHub\eaglep3-reporting\EC\2016-12-01-refined-times.txt</v>
      </c>
      <c r="AI172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{"issue":{"subject":"","project_id":79,"tracker_id":40,"status_id":1,"priority_id":2,"assigned_to_id":23,"start_date":"2016-12-01","description":"","custom_fields":[{"id":1,"name":"Subdivision","value":"NW"},{"id":4,"name":"Milepost","value":"5.8961"},{"id":17,"name":"Train ID","value":"809-01"},{"id":16,"name":"Locomotive ID","value":"4044"},{"id":130,"name":"Impact","value":""},{"id":150,"name":"Time of Event (Mountain Time)","value":"08:05:01"},{"id":151,"name":"Denver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511</v>
      </c>
      <c r="B173" s="7">
        <v>4043</v>
      </c>
      <c r="C173" s="22" t="s">
        <v>210</v>
      </c>
      <c r="D173" s="22" t="s">
        <v>795</v>
      </c>
      <c r="E173" s="13">
        <v>42705.337789351855</v>
      </c>
      <c r="F173" s="13">
        <v>42705.339085648149</v>
      </c>
      <c r="G173" s="7">
        <v>1</v>
      </c>
      <c r="H173" s="22" t="s">
        <v>796</v>
      </c>
      <c r="I173" s="13">
        <v>42705.351273148146</v>
      </c>
      <c r="J173" s="7">
        <v>1</v>
      </c>
      <c r="K173" s="109" t="str">
        <f>IF(ISEVEN(B173),(B173-1)&amp;"/"&amp;B173,B173&amp;"/"&amp;(B173+1))</f>
        <v>4043/4044</v>
      </c>
      <c r="L173" s="22" t="str">
        <f>VLOOKUP(A173,'Trips&amp;Operators'!$C$1:$G$99999,5,FALSE)</f>
        <v>BEAM ROSS</v>
      </c>
      <c r="M173" s="6">
        <f>I173-F173</f>
        <v>1.2187499996798579E-2</v>
      </c>
      <c r="N173" s="7">
        <f>24*60*SUM($M173:$M173)</f>
        <v>17.549999995389953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https://search-rtdc-monitor-bjffxe2xuh6vdkpspy63sjmuny.us-east-1.es.amazonaws.com/_plugin/kibana/#/discover/Steve-Slow-Train-Analysis-(2080s-and-2083s)?_g=(refreshInterval:(display:Off,section:0,value:0),time:(from:'2016-12-01 07:06:25-700',mode:absolute,to:'2016-12-01 09:25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3" s="52" t="str">
        <f>IF(AA173&lt;IF(AG173="EC",23,5.65),"Y","N")</f>
        <v>N</v>
      </c>
      <c r="X173" s="177">
        <f t="shared" si="12"/>
        <v>1</v>
      </c>
      <c r="Y173" s="67">
        <f>RIGHT(D173,LEN(D173)-4)/10000</f>
        <v>5.8634000000000004</v>
      </c>
      <c r="Z173" s="67">
        <f>RIGHT(H173,LEN(H173)-4)/10000</f>
        <v>7.6399999999999996E-2</v>
      </c>
      <c r="AA173" s="67">
        <f>ABS(Z173-Y173)</f>
        <v>5.7870000000000008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>IF(LEN(A173)=6,"0"&amp;A173,A173)</f>
        <v>0810-01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/stypes="app*4043*20161201*" /stext=" 15:.+((SYSTEM_STATE.+slice.+state.+changed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10"/>
        <v>"%USERPROFILE%\Documents\GitHub\eaglep3\Utilities\RefineRTDCRunTimes.py" --tripid 810-01 --locoid 4043 --swversion DE.1.0.8.0 --startMP 300:58634 --initTime 2016-12-01T08:06:25 --startdatetime 2016-12-01T08:08:17 --delay 1 --endMP 204:764 --enddatetime 2016-12-01T08:25:50 --enforcementcount 1 &gt;&gt;C:\Users\stu\Documents\GitHub\eaglep3-reporting\EC\2016-12-01-refined-times.txt</v>
      </c>
      <c r="AI173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{"issue":{"subject":"","project_id":79,"tracker_id":40,"status_id":1,"priority_id":2,"assigned_to_id":23,"start_date":"2016-12-01","description":"","custom_fields":[{"id":1,"name":"Subdivision","value":"NW"},{"id":4,"name":"Milepost","value":"0.0764"},{"id":17,"name":"Train ID","value":"810-01"},{"id":16,"name":"Locomotive ID","value":"4043"},{"id":130,"name":"Impact","value":""},{"id":150,"name":"Time of Event (Mountain Time)","value":"08:25:50"},{"id":151,"name":"Denver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509</v>
      </c>
      <c r="B174" s="7">
        <v>4003</v>
      </c>
      <c r="C174" s="22" t="s">
        <v>210</v>
      </c>
      <c r="D174" s="22" t="s">
        <v>322</v>
      </c>
      <c r="E174" s="13">
        <v>42705.342800925922</v>
      </c>
      <c r="F174" s="13">
        <v>42705.348090277781</v>
      </c>
      <c r="G174" s="7">
        <v>2</v>
      </c>
      <c r="H174" s="22" t="s">
        <v>797</v>
      </c>
      <c r="I174" s="13">
        <v>42705.357638888891</v>
      </c>
      <c r="J174" s="7">
        <v>1</v>
      </c>
      <c r="K174" s="109" t="str">
        <f>IF(ISEVEN(B174),(B174-1)&amp;"/"&amp;B174,B174&amp;"/"&amp;(B174+1))</f>
        <v>4003/4004</v>
      </c>
      <c r="L174" s="22" t="str">
        <f>VLOOKUP(A174,'Trips&amp;Operators'!$C$1:$G$99999,5,FALSE)</f>
        <v>ISHMAEL JOSEPH</v>
      </c>
      <c r="M174" s="6">
        <f>I174-F174</f>
        <v>9.5486111094942316E-3</v>
      </c>
      <c r="N174" s="7">
        <f>24*60*SUM($M174:$M174)</f>
        <v>13.749999997671694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https://search-rtdc-monitor-bjffxe2xuh6vdkpspy63sjmuny.us-east-1.es.amazonaws.com/_plugin/kibana/#/discover/Steve-Slow-Train-Analysis-(2080s-and-2083s)?_g=(refreshInterval:(display:Off,section:0,value:0),time:(from:'2016-12-01 07:13:38-700',mode:absolute,to:'2016-12-01 09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4" s="52" t="str">
        <f>IF(AA174&lt;IF(AG174="EC",23,5.65),"Y","N")</f>
        <v>N</v>
      </c>
      <c r="X174" s="177">
        <f t="shared" si="12"/>
        <v>1</v>
      </c>
      <c r="Y174" s="67">
        <f>RIGHT(D174,LEN(D174)-4)/10000</f>
        <v>9.7799999999999998E-2</v>
      </c>
      <c r="Z174" s="67">
        <f>RIGHT(H174,LEN(H174)-4)/10000</f>
        <v>5.8940999999999999</v>
      </c>
      <c r="AA174" s="67">
        <f>ABS(Z174-Y174)</f>
        <v>5.7962999999999996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>IF(LEN(A174)=6,"0"&amp;A174,A174)</f>
        <v>0811-01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/stypes="app*4003*20161201*" /stext=" 15:.+((SYSTEM_STATE.+slice.+state.+changed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10"/>
        <v>"%USERPROFILE%\Documents\GitHub\eaglep3\Utilities\RefineRTDCRunTimes.py" --tripid 811-01 --locoid 4003 --swversion DE.1.0.8.0 --startMP 204:978 --initTime 2016-12-01T08:13:38 --startdatetime 2016-12-01T08:21:15 --delay 2 --endMP 300:58941 --enddatetime 2016-12-01T08:35:00 --enforcementcount 1 &gt;&gt;C:\Users\stu\Documents\GitHub\eaglep3-reporting\EC\2016-12-01-refined-times.txt</v>
      </c>
      <c r="AI174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{"issue":{"subject":"","project_id":79,"tracker_id":40,"status_id":1,"priority_id":2,"assigned_to_id":23,"start_date":"2016-12-01","description":"","custom_fields":[{"id":1,"name":"Subdivision","value":"NW"},{"id":4,"name":"Milepost","value":"5.8941"},{"id":17,"name":"Train ID","value":"811-01"},{"id":16,"name":"Locomotive ID","value":"4003"},{"id":130,"name":"Impact","value":""},{"id":150,"name":"Time of Event (Mountain Time)","value":"08:35:00"},{"id":151,"name":"Denver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416</v>
      </c>
      <c r="B175" s="7">
        <v>4004</v>
      </c>
      <c r="C175" s="22" t="s">
        <v>210</v>
      </c>
      <c r="D175" s="22" t="s">
        <v>798</v>
      </c>
      <c r="E175" s="13">
        <v>42705.358622685184</v>
      </c>
      <c r="F175" s="13">
        <v>42705.360069444447</v>
      </c>
      <c r="G175" s="7">
        <v>1</v>
      </c>
      <c r="H175" s="22" t="s">
        <v>799</v>
      </c>
      <c r="I175" s="13">
        <v>42705.372314814813</v>
      </c>
      <c r="J175" s="7">
        <v>1</v>
      </c>
      <c r="K175" s="109" t="str">
        <f>IF(ISEVEN(B175),(B175-1)&amp;"/"&amp;B175,B175&amp;"/"&amp;(B175+1))</f>
        <v>4003/4004</v>
      </c>
      <c r="L175" s="22" t="str">
        <f>VLOOKUP(A175,'Trips&amp;Operators'!$C$1:$G$99999,5,FALSE)</f>
        <v>SANTIZO D. EDY</v>
      </c>
      <c r="M175" s="6">
        <f>I175-F175</f>
        <v>1.2245370366144925E-2</v>
      </c>
      <c r="N175" s="7">
        <f>24*60*SUM($M175:$M175)</f>
        <v>17.633333327248693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https://search-rtdc-monitor-bjffxe2xuh6vdkpspy63sjmuny.us-east-1.es.amazonaws.com/_plugin/kibana/#/discover/Steve-Slow-Train-Analysis-(2080s-and-2083s)?_g=(refreshInterval:(display:Off,section:0,value:0),time:(from:'2016-12-01 07:36:25-700',mode:absolute,to:'2016-12-01 09:56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2" t="str">
        <f>IF(AA175&lt;IF(AG175="EC",23,5.65),"Y","N")</f>
        <v>N</v>
      </c>
      <c r="X175" s="177">
        <f t="shared" si="12"/>
        <v>1</v>
      </c>
      <c r="Y175" s="67">
        <f>RIGHT(D175,LEN(D175)-4)/10000</f>
        <v>5.8625999999999996</v>
      </c>
      <c r="Z175" s="67">
        <f>RIGHT(H175,LEN(H175)-4)/10000</f>
        <v>7.3999999999999996E-2</v>
      </c>
      <c r="AA175" s="67">
        <f>ABS(Z175-Y175)</f>
        <v>5.7885999999999997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>IF(LEN(A175)=6,"0"&amp;A175,A175)</f>
        <v>0812-01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/stypes="app*4004*20161201*" /stext=" 15:.+((SYSTEM_STATE.+slice.+state.+changed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10"/>
        <v>"%USERPROFILE%\Documents\GitHub\eaglep3\Utilities\RefineRTDCRunTimes.py" --tripid 812-01 --locoid 4004 --swversion DE.1.0.8.0 --startMP 300:58626 --initTime 2016-12-01T08:36:25 --startdatetime 2016-12-01T08:38:30 --delay 1 --endMP 204:740 --enddatetime 2016-12-01T08:56:08 --enforcementcount 1 &gt;&gt;C:\Users\stu\Documents\GitHub\eaglep3-reporting\EC\2016-12-01-refined-times.txt</v>
      </c>
      <c r="AI175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{"issue":{"subject":"","project_id":79,"tracker_id":40,"status_id":1,"priority_id":2,"assigned_to_id":23,"start_date":"2016-12-01","description":"","custom_fields":[{"id":1,"name":"Subdivision","value":"NW"},{"id":4,"name":"Milepost","value":"0.074"},{"id":17,"name":"Train ID","value":"812-01"},{"id":16,"name":"Locomotive ID","value":"4004"},{"id":130,"name":"Impact","value":""},{"id":150,"name":"Time of Event (Mountain Time)","value":"08:56:08"},{"id":151,"name":"Denver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522</v>
      </c>
      <c r="B176" s="7">
        <v>4003</v>
      </c>
      <c r="C176" s="22" t="s">
        <v>210</v>
      </c>
      <c r="D176" s="22" t="s">
        <v>781</v>
      </c>
      <c r="E176" s="13">
        <v>42705.384525462963</v>
      </c>
      <c r="F176" s="13">
        <v>42705.389814814815</v>
      </c>
      <c r="G176" s="7">
        <v>3</v>
      </c>
      <c r="H176" s="22" t="s">
        <v>789</v>
      </c>
      <c r="I176" s="13">
        <v>42705.398958333331</v>
      </c>
      <c r="J176" s="7">
        <v>1</v>
      </c>
      <c r="K176" s="109" t="str">
        <f>IF(ISEVEN(B176),(B176-1)&amp;"/"&amp;B176,B176&amp;"/"&amp;(B176+1))</f>
        <v>4003/4004</v>
      </c>
      <c r="L176" s="22" t="str">
        <f>VLOOKUP(A176,'Trips&amp;Operators'!$C$1:$G$99999,5,FALSE)</f>
        <v>ISHMAEL JOSEPH</v>
      </c>
      <c r="M176" s="6">
        <f>I176-F176</f>
        <v>9.1435185167938471E-3</v>
      </c>
      <c r="N176" s="7">
        <f>24*60*SUM($M176:$M176)</f>
        <v>13.16666666418314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https://search-rtdc-monitor-bjffxe2xuh6vdkpspy63sjmuny.us-east-1.es.amazonaws.com/_plugin/kibana/#/discover/Steve-Slow-Train-Analysis-(2080s-and-2083s)?_g=(refreshInterval:(display:Off,section:0,value:0),time:(from:'2016-12-01 08:13:43-700',mode:absolute,to:'2016-12-01 10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2" t="str">
        <f>IF(AA176&lt;IF(AG176="EC",23,5.65),"Y","N")</f>
        <v>N</v>
      </c>
      <c r="X176" s="177">
        <f>VALUE(LEFT(AD176,4))-VALUE(LEFT(AD175,4))</f>
        <v>1</v>
      </c>
      <c r="Y176" s="67">
        <f>RIGHT(D176,LEN(D176)-4)/10000</f>
        <v>0.10199999999999999</v>
      </c>
      <c r="Z176" s="67">
        <f>RIGHT(H176,LEN(H176)-4)/10000</f>
        <v>5.8925999999999998</v>
      </c>
      <c r="AA176" s="67">
        <f>ABS(Z176-Y176)</f>
        <v>5.7905999999999995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>IF(LEN(A176)=6,"0"&amp;A176,A176)</f>
        <v>0813-01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/stypes="app*4003*20161201*" /stext=" 16:.+((SYSTEM_STATE.+slice.+state.+changed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10"/>
        <v>"%USERPROFILE%\Documents\GitHub\eaglep3\Utilities\RefineRTDCRunTimes.py" --tripid 813-01 --locoid 4003 --swversion DE.1.0.8.0 --startMP 204:1020 --initTime 2016-12-01T09:13:43 --startdatetime 2016-12-01T09:21:20 --delay 3 --endMP 300:58926 --enddatetime 2016-12-01T09:34:30 --enforcementcount 1 &gt;&gt;C:\Users\stu\Documents\GitHub\eaglep3-reporting\EC\2016-12-01-refined-times.txt</v>
      </c>
      <c r="AI176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{"issue":{"subject":"","project_id":79,"tracker_id":40,"status_id":1,"priority_id":2,"assigned_to_id":23,"start_date":"2016-12-01","description":"","custom_fields":[{"id":1,"name":"Subdivision","value":"NW"},{"id":4,"name":"Milepost","value":"5.8926"},{"id":17,"name":"Train ID","value":"813-01"},{"id":16,"name":"Locomotive ID","value":"4003"},{"id":130,"name":"Impact","value":""},{"id":150,"name":"Time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s="21" customFormat="1" x14ac:dyDescent="0.25">
      <c r="A177" s="37" t="s">
        <v>419</v>
      </c>
      <c r="B177" s="7">
        <v>4004</v>
      </c>
      <c r="C177" s="22" t="s">
        <v>210</v>
      </c>
      <c r="D177" s="22" t="s">
        <v>273</v>
      </c>
      <c r="E177" s="13">
        <v>42705.399895833332</v>
      </c>
      <c r="F177" s="13">
        <v>42705.401412037034</v>
      </c>
      <c r="G177" s="7">
        <v>1</v>
      </c>
      <c r="H177" s="22" t="s">
        <v>348</v>
      </c>
      <c r="I177" s="13">
        <v>42705.414236111108</v>
      </c>
      <c r="J177" s="7">
        <v>1</v>
      </c>
      <c r="K177" s="109" t="str">
        <f>IF(ISEVEN(B177),(B177-1)&amp;"/"&amp;B177,B177&amp;"/"&amp;(B177+1))</f>
        <v>4003/4004</v>
      </c>
      <c r="L177" s="22" t="str">
        <f>VLOOKUP(A177,'Trips&amp;Operators'!$C$1:$G$99999,5,FALSE)</f>
        <v>ISHMAEL JOSEPH</v>
      </c>
      <c r="M177" s="6">
        <f>I177-F177</f>
        <v>1.2824074074160308E-2</v>
      </c>
      <c r="N177" s="7">
        <f>24*60*SUM($M177:$M177)</f>
        <v>18.466666666790843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https://search-rtdc-monitor-bjffxe2xuh6vdkpspy63sjmuny.us-east-1.es.amazonaws.com/_plugin/kibana/#/discover/Steve-Slow-Train-Analysis-(2080s-and-2083s)?_g=(refreshInterval:(display:Off,section:0,value:0),time:(from:'2016-12-01 08:35:51-700',mode:absolute,to:'2016-12-01 10:56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2" t="str">
        <f>IF(AA177&lt;IF(AG177="EC",23,5.65),"Y","N")</f>
        <v>N</v>
      </c>
      <c r="X177" s="177">
        <f>VALUE(LEFT(AD177,4))-VALUE(LEFT(AD176,4))</f>
        <v>1</v>
      </c>
      <c r="Y177" s="67">
        <f>RIGHT(D177,LEN(D177)-4)/10000</f>
        <v>5.8611000000000004</v>
      </c>
      <c r="Z177" s="67">
        <f>RIGHT(H177,LEN(H177)-4)/10000</f>
        <v>6.9199999999999998E-2</v>
      </c>
      <c r="AA177" s="67">
        <f>ABS(Z177-Y177)</f>
        <v>5.7919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>IF(LEN(A177)=6,"0"&amp;A177,A177)</f>
        <v>0814-01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/stypes="app*4004*20161201*" /stext=" 16:.+((SYSTEM_STATE.+slice.+state.+changed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10"/>
        <v>"%USERPROFILE%\Documents\GitHub\eaglep3\Utilities\RefineRTDCRunTimes.py" --tripid 814-01 --locoid 4004 --swversion DE.1.0.8.0 --startMP 300:58611 --initTime 2016-12-01T09:35:51 --startdatetime 2016-12-01T09:38:02 --delay 1 --endMP 204:692 --enddatetime 2016-12-01T09:56:30 --enforcementcount 1 &gt;&gt;C:\Users\stu\Documents\GitHub\eaglep3-reporting\EC\2016-12-01-refined-times.txt</v>
      </c>
      <c r="AI177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{"issue":{"subject":"","project_id":79,"tracker_id":40,"status_id":1,"priority_id":2,"assigned_to_id":23,"start_date":"2016-12-01","description":"","custom_fields":[{"id":1,"name":"Subdivision","value":"NW"},{"id":4,"name":"Milepost","value":"0.0692"},{"id":17,"name":"Train ID","value":"814-01"},{"id":16,"name":"Locomotive ID","value":"4004"},{"id":130,"name":"Impact","value":""},{"id":150,"name":"Time of Event (Mountain Time)","value":"09:56:30"},{"id":151,"name":"Denver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422</v>
      </c>
      <c r="B178" s="7">
        <v>4003</v>
      </c>
      <c r="C178" s="22" t="s">
        <v>210</v>
      </c>
      <c r="D178" s="22" t="s">
        <v>322</v>
      </c>
      <c r="E178" s="13">
        <v>42705.415856481479</v>
      </c>
      <c r="F178" s="13">
        <v>42705.431446759256</v>
      </c>
      <c r="G178" s="7">
        <v>19</v>
      </c>
      <c r="H178" s="22" t="s">
        <v>789</v>
      </c>
      <c r="I178" s="13">
        <v>42705.446296296293</v>
      </c>
      <c r="J178" s="7">
        <v>1</v>
      </c>
      <c r="K178" s="109" t="str">
        <f>IF(ISEVEN(B178),(B178-1)&amp;"/"&amp;B178,B178&amp;"/"&amp;(B178+1))</f>
        <v>4003/4004</v>
      </c>
      <c r="L178" s="22" t="str">
        <f>VLOOKUP(A178,'Trips&amp;Operators'!$C$1:$G$99999,5,FALSE)</f>
        <v>ISHMAEL JOSEPH</v>
      </c>
      <c r="M178" s="6">
        <f>I178-F178</f>
        <v>1.484953703766223E-2</v>
      </c>
      <c r="N178" s="7">
        <f>24*60*SUM($M178:$M178)</f>
        <v>21.383333334233612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https://search-rtdc-monitor-bjffxe2xuh6vdkpspy63sjmuny.us-east-1.es.amazonaws.com/_plugin/kibana/#/discover/Steve-Slow-Train-Analysis-(2080s-and-2083s)?_g=(refreshInterval:(display:Off,section:0,value:0),time:(from:'2016-12-01 08:58:50-700',mode:absolute,to:'2016-12-01 11:42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2" t="str">
        <f>IF(AA178&lt;IF(AG178="EC",23,5.65),"Y","N")</f>
        <v>N</v>
      </c>
      <c r="X178" s="177">
        <f>VALUE(LEFT(AD178,4))-VALUE(LEFT(AD177,4))</f>
        <v>1</v>
      </c>
      <c r="Y178" s="67">
        <f>RIGHT(D178,LEN(D178)-4)/10000</f>
        <v>9.7799999999999998E-2</v>
      </c>
      <c r="Z178" s="67">
        <f>RIGHT(H178,LEN(H178)-4)/10000</f>
        <v>5.8925999999999998</v>
      </c>
      <c r="AA178" s="67">
        <f>ABS(Z178-Y178)</f>
        <v>5.7947999999999995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>IF(LEN(A178)=6,"0"&amp;A178,A178)</f>
        <v>0815-01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/stypes="app*4003*20161201*" /stext=" 17:.+((SYSTEM_STATE.+slice.+state.+changed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10"/>
        <v>"%USERPROFILE%\Documents\GitHub\eaglep3\Utilities\RefineRTDCRunTimes.py" --tripid 815-01 --locoid 4003 --swversion DE.1.0.8.0 --startMP 204:978 --initTime 2016-12-01T09:58:50 --startdatetime 2016-12-01T10:21:17 --delay 19 --endMP 300:58926 --enddatetime 2016-12-01T10:42:40 --enforcementcount 1 &gt;&gt;C:\Users\stu\Documents\GitHub\eaglep3-reporting\EC\2016-12-01-refined-times.txt</v>
      </c>
      <c r="AI178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{"issue":{"subject":"","project_id":79,"tracker_id":40,"status_id":1,"priority_id":2,"assigned_to_id":23,"start_date":"2016-12-01","description":"","custom_fields":[{"id":1,"name":"Subdivision","value":"NW"},{"id":4,"name":"Milepost","value":"5.8926"},{"id":17,"name":"Train ID","value":"815-01"},{"id":16,"name":"Locomotive ID","value":"4003"},{"id":130,"name":"Impact","value":""},{"id":150,"name":"Time of Event (Mountain Time)","value":"10:42:40"},{"id":151,"name":"Denver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423</v>
      </c>
      <c r="B179" s="7">
        <v>4004</v>
      </c>
      <c r="C179" s="22" t="s">
        <v>210</v>
      </c>
      <c r="D179" s="22" t="s">
        <v>790</v>
      </c>
      <c r="E179" s="13">
        <v>42705.44703703704</v>
      </c>
      <c r="F179" s="13">
        <v>42705.448425925926</v>
      </c>
      <c r="G179" s="7">
        <v>1</v>
      </c>
      <c r="H179" s="22" t="s">
        <v>800</v>
      </c>
      <c r="I179" s="13">
        <v>42705.458657407406</v>
      </c>
      <c r="J179" s="7">
        <v>1</v>
      </c>
      <c r="K179" s="109" t="str">
        <f>IF(ISEVEN(B179),(B179-1)&amp;"/"&amp;B179,B179&amp;"/"&amp;(B179+1))</f>
        <v>4003/4004</v>
      </c>
      <c r="L179" s="22" t="str">
        <f>VLOOKUP(A179,'Trips&amp;Operators'!$C$1:$G$99999,5,FALSE)</f>
        <v>ISHMAEL JOSEPH</v>
      </c>
      <c r="M179" s="6">
        <f>I179-F179</f>
        <v>1.0231481479422655E-2</v>
      </c>
      <c r="N179" s="7">
        <f>24*60*SUM($M179:$M179)</f>
        <v>14.733333330368623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https://search-rtdc-monitor-bjffxe2xuh6vdkpspy63sjmuny.us-east-1.es.amazonaws.com/_plugin/kibana/#/discover/Steve-Slow-Train-Analysis-(2080s-and-2083s)?_g=(refreshInterval:(display:Off,section:0,value:0),time:(from:'2016-12-01 09:43:44-700',mode:absolute,to:'2016-12-01 12:00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2" t="str">
        <f>IF(AA179&lt;IF(AG179="EC",23,5.65),"Y","N")</f>
        <v>N</v>
      </c>
      <c r="X179" s="177">
        <f>VALUE(LEFT(AD179,4))-VALUE(LEFT(AD178,4))</f>
        <v>1</v>
      </c>
      <c r="Y179" s="67">
        <f>RIGHT(D179,LEN(D179)-4)/10000</f>
        <v>5.8616999999999999</v>
      </c>
      <c r="Z179" s="67">
        <f>RIGHT(H179,LEN(H179)-4)/10000</f>
        <v>6.8199999999999997E-2</v>
      </c>
      <c r="AA179" s="67">
        <f>ABS(Z179-Y179)</f>
        <v>5.7934999999999999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>IF(LEN(A179)=6,"0"&amp;A179,A179)</f>
        <v>0816-01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/stypes="app*4004*20161201*" /stext=" 18:.+((SYSTEM_STATE.+slice.+state.+changed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10"/>
        <v>"%USERPROFILE%\Documents\GitHub\eaglep3\Utilities\RefineRTDCRunTimes.py" --tripid 816-01 --locoid 4004 --swversion DE.1.0.8.0 --startMP 300:58617 --initTime 2016-12-01T10:43:44 --startdatetime 2016-12-01T10:45:44 --delay 1 --endMP 204:682 --enddatetime 2016-12-01T11:00:28 --enforcementcount 1 &gt;&gt;C:\Users\stu\Documents\GitHub\eaglep3-reporting\EC\2016-12-01-refined-times.txt</v>
      </c>
      <c r="AI179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{"issue":{"subject":"","project_id":79,"tracker_id":40,"status_id":1,"priority_id":2,"assigned_to_id":23,"start_date":"2016-12-01","description":"","custom_fields":[{"id":1,"name":"Subdivision","value":"NW"},{"id":4,"name":"Milepost","value":"0.0682"},{"id":17,"name":"Train ID","value":"816-01"},{"id":16,"name":"Locomotive ID","value":"4004"},{"id":130,"name":"Impact","value":""},{"id":150,"name":"Time of Event (Mountain Time)","value":"11:00:28"},{"id":151,"name":"Denver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539</v>
      </c>
      <c r="B180" s="7">
        <v>4003</v>
      </c>
      <c r="C180" s="22" t="s">
        <v>210</v>
      </c>
      <c r="D180" s="22" t="s">
        <v>346</v>
      </c>
      <c r="E180" s="13">
        <v>42705.460393518515</v>
      </c>
      <c r="F180" s="13">
        <v>42705.473113425927</v>
      </c>
      <c r="G180" s="7">
        <v>14</v>
      </c>
      <c r="H180" s="22" t="s">
        <v>323</v>
      </c>
      <c r="I180" s="13">
        <v>42705.483807870369</v>
      </c>
      <c r="J180" s="7">
        <v>1</v>
      </c>
      <c r="K180" s="109" t="str">
        <f>IF(ISEVEN(B180),(B180-1)&amp;"/"&amp;B180,B180&amp;"/"&amp;(B180+1))</f>
        <v>4003/4004</v>
      </c>
      <c r="L180" s="22" t="str">
        <f>VLOOKUP(A180,'Trips&amp;Operators'!$C$1:$G$99999,5,FALSE)</f>
        <v>ISHMAEL JOSEPH</v>
      </c>
      <c r="M180" s="6">
        <f>I180-F180</f>
        <v>1.0694444441469386E-2</v>
      </c>
      <c r="N180" s="7">
        <f>24*60*SUM($M180:$M180)</f>
        <v>15.399999995715916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https://search-rtdc-monitor-bjffxe2xuh6vdkpspy63sjmuny.us-east-1.es.amazonaws.com/_plugin/kibana/#/discover/Steve-Slow-Train-Analysis-(2080s-and-2083s)?_g=(refreshInterval:(display:Off,section:0,value:0),time:(from:'2016-12-01 10:02:58-700',mode:absolute,to:'2016-12-01 12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2" t="str">
        <f>IF(AA180&lt;IF(AG180="EC",23,5.65),"Y","N")</f>
        <v>N</v>
      </c>
      <c r="X180" s="177">
        <f>VALUE(LEFT(AD180,4))-VALUE(LEFT(AD179,4))</f>
        <v>1</v>
      </c>
      <c r="Y180" s="67">
        <f>RIGHT(D180,LEN(D180)-4)/10000</f>
        <v>9.7600000000000006E-2</v>
      </c>
      <c r="Z180" s="67">
        <f>RIGHT(H180,LEN(H180)-4)/10000</f>
        <v>5.8935000000000004</v>
      </c>
      <c r="AA180" s="67">
        <f>ABS(Z180-Y180)</f>
        <v>5.7959000000000005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>IF(LEN(A180)=6,"0"&amp;A180,A180)</f>
        <v>0817-01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/stypes="app*4003*20161201*" /stext=" 18:.+((SYSTEM_STATE.+slice.+state.+changed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10"/>
        <v>"%USERPROFILE%\Documents\GitHub\eaglep3\Utilities\RefineRTDCRunTimes.py" --tripid 817-01 --locoid 4003 --swversion DE.1.0.8.0 --startMP 204:976 --initTime 2016-12-01T11:02:58 --startdatetime 2016-12-01T11:21:17 --delay 14 --endMP 300:58935 --enddatetime 2016-12-01T11:36:41 --enforcementcount 1 &gt;&gt;C:\Users\stu\Documents\GitHub\eaglep3-reporting\EC\2016-12-01-refined-times.txt</v>
      </c>
      <c r="AI180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{"issue":{"subject":"","project_id":79,"tracker_id":40,"status_id":1,"priority_id":2,"assigned_to_id":23,"start_date":"2016-12-01","description":"","custom_fields":[{"id":1,"name":"Subdivision","value":"NW"},{"id":4,"name":"Milepost","value":"5.8935"},{"id":17,"name":"Train ID","value":"817-01"},{"id":16,"name":"Locomotive ID","value":"4003"},{"id":130,"name":"Impact","value":""},{"id":150,"name":"Time of Event (Mountain Time)","value":"11:36:41"},{"id":151,"name":"Denver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427</v>
      </c>
      <c r="B181" s="7">
        <v>4004</v>
      </c>
      <c r="C181" s="22" t="s">
        <v>210</v>
      </c>
      <c r="D181" s="22" t="s">
        <v>801</v>
      </c>
      <c r="E181" s="13">
        <v>42705.485023148147</v>
      </c>
      <c r="F181" s="13">
        <v>42705.486481481479</v>
      </c>
      <c r="G181" s="7">
        <v>1</v>
      </c>
      <c r="H181" s="22" t="s">
        <v>802</v>
      </c>
      <c r="I181" s="13">
        <v>42705.498506944445</v>
      </c>
      <c r="J181" s="7">
        <v>1</v>
      </c>
      <c r="K181" s="109" t="str">
        <f>IF(ISEVEN(B181),(B181-1)&amp;"/"&amp;B181,B181&amp;"/"&amp;(B181+1))</f>
        <v>4003/4004</v>
      </c>
      <c r="L181" s="22" t="str">
        <f>VLOOKUP(A181,'Trips&amp;Operators'!$C$1:$G$99999,5,FALSE)</f>
        <v>ISHMAEL JOSEPH</v>
      </c>
      <c r="M181" s="6">
        <f>I181-F181</f>
        <v>1.2025462965539191E-2</v>
      </c>
      <c r="N181" s="7">
        <f>24*60*SUM($M181:$M181)</f>
        <v>17.316666670376435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https://search-rtdc-monitor-bjffxe2xuh6vdkpspy63sjmuny.us-east-1.es.amazonaws.com/_plugin/kibana/#/discover/Steve-Slow-Train-Analysis-(2080s-and-2083s)?_g=(refreshInterval:(display:Off,section:0,value:0),time:(from:'2016-12-01 10:38:26-700',mode:absolute,to:'2016-12-01 12:57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1" s="52" t="str">
        <f>IF(AA181&lt;IF(AG181="EC",23,5.65),"Y","N")</f>
        <v>N</v>
      </c>
      <c r="X181" s="177">
        <f>VALUE(LEFT(AD181,4))-VALUE(LEFT(AD180,4))</f>
        <v>1</v>
      </c>
      <c r="Y181" s="67">
        <f>RIGHT(D181,LEN(D181)-4)/10000</f>
        <v>5.8613</v>
      </c>
      <c r="Z181" s="67">
        <f>RIGHT(H181,LEN(H181)-4)/10000</f>
        <v>6.7799999999999999E-2</v>
      </c>
      <c r="AA181" s="67">
        <f>ABS(Z181-Y181)</f>
        <v>5.7934999999999999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>IF(LEN(A181)=6,"0"&amp;A181,A181)</f>
        <v>0818-01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/stypes="app*4004*20161201*" /stext=" 18:.+((SYSTEM_STATE.+slice.+state.+changed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10"/>
        <v>"%USERPROFILE%\Documents\GitHub\eaglep3\Utilities\RefineRTDCRunTimes.py" --tripid 818-01 --locoid 4004 --swversion DE.1.0.8.0 --startMP 300:58613 --initTime 2016-12-01T11:38:26 --startdatetime 2016-12-01T11:40:32 --delay 1 --endMP 204:678 --enddatetime 2016-12-01T11:57:51 --enforcementcount 1 &gt;&gt;C:\Users\stu\Documents\GitHub\eaglep3-reporting\EC\2016-12-01-refined-times.txt</v>
      </c>
      <c r="AI181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{"issue":{"subject":"","project_id":79,"tracker_id":40,"status_id":1,"priority_id":2,"assigned_to_id":23,"start_date":"2016-12-01","description":"","custom_fields":[{"id":1,"name":"Subdivision","value":"NW"},{"id":4,"name":"Milepost","value":"0.0678"},{"id":17,"name":"Train ID","value":"818-01"},{"id":16,"name":"Locomotive ID","value":"4004"},{"id":130,"name":"Impact","value":""},{"id":150,"name":"Time of Event (Mountain Time)","value":"11:57:51"},{"id":151,"name":"Denver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7" t="s">
        <v>552</v>
      </c>
      <c r="B182" s="7">
        <v>4003</v>
      </c>
      <c r="C182" s="22" t="s">
        <v>210</v>
      </c>
      <c r="D182" s="22" t="s">
        <v>803</v>
      </c>
      <c r="E182" s="13">
        <v>42705.500011574077</v>
      </c>
      <c r="F182" s="13">
        <v>42705.514803240738</v>
      </c>
      <c r="G182" s="7">
        <v>17</v>
      </c>
      <c r="H182" s="22" t="s">
        <v>804</v>
      </c>
      <c r="I182" s="13">
        <v>42705.524872685186</v>
      </c>
      <c r="J182" s="7">
        <v>1</v>
      </c>
      <c r="K182" s="109" t="str">
        <f>IF(ISEVEN(B182),(B182-1)&amp;"/"&amp;B182,B182&amp;"/"&amp;(B182+1))</f>
        <v>4003/4004</v>
      </c>
      <c r="L182" s="22" t="str">
        <f>VLOOKUP(A182,'Trips&amp;Operators'!$C$1:$G$99999,5,FALSE)</f>
        <v>ISHMAEL JOSEPH</v>
      </c>
      <c r="M182" s="6">
        <f>I182-F182</f>
        <v>1.0069444448163267E-2</v>
      </c>
      <c r="N182" s="7">
        <f>24*60*SUM($M182:$M182)</f>
        <v>14.500000005355105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https://search-rtdc-monitor-bjffxe2xuh6vdkpspy63sjmuny.us-east-1.es.amazonaws.com/_plugin/kibana/#/discover/Steve-Slow-Train-Analysis-(2080s-and-2083s)?_g=(refreshInterval:(display:Off,section:0,value:0),time:(from:'2016-12-01 11:00:01-700',mode:absolute,to:'2016-12-01 13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2" s="52" t="str">
        <f>IF(AA182&lt;IF(AG182="EC",23,5.65),"Y","N")</f>
        <v>N</v>
      </c>
      <c r="X182" s="177">
        <f>VALUE(LEFT(AD182,4))-VALUE(LEFT(AD181,4))</f>
        <v>1</v>
      </c>
      <c r="Y182" s="67">
        <f>RIGHT(D182,LEN(D182)-4)/10000</f>
        <v>9.74E-2</v>
      </c>
      <c r="Z182" s="67">
        <f>RIGHT(H182,LEN(H182)-4)/10000</f>
        <v>5.8924000000000003</v>
      </c>
      <c r="AA182" s="67">
        <f>ABS(Z182-Y182)</f>
        <v>5.7949999999999999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>IF(LEN(A182)=6,"0"&amp;A182,A182)</f>
        <v>0819-01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/stypes="app*4003*20161201*" /stext=" 19:.+((SYSTEM_STATE.+slice.+state.+changed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10"/>
        <v>"%USERPROFILE%\Documents\GitHub\eaglep3\Utilities\RefineRTDCRunTimes.py" --tripid 819-01 --locoid 4003 --swversion DE.1.0.8.0 --startMP 204:974 --initTime 2016-12-01T12:00:01 --startdatetime 2016-12-01T12:21:19 --delay 17 --endMP 300:58924 --enddatetime 2016-12-01T12:35:49 --enforcementcount 1 &gt;&gt;C:\Users\stu\Documents\GitHub\eaglep3-reporting\EC\2016-12-01-refined-times.txt</v>
      </c>
      <c r="AI182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{"issue":{"subject":"","project_id":79,"tracker_id":40,"status_id":1,"priority_id":2,"assigned_to_id":23,"start_date":"2016-12-01","description":"","custom_fields":[{"id":1,"name":"Subdivision","value":"NW"},{"id":4,"name":"Milepost","value":"5.8924"},{"id":17,"name":"Train ID","value":"819-01"},{"id":16,"name":"Locomotive ID","value":"4003"},{"id":130,"name":"Impact","value":""},{"id":150,"name":"Time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429</v>
      </c>
      <c r="B183" s="7">
        <v>4004</v>
      </c>
      <c r="C183" s="22" t="s">
        <v>210</v>
      </c>
      <c r="D183" s="22" t="s">
        <v>805</v>
      </c>
      <c r="E183" s="13">
        <v>42705.525833333333</v>
      </c>
      <c r="F183" s="13">
        <v>42705.526979166665</v>
      </c>
      <c r="G183" s="7">
        <v>1</v>
      </c>
      <c r="H183" s="22" t="s">
        <v>806</v>
      </c>
      <c r="I183" s="13">
        <v>42705.541585648149</v>
      </c>
      <c r="J183" s="7">
        <v>1</v>
      </c>
      <c r="K183" s="109" t="str">
        <f>IF(ISEVEN(B183),(B183-1)&amp;"/"&amp;B183,B183&amp;"/"&amp;(B183+1))</f>
        <v>4003/4004</v>
      </c>
      <c r="L183" s="22" t="str">
        <f>VLOOKUP(A183,'Trips&amp;Operators'!$C$1:$G$99999,5,FALSE)</f>
        <v>ISHMAEL JOSEPH</v>
      </c>
      <c r="M183" s="6">
        <f>I183-F183</f>
        <v>1.4606481483497191E-2</v>
      </c>
      <c r="N183" s="7">
        <f>24*60*SUM($M183:$M183)</f>
        <v>21.033333336235955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https://search-rtdc-monitor-bjffxe2xuh6vdkpspy63sjmuny.us-east-1.es.amazonaws.com/_plugin/kibana/#/discover/Steve-Slow-Train-Analysis-(2080s-and-2083s)?_g=(refreshInterval:(display:Off,section:0,value:0),time:(from:'2016-12-01 11:37:12-700',mode:absolute,to:'2016-12-01 13:59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3" s="52" t="str">
        <f>IF(AA183&lt;IF(AG183="EC",23,5.65),"Y","N")</f>
        <v>N</v>
      </c>
      <c r="X183" s="177">
        <f>VALUE(LEFT(AD183,4))-VALUE(LEFT(AD182,4))</f>
        <v>1</v>
      </c>
      <c r="Y183" s="67">
        <f>RIGHT(D183,LEN(D183)-4)/10000</f>
        <v>5.8615000000000004</v>
      </c>
      <c r="Z183" s="67">
        <f>RIGHT(H183,LEN(H183)-4)/10000</f>
        <v>6.8400000000000002E-2</v>
      </c>
      <c r="AA183" s="67">
        <f>ABS(Z183-Y183)</f>
        <v>5.7931000000000008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>IF(LEN(A183)=6,"0"&amp;A183,A183)</f>
        <v>0820-01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/stypes="app*4004*20161201*" /stext=" 19:.+((SYSTEM_STATE.+slice.+state.+changed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10"/>
        <v>"%USERPROFILE%\Documents\GitHub\eaglep3\Utilities\RefineRTDCRunTimes.py" --tripid 820-01 --locoid 4004 --swversion DE.1.0.8.0 --startMP 300:58615 --initTime 2016-12-01T12:37:12 --startdatetime 2016-12-01T12:38:51 --delay 1 --endMP 204:684 --enddatetime 2016-12-01T12:59:53 --enforcementcount 1 &gt;&gt;C:\Users\stu\Documents\GitHub\eaglep3-reporting\EC\2016-12-01-refined-times.txt</v>
      </c>
      <c r="AI183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{"issue":{"subject":"","project_id":79,"tracker_id":40,"status_id":1,"priority_id":2,"assigned_to_id":23,"start_date":"2016-12-01","description":"","custom_fields":[{"id":1,"name":"Subdivision","value":"NW"},{"id":4,"name":"Milepost","value":"0.0684"},{"id":17,"name":"Train ID","value":"820-01"},{"id":16,"name":"Locomotive ID","value":"4004"},{"id":130,"name":"Impact","value":""},{"id":150,"name":"Time of Event (Mountain Time)","value":"12:59:53"},{"id":151,"name":"Denver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430</v>
      </c>
      <c r="B184" s="7">
        <v>4003</v>
      </c>
      <c r="C184" s="22" t="s">
        <v>210</v>
      </c>
      <c r="D184" s="22" t="s">
        <v>325</v>
      </c>
      <c r="E184" s="13">
        <v>42705.550405092596</v>
      </c>
      <c r="F184" s="13">
        <v>42705.556446759256</v>
      </c>
      <c r="G184" s="7">
        <v>1</v>
      </c>
      <c r="H184" s="22" t="s">
        <v>323</v>
      </c>
      <c r="I184" s="13">
        <v>42705.566516203704</v>
      </c>
      <c r="J184" s="7">
        <v>1</v>
      </c>
      <c r="K184" s="109" t="str">
        <f>IF(ISEVEN(B184),(B184-1)&amp;"/"&amp;B184,B184&amp;"/"&amp;(B184+1))</f>
        <v>4003/4004</v>
      </c>
      <c r="L184" s="22" t="str">
        <f>VLOOKUP(A184,'Trips&amp;Operators'!$C$1:$G$99999,5,FALSE)</f>
        <v>DAVIDSON DAVID</v>
      </c>
      <c r="M184" s="6">
        <f>I184-F184</f>
        <v>1.0069444448163267E-2</v>
      </c>
      <c r="N184" s="7">
        <f>24*60*SUM($M184:$M184)</f>
        <v>14.500000005355105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https://search-rtdc-monitor-bjffxe2xuh6vdkpspy63sjmuny.us-east-1.es.amazonaws.com/_plugin/kibana/#/discover/Steve-Slow-Train-Analysis-(2080s-and-2083s)?_g=(refreshInterval:(display:Off,section:0,value:0),time:(from:'2016-12-01 12:12:35-700',mode:absolute,to:'2016-12-01 14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4" s="52" t="str">
        <f>IF(AA184&lt;IF(AG184="EC",23,5.65),"Y","N")</f>
        <v>N</v>
      </c>
      <c r="X184" s="177">
        <f>VALUE(LEFT(AD184,4))-VALUE(LEFT(AD183,4))</f>
        <v>1</v>
      </c>
      <c r="Y184" s="67">
        <f>RIGHT(D184,LEN(D184)-4)/10000</f>
        <v>9.7100000000000006E-2</v>
      </c>
      <c r="Z184" s="67">
        <f>RIGHT(H184,LEN(H184)-4)/10000</f>
        <v>5.8935000000000004</v>
      </c>
      <c r="AA184" s="67">
        <f>ABS(Z184-Y184)</f>
        <v>5.7964000000000002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>IF(LEN(A184)=6,"0"&amp;A184,A184)</f>
        <v>0821-01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/stypes="app*4003*20161201*" /stext=" 20:.+((SYSTEM_STATE.+slice.+state.+changed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10"/>
        <v>"%USERPROFILE%\Documents\GitHub\eaglep3\Utilities\RefineRTDCRunTimes.py" --tripid 821-01 --locoid 4003 --swversion DE.1.0.8.0 --startMP 204:971 --initTime 2016-12-01T13:12:35 --startdatetime 2016-12-01T13:21:17 --delay 1 --endMP 300:58935 --enddatetime 2016-12-01T13:35:47 --enforcementcount 1 &gt;&gt;C:\Users\stu\Documents\GitHub\eaglep3-reporting\EC\2016-12-01-refined-times.txt</v>
      </c>
      <c r="AI184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{"issue":{"subject":"","project_id":79,"tracker_id":40,"status_id":1,"priority_id":2,"assigned_to_id":23,"start_date":"2016-12-01","description":"","custom_fields":[{"id":1,"name":"Subdivision","value":"NW"},{"id":4,"name":"Milepost","value":"5.8935"},{"id":17,"name":"Train ID","value":"821-01"},{"id":16,"name":"Locomotive ID","value":"4003"},{"id":130,"name":"Impact","value":""},{"id":150,"name":"Time of Event (Mountain Time)","value":"13:35:47"},{"id":151,"name":"Denver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431</v>
      </c>
      <c r="B185" s="7">
        <v>4004</v>
      </c>
      <c r="C185" s="22" t="s">
        <v>210</v>
      </c>
      <c r="D185" s="22" t="s">
        <v>326</v>
      </c>
      <c r="E185" s="13">
        <v>42705.56821759259</v>
      </c>
      <c r="F185" s="13">
        <v>42705.56962962963</v>
      </c>
      <c r="G185" s="7">
        <v>1</v>
      </c>
      <c r="H185" s="22" t="s">
        <v>807</v>
      </c>
      <c r="I185" s="13">
        <v>42705.581944444442</v>
      </c>
      <c r="J185" s="7">
        <v>1</v>
      </c>
      <c r="K185" s="109" t="str">
        <f>IF(ISEVEN(B185),(B185-1)&amp;"/"&amp;B185,B185&amp;"/"&amp;(B185+1))</f>
        <v>4003/4004</v>
      </c>
      <c r="L185" s="22" t="str">
        <f>VLOOKUP(A185,'Trips&amp;Operators'!$C$1:$G$99999,5,FALSE)</f>
        <v>DAVIDSON DAVID</v>
      </c>
      <c r="M185" s="6">
        <f>I185-F185</f>
        <v>1.2314814812270924E-2</v>
      </c>
      <c r="N185" s="7">
        <f>24*60*SUM($M185:$M185)</f>
        <v>17.733333329670131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https://search-rtdc-monitor-bjffxe2xuh6vdkpspy63sjmuny.us-east-1.es.amazonaws.com/_plugin/kibana/#/discover/Steve-Slow-Train-Analysis-(2080s-and-2083s)?_g=(refreshInterval:(display:Off,section:0,value:0),time:(from:'2016-12-01 12:38:14-700',mode:absolute,to:'2016-12-01 14:58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5" s="52" t="str">
        <f>IF(AA185&lt;IF(AG185="EC",23,5.65),"Y","N")</f>
        <v>N</v>
      </c>
      <c r="X185" s="177">
        <f>VALUE(LEFT(AD185,4))-VALUE(LEFT(AD184,4))</f>
        <v>1</v>
      </c>
      <c r="Y185" s="67">
        <f>RIGHT(D185,LEN(D185)-4)/10000</f>
        <v>5.8623000000000003</v>
      </c>
      <c r="Z185" s="67">
        <f>RIGHT(H185,LEN(H185)-4)/10000</f>
        <v>7.5399999999999995E-2</v>
      </c>
      <c r="AA185" s="67">
        <f>ABS(Z185-Y185)</f>
        <v>5.7869000000000002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>IF(LEN(A185)=6,"0"&amp;A185,A185)</f>
        <v>0822-01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/stypes="app*4004*20161201*" /stext=" 20:.+((SYSTEM_STATE.+slice.+state.+changed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10"/>
        <v>"%USERPROFILE%\Documents\GitHub\eaglep3\Utilities\RefineRTDCRunTimes.py" --tripid 822-01 --locoid 4004 --swversion DE.1.0.8.0 --startMP 300:58623 --initTime 2016-12-01T13:38:14 --startdatetime 2016-12-01T13:40:16 --delay 1 --endMP 204:754 --enddatetime 2016-12-01T13:58:00 --enforcementcount 1 &gt;&gt;C:\Users\stu\Documents\GitHub\eaglep3-reporting\EC\2016-12-01-refined-times.txt</v>
      </c>
      <c r="AI185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{"issue":{"subject":"","project_id":79,"tracker_id":40,"status_id":1,"priority_id":2,"assigned_to_id":23,"start_date":"2016-12-01","description":"","custom_fields":[{"id":1,"name":"Subdivision","value":"NW"},{"id":4,"name":"Milepost","value":"0.0754"},{"id":17,"name":"Train ID","value":"822-01"},{"id":16,"name":"Locomotive ID","value":"4004"},{"id":130,"name":"Impact","value":""},{"id":150,"name":"Time of Event (Mountain Time)","value":"13:58:00"},{"id":151,"name":"Denver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574</v>
      </c>
      <c r="B186" s="7">
        <v>4003</v>
      </c>
      <c r="C186" s="22" t="s">
        <v>210</v>
      </c>
      <c r="D186" s="22" t="s">
        <v>794</v>
      </c>
      <c r="E186" s="13">
        <v>42705.596180555556</v>
      </c>
      <c r="F186" s="13">
        <v>42705.598113425927</v>
      </c>
      <c r="G186" s="7">
        <v>1</v>
      </c>
      <c r="H186" s="22" t="s">
        <v>782</v>
      </c>
      <c r="I186" s="13">
        <v>42705.607523148145</v>
      </c>
      <c r="J186" s="7">
        <v>1</v>
      </c>
      <c r="K186" s="109" t="str">
        <f>IF(ISEVEN(B186),(B186-1)&amp;"/"&amp;B186,B186&amp;"/"&amp;(B186+1))</f>
        <v>4003/4004</v>
      </c>
      <c r="L186" s="22" t="str">
        <f>VLOOKUP(A186,'Trips&amp;Operators'!$C$1:$G$99999,5,FALSE)</f>
        <v>DAVIDSON DAVID</v>
      </c>
      <c r="M186" s="6">
        <f>I186-F186</f>
        <v>9.4097222172422335E-3</v>
      </c>
      <c r="N186" s="7">
        <f>24*60*SUM($M186:$M186)</f>
        <v>13.549999992828816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https://search-rtdc-monitor-bjffxe2xuh6vdkpspy63sjmuny.us-east-1.es.amazonaws.com/_plugin/kibana/#/discover/Steve-Slow-Train-Analysis-(2080s-and-2083s)?_g=(refreshInterval:(display:Off,section:0,value:0),time:(from:'2016-12-01 13:18:30-700',mode:absolute,to:'2016-12-01 15:34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6" s="52" t="str">
        <f>IF(AA186&lt;IF(AG186="EC",23,5.65),"Y","N")</f>
        <v>N</v>
      </c>
      <c r="X186" s="177">
        <f>VALUE(LEFT(AD186,4))-VALUE(LEFT(AD185,4))</f>
        <v>1</v>
      </c>
      <c r="Y186" s="67">
        <f>RIGHT(D186,LEN(D186)-4)/10000</f>
        <v>0.10249999999999999</v>
      </c>
      <c r="Z186" s="67">
        <f>RIGHT(H186,LEN(H186)-4)/10000</f>
        <v>5.8928000000000003</v>
      </c>
      <c r="AA186" s="67">
        <f>ABS(Z186-Y186)</f>
        <v>5.7903000000000002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>IF(LEN(A186)=6,"0"&amp;A186,A186)</f>
        <v>0823-01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/stypes="app*4003*20161201*" /stext=" 21:.+((SYSTEM_STATE.+slice.+state.+changed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10"/>
        <v>"%USERPROFILE%\Documents\GitHub\eaglep3\Utilities\RefineRTDCRunTimes.py" --tripid 823-01 --locoid 4003 --swversion DE.1.0.8.0 --startMP 204:1025 --initTime 2016-12-01T14:18:30 --startdatetime 2016-12-01T14:21:17 --delay 1 --endMP 300:58928 --enddatetime 2016-12-01T14:34:50 --enforcementcount 1 &gt;&gt;C:\Users\stu\Documents\GitHub\eaglep3-reporting\EC\2016-12-01-refined-times.txt</v>
      </c>
      <c r="AI186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{"issue":{"subject":"","project_id":79,"tracker_id":40,"status_id":1,"priority_id":2,"assigned_to_id":23,"start_date":"2016-12-01","description":"","custom_fields":[{"id":1,"name":"Subdivision","value":"NW"},{"id":4,"name":"Milepost","value":"5.8928"},{"id":17,"name":"Train ID","value":"823-01"},{"id":16,"name":"Locomotive ID","value":"4003"},{"id":130,"name":"Impact","value":""},{"id":150,"name":"Time of Event (Mountain Time)","value":"14:34:50"},{"id":151,"name":"Denver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s="21" customFormat="1" x14ac:dyDescent="0.25">
      <c r="A187" s="37" t="s">
        <v>434</v>
      </c>
      <c r="B187" s="7">
        <v>4004</v>
      </c>
      <c r="C187" s="22" t="s">
        <v>210</v>
      </c>
      <c r="D187" s="22" t="s">
        <v>805</v>
      </c>
      <c r="E187" s="13">
        <v>42705.610891203702</v>
      </c>
      <c r="F187" s="13">
        <v>42705.612083333333</v>
      </c>
      <c r="G187" s="7">
        <v>1</v>
      </c>
      <c r="H187" s="22" t="s">
        <v>808</v>
      </c>
      <c r="I187" s="13">
        <v>42705.622812499998</v>
      </c>
      <c r="J187" s="7">
        <v>1</v>
      </c>
      <c r="K187" s="109" t="str">
        <f>IF(ISEVEN(B187),(B187-1)&amp;"/"&amp;B187,B187&amp;"/"&amp;(B187+1))</f>
        <v>4003/4004</v>
      </c>
      <c r="L187" s="22" t="str">
        <f>VLOOKUP(A187,'Trips&amp;Operators'!$C$1:$G$99999,5,FALSE)</f>
        <v>DAVIDSON DAVID</v>
      </c>
      <c r="M187" s="6">
        <f>I187-F187</f>
        <v>1.0729166664532386E-2</v>
      </c>
      <c r="N187" s="7">
        <f>24*60*SUM($M187:$M187)</f>
        <v>15.449999996926636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https://search-rtdc-monitor-bjffxe2xuh6vdkpspy63sjmuny.us-east-1.es.amazonaws.com/_plugin/kibana/#/discover/Steve-Slow-Train-Analysis-(2080s-and-2083s)?_g=(refreshInterval:(display:Off,section:0,value:0),time:(from:'2016-12-01 13:39:41-700',mode:absolute,to:'2016-12-01 15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7" s="52" t="str">
        <f>IF(AA187&lt;IF(AG187="EC",23,5.65),"Y","N")</f>
        <v>N</v>
      </c>
      <c r="X187" s="177">
        <f>VALUE(LEFT(AD187,4))-VALUE(LEFT(AD186,4))</f>
        <v>1</v>
      </c>
      <c r="Y187" s="67">
        <f>RIGHT(D187,LEN(D187)-4)/10000</f>
        <v>5.8615000000000004</v>
      </c>
      <c r="Z187" s="67">
        <f>RIGHT(H187,LEN(H187)-4)/10000</f>
        <v>7.6799999999999993E-2</v>
      </c>
      <c r="AA187" s="67">
        <f>ABS(Z187-Y187)</f>
        <v>5.7847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>IF(LEN(A187)=6,"0"&amp;A187,A187)</f>
        <v>0824-01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/stypes="app*4004*20161201*" /stext=" 21:.+((SYSTEM_STATE.+slice.+state.+changed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10"/>
        <v>"%USERPROFILE%\Documents\GitHub\eaglep3\Utilities\RefineRTDCRunTimes.py" --tripid 824-01 --locoid 4004 --swversion DE.1.0.8.0 --startMP 300:58615 --initTime 2016-12-01T14:39:41 --startdatetime 2016-12-01T14:41:24 --delay 1 --endMP 204:768 --enddatetime 2016-12-01T14:56:51 --enforcementcount 1 &gt;&gt;C:\Users\stu\Documents\GitHub\eaglep3-reporting\EC\2016-12-01-refined-times.txt</v>
      </c>
      <c r="AI187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{"issue":{"subject":"","project_id":79,"tracker_id":40,"status_id":1,"priority_id":2,"assigned_to_id":23,"start_date":"2016-12-01","description":"","custom_fields":[{"id":1,"name":"Subdivision","value":"NW"},{"id":4,"name":"Milepost","value":"0.0768"},{"id":17,"name":"Train ID","value":"824-01"},{"id":16,"name":"Locomotive ID","value":"4004"},{"id":130,"name":"Impact","value":""},{"id":150,"name":"Time of Event (Mountain Time)","value":"14:56:51"},{"id":151,"name":"Denver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438</v>
      </c>
      <c r="B188" s="7">
        <v>4003</v>
      </c>
      <c r="C188" s="22" t="s">
        <v>210</v>
      </c>
      <c r="D188" s="22" t="s">
        <v>809</v>
      </c>
      <c r="E188" s="13">
        <v>42705.625150462962</v>
      </c>
      <c r="F188" s="13">
        <v>42705.639918981484</v>
      </c>
      <c r="G188" s="7">
        <v>1</v>
      </c>
      <c r="H188" s="22" t="s">
        <v>810</v>
      </c>
      <c r="I188" s="13">
        <v>42705.649722222224</v>
      </c>
      <c r="J188" s="7">
        <v>1</v>
      </c>
      <c r="K188" s="109" t="str">
        <f>IF(ISEVEN(B188),(B188-1)&amp;"/"&amp;B188,B188&amp;"/"&amp;(B188+1))</f>
        <v>4003/4004</v>
      </c>
      <c r="L188" s="22" t="str">
        <f>VLOOKUP(A188,'Trips&amp;Operators'!$C$1:$G$99999,5,FALSE)</f>
        <v>DAVIDSON DAVID</v>
      </c>
      <c r="M188" s="6">
        <f>I188-F188</f>
        <v>9.8032407404389232E-3</v>
      </c>
      <c r="N188" s="7">
        <f>24*60*SUM($M188:$M188)</f>
        <v>14.116666666232049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https://search-rtdc-monitor-bjffxe2xuh6vdkpspy63sjmuny.us-east-1.es.amazonaws.com/_plugin/kibana/#/discover/Steve-Slow-Train-Analysis-(2080s-and-2083s)?_g=(refreshInterval:(display:Off,section:0,value:0),time:(from:'2016-12-01 14:00:13-700',mode:absolute,to:'2016-12-01 16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8" s="52" t="str">
        <f>IF(AA188&lt;IF(AG188="EC",23,5.65),"Y","N")</f>
        <v>N</v>
      </c>
      <c r="X188" s="177">
        <f>VALUE(LEFT(AD188,4))-VALUE(LEFT(AD187,4))</f>
        <v>1</v>
      </c>
      <c r="Y188" s="67">
        <f>RIGHT(D188,LEN(D188)-4)/10000</f>
        <v>0.1041</v>
      </c>
      <c r="Z188" s="67">
        <f>RIGHT(H188,LEN(H188)-4)/10000</f>
        <v>5.8944000000000001</v>
      </c>
      <c r="AA188" s="67">
        <f>ABS(Z188-Y188)</f>
        <v>5.7903000000000002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>IF(LEN(A188)=6,"0"&amp;A188,A188)</f>
        <v>0825-01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/stypes="app*4003*20161201*" /stext=" 22:.+((SYSTEM_STATE.+slice.+state.+changed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10"/>
        <v>"%USERPROFILE%\Documents\GitHub\eaglep3\Utilities\RefineRTDCRunTimes.py" --tripid 825-01 --locoid 4003 --swversion DE.1.0.8.0 --startMP 204:1041 --initTime 2016-12-01T15:00:13 --startdatetime 2016-12-01T15:21:29 --delay 1 --endMP 300:58944 --enddatetime 2016-12-01T15:35:36 --enforcementcount 1 &gt;&gt;C:\Users\stu\Documents\GitHub\eaglep3-reporting\EC\2016-12-01-refined-times.txt</v>
      </c>
      <c r="AI188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{"issue":{"subject":"","project_id":79,"tracker_id":40,"status_id":1,"priority_id":2,"assigned_to_id":23,"start_date":"2016-12-01","description":"","custom_fields":[{"id":1,"name":"Subdivision","value":"NW"},{"id":4,"name":"Milepost","value":"5.8944"},{"id":17,"name":"Train ID","value":"825-01"},{"id":16,"name":"Locomotive ID","value":"4003"},{"id":130,"name":"Impact","value":""},{"id":150,"name":"Time of Event (Mountain Time)","value":"15:35:36"},{"id":151,"name":"Denver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582</v>
      </c>
      <c r="B189" s="7">
        <v>4004</v>
      </c>
      <c r="C189" s="22" t="s">
        <v>210</v>
      </c>
      <c r="D189" s="22" t="s">
        <v>811</v>
      </c>
      <c r="E189" s="13">
        <v>42705.650879629633</v>
      </c>
      <c r="F189" s="13">
        <v>42705.652442129627</v>
      </c>
      <c r="G189" s="7">
        <v>1</v>
      </c>
      <c r="H189" s="22" t="s">
        <v>784</v>
      </c>
      <c r="I189" s="13">
        <v>42705.664490740739</v>
      </c>
      <c r="J189" s="7">
        <v>1</v>
      </c>
      <c r="K189" s="109" t="str">
        <f>IF(ISEVEN(B189),(B189-1)&amp;"/"&amp;B189,B189&amp;"/"&amp;(B189+1))</f>
        <v>4003/4004</v>
      </c>
      <c r="L189" s="22" t="str">
        <f>VLOOKUP(A189,'Trips&amp;Operators'!$C$1:$G$99999,5,FALSE)</f>
        <v>DAVIDSON DAVID</v>
      </c>
      <c r="M189" s="6">
        <f>I189-F189</f>
        <v>1.2048611111822538E-2</v>
      </c>
      <c r="N189" s="7">
        <f>24*60*SUM($M189:$M189)</f>
        <v>17.350000001024455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https://search-rtdc-monitor-bjffxe2xuh6vdkpspy63sjmuny.us-east-1.es.amazonaws.com/_plugin/kibana/#/discover/Steve-Slow-Train-Analysis-(2080s-and-2083s)?_g=(refreshInterval:(display:Off,section:0,value:0),time:(from:'2016-12-01 14:37:16-700',mode:absolute,to:'2016-12-01 16:56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9" s="52" t="str">
        <f>IF(AA189&lt;IF(AG189="EC",23,5.65),"Y","N")</f>
        <v>N</v>
      </c>
      <c r="X189" s="177">
        <f>VALUE(LEFT(AD189,4))-VALUE(LEFT(AD188,4))</f>
        <v>1</v>
      </c>
      <c r="Y189" s="67">
        <f>RIGHT(D189,LEN(D189)-4)/10000</f>
        <v>5.8630000000000004</v>
      </c>
      <c r="Z189" s="67">
        <f>RIGHT(H189,LEN(H189)-4)/10000</f>
        <v>7.4300000000000005E-2</v>
      </c>
      <c r="AA189" s="67">
        <f>ABS(Z189-Y189)</f>
        <v>5.7887000000000004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>IF(LEN(A189)=6,"0"&amp;A189,A189)</f>
        <v>0826-01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/stypes="app*4004*20161201*" /stext=" 22:.+((SYSTEM_STATE.+slice.+state.+changed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10"/>
        <v>"%USERPROFILE%\Documents\GitHub\eaglep3\Utilities\RefineRTDCRunTimes.py" --tripid 826-01 --locoid 4004 --swversion DE.1.0.8.0 --startMP 300:58630 --initTime 2016-12-01T15:37:16 --startdatetime 2016-12-01T15:39:31 --delay 1 --endMP 204:743 --enddatetime 2016-12-01T15:56:52 --enforcementcount 1 &gt;&gt;C:\Users\stu\Documents\GitHub\eaglep3-reporting\EC\2016-12-01-refined-times.txt</v>
      </c>
      <c r="AI189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{"issue":{"subject":"","project_id":79,"tracker_id":40,"status_id":1,"priority_id":2,"assigned_to_id":23,"start_date":"2016-12-01","description":"","custom_fields":[{"id":1,"name":"Subdivision","value":"NW"},{"id":4,"name":"Milepost","value":"0.0743"},{"id":17,"name":"Train ID","value":"826-01"},{"id":16,"name":"Locomotive ID","value":"4004"},{"id":130,"name":"Impact","value":""},{"id":150,"name":"Time of Event (Mountain Time)","value":"15:56:52"},{"id":151,"name":"Denver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581</v>
      </c>
      <c r="B190" s="7">
        <v>4044</v>
      </c>
      <c r="C190" s="22" t="s">
        <v>210</v>
      </c>
      <c r="D190" s="22" t="s">
        <v>812</v>
      </c>
      <c r="E190" s="13">
        <v>42705.648773148147</v>
      </c>
      <c r="F190" s="13">
        <v>42705.660590277781</v>
      </c>
      <c r="G190" s="7">
        <v>1</v>
      </c>
      <c r="H190" s="22" t="s">
        <v>813</v>
      </c>
      <c r="I190" s="13">
        <v>42705.669618055559</v>
      </c>
      <c r="J190" s="7">
        <v>1</v>
      </c>
      <c r="K190" s="109" t="str">
        <f>IF(ISEVEN(B190),(B190-1)&amp;"/"&amp;B190,B190&amp;"/"&amp;(B190+1))</f>
        <v>4043/4044</v>
      </c>
      <c r="L190" s="22" t="str">
        <f>VLOOKUP(A190,'Trips&amp;Operators'!$C$1:$G$99999,5,FALSE)</f>
        <v>YANAI IAN</v>
      </c>
      <c r="M190" s="6">
        <f>I190-F190</f>
        <v>9.0277777781011537E-3</v>
      </c>
      <c r="N190" s="7">
        <f>24*60*SUM($M190:$M190)</f>
        <v>13.000000000465661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https://search-rtdc-monitor-bjffxe2xuh6vdkpspy63sjmuny.us-east-1.es.amazonaws.com/_plugin/kibana/#/discover/Steve-Slow-Train-Analysis-(2080s-and-2083s)?_g=(refreshInterval:(display:Off,section:0,value:0),time:(from:'2016-12-01 14:34:14-700',mode:absolute,to:'2016-12-01 17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0" s="52" t="str">
        <f>IF(AA190&lt;IF(AG190="EC",23,5.65),"Y","N")</f>
        <v>N</v>
      </c>
      <c r="X190" s="177">
        <f>VALUE(LEFT(AD190,4))-VALUE(LEFT(AD189,4))</f>
        <v>1</v>
      </c>
      <c r="Y190" s="67">
        <f>RIGHT(D190,LEN(D190)-4)/10000</f>
        <v>9.4100000000000003E-2</v>
      </c>
      <c r="Z190" s="67">
        <f>RIGHT(H190,LEN(H190)-4)/10000</f>
        <v>5.8929</v>
      </c>
      <c r="AA190" s="67">
        <f>ABS(Z190-Y190)</f>
        <v>5.7988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>IF(LEN(A190)=6,"0"&amp;A190,A190)</f>
        <v>0827-01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/stypes="app*4044*20161201*" /stext=" 23:.+((SYSTEM_STATE.+slice.+state.+changed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10"/>
        <v>"%USERPROFILE%\Documents\GitHub\eaglep3\Utilities\RefineRTDCRunTimes.py" --tripid 827-01 --locoid 4044 --swversion DE.1.0.8.0 --startMP 204:941 --initTime 2016-12-01T15:34:14 --startdatetime 2016-12-01T15:51:15 --delay 1 --endMP 300:58929 --enddatetime 2016-12-01T16:04:15 --enforcementcount 1 &gt;&gt;C:\Users\stu\Documents\GitHub\eaglep3-reporting\EC\2016-12-01-refined-times.txt</v>
      </c>
      <c r="AI190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{"issue":{"subject":"","project_id":79,"tracker_id":40,"status_id":1,"priority_id":2,"assigned_to_id":23,"start_date":"2016-12-01","description":"","custom_fields":[{"id":1,"name":"Subdivision","value":"NW"},{"id":4,"name":"Milepost","value":"5.8929"},{"id":17,"name":"Train ID","value":"827-01"},{"id":16,"name":"Locomotive ID","value":"4044"},{"id":130,"name":"Impact","value":""},{"id":150,"name":"Time of Event (Mountain Time)","value":"16:04:15"},{"id":151,"name":"Denver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588</v>
      </c>
      <c r="B191" s="7">
        <v>4043</v>
      </c>
      <c r="C191" s="22" t="s">
        <v>210</v>
      </c>
      <c r="D191" s="22" t="s">
        <v>814</v>
      </c>
      <c r="E191" s="13">
        <v>42705.670810185184</v>
      </c>
      <c r="F191" s="13">
        <v>42705.672314814816</v>
      </c>
      <c r="G191" s="7">
        <v>1</v>
      </c>
      <c r="H191" s="22" t="s">
        <v>800</v>
      </c>
      <c r="I191" s="13">
        <v>42705.685162037036</v>
      </c>
      <c r="J191" s="7">
        <v>1</v>
      </c>
      <c r="K191" s="109" t="str">
        <f>IF(ISEVEN(B191),(B191-1)&amp;"/"&amp;B191,B191&amp;"/"&amp;(B191+1))</f>
        <v>4043/4044</v>
      </c>
      <c r="L191" s="22" t="str">
        <f>VLOOKUP(A191,'Trips&amp;Operators'!$C$1:$G$99999,5,FALSE)</f>
        <v>YANAI IAN</v>
      </c>
      <c r="M191" s="6">
        <f>I191-F191</f>
        <v>1.2847222220443655E-2</v>
      </c>
      <c r="N191" s="7">
        <f>24*60*SUM($M191:$M191)</f>
        <v>18.499999997438863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https://search-rtdc-monitor-bjffxe2xuh6vdkpspy63sjmuny.us-east-1.es.amazonaws.com/_plugin/kibana/#/discover/Steve-Slow-Train-Analysis-(2080s-and-2083s)?_g=(refreshInterval:(display:Off,section:0,value:0),time:(from:'2016-12-01 15:05:58-700',mode:absolute,to:'2016-12-01 17:26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1" s="52" t="str">
        <f>IF(AA191&lt;IF(AG191="EC",23,5.65),"Y","N")</f>
        <v>N</v>
      </c>
      <c r="X191" s="177">
        <f>VALUE(LEFT(AD191,4))-VALUE(LEFT(AD190,4))</f>
        <v>1</v>
      </c>
      <c r="Y191" s="67">
        <f>RIGHT(D191,LEN(D191)-4)/10000</f>
        <v>5.8620999999999999</v>
      </c>
      <c r="Z191" s="67">
        <f>RIGHT(H191,LEN(H191)-4)/10000</f>
        <v>6.8199999999999997E-2</v>
      </c>
      <c r="AA191" s="67">
        <f>ABS(Z191-Y191)</f>
        <v>5.7938999999999998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>IF(LEN(A191)=6,"0"&amp;A191,A191)</f>
        <v>0828-01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/stypes="app*4043*20161201*" /stext=" 23:.+((SYSTEM_STATE.+slice.+state.+changed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10"/>
        <v>"%USERPROFILE%\Documents\GitHub\eaglep3\Utilities\RefineRTDCRunTimes.py" --tripid 828-01 --locoid 4043 --swversion DE.1.0.8.0 --startMP 300:58621 --initTime 2016-12-01T16:05:58 --startdatetime 2016-12-01T16:08:08 --delay 1 --endMP 204:682 --enddatetime 2016-12-01T16:26:38 --enforcementcount 1 &gt;&gt;C:\Users\stu\Documents\GitHub\eaglep3-reporting\EC\2016-12-01-refined-times.txt</v>
      </c>
      <c r="AI191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{"issue":{"subject":"","project_id":79,"tracker_id":40,"status_id":1,"priority_id":2,"assigned_to_id":23,"start_date":"2016-12-01","description":"","custom_fields":[{"id":1,"name":"Subdivision","value":"NW"},{"id":4,"name":"Milepost","value":"0.0682"},{"id":17,"name":"Train ID","value":"828-01"},{"id":16,"name":"Locomotive ID","value":"4043"},{"id":130,"name":"Impact","value":""},{"id":150,"name":"Time of Event (Mountain Time)","value":"16:26:38"},{"id":151,"name":"Denver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586</v>
      </c>
      <c r="B192" s="7">
        <v>4003</v>
      </c>
      <c r="C192" s="22" t="s">
        <v>210</v>
      </c>
      <c r="D192" s="22" t="s">
        <v>815</v>
      </c>
      <c r="E192" s="13">
        <v>42705.667384259257</v>
      </c>
      <c r="F192" s="13">
        <v>42705.681446759256</v>
      </c>
      <c r="G192" s="7">
        <v>1</v>
      </c>
      <c r="H192" s="22" t="s">
        <v>816</v>
      </c>
      <c r="I192" s="13">
        <v>42705.691793981481</v>
      </c>
      <c r="J192" s="7">
        <v>1</v>
      </c>
      <c r="K192" s="109" t="str">
        <f>IF(ISEVEN(B192),(B192-1)&amp;"/"&amp;B192,B192&amp;"/"&amp;(B192+1))</f>
        <v>4003/4004</v>
      </c>
      <c r="L192" s="22" t="str">
        <f>VLOOKUP(A192,'Trips&amp;Operators'!$C$1:$G$99999,5,FALSE)</f>
        <v>DAVIDSON DAVID</v>
      </c>
      <c r="M192" s="6">
        <f>I192-F192</f>
        <v>1.0347222225391306E-2</v>
      </c>
      <c r="N192" s="7">
        <f>24*60*SUM($M192:$M192)</f>
        <v>14.900000004563481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https://search-rtdc-monitor-bjffxe2xuh6vdkpspy63sjmuny.us-east-1.es.amazonaws.com/_plugin/kibana/#/discover/Steve-Slow-Train-Analysis-(2080s-and-2083s)?_g=(refreshInterval:(display:Off,section:0,value:0),time:(from:'2016-12-01 15:01:02-700',mode:absolute,to:'2016-12-01 17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2" s="52" t="str">
        <f>IF(AA192&lt;IF(AG192="EC",23,5.65),"Y","N")</f>
        <v>N</v>
      </c>
      <c r="X192" s="177">
        <f>VALUE(LEFT(AD192,4))-VALUE(LEFT(AD191,4))</f>
        <v>1</v>
      </c>
      <c r="Y192" s="67">
        <f>RIGHT(D192,LEN(D192)-4)/10000</f>
        <v>0.1027</v>
      </c>
      <c r="Z192" s="67">
        <f>RIGHT(H192,LEN(H192)-4)/10000</f>
        <v>5.8930999999999996</v>
      </c>
      <c r="AA192" s="67">
        <f>ABS(Z192-Y192)</f>
        <v>5.7904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>IF(LEN(A192)=6,"0"&amp;A192,A192)</f>
        <v>0829-01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/stypes="app*4003*20161201*" /stext=" 23:.+((SYSTEM_STATE.+slice.+state.+changed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10"/>
        <v>"%USERPROFILE%\Documents\GitHub\eaglep3\Utilities\RefineRTDCRunTimes.py" --tripid 829-01 --locoid 4003 --swversion DE.1.0.8.0 --startMP 204:1027 --initTime 2016-12-01T16:01:02 --startdatetime 2016-12-01T16:21:17 --delay 1 --endMP 300:58931 --enddatetime 2016-12-01T16:36:11 --enforcementcount 1 &gt;&gt;C:\Users\stu\Documents\GitHub\eaglep3-reporting\EC\2016-12-01-refined-times.txt</v>
      </c>
      <c r="AI192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{"issue":{"subject":"","project_id":79,"tracker_id":40,"status_id":1,"priority_id":2,"assigned_to_id":23,"start_date":"2016-12-01","description":"","custom_fields":[{"id":1,"name":"Subdivision","value":"NW"},{"id":4,"name":"Milepost","value":"5.8931"},{"id":17,"name":"Train ID","value":"829-01"},{"id":16,"name":"Locomotive ID","value":"4003"},{"id":130,"name":"Impact","value":""},{"id":150,"name":"Time of Event (Mountain Time)","value":"16:36:11"},{"id":151,"name":"Denver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s="21" customFormat="1" x14ac:dyDescent="0.25">
      <c r="A193" s="37" t="s">
        <v>597</v>
      </c>
      <c r="B193" s="7">
        <v>4004</v>
      </c>
      <c r="C193" s="22" t="s">
        <v>210</v>
      </c>
      <c r="D193" s="22" t="s">
        <v>798</v>
      </c>
      <c r="E193" s="13">
        <v>42705.692916666667</v>
      </c>
      <c r="F193" s="13">
        <v>42705.694560185184</v>
      </c>
      <c r="G193" s="7">
        <v>1</v>
      </c>
      <c r="H193" s="22" t="s">
        <v>780</v>
      </c>
      <c r="I193" s="13">
        <v>42705.706354166665</v>
      </c>
      <c r="J193" s="7">
        <v>1</v>
      </c>
      <c r="K193" s="109" t="str">
        <f>IF(ISEVEN(B193),(B193-1)&amp;"/"&amp;B193,B193&amp;"/"&amp;(B193+1))</f>
        <v>4003/4004</v>
      </c>
      <c r="L193" s="22" t="str">
        <f>VLOOKUP(A193,'Trips&amp;Operators'!$C$1:$G$99999,5,FALSE)</f>
        <v>DAVIDSON DAVID</v>
      </c>
      <c r="M193" s="6">
        <f>I193-F193</f>
        <v>1.1793981480877846E-2</v>
      </c>
      <c r="N193" s="7">
        <f>24*60*SUM($M193:$M193)</f>
        <v>16.983333332464099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https://search-rtdc-monitor-bjffxe2xuh6vdkpspy63sjmuny.us-east-1.es.amazonaws.com/_plugin/kibana/#/discover/Steve-Slow-Train-Analysis-(2080s-and-2083s)?_g=(refreshInterval:(display:Off,section:0,value:0),time:(from:'2016-12-01 15:37:48-700',mode:absolute,to:'2016-12-01 17:57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3" s="52" t="str">
        <f>IF(AA193&lt;IF(AG193="EC",23,5.65),"Y","N")</f>
        <v>N</v>
      </c>
      <c r="X193" s="177">
        <f>VALUE(LEFT(AD193,4))-VALUE(LEFT(AD192,4))</f>
        <v>1</v>
      </c>
      <c r="Y193" s="67">
        <f>RIGHT(D193,LEN(D193)-4)/10000</f>
        <v>5.8625999999999996</v>
      </c>
      <c r="Z193" s="67">
        <f>RIGHT(H193,LEN(H193)-4)/10000</f>
        <v>7.4499999999999997E-2</v>
      </c>
      <c r="AA193" s="67">
        <f>ABS(Z193-Y193)</f>
        <v>5.7881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>IF(LEN(A193)=6,"0"&amp;A193,A193)</f>
        <v>0830-01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/stypes="app*4004*20161201*" /stext=" 23:.+((SYSTEM_STATE.+slice.+state.+changed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10"/>
        <v>"%USERPROFILE%\Documents\GitHub\eaglep3\Utilities\RefineRTDCRunTimes.py" --tripid 830-01 --locoid 4004 --swversion DE.1.0.8.0 --startMP 300:58626 --initTime 2016-12-01T16:37:48 --startdatetime 2016-12-01T16:40:10 --delay 1 --endMP 204:745 --enddatetime 2016-12-01T16:57:09 --enforcementcount 1 &gt;&gt;C:\Users\stu\Documents\GitHub\eaglep3-reporting\EC\2016-12-01-refined-times.txt</v>
      </c>
      <c r="AI193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{"issue":{"subject":"","project_id":79,"tracker_id":40,"status_id":1,"priority_id":2,"assigned_to_id":23,"start_date":"2016-12-01","description":"","custom_fields":[{"id":1,"name":"Subdivision","value":"NW"},{"id":4,"name":"Milepost","value":"0.0745"},{"id":17,"name":"Train ID","value":"830-01"},{"id":16,"name":"Locomotive ID","value":"4004"},{"id":130,"name":"Impact","value":""},{"id":150,"name":"Time of Event (Mountain Time)","value":"16:57:09"},{"id":151,"name":"Denver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1" customFormat="1" x14ac:dyDescent="0.25">
      <c r="A194" s="37" t="s">
        <v>596</v>
      </c>
      <c r="B194" s="7">
        <v>4044</v>
      </c>
      <c r="C194" s="22" t="s">
        <v>210</v>
      </c>
      <c r="D194" s="22" t="s">
        <v>817</v>
      </c>
      <c r="E194" s="13">
        <v>42705.686365740738</v>
      </c>
      <c r="F194" s="13">
        <v>42705.702291666668</v>
      </c>
      <c r="G194" s="7">
        <v>1</v>
      </c>
      <c r="H194" s="22" t="s">
        <v>813</v>
      </c>
      <c r="I194" s="13">
        <v>42705.711574074077</v>
      </c>
      <c r="J194" s="7">
        <v>1</v>
      </c>
      <c r="K194" s="109" t="str">
        <f>IF(ISEVEN(B194),(B194-1)&amp;"/"&amp;B194,B194&amp;"/"&amp;(B194+1))</f>
        <v>4043/4044</v>
      </c>
      <c r="L194" s="22" t="str">
        <f>VLOOKUP(A194,'Trips&amp;Operators'!$C$1:$G$99999,5,FALSE)</f>
        <v>YANAI IAN</v>
      </c>
      <c r="M194" s="6">
        <f>I194-F194</f>
        <v>9.2824074090458453E-3</v>
      </c>
      <c r="N194" s="7">
        <f>24*60*SUM($M194:$M194)</f>
        <v>13.366666669026017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https://search-rtdc-monitor-bjffxe2xuh6vdkpspy63sjmuny.us-east-1.es.amazonaws.com/_plugin/kibana/#/discover/Steve-Slow-Train-Analysis-(2080s-and-2083s)?_g=(refreshInterval:(display:Off,section:0,value:0),time:(from:'2016-12-01 15:28:22-700',mode:absolute,to:'2016-12-01 18:04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4" s="52" t="str">
        <f>IF(AA194&lt;IF(AG194="EC",23,5.65),"Y","N")</f>
        <v>N</v>
      </c>
      <c r="X194" s="177">
        <f>VALUE(LEFT(AD194,4))-VALUE(LEFT(AD193,4))</f>
        <v>1</v>
      </c>
      <c r="Y194" s="67">
        <f>RIGHT(D194,LEN(D194)-4)/10000</f>
        <v>9.6000000000000002E-2</v>
      </c>
      <c r="Z194" s="67">
        <f>RIGHT(H194,LEN(H194)-4)/10000</f>
        <v>5.8929</v>
      </c>
      <c r="AA194" s="67">
        <f>ABS(Z194-Y194)</f>
        <v>5.7968999999999999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>IF(LEN(A194)=6,"0"&amp;A194,A194)</f>
        <v>0831-01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/stypes="app*4044*20161202*" /stext=" 00:.+((SYSTEM_STATE.+slice.+state.+changed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10"/>
        <v>"%USERPROFILE%\Documents\GitHub\eaglep3\Utilities\RefineRTDCRunTimes.py" --tripid 831-01 --locoid 4044 --swversion DE.1.0.8.0 --startMP 204:960 --initTime 2016-12-01T16:28:22 --startdatetime 2016-12-01T16:51:18 --delay 1 --endMP 300:58929 --enddatetime 2016-12-01T17:04:40 --enforcementcount 1 &gt;&gt;C:\Users\stu\Documents\GitHub\eaglep3-reporting\EC\2016-12-01-refined-times.txt</v>
      </c>
      <c r="AI194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{"issue":{"subject":"","project_id":79,"tracker_id":40,"status_id":1,"priority_id":2,"assigned_to_id":23,"start_date":"2016-12-01","description":"","custom_fields":[{"id":1,"name":"Subdivision","value":"NW"},{"id":4,"name":"Milepost","value":"5.8929"},{"id":17,"name":"Train ID","value":"831-01"},{"id":16,"name":"Locomotive ID","value":"4044"},{"id":130,"name":"Impact","value":""},{"id":150,"name":"Time of Event (Mountain Time)","value":"17:04:40"},{"id":151,"name":"Denver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443</v>
      </c>
      <c r="B195" s="7">
        <v>4043</v>
      </c>
      <c r="C195" s="22" t="s">
        <v>210</v>
      </c>
      <c r="D195" s="22" t="s">
        <v>818</v>
      </c>
      <c r="E195" s="13">
        <v>42705.712789351855</v>
      </c>
      <c r="F195" s="13">
        <v>42705.714039351849</v>
      </c>
      <c r="G195" s="7">
        <v>0</v>
      </c>
      <c r="H195" s="22" t="s">
        <v>819</v>
      </c>
      <c r="I195" s="13">
        <v>42705.727476851855</v>
      </c>
      <c r="J195" s="7">
        <v>1</v>
      </c>
      <c r="K195" s="109" t="str">
        <f>IF(ISEVEN(B195),(B195-1)&amp;"/"&amp;B195,B195&amp;"/"&amp;(B195+1))</f>
        <v>4043/4044</v>
      </c>
      <c r="L195" s="22" t="str">
        <f>VLOOKUP(A195,'Trips&amp;Operators'!$C$1:$G$99999,5,FALSE)</f>
        <v>YANAI IAN</v>
      </c>
      <c r="M195" s="6">
        <f>I195-F195</f>
        <v>1.3437500005238689E-2</v>
      </c>
      <c r="N195" s="7">
        <f>24*60*SUM($M195:$M195)</f>
        <v>19.350000007543713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https://search-rtdc-monitor-bjffxe2xuh6vdkpspy63sjmuny.us-east-1.es.amazonaws.com/_plugin/kibana/#/discover/Steve-Slow-Train-Analysis-(2080s-and-2083s)?_g=(refreshInterval:(display:Off,section:0,value:0),time:(from:'2016-12-01 16:06:25-700',mode:absolute,to:'2016-12-01 18:27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5" s="52" t="str">
        <f>IF(AA195&lt;IF(AG195="EC",23,5.65),"Y","N")</f>
        <v>N</v>
      </c>
      <c r="X195" s="177">
        <f>VALUE(LEFT(AD195,4))-VALUE(LEFT(AD194,4))</f>
        <v>1</v>
      </c>
      <c r="Y195" s="67">
        <f>RIGHT(D195,LEN(D195)-4)/10000</f>
        <v>5.8609</v>
      </c>
      <c r="Z195" s="67">
        <f>RIGHT(H195,LEN(H195)-4)/10000</f>
        <v>6.6799999999999998E-2</v>
      </c>
      <c r="AA195" s="67">
        <f>ABS(Z195-Y195)</f>
        <v>5.7941000000000003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>IF(LEN(A195)=6,"0"&amp;A195,A195)</f>
        <v>0832-01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/stypes="app*4043*20161202*" /stext=" 00:.+((SYSTEM_STATE.+slice.+state.+changed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10"/>
        <v>"%USERPROFILE%\Documents\GitHub\eaglep3\Utilities\RefineRTDCRunTimes.py" --tripid 832-01 --locoid 4043 --swversion DE.1.0.8.0 --startMP 300:58609 --initTime 2016-12-01T17:06:25 --startdatetime 2016-12-01T17:08:13 --delay 0 --endMP 204:668 --enddatetime 2016-12-01T17:27:34 --enforcementcount 1 &gt;&gt;C:\Users\stu\Documents\GitHub\eaglep3-reporting\EC\2016-12-01-refined-times.txt</v>
      </c>
      <c r="AI195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{"issue":{"subject":"","project_id":79,"tracker_id":40,"status_id":1,"priority_id":2,"assigned_to_id":23,"start_date":"2016-12-01","description":"","custom_fields":[{"id":1,"name":"Subdivision","value":"NW"},{"id":4,"name":"Milepost","value":"0.0668"},{"id":17,"name":"Train ID","value":"832-01"},{"id":16,"name":"Locomotive ID","value":"4043"},{"id":130,"name":"Impact","value":""},{"id":150,"name":"Time of Event (Mountain Time)","value":"17:27:34"},{"id":151,"name":"Denver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602</v>
      </c>
      <c r="B196" s="7">
        <v>4003</v>
      </c>
      <c r="C196" s="22" t="s">
        <v>210</v>
      </c>
      <c r="D196" s="22" t="s">
        <v>809</v>
      </c>
      <c r="E196" s="13">
        <v>42705.709016203706</v>
      </c>
      <c r="F196" s="13">
        <v>42705.723287037035</v>
      </c>
      <c r="G196" s="7">
        <v>1</v>
      </c>
      <c r="H196" s="22" t="s">
        <v>813</v>
      </c>
      <c r="I196" s="13">
        <v>42705.733877314815</v>
      </c>
      <c r="J196" s="7">
        <v>1</v>
      </c>
      <c r="K196" s="109" t="str">
        <f>IF(ISEVEN(B196),(B196-1)&amp;"/"&amp;B196,B196&amp;"/"&amp;(B196+1))</f>
        <v>4003/4004</v>
      </c>
      <c r="L196" s="22" t="str">
        <f>VLOOKUP(A196,'Trips&amp;Operators'!$C$1:$G$99999,5,FALSE)</f>
        <v>DAVIDSON DAVID</v>
      </c>
      <c r="M196" s="6">
        <f>I196-F196</f>
        <v>1.0590277779556345E-2</v>
      </c>
      <c r="N196" s="7">
        <f>24*60*SUM($M196:$M196)</f>
        <v>15.250000002561137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https://search-rtdc-monitor-bjffxe2xuh6vdkpspy63sjmuny.us-east-1.es.amazonaws.com/_plugin/kibana/#/discover/Steve-Slow-Train-Analysis-(2080s-and-2083s)?_g=(refreshInterval:(display:Off,section:0,value:0),time:(from:'2016-12-01 16:00:59-700',mode:absolute,to:'2016-12-01 18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6" s="52" t="str">
        <f>IF(AA196&lt;IF(AG196="EC",23,5.65),"Y","N")</f>
        <v>N</v>
      </c>
      <c r="X196" s="177">
        <f>VALUE(LEFT(AD196,4))-VALUE(LEFT(AD195,4))</f>
        <v>1</v>
      </c>
      <c r="Y196" s="67">
        <f>RIGHT(D196,LEN(D196)-4)/10000</f>
        <v>0.1041</v>
      </c>
      <c r="Z196" s="67">
        <f>RIGHT(H196,LEN(H196)-4)/10000</f>
        <v>5.8929</v>
      </c>
      <c r="AA196" s="67">
        <f>ABS(Z196-Y196)</f>
        <v>5.7888000000000002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>IF(LEN(A196)=6,"0"&amp;A196,A196)</f>
        <v>0833-01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/stypes="app*4003*20161202*" /stext=" 00:.+((SYSTEM_STATE.+slice.+state.+changed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10"/>
        <v>"%USERPROFILE%\Documents\GitHub\eaglep3\Utilities\RefineRTDCRunTimes.py" --tripid 833-01 --locoid 4003 --swversion DE.1.0.8.0 --startMP 204:1041 --initTime 2016-12-01T17:00:59 --startdatetime 2016-12-01T17:21:32 --delay 1 --endMP 300:58929 --enddatetime 2016-12-01T17:36:47 --enforcementcount 1 &gt;&gt;C:\Users\stu\Documents\GitHub\eaglep3-reporting\EC\2016-12-01-refined-times.txt</v>
      </c>
      <c r="AI196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{"issue":{"subject":"","project_id":79,"tracker_id":40,"status_id":1,"priority_id":2,"assigned_to_id":23,"start_date":"2016-12-01","description":"","custom_fields":[{"id":1,"name":"Subdivision","value":"NW"},{"id":4,"name":"Milepost","value":"5.8929"},{"id":17,"name":"Train ID","value":"833-01"},{"id":16,"name":"Locomotive ID","value":"4003"},{"id":130,"name":"Impact","value":""},{"id":150,"name":"Time of Event (Mountain Time)","value":"17:36:47"},{"id":151,"name":"Denver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x14ac:dyDescent="0.25">
      <c r="A197" s="37" t="s">
        <v>610</v>
      </c>
      <c r="B197" s="7">
        <v>4004</v>
      </c>
      <c r="C197" s="22" t="s">
        <v>210</v>
      </c>
      <c r="D197" s="22" t="s">
        <v>273</v>
      </c>
      <c r="E197" s="13">
        <v>42705.73505787037</v>
      </c>
      <c r="F197" s="13">
        <v>42705.736608796295</v>
      </c>
      <c r="G197" s="7">
        <v>1</v>
      </c>
      <c r="H197" s="22" t="s">
        <v>780</v>
      </c>
      <c r="I197" s="13">
        <v>42705.748379629629</v>
      </c>
      <c r="J197" s="7">
        <v>1</v>
      </c>
      <c r="K197" s="109" t="str">
        <f>IF(ISEVEN(B197),(B197-1)&amp;"/"&amp;B197,B197&amp;"/"&amp;(B197+1))</f>
        <v>4003/4004</v>
      </c>
      <c r="L197" s="22" t="str">
        <f>VLOOKUP(A197,'Trips&amp;Operators'!$C$1:$G$99999,5,FALSE)</f>
        <v>DAVIDSON DAVID</v>
      </c>
      <c r="M197" s="6">
        <f>I197-F197</f>
        <v>1.1770833334594499E-2</v>
      </c>
      <c r="N197" s="7">
        <f>24*60*SUM($M197:$M197)</f>
        <v>16.950000001816079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https://search-rtdc-monitor-bjffxe2xuh6vdkpspy63sjmuny.us-east-1.es.amazonaws.com/_plugin/kibana/#/discover/Steve-Slow-Train-Analysis-(2080s-and-2083s)?_g=(refreshInterval:(display:Off,section:0,value:0),time:(from:'2016-12-01 16:38:29-700',mode:absolute,to:'2016-12-01 18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7" s="52" t="str">
        <f>IF(AA197&lt;IF(AG197="EC",23,5.65),"Y","N")</f>
        <v>N</v>
      </c>
      <c r="X197" s="177">
        <f>VALUE(LEFT(AD197,4))-VALUE(LEFT(AD196,4))</f>
        <v>1</v>
      </c>
      <c r="Y197" s="67">
        <f>RIGHT(D197,LEN(D197)-4)/10000</f>
        <v>5.8611000000000004</v>
      </c>
      <c r="Z197" s="67">
        <f>RIGHT(H197,LEN(H197)-4)/10000</f>
        <v>7.4499999999999997E-2</v>
      </c>
      <c r="AA197" s="67">
        <f>ABS(Z197-Y197)</f>
        <v>5.7866000000000009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>IF(LEN(A197)=6,"0"&amp;A197,A197)</f>
        <v>0834-01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/stypes="app*4004*20161202*" /stext=" 00:.+((SYSTEM_STATE.+slice.+state.+changed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10"/>
        <v>"%USERPROFILE%\Documents\GitHub\eaglep3\Utilities\RefineRTDCRunTimes.py" --tripid 834-01 --locoid 4004 --swversion DE.1.0.8.0 --startMP 300:58611 --initTime 2016-12-01T17:38:29 --startdatetime 2016-12-01T17:40:43 --delay 1 --endMP 204:745 --enddatetime 2016-12-01T17:57:40 --enforcementcount 1 &gt;&gt;C:\Users\stu\Documents\GitHub\eaglep3-reporting\EC\2016-12-01-refined-times.txt</v>
      </c>
      <c r="AI197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{"issue":{"subject":"","project_id":79,"tracker_id":40,"status_id":1,"priority_id":2,"assigned_to_id":23,"start_date":"2016-12-01","description":"","custom_fields":[{"id":1,"name":"Subdivision","value":"NW"},{"id":4,"name":"Milepost","value":"0.0745"},{"id":17,"name":"Train ID","value":"834-01"},{"id":16,"name":"Locomotive ID","value":"4004"},{"id":130,"name":"Impact","value":""},{"id":150,"name":"Time of Event (Mountain Time)","value":"17:57:40"},{"id":151,"name":"Denver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607</v>
      </c>
      <c r="B198" s="7">
        <v>4044</v>
      </c>
      <c r="C198" s="22" t="s">
        <v>210</v>
      </c>
      <c r="D198" s="22" t="s">
        <v>812</v>
      </c>
      <c r="E198" s="13">
        <v>42705.72861111111</v>
      </c>
      <c r="F198" s="13">
        <v>42705.743946759256</v>
      </c>
      <c r="G198" s="7">
        <v>1</v>
      </c>
      <c r="H198" s="22" t="s">
        <v>797</v>
      </c>
      <c r="I198" s="13">
        <v>42705.753078703703</v>
      </c>
      <c r="J198" s="7">
        <v>1</v>
      </c>
      <c r="K198" s="109" t="str">
        <f>IF(ISEVEN(B198),(B198-1)&amp;"/"&amp;B198,B198&amp;"/"&amp;(B198+1))</f>
        <v>4043/4044</v>
      </c>
      <c r="L198" s="22" t="str">
        <f>VLOOKUP(A198,'Trips&amp;Operators'!$C$1:$G$99999,5,FALSE)</f>
        <v>YANAI IAN</v>
      </c>
      <c r="M198" s="6">
        <f>I198-F198</f>
        <v>9.1319444472901523E-3</v>
      </c>
      <c r="N198" s="7">
        <f>24*60*SUM($M198:$M198)</f>
        <v>13.150000004097819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https://search-rtdc-monitor-bjffxe2xuh6vdkpspy63sjmuny.us-east-1.es.amazonaws.com/_plugin/kibana/#/discover/Steve-Slow-Train-Analysis-(2080s-and-2083s)?_g=(refreshInterval:(display:Off,section:0,value:0),time:(from:'2016-12-01 16:29:12-700',mode:absolute,to:'2016-12-01 19:04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8" s="52" t="str">
        <f>IF(AA198&lt;IF(AG198="EC",23,5.65),"Y","N")</f>
        <v>N</v>
      </c>
      <c r="X198" s="177">
        <f>VALUE(LEFT(AD198,4))-VALUE(LEFT(AD197,4))</f>
        <v>1</v>
      </c>
      <c r="Y198" s="67">
        <f>RIGHT(D198,LEN(D198)-4)/10000</f>
        <v>9.4100000000000003E-2</v>
      </c>
      <c r="Z198" s="67">
        <f>RIGHT(H198,LEN(H198)-4)/10000</f>
        <v>5.8940999999999999</v>
      </c>
      <c r="AA198" s="67">
        <f>ABS(Z198-Y198)</f>
        <v>5.8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>IF(LEN(A198)=6,"0"&amp;A198,A198)</f>
        <v>0835-01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/stypes="app*4044*20161202*" /stext=" 01:.+((SYSTEM_STATE.+slice.+state.+changed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10"/>
        <v>"%USERPROFILE%\Documents\GitHub\eaglep3\Utilities\RefineRTDCRunTimes.py" --tripid 835-01 --locoid 4044 --swversion DE.1.0.8.0 --startMP 204:941 --initTime 2016-12-01T17:29:12 --startdatetime 2016-12-01T17:51:17 --delay 1 --endMP 300:58941 --enddatetime 2016-12-01T18:04:26 --enforcementcount 1 &gt;&gt;C:\Users\stu\Documents\GitHub\eaglep3-reporting\EC\2016-12-01-refined-times.txt</v>
      </c>
      <c r="AI198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{"issue":{"subject":"","project_id":79,"tracker_id":40,"status_id":1,"priority_id":2,"assigned_to_id":23,"start_date":"2016-12-01","description":"","custom_fields":[{"id":1,"name":"Subdivision","value":"NW"},{"id":4,"name":"Milepost","value":"5.8941"},{"id":17,"name":"Train ID","value":"835-01"},{"id":16,"name":"Locomotive ID","value":"4044"},{"id":130,"name":"Impact","value":""},{"id":150,"name":"Time of Event (Mountain Time)","value":"18:04:26"},{"id":151,"name":"Denver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444</v>
      </c>
      <c r="B199" s="7">
        <v>4043</v>
      </c>
      <c r="C199" s="22" t="s">
        <v>210</v>
      </c>
      <c r="D199" s="22" t="s">
        <v>273</v>
      </c>
      <c r="E199" s="13">
        <v>42705.754259259258</v>
      </c>
      <c r="F199" s="13">
        <v>42705.755567129629</v>
      </c>
      <c r="G199" s="7">
        <v>1</v>
      </c>
      <c r="H199" s="22" t="s">
        <v>820</v>
      </c>
      <c r="I199" s="13">
        <v>42705.767789351848</v>
      </c>
      <c r="J199" s="7">
        <v>1</v>
      </c>
      <c r="K199" s="109" t="str">
        <f>IF(ISEVEN(B199),(B199-1)&amp;"/"&amp;B199,B199&amp;"/"&amp;(B199+1))</f>
        <v>4043/4044</v>
      </c>
      <c r="L199" s="22" t="str">
        <f>VLOOKUP(A199,'Trips&amp;Operators'!$C$1:$G$99999,5,FALSE)</f>
        <v>YANAI IAN</v>
      </c>
      <c r="M199" s="6">
        <f>I199-F199</f>
        <v>1.2222222219861578E-2</v>
      </c>
      <c r="N199" s="7">
        <f>24*60*SUM($M199:$M199)</f>
        <v>17.599999996600673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https://search-rtdc-monitor-bjffxe2xuh6vdkpspy63sjmuny.us-east-1.es.amazonaws.com/_plugin/kibana/#/discover/Steve-Slow-Train-Analysis-(2080s-and-2083s)?_g=(refreshInterval:(display:Off,section:0,value:0),time:(from:'2016-12-01 17:06:08-700',mode:absolute,to:'2016-12-01 19:25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9" s="52" t="str">
        <f>IF(AA199&lt;IF(AG199="EC",23,5.65),"Y","N")</f>
        <v>N</v>
      </c>
      <c r="X199" s="177">
        <f>VALUE(LEFT(AD199,4))-VALUE(LEFT(AD198,4))</f>
        <v>1</v>
      </c>
      <c r="Y199" s="67">
        <f>RIGHT(D199,LEN(D199)-4)/10000</f>
        <v>5.8611000000000004</v>
      </c>
      <c r="Z199" s="67">
        <f>RIGHT(H199,LEN(H199)-4)/10000</f>
        <v>6.6299999999999998E-2</v>
      </c>
      <c r="AA199" s="67">
        <f>ABS(Z199-Y199)</f>
        <v>5.7948000000000004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>IF(LEN(A199)=6,"0"&amp;A199,A199)</f>
        <v>0836-01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/stypes="app*4043*20161202*" /stext=" 01:.+((SYSTEM_STATE.+slice.+state.+changed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10"/>
        <v>"%USERPROFILE%\Documents\GitHub\eaglep3\Utilities\RefineRTDCRunTimes.py" --tripid 836-01 --locoid 4043 --swversion DE.1.0.8.0 --startMP 300:58611 --initTime 2016-12-01T18:06:08 --startdatetime 2016-12-01T18:08:01 --delay 1 --endMP 204:663 --enddatetime 2016-12-01T18:25:37 --enforcementcount 1 &gt;&gt;C:\Users\stu\Documents\GitHub\eaglep3-reporting\EC\2016-12-01-refined-times.txt</v>
      </c>
      <c r="AI199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{"issue":{"subject":"","project_id":79,"tracker_id":40,"status_id":1,"priority_id":2,"assigned_to_id":23,"start_date":"2016-12-01","description":"","custom_fields":[{"id":1,"name":"Subdivision","value":"NW"},{"id":4,"name":"Milepost","value":"0.0663"},{"id":17,"name":"Train ID","value":"836-01"},{"id":16,"name":"Locomotive ID","value":"4043"},{"id":130,"name":"Impact","value":""},{"id":150,"name":"Time of Event (Mountain Time)","value":"18:25:37"},{"id":151,"name":"Denver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445</v>
      </c>
      <c r="B200" s="7">
        <v>4003</v>
      </c>
      <c r="C200" s="22" t="s">
        <v>210</v>
      </c>
      <c r="D200" s="22" t="s">
        <v>383</v>
      </c>
      <c r="E200" s="13">
        <v>42705.750358796293</v>
      </c>
      <c r="F200" s="13">
        <v>42705.765185185184</v>
      </c>
      <c r="G200" s="7">
        <v>1</v>
      </c>
      <c r="H200" s="22" t="s">
        <v>821</v>
      </c>
      <c r="I200" s="13">
        <v>42705.770266203705</v>
      </c>
      <c r="J200" s="7">
        <v>1</v>
      </c>
      <c r="K200" s="109" t="str">
        <f>IF(ISEVEN(B200),(B200-1)&amp;"/"&amp;B200,B200&amp;"/"&amp;(B200+1))</f>
        <v>4003/4004</v>
      </c>
      <c r="L200" s="22" t="str">
        <f>VLOOKUP(A200,'Trips&amp;Operators'!$C$1:$G$99999,5,FALSE)</f>
        <v>DAVIDSON DAVID</v>
      </c>
      <c r="M200" s="6">
        <f>I200-F200</f>
        <v>5.0810185202863067E-3</v>
      </c>
      <c r="N200" s="7"/>
      <c r="O200" s="7"/>
      <c r="P200" s="7">
        <f>24*60*SUM($M200:$M200)</f>
        <v>7.3166666692122817</v>
      </c>
      <c r="Q200" s="23"/>
      <c r="R200" s="23" t="s">
        <v>352</v>
      </c>
      <c r="S200" s="35">
        <f>SUM(U200:U200)/IF(AG200="EC",12,1)</f>
        <v>1</v>
      </c>
      <c r="T200" s="50" t="str">
        <f>IF(ISEVEN(LEFT(AD200,4)),"Southbound","NorthBound")</f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https://search-rtdc-monitor-bjffxe2xuh6vdkpspy63sjmuny.us-east-1.es.amazonaws.com/_plugin/kibana/#/discover/Steve-Slow-Train-Analysis-(2080s-and-2083s)?_g=(refreshInterval:(display:Off,section:0,value:0),time:(from:'2016-12-01 17:00:31-700',mode:absolute,to:'2016-12-01 19:29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0" s="52" t="str">
        <f>IF(AA200&lt;IF(AG200="EC",23,5.65),"Y","N")</f>
        <v>Y</v>
      </c>
      <c r="X200" s="177">
        <f>VALUE(LEFT(AD200,4))-VALUE(LEFT(AD199,4))</f>
        <v>1</v>
      </c>
      <c r="Y200" s="67">
        <f>RIGHT(D200,LEN(D200)-4)/10000</f>
        <v>0.10349999999999999</v>
      </c>
      <c r="Z200" s="67">
        <f>RIGHT(H200,LEN(H200)-4)/10000</f>
        <v>3.1191</v>
      </c>
      <c r="AA200" s="67">
        <f>ABS(Z200-Y200)</f>
        <v>3.0156000000000001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>IF(LEN(A200)=6,"0"&amp;A200,A200)</f>
        <v>0837-01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/stypes="app*4003*20161202*" /stext=" 01:.+((SYSTEM_STATE.+slice.+state.+changed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10"/>
        <v>"%USERPROFILE%\Documents\GitHub\eaglep3\Utilities\RefineRTDCRunTimes.py" --tripid 837-01 --locoid 4003 --swversion DE.1.0.8.0 --startMP 204:1035 --initTime 2016-12-01T18:00:31 --startdatetime 2016-12-01T18:21:52 --delay 1 --endMP 300:31191 --enddatetime 2016-12-01T18:29:11 --enforcementcount 1 &gt;&gt;C:\Users\stu\Documents\GitHub\eaglep3-reporting\EC\2016-12-01-refined-times.txt</v>
      </c>
      <c r="AI200" s="119" t="str">
        <f t="shared" si="11"/>
        <v>echo {"issue":{"subject":"Wi-MAX data drop","project_id":79,"tracker_id":40,"status_id":1,"priority_id":2,"assigned_to_id":23,"start_date":"2016-12-01","description":"http://stevetu21.github.io/eaglep3/load_kml.html?kml=http://rtdc.gmaps-snips.s3.amazonaws.com/267a6369-d2c4-469f-9f9c-b6ef7b1bb940.kml","custom_fields":[{"id":1,"name":"Subdivision","value":"NW"},{"id":4,"name":"Milepost","value":"3.1191"},{"id":17,"name":"Train ID","value":"837-01"},{"id":16,"name":"Locomotive ID","value":"4003"},{"id":130,"name":"Impact","value":"Unexpected Cut-Out or Disengaged"},{"id":150,"name":"Time of Event (Mountain Time)","value":"18:29:11"},{"id":151,"name":"Denver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00" s="185" t="s">
        <v>862</v>
      </c>
      <c r="AK200" s="53" t="s">
        <v>131</v>
      </c>
      <c r="AL200" s="53" t="s">
        <v>138</v>
      </c>
    </row>
    <row r="201" spans="1:91" x14ac:dyDescent="0.25">
      <c r="A201" s="37" t="s">
        <v>449</v>
      </c>
      <c r="B201" s="7">
        <v>4004</v>
      </c>
      <c r="C201" s="22" t="s">
        <v>210</v>
      </c>
      <c r="D201" s="22" t="s">
        <v>326</v>
      </c>
      <c r="E201" s="13">
        <v>42705.777604166666</v>
      </c>
      <c r="F201" s="13">
        <v>42705.779398148145</v>
      </c>
      <c r="G201" s="7">
        <v>1</v>
      </c>
      <c r="H201" s="22" t="s">
        <v>384</v>
      </c>
      <c r="I201" s="13">
        <v>42705.791087962964</v>
      </c>
      <c r="J201" s="7">
        <v>1</v>
      </c>
      <c r="K201" s="109" t="str">
        <f>IF(ISEVEN(B201),(B201-1)&amp;"/"&amp;B201,B201&amp;"/"&amp;(B201+1))</f>
        <v>4003/4004</v>
      </c>
      <c r="L201" s="22" t="str">
        <f>VLOOKUP(A201,'Trips&amp;Operators'!$C$1:$G$99999,5,FALSE)</f>
        <v>DAVIDSON DAVID</v>
      </c>
      <c r="M201" s="6">
        <f>I201-F201</f>
        <v>1.1689814818964805E-2</v>
      </c>
      <c r="N201" s="7">
        <f>24*60*SUM($M201:$M201)</f>
        <v>16.83333333930932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https://search-rtdc-monitor-bjffxe2xuh6vdkpspy63sjmuny.us-east-1.es.amazonaws.com/_plugin/kibana/#/discover/Steve-Slow-Train-Analysis-(2080s-and-2083s)?_g=(refreshInterval:(display:Off,section:0,value:0),time:(from:'2016-12-01 17:39:45-700',mode:absolute,to:'2016-12-01 19:59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1" s="52" t="str">
        <f>IF(AA201&lt;IF(AG201="EC",23,5.65),"Y","N")</f>
        <v>N</v>
      </c>
      <c r="X201" s="177">
        <f>VALUE(LEFT(AD201,4))-VALUE(LEFT(AD200,4))</f>
        <v>1</v>
      </c>
      <c r="Y201" s="67">
        <f>RIGHT(D201,LEN(D201)-4)/10000</f>
        <v>5.8623000000000003</v>
      </c>
      <c r="Z201" s="67">
        <f>RIGHT(H201,LEN(H201)-4)/10000</f>
        <v>7.6899999999999996E-2</v>
      </c>
      <c r="AA201" s="67">
        <f>ABS(Z201-Y201)</f>
        <v>5.7854000000000001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>IF(LEN(A201)=6,"0"&amp;A201,A201)</f>
        <v>0838-01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/stypes="app*4004*20161202*" /stext=" 01:.+((SYSTEM_STATE.+slice.+state.+changed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10"/>
        <v>"%USERPROFILE%\Documents\GitHub\eaglep3\Utilities\RefineRTDCRunTimes.py" --tripid 838-01 --locoid 4004 --swversion DE.1.0.8.0 --startMP 300:58623 --initTime 2016-12-01T18:39:45 --startdatetime 2016-12-01T18:42:20 --delay 1 --endMP 204:769 --enddatetime 2016-12-01T18:59:10 --enforcementcount 1 &gt;&gt;C:\Users\stu\Documents\GitHub\eaglep3-reporting\EC\2016-12-01-refined-times.txt</v>
      </c>
      <c r="AI201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{"issue":{"subject":"","project_id":79,"tracker_id":40,"status_id":1,"priority_id":2,"assigned_to_id":23,"start_date":"2016-12-01","description":"","custom_fields":[{"id":1,"name":"Subdivision","value":"NW"},{"id":4,"name":"Milepost","value":"0.0769"},{"id":17,"name":"Train ID","value":"838-01"},{"id":16,"name":"Locomotive ID","value":"4004"},{"id":130,"name":"Impact","value":""},{"id":150,"name":"Time of Event (Mountain Time)","value":"18:59:10"},{"id":151,"name":"Denver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620</v>
      </c>
      <c r="B202" s="7">
        <v>4044</v>
      </c>
      <c r="C202" s="22" t="s">
        <v>210</v>
      </c>
      <c r="D202" s="22" t="s">
        <v>822</v>
      </c>
      <c r="E202" s="13">
        <v>42705.769004629627</v>
      </c>
      <c r="F202" s="13">
        <v>42705.78565972222</v>
      </c>
      <c r="G202" s="7">
        <v>1</v>
      </c>
      <c r="H202" s="22" t="s">
        <v>804</v>
      </c>
      <c r="I202" s="13">
        <v>42705.794756944444</v>
      </c>
      <c r="J202" s="7">
        <v>1</v>
      </c>
      <c r="K202" s="109" t="str">
        <f>IF(ISEVEN(B202),(B202-1)&amp;"/"&amp;B202,B202&amp;"/"&amp;(B202+1))</f>
        <v>4043/4044</v>
      </c>
      <c r="L202" s="22" t="str">
        <f>VLOOKUP(A202,'Trips&amp;Operators'!$C$1:$G$99999,5,FALSE)</f>
        <v>YANAI IAN</v>
      </c>
      <c r="M202" s="6">
        <f>I202-F202</f>
        <v>9.0972222242271528E-3</v>
      </c>
      <c r="N202" s="7">
        <f>24*60*SUM($M202:$M202)</f>
        <v>13.1000000028871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https://search-rtdc-monitor-bjffxe2xuh6vdkpspy63sjmuny.us-east-1.es.amazonaws.com/_plugin/kibana/#/discover/Steve-Slow-Train-Analysis-(2080s-and-2083s)?_g=(refreshInterval:(display:Off,section:0,value:0),time:(from:'2016-12-01 17:27:22-700',mode:absolute,to:'2016-12-01 20:04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2" s="52" t="str">
        <f>IF(AA202&lt;IF(AG202="EC",23,5.65),"Y","N")</f>
        <v>N</v>
      </c>
      <c r="X202" s="177">
        <f>VALUE(LEFT(AD202,4))-VALUE(LEFT(AD201,4))</f>
        <v>1</v>
      </c>
      <c r="Y202" s="67">
        <f>RIGHT(D202,LEN(D202)-4)/10000</f>
        <v>9.5100000000000004E-2</v>
      </c>
      <c r="Z202" s="67">
        <f>RIGHT(H202,LEN(H202)-4)/10000</f>
        <v>5.8924000000000003</v>
      </c>
      <c r="AA202" s="67">
        <f>ABS(Z202-Y202)</f>
        <v>5.7972999999999999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>IF(LEN(A202)=6,"0"&amp;A202,A202)</f>
        <v>0839-01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/stypes="app*4044*20161202*" /stext=" 02:.+((SYSTEM_STATE.+slice.+state.+changed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10"/>
        <v>"%USERPROFILE%\Documents\GitHub\eaglep3\Utilities\RefineRTDCRunTimes.py" --tripid 839-01 --locoid 4044 --swversion DE.1.0.8.0 --startMP 204:951 --initTime 2016-12-01T18:27:22 --startdatetime 2016-12-01T18:51:21 --delay 1 --endMP 300:58924 --enddatetime 2016-12-01T19:04:27 --enforcementcount 1 &gt;&gt;C:\Users\stu\Documents\GitHub\eaglep3-reporting\EC\2016-12-01-refined-times.txt</v>
      </c>
      <c r="AI202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{"issue":{"subject":"","project_id":79,"tracker_id":40,"status_id":1,"priority_id":2,"assigned_to_id":23,"start_date":"2016-12-01","description":"","custom_fields":[{"id":1,"name":"Subdivision","value":"NW"},{"id":4,"name":"Milepost","value":"5.8924"},{"id":17,"name":"Train ID","value":"839-01"},{"id":16,"name":"Locomotive ID","value":"4044"},{"id":130,"name":"Impact","value":""},{"id":150,"name":"Time of Event (Mountain Time)","value":"19:04:27"},{"id":151,"name":"Denver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629</v>
      </c>
      <c r="B203" s="7">
        <v>4004</v>
      </c>
      <c r="C203" s="22" t="s">
        <v>210</v>
      </c>
      <c r="D203" s="22" t="s">
        <v>387</v>
      </c>
      <c r="E203" s="13">
        <v>42705.818101851852</v>
      </c>
      <c r="F203" s="13">
        <v>42705.820185185185</v>
      </c>
      <c r="G203" s="7">
        <v>1</v>
      </c>
      <c r="H203" s="22" t="s">
        <v>808</v>
      </c>
      <c r="I203" s="13">
        <v>42705.832199074073</v>
      </c>
      <c r="J203" s="7">
        <v>1</v>
      </c>
      <c r="K203" s="109" t="str">
        <f>IF(ISEVEN(B203),(B203-1)&amp;"/"&amp;B203,B203&amp;"/"&amp;(B203+1))</f>
        <v>4003/4004</v>
      </c>
      <c r="L203" s="22" t="str">
        <f>VLOOKUP(A203,'Trips&amp;Operators'!$C$1:$G$99999,5,FALSE)</f>
        <v>DAVIDSON DAVID</v>
      </c>
      <c r="M203" s="6">
        <f>I203-F203</f>
        <v>1.2013888888759539E-2</v>
      </c>
      <c r="N203" s="7">
        <f>24*60*SUM($M203:$M203)</f>
        <v>17.299999999813735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https://search-rtdc-monitor-bjffxe2xuh6vdkpspy63sjmuny.us-east-1.es.amazonaws.com/_plugin/kibana/#/discover/Steve-Slow-Train-Analysis-(2080s-and-2083s)?_g=(refreshInterval:(display:Off,section:0,value:0),time:(from:'2016-12-01 18:38:04-700',mode:absolute,to:'2016-12-01 20:58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3" s="52" t="str">
        <f>IF(AA203&lt;IF(AG203="EC",23,5.65),"Y","N")</f>
        <v>N</v>
      </c>
      <c r="X203" s="177">
        <f>VALUE(LEFT(AD203,4))-VALUE(LEFT(AD202,4))</f>
        <v>1</v>
      </c>
      <c r="Y203" s="67">
        <f>RIGHT(D203,LEN(D203)-4)/10000</f>
        <v>5.8638000000000003</v>
      </c>
      <c r="Z203" s="67">
        <f>RIGHT(H203,LEN(H203)-4)/10000</f>
        <v>7.6799999999999993E-2</v>
      </c>
      <c r="AA203" s="67">
        <f>ABS(Z203-Y203)</f>
        <v>5.7869999999999999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>IF(LEN(A203)=6,"0"&amp;A203,A203)</f>
        <v>0840-01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/stypes="app*4004*20161202*" /stext=" 02:.+((SYSTEM_STATE.+slice.+state.+changed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si="10"/>
        <v>"%USERPROFILE%\Documents\GitHub\eaglep3\Utilities\RefineRTDCRunTimes.py" --tripid 840-01 --locoid 4004 --swversion DE.1.0.8.0 --startMP 300:58638 --initTime 2016-12-01T19:38:04 --startdatetime 2016-12-01T19:41:04 --delay 1 --endMP 204:768 --enddatetime 2016-12-01T19:58:22 --enforcementcount 1 &gt;&gt;C:\Users\stu\Documents\GitHub\eaglep3-reporting\EC\2016-12-01-refined-times.txt</v>
      </c>
      <c r="AI203" s="119" t="str">
        <f t="shared" si="11"/>
        <v>echo {"issue":{"subject":"","project_id":79,"tracker_id":40,"status_id":1,"priority_id":2,"assigned_to_id":23,"start_date":"2016-12-01","description":"","custom_fields":[{"id":1,"name":"Subdivision","value":"NW"},{"id":4,"name":"Milepost","value":"0.0768"},{"id":17,"name":"Train ID","value":"840-01"},{"id":16,"name":"Locomotive ID","value":"4004"},{"id":130,"name":"Impact","value":""},{"id":150,"name":"Time of Event (Mountain Time)","value":"19:58:22"},{"id":151,"name":"Denver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450</v>
      </c>
      <c r="B204" s="7">
        <v>4003</v>
      </c>
      <c r="C204" s="22" t="s">
        <v>210</v>
      </c>
      <c r="D204" s="22" t="s">
        <v>383</v>
      </c>
      <c r="E204" s="13">
        <v>42705.803067129629</v>
      </c>
      <c r="F204" s="13">
        <v>42705.806446759256</v>
      </c>
      <c r="G204" s="7">
        <v>1</v>
      </c>
      <c r="H204" s="22" t="s">
        <v>823</v>
      </c>
      <c r="I204" s="13">
        <v>42705.812488425923</v>
      </c>
      <c r="J204" s="7">
        <v>1</v>
      </c>
      <c r="K204" s="109" t="str">
        <f>IF(ISEVEN(B204),(B204-1)&amp;"/"&amp;B204,B204&amp;"/"&amp;(B204+1))</f>
        <v>4003/4004</v>
      </c>
      <c r="L204" s="22" t="str">
        <f>VLOOKUP(A204,'Trips&amp;Operators'!$C$1:$G$99999,5,FALSE)</f>
        <v>DAVIDSON DAVID</v>
      </c>
      <c r="M204" s="6">
        <f>I204-F204</f>
        <v>6.0416666674427688E-3</v>
      </c>
      <c r="N204" s="7"/>
      <c r="O204" s="7"/>
      <c r="P204" s="7">
        <f>24*60*SUM($M204:$M204)</f>
        <v>8.7000000011175871</v>
      </c>
      <c r="Q204" s="23"/>
      <c r="R204" s="23" t="s">
        <v>352</v>
      </c>
      <c r="S204" s="35">
        <f>SUM(U204:U204)/IF(AG204="EC",12,1)</f>
        <v>1</v>
      </c>
      <c r="T204" s="50" t="str">
        <f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https://search-rtdc-monitor-bjffxe2xuh6vdkpspy63sjmuny.us-east-1.es.amazonaws.com/_plugin/kibana/#/discover/Steve-Slow-Train-Analysis-(2080s-and-2083s)?_g=(refreshInterval:(display:Off,section:0,value:0),time:(from:'2016-12-01 18:16:25-700',mode:absolute,to:'2016-12-01 20:29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4" s="52" t="str">
        <f>IF(AA204&lt;IF(AG204="EC",23,5.65),"Y","N")</f>
        <v>Y</v>
      </c>
      <c r="X204" s="177">
        <f>VALUE(LEFT(AD204,4))-VALUE(LEFT(AD203,4))</f>
        <v>1</v>
      </c>
      <c r="Y204" s="67">
        <f>RIGHT(D204,LEN(D204)-4)/10000</f>
        <v>0.10349999999999999</v>
      </c>
      <c r="Z204" s="67">
        <f>RIGHT(H204,LEN(H204)-4)/10000</f>
        <v>3.956</v>
      </c>
      <c r="AA204" s="67">
        <f>ABS(Z204-Y204)</f>
        <v>3.8525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>IF(LEN(A204)=6,"0"&amp;A204,A204)</f>
        <v>0841-01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/stypes="app*4003*20161202*" /stext=" 02:.+((SYSTEM_STATE.+slice.+state.+changed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2" t="str">
        <f t="shared" si="10"/>
        <v>"%USERPROFILE%\Documents\GitHub\eaglep3\Utilities\RefineRTDCRunTimes.py" --tripid 841-01 --locoid 4003 --swversion DE.1.0.8.0 --startMP 204:1035 --initTime 2016-12-01T19:16:25 --startdatetime 2016-12-01T19:21:17 --delay 1 --endMP 300:39560 --enddatetime 2016-12-01T19:29:59 --enforcementcount 1 &gt;&gt;C:\Users\stu\Documents\GitHub\eaglep3-reporting\EC\2016-12-01-refined-times.txt</v>
      </c>
      <c r="AI204" s="119" t="str">
        <f t="shared" si="11"/>
        <v>echo {"issue":{"subject":"Wi-MAX data drop","project_id":79,"tracker_id":40,"status_id":1,"priority_id":2,"assigned_to_id":23,"start_date":"2016-12-01","description":"http://stevetu21.github.io/eaglep3/load_kml.html?kml=http://rtdc.gmaps-snips.s3.amazonaws.com/55503dea-8fa6-4d64-986d-0e94520577b1.kml","custom_fields":[{"id":1,"name":"Subdivision","value":"NW"},{"id":4,"name":"Milepost","value":"3.956"},{"id":17,"name":"Train ID","value":"841-01"},{"id":16,"name":"Locomotive ID","value":"4003"},{"id":130,"name":"Impact","value":"Unexpected Cut-Out or Disengaged"},{"id":150,"name":"Time of Event (Mountain Time)","value":"19:29:59"},{"id":151,"name":"Denver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04" s="185" t="s">
        <v>863</v>
      </c>
      <c r="AK204" s="53" t="s">
        <v>131</v>
      </c>
      <c r="AL204" s="53" t="s">
        <v>138</v>
      </c>
    </row>
    <row r="205" spans="1:91" x14ac:dyDescent="0.25">
      <c r="A205" s="37" t="s">
        <v>635</v>
      </c>
      <c r="B205" s="7">
        <v>4004</v>
      </c>
      <c r="C205" s="22" t="s">
        <v>210</v>
      </c>
      <c r="D205" s="22" t="s">
        <v>326</v>
      </c>
      <c r="E205" s="13">
        <v>42705.858587962961</v>
      </c>
      <c r="F205" s="13">
        <v>42705.859814814816</v>
      </c>
      <c r="G205" s="7">
        <v>1</v>
      </c>
      <c r="H205" s="22" t="s">
        <v>824</v>
      </c>
      <c r="I205" s="13">
        <v>42705.871018518519</v>
      </c>
      <c r="J205" s="7">
        <v>1</v>
      </c>
      <c r="K205" s="109" t="str">
        <f>IF(ISEVEN(B205),(B205-1)&amp;"/"&amp;B205,B205&amp;"/"&amp;(B205+1))</f>
        <v>4003/4004</v>
      </c>
      <c r="L205" s="22" t="str">
        <f>VLOOKUP(A205,'Trips&amp;Operators'!$C$1:$G$99999,5,FALSE)</f>
        <v>DAVIDSON DAVID</v>
      </c>
      <c r="M205" s="6">
        <f>I205-F205</f>
        <v>1.1203703703358769E-2</v>
      </c>
      <c r="N205" s="7">
        <f>24*60*SUM($M205:$M205)</f>
        <v>16.133333332836628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https://search-rtdc-monitor-bjffxe2xuh6vdkpspy63sjmuny.us-east-1.es.amazonaws.com/_plugin/kibana/#/discover/Steve-Slow-Train-Analysis-(2080s-and-2083s)?_g=(refreshInterval:(display:Off,section:0,value:0),time:(from:'2016-12-01 19:36:22-700',mode:absolute,to:'2016-12-01 21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5" s="52" t="str">
        <f>IF(AA205&lt;IF(AG205="EC",23,5.65),"Y","N")</f>
        <v>N</v>
      </c>
      <c r="X205" s="177">
        <f>VALUE(LEFT(AD205,4))-VALUE(LEFT(AD204,4))</f>
        <v>1</v>
      </c>
      <c r="Y205" s="67">
        <f>RIGHT(D205,LEN(D205)-4)/10000</f>
        <v>5.8623000000000003</v>
      </c>
      <c r="Z205" s="67">
        <f>RIGHT(H205,LEN(H205)-4)/10000</f>
        <v>7.3300000000000004E-2</v>
      </c>
      <c r="AA205" s="67">
        <f>ABS(Z205-Y205)</f>
        <v>5.7890000000000006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>IF(LEN(A205)=6,"0"&amp;A205,A205)</f>
        <v>0842-01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/stypes="app*4004*20161202*" /stext=" 03:.+((SYSTEM_STATE.+slice.+state.+changed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92" t="str">
        <f t="shared" ref="AH205:AH239" si="1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842-01 --locoid 4004 --swversion DE.1.0.8.0 --startMP 300:58623 --initTime 2016-12-01T20:36:22 --startdatetime 2016-12-01T20:38:08 --delay 1 --endMP 204:733 --enddatetime 2016-12-01T20:54:16 --enforcementcount 1 &gt;&gt;C:\Users\stu\Documents\GitHub\eaglep3-reporting\EC\2016-12-01-refined-times.txt</v>
      </c>
      <c r="AI205" s="119" t="str">
        <f t="shared" ref="AI205:AI239" si="1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{"issue":{"subject":"","project_id":79,"tracker_id":40,"status_id":1,"priority_id":2,"assigned_to_id":23,"start_date":"2016-12-01","description":"","custom_fields":[{"id":1,"name":"Subdivision","value":"NW"},{"id":4,"name":"Milepost","value":"0.0733"},{"id":17,"name":"Train ID","value":"842-01"},{"id":16,"name":"Locomotive ID","value":"4004"},{"id":130,"name":"Impact","value":""},{"id":150,"name":"Time of Event (Mountain Time)","value":"20:54:16"},{"id":151,"name":"Denver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633</v>
      </c>
      <c r="B206" s="7">
        <v>4003</v>
      </c>
      <c r="C206" s="22" t="s">
        <v>210</v>
      </c>
      <c r="D206" s="22" t="s">
        <v>825</v>
      </c>
      <c r="E206" s="13">
        <v>42705.844270833331</v>
      </c>
      <c r="F206" s="13">
        <v>42705.848333333335</v>
      </c>
      <c r="G206" s="7">
        <v>1</v>
      </c>
      <c r="H206" s="22" t="s">
        <v>826</v>
      </c>
      <c r="I206" s="13">
        <v>42705.857407407406</v>
      </c>
      <c r="J206" s="7">
        <v>1</v>
      </c>
      <c r="K206" s="109" t="str">
        <f>IF(ISEVEN(B206),(B206-1)&amp;"/"&amp;B206,B206&amp;"/"&amp;(B206+1))</f>
        <v>4003/4004</v>
      </c>
      <c r="L206" s="22" t="str">
        <f>VLOOKUP(A206,'Trips&amp;Operators'!$C$1:$G$99999,5,FALSE)</f>
        <v>DAVIDSON DAVID</v>
      </c>
      <c r="M206" s="6">
        <f>I206-F206</f>
        <v>9.074074070667848E-3</v>
      </c>
      <c r="N206" s="7">
        <f>24*60*SUM($M206:$M206)</f>
        <v>13.066666661761701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https://search-rtdc-monitor-bjffxe2xuh6vdkpspy63sjmuny.us-east-1.es.amazonaws.com/_plugin/kibana/#/discover/Steve-Slow-Train-Analysis-(2080s-and-2083s)?_g=(refreshInterval:(display:Off,section:0,value:0),time:(from:'2016-12-01 19:15:45-700',mode:absolute,to:'2016-12-01 21:34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6" s="52" t="str">
        <f>IF(AA206&lt;IF(AG206="EC",23,5.65),"Y","N")</f>
        <v>N</v>
      </c>
      <c r="X206" s="177">
        <f>VALUE(LEFT(AD206,4))-VALUE(LEFT(AD205,4))</f>
        <v>1</v>
      </c>
      <c r="Y206" s="67">
        <f>RIGHT(D206,LEN(D206)-4)/10000</f>
        <v>0.10299999999999999</v>
      </c>
      <c r="Z206" s="67">
        <v>5.8</v>
      </c>
      <c r="AA206" s="67">
        <f>ABS(Z206-Y206)</f>
        <v>5.6970000000000001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>IF(LEN(A206)=6,"0"&amp;A206,A206)</f>
        <v>0843-01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/stypes="app*4003*20161202*" /stext=" 03:.+((SYSTEM_STATE.+slice.+state.+changed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NW</v>
      </c>
      <c r="AH206" s="92" t="str">
        <f t="shared" si="13"/>
        <v>"%USERPROFILE%\Documents\GitHub\eaglep3\Utilities\RefineRTDCRunTimes.py" --tripid 843-01 --locoid 4003 --swversion DE.1.0.8.0 --startMP 204:1030 --initTime 2016-12-01T20:15:45 --startdatetime 2016-12-01T20:21:36 --delay 1 --endMP 300:28639 --enddatetime 2016-12-01T20:34:40 --enforcementcount 1 &gt;&gt;C:\Users\stu\Documents\GitHub\eaglep3-reporting\EC\2016-12-01-refined-times.txt</v>
      </c>
      <c r="AI206" s="119" t="str">
        <f t="shared" si="14"/>
        <v>echo {"issue":{"subject":"","project_id":79,"tracker_id":40,"status_id":1,"priority_id":2,"assigned_to_id":23,"start_date":"2016-12-01","description":"","custom_fields":[{"id":1,"name":"Subdivision","value":"NW"},{"id":4,"name":"Milepost","value":"5.8"},{"id":17,"name":"Train ID","value":"843-01"},{"id":16,"name":"Locomotive ID","value":"4003"},{"id":130,"name":"Impact","value":""},{"id":150,"name":"Time of Event (Mountain Time)","value":"20:34:40"},{"id":151,"name":"Denver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641</v>
      </c>
      <c r="B207" s="7">
        <v>4004</v>
      </c>
      <c r="C207" s="22" t="s">
        <v>210</v>
      </c>
      <c r="D207" s="22" t="s">
        <v>324</v>
      </c>
      <c r="E207" s="13">
        <v>42705.90148148148</v>
      </c>
      <c r="F207" s="13">
        <v>42705.902719907404</v>
      </c>
      <c r="G207" s="7">
        <v>1</v>
      </c>
      <c r="H207" s="22" t="s">
        <v>800</v>
      </c>
      <c r="I207" s="13">
        <v>42705.912627314814</v>
      </c>
      <c r="J207" s="7">
        <v>1</v>
      </c>
      <c r="K207" s="109" t="str">
        <f>IF(ISEVEN(B207),(B207-1)&amp;"/"&amp;B207,B207&amp;"/"&amp;(B207+1))</f>
        <v>4003/4004</v>
      </c>
      <c r="L207" s="22" t="str">
        <f>VLOOKUP(A207,'Trips&amp;Operators'!$C$1:$G$99999,5,FALSE)</f>
        <v>YANAI IAN</v>
      </c>
      <c r="M207" s="6">
        <f>I207-F207</f>
        <v>9.9074074096279219E-3</v>
      </c>
      <c r="N207" s="7">
        <f>24*60*SUM($M207:$M207)</f>
        <v>14.266666669864208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https://search-rtdc-monitor-bjffxe2xuh6vdkpspy63sjmuny.us-east-1.es.amazonaws.com/_plugin/kibana/#/discover/Steve-Slow-Train-Analysis-(2080s-and-2083s)?_g=(refreshInterval:(display:Off,section:0,value:0),time:(from:'2016-12-01 20:38:08-700',mode:absolute,to:'2016-12-01 22:54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7" s="52" t="str">
        <f>IF(AA207&lt;IF(AG207="EC",23,5.65),"Y","N")</f>
        <v>N</v>
      </c>
      <c r="X207" s="177">
        <f>VALUE(LEFT(AD207,4))-VALUE(LEFT(AD206,4))</f>
        <v>1</v>
      </c>
      <c r="Y207" s="67">
        <f>RIGHT(D207,LEN(D207)-4)/10000</f>
        <v>5.8635999999999999</v>
      </c>
      <c r="Z207" s="67">
        <f>RIGHT(H207,LEN(H207)-4)/10000</f>
        <v>6.8199999999999997E-2</v>
      </c>
      <c r="AA207" s="67">
        <f>ABS(Z207-Y207)</f>
        <v>5.7953999999999999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>IF(LEN(A207)=6,"0"&amp;A207,A207)</f>
        <v>0844-01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/stypes="app*4004*20161202*" /stext=" 04:.+((SYSTEM_STATE.+slice.+state.+changed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NW</v>
      </c>
      <c r="AH207" s="92" t="str">
        <f t="shared" si="13"/>
        <v>"%USERPROFILE%\Documents\GitHub\eaglep3\Utilities\RefineRTDCRunTimes.py" --tripid 844-01 --locoid 4004 --swversion DE.1.0.8.0 --startMP 300:58636 --initTime 2016-12-01T21:38:08 --startdatetime 2016-12-01T21:39:55 --delay 1 --endMP 204:682 --enddatetime 2016-12-01T21:54:11 --enforcementcount 1 &gt;&gt;C:\Users\stu\Documents\GitHub\eaglep3-reporting\EC\2016-12-01-refined-times.txt</v>
      </c>
      <c r="AI207" s="119" t="str">
        <f t="shared" si="14"/>
        <v>echo {"issue":{"subject":"","project_id":79,"tracker_id":40,"status_id":1,"priority_id":2,"assigned_to_id":23,"start_date":"2016-12-01","description":"","custom_fields":[{"id":1,"name":"Subdivision","value":"NW"},{"id":4,"name":"Milepost","value":"0.0682"},{"id":17,"name":"Train ID","value":"844-01"},{"id":16,"name":"Locomotive ID","value":"4004"},{"id":130,"name":"Impact","value":""},{"id":150,"name":"Time of Event (Mountain Time)","value":"21:54:11"},{"id":151,"name":"Denver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638</v>
      </c>
      <c r="B208" s="7">
        <v>4003</v>
      </c>
      <c r="C208" s="22" t="s">
        <v>210</v>
      </c>
      <c r="D208" s="22" t="s">
        <v>383</v>
      </c>
      <c r="E208" s="13">
        <v>42705.871539351851</v>
      </c>
      <c r="F208" s="13">
        <v>42705.889745370368</v>
      </c>
      <c r="G208" s="7">
        <v>2</v>
      </c>
      <c r="H208" s="22" t="s">
        <v>826</v>
      </c>
      <c r="I208" s="13">
        <v>42705.894363425927</v>
      </c>
      <c r="J208" s="7">
        <v>1</v>
      </c>
      <c r="K208" s="109" t="str">
        <f>IF(ISEVEN(B208),(B208-1)&amp;"/"&amp;B208,B208&amp;"/"&amp;(B208+1))</f>
        <v>4003/4004</v>
      </c>
      <c r="L208" s="22" t="str">
        <f>VLOOKUP(A208,'Trips&amp;Operators'!$C$1:$G$99999,5,FALSE)</f>
        <v>YANAI IAN</v>
      </c>
      <c r="M208" s="6">
        <f>I208-F208</f>
        <v>4.6180555582395755E-3</v>
      </c>
      <c r="N208" s="7"/>
      <c r="O208" s="7"/>
      <c r="P208" s="7">
        <f>24*60*SUM($M208:$M208)</f>
        <v>6.6500000038649887</v>
      </c>
      <c r="Q208" s="23"/>
      <c r="R208" s="23" t="s">
        <v>352</v>
      </c>
      <c r="S208" s="35">
        <f>SUM(U208:U208)/IF(AG208="EC",12,1)</f>
        <v>1</v>
      </c>
      <c r="T208" s="50" t="str">
        <f>IF(ISEVEN(LEFT(AD208,4)),"Southbound","NorthBound")</f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https://search-rtdc-monitor-bjffxe2xuh6vdkpspy63sjmuny.us-east-1.es.amazonaws.com/_plugin/kibana/#/discover/Steve-Slow-Train-Analysis-(2080s-and-2083s)?_g=(refreshInterval:(display:Off,section:0,value:0),time:(from:'2016-12-01 19:55:01-700',mode:absolute,to:'2016-12-01 22:27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8" s="52" t="str">
        <f>IF(AA208&lt;IF(AG208="EC",23,5.65),"Y","N")</f>
        <v>Y</v>
      </c>
      <c r="X208" s="177">
        <f>VALUE(LEFT(AD208,4))-VALUE(LEFT(AD207,4))</f>
        <v>1</v>
      </c>
      <c r="Y208" s="67">
        <f>RIGHT(D208,LEN(D208)-4)/10000</f>
        <v>0.10349999999999999</v>
      </c>
      <c r="Z208" s="67">
        <f>RIGHT(H208,LEN(H208)-4)/10000</f>
        <v>2.8639000000000001</v>
      </c>
      <c r="AA208" s="67">
        <f>ABS(Z208-Y208)</f>
        <v>2.7604000000000002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>IF(LEN(A208)=6,"0"&amp;A208,A208)</f>
        <v>0845-01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/stypes="app*4003*20161202*" /stext=" 04:.+((SYSTEM_STATE.+slice.+state.+changed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NW</v>
      </c>
      <c r="AH208" s="92" t="str">
        <f t="shared" si="13"/>
        <v>"%USERPROFILE%\Documents\GitHub\eaglep3\Utilities\RefineRTDCRunTimes.py" --tripid 845-01 --locoid 4003 --swversion DE.1.0.8.0 --startMP 204:1035 --initTime 2016-12-01T20:55:01 --startdatetime 2016-12-01T21:21:14 --delay 2 --endMP 300:28639 --enddatetime 2016-12-01T21:27:53 --enforcementcount 1 &gt;&gt;C:\Users\stu\Documents\GitHub\eaglep3-reporting\EC\2016-12-01-refined-times.txt</v>
      </c>
      <c r="AI208" s="119" t="str">
        <f t="shared" si="14"/>
        <v>echo {"issue":{"subject":"Wi-MAX data drop","project_id":79,"tracker_id":40,"status_id":1,"priority_id":2,"assigned_to_id":23,"start_date":"2016-12-01","description":"http://stevetu21.github.io/eaglep3/load_kml.html?kml=http://rtdc.gmaps-snips.s3.amazonaws.com/5ba10d5c-6e11-43b5-9cda-f20747bf9b9a.kml","custom_fields":[{"id":1,"name":"Subdivision","value":"NW"},{"id":4,"name":"Milepost","value":"2.8639"},{"id":17,"name":"Train ID","value":"845-01"},{"id":16,"name":"Locomotive ID","value":"4003"},{"id":130,"name":"Impact","value":"Unexpected Cut-Out or Disengaged"},{"id":150,"name":"Time of Event (Mountain Time)","value":"21:27:53"},{"id":151,"name":"Denver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208" s="53" t="s">
        <v>864</v>
      </c>
      <c r="AK208" s="53" t="s">
        <v>131</v>
      </c>
      <c r="AL208" s="53" t="s">
        <v>138</v>
      </c>
    </row>
    <row r="209" spans="1:38" x14ac:dyDescent="0.25">
      <c r="A209" s="37" t="s">
        <v>644</v>
      </c>
      <c r="B209" s="7">
        <v>4003</v>
      </c>
      <c r="C209" s="22" t="s">
        <v>210</v>
      </c>
      <c r="D209" s="22" t="s">
        <v>325</v>
      </c>
      <c r="E209" s="13">
        <v>42705.913784722223</v>
      </c>
      <c r="F209" s="13">
        <v>42705.931400462963</v>
      </c>
      <c r="G209" s="7">
        <v>1</v>
      </c>
      <c r="H209" s="22" t="s">
        <v>797</v>
      </c>
      <c r="I209" s="13">
        <v>42705.940069444441</v>
      </c>
      <c r="J209" s="7">
        <v>1</v>
      </c>
      <c r="K209" s="109" t="str">
        <f>IF(ISEVEN(B209),(B209-1)&amp;"/"&amp;B209,B209&amp;"/"&amp;(B209+1))</f>
        <v>4003/4004</v>
      </c>
      <c r="L209" s="22" t="str">
        <f>VLOOKUP(A209,'Trips&amp;Operators'!$C$1:$G$99999,5,FALSE)</f>
        <v>YANAI IAN</v>
      </c>
      <c r="M209" s="6">
        <f>I209-F209</f>
        <v>8.6689814779674634E-3</v>
      </c>
      <c r="N209" s="7">
        <f>24*60*SUM($M209:$M209)</f>
        <v>12.483333328273147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https://search-rtdc-monitor-bjffxe2xuh6vdkpspy63sjmuny.us-east-1.es.amazonaws.com/_plugin/kibana/#/discover/Steve-Slow-Train-Analysis-(2080s-and-2083s)?_g=(refreshInterval:(display:Off,section:0,value:0),time:(from:'2016-12-01 20:55:51-700',mode:absolute,to:'2016-12-01 23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9" s="52" t="str">
        <f>IF(AA209&lt;IF(AG209="EC",23,5.65),"Y","N")</f>
        <v>N</v>
      </c>
      <c r="X209" s="177">
        <f>VALUE(LEFT(AD209,4))-VALUE(LEFT(AD208,4))</f>
        <v>2</v>
      </c>
      <c r="Y209" s="67">
        <f>RIGHT(D209,LEN(D209)-4)/10000</f>
        <v>9.7100000000000006E-2</v>
      </c>
      <c r="Z209" s="67">
        <f>RIGHT(H209,LEN(H209)-4)/10000</f>
        <v>5.8940999999999999</v>
      </c>
      <c r="AA209" s="67">
        <f>ABS(Z209-Y209)</f>
        <v>5.7969999999999997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>IF(LEN(A209)=6,"0"&amp;A209,A209)</f>
        <v>0847-01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/stypes="app*4003*20161202*" /stext=" 05:.+((SYSTEM_STATE.+slice.+state.+changed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NW</v>
      </c>
      <c r="AH209" s="92" t="str">
        <f t="shared" si="13"/>
        <v>"%USERPROFILE%\Documents\GitHub\eaglep3\Utilities\RefineRTDCRunTimes.py" --tripid 847-01 --locoid 4003 --swversion DE.1.0.8.0 --startMP 204:971 --initTime 2016-12-01T21:55:51 --startdatetime 2016-12-01T22:21:13 --delay 1 --endMP 300:58941 --enddatetime 2016-12-01T22:33:42 --enforcementcount 1 &gt;&gt;C:\Users\stu\Documents\GitHub\eaglep3-reporting\EC\2016-12-01-refined-times.txt</v>
      </c>
      <c r="AI209" s="119" t="str">
        <f t="shared" si="14"/>
        <v>echo {"issue":{"subject":"","project_id":79,"tracker_id":40,"status_id":1,"priority_id":2,"assigned_to_id":23,"start_date":"2016-12-01","description":"","custom_fields":[{"id":1,"name":"Subdivision","value":"NW"},{"id":4,"name":"Milepost","value":"5.8941"},{"id":17,"name":"Train ID","value":"847-01"},{"id":16,"name":"Locomotive ID","value":"4003"},{"id":130,"name":"Impact","value":""},{"id":150,"name":"Time of Event (Mountain Time)","value":"22:33:42"},{"id":151,"name":"Denver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447</v>
      </c>
      <c r="B210" s="7">
        <v>4007</v>
      </c>
      <c r="C210" s="22" t="s">
        <v>210</v>
      </c>
      <c r="D210" s="22" t="s">
        <v>365</v>
      </c>
      <c r="E210" s="13">
        <v>42705.778738425928</v>
      </c>
      <c r="F210" s="13">
        <v>42705.78052083333</v>
      </c>
      <c r="G210" s="7">
        <v>0</v>
      </c>
      <c r="H210" s="22" t="s">
        <v>745</v>
      </c>
      <c r="I210" s="13">
        <v>42705.785729166666</v>
      </c>
      <c r="J210" s="7">
        <v>1</v>
      </c>
      <c r="K210" s="109" t="str">
        <f>IF(ISEVEN(B210),(B210-1)&amp;"/"&amp;B210,B210&amp;"/"&amp;(B210+1))</f>
        <v>4007/4008</v>
      </c>
      <c r="L210" s="22" t="str">
        <f>VLOOKUP(A210,'Trips&amp;Operators'!$C$1:$G$99999,5,FALSE)</f>
        <v>BROWN JACOB</v>
      </c>
      <c r="M210" s="6">
        <f>I210-F210</f>
        <v>5.2083333357586525E-3</v>
      </c>
      <c r="N210" s="7">
        <f>24*60*SUM($M210:$M210)</f>
        <v>7.5000000034924597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https://search-rtdc-monitor-bjffxe2xuh6vdkpspy63sjmuny.us-east-1.es.amazonaws.com/_plugin/kibana/#/discover/Steve-Slow-Train-Analysis-(2080s-and-2083s)?_g=(refreshInterval:(display:Off,section:0,value:0),time:(from:'2016-12-01 17:41:23-700',mode:absolute,to:'2016-12-01 19:51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0" s="52" t="str">
        <f>IF(AA210&lt;IF(AG210="EC",23,5.65),"Y","N")</f>
        <v>Y</v>
      </c>
      <c r="X210" s="177">
        <f>VALUE(LEFT(AD210,4))-VALUE(LEFT(AD209,4))</f>
        <v>-544</v>
      </c>
      <c r="Y210" s="67">
        <f>RIGHT(D210,LEN(D210)-4)/10000</f>
        <v>4.4600000000000001E-2</v>
      </c>
      <c r="Z210" s="67">
        <f>RIGHT(H210,LEN(H210)-4)/10000</f>
        <v>2.2168000000000001</v>
      </c>
      <c r="AA210" s="67">
        <f>ABS(Z210-Y210)</f>
        <v>2.1722000000000001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>IF(LEN(A210)=6,"0"&amp;A210,A210)</f>
        <v>0303-01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/stypes="app*4007*20161202*" /stext=" 01:.+((SYSTEM_STATE.+slice.+state.+changed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13"/>
        <v>"%USERPROFILE%\Documents\GitHub\eaglep3\Utilities\RefineRTDCRunTimes.py" --tripid 303-01 --locoid 4007 --swversion DE.1.0.8.0 --startMP 204:446 --initTime 2016-12-01T18:41:23 --startdatetime 2016-12-01T18:43:57 --delay 0 --endMP 300:22168 --enddatetime 2016-12-01T18:51:27 --enforcementcount 1 &gt;&gt;C:\Users\stu\Documents\GitHub\eaglep3-reporting\EC\2016-12-01-refined-times.txt</v>
      </c>
      <c r="AI210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{"issue":{"subject":"","project_id":79,"tracker_id":40,"status_id":1,"priority_id":2,"assigned_to_id":23,"start_date":"2016-12-01","description":"","custom_fields":[{"id":1,"name":"Subdivision","value":"Other"},{"id":4,"name":"Milepost","value":"2.2168"},{"id":17,"name":"Train ID","value":"303-01"},{"id":16,"name":"Locomotive ID","value":"4007"},{"id":130,"name":"Impact","value":""},{"id":150,"name":"Time of Event (Mountain Time)","value":"18:51:27"},{"id":151,"name":"Denver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456</v>
      </c>
      <c r="B211" s="7">
        <v>4010</v>
      </c>
      <c r="C211" s="22" t="s">
        <v>210</v>
      </c>
      <c r="D211" s="22" t="s">
        <v>746</v>
      </c>
      <c r="E211" s="13">
        <v>42705.139768518522</v>
      </c>
      <c r="F211" s="13">
        <v>42705.141458333332</v>
      </c>
      <c r="G211" s="7">
        <v>1</v>
      </c>
      <c r="H211" s="22" t="s">
        <v>212</v>
      </c>
      <c r="I211" s="13">
        <v>42705.1481712963</v>
      </c>
      <c r="J211" s="7">
        <v>1</v>
      </c>
      <c r="K211" s="109" t="str">
        <f>IF(ISEVEN(B211),(B211-1)&amp;"/"&amp;B211,B211&amp;"/"&amp;(B211+1))</f>
        <v>4009/4010</v>
      </c>
      <c r="L211" s="22" t="str">
        <f>VLOOKUP(A211,'Trips&amp;Operators'!$C$1:$G$99999,5,FALSE)</f>
        <v>SPECTOR MICHAEL</v>
      </c>
      <c r="M211" s="6">
        <f>I211-F211</f>
        <v>6.7129629678674974E-3</v>
      </c>
      <c r="N211" s="7">
        <f>24*60*SUM($M211:$M211)</f>
        <v>9.6666666737291962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https://search-rtdc-monitor-bjffxe2xuh6vdkpspy63sjmuny.us-east-1.es.amazonaws.com/_plugin/kibana/#/discover/Steve-Slow-Train-Analysis-(2080s-and-2083s)?_g=(refreshInterval:(display:Off,section:0,value:0),time:(from:'2016-12-01 02:21:16-700',mode:absolute,to:'2016-12-01 04:33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1" s="52" t="str">
        <f>IF(AA211&lt;IF(AG211="EC",23,5.65),"Y","N")</f>
        <v>Y</v>
      </c>
      <c r="X211" s="177">
        <f>VALUE(LEFT(AD211,4))-VALUE(LEFT(AD210,4))</f>
        <v>1</v>
      </c>
      <c r="Y211" s="67">
        <f>RIGHT(D211,LEN(D211)-4)/10000</f>
        <v>2.3184</v>
      </c>
      <c r="Z211" s="67">
        <f>RIGHT(H211,LEN(H211)-4)/10000</f>
        <v>1.5800000000000002E-2</v>
      </c>
      <c r="AA211" s="67">
        <f>ABS(Z211-Y211)</f>
        <v>2.3026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>IF(LEN(A211)=6,"0"&amp;A211,A211)</f>
        <v>0304-01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/stypes="app*4010*20161201*" /stext=" 10:.+((SYSTEM_STATE.+slice.+state.+changed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13"/>
        <v>"%USERPROFILE%\Documents\GitHub\eaglep3\Utilities\RefineRTDCRunTimes.py" --tripid 304-01 --locoid 4010 --swversion DE.1.0.8.0 --startMP 300:23184 --initTime 2016-12-01T03:21:16 --startdatetime 2016-12-01T03:23:42 --delay 1 --endMP 204:158 --enddatetime 2016-12-01T03:33:22 --enforcementcount 1 &gt;&gt;C:\Users\stu\Documents\GitHub\eaglep3-reporting\EC\2016-12-01-refined-times.txt</v>
      </c>
      <c r="AI211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{"issue":{"subject":"","project_id":79,"tracker_id":40,"status_id":1,"priority_id":2,"assigned_to_id":23,"start_date":"2016-12-01","description":"","custom_fields":[{"id":1,"name":"Subdivision","value":"Other"},{"id":4,"name":"Milepost","value":"0.0158"},{"id":17,"name":"Train ID","value":"304-01"},{"id":16,"name":"Locomotive ID","value":"4010"},{"id":130,"name":"Impact","value":""},{"id":150,"name":"Time of Event (Mountain Time)","value":"03:33:22"},{"id":151,"name":"Denver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626</v>
      </c>
      <c r="B212" s="7">
        <v>4016</v>
      </c>
      <c r="C212" s="22" t="s">
        <v>210</v>
      </c>
      <c r="D212" s="22" t="s">
        <v>195</v>
      </c>
      <c r="E212" s="13">
        <v>42705.801469907405</v>
      </c>
      <c r="F212" s="13">
        <v>25568.708333333332</v>
      </c>
      <c r="G212" s="7">
        <v>1</v>
      </c>
      <c r="H212" s="22" t="s">
        <v>747</v>
      </c>
      <c r="I212" s="13">
        <v>25568.708333333332</v>
      </c>
      <c r="J212" s="7">
        <v>1</v>
      </c>
      <c r="K212" s="109" t="str">
        <f>IF(ISEVEN(B212),(B212-1)&amp;"/"&amp;B212,B212&amp;"/"&amp;(B212+1))</f>
        <v>4015/4016</v>
      </c>
      <c r="L212" s="22" t="str">
        <f>VLOOKUP(A212,'Trips&amp;Operators'!$C$1:$G$99999,5,FALSE)</f>
        <v>ARVIDSON DANIEL</v>
      </c>
      <c r="M212" s="6">
        <f>I212-F212</f>
        <v>0</v>
      </c>
      <c r="N212" s="7">
        <f>24*60*SUM($M212:$M212)</f>
        <v>0</v>
      </c>
      <c r="O212" s="7"/>
      <c r="P212" s="7"/>
      <c r="Q212" s="23"/>
      <c r="R212" s="23"/>
      <c r="S212" s="35">
        <f>SUM(U212:U212)/IF(AG212="EC",12,1)</f>
        <v>1</v>
      </c>
      <c r="T212" s="50" t="str">
        <f>IF(ISEVEN(LEFT(AD212,4)),"Southbound","NorthBound")</f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https://search-rtdc-monitor-bjffxe2xuh6vdkpspy63sjmuny.us-east-1.es.amazonaws.com/_plugin/kibana/#/discover/Steve-Slow-Train-Analysis-(2080s-and-2083s)?_g=(refreshInterval:(display:Off,section:0,value:0),time:(from:'2016-12-01 18:14:07-700',mode:absolute,to:'1969-12-31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2" s="52" t="str">
        <f>IF(AA212&lt;IF(AG212="EC",23,5.65),"Y","N")</f>
        <v>Y</v>
      </c>
      <c r="X212" s="177">
        <f>VALUE(LEFT(AD212,4))-VALUE(LEFT(AD211,4))</f>
        <v>1</v>
      </c>
      <c r="Y212" s="67">
        <f>RIGHT(D212,LEN(D212)-4)/10000</f>
        <v>4.5100000000000001E-2</v>
      </c>
      <c r="Z212" s="67">
        <f>RIGHT(H212,LEN(H212)-4)/10000</f>
        <v>2.3308</v>
      </c>
      <c r="AA212" s="67">
        <f>ABS(Z212-Y212)</f>
        <v>2.2856999999999998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>IF(LEN(A212)=6,"0"&amp;A212,A212)</f>
        <v>0305-01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13"/>
        <v>"%USERPROFILE%\Documents\GitHub\eaglep3\Utilities\RefineRTDCRunTimes.py" --tripid 305-01 --locoid 4016 --swversion DE.1.0.8.0 --startMP 204:451 --initTime 2016-12-01T19:14:07 --startdatetime 1969-12-31T17:00:00 --delay 1 --endMP 300:23308 --enddatetime 1969-12-31T17:00:00 --enforcementcount 1 &gt;&gt;C:\Users\stu\Documents\GitHub\eaglep3-reporting\EC\2016-12-01-refined-times.txt</v>
      </c>
      <c r="AI212" s="119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ID","value":"305-01"},{"id":16,"name":"Locomotive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458</v>
      </c>
      <c r="B213" s="7">
        <v>4015</v>
      </c>
      <c r="C213" s="22" t="s">
        <v>210</v>
      </c>
      <c r="D213" s="22" t="s">
        <v>748</v>
      </c>
      <c r="E213" s="13">
        <v>42705.157025462962</v>
      </c>
      <c r="F213" s="13">
        <v>42705.158310185187</v>
      </c>
      <c r="G213" s="7">
        <v>1</v>
      </c>
      <c r="H213" s="22">
        <v>8.5409722222222211</v>
      </c>
      <c r="I213" s="13">
        <v>42705.167453703703</v>
      </c>
      <c r="J213" s="7">
        <v>1</v>
      </c>
      <c r="K213" s="109" t="str">
        <f>IF(ISEVEN(B213),(B213-1)&amp;"/"&amp;B213,B213&amp;"/"&amp;(B213+1))</f>
        <v>4015/4016</v>
      </c>
      <c r="L213" s="22" t="str">
        <f>VLOOKUP(A213,'Trips&amp;Operators'!$C$1:$G$99999,5,FALSE)</f>
        <v>ROBINSON KADDIBA</v>
      </c>
      <c r="M213" s="6">
        <f>I213-F213</f>
        <v>9.1435185167938471E-3</v>
      </c>
      <c r="N213" s="7">
        <f>24*60*SUM($M213:$M213)</f>
        <v>13.16666666418314</v>
      </c>
      <c r="O213" s="7"/>
      <c r="P213" s="7"/>
      <c r="Q213" s="23"/>
      <c r="R213" s="23"/>
      <c r="S213" s="35">
        <f>SUM(U213:U213)/IF(AG213="EC",12,1)</f>
        <v>0</v>
      </c>
      <c r="T213" s="50" t="str">
        <f>IF(ISEVEN(LEFT(AD213,4)),"Southbound","NorthBound")</f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https://search-rtdc-monitor-bjffxe2xuh6vdkpspy63sjmuny.us-east-1.es.amazonaws.com/_plugin/kibana/#/discover/Steve-Slow-Train-Analysis-(2080s-and-2083s)?_g=(refreshInterval:(display:Off,section:0,value:0),time:(from:'2016-12-01 02:46:07-700',mode:absolute,to:'2016-12-01 05:01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3" s="52" t="str">
        <f>IF(AA213&lt;IF(AG213="EC",23,5.65),"Y","N")</f>
        <v>N</v>
      </c>
      <c r="X213" s="177">
        <f>VALUE(LEFT(AD213,4))-VALUE(LEFT(AD212,4))</f>
        <v>1</v>
      </c>
      <c r="Y213" s="67">
        <f>RIGHT(D213,LEN(D213)-4)/10000</f>
        <v>2.3191999999999999</v>
      </c>
      <c r="Z213" s="67">
        <f>RIGHT(H213,LEN(H213)-4)/10000</f>
        <v>9722222.2222000007</v>
      </c>
      <c r="AA213" s="67">
        <f>ABS(Z213-Y213)</f>
        <v>9722219.9030000009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>IF(LEN(A213)=6,"0"&amp;A213,A213)</f>
        <v>0306-01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/stypes="app*4015*20161201*" /stext=" 11:.+((SYSTEM_STATE.+slice.+state.+changed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13"/>
        <v>"%USERPROFILE%\Documents\GitHub\eaglep3\Utilities\RefineRTDCRunTimes.py" --tripid 306-01 --locoid 4015 --swversion DE.1.0.8.0 --startMP 300:23192 --initTime 2016-12-01T03:46:07 --startdatetime 2016-12-01T03:47:58 --delay 1 --endMP 8.54097222222222 --enddatetime 2016-12-01T04:01:08 --enforcementcount 1 &gt;&gt;C:\Users\stu\Documents\GitHub\eaglep3-reporting\EC\2016-12-01-refined-times.txt</v>
      </c>
      <c r="AI213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9722222.2222"},{"id":17,"name":"Train ID","value":"306-01"},{"id":16,"name":"Locomotive ID","value":"4015"},{"id":130,"name":"Impact","value":""},{"id":150,"name":"Time of Event (Mountain Time)","value":"04:01:08"},{"id":151,"name":"Denver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630</v>
      </c>
      <c r="B214" s="7">
        <v>4002</v>
      </c>
      <c r="C214" s="22" t="s">
        <v>210</v>
      </c>
      <c r="D214" s="22" t="s">
        <v>749</v>
      </c>
      <c r="E214" s="13">
        <v>42705.821145833332</v>
      </c>
      <c r="F214" s="13">
        <v>25568.708333333332</v>
      </c>
      <c r="G214" s="7">
        <v>1</v>
      </c>
      <c r="H214" s="22" t="s">
        <v>750</v>
      </c>
      <c r="I214" s="13">
        <v>25568.708333333332</v>
      </c>
      <c r="J214" s="7">
        <v>1</v>
      </c>
      <c r="K214" s="109" t="str">
        <f>IF(ISEVEN(B214),(B214-1)&amp;"/"&amp;B214,B214&amp;"/"&amp;(B214+1))</f>
        <v>4001/4002</v>
      </c>
      <c r="L214" s="22" t="str">
        <f>VLOOKUP(A214,'Trips&amp;Operators'!$C$1:$G$99999,5,FALSE)</f>
        <v>STORY SAMANTHA</v>
      </c>
      <c r="M214" s="6">
        <f>I214-F214</f>
        <v>0</v>
      </c>
      <c r="N214" s="7">
        <f>24*60*SUM($M214:$M214)</f>
        <v>0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https://search-rtdc-monitor-bjffxe2xuh6vdkpspy63sjmuny.us-east-1.es.amazonaws.com/_plugin/kibana/#/discover/Steve-Slow-Train-Analysis-(2080s-and-2083s)?_g=(refreshInterval:(display:Off,section:0,value:0),time:(from:'2016-12-01 18:42:27-700',mode:absolute,to:'1969-12-31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2" t="str">
        <f>IF(AA214&lt;IF(AG214="EC",23,5.65),"Y","N")</f>
        <v>Y</v>
      </c>
      <c r="X214" s="177">
        <f>VALUE(LEFT(AD214,4))-VALUE(LEFT(AD213,4))</f>
        <v>1</v>
      </c>
      <c r="Y214" s="67">
        <f>RIGHT(D214,LEN(D214)-4)/10000</f>
        <v>0.1203</v>
      </c>
      <c r="Z214" s="67">
        <f>RIGHT(H214,LEN(H214)-4)/10000</f>
        <v>2.3306</v>
      </c>
      <c r="AA214" s="67">
        <f>ABS(Z214-Y214)</f>
        <v>2.2103000000000002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>IF(LEN(A214)=6,"0"&amp;A214,A214)</f>
        <v>0307-01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13"/>
        <v>"%USERPROFILE%\Documents\GitHub\eaglep3\Utilities\RefineRTDCRunTimes.py" --tripid 307-01 --locoid 4002 --swversion DE.1.0.8.0 --startMP 204:1203 --initTime 2016-12-01T19:42:27 --startdatetime 1969-12-31T17:00:00 --delay 1 --endMP 300:23306 --enddatetime 1969-12-31T17:00:00 --enforcementcount 1 &gt;&gt;C:\Users\stu\Documents\GitHub\eaglep3-reporting\EC\2016-12-01-refined-times.txt</v>
      </c>
      <c r="AI214" s="119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ID","value":"307-01"},{"id":16,"name":"Locomotive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410</v>
      </c>
      <c r="B215" s="7">
        <v>4030</v>
      </c>
      <c r="C215" s="22" t="s">
        <v>210</v>
      </c>
      <c r="D215" s="22" t="s">
        <v>751</v>
      </c>
      <c r="E215" s="13">
        <v>42705.17423611111</v>
      </c>
      <c r="F215" s="13">
        <v>42705.175092592595</v>
      </c>
      <c r="G215" s="7">
        <v>0</v>
      </c>
      <c r="H215" s="22" t="s">
        <v>193</v>
      </c>
      <c r="I215" s="13">
        <v>42705.180312500001</v>
      </c>
      <c r="J215" s="7">
        <v>1</v>
      </c>
      <c r="K215" s="109" t="str">
        <f>IF(ISEVEN(B215),(B215-1)&amp;"/"&amp;B215,B215&amp;"/"&amp;(B215+1))</f>
        <v>4029/4030</v>
      </c>
      <c r="L215" s="22" t="str">
        <f>VLOOKUP(A215,'Trips&amp;Operators'!$C$1:$G$99999,5,FALSE)</f>
        <v>STRICKLAND EVAN</v>
      </c>
      <c r="M215" s="6">
        <f>I215-F215</f>
        <v>5.2199074052623473E-3</v>
      </c>
      <c r="N215" s="7">
        <f>24*60*SUM($M215:$M215)</f>
        <v>7.5166666635777801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https://search-rtdc-monitor-bjffxe2xuh6vdkpspy63sjmuny.us-east-1.es.amazonaws.com/_plugin/kibana/#/discover/Steve-Slow-Train-Analysis-(2080s-and-2083s)?_g=(refreshInterval:(display:Off,section:0,value:0),time:(from:'2016-12-01 03:10:54-700',mode:absolute,to:'2016-12-01 05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5" s="52" t="str">
        <f>IF(AA215&lt;IF(AG215="EC",23,5.65),"Y","N")</f>
        <v>Y</v>
      </c>
      <c r="X215" s="177">
        <f>VALUE(LEFT(AD215,4))-VALUE(LEFT(AD214,4))</f>
        <v>1</v>
      </c>
      <c r="Y215" s="67">
        <f>RIGHT(D215,LEN(D215)-4)/10000</f>
        <v>1.8476999999999999</v>
      </c>
      <c r="Z215" s="67">
        <f>RIGHT(H215,LEN(H215)-4)/10000</f>
        <v>1.43E-2</v>
      </c>
      <c r="AA215" s="67">
        <f>ABS(Z215-Y215)</f>
        <v>1.8333999999999999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>IF(LEN(A215)=6,"0"&amp;A215,A215)</f>
        <v>0308-01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/stypes="app*4030*20161201*" /stext=" 11:.+((SYSTEM_STATE.+slice.+state.+changed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13"/>
        <v>"%USERPROFILE%\Documents\GitHub\eaglep3\Utilities\RefineRTDCRunTimes.py" --tripid 308-01 --locoid 4030 --swversion DE.1.0.8.0 --startMP 300:18477 --initTime 2016-12-01T04:10:54 --startdatetime 2016-12-01T04:12:08 --delay 0 --endMP 204:143 --enddatetime 2016-12-01T04:19:39 --enforcementcount 1 &gt;&gt;C:\Users\stu\Documents\GitHub\eaglep3-reporting\EC\2016-12-01-refined-times.txt</v>
      </c>
      <c r="AI215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{"issue":{"subject":"","project_id":79,"tracker_id":40,"status_id":1,"priority_id":2,"assigned_to_id":23,"start_date":"2016-12-01","description":"","custom_fields":[{"id":1,"name":"Subdivision","value":"Other"},{"id":4,"name":"Milepost","value":"0.0143"},{"id":17,"name":"Train ID","value":"308-01"},{"id":16,"name":"Locomotive ID","value":"4030"},{"id":130,"name":"Impact","value":""},{"id":150,"name":"Time of Event (Mountain Time)","value":"04:19:39"},{"id":151,"name":"Denver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410</v>
      </c>
      <c r="B216" s="7">
        <v>4030</v>
      </c>
      <c r="C216" s="22" t="s">
        <v>210</v>
      </c>
      <c r="D216" s="22" t="s">
        <v>752</v>
      </c>
      <c r="E216" s="13">
        <v>42705.169918981483</v>
      </c>
      <c r="F216" s="13">
        <v>42705.175092592595</v>
      </c>
      <c r="G216" s="7">
        <v>1</v>
      </c>
      <c r="H216" s="22" t="s">
        <v>751</v>
      </c>
      <c r="I216" s="13">
        <v>42705.180312500001</v>
      </c>
      <c r="J216" s="7">
        <v>1</v>
      </c>
      <c r="K216" s="109" t="str">
        <f>IF(ISEVEN(B216),(B216-1)&amp;"/"&amp;B216,B216&amp;"/"&amp;(B216+1))</f>
        <v>4029/4030</v>
      </c>
      <c r="L216" s="22" t="str">
        <f>VLOOKUP(A216,'Trips&amp;Operators'!$C$1:$G$99999,5,FALSE)</f>
        <v>STRICKLAND EVAN</v>
      </c>
      <c r="M216" s="6">
        <f>I216-F216</f>
        <v>5.2199074052623473E-3</v>
      </c>
      <c r="N216" s="7">
        <f>24*60*SUM($M216:$M216)</f>
        <v>7.5166666635777801</v>
      </c>
      <c r="O216" s="7"/>
      <c r="P216" s="7"/>
      <c r="Q216" s="23"/>
      <c r="R216" s="23"/>
      <c r="S216" s="35">
        <f>SUM(U216:U216)/IF(AG216="EC",12,1)</f>
        <v>0</v>
      </c>
      <c r="T216" s="50" t="str">
        <f>IF(ISEVEN(LEFT(AD216,4)),"Southbound","NorthBound")</f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https://search-rtdc-monitor-bjffxe2xuh6vdkpspy63sjmuny.us-east-1.es.amazonaws.com/_plugin/kibana/#/discover/Steve-Slow-Train-Analysis-(2080s-and-2083s)?_g=(refreshInterval:(display:Off,section:0,value:0),time:(from:'2016-12-01 03:04:41-700',mode:absolute,to:'2016-12-01 05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6" s="52" t="str">
        <f>IF(AA216&lt;IF(AG216="EC",23,5.65),"Y","N")</f>
        <v>Y</v>
      </c>
      <c r="X216" s="177">
        <f>VALUE(LEFT(AD216,4))-VALUE(LEFT(AD215,4))</f>
        <v>0</v>
      </c>
      <c r="Y216" s="67">
        <f>RIGHT(D216,LEN(D216)-4)/10000</f>
        <v>2.1282000000000001</v>
      </c>
      <c r="Z216" s="67">
        <f>RIGHT(H216,LEN(H216)-4)/10000</f>
        <v>1.8476999999999999</v>
      </c>
      <c r="AA216" s="67">
        <f>ABS(Z216-Y216)</f>
        <v>0.28050000000000019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>IF(LEN(A216)=6,"0"&amp;A216,A216)</f>
        <v>0308-01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/stypes="app*4030*20161201*" /stext=" 11:.+((SYSTEM_STATE.+slice.+state.+changed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13"/>
        <v>"%USERPROFILE%\Documents\GitHub\eaglep3\Utilities\RefineRTDCRunTimes.py" --tripid 308-01 --locoid 4030 --swversion DE.1.0.8.0 --startMP 300:21282 --initTime 2016-12-01T04:04:41 --startdatetime 2016-12-01T04:12:08 --delay 1 --endMP 300:18477 --enddatetime 2016-12-01T04:19:39 --enforcementcount 1 &gt;&gt;C:\Users\stu\Documents\GitHub\eaglep3-reporting\EC\2016-12-01-refined-times.txt</v>
      </c>
      <c r="AI216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{"issue":{"subject":"","project_id":79,"tracker_id":40,"status_id":1,"priority_id":2,"assigned_to_id":23,"start_date":"2016-12-01","description":"","custom_fields":[{"id":1,"name":"Subdivision","value":"Other"},{"id":4,"name":"Milepost","value":"1.8477"},{"id":17,"name":"Train ID","value":"308-01"},{"id":16,"name":"Locomotive ID","value":"4030"},{"id":130,"name":"Impact","value":""},{"id":150,"name":"Time of Event (Mountain Time)","value":"04:19:39"},{"id":151,"name":"Denver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655</v>
      </c>
      <c r="B217" s="7">
        <v>4018</v>
      </c>
      <c r="C217" s="22" t="s">
        <v>210</v>
      </c>
      <c r="D217" s="22" t="s">
        <v>254</v>
      </c>
      <c r="E217" s="13">
        <v>42706.026435185187</v>
      </c>
      <c r="F217" s="13">
        <v>42706.028634259259</v>
      </c>
      <c r="G217" s="7">
        <v>3</v>
      </c>
      <c r="H217" s="22" t="s">
        <v>753</v>
      </c>
      <c r="I217" s="13">
        <v>42706.034560185188</v>
      </c>
      <c r="J217" s="7">
        <v>1</v>
      </c>
      <c r="K217" s="109" t="str">
        <f>IF(ISEVEN(B217),(B217-1)&amp;"/"&amp;B217,B217&amp;"/"&amp;(B217+1))</f>
        <v>4017/4018</v>
      </c>
      <c r="L217" s="22" t="str">
        <f>VLOOKUP(A217,'Trips&amp;Operators'!$C$1:$G$99999,5,FALSE)</f>
        <v>LEVERE CRAIG</v>
      </c>
      <c r="M217" s="6">
        <f>I217-F217</f>
        <v>5.9259259287500754E-3</v>
      </c>
      <c r="N217" s="7">
        <f>24*60*SUM($M217:$M217)</f>
        <v>8.5333333374001086</v>
      </c>
      <c r="O217" s="7"/>
      <c r="P217" s="7"/>
      <c r="Q217" s="23"/>
      <c r="R217" s="23"/>
      <c r="S217" s="35">
        <f>SUM(U217:U217)/IF(AG217="EC",12,1)</f>
        <v>1</v>
      </c>
      <c r="T217" s="50" t="str">
        <f>IF(ISEVEN(LEFT(AD217,4)),"Southbound","NorthBound")</f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https://search-rtdc-monitor-bjffxe2xuh6vdkpspy63sjmuny.us-east-1.es.amazonaws.com/_plugin/kibana/#/discover/Steve-Slow-Train-Analysis-(2080s-and-2083s)?_g=(refreshInterval:(display:Off,section:0,value:0),time:(from:'2016-12-01 23:38:04-700',mode:absolute,to:'2016-12-02 01:49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7" s="52" t="str">
        <f>IF(AA217&lt;IF(AG217="EC",23,5.65),"Y","N")</f>
        <v>Y</v>
      </c>
      <c r="X217" s="177">
        <f>VALUE(LEFT(AD217,4))-VALUE(LEFT(AD216,4))</f>
        <v>1</v>
      </c>
      <c r="Y217" s="67">
        <f>RIGHT(D217,LEN(D217)-4)/10000</f>
        <v>4.5699999999999998E-2</v>
      </c>
      <c r="Z217" s="67">
        <f>RIGHT(H217,LEN(H217)-4)/10000</f>
        <v>2.2852000000000001</v>
      </c>
      <c r="AA217" s="67">
        <f>ABS(Z217-Y217)</f>
        <v>2.2395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>IF(LEN(A217)=6,"0"&amp;A217,A217)</f>
        <v>0309-01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s3://rtdc.mdm.uploadarchive.raw/RTDC4018/ "%USERPROFILE%\AppData\Local\Temp\OnboardLogs"\RTDC4018\2016-12-02 --exclude "*" --recursive --include "*20161202*" &amp; "%USERPROFILE%\Documents\GitHub\mrs-test-scripts\Headless Mode &amp; Sideloading\WalkAndUnGZ.bat" "%USERPROFILE%\AppData\Local\Temp\OnboardLogs"\RTDC4018\2016-12-02 &amp; aws s3 cp s3://rtdc.mdm.uploadarchive.raw/RTDC4018/ "%USERPROFILE%\AppData\Local\Temp\OnboardLogs"\RTDC4018\2016-12-03 --exclude "*" --recursive --include "*20161203*" &amp; "%USERPROFILE%\Documents\GitHub\mrs-test-scripts\Headless Mode &amp; Sideloading\WalkAndUnGZ.bat" "%USERPROFILE%\AppData\Local\Temp\OnboardLogs"\RTDC4018\2016-12-03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/stypes="app*4018*20161202*" /stext=" 07:.+((SYSTEM_STATE.+slice.+state.+changed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13"/>
        <v>"%USERPROFILE%\Documents\GitHub\eaglep3\Utilities\RefineRTDCRunTimes.py" --tripid 309-01 --locoid 4018 --swversion DE.1.0.8.0 --startMP 204:457 --initTime 2016-12-02T00:38:04 --startdatetime 2016-12-02T00:41:14 --delay 3 --endMP 300:22852 --enddatetime 2016-12-02T00:49:46 --enforcementcount 1 &gt;&gt;C:\Users\stu\Documents\GitHub\eaglep3-reporting\EC\2016-12-01-refined-times.txt</v>
      </c>
      <c r="AI217" s="119" t="str">
        <f t="shared" si="14"/>
        <v>echo {"issue":{"subject":"","project_id":79,"tracker_id":40,"status_id":1,"priority_id":2,"assigned_to_id":23,"start_date":"2016-12-02","description":"","custom_fields":[{"id":1,"name":"Subdivision","value":"Other"},{"id":4,"name":"Milepost","value":"2.2852"},{"id":17,"name":"Train ID","value":"309-01"},{"id":16,"name":"Locomotive ID","value":"4018"},{"id":130,"name":"Impact","value":""},{"id":150,"name":"Time of Event (Mountain Time)","value":"00:49:46"},{"id":151,"name":"Denver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467</v>
      </c>
      <c r="B218" s="7">
        <v>4008</v>
      </c>
      <c r="C218" s="22" t="s">
        <v>210</v>
      </c>
      <c r="D218" s="22" t="s">
        <v>754</v>
      </c>
      <c r="E218" s="13">
        <v>42705.181585648148</v>
      </c>
      <c r="F218" s="13">
        <v>42705.236990740741</v>
      </c>
      <c r="G218" s="7">
        <v>1</v>
      </c>
      <c r="H218" s="22" t="s">
        <v>755</v>
      </c>
      <c r="I218" s="13">
        <v>42705.263599537036</v>
      </c>
      <c r="J218" s="7">
        <v>1</v>
      </c>
      <c r="K218" s="109" t="str">
        <f>IF(ISEVEN(B218),(B218-1)&amp;"/"&amp;B218,B218&amp;"/"&amp;(B218+1))</f>
        <v>4007/4008</v>
      </c>
      <c r="L218" s="22" t="str">
        <f>VLOOKUP(A218,'Trips&amp;Operators'!$C$1:$G$99999,5,FALSE)</f>
        <v>SAFIEF AEIMEN</v>
      </c>
      <c r="M218" s="6">
        <f>I218-F218</f>
        <v>2.6608796295477077E-2</v>
      </c>
      <c r="N218" s="7">
        <f>24*60*SUM($M218:$M218)</f>
        <v>38.316666665486991</v>
      </c>
      <c r="O218" s="7"/>
      <c r="P218" s="7"/>
      <c r="Q218" s="23"/>
      <c r="R218" s="23"/>
      <c r="S218" s="35">
        <f>SUM(U218:U218)/IF(AG218="EC",12,1)</f>
        <v>1</v>
      </c>
      <c r="T218" s="50" t="str">
        <f>IF(ISEVEN(LEFT(AD218,4)),"Southbound","NorthBound")</f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https://search-rtdc-monitor-bjffxe2xuh6vdkpspy63sjmuny.us-east-1.es.amazonaws.com/_plugin/kibana/#/discover/Steve-Slow-Train-Analysis-(2080s-and-2083s)?_g=(refreshInterval:(display:Off,section:0,value:0),time:(from:'2016-12-01 03:21:29-700',mode:absolute,to:'2016-12-01 07:19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8" s="52" t="str">
        <f>IF(AA218&lt;IF(AG218="EC",23,5.65),"Y","N")</f>
        <v>Y</v>
      </c>
      <c r="X218" s="177">
        <f>VALUE(LEFT(AD218,4))-VALUE(LEFT(AD217,4))</f>
        <v>1</v>
      </c>
      <c r="Y218" s="67">
        <f>RIGHT(D218,LEN(D218)-4)/10000</f>
        <v>2.3298000000000001</v>
      </c>
      <c r="Z218" s="67">
        <f>RIGHT(H218,LEN(H218)-4)/10000</f>
        <v>0.3901</v>
      </c>
      <c r="AA218" s="67">
        <f>ABS(Z218-Y218)</f>
        <v>1.9397000000000002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>IF(LEN(A218)=6,"0"&amp;A218,A218)</f>
        <v>0310-01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/stypes="app*4008*20161201*" /stext=" 13:.+((SYSTEM_STATE.+slice.+state.+changed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13"/>
        <v>"%USERPROFILE%\Documents\GitHub\eaglep3\Utilities\RefineRTDCRunTimes.py" --tripid 310-01 --locoid 4008 --swversion DE.1.0.8.0 --startMP 300:23298 --initTime 2016-12-01T04:21:29 --startdatetime 2016-12-01T05:41:16 --delay 1 --endMP 204:3901 --enddatetime 2016-12-01T06:19:35 --enforcementcount 1 &gt;&gt;C:\Users\stu\Documents\GitHub\eaglep3-reporting\EC\2016-12-01-refined-times.txt</v>
      </c>
      <c r="AI218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{"issue":{"subject":"","project_id":79,"tracker_id":40,"status_id":1,"priority_id":2,"assigned_to_id":23,"start_date":"2016-12-01","description":"","custom_fields":[{"id":1,"name":"Subdivision","value":"Other"},{"id":4,"name":"Milepost","value":"0.3901"},{"id":17,"name":"Train ID","value":"310-01"},{"id":16,"name":"Locomotive ID","value":"4008"},{"id":130,"name":"Impact","value":""},{"id":150,"name":"Time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467</v>
      </c>
      <c r="B219" s="7">
        <v>4008</v>
      </c>
      <c r="C219" s="22" t="s">
        <v>210</v>
      </c>
      <c r="D219" s="22" t="s">
        <v>756</v>
      </c>
      <c r="E219" s="13">
        <v>42705.19190972222</v>
      </c>
      <c r="F219" s="13">
        <v>42705.236990740741</v>
      </c>
      <c r="G219" s="7">
        <v>1</v>
      </c>
      <c r="H219" s="22" t="s">
        <v>757</v>
      </c>
      <c r="I219" s="13">
        <v>42705.263599537036</v>
      </c>
      <c r="J219" s="7">
        <v>1</v>
      </c>
      <c r="K219" s="109" t="str">
        <f>IF(ISEVEN(B219),(B219-1)&amp;"/"&amp;B219,B219&amp;"/"&amp;(B219+1))</f>
        <v>4007/4008</v>
      </c>
      <c r="L219" s="22" t="str">
        <f>VLOOKUP(A219,'Trips&amp;Operators'!$C$1:$G$99999,5,FALSE)</f>
        <v>SAFIEF AEIMEN</v>
      </c>
      <c r="M219" s="6">
        <f>I219-F219</f>
        <v>2.6608796295477077E-2</v>
      </c>
      <c r="N219" s="7">
        <f>24*60*SUM($M219:$M219)</f>
        <v>38.316666665486991</v>
      </c>
      <c r="O219" s="7"/>
      <c r="P219" s="7"/>
      <c r="Q219" s="23"/>
      <c r="R219" s="23"/>
      <c r="S219" s="35">
        <f>SUM(U219:U219)/IF(AG219="EC",12,1)</f>
        <v>0</v>
      </c>
      <c r="T219" s="50" t="str">
        <f>IF(ISEVEN(LEFT(AD219,4)),"Southbound","NorthBound")</f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https://search-rtdc-monitor-bjffxe2xuh6vdkpspy63sjmuny.us-east-1.es.amazonaws.com/_plugin/kibana/#/discover/Steve-Slow-Train-Analysis-(2080s-and-2083s)?_g=(refreshInterval:(display:Off,section:0,value:0),time:(from:'2016-12-01 03:36:21-700',mode:absolute,to:'2016-12-01 07:19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9" s="52" t="str">
        <f>IF(AA219&lt;IF(AG219="EC",23,5.65),"Y","N")</f>
        <v>Y</v>
      </c>
      <c r="X219" s="177">
        <f>VALUE(LEFT(AD219,4))-VALUE(LEFT(AD218,4))</f>
        <v>0</v>
      </c>
      <c r="Y219" s="67">
        <f>RIGHT(D219,LEN(D219)-4)/10000</f>
        <v>0.48459999999999998</v>
      </c>
      <c r="Z219" s="67">
        <f>RIGHT(H219,LEN(H219)-4)/10000</f>
        <v>0.48480000000000001</v>
      </c>
      <c r="AA219" s="67">
        <f>ABS(Z219-Y219)</f>
        <v>2.0000000000003348E-4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>IF(LEN(A219)=6,"0"&amp;A219,A219)</f>
        <v>0310-01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/stypes="app*4008*20161201*" /stext=" 13:.+((SYSTEM_STATE.+slice.+state.+changed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13"/>
        <v>"%USERPROFILE%\Documents\GitHub\eaglep3\Utilities\RefineRTDCRunTimes.py" --tripid 310-01 --locoid 4008 --swversion DE.1.0.8.0 --startMP 300:4846 --initTime 2016-12-01T04:36:21 --startdatetime 2016-12-01T05:41:16 --delay 1 --endMP 300:4848 --enddatetime 2016-12-01T06:19:35 --enforcementcount 1 &gt;&gt;C:\Users\stu\Documents\GitHub\eaglep3-reporting\EC\2016-12-01-refined-times.txt</v>
      </c>
      <c r="AI219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{"issue":{"subject":"","project_id":79,"tracker_id":40,"status_id":1,"priority_id":2,"assigned_to_id":23,"start_date":"2016-12-01","description":"","custom_fields":[{"id":1,"name":"Subdivision","value":"Other"},{"id":4,"name":"Milepost","value":"0.4848"},{"id":17,"name":"Train ID","value":"310-01"},{"id":16,"name":"Locomotive ID","value":"4008"},{"id":130,"name":"Impact","value":""},{"id":150,"name":"Time of Event (Mountain Time)","value":"06:19:35"},{"id":151,"name":"Denver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658</v>
      </c>
      <c r="B220" s="7">
        <v>4031</v>
      </c>
      <c r="C220" s="22" t="s">
        <v>210</v>
      </c>
      <c r="D220" s="22" t="s">
        <v>207</v>
      </c>
      <c r="E220" s="13">
        <v>42706.06621527778</v>
      </c>
      <c r="F220" s="13">
        <v>25568.708333333332</v>
      </c>
      <c r="G220" s="7">
        <v>1</v>
      </c>
      <c r="H220" s="22" t="s">
        <v>747</v>
      </c>
      <c r="I220" s="13">
        <v>25568.708333333332</v>
      </c>
      <c r="J220" s="7">
        <v>1</v>
      </c>
      <c r="K220" s="109" t="str">
        <f>IF(ISEVEN(B220),(B220-1)&amp;"/"&amp;B220,B220&amp;"/"&amp;(B220+1))</f>
        <v>4031/4032</v>
      </c>
      <c r="L220" s="22" t="str">
        <f>VLOOKUP(A220,'Trips&amp;Operators'!$C$1:$G$99999,5,FALSE)</f>
        <v>LEVIN SCOTT</v>
      </c>
      <c r="M220" s="6">
        <f>I220-F220</f>
        <v>0</v>
      </c>
      <c r="N220" s="7">
        <f>24*60*SUM($M220:$M220)</f>
        <v>0</v>
      </c>
      <c r="O220" s="7"/>
      <c r="P220" s="7"/>
      <c r="Q220" s="23"/>
      <c r="R220" s="23"/>
      <c r="S220" s="35">
        <f>SUM(U220:U220)/IF(AG220="EC",12,1)</f>
        <v>1</v>
      </c>
      <c r="T220" s="50" t="str">
        <f>IF(ISEVEN(LEFT(AD220,4)),"Southbound","NorthBound")</f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https://search-rtdc-monitor-bjffxe2xuh6vdkpspy63sjmuny.us-east-1.es.amazonaws.com/_plugin/kibana/#/discover/Steve-Slow-Train-Analysis-(2080s-and-2083s)?_g=(refreshInterval:(display:Off,section:0,value:0),time:(from:'2016-12-02 00:35:21-700',mode:absolute,to:'1969-12-31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0" s="52" t="str">
        <f>IF(AA220&lt;IF(AG220="EC",23,5.65),"Y","N")</f>
        <v>Y</v>
      </c>
      <c r="X220" s="177">
        <f>VALUE(LEFT(AD220,4))-VALUE(LEFT(AD219,4))</f>
        <v>3</v>
      </c>
      <c r="Y220" s="67">
        <f>RIGHT(D220,LEN(D220)-4)/10000</f>
        <v>4.6199999999999998E-2</v>
      </c>
      <c r="Z220" s="67">
        <f>RIGHT(H220,LEN(H220)-4)/10000</f>
        <v>2.3308</v>
      </c>
      <c r="AA220" s="67">
        <f>ABS(Z220-Y220)</f>
        <v>2.2846000000000002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>IF(LEN(A220)=6,"0"&amp;A220,A220)</f>
        <v>0313-01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13"/>
        <v>"%USERPROFILE%\Documents\GitHub\eaglep3\Utilities\RefineRTDCRunTimes.py" --tripid 313-01 --locoid 4031 --swversion DE.1.0.8.0 --startMP 204:462 --initTime 2016-12-02T01:35:21 --startdatetime 1969-12-31T17:00:00 --delay 1 --endMP 300:23308 --enddatetime 1969-12-31T17:00:00 --enforcementcount 1 &gt;&gt;C:\Users\stu\Documents\GitHub\eaglep3-reporting\EC\2016-12-01-refined-times.txt</v>
      </c>
      <c r="AI220" s="119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361</v>
      </c>
      <c r="B221" s="7">
        <v>4022</v>
      </c>
      <c r="C221" s="22" t="s">
        <v>210</v>
      </c>
      <c r="D221" s="22" t="s">
        <v>381</v>
      </c>
      <c r="E221" s="13">
        <v>42705.066967592589</v>
      </c>
      <c r="F221" s="13">
        <v>25568.708333333332</v>
      </c>
      <c r="G221" s="7">
        <v>18</v>
      </c>
      <c r="H221" s="22" t="s">
        <v>381</v>
      </c>
      <c r="I221" s="13">
        <v>25568.708333333332</v>
      </c>
      <c r="J221" s="7">
        <v>1</v>
      </c>
      <c r="K221" s="109" t="str">
        <f>IF(ISEVEN(B221),(B221-1)&amp;"/"&amp;B221,B221&amp;"/"&amp;(B221+1))</f>
        <v>4021/4022</v>
      </c>
      <c r="L221" s="22" t="str">
        <f>VLOOKUP(A221,'Trips&amp;Operators'!$C$1:$G$99999,5,FALSE)</f>
        <v>LEVIN SCOTT</v>
      </c>
      <c r="M221" s="6">
        <f>I221-F221</f>
        <v>0</v>
      </c>
      <c r="N221" s="7">
        <f>24*60*SUM($M221:$M221)</f>
        <v>0</v>
      </c>
      <c r="O221" s="7"/>
      <c r="P221" s="7"/>
      <c r="Q221" s="23"/>
      <c r="R221" s="23"/>
      <c r="S221" s="35">
        <f>SUM(U221:U221)/IF(AG221="EC",12,1)</f>
        <v>0</v>
      </c>
      <c r="T221" s="50" t="str">
        <f>IF(ISEVEN(LEFT(AD221,4)),"Southbound","NorthBound")</f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https://search-rtdc-monitor-bjffxe2xuh6vdkpspy63sjmuny.us-east-1.es.amazonaws.com/_plugin/kibana/#/discover/Steve-Slow-Train-Analysis-(2080s-and-2083s)?_g=(refreshInterval:(display:Off,section:0,value:0),time:(from:'2016-12-01 00:36:26-700',mode:absolute,to:'1969-12-31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1" s="52" t="str">
        <f>IF(AA221&lt;IF(AG221="EC",23,5.65),"Y","N")</f>
        <v>Y</v>
      </c>
      <c r="X221" s="177">
        <f>VALUE(LEFT(AD221,4))-VALUE(LEFT(AD220,4))</f>
        <v>0</v>
      </c>
      <c r="Y221" s="67">
        <f>RIGHT(D221,LEN(D221)-4)/10000</f>
        <v>2.3346</v>
      </c>
      <c r="Z221" s="67">
        <f>RIGHT(H221,LEN(H221)-4)/10000</f>
        <v>2.3346</v>
      </c>
      <c r="AA221" s="67">
        <f>ABS(Z221-Y221)</f>
        <v>0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>IF(LEN(A221)=6,"0"&amp;A221,A221)</f>
        <v>0313-30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13"/>
        <v>"%USERPROFILE%\Documents\GitHub\eaglep3\Utilities\RefineRTDCRunTimes.py" --tripid 313-30 --locoid 4022 --swversion DE.1.0.8.0 --startMP 300:23346 --initTime 2016-12-01T01:36:26 --startdatetime 1969-12-31T17:00:00 --delay 18 --endMP 300:23346 --enddatetime 1969-12-31T17:00:00 --enforcementcount 1 &gt;&gt;C:\Users\stu\Documents\GitHub\eaglep3-reporting\EC\2016-12-01-refined-times.txt</v>
      </c>
      <c r="AI221" s="119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ID","value":"313-30"},{"id":16,"name":"Locomotive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473</v>
      </c>
      <c r="B222" s="7">
        <v>4044</v>
      </c>
      <c r="C222" s="22" t="s">
        <v>210</v>
      </c>
      <c r="D222" s="22" t="s">
        <v>827</v>
      </c>
      <c r="E222" s="13">
        <v>42705.209050925929</v>
      </c>
      <c r="F222" s="13">
        <v>42705.210277777776</v>
      </c>
      <c r="G222" s="7">
        <v>1</v>
      </c>
      <c r="H222" s="22" t="s">
        <v>828</v>
      </c>
      <c r="I222" s="13">
        <v>42705.21534722222</v>
      </c>
      <c r="J222" s="7">
        <v>1</v>
      </c>
      <c r="K222" s="109" t="str">
        <f>IF(ISEVEN(B222),(B222-1)&amp;"/"&amp;B222,B222&amp;"/"&amp;(B222+1))</f>
        <v>4043/4044</v>
      </c>
      <c r="L222" s="22" t="str">
        <f>VLOOKUP(A222,'Trips&amp;Operators'!$C$1:$G$99999,5,FALSE)</f>
        <v>YORK EDGAR</v>
      </c>
      <c r="M222" s="6">
        <f>I222-F222</f>
        <v>5.0694444435066544E-3</v>
      </c>
      <c r="N222" s="7">
        <f>24*60*SUM($M222:$M222)</f>
        <v>7.2999999986495823</v>
      </c>
      <c r="O222" s="7"/>
      <c r="P222" s="7"/>
      <c r="Q222" s="23"/>
      <c r="R222" s="23"/>
      <c r="S222" s="35">
        <f>SUM(U222:U222)/IF(AG222="EC",12,1)</f>
        <v>0</v>
      </c>
      <c r="T222" s="50" t="str">
        <f>IF(ISEVEN(LEFT(AD222,4)),"Southbound","NorthBound")</f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https://search-rtdc-monitor-bjffxe2xuh6vdkpspy63sjmuny.us-east-1.es.amazonaws.com/_plugin/kibana/#/discover/Steve-Slow-Train-Analysis-(2080s-and-2083s)?_g=(refreshInterval:(display:Off,section:0,value:0),time:(from:'2016-12-01 04:01:02-700',mode:absolute,to:'2016-12-01 06:10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2" s="52" t="str">
        <f>IF(AA222&lt;IF(AG222="EC",23,5.65),"Y","N")</f>
        <v>Y</v>
      </c>
      <c r="X222" s="177">
        <f>VALUE(LEFT(AD222,4))-VALUE(LEFT(AD221,4))</f>
        <v>588</v>
      </c>
      <c r="Y222" s="67">
        <f>RIGHT(D222,LEN(D222)-4)/10000</f>
        <v>3.0085999999999999</v>
      </c>
      <c r="Z222" s="67">
        <f>RIGHT(H222,LEN(H222)-4)/10000</f>
        <v>5.8921999999999999</v>
      </c>
      <c r="AA222" s="67">
        <f>ABS(Z222-Y222)</f>
        <v>2.8835999999999999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>IF(LEN(A222)=6,"0"&amp;A222,A222)</f>
        <v>0901-01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/stypes="app*4044*20161201*" /stext=" 12:.+((SYSTEM_STATE.+slice.+state.+changed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13"/>
        <v>"%USERPROFILE%\Documents\GitHub\eaglep3\Utilities\RefineRTDCRunTimes.py" --tripid 901-01 --locoid 4044 --swversion DE.1.0.8.0 --startMP 300:30086 --initTime 2016-12-01T05:01:02 --startdatetime 2016-12-01T05:02:48 --delay 1 --endMP 300:58922 --enddatetime 2016-12-01T05:10:06 --enforcementcount 1 &gt;&gt;C:\Users\stu\Documents\GitHub\eaglep3-reporting\EC\2016-12-01-refined-times.txt</v>
      </c>
      <c r="AI222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{"issue":{"subject":"","project_id":79,"tracker_id":40,"status_id":1,"priority_id":2,"assigned_to_id":23,"start_date":"2016-12-01","description":"","custom_fields":[{"id":1,"name":"Subdivision","value":"Other"},{"id":4,"name":"Milepost","value":"5.8922"},{"id":17,"name":"Train ID","value":"901-01"},{"id":16,"name":"Locomotive ID","value":"4044"},{"id":130,"name":"Impact","value":""},{"id":150,"name":"Time of Event (Mountain Time)","value":"05:10:06"},{"id":151,"name":"Denver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482</v>
      </c>
      <c r="B223" s="7">
        <v>4004</v>
      </c>
      <c r="C223" s="22" t="s">
        <v>210</v>
      </c>
      <c r="D223" s="22" t="s">
        <v>829</v>
      </c>
      <c r="E223" s="13">
        <v>42705.242314814815</v>
      </c>
      <c r="F223" s="13">
        <v>42705.245381944442</v>
      </c>
      <c r="G223" s="7">
        <v>4</v>
      </c>
      <c r="H223" s="22" t="s">
        <v>830</v>
      </c>
      <c r="I223" s="13">
        <v>42705.25199074074</v>
      </c>
      <c r="J223" s="7">
        <v>1</v>
      </c>
      <c r="K223" s="109" t="str">
        <f>IF(ISEVEN(B223),(B223-1)&amp;"/"&amp;B223,B223&amp;"/"&amp;(B223+1))</f>
        <v>4003/4004</v>
      </c>
      <c r="L223" s="22" t="str">
        <f>VLOOKUP(A223,'Trips&amp;Operators'!$C$1:$G$99999,5,FALSE)</f>
        <v>ISHMAEL JOSEPH</v>
      </c>
      <c r="M223" s="6">
        <f>I223-F223</f>
        <v>6.6087962986784987E-3</v>
      </c>
      <c r="N223" s="7">
        <f>24*60*SUM($M223:$M223)</f>
        <v>9.5166666700970381</v>
      </c>
      <c r="O223" s="7"/>
      <c r="P223" s="7"/>
      <c r="Q223" s="23"/>
      <c r="R223" s="23"/>
      <c r="S223" s="35">
        <f>SUM(U223:U223)/IF(AG223="EC",12,1)</f>
        <v>1</v>
      </c>
      <c r="T223" s="50" t="str">
        <f>IF(ISEVEN(LEFT(AD223,4)),"Southbound","NorthBound")</f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https://search-rtdc-monitor-bjffxe2xuh6vdkpspy63sjmuny.us-east-1.es.amazonaws.com/_plugin/kibana/#/discover/Steve-Slow-Train-Analysis-(2080s-and-2083s)?_g=(refreshInterval:(display:Off,section:0,value:0),time:(from:'2016-12-01 04:48:56-700',mode:absolute,to:'2016-12-01 07:02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3" s="52" t="str">
        <f>IF(AA223&lt;IF(AG223="EC",23,5.65),"Y","N")</f>
        <v>Y</v>
      </c>
      <c r="X223" s="177">
        <f>VALUE(LEFT(AD223,4))-VALUE(LEFT(AD222,4))</f>
        <v>1</v>
      </c>
      <c r="Y223" s="67">
        <f>RIGHT(D223,LEN(D223)-4)/10000</f>
        <v>2.3256000000000001</v>
      </c>
      <c r="Z223" s="67">
        <f>RIGHT(H223,LEN(H223)-4)/10000</f>
        <v>6.7000000000000004E-2</v>
      </c>
      <c r="AA223" s="67">
        <f>ABS(Z223-Y223)</f>
        <v>2.2585999999999999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>IF(LEN(A223)=6,"0"&amp;A223,A223)</f>
        <v>0902-01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/stypes="app*4004*20161201*" /stext=" 13:.+((SYSTEM_STATE.+slice.+state.+changed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13"/>
        <v>"%USERPROFILE%\Documents\GitHub\eaglep3\Utilities\RefineRTDCRunTimes.py" --tripid 902-01 --locoid 4004 --swversion DE.1.0.8.0 --startMP 300:23256 --initTime 2016-12-01T05:48:56 --startdatetime 2016-12-01T05:53:21 --delay 4 --endMP 204:670 --enddatetime 2016-12-01T06:02:52 --enforcementcount 1 &gt;&gt;C:\Users\stu\Documents\GitHub\eaglep3-reporting\EC\2016-12-01-refined-times.txt</v>
      </c>
      <c r="AI223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{"issue":{"subject":"","project_id":79,"tracker_id":40,"status_id":1,"priority_id":2,"assigned_to_id":23,"start_date":"2016-12-01","description":"","custom_fields":[{"id":1,"name":"Subdivision","value":"Other"},{"id":4,"name":"Milepost","value":"0.067"},{"id":17,"name":"Train ID","value":"902-01"},{"id":16,"name":"Locomotive ID","value":"4004"},{"id":130,"name":"Impact","value":""},{"id":150,"name":"Time of Event (Mountain Time)","value":"06:02:52"},{"id":151,"name":"Denver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514</v>
      </c>
      <c r="B224" s="7">
        <v>4044</v>
      </c>
      <c r="C224" s="22" t="s">
        <v>210</v>
      </c>
      <c r="D224" s="22" t="s">
        <v>385</v>
      </c>
      <c r="E224" s="13">
        <v>42705.354328703703</v>
      </c>
      <c r="F224" s="13">
        <v>42705.356504629628</v>
      </c>
      <c r="G224" s="7">
        <v>1</v>
      </c>
      <c r="H224" s="22" t="s">
        <v>831</v>
      </c>
      <c r="I224" s="13">
        <v>42705.360891203702</v>
      </c>
      <c r="J224" s="7">
        <v>1</v>
      </c>
      <c r="K224" s="109" t="str">
        <f>IF(ISEVEN(B224),(B224-1)&amp;"/"&amp;B224,B224&amp;"/"&amp;(B224+1))</f>
        <v>4043/4044</v>
      </c>
      <c r="L224" s="22" t="str">
        <f>VLOOKUP(A224,'Trips&amp;Operators'!$C$1:$G$99999,5,FALSE)</f>
        <v>YORK EDGAR</v>
      </c>
      <c r="M224" s="6">
        <f>I224-F224</f>
        <v>4.386574073578231E-3</v>
      </c>
      <c r="N224" s="7">
        <f>24*60*SUM($M224:$M224)</f>
        <v>6.3166666659526527</v>
      </c>
      <c r="O224" s="7"/>
      <c r="P224" s="7"/>
      <c r="Q224" s="23"/>
      <c r="R224" s="23"/>
      <c r="S224" s="35">
        <f>SUM(U224:U224)/IF(AG224="EC",12,1)</f>
        <v>1</v>
      </c>
      <c r="T224" s="50" t="str">
        <f>IF(ISEVEN(LEFT(AD224,4)),"Southbound","NorthBound")</f>
        <v>NorthBound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https://search-rtdc-monitor-bjffxe2xuh6vdkpspy63sjmuny.us-east-1.es.amazonaws.com/_plugin/kibana/#/discover/Steve-Slow-Train-Analysis-(2080s-and-2083s)?_g=(refreshInterval:(display:Off,section:0,value:0),time:(from:'2016-12-01 07:30:14-700',mode:absolute,to:'2016-12-01 09:39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4" s="52" t="str">
        <f>IF(AA224&lt;IF(AG224="EC",23,5.65),"Y","N")</f>
        <v>Y</v>
      </c>
      <c r="X224" s="177">
        <f>VALUE(LEFT(AD224,4))-VALUE(LEFT(AD223,4))</f>
        <v>1</v>
      </c>
      <c r="Y224" s="67">
        <f>RIGHT(D224,LEN(D224)-4)/10000</f>
        <v>0.10489999999999999</v>
      </c>
      <c r="Z224" s="67">
        <f>RIGHT(H224,LEN(H224)-4)/10000</f>
        <v>2.4251999999999998</v>
      </c>
      <c r="AA224" s="67">
        <f>ABS(Z224-Y224)</f>
        <v>2.3202999999999996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>IF(LEN(A224)=6,"0"&amp;A224,A224)</f>
        <v>0903-01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 &amp; aws s3 cp s3://rtdc.mdm.uploadarchive.raw/RTDC4044/ "%USERPROFILE%\AppData\Local\Temp\OnboardLogs"\RTDC4044\2016-12-02 --exclude "*" --recursive --include "*20161202*" &amp; "%USERPROFILE%\Documents\GitHub\mrs-test-scripts\Headless Mode &amp; Sideloading\WalkAndUnGZ.bat" "%USERPROFILE%\AppData\Local\Temp\OnboardLogs"\RTDC4044\2016-12-02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/stypes="app*4044*20161201*" /stext=" 15:.+((SYSTEM_STATE.+slice.+state.+changed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13"/>
        <v>"%USERPROFILE%\Documents\GitHub\eaglep3\Utilities\RefineRTDCRunTimes.py" --tripid 903-01 --locoid 4044 --swversion DE.1.0.8.0 --startMP 204:1049 --initTime 2016-12-01T08:30:14 --startdatetime 2016-12-01T08:33:22 --delay 1 --endMP 300:24252 --enddatetime 2016-12-01T08:39:41 --enforcementcount 1 &gt;&gt;C:\Users\stu\Documents\GitHub\eaglep3-reporting\EC\2016-12-01-refined-times.txt</v>
      </c>
      <c r="AI224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{"issue":{"subject":"","project_id":79,"tracker_id":40,"status_id":1,"priority_id":2,"assigned_to_id":23,"start_date":"2016-12-01","description":"","custom_fields":[{"id":1,"name":"Subdivision","value":"Other"},{"id":4,"name":"Milepost","value":"2.4252"},{"id":17,"name":"Train ID","value":"903-01"},{"id":16,"name":"Locomotive ID","value":"4044"},{"id":130,"name":"Impact","value":""},{"id":150,"name":"Time of Event (Mountain Time)","value":"08:39:41"},{"id":151,"name":"Denver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439</v>
      </c>
      <c r="B225" s="7">
        <v>4043</v>
      </c>
      <c r="C225" s="22" t="s">
        <v>210</v>
      </c>
      <c r="D225" s="22" t="s">
        <v>832</v>
      </c>
      <c r="E225" s="13">
        <v>42705.638518518521</v>
      </c>
      <c r="F225" s="13">
        <v>42705.641145833331</v>
      </c>
      <c r="G225" s="7">
        <v>3</v>
      </c>
      <c r="H225" s="22" t="s">
        <v>819</v>
      </c>
      <c r="I225" s="13">
        <v>42705.647881944446</v>
      </c>
      <c r="J225" s="7">
        <v>1</v>
      </c>
      <c r="K225" s="109" t="str">
        <f>IF(ISEVEN(B225),(B225-1)&amp;"/"&amp;B225,B225&amp;"/"&amp;(B225+1))</f>
        <v>4043/4044</v>
      </c>
      <c r="L225" s="22" t="str">
        <f>VLOOKUP(A225,'Trips&amp;Operators'!$C$1:$G$99999,5,FALSE)</f>
        <v>YANAI IAN</v>
      </c>
      <c r="M225" s="6">
        <f>I225-F225</f>
        <v>6.7361111141508445E-3</v>
      </c>
      <c r="N225" s="7">
        <f>24*60*SUM($M225:$M225)</f>
        <v>9.7000000043772161</v>
      </c>
      <c r="O225" s="7"/>
      <c r="P225" s="7"/>
      <c r="Q225" s="23"/>
      <c r="R225" s="23"/>
      <c r="S225" s="35">
        <f>SUM(U225:U225)/IF(AG225="EC",12,1)</f>
        <v>1</v>
      </c>
      <c r="T225" s="50" t="str">
        <f>IF(ISEVEN(LEFT(AD225,4)),"Southbound","NorthBound")</f>
        <v>Southbound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https://search-rtdc-monitor-bjffxe2xuh6vdkpspy63sjmuny.us-east-1.es.amazonaws.com/_plugin/kibana/#/discover/Steve-Slow-Train-Analysis-(2080s-and-2083s)?_g=(refreshInterval:(display:Off,section:0,value:0),time:(from:'2016-12-01 14:19:28-700',mode:absolute,to:'2016-12-01 16:32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5" s="52" t="str">
        <f>IF(AA225&lt;IF(AG225="EC",23,5.65),"Y","N")</f>
        <v>Y</v>
      </c>
      <c r="X225" s="177">
        <f>VALUE(LEFT(AD225,4))-VALUE(LEFT(AD224,4))</f>
        <v>1</v>
      </c>
      <c r="Y225" s="67">
        <f>RIGHT(D225,LEN(D225)-4)/10000</f>
        <v>2.3386999999999998</v>
      </c>
      <c r="Z225" s="67">
        <f>RIGHT(H225,LEN(H225)-4)/10000</f>
        <v>6.6799999999999998E-2</v>
      </c>
      <c r="AA225" s="67">
        <f>ABS(Z225-Y225)</f>
        <v>2.2718999999999996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>IF(LEN(A225)=6,"0"&amp;A225,A225)</f>
        <v>0904-01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/stypes="app*4043*20161201*" /stext=" 22:.+((SYSTEM_STATE.+slice.+state.+changed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13"/>
        <v>"%USERPROFILE%\Documents\GitHub\eaglep3\Utilities\RefineRTDCRunTimes.py" --tripid 904-01 --locoid 4043 --swversion DE.1.0.8.0 --startMP 300:23387 --initTime 2016-12-01T15:19:28 --startdatetime 2016-12-01T15:23:15 --delay 3 --endMP 204:668 --enddatetime 2016-12-01T15:32:57 --enforcementcount 1 &gt;&gt;C:\Users\stu\Documents\GitHub\eaglep3-reporting\EC\2016-12-01-refined-times.txt</v>
      </c>
      <c r="AI225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{"issue":{"subject":"","project_id":79,"tracker_id":40,"status_id":1,"priority_id":2,"assigned_to_id":23,"start_date":"2016-12-01","description":"","custom_fields":[{"id":1,"name":"Subdivision","value":"Other"},{"id":4,"name":"Milepost","value":"0.0668"},{"id":17,"name":"Train ID","value":"904-01"},{"id":16,"name":"Locomotive ID","value":"4043"},{"id":130,"name":"Impact","value":""},{"id":150,"name":"Time of Event (Mountain Time)","value":"15:32:57"},{"id":151,"name":"Denver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625</v>
      </c>
      <c r="B226" s="7">
        <v>4043</v>
      </c>
      <c r="C226" s="22" t="s">
        <v>210</v>
      </c>
      <c r="D226" s="22" t="s">
        <v>273</v>
      </c>
      <c r="E226" s="13">
        <v>42705.795590277776</v>
      </c>
      <c r="F226" s="13">
        <v>25568.708333333332</v>
      </c>
      <c r="G226" s="7">
        <v>1</v>
      </c>
      <c r="H226" s="22" t="s">
        <v>833</v>
      </c>
      <c r="I226" s="13">
        <v>25568.708333333332</v>
      </c>
      <c r="J226" s="7">
        <v>1</v>
      </c>
      <c r="K226" s="109" t="str">
        <f>IF(ISEVEN(B226),(B226-1)&amp;"/"&amp;B226,B226&amp;"/"&amp;(B226+1))</f>
        <v>4043/4044</v>
      </c>
      <c r="L226" s="22" t="str">
        <f>VLOOKUP(A226,'Trips&amp;Operators'!$C$1:$G$99999,5,FALSE)</f>
        <v>YANAI IAN</v>
      </c>
      <c r="M226" s="6">
        <f>I226-F226</f>
        <v>0</v>
      </c>
      <c r="N226" s="7">
        <f>24*60*SUM($M226:$M226)</f>
        <v>0</v>
      </c>
      <c r="O226" s="7"/>
      <c r="P226" s="7"/>
      <c r="Q226" s="23"/>
      <c r="R226" s="23"/>
      <c r="S226" s="35">
        <f>SUM(U226:U226)/IF(AG226="EC",12,1)</f>
        <v>0</v>
      </c>
      <c r="T226" s="50" t="str">
        <f>IF(ISEVEN(LEFT(AD226,4)),"Southbound","NorthBound")</f>
        <v>Southbound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https://search-rtdc-monitor-bjffxe2xuh6vdkpspy63sjmuny.us-east-1.es.amazonaws.com/_plugin/kibana/#/discover/Steve-Slow-Train-Analysis-(2080s-and-2083s)?_g=(refreshInterval:(display:Off,section:0,value:0),time:(from:'2016-12-01 18:05:39-700',mode:absolute,to:'1969-12-31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6" s="52" t="str">
        <f>IF(AA226&lt;IF(AG226="EC",23,5.65),"Y","N")</f>
        <v>Y</v>
      </c>
      <c r="X226" s="177">
        <f>VALUE(LEFT(AD226,4))-VALUE(LEFT(AD225,4))</f>
        <v>2</v>
      </c>
      <c r="Y226" s="67">
        <f>RIGHT(D226,LEN(D226)-4)/10000</f>
        <v>5.8611000000000004</v>
      </c>
      <c r="Z226" s="67">
        <f>RIGHT(H226,LEN(H226)-4)/10000</f>
        <v>2.8788999999999998</v>
      </c>
      <c r="AA226" s="67">
        <f>ABS(Z226-Y226)</f>
        <v>2.9822000000000006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>IF(LEN(A226)=6,"0"&amp;A226,A226)</f>
        <v>0906-01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13"/>
        <v>"%USERPROFILE%\Documents\GitHub\eaglep3\Utilities\RefineRTDCRunTimes.py" --tripid 906-01 --locoid 4043 --swversion DE.1.0.8.0 --startMP 300:58611 --initTime 2016-12-01T19:05:39 --startdatetime 1969-12-31T17:00:00 --delay 1 --endMP 300:28789 --enddatetime 1969-12-31T17:00:00 --enforcementcount 1 &gt;&gt;C:\Users\stu\Documents\GitHub\eaglep3-reporting\EC\2016-12-01-refined-times.txt</v>
      </c>
      <c r="AI226" s="119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{"issue":{"subject":"","project_id":79,"tracker_id":40,"status_id":1,"priority_id":2,"assigned_to_id":23,"start_date":"1969-12-31","description":"","custom_fields":[{"id":1,"name":"Subdivision","value":"Other"},{"id":4,"name":"Milepost","value":"2.8789"},{"id":17,"name":"Train ID","value":"906-01"},{"id":16,"name":"Locomotive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647</v>
      </c>
      <c r="B227" s="7">
        <v>4004</v>
      </c>
      <c r="C227" s="22" t="s">
        <v>210</v>
      </c>
      <c r="D227" s="22" t="s">
        <v>811</v>
      </c>
      <c r="E227" s="13">
        <v>42705.941053240742</v>
      </c>
      <c r="F227" s="13">
        <v>42705.94259259259</v>
      </c>
      <c r="G227" s="7">
        <v>1</v>
      </c>
      <c r="H227" s="22" t="s">
        <v>834</v>
      </c>
      <c r="I227" s="13">
        <v>42705.946782407409</v>
      </c>
      <c r="J227" s="7">
        <v>1</v>
      </c>
      <c r="K227" s="109" t="str">
        <f>IF(ISEVEN(B227),(B227-1)&amp;"/"&amp;B227,B227&amp;"/"&amp;(B227+1))</f>
        <v>4003/4004</v>
      </c>
      <c r="L227" s="22" t="str">
        <f>VLOOKUP(A227,'Trips&amp;Operators'!$C$1:$G$99999,5,FALSE)</f>
        <v>YANAI IAN</v>
      </c>
      <c r="M227" s="6">
        <f>I227-F227</f>
        <v>4.1898148192558438E-3</v>
      </c>
      <c r="N227" s="7">
        <f>24*60*SUM($M227:$M227)</f>
        <v>6.033333339728415</v>
      </c>
      <c r="O227" s="7"/>
      <c r="P227" s="7"/>
      <c r="Q227" s="23"/>
      <c r="R227" s="23"/>
      <c r="S227" s="35">
        <f>SUM(U227:U227)/IF(AG227="EC",12,1)</f>
        <v>0</v>
      </c>
      <c r="T227" s="50" t="str">
        <f>IF(ISEVEN(LEFT(AD227,4)),"Southbound","NorthBound")</f>
        <v>Southbound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https://search-rtdc-monitor-bjffxe2xuh6vdkpspy63sjmuny.us-east-1.es.amazonaws.com/_plugin/kibana/#/discover/Steve-Slow-Train-Analysis-(2080s-and-2083s)?_g=(refreshInterval:(display:Off,section:0,value:0),time:(from:'2016-12-01 21:35:07-700',mode:absolute,to:'2016-12-01 23:43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7" s="52" t="str">
        <f>IF(AA227&lt;IF(AG227="EC",23,5.65),"Y","N")</f>
        <v>Y</v>
      </c>
      <c r="X227" s="177">
        <f>VALUE(LEFT(AD227,4))-VALUE(LEFT(AD226,4))</f>
        <v>2</v>
      </c>
      <c r="Y227" s="67">
        <f>RIGHT(D227,LEN(D227)-4)/10000</f>
        <v>5.8630000000000004</v>
      </c>
      <c r="Z227" s="67">
        <f>RIGHT(H227,LEN(H227)-4)/10000</f>
        <v>2.1615000000000002</v>
      </c>
      <c r="AA227" s="67">
        <f>ABS(Z227-Y227)</f>
        <v>3.7015000000000002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>IF(LEN(A227)=6,"0"&amp;A227,A227)</f>
        <v>0908-01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/stypes="app*4004*20161202*" /stext=" 05:.+((SYSTEM_STATE.+slice.+state.+changed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13"/>
        <v>"%USERPROFILE%\Documents\GitHub\eaglep3\Utilities\RefineRTDCRunTimes.py" --tripid 908-01 --locoid 4004 --swversion DE.1.0.8.0 --startMP 300:58630 --initTime 2016-12-01T22:35:07 --startdatetime 2016-12-01T22:37:20 --delay 1 --endMP 300:21615 --enddatetime 2016-12-01T22:43:22 --enforcementcount 1 &gt;&gt;C:\Users\stu\Documents\GitHub\eaglep3-reporting\EC\2016-12-01-refined-times.txt</v>
      </c>
      <c r="AI227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{"issue":{"subject":"","project_id":79,"tracker_id":40,"status_id":1,"priority_id":2,"assigned_to_id":23,"start_date":"2016-12-01","description":"","custom_fields":[{"id":1,"name":"Subdivision","value":"Other"},{"id":4,"name":"Milepost","value":"2.1615"},{"id":17,"name":"Train ID","value":"908-01"},{"id":16,"name":"Locomotive ID","value":"4004"},{"id":130,"name":"Impact","value":""},{"id":150,"name":"Time of Event (Mountain Time)","value":"22:43:22"},{"id":151,"name":"Denver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533</v>
      </c>
      <c r="B228" s="7">
        <v>4019</v>
      </c>
      <c r="C228" s="22" t="s">
        <v>210</v>
      </c>
      <c r="D228" s="22" t="s">
        <v>758</v>
      </c>
      <c r="E228" s="13">
        <v>42705.442002314812</v>
      </c>
      <c r="F228" s="13">
        <v>42705.443229166667</v>
      </c>
      <c r="G228" s="7">
        <v>1</v>
      </c>
      <c r="H228" s="22" t="s">
        <v>759</v>
      </c>
      <c r="I228" s="13">
        <v>42705.448194444441</v>
      </c>
      <c r="J228" s="7">
        <v>1</v>
      </c>
      <c r="K228" s="109" t="str">
        <f>IF(ISEVEN(B228),(B228-1)&amp;"/"&amp;B228,B228&amp;"/"&amp;(B228+1))</f>
        <v>4019/4020</v>
      </c>
      <c r="L228" s="22" t="str">
        <f>VLOOKUP(A228,'Trips&amp;Operators'!$C$1:$G$99999,5,FALSE)</f>
        <v>HILLS DUSTIN</v>
      </c>
      <c r="M228" s="6">
        <f>I228-F228</f>
        <v>4.9652777743176557E-3</v>
      </c>
      <c r="N228" s="7">
        <f>24*60*SUM($M228:$M228)</f>
        <v>7.1499999950174242</v>
      </c>
      <c r="O228" s="7"/>
      <c r="P228" s="7"/>
      <c r="Q228" s="23"/>
      <c r="R228" s="23"/>
      <c r="S228" s="35">
        <f>SUM(U228:U228)/IF(AG228="EC",12,1)</f>
        <v>0</v>
      </c>
      <c r="T228" s="50" t="e">
        <f>IF(ISEVEN(LEFT(AD228,4)),"Southbound","NorthBound")</f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https://search-rtdc-monitor-bjffxe2xuh6vdkpspy63sjmuny.us-east-1.es.amazonaws.com/_plugin/kibana/#/discover/Steve-Slow-Train-Analysis-(2080s-and-2083s)?_g=(refreshInterval:(display:Off,section:0,value:0),time:(from:'2016-12-01 09:36:29-700',mode:absolute,to:'2016-12-01 11:45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8" s="52" t="str">
        <f>IF(AA228&lt;IF(AG228="EC",23,5.65),"Y","N")</f>
        <v>Y</v>
      </c>
      <c r="X228" s="177" t="e">
        <f>VALUE(LEFT(AD228,4))-VALUE(LEFT(AD227,4))</f>
        <v>#VALUE!</v>
      </c>
      <c r="Y228" s="67">
        <f>RIGHT(D228,LEN(D228)-4)/10000</f>
        <v>2.1776</v>
      </c>
      <c r="Z228" s="67">
        <f>RIGHT(H228,LEN(H228)-4)/10000</f>
        <v>7.7000000000000002E-3</v>
      </c>
      <c r="AA228" s="67">
        <f>ABS(Z228-Y228)</f>
        <v>2.1699000000000002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>IF(LEN(A228)=6,"0"&amp;A228,A228)</f>
        <v>50-01</v>
      </c>
      <c r="AE228" s="91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s3://rtdc.mdm.uploadarchive.raw/RTDC4019/ "%USERPROFILE%\AppData\Local\Temp\OnboardLogs"\RTDC4019\2016-12-01 --exclude "*" --recursive --include "*20161201*" &amp; "%USERPROFILE%\Documents\GitHub\mrs-test-scripts\Headless Mode &amp; Sideloading\WalkAndUnGZ.bat" "%USERPROFILE%\AppData\Local\Temp\OnboardLogs"\RTDC4019\2016-12-01 &amp; aws s3 cp s3://rtdc.mdm.uploadarchive.raw/RTDC4019/ "%USERPROFILE%\AppData\Local\Temp\OnboardLogs"\RTDC4019\2016-12-02 --exclude "*" --recursive --include "*20161202*" &amp; "%USERPROFILE%\Documents\GitHub\mrs-test-scripts\Headless Mode &amp; Sideloading\WalkAndUnGZ.bat" "%USERPROFILE%\AppData\Local\Temp\OnboardLogs"\RTDC4019\2016-12-02</v>
      </c>
      <c r="AF228" s="88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/stypes="app*4019*20161201*" /stext=" 17:.+((SYSTEM_STATE.+slice.+state.+changed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2" t="str">
        <f t="shared" si="13"/>
        <v>"%USERPROFILE%\Documents\GitHub\eaglep3\Utilities\RefineRTDCRunTimes.py" --tripid 50-01 --locoid 4019 --swversion DE.1.0.8.0 --startMP 300:21776 --initTime 2016-12-01T10:36:29 --startdatetime 2016-12-01T10:38:15 --delay 1 --endMP 204:77 --enddatetime 2016-12-01T10:45:24 --enforcementcount 1 &gt;&gt;C:\Users\stu\Documents\GitHub\eaglep3-reporting\EC\2016-12-01-refined-times.txt</v>
      </c>
      <c r="AI228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{"issue":{"subject":"","project_id":79,"tracker_id":40,"status_id":1,"priority_id":2,"assigned_to_id":23,"start_date":"2016-12-01","description":"","custom_fields":[{"id":1,"name":"Subdivision","value":"Other"},{"id":4,"name":"Milepost","value":"0.0077"},{"id":17,"name":"Train ID","value":"50-01"},{"id":16,"name":"Locomotive ID","value":"4019"},{"id":130,"name":"Impact","value":""},{"id":150,"name":"Time of Event (Mountain Time)","value":"10:45:24"},{"id":151,"name":"Denver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544</v>
      </c>
      <c r="B229" s="7">
        <v>4020</v>
      </c>
      <c r="C229" s="22" t="s">
        <v>210</v>
      </c>
      <c r="D229" s="22" t="s">
        <v>760</v>
      </c>
      <c r="E229" s="13">
        <v>42705.463310185187</v>
      </c>
      <c r="F229" s="13">
        <v>25568.708333333332</v>
      </c>
      <c r="G229" s="7">
        <v>1</v>
      </c>
      <c r="H229" s="22" t="s">
        <v>761</v>
      </c>
      <c r="I229" s="13">
        <v>25568.708333333332</v>
      </c>
      <c r="J229" s="7">
        <v>1</v>
      </c>
      <c r="K229" s="109" t="str">
        <f>IF(ISEVEN(B229),(B229-1)&amp;"/"&amp;B229,B229&amp;"/"&amp;(B229+1))</f>
        <v>4019/4020</v>
      </c>
      <c r="L229" s="22" t="str">
        <f>VLOOKUP(A229,'Trips&amp;Operators'!$C$1:$G$99999,5,FALSE)</f>
        <v>BEAM ROSS</v>
      </c>
      <c r="M229" s="6">
        <f>I229-F229</f>
        <v>0</v>
      </c>
      <c r="N229" s="7">
        <f>24*60*SUM($M229:$M229)</f>
        <v>0</v>
      </c>
      <c r="O229" s="7"/>
      <c r="P229" s="7"/>
      <c r="Q229" s="23"/>
      <c r="R229" s="23"/>
      <c r="S229" s="35">
        <f>SUM(U229:U229)/IF(AG229="EC",12,1)</f>
        <v>0</v>
      </c>
      <c r="T229" s="50" t="e">
        <f>IF(ISEVEN(LEFT(AD229,4)),"Southbound","NorthBound")</f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hh:mm:ss")&amp;utc_offset&amp;"00',mode:absolute,to:'"&amp;TEXT(I229+1/24,"yyyy-MM-DD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https://search-rtdc-monitor-bjffxe2xuh6vdkpspy63sjmuny.us-east-1.es.amazonaws.com/_plugin/kibana/#/discover/Steve-Slow-Train-Analysis-(2080s-and-2083s)?_g=(refreshInterval:(display:Off,section:0,value:0),time:(from:'2016-12-01 10:07:10-700',mode:absolute,to:'1969-12-31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9" s="52" t="str">
        <f>IF(AA229&lt;IF(AG229="EC",23,5.65),"Y","N")</f>
        <v>Y</v>
      </c>
      <c r="X229" s="177" t="e">
        <f>VALUE(LEFT(AD229,4))-VALUE(LEFT(AD228,4))</f>
        <v>#VALUE!</v>
      </c>
      <c r="Y229" s="67">
        <f>RIGHT(D229,LEN(D229)-4)/10000</f>
        <v>3.8800000000000001E-2</v>
      </c>
      <c r="Z229" s="67">
        <f>RIGHT(H229,LEN(H229)-4)/10000</f>
        <v>2.4207999999999998</v>
      </c>
      <c r="AA229" s="67">
        <f>ABS(Z229-Y229)</f>
        <v>2.3819999999999997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>IF(LEN(A229)=6,"0"&amp;A229,A229)</f>
        <v>51-01</v>
      </c>
      <c r="AE229" s="91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29" s="88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92" t="str">
        <f t="shared" si="13"/>
        <v>"%USERPROFILE%\Documents\GitHub\eaglep3\Utilities\RefineRTDCRunTimes.py" --tripid 51-01 --locoid 4020 --swversion DE.1.0.8.0 --startMP 204:388 --initTime 2016-12-01T11:07:10 --startdatetime 1969-12-31T17:00:00 --delay 1 --endMP 300:24208 --enddatetime 1969-12-31T17:00:00 --enforcementcount 1 &gt;&gt;C:\Users\stu\Documents\GitHub\eaglep3-reporting\EC\2016-12-01-refined-times.txt</v>
      </c>
      <c r="AI229" s="119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{"issue":{"subject":"","project_id":79,"tracker_id":40,"status_id":1,"priority_id":2,"assigned_to_id":23,"start_date":"1969-12-31","description":"","custom_fields":[{"id":1,"name":"Subdivision","value":"Other"},{"id":4,"name":"Milepost","value":"2.4208"},{"id":17,"name":"Train ID","value":"51-01"},{"id":16,"name":"Locomotive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538</v>
      </c>
      <c r="B230" s="7">
        <v>4017</v>
      </c>
      <c r="C230" s="22" t="s">
        <v>210</v>
      </c>
      <c r="D230" s="22" t="s">
        <v>762</v>
      </c>
      <c r="E230" s="13">
        <v>42705.459351851852</v>
      </c>
      <c r="F230" s="13">
        <v>42705.4609375</v>
      </c>
      <c r="G230" s="7">
        <v>1</v>
      </c>
      <c r="H230" s="22" t="s">
        <v>763</v>
      </c>
      <c r="I230" s="13">
        <v>42705.466990740744</v>
      </c>
      <c r="J230" s="7">
        <v>1</v>
      </c>
      <c r="K230" s="109" t="str">
        <f>IF(ISEVEN(B230),(B230-1)&amp;"/"&amp;B230,B230&amp;"/"&amp;(B230+1))</f>
        <v>4017/4018</v>
      </c>
      <c r="L230" s="22" t="str">
        <f>VLOOKUP(A230,'Trips&amp;Operators'!$C$1:$G$99999,5,FALSE)</f>
        <v>MOSES BRADLEY</v>
      </c>
      <c r="M230" s="6">
        <f>I230-F230</f>
        <v>6.0532407442224212E-3</v>
      </c>
      <c r="N230" s="7">
        <f>24*60*SUM($M230:$M230)</f>
        <v>8.7166666716802865</v>
      </c>
      <c r="O230" s="7"/>
      <c r="P230" s="7"/>
      <c r="Q230" s="23"/>
      <c r="R230" s="23"/>
      <c r="S230" s="35">
        <f>SUM(U230:U230)/IF(AG230="EC",12,1)</f>
        <v>0</v>
      </c>
      <c r="T230" s="50" t="e">
        <f>IF(ISEVEN(LEFT(AD230,4)),"Southbound","NorthBound")</f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hh:mm:ss")&amp;utc_offset&amp;"00',mode:absolute,to:'"&amp;TEXT(I230+1/24,"yyyy-MM-DD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https://search-rtdc-monitor-bjffxe2xuh6vdkpspy63sjmuny.us-east-1.es.amazonaws.com/_plugin/kibana/#/discover/Steve-Slow-Train-Analysis-(2080s-and-2083s)?_g=(refreshInterval:(display:Off,section:0,value:0),time:(from:'2016-12-01 10:01:28-700',mode:absolute,to:'2016-12-01 12:12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30" s="52" t="str">
        <f>IF(AA230&lt;IF(AG230="EC",23,5.65),"Y","N")</f>
        <v>Y</v>
      </c>
      <c r="X230" s="177" t="e">
        <f>VALUE(LEFT(AD230,4))-VALUE(LEFT(AD229,4))</f>
        <v>#VALUE!</v>
      </c>
      <c r="Y230" s="67">
        <f>RIGHT(D230,LEN(D230)-4)/10000</f>
        <v>2.2056</v>
      </c>
      <c r="Z230" s="67">
        <f>RIGHT(H230,LEN(H230)-4)/10000</f>
        <v>8.6699999999999999E-2</v>
      </c>
      <c r="AA230" s="67">
        <f>ABS(Z230-Y230)</f>
        <v>2.1189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>IF(LEN(A230)=6,"0"&amp;A230,A230)</f>
        <v>52-01</v>
      </c>
      <c r="AE230" s="91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s3://rtdc.mdm.uploadarchive.raw/RTDC4017/ "%USERPROFILE%\AppData\Local\Temp\OnboardLogs"\RTDC4017\2016-12-01 --exclude "*" --recursive --include "*20161201*" &amp; "%USERPROFILE%\Documents\GitHub\mrs-test-scripts\Headless Mode &amp; Sideloading\WalkAndUnGZ.bat" "%USERPROFILE%\AppData\Local\Temp\OnboardLogs"\RTDC4017\2016-12-01 &amp; 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</v>
      </c>
      <c r="AF230" s="88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/stypes="app*4017*20161201*" /stext=" 18:.+((SYSTEM_STATE.+slice.+state.+changed )|(ment ac)|(multiple cpu faults)|(system.+state.+changed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92" t="str">
        <f t="shared" si="13"/>
        <v>"%USERPROFILE%\Documents\GitHub\eaglep3\Utilities\RefineRTDCRunTimes.py" --tripid 52-01 --locoid 4017 --swversion DE.1.0.8.0 --startMP 300:22056 --initTime 2016-12-01T11:01:28 --startdatetime 2016-12-01T11:03:45 --delay 1 --endMP 204:867 --enddatetime 2016-12-01T11:12:28 --enforcementcount 1 &gt;&gt;C:\Users\stu\Documents\GitHub\eaglep3-reporting\EC\2016-12-01-refined-times.txt</v>
      </c>
      <c r="AI230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{"issue":{"subject":"","project_id":79,"tracker_id":40,"status_id":1,"priority_id":2,"assigned_to_id":23,"start_date":"2016-12-01","description":"","custom_fields":[{"id":1,"name":"Subdivision","value":"Other"},{"id":4,"name":"Milepost","value":"0.0867"},{"id":17,"name":"Train ID","value":"52-01"},{"id":16,"name":"Locomotive ID","value":"4017"},{"id":130,"name":"Impact","value":""},{"id":150,"name":"Time of Event (Mountain Time)","value":"11:12:28"},{"id":151,"name":"Denver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548</v>
      </c>
      <c r="B231" s="7">
        <v>4018</v>
      </c>
      <c r="C231" s="22" t="s">
        <v>210</v>
      </c>
      <c r="D231" s="22" t="s">
        <v>764</v>
      </c>
      <c r="E231" s="13">
        <v>42705.488495370373</v>
      </c>
      <c r="F231" s="13">
        <v>42705.489918981482</v>
      </c>
      <c r="G231" s="7">
        <v>1</v>
      </c>
      <c r="H231" s="22" t="s">
        <v>765</v>
      </c>
      <c r="I231" s="13">
        <v>42705.49759259259</v>
      </c>
      <c r="J231" s="7">
        <v>1</v>
      </c>
      <c r="K231" s="109" t="str">
        <f>IF(ISEVEN(B231),(B231-1)&amp;"/"&amp;B231,B231&amp;"/"&amp;(B231+1))</f>
        <v>4017/4018</v>
      </c>
      <c r="L231" s="22" t="str">
        <f>VLOOKUP(A231,'Trips&amp;Operators'!$C$1:$G$99999,5,FALSE)</f>
        <v>STRICKLAND EVAN</v>
      </c>
      <c r="M231" s="6">
        <f>I231-F231</f>
        <v>7.6736111077480018E-3</v>
      </c>
      <c r="N231" s="7">
        <f>24*60*SUM($M231:$M231)</f>
        <v>11.049999995157123</v>
      </c>
      <c r="O231" s="7"/>
      <c r="P231" s="7"/>
      <c r="Q231" s="23"/>
      <c r="R231" s="23"/>
      <c r="S231" s="35">
        <f>SUM(U231:U231)/IF(AG231="EC",12,1)</f>
        <v>0</v>
      </c>
      <c r="T231" s="50" t="e">
        <f>IF(ISEVEN(LEFT(AD231,4)),"Southbound","NorthBound")</f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hh:mm:ss")&amp;utc_offset&amp;"00',mode:absolute,to:'"&amp;TEXT(I231+1/24,"yyyy-MM-DD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https://search-rtdc-monitor-bjffxe2xuh6vdkpspy63sjmuny.us-east-1.es.amazonaws.com/_plugin/kibana/#/discover/Steve-Slow-Train-Analysis-(2080s-and-2083s)?_g=(refreshInterval:(display:Off,section:0,value:0),time:(from:'2016-12-01 10:43:26-700',mode:absolute,to:'2016-12-01 12:56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31" s="52" t="str">
        <f>IF(AA231&lt;IF(AG231="EC",23,5.65),"Y","N")</f>
        <v>Y</v>
      </c>
      <c r="X231" s="177" t="e">
        <f>VALUE(LEFT(AD231,4))-VALUE(LEFT(AD230,4))</f>
        <v>#VALUE!</v>
      </c>
      <c r="Y231" s="67">
        <f>RIGHT(D231,LEN(D231)-4)/10000</f>
        <v>0.1179</v>
      </c>
      <c r="Z231" s="67">
        <f>RIGHT(H231,LEN(H231)-4)/10000</f>
        <v>2.4243000000000001</v>
      </c>
      <c r="AA231" s="67">
        <f>ABS(Z231-Y231)</f>
        <v>2.3064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>IF(LEN(A231)=6,"0"&amp;A231,A231)</f>
        <v>53-01</v>
      </c>
      <c r="AE231" s="91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s3://rtdc.mdm.uploadarchive.raw/RTDC4018/ "%USERPROFILE%\AppData\Local\Temp\OnboardLogs"\RTDC4018\2016-12-01 --exclude "*" --recursive --include "*20161201*" &amp; "%USERPROFILE%\Documents\GitHub\mrs-test-scripts\Headless Mode &amp; Sideloading\WalkAndUnGZ.bat" "%USERPROFILE%\AppData\Local\Temp\OnboardLogs"\RTDC4018\2016-12-01 &amp; aws s3 cp s3://rtdc.mdm.uploadarchive.raw/RTDC4018/ "%USERPROFILE%\AppData\Local\Temp\OnboardLogs"\RTDC4018\2016-12-02 --exclude "*" --recursive --include "*20161202*" &amp; "%USERPROFILE%\Documents\GitHub\mrs-test-scripts\Headless Mode &amp; Sideloading\WalkAndUnGZ.bat" "%USERPROFILE%\AppData\Local\Temp\OnboardLogs"\RTDC4018\2016-12-02</v>
      </c>
      <c r="AF231" s="88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/stypes="app*4018*20161201*" /stext=" 18:.+((SYSTEM_STATE.+slice.+state.+changed )|(ment ac)|(multiple cpu faults)|(system.+state.+changed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92" t="str">
        <f t="shared" si="13"/>
        <v>"%USERPROFILE%\Documents\GitHub\eaglep3\Utilities\RefineRTDCRunTimes.py" --tripid 53-01 --locoid 4018 --swversion DE.1.0.8.0 --startMP 204:1179 --initTime 2016-12-01T11:43:26 --startdatetime 2016-12-01T11:45:29 --delay 1 --endMP 300:24243 --enddatetime 2016-12-01T11:56:32 --enforcementcount 1 &gt;&gt;C:\Users\stu\Documents\GitHub\eaglep3-reporting\EC\2016-12-01-refined-times.txt</v>
      </c>
      <c r="AI231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{"issue":{"subject":"","project_id":79,"tracker_id":40,"status_id":1,"priority_id":2,"assigned_to_id":23,"start_date":"2016-12-01","description":"","custom_fields":[{"id":1,"name":"Subdivision","value":"Other"},{"id":4,"name":"Milepost","value":"2.4243"},{"id":17,"name":"Train ID","value":"53-01"},{"id":16,"name":"Locomotive ID","value":"4018"},{"id":130,"name":"Impact","value":""},{"id":150,"name":"Time of Event (Mountain Time)","value":"11:56:32"},{"id":151,"name":"Denver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432</v>
      </c>
      <c r="B232" s="7">
        <v>4001</v>
      </c>
      <c r="C232" s="22" t="s">
        <v>210</v>
      </c>
      <c r="D232" s="22" t="s">
        <v>766</v>
      </c>
      <c r="E232" s="13">
        <v>42705.594965277778</v>
      </c>
      <c r="F232" s="13">
        <v>42705.596296296295</v>
      </c>
      <c r="G232" s="7">
        <v>1</v>
      </c>
      <c r="H232" s="22" t="s">
        <v>767</v>
      </c>
      <c r="I232" s="13">
        <v>42705.601180555554</v>
      </c>
      <c r="J232" s="7">
        <v>1</v>
      </c>
      <c r="K232" s="109" t="str">
        <f>IF(ISEVEN(B232),(B232-1)&amp;"/"&amp;B232,B232&amp;"/"&amp;(B232+1))</f>
        <v>4001/4002</v>
      </c>
      <c r="L232" s="22" t="str">
        <f>VLOOKUP(A232,'Trips&amp;Operators'!$C$1:$G$99999,5,FALSE)</f>
        <v>HILLS DUSTIN</v>
      </c>
      <c r="M232" s="6">
        <f>I232-F232</f>
        <v>4.8842592586879618E-3</v>
      </c>
      <c r="N232" s="7">
        <f>24*60*SUM($M232:$M232)</f>
        <v>7.0333333325106651</v>
      </c>
      <c r="O232" s="7"/>
      <c r="P232" s="7"/>
      <c r="Q232" s="23"/>
      <c r="R232" s="23"/>
      <c r="S232" s="35">
        <f>SUM(U232:U232)/IF(AG232="EC",12,1)</f>
        <v>0</v>
      </c>
      <c r="T232" s="50" t="e">
        <f>IF(ISEVEN(LEFT(AD232,4)),"Southbound","NorthBound")</f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hh:mm:ss")&amp;utc_offset&amp;"00',mode:absolute,to:'"&amp;TEXT(I232+1/24,"yyyy-MM-DD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https://search-rtdc-monitor-bjffxe2xuh6vdkpspy63sjmuny.us-east-1.es.amazonaws.com/_plugin/kibana/#/discover/Steve-Slow-Train-Analysis-(2080s-and-2083s)?_g=(refreshInterval:(display:Off,section:0,value:0),time:(from:'2016-12-01 13:16:45-700',mode:absolute,to:'2016-12-01 15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32" s="52" t="str">
        <f>IF(AA232&lt;IF(AG232="EC",23,5.65),"Y","N")</f>
        <v>Y</v>
      </c>
      <c r="X232" s="177" t="e">
        <f>VALUE(LEFT(AD232,4))-VALUE(LEFT(AD231,4))</f>
        <v>#VALUE!</v>
      </c>
      <c r="Y232" s="67">
        <f>RIGHT(D232,LEN(D232)-4)/10000</f>
        <v>2.1768999999999998</v>
      </c>
      <c r="Z232" s="67">
        <f>RIGHT(H232,LEN(H232)-4)/10000</f>
        <v>9.2399999999999996E-2</v>
      </c>
      <c r="AA232" s="67">
        <f>ABS(Z232-Y232)</f>
        <v>2.0844999999999998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>IF(LEN(A232)=6,"0"&amp;A232,A232)</f>
        <v>54-01</v>
      </c>
      <c r="AE232" s="91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AF232" s="88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/stypes="app*4001*20161201*" /stext=" 21:.+((SYSTEM_STATE.+slice.+state.+changed )|(ment ac)|(multiple cpu faults)|(system.+state.+changed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92" t="str">
        <f t="shared" si="13"/>
        <v>"%USERPROFILE%\Documents\GitHub\eaglep3\Utilities\RefineRTDCRunTimes.py" --tripid 54-01 --locoid 4001 --swversion DE.1.0.8.0 --startMP 300:21769 --initTime 2016-12-01T14:16:45 --startdatetime 2016-12-01T14:18:40 --delay 1 --endMP 204:924 --enddatetime 2016-12-01T14:25:42 --enforcementcount 1 &gt;&gt;C:\Users\stu\Documents\GitHub\eaglep3-reporting\EC\2016-12-01-refined-times.txt</v>
      </c>
      <c r="AI232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{"issue":{"subject":"","project_id":79,"tracker_id":40,"status_id":1,"priority_id":2,"assigned_to_id":23,"start_date":"2016-12-01","description":"","custom_fields":[{"id":1,"name":"Subdivision","value":"Other"},{"id":4,"name":"Milepost","value":"0.0924"},{"id":17,"name":"Train ID","value":"54-01"},{"id":16,"name":"Locomotive ID","value":"4001"},{"id":130,"name":"Impact","value":""},{"id":150,"name":"Time of Event (Mountain Time)","value":"14:25:42"},{"id":151,"name":"Denver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592</v>
      </c>
      <c r="B233" s="7">
        <v>4017</v>
      </c>
      <c r="C233" s="22" t="s">
        <v>210</v>
      </c>
      <c r="D233" s="22" t="s">
        <v>768</v>
      </c>
      <c r="E233" s="13">
        <v>42705.684328703705</v>
      </c>
      <c r="F233" s="13">
        <v>42705.686597222222</v>
      </c>
      <c r="G233" s="7">
        <v>3</v>
      </c>
      <c r="H233" s="22" t="s">
        <v>212</v>
      </c>
      <c r="I233" s="13">
        <v>42705.694965277777</v>
      </c>
      <c r="J233" s="7">
        <v>1</v>
      </c>
      <c r="K233" s="109" t="str">
        <f>IF(ISEVEN(B233),(B233-1)&amp;"/"&amp;B233,B233&amp;"/"&amp;(B233+1))</f>
        <v>4017/4018</v>
      </c>
      <c r="L233" s="22" t="str">
        <f>VLOOKUP(A233,'Trips&amp;Operators'!$C$1:$G$99999,5,FALSE)</f>
        <v>DELGADO DIANAH</v>
      </c>
      <c r="M233" s="6">
        <f>I233-F233</f>
        <v>8.3680555544560775E-3</v>
      </c>
      <c r="N233" s="7">
        <f>24*60*SUM($M233:$M233)</f>
        <v>12.049999998416752</v>
      </c>
      <c r="O233" s="7"/>
      <c r="P233" s="7"/>
      <c r="Q233" s="23"/>
      <c r="R233" s="23"/>
      <c r="S233" s="35">
        <f>SUM(U233:U233)/IF(AG233="EC",12,1)</f>
        <v>0</v>
      </c>
      <c r="T233" s="50" t="e">
        <f>IF(ISEVEN(LEFT(AD233,4)),"Southbound","NorthBound")</f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hh:mm:ss")&amp;utc_offset&amp;"00',mode:absolute,to:'"&amp;TEXT(I233+1/24,"yyyy-MM-DD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https://search-rtdc-monitor-bjffxe2xuh6vdkpspy63sjmuny.us-east-1.es.amazonaws.com/_plugin/kibana/#/discover/Steve-Slow-Train-Analysis-(2080s-and-2083s)?_g=(refreshInterval:(display:Off,section:0,value:0),time:(from:'2016-12-01 15:25:26-700',mode:absolute,to:'2016-12-01 17:40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33" s="52" t="str">
        <f>IF(AA233&lt;IF(AG233="EC",23,5.65),"Y","N")</f>
        <v>Y</v>
      </c>
      <c r="X233" s="177" t="e">
        <f>VALUE(LEFT(AD233,4))-VALUE(LEFT(AD232,4))</f>
        <v>#VALUE!</v>
      </c>
      <c r="Y233" s="67">
        <f>RIGHT(D233,LEN(D233)-4)/10000</f>
        <v>2.3660999999999999</v>
      </c>
      <c r="Z233" s="67">
        <f>RIGHT(H233,LEN(H233)-4)/10000</f>
        <v>1.5800000000000002E-2</v>
      </c>
      <c r="AA233" s="67">
        <f>ABS(Z233-Y233)</f>
        <v>2.3502999999999998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>IF(LEN(A233)=6,"0"&amp;A233,A233)</f>
        <v>56-01</v>
      </c>
      <c r="AE233" s="91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s3://rtdc.mdm.uploadarchive.raw/RTDC4017/ "%USERPROFILE%\AppData\Local\Temp\OnboardLogs"\RTDC4017\2016-12-01 --exclude "*" --recursive --include "*20161201*" &amp; "%USERPROFILE%\Documents\GitHub\mrs-test-scripts\Headless Mode &amp; Sideloading\WalkAndUnGZ.bat" "%USERPROFILE%\AppData\Local\Temp\OnboardLogs"\RTDC4017\2016-12-01 &amp; 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</v>
      </c>
      <c r="AF233" s="88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/stypes="app*4017*20161201*" /stext=" 23:.+((SYSTEM_STATE.+slice.+state.+changed )|(ment ac)|(multiple cpu faults)|(system.+state.+changed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92" t="str">
        <f t="shared" si="13"/>
        <v>"%USERPROFILE%\Documents\GitHub\eaglep3\Utilities\RefineRTDCRunTimes.py" --tripid 56-01 --locoid 4017 --swversion DE.1.0.8.0 --startMP 300:23661 --initTime 2016-12-01T16:25:26 --startdatetime 2016-12-01T16:28:42 --delay 3 --endMP 204:158 --enddatetime 2016-12-01T16:40:45 --enforcementcount 1 &gt;&gt;C:\Users\stu\Documents\GitHub\eaglep3-reporting\EC\2016-12-01-refined-times.txt</v>
      </c>
      <c r="AI233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{"issue":{"subject":"","project_id":79,"tracker_id":40,"status_id":1,"priority_id":2,"assigned_to_id":23,"start_date":"2016-12-01","description":"","custom_fields":[{"id":1,"name":"Subdivision","value":"Other"},{"id":4,"name":"Milepost","value":"0.0158"},{"id":17,"name":"Train ID","value":"56-01"},{"id":16,"name":"Locomotive ID","value":"4017"},{"id":130,"name":"Impact","value":""},{"id":150,"name":"Time of Event (Mountain Time)","value":"16:40:45"},{"id":151,"name":"Denver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558</v>
      </c>
      <c r="B234" s="7">
        <v>4027</v>
      </c>
      <c r="C234" s="22" t="s">
        <v>210</v>
      </c>
      <c r="D234" s="22" t="s">
        <v>769</v>
      </c>
      <c r="E234" s="13">
        <v>42705.522291666668</v>
      </c>
      <c r="F234" s="13">
        <v>42705.526932870373</v>
      </c>
      <c r="G234" s="7">
        <v>1</v>
      </c>
      <c r="H234" s="22" t="s">
        <v>770</v>
      </c>
      <c r="I234" s="13">
        <v>42705.532812500001</v>
      </c>
      <c r="J234" s="7">
        <v>1</v>
      </c>
      <c r="K234" s="109" t="str">
        <f>IF(ISEVEN(B234),(B234-1)&amp;"/"&amp;B234,B234&amp;"/"&amp;(B234+1))</f>
        <v>4027/4028</v>
      </c>
      <c r="L234" s="22" t="str">
        <f>VLOOKUP(A234,'Trips&amp;Operators'!$C$1:$G$99999,5,FALSE)</f>
        <v>OUN ZACK</v>
      </c>
      <c r="M234" s="6">
        <f>I234-F234</f>
        <v>5.8796296289074235E-3</v>
      </c>
      <c r="N234" s="7">
        <f>24*60*SUM($M234:$M234)</f>
        <v>8.4666666656266898</v>
      </c>
      <c r="O234" s="7"/>
      <c r="P234" s="7"/>
      <c r="Q234" s="23"/>
      <c r="R234" s="23"/>
      <c r="S234" s="35">
        <f>SUM(U234:U234)/IF(AG234="EC",12,1)</f>
        <v>0</v>
      </c>
      <c r="T234" s="50" t="e">
        <f>IF(ISEVEN(LEFT(AD234,4)),"Southbound","NorthBound")</f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>"https://search-rtdc-monitor-bjffxe2xuh6vdkpspy63sjmuny.us-east-1.es.amazonaws.com/_plugin/kibana/#/discover/Steve-Slow-Train-Analysis-(2080s-and-2083s)?_g=(refreshInterval:(display:Off,section:0,value:0),time:(from:'"&amp;TEXT(E234-1/24,"yyyy-MM-DD hh:mm:ss")&amp;utc_offset&amp;"00',mode:absolute,to:'"&amp;TEXT(I234+1/24,"yyyy-MM-DD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234&amp;"%22')),sort:!(Time,asc))"</f>
        <v>https://search-rtdc-monitor-bjffxe2xuh6vdkpspy63sjmuny.us-east-1.es.amazonaws.com/_plugin/kibana/#/discover/Steve-Slow-Train-Analysis-(2080s-and-2083s)?_g=(refreshInterval:(display:Off,section:0,value:0),time:(from:'2016-12-01 11:32:06-700',mode:absolute,to:'2016-12-01 13:47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34" s="52" t="str">
        <f>IF(AA234&lt;IF(AG234="EC",23,5.65),"Y","N")</f>
        <v>Y</v>
      </c>
      <c r="X234" s="177" t="e">
        <f>VALUE(LEFT(AD234,4))-VALUE(LEFT(AD233,4))</f>
        <v>#VALUE!</v>
      </c>
      <c r="Y234" s="67">
        <f>RIGHT(D234,LEN(D234)-4)/10000</f>
        <v>0.15029999999999999</v>
      </c>
      <c r="Z234" s="67">
        <f>RIGHT(H234,LEN(H234)-4)/10000</f>
        <v>3.1312000000000002</v>
      </c>
      <c r="AA234" s="67">
        <f>ABS(Z234-Y234)</f>
        <v>2.9809000000000001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>IF(LEN(A234)=6,"0"&amp;A234,A234)</f>
        <v>57-01</v>
      </c>
      <c r="AE234" s="91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s3://rtdc.mdm.uploadarchive.raw/RTDC4027/ "%USERPROFILE%\AppData\Local\Temp\OnboardLogs"\RTDC4027\2016-12-01 --exclude "*" --recursive --include "*20161201*" &amp; "%USERPROFILE%\Documents\GitHub\mrs-test-scripts\Headless Mode &amp; Sideloading\WalkAndUnGZ.bat" "%USERPROFILE%\AppData\Local\Temp\OnboardLogs"\RTDC4027\2016-12-01 &amp; aws s3 cp s3://rtdc.mdm.uploadarchive.raw/RTDC4027/ "%USERPROFILE%\AppData\Local\Temp\OnboardLogs"\RTDC4027\2016-12-02 --exclude "*" --recursive --include "*20161202*" &amp; "%USERPROFILE%\Documents\GitHub\mrs-test-scripts\Headless Mode &amp; Sideloading\WalkAndUnGZ.bat" "%USERPROFILE%\AppData\Local\Temp\OnboardLogs"\RTDC4027\2016-12-02</v>
      </c>
      <c r="AF234" s="88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/stypes="app*4027*20161201*" /stext=" 19:.+((SYSTEM_STATE.+slice.+state.+changed )|(ment ac)|(multiple cpu faults)|(system.+state.+changed )|(\[timeout)|(PRM\|1\|D)|(kpr)|(kdp)|(\|lc)|(penalty))" /e /r /s</v>
      </c>
      <c r="AG234" s="1" t="str">
        <f>IFERROR(IF(VALUE(LEFT(AD234,2))&lt;=2,"EC",IF(OR(VALUE(LEFT(AD234,2))=8,VALUE(LEFT(AD234,2))=18),"NW","Other")),"Other")</f>
        <v>Other</v>
      </c>
      <c r="AH234" s="92" t="str">
        <f t="shared" si="13"/>
        <v>"%USERPROFILE%\Documents\GitHub\eaglep3\Utilities\RefineRTDCRunTimes.py" --tripid 57-01 --locoid 4027 --swversion DE.1.0.8.0 --startMP 204:1503 --initTime 2016-12-01T12:32:06 --startdatetime 2016-12-01T12:38:47 --delay 1 --endMP 300:31312 --enddatetime 2016-12-01T12:47:15 --enforcementcount 1 &gt;&gt;C:\Users\stu\Documents\GitHub\eaglep3-reporting\EC\2016-12-01-refined-times.txt</v>
      </c>
      <c r="AI234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{"issue":{"subject":"","project_id":79,"tracker_id":40,"status_id":1,"priority_id":2,"assigned_to_id":23,"start_date":"2016-12-01","description":"","custom_fields":[{"id":1,"name":"Subdivision","value":"Other"},{"id":4,"name":"Milepost","value":"3.1312"},{"id":17,"name":"Train ID","value":"57-01"},{"id":16,"name":"Locomotive ID","value":"4027"},{"id":130,"name":"Impact","value":""},{"id":150,"name":"Time of Event (Mountain Time)","value":"12:47:15"},{"id":151,"name":"Denver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563</v>
      </c>
      <c r="B235" s="7">
        <v>4028</v>
      </c>
      <c r="C235" s="22" t="s">
        <v>210</v>
      </c>
      <c r="D235" s="22" t="s">
        <v>771</v>
      </c>
      <c r="E235" s="13">
        <v>42705.53396990741</v>
      </c>
      <c r="F235" s="13">
        <v>42705.536585648151</v>
      </c>
      <c r="G235" s="7">
        <v>3</v>
      </c>
      <c r="H235" s="22" t="s">
        <v>772</v>
      </c>
      <c r="I235" s="13">
        <v>42705.548194444447</v>
      </c>
      <c r="J235" s="7">
        <v>1</v>
      </c>
      <c r="K235" s="109" t="str">
        <f>IF(ISEVEN(B235),(B235-1)&amp;"/"&amp;B235,B235&amp;"/"&amp;(B235+1))</f>
        <v>4027/4028</v>
      </c>
      <c r="L235" s="22" t="str">
        <f>VLOOKUP(A235,'Trips&amp;Operators'!$C$1:$G$99999,5,FALSE)</f>
        <v>OUN ZACK</v>
      </c>
      <c r="M235" s="6">
        <f>I235-F235</f>
        <v>1.1608796296059154E-2</v>
      </c>
      <c r="N235" s="7">
        <f>24*60*SUM($M235:$M235)</f>
        <v>16.716666666325182</v>
      </c>
      <c r="O235" s="7"/>
      <c r="P235" s="7"/>
      <c r="Q235" s="23"/>
      <c r="R235" s="23"/>
      <c r="S235" s="35">
        <f>SUM(U235:U235)/IF(AG235="EC",12,1)</f>
        <v>0</v>
      </c>
      <c r="T235" s="50" t="e">
        <f>IF(ISEVEN(LEFT(AD235,4)),"Southbound","NorthBound")</f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>"https://search-rtdc-monitor-bjffxe2xuh6vdkpspy63sjmuny.us-east-1.es.amazonaws.com/_plugin/kibana/#/discover/Steve-Slow-Train-Analysis-(2080s-and-2083s)?_g=(refreshInterval:(display:Off,section:0,value:0),time:(from:'"&amp;TEXT(E235-1/24,"yyyy-MM-DD hh:mm:ss")&amp;utc_offset&amp;"00',mode:absolute,to:'"&amp;TEXT(I235+1/24,"yyyy-MM-DD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235&amp;"%22')),sort:!(Time,asc))"</f>
        <v>https://search-rtdc-monitor-bjffxe2xuh6vdkpspy63sjmuny.us-east-1.es.amazonaws.com/_plugin/kibana/#/discover/Steve-Slow-Train-Analysis-(2080s-and-2083s)?_g=(refreshInterval:(display:Off,section:0,value:0),time:(from:'2016-12-01 11:48:55-700',mode:absolute,to:'2016-12-01 14:09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35" s="52" t="str">
        <f>IF(AA235&lt;IF(AG235="EC",23,5.65),"Y","N")</f>
        <v>Y</v>
      </c>
      <c r="X235" s="177" t="e">
        <f>VALUE(LEFT(AD235,4))-VALUE(LEFT(AD234,4))</f>
        <v>#VALUE!</v>
      </c>
      <c r="Y235" s="67">
        <f>RIGHT(D235,LEN(D235)-4)/10000</f>
        <v>3.0992000000000002</v>
      </c>
      <c r="Z235" s="67">
        <f>RIGHT(H235,LEN(H235)-4)/10000</f>
        <v>0.1182</v>
      </c>
      <c r="AA235" s="67">
        <f>ABS(Z235-Y235)</f>
        <v>2.9810000000000003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>IF(LEN(A235)=6,"0"&amp;A235,A235)</f>
        <v>58-01</v>
      </c>
      <c r="AE235" s="91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s3://rtdc.mdm.uploadarchive.raw/RTDC4028/ "%USERPROFILE%\AppData\Local\Temp\OnboardLogs"\RTDC4028\2016-12-01 --exclude "*" --recursive --include "*20161201*" &amp; "%USERPROFILE%\Documents\GitHub\mrs-test-scripts\Headless Mode &amp; Sideloading\WalkAndUnGZ.bat" "%USERPROFILE%\AppData\Local\Temp\OnboardLogs"\RTDC4028\2016-12-01 &amp; aws s3 cp s3://rtdc.mdm.uploadarchive.raw/RTDC4028/ "%USERPROFILE%\AppData\Local\Temp\OnboardLogs"\RTDC4028\2016-12-02 --exclude "*" --recursive --include "*20161202*" &amp; "%USERPROFILE%\Documents\GitHub\mrs-test-scripts\Headless Mode &amp; Sideloading\WalkAndUnGZ.bat" "%USERPROFILE%\AppData\Local\Temp\OnboardLogs"\RTDC4028\2016-12-02</v>
      </c>
      <c r="AF235" s="88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/stypes="app*4028*20161201*" /stext=" 20:.+((SYSTEM_STATE.+slice.+state.+changed )|(ment ac)|(multiple cpu faults)|(system.+state.+changed )|(\[timeout)|(PRM\|1\|D)|(kpr)|(kdp)|(\|lc)|(penalty))" /e /r /s</v>
      </c>
      <c r="AG235" s="1" t="str">
        <f>IFERROR(IF(VALUE(LEFT(AD235,2))&lt;=2,"EC",IF(OR(VALUE(LEFT(AD235,2))=8,VALUE(LEFT(AD235,2))=18),"NW","Other")),"Other")</f>
        <v>Other</v>
      </c>
      <c r="AH235" s="92" t="str">
        <f t="shared" si="13"/>
        <v>"%USERPROFILE%\Documents\GitHub\eaglep3\Utilities\RefineRTDCRunTimes.py" --tripid 58-01 --locoid 4028 --swversion DE.1.0.8.0 --startMP 300:30992 --initTime 2016-12-01T12:48:55 --startdatetime 2016-12-01T12:52:41 --delay 3 --endMP 204:1182 --enddatetime 2016-12-01T13:09:24 --enforcementcount 1 &gt;&gt;C:\Users\stu\Documents\GitHub\eaglep3-reporting\EC\2016-12-01-refined-times.txt</v>
      </c>
      <c r="AI235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{"issue":{"subject":"","project_id":79,"tracker_id":40,"status_id":1,"priority_id":2,"assigned_to_id":23,"start_date":"2016-12-01","description":"","custom_fields":[{"id":1,"name":"Subdivision","value":"Other"},{"id":4,"name":"Milepost","value":"0.1182"},{"id":17,"name":"Train ID","value":"58-01"},{"id":16,"name":"Locomotive ID","value":"4028"},{"id":130,"name":"Impact","value":""},{"id":150,"name":"Time of Event (Mountain Time)","value":"13:09:24"},{"id":151,"name":"Denver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604</v>
      </c>
      <c r="B236" s="7">
        <v>4019</v>
      </c>
      <c r="C236" s="22" t="s">
        <v>210</v>
      </c>
      <c r="D236" s="22" t="s">
        <v>773</v>
      </c>
      <c r="E236" s="13">
        <v>42705.718761574077</v>
      </c>
      <c r="F236" s="13">
        <v>42705.719953703701</v>
      </c>
      <c r="G236" s="7">
        <v>1</v>
      </c>
      <c r="H236" s="22" t="s">
        <v>759</v>
      </c>
      <c r="I236" s="13">
        <v>42705.726145833331</v>
      </c>
      <c r="J236" s="7">
        <v>1</v>
      </c>
      <c r="K236" s="109" t="str">
        <f>IF(ISEVEN(B236),(B236-1)&amp;"/"&amp;B236,B236&amp;"/"&amp;(B236+1))</f>
        <v>4019/4020</v>
      </c>
      <c r="L236" s="22" t="str">
        <f>VLOOKUP(A236,'Trips&amp;Operators'!$C$1:$G$99999,5,FALSE)</f>
        <v>COOLAHAN JOHN</v>
      </c>
      <c r="M236" s="6">
        <f>I236-F236</f>
        <v>6.1921296291984618E-3</v>
      </c>
      <c r="N236" s="7">
        <f>24*60*SUM($M236:$M236)</f>
        <v>8.916666666045785</v>
      </c>
      <c r="O236" s="7"/>
      <c r="P236" s="7"/>
      <c r="Q236" s="23"/>
      <c r="R236" s="23"/>
      <c r="S236" s="35">
        <f>SUM(U236:U236)/IF(AG236="EC",12,1)</f>
        <v>0</v>
      </c>
      <c r="T236" s="50" t="e">
        <f>IF(ISEVEN(LEFT(AD236,4)),"Southbound","NorthBound")</f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>"https://search-rtdc-monitor-bjffxe2xuh6vdkpspy63sjmuny.us-east-1.es.amazonaws.com/_plugin/kibana/#/discover/Steve-Slow-Train-Analysis-(2080s-and-2083s)?_g=(refreshInterval:(display:Off,section:0,value:0),time:(from:'"&amp;TEXT(E236-1/24,"yyyy-MM-DD hh:mm:ss")&amp;utc_offset&amp;"00',mode:absolute,to:'"&amp;TEXT(I236+1/24,"yyyy-MM-DD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236&amp;"%22')),sort:!(Time,asc))"</f>
        <v>https://search-rtdc-monitor-bjffxe2xuh6vdkpspy63sjmuny.us-east-1.es.amazonaws.com/_plugin/kibana/#/discover/Steve-Slow-Train-Analysis-(2080s-and-2083s)?_g=(refreshInterval:(display:Off,section:0,value:0),time:(from:'2016-12-01 16:15:01-700',mode:absolute,to:'2016-12-01 18:25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36" s="52" t="str">
        <f>IF(AA236&lt;IF(AG236="EC",23,5.65),"Y","N")</f>
        <v>Y</v>
      </c>
      <c r="X236" s="177" t="e">
        <f>VALUE(LEFT(AD236,4))-VALUE(LEFT(AD235,4))</f>
        <v>#VALUE!</v>
      </c>
      <c r="Y236" s="67">
        <f>RIGHT(D236,LEN(D236)-4)/10000</f>
        <v>2.3391999999999999</v>
      </c>
      <c r="Z236" s="67">
        <f>RIGHT(H236,LEN(H236)-4)/10000</f>
        <v>7.7000000000000002E-3</v>
      </c>
      <c r="AA236" s="67">
        <f>ABS(Z236-Y236)</f>
        <v>2.3315000000000001</v>
      </c>
      <c r="AB236" s="64" t="e">
        <f>VLOOKUP(A236,Enforcements!$C$7:$K$20,8,0)</f>
        <v>#N/A</v>
      </c>
      <c r="AC236" s="60" t="e">
        <f>VLOOKUP(A236,Enforcements!$C$7:$E$20,3,0)</f>
        <v>#N/A</v>
      </c>
      <c r="AD236" s="61" t="str">
        <f>IF(LEN(A236)=6,"0"&amp;A236,A236)</f>
        <v>60-01</v>
      </c>
      <c r="AE236" s="91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s3://rtdc.mdm.uploadarchive.raw/RTDC4019/ "%USERPROFILE%\AppData\Local\Temp\OnboardLogs"\RTDC4019\2016-12-01 --exclude "*" --recursive --include "*20161201*" &amp; "%USERPROFILE%\Documents\GitHub\mrs-test-scripts\Headless Mode &amp; Sideloading\WalkAndUnGZ.bat" "%USERPROFILE%\AppData\Local\Temp\OnboardLogs"\RTDC4019\2016-12-01 &amp; aws s3 cp s3://rtdc.mdm.uploadarchive.raw/RTDC4019/ "%USERPROFILE%\AppData\Local\Temp\OnboardLogs"\RTDC4019\2016-12-02 --exclude "*" --recursive --include "*20161202*" &amp; "%USERPROFILE%\Documents\GitHub\mrs-test-scripts\Headless Mode &amp; Sideloading\WalkAndUnGZ.bat" "%USERPROFILE%\AppData\Local\Temp\OnboardLogs"\RTDC4019\2016-12-02</v>
      </c>
      <c r="AF236" s="88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/stypes="app*4019*20161202*" /stext=" 00:.+((SYSTEM_STATE.+slice.+state.+changed )|(ment ac)|(multiple cpu faults)|(system.+state.+changed )|(\[timeout)|(PRM\|1\|D)|(kpr)|(kdp)|(\|lc)|(penalty))" /e /r /s</v>
      </c>
      <c r="AG236" s="1" t="str">
        <f>IFERROR(IF(VALUE(LEFT(AD236,2))&lt;=2,"EC",IF(OR(VALUE(LEFT(AD236,2))=8,VALUE(LEFT(AD236,2))=18),"NW","Other")),"Other")</f>
        <v>Other</v>
      </c>
      <c r="AH236" s="92" t="str">
        <f t="shared" si="13"/>
        <v>"%USERPROFILE%\Documents\GitHub\eaglep3\Utilities\RefineRTDCRunTimes.py" --tripid 60-01 --locoid 4019 --swversion DE.1.0.8.0 --startMP 300:23392 --initTime 2016-12-01T17:15:01 --startdatetime 2016-12-01T17:16:44 --delay 1 --endMP 204:77 --enddatetime 2016-12-01T17:25:39 --enforcementcount 1 &gt;&gt;C:\Users\stu\Documents\GitHub\eaglep3-reporting\EC\2016-12-01-refined-times.txt</v>
      </c>
      <c r="AI236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{"issue":{"subject":"","project_id":79,"tracker_id":40,"status_id":1,"priority_id":2,"assigned_to_id":23,"start_date":"2016-12-01","description":"","custom_fields":[{"id":1,"name":"Subdivision","value":"Other"},{"id":4,"name":"Milepost","value":"0.0077"},{"id":17,"name":"Train ID","value":"60-01"},{"id":16,"name":"Locomotive ID","value":"4019"},{"id":130,"name":"Impact","value":""},{"id":150,"name":"Time of Event (Mountain Time)","value":"17:25:39"},{"id":151,"name":"Denver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613</v>
      </c>
      <c r="B237" s="7">
        <v>4037</v>
      </c>
      <c r="C237" s="22" t="s">
        <v>210</v>
      </c>
      <c r="D237" s="22" t="s">
        <v>774</v>
      </c>
      <c r="E237" s="13">
        <v>42705.746504629627</v>
      </c>
      <c r="F237" s="13">
        <v>42705.747824074075</v>
      </c>
      <c r="G237" s="7">
        <v>1</v>
      </c>
      <c r="H237" s="22" t="s">
        <v>775</v>
      </c>
      <c r="I237" s="13">
        <v>42705.754270833335</v>
      </c>
      <c r="J237" s="7">
        <v>1</v>
      </c>
      <c r="K237" s="109" t="str">
        <f>IF(ISEVEN(B237),(B237-1)&amp;"/"&amp;B237,B237&amp;"/"&amp;(B237+1))</f>
        <v>4037/4038</v>
      </c>
      <c r="L237" s="22" t="str">
        <f>VLOOKUP(A237,'Trips&amp;Operators'!$C$1:$G$99999,5,FALSE)</f>
        <v>MACDONALD THOMAS</v>
      </c>
      <c r="M237" s="6">
        <f>I237-F237</f>
        <v>6.4467592601431534E-3</v>
      </c>
      <c r="N237" s="7">
        <f>24*60*SUM($M237:$M237)</f>
        <v>9.2833333346061409</v>
      </c>
      <c r="O237" s="7"/>
      <c r="P237" s="7"/>
      <c r="Q237" s="23"/>
      <c r="R237" s="23"/>
      <c r="S237" s="35">
        <f>SUM(U237:U237)/IF(AG237="EC",12,1)</f>
        <v>0</v>
      </c>
      <c r="T237" s="50" t="e">
        <f>IF(ISEVEN(LEFT(AD237,4)),"Southbound","NorthBound")</f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>"https://search-rtdc-monitor-bjffxe2xuh6vdkpspy63sjmuny.us-east-1.es.amazonaws.com/_plugin/kibana/#/discover/Steve-Slow-Train-Analysis-(2080s-and-2083s)?_g=(refreshInterval:(display:Off,section:0,value:0),time:(from:'"&amp;TEXT(E237-1/24,"yyyy-MM-DD hh:mm:ss")&amp;utc_offset&amp;"00',mode:absolute,to:'"&amp;TEXT(I237+1/24,"yyyy-MM-DD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237&amp;"%22')),sort:!(Time,asc))"</f>
        <v>https://search-rtdc-monitor-bjffxe2xuh6vdkpspy63sjmuny.us-east-1.es.amazonaws.com/_plugin/kibana/#/discover/Steve-Slow-Train-Analysis-(2080s-and-2083s)?_g=(refreshInterval:(display:Off,section:0,value:0),time:(from:'2016-12-01 16:54:58-700',mode:absolute,to:'2016-12-01 19:06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37" s="52" t="str">
        <f>IF(AA237&lt;IF(AG237="EC",23,5.65),"Y","N")</f>
        <v>Y</v>
      </c>
      <c r="X237" s="177" t="e">
        <f>VALUE(LEFT(AD237,4))-VALUE(LEFT(AD236,4))</f>
        <v>#VALUE!</v>
      </c>
      <c r="Y237" s="67">
        <f>RIGHT(D237,LEN(D237)-4)/10000</f>
        <v>2.1739999999999999</v>
      </c>
      <c r="Z237" s="67">
        <f>RIGHT(H237,LEN(H237)-4)/10000</f>
        <v>9.1499999999999998E-2</v>
      </c>
      <c r="AA237" s="67">
        <f>ABS(Z237-Y237)</f>
        <v>2.0825</v>
      </c>
      <c r="AB237" s="64" t="e">
        <f>VLOOKUP(A237,Enforcements!$C$7:$K$20,8,0)</f>
        <v>#N/A</v>
      </c>
      <c r="AC237" s="60" t="e">
        <f>VLOOKUP(A237,Enforcements!$C$7:$E$20,3,0)</f>
        <v>#N/A</v>
      </c>
      <c r="AD237" s="61" t="str">
        <f>IF(LEN(A237)=6,"0"&amp;A237,A237)</f>
        <v>62-01</v>
      </c>
      <c r="AE237" s="91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 &amp; aws s3 cp s3://rtdc.mdm.uploadarchive.raw/RTDC4037/ "%USERPROFILE%\AppData\Local\Temp\OnboardLogs"\RTDC4037\2016-12-02 --exclude "*" --recursive --include "*20161202*" &amp; "%USERPROFILE%\Documents\GitHub\mrs-test-scripts\Headless Mode &amp; Sideloading\WalkAndUnGZ.bat" "%USERPROFILE%\AppData\Local\Temp\OnboardLogs"\RTDC4037\2016-12-02</v>
      </c>
      <c r="AF237" s="88" t="str">
        <f>astrogrep_path&amp;" /spath="&amp;search_path&amp;" /stypes=""app*"&amp;B237&amp;"*"&amp;TEXT(I237-utc_offset/24,"YYYYMMDD")&amp;"*"" /stext="" "&amp;TEXT(I237-utc_offset/24,"HH")&amp;search_regexp&amp;""" /e /r /s"</f>
        <v>"C:\Program Files (x86)\AstroGrep\AstroGrep.exe" /spath="%USERPROFILE%\AppData\Local\Temp\OnboardLogs" /stypes="app*4037*20161202*" /stext=" 01:.+((SYSTEM_STATE.+slice.+state.+changed )|(ment ac)|(multiple cpu faults)|(system.+state.+changed )|(\[timeout)|(PRM\|1\|D)|(kpr)|(kdp)|(\|lc)|(penalty))" /e /r /s</v>
      </c>
      <c r="AG237" s="1" t="str">
        <f>IFERROR(IF(VALUE(LEFT(AD237,2))&lt;=2,"EC",IF(OR(VALUE(LEFT(AD237,2))=8,VALUE(LEFT(AD237,2))=18),"NW","Other")),"Other")</f>
        <v>Other</v>
      </c>
      <c r="AH237" s="92" t="str">
        <f t="shared" si="13"/>
        <v>"%USERPROFILE%\Documents\GitHub\eaglep3\Utilities\RefineRTDCRunTimes.py" --tripid 62-01 --locoid 4037 --swversion DE.1.0.8.0 --startMP 300:21740 --initTime 2016-12-01T17:54:58 --startdatetime 2016-12-01T17:56:52 --delay 1 --endMP 204:915 --enddatetime 2016-12-01T18:06:09 --enforcementcount 1 &gt;&gt;C:\Users\stu\Documents\GitHub\eaglep3-reporting\EC\2016-12-01-refined-times.txt</v>
      </c>
      <c r="AI237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{"issue":{"subject":"","project_id":79,"tracker_id":40,"status_id":1,"priority_id":2,"assigned_to_id":23,"start_date":"2016-12-01","description":"","custom_fields":[{"id":1,"name":"Subdivision","value":"Other"},{"id":4,"name":"Milepost","value":"0.0915"},{"id":17,"name":"Train ID","value":"62-01"},{"id":16,"name":"Locomotive ID","value":"4037"},{"id":130,"name":"Impact","value":""},{"id":150,"name":"Time of Event (Mountain Time)","value":"18:06:09"},{"id":151,"name":"Denver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616</v>
      </c>
      <c r="B238" s="7">
        <v>4020</v>
      </c>
      <c r="C238" s="22" t="s">
        <v>210</v>
      </c>
      <c r="D238" s="22" t="s">
        <v>776</v>
      </c>
      <c r="E238" s="13">
        <v>42705.748819444445</v>
      </c>
      <c r="F238" s="13">
        <v>42705.754444444443</v>
      </c>
      <c r="G238" s="7">
        <v>0</v>
      </c>
      <c r="H238" s="22" t="s">
        <v>345</v>
      </c>
      <c r="I238" s="13">
        <v>42705.759363425925</v>
      </c>
      <c r="J238" s="7">
        <v>1</v>
      </c>
      <c r="K238" s="109" t="str">
        <f>IF(ISEVEN(B238),(B238-1)&amp;"/"&amp;B238,B238&amp;"/"&amp;(B238+1))</f>
        <v>4019/4020</v>
      </c>
      <c r="L238" s="22" t="str">
        <f>VLOOKUP(A238,'Trips&amp;Operators'!$C$1:$G$99999,5,FALSE)</f>
        <v>BONDS REYNALDO</v>
      </c>
      <c r="M238" s="6">
        <f>I238-F238</f>
        <v>4.9189814817509614E-3</v>
      </c>
      <c r="N238" s="7">
        <f>24*60*SUM($M238:$M238)</f>
        <v>7.0833333337213844</v>
      </c>
      <c r="O238" s="7"/>
      <c r="P238" s="7"/>
      <c r="Q238" s="23"/>
      <c r="R238" s="23"/>
      <c r="S238" s="35">
        <f>SUM(U238:U238)/IF(AG238="EC",12,1)</f>
        <v>0</v>
      </c>
      <c r="T238" s="50" t="e">
        <f>IF(ISEVEN(LEFT(AD238,4)),"Southbound","NorthBound")</f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>"https://search-rtdc-monitor-bjffxe2xuh6vdkpspy63sjmuny.us-east-1.es.amazonaws.com/_plugin/kibana/#/discover/Steve-Slow-Train-Analysis-(2080s-and-2083s)?_g=(refreshInterval:(display:Off,section:0,value:0),time:(from:'"&amp;TEXT(E238-1/24,"yyyy-MM-DD hh:mm:ss")&amp;utc_offset&amp;"00',mode:absolute,to:'"&amp;TEXT(I238+1/24,"yyyy-MM-DD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238&amp;"%22')),sort:!(Time,asc))"</f>
        <v>https://search-rtdc-monitor-bjffxe2xuh6vdkpspy63sjmuny.us-east-1.es.amazonaws.com/_plugin/kibana/#/discover/Steve-Slow-Train-Analysis-(2080s-and-2083s)?_g=(refreshInterval:(display:Off,section:0,value:0),time:(from:'2016-12-01 16:58:18-700',mode:absolute,to:'2016-12-01 19:13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38" s="52" t="str">
        <f>IF(AA238&lt;IF(AG238="EC",23,5.65),"Y","N")</f>
        <v>Y</v>
      </c>
      <c r="X238" s="177" t="e">
        <f>VALUE(LEFT(AD238,4))-VALUE(LEFT(AD237,4))</f>
        <v>#VALUE!</v>
      </c>
      <c r="Y238" s="67">
        <f>RIGHT(D238,LEN(D238)-4)/10000</f>
        <v>3.7699999999999997E-2</v>
      </c>
      <c r="Z238" s="67">
        <f>RIGHT(H238,LEN(H238)-4)/10000</f>
        <v>2.3300999999999998</v>
      </c>
      <c r="AA238" s="67">
        <f>ABS(Z238-Y238)</f>
        <v>2.2923999999999998</v>
      </c>
      <c r="AB238" s="64" t="e">
        <f>VLOOKUP(A238,Enforcements!$C$7:$K$20,8,0)</f>
        <v>#N/A</v>
      </c>
      <c r="AC238" s="60" t="e">
        <f>VLOOKUP(A238,Enforcements!$C$7:$E$20,3,0)</f>
        <v>#N/A</v>
      </c>
      <c r="AD238" s="61" t="str">
        <f>IF(LEN(A238)=6,"0"&amp;A238,A238)</f>
        <v>67-01</v>
      </c>
      <c r="AE238" s="91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s3://rtdc.mdm.uploadarchive.raw/RTDC4020/ "%USERPROFILE%\AppData\Local\Temp\OnboardLogs"\RTDC4020\2016-12-01 --exclude "*" --recursive --include "*20161201*" &amp; "%USERPROFILE%\Documents\GitHub\mrs-test-scripts\Headless Mode &amp; Sideloading\WalkAndUnGZ.bat" "%USERPROFILE%\AppData\Local\Temp\OnboardLogs"\RTDC4020\2016-12-01 &amp; aws s3 cp s3://rtdc.mdm.uploadarchive.raw/RTDC4020/ "%USERPROFILE%\AppData\Local\Temp\OnboardLogs"\RTDC4020\2016-12-02 --exclude "*" --recursive --include "*20161202*" &amp; "%USERPROFILE%\Documents\GitHub\mrs-test-scripts\Headless Mode &amp; Sideloading\WalkAndUnGZ.bat" "%USERPROFILE%\AppData\Local\Temp\OnboardLogs"\RTDC4020\2016-12-02</v>
      </c>
      <c r="AF238" s="88" t="str">
        <f>astrogrep_path&amp;" /spath="&amp;search_path&amp;" /stypes=""app*"&amp;B238&amp;"*"&amp;TEXT(I238-utc_offset/24,"YYYYMMDD")&amp;"*"" /stext="" "&amp;TEXT(I238-utc_offset/24,"HH")&amp;search_regexp&amp;""" /e /r /s"</f>
        <v>"C:\Program Files (x86)\AstroGrep\AstroGrep.exe" /spath="%USERPROFILE%\AppData\Local\Temp\OnboardLogs" /stypes="app*4020*20161202*" /stext=" 01:.+((SYSTEM_STATE.+slice.+state.+changed )|(ment ac)|(multiple cpu faults)|(system.+state.+changed )|(\[timeout)|(PRM\|1\|D)|(kpr)|(kdp)|(\|lc)|(penalty))" /e /r /s</v>
      </c>
      <c r="AG238" s="1" t="str">
        <f>IFERROR(IF(VALUE(LEFT(AD238,2))&lt;=2,"EC",IF(OR(VALUE(LEFT(AD238,2))=8,VALUE(LEFT(AD238,2))=18),"NW","Other")),"Other")</f>
        <v>Other</v>
      </c>
      <c r="AH238" s="92" t="str">
        <f t="shared" si="13"/>
        <v>"%USERPROFILE%\Documents\GitHub\eaglep3\Utilities\RefineRTDCRunTimes.py" --tripid 67-01 --locoid 4020 --swversion DE.1.0.8.0 --startMP 204:377 --initTime 2016-12-01T17:58:18 --startdatetime 2016-12-01T18:06:24 --delay 0 --endMP 300:23301 --enddatetime 2016-12-01T18:13:29 --enforcementcount 1 &gt;&gt;C:\Users\stu\Documents\GitHub\eaglep3-reporting\EC\2016-12-01-refined-times.txt</v>
      </c>
      <c r="AI238" s="119" t="str">
        <f t="shared" si="14"/>
        <v>echo {"issue":{"subject":"","project_id":79,"tracker_id":40,"status_id":1,"priority_id":2,"assigned_to_id":23,"start_date":"2016-12-01","description":"","custom_fields":[{"id":1,"name":"Subdivision","value":"Other"},{"id":4,"name":"Milepost","value":"2.3301"},{"id":17,"name":"Train ID","value":"67-01"},{"id":16,"name":"Locomotive ID","value":"4020"},{"id":130,"name":"Impact","value":""},{"id":150,"name":"Time of Event (Mountain Time)","value":"18:13:29"},{"id":151,"name":"Denver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446</v>
      </c>
      <c r="B239" s="7">
        <v>4014</v>
      </c>
      <c r="C239" s="22" t="s">
        <v>210</v>
      </c>
      <c r="D239" s="22" t="s">
        <v>777</v>
      </c>
      <c r="E239" s="13">
        <v>42705.741354166668</v>
      </c>
      <c r="F239" s="13">
        <v>25568.708333333332</v>
      </c>
      <c r="G239" s="7">
        <v>0</v>
      </c>
      <c r="H239" s="22" t="s">
        <v>778</v>
      </c>
      <c r="I239" s="13">
        <v>25568.708333333332</v>
      </c>
      <c r="J239" s="7">
        <v>1</v>
      </c>
      <c r="K239" s="109" t="str">
        <f>IF(ISEVEN(B239),(B239-1)&amp;"/"&amp;B239,B239&amp;"/"&amp;(B239+1))</f>
        <v>4013/4014</v>
      </c>
      <c r="L239" s="22" t="str">
        <f>VLOOKUP(A239,'Trips&amp;Operators'!$C$1:$G$99999,5,FALSE)</f>
        <v>HILLS DUSTIN</v>
      </c>
      <c r="M239" s="6">
        <f>I239-F239</f>
        <v>0</v>
      </c>
      <c r="N239" s="7">
        <f>24*60*SUM($M239:$M239)</f>
        <v>0</v>
      </c>
      <c r="O239" s="7"/>
      <c r="P239" s="7"/>
      <c r="Q239" s="23"/>
      <c r="R239" s="23"/>
      <c r="S239" s="35">
        <f>SUM(U239:U239)/IF(AG239="EC",12,1)</f>
        <v>0</v>
      </c>
      <c r="T239" s="50" t="e">
        <f>IF(ISEVEN(LEFT(AD239,4)),"Southbound","NorthBound")</f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>"https://search-rtdc-monitor-bjffxe2xuh6vdkpspy63sjmuny.us-east-1.es.amazonaws.com/_plugin/kibana/#/discover/Steve-Slow-Train-Analysis-(2080s-and-2083s)?_g=(refreshInterval:(display:Off,section:0,value:0),time:(from:'"&amp;TEXT(E239-1/24,"yyyy-MM-DD hh:mm:ss")&amp;utc_offset&amp;"00',mode:absolute,to:'"&amp;TEXT(I239+1/24,"yyyy-MM-DD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239&amp;"%22')),sort:!(Time,asc))"</f>
        <v>https://search-rtdc-monitor-bjffxe2xuh6vdkpspy63sjmuny.us-east-1.es.amazonaws.com/_plugin/kibana/#/discover/Steve-Slow-Train-Analysis-(2080s-and-2083s)?_g=(refreshInterval:(display:Off,section:0,value:0),time:(from:'2016-12-01 16:47:33-700',mode:absolute,to:'1969-12-31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39" s="52" t="str">
        <f>IF(AA239&lt;IF(AG239="EC",23,5.65),"Y","N")</f>
        <v>Y</v>
      </c>
      <c r="X239" s="177" t="e">
        <f>VALUE(LEFT(AD239,4))-VALUE(LEFT(AD238,4))</f>
        <v>#VALUE!</v>
      </c>
      <c r="Y239" s="67">
        <f>RIGHT(D239,LEN(D239)-4)/10000</f>
        <v>0.11650000000000001</v>
      </c>
      <c r="Z239" s="67">
        <f>RIGHT(H239,LEN(H239)-4)/10000</f>
        <v>2.331</v>
      </c>
      <c r="AA239" s="67">
        <f>ABS(Z239-Y239)</f>
        <v>2.2145000000000001</v>
      </c>
      <c r="AB239" s="64" t="e">
        <f>VLOOKUP(A239,Enforcements!$C$7:$K$20,8,0)</f>
        <v>#N/A</v>
      </c>
      <c r="AC239" s="60" t="e">
        <f>VLOOKUP(A239,Enforcements!$C$7:$E$20,3,0)</f>
        <v>#N/A</v>
      </c>
      <c r="AD239" s="61" t="str">
        <f>IF(LEN(A239)=6,"0"&amp;A239,A239)</f>
        <v>75-01</v>
      </c>
      <c r="AE239" s="91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39" s="88" t="str">
        <f>astrogrep_path&amp;" /spath="&amp;search_path&amp;" /stypes=""app*"&amp;B239&amp;"*"&amp;TEXT(I239-utc_offset/24,"YYYYMMDD")&amp;"*"" /stext="" "&amp;TEXT(I239-utc_offset/24,"HH")&amp;search_regexp&amp;""" /e /r /s"</f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39" s="1" t="str">
        <f>IFERROR(IF(VALUE(LEFT(AD239,2))&lt;=2,"EC",IF(OR(VALUE(LEFT(AD239,2))=8,VALUE(LEFT(AD239,2))=18),"NW","Other")),"Other")</f>
        <v>Other</v>
      </c>
      <c r="AH239" s="92" t="str">
        <f t="shared" si="13"/>
        <v>"%USERPROFILE%\Documents\GitHub\eaglep3\Utilities\RefineRTDCRunTimes.py" --tripid 75-01 --locoid 4014 --swversion DE.1.0.8.0 --startMP 204:1165 --initTime 2016-12-01T17:47:33 --startdatetime 1969-12-31T17:00:00 --delay 0 --endMP 300:23310 --enddatetime 1969-12-31T17:00:00 --enforcementcount 1 &gt;&gt;C:\Users\stu\Documents\GitHub\eaglep3-reporting\EC\2016-12-01-refined-times.txt</v>
      </c>
      <c r="AI239" s="119" t="str">
        <f t="shared" si="14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ID","value":"75-01"},{"id":16,"name":"Locomotive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</sheetData>
  <autoFilter ref="A12:AG238">
    <sortState ref="A13:AG240">
      <sortCondition ref="AG13:AG240"/>
      <sortCondition ref="AD13:AD240"/>
    </sortState>
  </autoFilter>
  <sortState ref="A13:AH200">
    <sortCondition ref="AG13:AG200"/>
    <sortCondition ref="AD13:AD200"/>
  </sortState>
  <mergeCells count="1">
    <mergeCell ref="A11:P11"/>
  </mergeCells>
  <conditionalFormatting sqref="W11:W12 W248:X1048576 W13:X239">
    <cfRule type="cellIs" dxfId="26" priority="344" operator="equal">
      <formula>"Y"</formula>
    </cfRule>
  </conditionalFormatting>
  <conditionalFormatting sqref="X248:X1048576 X13:X239">
    <cfRule type="cellIs" dxfId="25" priority="327" operator="greaterThan">
      <formula>1</formula>
    </cfRule>
  </conditionalFormatting>
  <conditionalFormatting sqref="X248:X1048576 X12:X239">
    <cfRule type="cellIs" dxfId="24" priority="324" operator="equal">
      <formula>0</formula>
    </cfRule>
  </conditionalFormatting>
  <conditionalFormatting sqref="A13:S239">
    <cfRule type="expression" dxfId="23" priority="318" stopIfTrue="1">
      <formula>$P13&gt;0</formula>
    </cfRule>
    <cfRule type="expression" dxfId="22" priority="319" stopIfTrue="1">
      <formula>$O13&gt;0</formula>
    </cfRule>
  </conditionalFormatting>
  <hyperlinks>
    <hyperlink ref="AJ200" r:id="rId1"/>
    <hyperlink ref="AJ204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AK13:AK239</xm:sqref>
        </x14:dataValidation>
        <x14:dataValidation type="list" allowBlank="1" showInputMessage="1" showErrorMessage="1">
          <x14:formula1>
            <xm:f>'Redmine List Values'!$C$2:$C$15</xm:f>
          </x14:formula1>
          <xm:sqref>AL13:AL239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workbookViewId="0">
      <selection activeCell="P34" sqref="P3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19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- 2016-12-01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238</v>
      </c>
    </row>
    <row r="7" spans="1:30" s="1" customFormat="1" x14ac:dyDescent="0.25">
      <c r="A7" s="36">
        <v>42705.820787037039</v>
      </c>
      <c r="B7" s="31" t="s">
        <v>274</v>
      </c>
      <c r="C7" s="31" t="s">
        <v>451</v>
      </c>
      <c r="D7" s="31" t="s">
        <v>49</v>
      </c>
      <c r="E7" s="31" t="s">
        <v>328</v>
      </c>
      <c r="F7" s="47">
        <v>0</v>
      </c>
      <c r="G7" s="47">
        <v>46</v>
      </c>
      <c r="H7" s="47">
        <v>27424</v>
      </c>
      <c r="I7" s="47">
        <v>27373</v>
      </c>
      <c r="J7" s="31" t="s">
        <v>329</v>
      </c>
      <c r="K7" s="47">
        <v>27350</v>
      </c>
      <c r="L7" s="154" t="s">
        <v>51</v>
      </c>
      <c r="M7" s="155">
        <f>CONVERT((I7-K7)/10000,"mi","ft")*IF(L7="Increasing Mileposts (1)",-1,1)</f>
        <v>12.144</v>
      </c>
      <c r="N7" s="156" t="str">
        <f>VLOOKUP(C7,'Trips&amp;Operators'!$C$1:$G$99999,5,FALSE)</f>
        <v>LEVIN SCOTT</v>
      </c>
      <c r="O7" s="182" t="s">
        <v>196</v>
      </c>
      <c r="P7" s="157" t="s">
        <v>350</v>
      </c>
      <c r="Q7" s="31"/>
      <c r="R7" s="100" t="str">
        <f>VLOOKUP(C7,'Train Runs'!$A$13:$AE$9982,31,0)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S7" s="103" t="str">
        <f>VLOOKUP(C7,'Train Runs'!$A$13:$AE$9982,22,0)</f>
        <v>https://search-rtdc-monitor-bjffxe2xuh6vdkpspy63sjmuny.us-east-1.es.amazonaws.com/_plugin/kibana/#/discover/Steve-Slow-Train-Analysis-(2080s-and-2083s)?_g=(refreshInterval:(display:Off,section:0,value:0),time:(from:'2016-12-01 18:07:37-700',mode:absolute,to:'2016-12-01 20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/stypes="*4032*201612020*" /stext=" 02:.+((SYSTEM_STATE.+slice.+state.+changed )|(ment ac)|(multiple cpu faults)|(system.+state.+changed )|(\[timeout)|(PRM\|1\|D)|(kpr)|(kdp)|(\|lc)|(penalty))" /e /r /s</v>
      </c>
      <c r="U7" s="9" t="str">
        <f>MID(B7,13,4)</f>
        <v>4032</v>
      </c>
      <c r="V7" s="36">
        <f>A7-utc_offset/24</f>
        <v>42706.112453703703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arrival","project_id":79,"tracker_id":40,"status_id":1,"priority_id":2,"assigned_to_id":23,"start_date":"2016-12-01","description":"","custom_fields":[{"id":1,"name":"Subdivision","value":"EC"},{"id":4,"name":"Milepost","value":"2.735"},{"id":17,"name":"Train ID","value":"218-01"},{"id":16,"name":"Locomotive ID","value":"4032"},{"id":130,"name":"Impact","value":""},{"id":150,"name":"Time of Event (Mountain Time)","value":"19:41:56"},{"id":151,"name":"Denver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"%USERPROFILE%\AppData\Local\Temp\OnboardLogs"\RTDC4032\*4032*201612020*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"%USERPROFILE%\AppData\Local\Temp\OnboardLogs"\RTDC4032\*4032*201612020* &gt;&gt; 42705-slicedisagreementcheck.txt</v>
      </c>
    </row>
    <row r="8" spans="1:30" s="1" customFormat="1" x14ac:dyDescent="0.25">
      <c r="A8" s="36">
        <v>42705.820393518516</v>
      </c>
      <c r="B8" s="31" t="s">
        <v>274</v>
      </c>
      <c r="C8" s="31" t="s">
        <v>451</v>
      </c>
      <c r="D8" s="31" t="s">
        <v>49</v>
      </c>
      <c r="E8" s="31" t="s">
        <v>328</v>
      </c>
      <c r="F8" s="47">
        <v>50</v>
      </c>
      <c r="G8" s="47">
        <v>148</v>
      </c>
      <c r="H8" s="47">
        <v>27588</v>
      </c>
      <c r="I8" s="47">
        <v>27440</v>
      </c>
      <c r="J8" s="31" t="s">
        <v>329</v>
      </c>
      <c r="K8" s="47">
        <v>27350</v>
      </c>
      <c r="L8" s="154" t="s">
        <v>51</v>
      </c>
      <c r="M8" s="155">
        <f>CONVERT((I8-K8)/10000,"mi","ft")*IF(L8="Increasing Mileposts (1)",-1,1)</f>
        <v>47.52</v>
      </c>
      <c r="N8" s="156" t="str">
        <f>VLOOKUP(C8,'Trips&amp;Operators'!$C$1:$G$99999,5,FALSE)</f>
        <v>LEVIN SCOTT</v>
      </c>
      <c r="O8" s="182" t="s">
        <v>196</v>
      </c>
      <c r="P8" s="157" t="s">
        <v>350</v>
      </c>
      <c r="Q8" s="31"/>
      <c r="R8" s="100" t="str">
        <f>VLOOKUP(C8,'Train Runs'!$A$13:$AE$9982,31,0)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S8" s="103" t="str">
        <f>VLOOKUP(C8,'Train Runs'!$A$13:$AE$9982,22,0)</f>
        <v>https://search-rtdc-monitor-bjffxe2xuh6vdkpspy63sjmuny.us-east-1.es.amazonaws.com/_plugin/kibana/#/discover/Steve-Slow-Train-Analysis-(2080s-and-2083s)?_g=(refreshInterval:(display:Off,section:0,value:0),time:(from:'2016-12-01 18:07:37-700',mode:absolute,to:'2016-12-01 20:49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/stypes="*4032*201612020*" /stext=" 02:.+((SYSTEM_STATE.+slice.+state.+changed )|(ment ac)|(multiple cpu faults)|(system.+state.+changed )|(\[timeout)|(PRM\|1\|D)|(kpr)|(kdp)|(\|lc)|(penalty))" /e /r /s</v>
      </c>
      <c r="U8" s="9" t="str">
        <f>MID(B8,13,4)</f>
        <v>4032</v>
      </c>
      <c r="V8" s="36">
        <f>A8-utc_offset/24</f>
        <v>42706.11206018518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arrival","project_id":79,"tracker_id":40,"status_id":1,"priority_id":2,"assigned_to_id":23,"start_date":"2016-12-01","description":"","custom_fields":[{"id":1,"name":"Subdivision","value":"EC"},{"id":4,"name":"Milepost","value":"2.735"},{"id":17,"name":"Train ID","value":"218-01"},{"id":16,"name":"Locomotive ID","value":"4032"},{"id":130,"name":"Impact","value":""},{"id":150,"name":"Time of Event (Mountain Time)","value":"19:41:22"},{"id":151,"name":"Denver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"%USERPROFILE%\AppData\Local\Temp\OnboardLogs"\RTDC4032\*4032*201612020*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"%USERPROFILE%\AppData\Local\Temp\OnboardLogs"\RTDC4032\*4032*201612020* &gt;&gt; 42705-slicedisagreementcheck.txt</v>
      </c>
    </row>
    <row r="9" spans="1:30" s="1" customFormat="1" x14ac:dyDescent="0.25">
      <c r="A9" s="36">
        <v>42705.220752314817</v>
      </c>
      <c r="B9" s="31" t="s">
        <v>266</v>
      </c>
      <c r="C9" s="31" t="s">
        <v>411</v>
      </c>
      <c r="D9" s="31" t="s">
        <v>49</v>
      </c>
      <c r="E9" s="31" t="s">
        <v>197</v>
      </c>
      <c r="F9" s="47">
        <v>200</v>
      </c>
      <c r="G9" s="47">
        <v>285</v>
      </c>
      <c r="H9" s="47">
        <v>6416</v>
      </c>
      <c r="I9" s="47">
        <v>5830</v>
      </c>
      <c r="J9" s="31" t="s">
        <v>198</v>
      </c>
      <c r="K9" s="47">
        <v>5457</v>
      </c>
      <c r="L9" s="154" t="s">
        <v>51</v>
      </c>
      <c r="M9" s="155">
        <f>CONVERT((I9-K9)/10000,"mi","ft")*IF(L9="Increasing Mileposts (1)",-1,1)</f>
        <v>196.94399999999999</v>
      </c>
      <c r="N9" s="156" t="str">
        <f>VLOOKUP(C9,'Trips&amp;Operators'!$C$1:$G$99999,5,FALSE)</f>
        <v>SPECTOR MICHAEL</v>
      </c>
      <c r="O9" s="182" t="s">
        <v>196</v>
      </c>
      <c r="P9" s="157"/>
      <c r="Q9" s="31"/>
      <c r="R9" s="100" t="str">
        <f>VLOOKUP(C9,'Train Runs'!$A$13:$AE$9982,31,0)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S9" s="103" t="str">
        <f>VLOOKUP(C9,'Train Runs'!$A$13:$AE$9982,22,0)</f>
        <v>https://search-rtdc-monitor-bjffxe2xuh6vdkpspy63sjmuny.us-east-1.es.amazonaws.com/_plugin/kibana/#/discover/Steve-Slow-Train-Analysis-(2080s-and-2083s)?_g=(refreshInterval:(display:Off,section:0,value:0),time:(from:'2016-12-01 03:34:28-700',mode:absolute,to:'2016-12-01 06:20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/stypes="*4010*201612011*" /stext=" 12:.+((SYSTEM_STATE.+slice.+state.+changed )|(ment ac)|(multiple cpu faults)|(system.+state.+changed )|(\[timeout)|(PRM\|1\|D)|(kpr)|(kdp)|(\|lc)|(penalty))" /e /r /s</v>
      </c>
      <c r="U9" s="9" t="str">
        <f>MID(B9,13,4)</f>
        <v>4010</v>
      </c>
      <c r="V9" s="36">
        <f>A9-utc_offset/24</f>
        <v>42705.512418981481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{"issue":{"subject":"","project_id":79,"tracker_id":40,"status_id":1,"priority_id":2,"assigned_to_id":23,"start_date":"2016-12-01","description":"","custom_fields":[{"id":1,"name":"Subdivision","value":"EC"},{"id":4,"name":"Milepost","value":"0.5457"},{"id":17,"name":"Train ID","value":"104-01"},{"id":16,"name":"Locomotive ID","value":"4010"},{"id":130,"name":"Impact","value":""},{"id":150,"name":"Time of Event (Mountain Time)","value":"05:17:53"},{"id":151,"name":"Denver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"%USERPROFILE%\AppData\Local\Temp\OnboardLogs"\RTDC4010\*4010*201612011*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"%USERPROFILE%\AppData\Local\Temp\OnboardLogs"\RTDC4010\*4010*201612011* &gt;&gt; 42705-slicedisagreementcheck.txt</v>
      </c>
    </row>
    <row r="10" spans="1:30" s="1" customFormat="1" x14ac:dyDescent="0.25">
      <c r="A10" s="36">
        <v>42705.305034722223</v>
      </c>
      <c r="B10" s="31" t="s">
        <v>246</v>
      </c>
      <c r="C10" s="31" t="s">
        <v>413</v>
      </c>
      <c r="D10" s="31" t="s">
        <v>49</v>
      </c>
      <c r="E10" s="31" t="s">
        <v>197</v>
      </c>
      <c r="F10" s="47">
        <v>400</v>
      </c>
      <c r="G10" s="47">
        <v>504</v>
      </c>
      <c r="H10" s="47">
        <v>17121</v>
      </c>
      <c r="I10" s="47">
        <v>17891</v>
      </c>
      <c r="J10" s="31" t="s">
        <v>198</v>
      </c>
      <c r="K10" s="47">
        <v>17867</v>
      </c>
      <c r="L10" s="154" t="s">
        <v>50</v>
      </c>
      <c r="M10" s="155">
        <f>CONVERT((I10-K10)/10000,"mi","ft")*IF(L10="Increasing Mileposts (1)",-1,1)</f>
        <v>-12.672000000000001</v>
      </c>
      <c r="N10" s="156" t="str">
        <f>VLOOKUP(C10,'Trips&amp;Operators'!$C$1:$G$99999,5,FALSE)</f>
        <v>PERKINS DARREN</v>
      </c>
      <c r="O10" s="182" t="s">
        <v>196</v>
      </c>
      <c r="P10" s="157"/>
      <c r="Q10" s="31"/>
      <c r="R10" s="100" t="str">
        <f>VLOOKUP(C10,'Train Runs'!$A$13:$AE$9982,31,0)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S10" s="103" t="str">
        <f>VLOOKUP(C10,'Train Runs'!$A$13:$AE$9982,22,0)</f>
        <v>https://search-rtdc-monitor-bjffxe2xuh6vdkpspy63sjmuny.us-east-1.es.amazonaws.com/_plugin/kibana/#/discover/Steve-Slow-Train-Analysis-(2080s-and-2083s)?_g=(refreshInterval:(display:Off,section:0,value:0),time:(from:'2016-12-01 06:07:21-700',mode:absolute,to:'2016-12-01 09:01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/stypes="*4031*201612011*" /stext=" 14:.+((SYSTEM_STATE.+slice.+state.+changed )|(ment ac)|(multiple cpu faults)|(system.+state.+changed )|(\[timeout)|(PRM\|1\|D)|(kpr)|(kdp)|(\|lc)|(penalty))" /e /r /s</v>
      </c>
      <c r="U10" s="9" t="str">
        <f>MID(B10,13,4)</f>
        <v>4031</v>
      </c>
      <c r="V10" s="36">
        <f>A10-utc_offset/24</f>
        <v>42705.596701388888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{"issue":{"subject":"","project_id":79,"tracker_id":40,"status_id":1,"priority_id":2,"assigned_to_id":23,"start_date":"2016-12-01","description":"","custom_fields":[{"id":1,"name":"Subdivision","value":"EC"},{"id":4,"name":"Milepost","value":"1.7867"},{"id":17,"name":"Train ID","value":"129-01"},{"id":16,"name":"Locomotive ID","value":"4031"},{"id":130,"name":"Impact","value":""},{"id":150,"name":"Time of Event (Mountain Time)","value":"07:19:15"},{"id":151,"name":"Denver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"%USERPROFILE%\AppData\Local\Temp\OnboardLogs"\RTDC4031\*4031*201612011*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"%USERPROFILE%\AppData\Local\Temp\OnboardLogs"\RTDC4031\*4031*201612011* &gt;&gt; 42705-slicedisagreementcheck.txt</v>
      </c>
    </row>
    <row r="11" spans="1:30" s="1" customFormat="1" x14ac:dyDescent="0.25">
      <c r="A11" s="36">
        <v>42705.622743055559</v>
      </c>
      <c r="B11" s="31" t="s">
        <v>307</v>
      </c>
      <c r="C11" s="31" t="s">
        <v>435</v>
      </c>
      <c r="D11" s="31" t="s">
        <v>49</v>
      </c>
      <c r="E11" s="31" t="s">
        <v>197</v>
      </c>
      <c r="F11" s="47">
        <v>200</v>
      </c>
      <c r="G11" s="47">
        <v>264</v>
      </c>
      <c r="H11" s="47">
        <v>31160</v>
      </c>
      <c r="I11" s="47">
        <v>30626</v>
      </c>
      <c r="J11" s="31" t="s">
        <v>198</v>
      </c>
      <c r="K11" s="47">
        <v>30562</v>
      </c>
      <c r="L11" s="154" t="s">
        <v>51</v>
      </c>
      <c r="M11" s="155">
        <f>CONVERT((I11-K11)/10000,"mi","ft")*IF(L11="Increasing Mileposts (1)",-1,1)</f>
        <v>33.792000000000002</v>
      </c>
      <c r="N11" s="156" t="str">
        <f>VLOOKUP(C11,'Trips&amp;Operators'!$C$1:$G$99999,5,FALSE)</f>
        <v>BROWN JACOB</v>
      </c>
      <c r="O11" s="182" t="s">
        <v>196</v>
      </c>
      <c r="P11" s="157"/>
      <c r="Q11" s="31"/>
      <c r="R11" s="100" t="str">
        <f>VLOOKUP(C11,'Train Runs'!$A$13:$AE$9982,31,0)</f>
        <v>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 &amp; aws s3 cp s3://rtdc.mdm.uploadarchive.raw/RTDC4008/ "%USERPROFILE%\AppData\Local\Temp\OnboardLogs"\RTDC4008\2016-12-02 --exclude "*" --recursive --include "*20161202*" &amp; "%USERPROFILE%\Documents\GitHub\mrs-test-scripts\Headless Mode &amp; Sideloading\WalkAndUnGZ.bat" "%USERPROFILE%\AppData\Local\Temp\OnboardLogs"\RTDC4008\2016-12-02</v>
      </c>
      <c r="S11" s="103" t="str">
        <f>VLOOKUP(C11,'Train Runs'!$A$13:$AE$9982,22,0)</f>
        <v>https://search-rtdc-monitor-bjffxe2xuh6vdkpspy63sjmuny.us-east-1.es.amazonaws.com/_plugin/kibana/#/discover/Steve-Slow-Train-Analysis-(2080s-and-2083s)?_g=(refreshInterval:(display:Off,section:0,value:0),time:(from:'2016-12-01 13:23:35-700',mode:absolute,to:'2016-12-01 16:06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/stypes="*4008*201612012*" /stext=" 21:.+((SYSTEM_STATE.+slice.+state.+changed )|(ment ac)|(multiple cpu faults)|(system.+state.+changed )|(\[timeout)|(PRM\|1\|D)|(kpr)|(kdp)|(\|lc)|(penalty))" /e /r /s</v>
      </c>
      <c r="U11" s="9" t="str">
        <f>MID(B11,13,4)</f>
        <v>4008</v>
      </c>
      <c r="V11" s="36">
        <f>A11-utc_offset/24</f>
        <v>42705.914409722223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{"issue":{"subject":"","project_id":79,"tracker_id":40,"status_id":1,"priority_id":2,"assigned_to_id":23,"start_date":"2016-12-01","description":"","custom_fields":[{"id":1,"name":"Subdivision","value":"EC"},{"id":4,"name":"Milepost","value":"3.0562"},{"id":17,"name":"Train ID","value":"180-01"},{"id":16,"name":"Locomotive ID","value":"4008"},{"id":130,"name":"Impact","value":""},{"id":150,"name":"Time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"%USERPROFILE%\AppData\Local\Temp\OnboardLogs"\RTDC4008\*4008*201612012*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"%USERPROFILE%\AppData\Local\Temp\OnboardLogs"\RTDC4008\*4008*201612012* &gt;&gt; 42705-slicedisagreementcheck.txt</v>
      </c>
    </row>
    <row r="12" spans="1:30" s="1" customFormat="1" x14ac:dyDescent="0.25">
      <c r="A12" s="36">
        <v>42705.502141203702</v>
      </c>
      <c r="B12" s="31" t="s">
        <v>330</v>
      </c>
      <c r="C12" s="31" t="s">
        <v>426</v>
      </c>
      <c r="D12" s="31" t="s">
        <v>98</v>
      </c>
      <c r="E12" s="31" t="s">
        <v>197</v>
      </c>
      <c r="F12" s="47">
        <v>700</v>
      </c>
      <c r="G12" s="47">
        <v>750</v>
      </c>
      <c r="H12" s="47">
        <v>174784</v>
      </c>
      <c r="I12" s="47">
        <v>177432</v>
      </c>
      <c r="J12" s="31" t="s">
        <v>198</v>
      </c>
      <c r="K12" s="47">
        <v>161962</v>
      </c>
      <c r="L12" s="154" t="s">
        <v>50</v>
      </c>
      <c r="M12" s="155">
        <f>CONVERT((I12-K12)/10000,"mi","ft")*IF(L12="Increasing Mileposts (1)",-1,1)</f>
        <v>-8168.16</v>
      </c>
      <c r="N12" s="156" t="str">
        <f>VLOOKUP(C12,'Trips&amp;Operators'!$C$1:$G$99999,5,FALSE)</f>
        <v>MOSES BRADLEY</v>
      </c>
      <c r="O12" s="182" t="s">
        <v>196</v>
      </c>
      <c r="P12" s="157"/>
      <c r="Q12" s="31"/>
      <c r="R12" s="100" t="str">
        <f>VLOOKUP(C12,'Train Runs'!$A$13:$AE$9982,31,0)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S12" s="103" t="str">
        <f>VLOOKUP(C12,'Train Runs'!$A$13:$AE$9982,22,0)</f>
        <v>https://search-rtdc-monitor-bjffxe2xuh6vdkpspy63sjmuny.us-east-1.es.amazonaws.com/_plugin/kibana/#/discover/Steve-Slow-Train-Analysis-(2080s-and-2083s)?_g=(refreshInterval:(display:Off,section:0,value:0),time:(from:'2016-12-01 10:24:24-700',mode:absolute,to:'2016-12-01 13:11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/stypes="*4029*201612011*" /stext=" 19:.+((SYSTEM_STATE.+slice.+state.+changed )|(ment ac)|(multiple cpu faults)|(system.+state.+changed )|(\[timeout)|(PRM\|1\|D)|(kpr)|(kdp)|(\|lc)|(penalty))" /e /r /s</v>
      </c>
      <c r="U12" s="9" t="str">
        <f>MID(B12,13,4)</f>
        <v>4029</v>
      </c>
      <c r="V12" s="36">
        <f>A12-utc_offset/24</f>
        <v>42705.793807870366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{"issue":{"subject":"","project_id":79,"tracker_id":40,"status_id":1,"priority_id":2,"assigned_to_id":23,"start_date":"2016-12-01","description":"","custom_fields":[{"id":1,"name":"Subdivision","value":"EC"},{"id":4,"name":"Milepost","value":"16.1962"},{"id":17,"name":"Train ID","value":"163-01"},{"id":16,"name":"Locomotive ID","value":"4029"},{"id":130,"name":"Impact","value":""},{"id":150,"name":"Time of Event (Mountain Time)","value":"12:03:05"},{"id":151,"name":"Denver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"%USERPROFILE%\AppData\Local\Temp\OnboardLogs"\RTDC4029\*4029*201612011*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"%USERPROFILE%\AppData\Local\Temp\OnboardLogs"\RTDC4029\*4029*201612011* &gt;&gt; 42705-slicedisagreementcheck.txt</v>
      </c>
    </row>
    <row r="13" spans="1:30" s="1" customFormat="1" x14ac:dyDescent="0.25">
      <c r="A13" s="36">
        <v>42705.472210648149</v>
      </c>
      <c r="B13" s="31" t="s">
        <v>246</v>
      </c>
      <c r="C13" s="31" t="s">
        <v>425</v>
      </c>
      <c r="D13" s="31" t="s">
        <v>49</v>
      </c>
      <c r="E13" s="31" t="s">
        <v>197</v>
      </c>
      <c r="F13" s="47">
        <v>150</v>
      </c>
      <c r="G13" s="47">
        <v>215</v>
      </c>
      <c r="H13" s="47">
        <v>229798</v>
      </c>
      <c r="I13" s="47">
        <v>230384</v>
      </c>
      <c r="J13" s="31" t="s">
        <v>198</v>
      </c>
      <c r="K13" s="47">
        <v>230436</v>
      </c>
      <c r="L13" s="154" t="s">
        <v>50</v>
      </c>
      <c r="M13" s="155">
        <f>CONVERT((I13-K13)/10000,"mi","ft")*IF(L13="Increasing Mileposts (1)",-1,1)</f>
        <v>27.456</v>
      </c>
      <c r="N13" s="156" t="str">
        <f>VLOOKUP(C13,'Trips&amp;Operators'!$C$1:$G$99999,5,FALSE)</f>
        <v>PERKINS DARREN</v>
      </c>
      <c r="O13" s="182" t="s">
        <v>196</v>
      </c>
      <c r="P13" s="157"/>
      <c r="Q13" s="31"/>
      <c r="R13" s="100" t="str">
        <f>VLOOKUP(C13,'Train Runs'!$A$13:$AE$9982,31,0)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S13" s="103" t="str">
        <f>VLOOKUP(C13,'Train Runs'!$A$13:$AE$9982,22,0)</f>
        <v>https://search-rtdc-monitor-bjffxe2xuh6vdkpspy63sjmuny.us-east-1.es.amazonaws.com/_plugin/kibana/#/discover/Steve-Slow-Train-Analysis-(2080s-and-2083s)?_g=(refreshInterval:(display:Off,section:0,value:0),time:(from:'2016-12-01 09:41:12-700',mode:absolute,to:'2016-12-01 12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/stypes="*4031*201612011*" /stext=" 18:.+((SYSTEM_STATE.+slice.+state.+changed )|(ment ac)|(multiple cpu faults)|(system.+state.+changed )|(\[timeout)|(PRM\|1\|D)|(kpr)|(kdp)|(\|lc)|(penalty))" /e /r /s</v>
      </c>
      <c r="U13" s="9" t="str">
        <f>MID(B13,13,4)</f>
        <v>4031</v>
      </c>
      <c r="V13" s="36">
        <f>A13-utc_offset/24</f>
        <v>42705.763877314814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{"issue":{"subject":"","project_id":79,"tracker_id":40,"status_id":1,"priority_id":2,"assigned_to_id":23,"start_date":"2016-12-01","description":"","custom_fields":[{"id":1,"name":"Subdivision","value":"EC"},{"id":4,"name":"Milepost","value":"23.0436"},{"id":17,"name":"Train ID","value":"157-01"},{"id":16,"name":"Locomotive ID","value":"4031"},{"id":130,"name":"Impact","value":""},{"id":150,"name":"Time of Event (Mountain Time)","value":"11:19:59"},{"id":151,"name":"Denver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"%USERPROFILE%\AppData\Local\Temp\OnboardLogs"\RTDC4031\*4031*201612011*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"%USERPROFILE%\AppData\Local\Temp\OnboardLogs"\RTDC4031\*4031*201612011* &gt;&gt; 42705-slicedisagreementcheck.txt</v>
      </c>
    </row>
    <row r="14" spans="1:30" s="1" customFormat="1" x14ac:dyDescent="0.25">
      <c r="A14" s="36">
        <v>42706.039629629631</v>
      </c>
      <c r="B14" s="31" t="s">
        <v>274</v>
      </c>
      <c r="C14" s="31" t="s">
        <v>454</v>
      </c>
      <c r="D14" s="31" t="s">
        <v>49</v>
      </c>
      <c r="E14" s="31" t="s">
        <v>197</v>
      </c>
      <c r="F14" s="47">
        <v>150</v>
      </c>
      <c r="G14" s="47">
        <v>203</v>
      </c>
      <c r="H14" s="47">
        <v>231334</v>
      </c>
      <c r="I14" s="47">
        <v>230966</v>
      </c>
      <c r="J14" s="31" t="s">
        <v>198</v>
      </c>
      <c r="K14" s="47">
        <v>231269</v>
      </c>
      <c r="L14" s="154" t="s">
        <v>51</v>
      </c>
      <c r="M14" s="155">
        <f>CONVERT((I14-K14)/10000,"mi","ft")*IF(L14="Increasing Mileposts (1)",-1,1)</f>
        <v>-159.98400000000001</v>
      </c>
      <c r="N14" s="156" t="str">
        <f>VLOOKUP(C14,'Trips&amp;Operators'!$C$1:$G$99999,5,FALSE)</f>
        <v>LEVIN SCOTT</v>
      </c>
      <c r="O14" s="182" t="s">
        <v>196</v>
      </c>
      <c r="P14" s="157"/>
      <c r="Q14" s="31"/>
      <c r="R14" s="100" t="str">
        <f>VLOOKUP(C14,'Train Runs'!$A$13:$AE$9982,31,0)</f>
        <v>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 &amp; aws s3 cp s3://rtdc.mdm.uploadarchive.raw/RTDC4032/ "%USERPROFILE%\AppData\Local\Temp\OnboardLogs"\RTDC4032\2016-12-03 --exclude "*" --recursive --include "*20161203*" &amp; "%USERPROFILE%\Documents\GitHub\mrs-test-scripts\Headless Mode &amp; Sideloading\WalkAndUnGZ.bat" "%USERPROFILE%\AppData\Local\Temp\OnboardLogs"\RTDC4032\2016-12-03</v>
      </c>
      <c r="S14" s="103" t="str">
        <f>VLOOKUP(C14,'Train Runs'!$A$13:$AE$9982,22,0)</f>
        <v>https://search-rtdc-monitor-bjffxe2xuh6vdkpspy63sjmuny.us-east-1.es.amazonaws.com/_plugin/kibana/#/discover/Steve-Slow-Train-Analysis-(2080s-and-2083s)?_g=(refreshInterval:(display:Off,section:0,value:0),time:(from:'2016-12-01 23:50:59-700',mode:absolute,to:'2016-12-02 02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/stypes="*4032*201612020*" /stext=" 07:.+((SYSTEM_STATE.+slice.+state.+changed )|(ment ac)|(multiple cpu faults)|(system.+state.+changed )|(\[timeout)|(PRM\|1\|D)|(kpr)|(kdp)|(\|lc)|(penalty))" /e /r /s</v>
      </c>
      <c r="U14" s="9" t="str">
        <f>MID(B14,13,4)</f>
        <v>4032</v>
      </c>
      <c r="V14" s="36">
        <f>A14-utc_offset/24</f>
        <v>42706.331296296295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{"issue":{"subject":"","project_id":79,"tracker_id":40,"status_id":1,"priority_id":2,"assigned_to_id":23,"start_date":"2016-12-02","description":"","custom_fields":[{"id":1,"name":"Subdivision","value":"EC"},{"id":4,"name":"Milepost","value":"23.1269"},{"id":17,"name":"Train ID","value":"242-01"},{"id":16,"name":"Locomotive ID","value":"4032"},{"id":130,"name":"Impact","value":""},{"id":150,"name":"Time of Event (Mountain Time)","value":"00:57:04"},{"id":151,"name":"Denver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"%USERPROFILE%\AppData\Local\Temp\OnboardLogs"\RTDC4032\*4032*201612020*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"%USERPROFILE%\AppData\Local\Temp\OnboardLogs"\RTDC4032\*4032*201612020* &gt;&gt; 42705-slicedisagreementcheck.txt</v>
      </c>
    </row>
    <row r="15" spans="1:30" s="1" customFormat="1" x14ac:dyDescent="0.25">
      <c r="A15" s="36">
        <v>42705.641840277778</v>
      </c>
      <c r="B15" s="31" t="s">
        <v>436</v>
      </c>
      <c r="C15" s="31" t="s">
        <v>437</v>
      </c>
      <c r="D15" s="31" t="s">
        <v>49</v>
      </c>
      <c r="E15" s="31" t="s">
        <v>199</v>
      </c>
      <c r="F15" s="47">
        <v>0</v>
      </c>
      <c r="G15" s="47">
        <v>28</v>
      </c>
      <c r="H15" s="47">
        <v>36739</v>
      </c>
      <c r="I15" s="47">
        <v>36709</v>
      </c>
      <c r="J15" s="31" t="s">
        <v>200</v>
      </c>
      <c r="K15" s="47">
        <v>36657</v>
      </c>
      <c r="L15" s="154" t="s">
        <v>51</v>
      </c>
      <c r="M15" s="155">
        <f>CONVERT((I15-K15)/10000,"mi","ft")*IF(L15="Increasing Mileposts (1)",-1,1)</f>
        <v>27.456</v>
      </c>
      <c r="N15" s="156" t="str">
        <f>VLOOKUP(C15,'Trips&amp;Operators'!$C$1:$G$99999,5,FALSE)</f>
        <v>ADANE ELSHADAY</v>
      </c>
      <c r="O15" s="182" t="s">
        <v>240</v>
      </c>
      <c r="P15" s="157" t="s">
        <v>866</v>
      </c>
      <c r="Q15" s="31"/>
      <c r="R15" s="100" t="str">
        <f>VLOOKUP(C15,'Train Runs'!$A$13:$AE$9982,31,0)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S15" s="103" t="str">
        <f>VLOOKUP(C15,'Train Runs'!$A$13:$AE$9982,22,0)</f>
        <v>https://search-rtdc-monitor-bjffxe2xuh6vdkpspy63sjmuny.us-east-1.es.amazonaws.com/_plugin/kibana/#/discover/Steve-Slow-Train-Analysis-(2080s-and-2083s)?_g=(refreshInterval:(display:Off,section:0,value:0),time:(from:'2016-12-01 13:39:06-700',mode:absolute,to:'2016-12-01 16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/stypes="*4015*201612012*" /stext=" 22:.+((SYSTEM_STATE.+slice.+state.+changed )|(ment ac)|(multiple cpu faults)|(system.+state.+changed )|(\[timeout)|(PRM\|1\|D)|(kpr)|(kdp)|(\|lc)|(penalty))" /e /r /s</v>
      </c>
      <c r="U15" s="9" t="str">
        <f>MID(B15,13,4)</f>
        <v>4015</v>
      </c>
      <c r="V15" s="36">
        <f>A15-utc_offset/24</f>
        <v>42705.933506944442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{"issue":{"subject":"Bright ELXS Failure","project_id":79,"tracker_id":40,"status_id":1,"priority_id":2,"assigned_to_id":23,"start_date":"2016-12-01","description":"","custom_fields":[{"id":1,"name":"Subdivision","value":"EC"},{"id":4,"name":"Milepost","value":"3.6657"},{"id":17,"name":"Train ID","value":"184-01"},{"id":16,"name":"Locomotive ID","value":"4015"},{"id":130,"name":"Impact","value":""},{"id":150,"name":"Time of Event (Mountain Time)","value":"15:24:15"},{"id":151,"name":"Denver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"%USERPROFILE%\AppData\Local\Temp\OnboardLogs"\RTDC4015\*4015*201612012*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"%USERPROFILE%\AppData\Local\Temp\OnboardLogs"\RTDC4015\*4015*201612012* &gt;&gt; 42705-slicedisagreementcheck.txt</v>
      </c>
    </row>
    <row r="16" spans="1:30" s="1" customFormat="1" x14ac:dyDescent="0.25">
      <c r="A16" s="36">
        <v>42705.642962962964</v>
      </c>
      <c r="B16" s="31" t="s">
        <v>436</v>
      </c>
      <c r="C16" s="31" t="s">
        <v>437</v>
      </c>
      <c r="D16" s="31" t="s">
        <v>49</v>
      </c>
      <c r="E16" s="31" t="s">
        <v>199</v>
      </c>
      <c r="F16" s="47">
        <v>0</v>
      </c>
      <c r="G16" s="47">
        <v>27</v>
      </c>
      <c r="H16" s="47">
        <v>36704</v>
      </c>
      <c r="I16" s="47">
        <v>36657</v>
      </c>
      <c r="J16" s="31" t="s">
        <v>200</v>
      </c>
      <c r="K16" s="47">
        <v>36657</v>
      </c>
      <c r="L16" s="154" t="s">
        <v>51</v>
      </c>
      <c r="M16" s="155">
        <f>CONVERT((I16-K16)/10000,"mi","ft")*IF(L16="Increasing Mileposts (1)",-1,1)</f>
        <v>0</v>
      </c>
      <c r="N16" s="156" t="str">
        <f>VLOOKUP(C16,'Trips&amp;Operators'!$C$1:$G$99999,5,FALSE)</f>
        <v>ADANE ELSHADAY</v>
      </c>
      <c r="O16" s="182" t="s">
        <v>240</v>
      </c>
      <c r="P16" s="157" t="s">
        <v>866</v>
      </c>
      <c r="Q16" s="31"/>
      <c r="R16" s="100" t="str">
        <f>VLOOKUP(C16,'Train Runs'!$A$13:$AE$9982,31,0)</f>
        <v>aws s3 cp s3://rtdc.mdm.uploadarchive.raw/RTDC4015/ "%USERPROFILE%\AppData\Local\Temp\OnboardLogs"\RTDC4015\2016-12-01 --exclude "*" --recursive --include "*20161201*" &amp; "%USERPROFILE%\Documents\GitHub\mrs-test-scripts\Headless Mode &amp; Sideloading\WalkAndUnGZ.bat" "%USERPROFILE%\AppData\Local\Temp\OnboardLogs"\RTDC4015\2016-12-01 &amp; aws s3 cp s3://rtdc.mdm.uploadarchive.raw/RTDC4015/ "%USERPROFILE%\AppData\Local\Temp\OnboardLogs"\RTDC4015\2016-12-02 --exclude "*" --recursive --include "*20161202*" &amp; "%USERPROFILE%\Documents\GitHub\mrs-test-scripts\Headless Mode &amp; Sideloading\WalkAndUnGZ.bat" "%USERPROFILE%\AppData\Local\Temp\OnboardLogs"\RTDC4015\2016-12-02</v>
      </c>
      <c r="S16" s="103" t="str">
        <f>VLOOKUP(C16,'Train Runs'!$A$13:$AE$9982,22,0)</f>
        <v>https://search-rtdc-monitor-bjffxe2xuh6vdkpspy63sjmuny.us-east-1.es.amazonaws.com/_plugin/kibana/#/discover/Steve-Slow-Train-Analysis-(2080s-and-2083s)?_g=(refreshInterval:(display:Off,section:0,value:0),time:(from:'2016-12-01 13:39:06-700',mode:absolute,to:'2016-12-01 16:26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/stypes="*4015*201612012*" /stext=" 22:.+((SYSTEM_STATE.+slice.+state.+changed )|(ment ac)|(multiple cpu faults)|(system.+state.+changed )|(\[timeout)|(PRM\|1\|D)|(kpr)|(kdp)|(\|lc)|(penalty))" /e /r /s</v>
      </c>
      <c r="U16" s="9" t="str">
        <f>MID(B16,13,4)</f>
        <v>4015</v>
      </c>
      <c r="V16" s="36">
        <f>A16-utc_offset/24</f>
        <v>42705.934629629628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{"issue":{"subject":"Bright ELXS Failure","project_id":79,"tracker_id":40,"status_id":1,"priority_id":2,"assigned_to_id":23,"start_date":"2016-12-01","description":"","custom_fields":[{"id":1,"name":"Subdivision","value":"EC"},{"id":4,"name":"Milepost","value":"3.6657"},{"id":17,"name":"Train ID","value":"184-01"},{"id":16,"name":"Locomotive ID","value":"4015"},{"id":130,"name":"Impact","value":""},{"id":150,"name":"Time of Event (Mountain Time)","value":"15:25:52"},{"id":151,"name":"Denver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"%USERPROFILE%\AppData\Local\Temp\OnboardLogs"\RTDC4015\*4015*201612012*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"%USERPROFILE%\AppData\Local\Temp\OnboardLogs"\RTDC4015\*4015*201612012* &gt;&gt; 42705-slicedisagreementcheck.txt</v>
      </c>
    </row>
    <row r="17" spans="1:30" s="1" customFormat="1" x14ac:dyDescent="0.25">
      <c r="A17" s="36">
        <v>42705.487939814811</v>
      </c>
      <c r="B17" s="31" t="s">
        <v>330</v>
      </c>
      <c r="C17" s="31" t="s">
        <v>426</v>
      </c>
      <c r="D17" s="31" t="s">
        <v>49</v>
      </c>
      <c r="E17" s="31" t="s">
        <v>199</v>
      </c>
      <c r="F17" s="47">
        <v>0</v>
      </c>
      <c r="G17" s="47">
        <v>596</v>
      </c>
      <c r="H17" s="47">
        <v>42850</v>
      </c>
      <c r="I17" s="47">
        <v>45279</v>
      </c>
      <c r="J17" s="31" t="s">
        <v>200</v>
      </c>
      <c r="K17" s="47">
        <v>43651</v>
      </c>
      <c r="L17" s="154" t="s">
        <v>50</v>
      </c>
      <c r="M17" s="155">
        <f>CONVERT((I17-K17)/10000,"mi","ft")*IF(L17="Increasing Mileposts (1)",-1,1)</f>
        <v>-859.58399999999995</v>
      </c>
      <c r="N17" s="156" t="str">
        <f>VLOOKUP(C17,'Trips&amp;Operators'!$C$1:$G$99999,5,FALSE)</f>
        <v>MOSES BRADLEY</v>
      </c>
      <c r="O17" s="182" t="s">
        <v>240</v>
      </c>
      <c r="P17" s="157" t="s">
        <v>352</v>
      </c>
      <c r="Q17" s="31"/>
      <c r="R17" s="100" t="str">
        <f>VLOOKUP(C17,'Train Runs'!$A$13:$AE$9982,31,0)</f>
        <v>aws s3 cp s3://rtdc.mdm.uploadarchive.raw/RTDC4029/ "%USERPROFILE%\AppData\Local\Temp\OnboardLogs"\RTDC4029\2016-12-01 --exclude "*" --recursive --include "*20161201*" &amp; "%USERPROFILE%\Documents\GitHub\mrs-test-scripts\Headless Mode &amp; Sideloading\WalkAndUnGZ.bat" "%USERPROFILE%\AppData\Local\Temp\OnboardLogs"\RTDC4029\2016-12-01 &amp; aws s3 cp s3://rtdc.mdm.uploadarchive.raw/RTDC4029/ "%USERPROFILE%\AppData\Local\Temp\OnboardLogs"\RTDC4029\2016-12-02 --exclude "*" --recursive --include "*20161202*" &amp; "%USERPROFILE%\Documents\GitHub\mrs-test-scripts\Headless Mode &amp; Sideloading\WalkAndUnGZ.bat" "%USERPROFILE%\AppData\Local\Temp\OnboardLogs"\RTDC4029\2016-12-02</v>
      </c>
      <c r="S17" s="103" t="str">
        <f>VLOOKUP(C17,'Train Runs'!$A$13:$AE$9982,22,0)</f>
        <v>https://search-rtdc-monitor-bjffxe2xuh6vdkpspy63sjmuny.us-east-1.es.amazonaws.com/_plugin/kibana/#/discover/Steve-Slow-Train-Analysis-(2080s-and-2083s)?_g=(refreshInterval:(display:Off,section:0,value:0),time:(from:'2016-12-01 10:24:24-700',mode:absolute,to:'2016-12-01 13:11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/stypes="*4029*201612011*" /stext=" 18:.+((SYSTEM_STATE.+slice.+state.+changed )|(ment ac)|(multiple cpu faults)|(system.+state.+changed )|(\[timeout)|(PRM\|1\|D)|(kpr)|(kdp)|(\|lc)|(penalty))" /e /r /s</v>
      </c>
      <c r="U17" s="9" t="str">
        <f>MID(B17,13,4)</f>
        <v>4029</v>
      </c>
      <c r="V17" s="36">
        <f>A17-utc_offset/24</f>
        <v>42705.779606481476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http://stevetu21.github.io/eaglep3/load_kml.html?kml=http://rtdc.gmaps-snips.s3.amazonaws.com/d347e678-4bb5-4440-a2c7-e870f7398960.kml","custom_fields":[{"id":1,"name":"Subdivision","value":"EC"},{"id":4,"name":"Milepost","value":"4.3651"},{"id":17,"name":"Train ID","value":"163-01"},{"id":16,"name":"Locomotive ID","value":"4029"},{"id":130,"name":"Impact","value":"Enforcement"},{"id":150,"name":"Time of Event (Mountain Time)","value":"11:42:38"},{"id":151,"name":"Denver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185" t="s">
        <v>867</v>
      </c>
      <c r="AA17" s="53" t="s">
        <v>125</v>
      </c>
      <c r="AB17" s="53" t="s">
        <v>138</v>
      </c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"%USERPROFILE%\AppData\Local\Temp\OnboardLogs"\RTDC4029\*4029*201612011*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"%USERPROFILE%\AppData\Local\Temp\OnboardLogs"\RTDC4029\*4029*201612011* &gt;&gt; 42705-slicedisagreementcheck.txt</v>
      </c>
    </row>
    <row r="18" spans="1:30" s="1" customFormat="1" x14ac:dyDescent="0.25">
      <c r="A18" s="36">
        <v>42705.656840277778</v>
      </c>
      <c r="B18" s="31" t="s">
        <v>274</v>
      </c>
      <c r="C18" s="31" t="s">
        <v>440</v>
      </c>
      <c r="D18" s="31" t="s">
        <v>49</v>
      </c>
      <c r="E18" s="31" t="s">
        <v>199</v>
      </c>
      <c r="F18" s="47">
        <v>0</v>
      </c>
      <c r="G18" s="47">
        <v>23</v>
      </c>
      <c r="H18" s="47">
        <v>58110</v>
      </c>
      <c r="I18" s="47">
        <v>57975</v>
      </c>
      <c r="J18" s="31" t="s">
        <v>200</v>
      </c>
      <c r="K18" s="47">
        <v>57897</v>
      </c>
      <c r="L18" s="154" t="s">
        <v>51</v>
      </c>
      <c r="M18" s="155">
        <f>CONVERT((I18-K18)/10000,"mi","ft")*IF(L18="Increasing Mileposts (1)",-1,1)</f>
        <v>41.183999999999997</v>
      </c>
      <c r="N18" s="156" t="str">
        <f>VLOOKUP(C18,'Trips&amp;Operators'!$C$1:$G$99999,5,FALSE)</f>
        <v>STORY SAMANTHA</v>
      </c>
      <c r="O18" s="182" t="s">
        <v>240</v>
      </c>
      <c r="P18" s="157" t="s">
        <v>866</v>
      </c>
      <c r="Q18" s="31"/>
      <c r="R18" s="100" t="str">
        <f>VLOOKUP(C18,'Train Runs'!$A$13:$AE$9982,31,0)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S18" s="103" t="str">
        <f>VLOOKUP(C18,'Train Runs'!$A$13:$AE$9982,22,0)</f>
        <v>https://search-rtdc-monitor-bjffxe2xuh6vdkpspy63sjmuny.us-east-1.es.amazonaws.com/_plugin/kibana/#/discover/Steve-Slow-Train-Analysis-(2080s-and-2083s)?_g=(refreshInterval:(display:Off,section:0,value:0),time:(from:'2016-12-01 14:04:47-700',mode:absolute,to:'2016-12-01 16:46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/stypes="*4032*201612012*" /stext=" 22:.+((SYSTEM_STATE.+slice.+state.+changed )|(ment ac)|(multiple cpu faults)|(system.+state.+changed )|(\[timeout)|(PRM\|1\|D)|(kpr)|(kdp)|(\|lc)|(penalty))" /e /r /s</v>
      </c>
      <c r="U18" s="9" t="str">
        <f>MID(B18,13,4)</f>
        <v>4032</v>
      </c>
      <c r="V18" s="36">
        <f>A18-utc_offset/24</f>
        <v>42705.948506944442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{"issue":{"subject":"Bright ELXS Failure","project_id":79,"tracker_id":40,"status_id":1,"priority_id":2,"assigned_to_id":23,"start_date":"2016-12-01","description":"","custom_fields":[{"id":1,"name":"Subdivision","value":"EC"},{"id":4,"name":"Milepost","value":"5.7897"},{"id":17,"name":"Train ID","value":"186-01"},{"id":16,"name":"Locomotive ID","value":"4032"},{"id":130,"name":"Impact","value":""},{"id":150,"name":"Time of Event (Mountain Time)","value":"15:45:51"},{"id":151,"name":"Denver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"%USERPROFILE%\AppData\Local\Temp\OnboardLogs"\RTDC4032\*4032*201612012*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"%USERPROFILE%\AppData\Local\Temp\OnboardLogs"\RTDC4032\*4032*201612012* &gt;&gt; 42705-slicedisagreementcheck.txt</v>
      </c>
    </row>
    <row r="19" spans="1:30" s="1" customFormat="1" x14ac:dyDescent="0.25">
      <c r="A19" s="36">
        <v>42705.469699074078</v>
      </c>
      <c r="B19" s="31" t="s">
        <v>213</v>
      </c>
      <c r="C19" s="31" t="s">
        <v>424</v>
      </c>
      <c r="D19" s="31" t="s">
        <v>49</v>
      </c>
      <c r="E19" s="31" t="s">
        <v>199</v>
      </c>
      <c r="F19" s="47">
        <v>0</v>
      </c>
      <c r="G19" s="47">
        <v>439</v>
      </c>
      <c r="H19" s="47">
        <v>194212</v>
      </c>
      <c r="I19" s="47">
        <v>193062</v>
      </c>
      <c r="J19" s="31" t="s">
        <v>200</v>
      </c>
      <c r="K19" s="47">
        <v>191723</v>
      </c>
      <c r="L19" s="154" t="s">
        <v>51</v>
      </c>
      <c r="M19" s="155">
        <f>CONVERT((I19-K19)/10000,"mi","ft")*IF(L19="Increasing Mileposts (1)",-1,1)</f>
        <v>706.99199999999996</v>
      </c>
      <c r="N19" s="156" t="str">
        <f>VLOOKUP(C19,'Trips&amp;Operators'!$C$1:$G$99999,5,FALSE)</f>
        <v>STARKS ANGELINA</v>
      </c>
      <c r="O19" s="182" t="s">
        <v>196</v>
      </c>
      <c r="P19" s="157" t="s">
        <v>351</v>
      </c>
      <c r="Q19" s="31"/>
      <c r="R19" s="100" t="str">
        <f>VLOOKUP(C19,'Train Runs'!$A$13:$AE$9982,31,0)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S19" s="103" t="str">
        <f>VLOOKUP(C19,'Train Runs'!$A$13:$AE$9982,22,0)</f>
        <v>https://search-rtdc-monitor-bjffxe2xuh6vdkpspy63sjmuny.us-east-1.es.amazonaws.com/_plugin/kibana/#/discover/Steve-Slow-Train-Analysis-(2080s-and-2083s)?_g=(refreshInterval:(display:Off,section:0,value:0),time:(from:'2016-12-01 10:08:06-700',mode:absolute,to:'2016-12-01 12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/stypes="*4039*201612011*" /stext=" 18:.+((SYSTEM_STATE.+slice.+state.+changed )|(ment ac)|(multiple cpu faults)|(system.+state.+changed )|(\[timeout)|(PRM\|1\|D)|(kpr)|(kdp)|(\|lc)|(penalty))" /e /r /s</v>
      </c>
      <c r="U19" s="9" t="str">
        <f>MID(B19,13,4)</f>
        <v>4039</v>
      </c>
      <c r="V19" s="36">
        <f>A19-utc_offset/24</f>
        <v>42705.761365740742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{"issue":{"subject":"Pena 4S STOP","project_id":79,"tracker_id":40,"status_id":1,"priority_id":2,"assigned_to_id":23,"start_date":"2016-12-01","description":"","custom_fields":[{"id":1,"name":"Subdivision","value":"EC"},{"id":4,"name":"Milepost","value":"19.1723"},{"id":17,"name":"Train ID","value":"154-01"},{"id":16,"name":"Locomotive ID","value":"4039"},{"id":130,"name":"Impact","value":""},{"id":150,"name":"Time of Event (Mountain Time)","value":"11:16:22"},{"id":151,"name":"Denver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"%USERPROFILE%\AppData\Local\Temp\OnboardLogs"\RTDC4039\*4039*201612011*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"%USERPROFILE%\AppData\Local\Temp\OnboardLogs"\RTDC4039\*4039*201612011* &gt;&gt; 42705-slicedisagreementcheck.txt</v>
      </c>
    </row>
    <row r="20" spans="1:30" s="1" customFormat="1" x14ac:dyDescent="0.25">
      <c r="A20" s="36">
        <v>42705.858587962961</v>
      </c>
      <c r="B20" s="31" t="s">
        <v>452</v>
      </c>
      <c r="C20" s="31" t="s">
        <v>453</v>
      </c>
      <c r="D20" s="31" t="s">
        <v>49</v>
      </c>
      <c r="E20" s="31" t="s">
        <v>417</v>
      </c>
      <c r="F20" s="47">
        <v>0</v>
      </c>
      <c r="G20" s="47">
        <v>142</v>
      </c>
      <c r="H20" s="47">
        <v>3593</v>
      </c>
      <c r="I20" s="47">
        <v>3365</v>
      </c>
      <c r="J20" s="31" t="s">
        <v>418</v>
      </c>
      <c r="K20" s="47">
        <v>3549</v>
      </c>
      <c r="L20" s="154" t="s">
        <v>51</v>
      </c>
      <c r="M20" s="155">
        <f>CONVERT((I20-K20)/10000,"mi","ft")*IF(L20="Increasing Mileposts (1)",-1,1)</f>
        <v>-97.152000000000001</v>
      </c>
      <c r="N20" s="156" t="str">
        <f>VLOOKUP(C20,'Trips&amp;Operators'!$C$1:$G$99999,5,FALSE)</f>
        <v>LALONDE GREGORY</v>
      </c>
      <c r="O20" s="182" t="s">
        <v>240</v>
      </c>
      <c r="P20" s="157" t="s">
        <v>352</v>
      </c>
      <c r="Q20" s="31"/>
      <c r="R20" s="100" t="str">
        <f>VLOOKUP(C20,'Train Runs'!$A$13:$AE$9982,31,0)</f>
        <v>aws s3 cp s3://rtdc.mdm.uploadarchive.raw/RTDC4017/ "%USERPROFILE%\AppData\Local\Temp\OnboardLogs"\RTDC4017\2016-12-01 --exclude "*" --recursive --include "*20161201*" &amp; "%USERPROFILE%\Documents\GitHub\mrs-test-scripts\Headless Mode &amp; Sideloading\WalkAndUnGZ.bat" "%USERPROFILE%\AppData\Local\Temp\OnboardLogs"\RTDC4017\2016-12-01 &amp; aws s3 cp s3://rtdc.mdm.uploadarchive.raw/RTDC4017/ "%USERPROFILE%\AppData\Local\Temp\OnboardLogs"\RTDC4017\2016-12-02 --exclude "*" --recursive --include "*20161202*" &amp; "%USERPROFILE%\Documents\GitHub\mrs-test-scripts\Headless Mode &amp; Sideloading\WalkAndUnGZ.bat" "%USERPROFILE%\AppData\Local\Temp\OnboardLogs"\RTDC4017\2016-12-02</v>
      </c>
      <c r="S20" s="103" t="str">
        <f>VLOOKUP(C20,'Train Runs'!$A$13:$AE$9982,22,0)</f>
        <v>https://search-rtdc-monitor-bjffxe2xuh6vdkpspy63sjmuny.us-east-1.es.amazonaws.com/_plugin/kibana/#/discover/Steve-Slow-Train-Analysis-(2080s-and-2083s)?_g=(refreshInterval:(display:Off,section:0,value:0),time:(from:'2016-12-01 18:40:33-700',mode:absolute,to:'2016-12-01 21:39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/stypes="*4017*201612020*" /stext=" 03:.+((SYSTEM_STATE.+slice.+state.+changed )|(ment ac)|(multiple cpu faults)|(system.+state.+changed )|(\[timeout)|(PRM\|1\|D)|(kpr)|(kdp)|(\|lc)|(penalty))" /e /r /s</v>
      </c>
      <c r="U20" s="9" t="str">
        <f>MID(B20,13,4)</f>
        <v>4017</v>
      </c>
      <c r="V20" s="36">
        <f>A20-utc_offset/24</f>
        <v>42706.150254629625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http://stevetu21.github.io/eaglep3/load_kml.html?kml=http://rtdc.gmaps-snips.s3.amazonaws.com/85ecb7c6-1f90-4c5b-89fe-22a9aea3045f.kml","custom_fields":[{"id":1,"name":"Subdivision","value":"EC"},{"id":4,"name":"Milepost","value":"0.3549"},{"id":17,"name":"Train ID","value":"222-01"},{"id":16,"name":"Locomotive ID","value":"4017"},{"id":130,"name":"Impact","value":"Enforcement"},{"id":150,"name":"Time of Event (Mountain Time)","value":"20:36:22"},{"id":151,"name":"Denver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0" s="185" t="s">
        <v>865</v>
      </c>
      <c r="AA20" s="53" t="s">
        <v>125</v>
      </c>
      <c r="AB20" s="53" t="s">
        <v>138</v>
      </c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"%USERPROFILE%\AppData\Local\Temp\OnboardLogs"\RTDC4017\*4017*201612020*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"%USERPROFILE%\AppData\Local\Temp\OnboardLogs"\RTDC4017\*4017*201612020* &gt;&gt; 42705-slicedisagreementcheck.txt</v>
      </c>
    </row>
    <row r="21" spans="1:30" x14ac:dyDescent="0.25">
      <c r="A21" s="36">
        <v>42705.324687499997</v>
      </c>
      <c r="B21" s="31" t="s">
        <v>327</v>
      </c>
      <c r="C21" s="31" t="s">
        <v>414</v>
      </c>
      <c r="D21" s="31" t="s">
        <v>98</v>
      </c>
      <c r="E21" s="31" t="s">
        <v>331</v>
      </c>
      <c r="F21" s="47">
        <v>150</v>
      </c>
      <c r="G21" s="47">
        <v>206</v>
      </c>
      <c r="H21" s="47">
        <v>26608</v>
      </c>
      <c r="I21" s="47">
        <v>26228</v>
      </c>
      <c r="J21" s="31" t="s">
        <v>329</v>
      </c>
      <c r="K21" s="47">
        <v>27399</v>
      </c>
      <c r="L21" s="154" t="s">
        <v>51</v>
      </c>
      <c r="M21" s="155">
        <f>CONVERT((I21-K21)/10000,"mi","ft")*IF(L21="Increasing Mileposts (1)",-1,1)</f>
        <v>-618.28800000000001</v>
      </c>
      <c r="N21" s="156" t="str">
        <f>VLOOKUP(C21,'Trips&amp;Operators'!$C$1:$G$99999,5,FALSE)</f>
        <v>STRICKLAND EVAN</v>
      </c>
      <c r="O21" s="182" t="s">
        <v>196</v>
      </c>
      <c r="P21" s="157"/>
      <c r="Q21" s="31"/>
      <c r="R21" s="100" t="str">
        <f>VLOOKUP(C21,'Train Runs'!$A$13:$AE$9982,31,0)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S21" s="103" t="str">
        <f>VLOOKUP(C21,'Train Runs'!$A$13:$AE$9982,22,0)</f>
        <v>https://search-rtdc-monitor-bjffxe2xuh6vdkpspy63sjmuny.us-east-1.es.amazonaws.com/_plugin/kibana/#/discover/Steve-Slow-Train-Analysis-(2080s-and-2083s)?_g=(refreshInterval:(display:Off,section:0,value:0),time:(from:'2016-12-01 06:05:14-700',mode:absolute,to:'2016-12-01 08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/stypes="*4030*201612011*" /stext=" 14:.+((SYSTEM_STATE.+slice.+state.+changed )|(ment ac)|(multiple cpu faults)|(system.+state.+changed )|(\[timeout)|(PRM\|1\|D)|(kpr)|(kdp)|(\|lc)|(penalty))" /e /r /s</v>
      </c>
      <c r="U21" s="9" t="str">
        <f>MID(B21,13,4)</f>
        <v>4030</v>
      </c>
      <c r="V21" s="36">
        <f>A21-utc_offset/24</f>
        <v>42705.616354166661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{"issue":{"subject":"","project_id":79,"tracker_id":40,"status_id":1,"priority_id":2,"assigned_to_id":23,"start_date":"2016-12-01","description":"","custom_fields":[{"id":1,"name":"Subdivision","value":"EC"},{"id":4,"name":"Milepost","value":"2.7399"},{"id":17,"name":"Train ID","value":"122-01"},{"id":16,"name":"Locomotive ID","value":"4030"},{"id":130,"name":"Impact","value":""},{"id":150,"name":"Time of Event (Mountain Time)","value":"07:47:33"},{"id":151,"name":"Denver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"%USERPROFILE%\AppData\Local\Temp\OnboardLogs"\RTDC4030\*4030*201612011*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"%USERPROFILE%\AppData\Local\Temp\OnboardLogs"\RTDC4030\*4030*201612011* &gt;&gt; 42705-slicedisagreementcheck.txt</v>
      </c>
    </row>
    <row r="22" spans="1:30" x14ac:dyDescent="0.25">
      <c r="A22" s="36">
        <v>42705.436643518522</v>
      </c>
      <c r="B22" s="31" t="s">
        <v>274</v>
      </c>
      <c r="C22" s="31" t="s">
        <v>421</v>
      </c>
      <c r="D22" s="31" t="s">
        <v>98</v>
      </c>
      <c r="E22" s="31" t="s">
        <v>331</v>
      </c>
      <c r="F22" s="47">
        <v>150</v>
      </c>
      <c r="G22" s="47">
        <v>210</v>
      </c>
      <c r="H22" s="47">
        <v>26635</v>
      </c>
      <c r="I22" s="47">
        <v>26191</v>
      </c>
      <c r="J22" s="31" t="s">
        <v>329</v>
      </c>
      <c r="K22" s="47">
        <v>27399</v>
      </c>
      <c r="L22" s="154" t="s">
        <v>51</v>
      </c>
      <c r="M22" s="155">
        <f>CONVERT((I22-K22)/10000,"mi","ft")*IF(L22="Increasing Mileposts (1)",-1,1)</f>
        <v>-637.82399999999996</v>
      </c>
      <c r="N22" s="156" t="str">
        <f>VLOOKUP(C22,'Trips&amp;Operators'!$C$1:$G$99999,5,FALSE)</f>
        <v>PERKINS DARREN</v>
      </c>
      <c r="O22" s="182" t="s">
        <v>196</v>
      </c>
      <c r="P22" s="157"/>
      <c r="Q22" s="31"/>
      <c r="R22" s="100" t="str">
        <f>VLOOKUP(C22,'Train Runs'!$A$13:$AE$9982,31,0)</f>
        <v>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 &amp; aws s3 cp s3://rtdc.mdm.uploadarchive.raw/RTDC4032/ "%USERPROFILE%\AppData\Local\Temp\OnboardLogs"\RTDC4032\2016-12-02 --exclude "*" --recursive --include "*20161202*" &amp; "%USERPROFILE%\Documents\GitHub\mrs-test-scripts\Headless Mode &amp; Sideloading\WalkAndUnGZ.bat" "%USERPROFILE%\AppData\Local\Temp\OnboardLogs"\RTDC4032\2016-12-02</v>
      </c>
      <c r="S22" s="103" t="str">
        <f>VLOOKUP(C22,'Train Runs'!$A$13:$AE$9982,22,0)</f>
        <v>https://search-rtdc-monitor-bjffxe2xuh6vdkpspy63sjmuny.us-east-1.es.amazonaws.com/_plugin/kibana/#/discover/Steve-Slow-Train-Analysis-(2080s-and-2083s)?_g=(refreshInterval:(display:Off,section:0,value:0),time:(from:'2016-12-01 08:47:54-700',mode:absolute,to:'2016-12-01 11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/stypes="*4032*201612011*" /stext=" 17:.+((SYSTEM_STATE.+slice.+state.+changed )|(ment ac)|(multiple cpu faults)|(system.+state.+changed )|(\[timeout)|(PRM\|1\|D)|(kpr)|(kdp)|(\|lc)|(penalty))" /e /r /s</v>
      </c>
      <c r="U22" s="9" t="str">
        <f>MID(B22,13,4)</f>
        <v>4032</v>
      </c>
      <c r="V22" s="36">
        <f>A22-utc_offset/24</f>
        <v>42705.728310185186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{"issue":{"subject":"","project_id":79,"tracker_id":40,"status_id":1,"priority_id":2,"assigned_to_id":23,"start_date":"2016-12-01","description":"","custom_fields":[{"id":1,"name":"Subdivision","value":"EC"},{"id":4,"name":"Milepost","value":"2.7399"},{"id":17,"name":"Train ID","value":"144-01"},{"id":16,"name":"Locomotive ID","value":"4032"},{"id":130,"name":"Impact","value":""},{"id":150,"name":"Time of Event (Mountain Time)","value":"10:28:46"},{"id":151,"name":"Denver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"%USERPROFILE%\AppData\Local\Temp\OnboardLogs"\RTDC4032\*4032*201612011*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"%USERPROFILE%\AppData\Local\Temp\OnboardLogs"\RTDC4032\*4032*201612011* &gt;&gt; 42705-slicedisagreementcheck.txt</v>
      </c>
    </row>
    <row r="23" spans="1:30" x14ac:dyDescent="0.25">
      <c r="A23" s="36">
        <v>42705.222881944443</v>
      </c>
      <c r="B23" s="31" t="s">
        <v>266</v>
      </c>
      <c r="C23" s="31" t="s">
        <v>411</v>
      </c>
      <c r="D23" s="31" t="s">
        <v>49</v>
      </c>
      <c r="E23" s="31" t="s">
        <v>201</v>
      </c>
      <c r="F23" s="47">
        <v>0</v>
      </c>
      <c r="G23" s="47">
        <v>62</v>
      </c>
      <c r="H23" s="47">
        <v>245</v>
      </c>
      <c r="I23" s="47">
        <v>185</v>
      </c>
      <c r="J23" s="31" t="s">
        <v>202</v>
      </c>
      <c r="K23" s="47">
        <v>1</v>
      </c>
      <c r="L23" s="154" t="s">
        <v>51</v>
      </c>
      <c r="M23" s="155">
        <f>CONVERT((I23-K23)/10000,"mi","ft")*IF(L23="Increasing Mileposts (1)",-1,1)</f>
        <v>97.152000000000001</v>
      </c>
      <c r="N23" s="156" t="str">
        <f>VLOOKUP(C23,'Trips&amp;Operators'!$C$1:$G$99999,5,FALSE)</f>
        <v>SPECTOR MICHAEL</v>
      </c>
      <c r="O23" s="182" t="s">
        <v>196</v>
      </c>
      <c r="P23" s="157"/>
      <c r="Q23" s="31"/>
      <c r="R23" s="100" t="str">
        <f>VLOOKUP(C23,'Train Runs'!$A$13:$AE$9982,31,0)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S23" s="103" t="str">
        <f>VLOOKUP(C23,'Train Runs'!$A$13:$AE$9982,22,0)</f>
        <v>https://search-rtdc-monitor-bjffxe2xuh6vdkpspy63sjmuny.us-east-1.es.amazonaws.com/_plugin/kibana/#/discover/Steve-Slow-Train-Analysis-(2080s-and-2083s)?_g=(refreshInterval:(display:Off,section:0,value:0),time:(from:'2016-12-01 03:34:28-700',mode:absolute,to:'2016-12-01 06:20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/stypes="*4010*201612011*" /stext=" 12:.+((SYSTEM_STATE.+slice.+state.+changed )|(ment ac)|(multiple cpu faults)|(system.+state.+changed )|(\[timeout)|(PRM\|1\|D)|(kpr)|(kdp)|(\|lc)|(penalty))" /e /r /s</v>
      </c>
      <c r="U23" s="9" t="str">
        <f>MID(B23,13,4)</f>
        <v>4010</v>
      </c>
      <c r="V23" s="36">
        <f>A23-utc_offset/24</f>
        <v>42705.514548611107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{"issue":{"subject":"","project_id":79,"tracker_id":40,"status_id":1,"priority_id":2,"assigned_to_id":23,"start_date":"2016-12-01","description":"","custom_fields":[{"id":1,"name":"Subdivision","value":"EC"},{"id":4,"name":"Milepost","value":"0.0001"},{"id":17,"name":"Train ID","value":"104-01"},{"id":16,"name":"Locomotive ID","value":"4010"},{"id":130,"name":"Impact","value":""},{"id":150,"name":"Time of Event (Mountain Time)","value":"05:20:57"},{"id":151,"name":"Denver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"%USERPROFILE%\AppData\Local\Temp\OnboardLogs"\RTDC4010\*4010*201612011*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"%USERPROFILE%\AppData\Local\Temp\OnboardLogs"\RTDC4010\*4010*201612011* &gt;&gt; 42705-slicedisagreementcheck.txt</v>
      </c>
    </row>
    <row r="24" spans="1:30" ht="15" customHeight="1" x14ac:dyDescent="0.25">
      <c r="A24" s="36">
        <v>42705.274236111109</v>
      </c>
      <c r="B24" s="31" t="s">
        <v>213</v>
      </c>
      <c r="C24" s="31" t="s">
        <v>412</v>
      </c>
      <c r="D24" s="31" t="s">
        <v>49</v>
      </c>
      <c r="E24" s="31" t="s">
        <v>201</v>
      </c>
      <c r="F24" s="47">
        <v>0</v>
      </c>
      <c r="G24" s="47">
        <v>78</v>
      </c>
      <c r="H24" s="47">
        <v>298</v>
      </c>
      <c r="I24" s="47">
        <v>220</v>
      </c>
      <c r="J24" s="31" t="s">
        <v>202</v>
      </c>
      <c r="K24" s="47">
        <v>1</v>
      </c>
      <c r="L24" s="154" t="s">
        <v>51</v>
      </c>
      <c r="M24" s="155">
        <f>CONVERT((I24-K24)/10000,"mi","ft")*IF(L24="Increasing Mileposts (1)",-1,1)</f>
        <v>115.63200000000001</v>
      </c>
      <c r="N24" s="156" t="str">
        <f>VLOOKUP(C24,'Trips&amp;Operators'!$C$1:$G$99999,5,FALSE)</f>
        <v>STARKS ANGELINA</v>
      </c>
      <c r="O24" s="182" t="s">
        <v>196</v>
      </c>
      <c r="P24" s="157"/>
      <c r="Q24" s="31"/>
      <c r="R24" s="100" t="str">
        <f>VLOOKUP(C24,'Train Runs'!$A$13:$AE$9982,31,0)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S24" s="103" t="str">
        <f>VLOOKUP(C24,'Train Runs'!$A$13:$AE$9982,22,0)</f>
        <v>https://search-rtdc-monitor-bjffxe2xuh6vdkpspy63sjmuny.us-east-1.es.amazonaws.com/_plugin/kibana/#/discover/Steve-Slow-Train-Analysis-(2080s-and-2083s)?_g=(refreshInterval:(display:Off,section:0,value:0),time:(from:'2016-12-01 04:51:35-700',mode:absolute,to:'2016-12-01 07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/stypes="*4039*201612011*" /stext=" 13:.+((SYSTEM_STATE.+slice.+state.+changed )|(ment ac)|(multiple cpu faults)|(system.+state.+changed )|(\[timeout)|(PRM\|1\|D)|(kpr)|(kdp)|(\|lc)|(penalty))" /e /r /s</v>
      </c>
      <c r="U24" s="9" t="str">
        <f>MID(B24,13,4)</f>
        <v>4039</v>
      </c>
      <c r="V24" s="36">
        <f>A24-utc_offset/24</f>
        <v>42705.565902777773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{"issue":{"subject":"","project_id":79,"tracker_id":40,"status_id":1,"priority_id":2,"assigned_to_id":23,"start_date":"2016-12-01","description":"","custom_fields":[{"id":1,"name":"Subdivision","value":"EC"},{"id":4,"name":"Milepost","value":"0.0001"},{"id":17,"name":"Train ID","value":"112-01"},{"id":16,"name":"Locomotive ID","value":"4039"},{"id":130,"name":"Impact","value":""},{"id":150,"name":"Time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"%USERPROFILE%\AppData\Local\Temp\OnboardLogs"\RTDC4039\*4039*201612011*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"%USERPROFILE%\AppData\Local\Temp\OnboardLogs"\RTDC4039\*4039*201612011* &gt;&gt; 42705-slicedisagreementcheck.txt</v>
      </c>
    </row>
    <row r="25" spans="1:30" x14ac:dyDescent="0.25">
      <c r="A25" s="36">
        <v>42705.330416666664</v>
      </c>
      <c r="B25" s="31" t="s">
        <v>327</v>
      </c>
      <c r="C25" s="31" t="s">
        <v>414</v>
      </c>
      <c r="D25" s="31" t="s">
        <v>49</v>
      </c>
      <c r="E25" s="31" t="s">
        <v>201</v>
      </c>
      <c r="F25" s="47">
        <v>0</v>
      </c>
      <c r="G25" s="47">
        <v>51</v>
      </c>
      <c r="H25" s="47">
        <v>191</v>
      </c>
      <c r="I25" s="47">
        <v>150</v>
      </c>
      <c r="J25" s="31" t="s">
        <v>202</v>
      </c>
      <c r="K25" s="47">
        <v>1</v>
      </c>
      <c r="L25" s="154" t="s">
        <v>51</v>
      </c>
      <c r="M25" s="155">
        <f>CONVERT((I25-K25)/10000,"mi","ft")*IF(L25="Increasing Mileposts (1)",-1,1)</f>
        <v>78.671999999999997</v>
      </c>
      <c r="N25" s="156" t="str">
        <f>VLOOKUP(C25,'Trips&amp;Operators'!$C$1:$G$99999,5,FALSE)</f>
        <v>STRICKLAND EVAN</v>
      </c>
      <c r="O25" s="182" t="s">
        <v>240</v>
      </c>
      <c r="P25" s="157" t="s">
        <v>966</v>
      </c>
      <c r="Q25" s="31"/>
      <c r="R25" s="100" t="str">
        <f>VLOOKUP(C25,'Train Runs'!$A$13:$AE$9982,31,0)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S25" s="103" t="str">
        <f>VLOOKUP(C25,'Train Runs'!$A$13:$AE$9982,22,0)</f>
        <v>https://search-rtdc-monitor-bjffxe2xuh6vdkpspy63sjmuny.us-east-1.es.amazonaws.com/_plugin/kibana/#/discover/Steve-Slow-Train-Analysis-(2080s-and-2083s)?_g=(refreshInterval:(display:Off,section:0,value:0),time:(from:'2016-12-01 06:05:14-700',mode:absolute,to:'2016-12-01 08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/stypes="*4030*201612011*" /stext=" 14:.+((SYSTEM_STATE.+slice.+state.+changed )|(ment ac)|(multiple cpu faults)|(system.+state.+changed )|(\[timeout)|(PRM\|1\|D)|(kpr)|(kdp)|(\|lc)|(penalty))" /e /r /s</v>
      </c>
      <c r="U25" s="9" t="str">
        <f>MID(B25,13,4)</f>
        <v>4030</v>
      </c>
      <c r="V25" s="36">
        <f>A25-utc_offset/24</f>
        <v>42705.622083333328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braking","project_id":79,"tracker_id":40,"status_id":1,"priority_id":2,"assigned_to_id":23,"start_date":"2016-12-01","description":"CPU1 commanded brake, others did not","custom_fields":[{"id":1,"name":"Subdivision","value":"EC"},{"id":4,"name":"Milepost","value":"0.0001"},{"id":17,"name":"Train ID","value":"122-01"},{"id":16,"name":"Locomotive ID","value":"4030"},{"id":130,"name":"Impact","value":"Others"},{"id":150,"name":"Time of Event (Mountain Time)","value":"07:55:48"},{"id":151,"name":"Denver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5" s="53" t="s">
        <v>967</v>
      </c>
      <c r="AA25" s="53" t="s">
        <v>137</v>
      </c>
      <c r="AB25" s="53" t="s">
        <v>174</v>
      </c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"%USERPROFILE%\AppData\Local\Temp\OnboardLogs"\RTDC4030\*4030*201612011*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"%USERPROFILE%\AppData\Local\Temp\OnboardLogs"\RTDC4030\*4030*201612011* &gt;&gt; 42705-slicedisagreementcheck.txt</v>
      </c>
    </row>
    <row r="26" spans="1:30" x14ac:dyDescent="0.25">
      <c r="A26" s="36">
        <v>42705.421747685185</v>
      </c>
      <c r="B26" s="31" t="s">
        <v>213</v>
      </c>
      <c r="C26" s="31" t="s">
        <v>420</v>
      </c>
      <c r="D26" s="31" t="s">
        <v>49</v>
      </c>
      <c r="E26" s="31" t="s">
        <v>201</v>
      </c>
      <c r="F26" s="47">
        <v>0</v>
      </c>
      <c r="G26" s="47">
        <v>61</v>
      </c>
      <c r="H26" s="47">
        <v>231</v>
      </c>
      <c r="I26" s="47">
        <v>180</v>
      </c>
      <c r="J26" s="31" t="s">
        <v>202</v>
      </c>
      <c r="K26" s="47">
        <v>1</v>
      </c>
      <c r="L26" s="154" t="s">
        <v>51</v>
      </c>
      <c r="M26" s="155">
        <f>CONVERT((I26-K26)/10000,"mi","ft")*IF(L26="Increasing Mileposts (1)",-1,1)</f>
        <v>94.512</v>
      </c>
      <c r="N26" s="156" t="str">
        <f>VLOOKUP(C26,'Trips&amp;Operators'!$C$1:$G$99999,5,FALSE)</f>
        <v>STARKS ANGELINA</v>
      </c>
      <c r="O26" s="182" t="s">
        <v>196</v>
      </c>
      <c r="P26" s="157"/>
      <c r="Q26" s="31"/>
      <c r="R26" s="100" t="str">
        <f>VLOOKUP(C26,'Train Runs'!$A$13:$AE$9982,31,0)</f>
        <v>aws s3 cp s3://rtdc.mdm.uploadarchive.raw/RTDC4039/ "%USERPROFILE%\AppData\Local\Temp\OnboardLogs"\RTDC4039\2016-12-01 --exclude "*" --recursive --include "*20161201*" &amp; "%USERPROFILE%\Documents\GitHub\mrs-test-scripts\Headless Mode &amp; Sideloading\WalkAndUnGZ.bat" "%USERPROFILE%\AppData\Local\Temp\OnboardLogs"\RTDC4039\2016-12-01 &amp; aws s3 cp s3://rtdc.mdm.uploadarchive.raw/RTDC4039/ "%USERPROFILE%\AppData\Local\Temp\OnboardLogs"\RTDC4039\2016-12-02 --exclude "*" --recursive --include "*20161202*" &amp; "%USERPROFILE%\Documents\GitHub\mrs-test-scripts\Headless Mode &amp; Sideloading\WalkAndUnGZ.bat" "%USERPROFILE%\AppData\Local\Temp\OnboardLogs"\RTDC4039\2016-12-02</v>
      </c>
      <c r="S26" s="103" t="str">
        <f>VLOOKUP(C26,'Train Runs'!$A$13:$AE$9982,22,0)</f>
        <v>https://search-rtdc-monitor-bjffxe2xuh6vdkpspy63sjmuny.us-east-1.es.amazonaws.com/_plugin/kibana/#/discover/Steve-Slow-Train-Analysis-(2080s-and-2083s)?_g=(refreshInterval:(display:Off,section:0,value:0),time:(from:'2016-12-01 08:24:15-700',mode:absolute,to:'2016-12-01 11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/stypes="*4039*201612011*" /stext=" 17:.+((SYSTEM_STATE.+slice.+state.+changed )|(ment ac)|(multiple cpu faults)|(system.+state.+changed )|(\[timeout)|(PRM\|1\|D)|(kpr)|(kdp)|(\|lc)|(penalty))" /e /r /s</v>
      </c>
      <c r="U26" s="9" t="str">
        <f>MID(B26,13,4)</f>
        <v>4039</v>
      </c>
      <c r="V26" s="36">
        <f>A26-utc_offset/24</f>
        <v>42705.713414351849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{"issue":{"subject":"","project_id":79,"tracker_id":40,"status_id":1,"priority_id":2,"assigned_to_id":23,"start_date":"2016-12-01","description":"","custom_fields":[{"id":1,"name":"Subdivision","value":"EC"},{"id":4,"name":"Milepost","value":"0.0001"},{"id":17,"name":"Train ID","value":"140-01"},{"id":16,"name":"Locomotive ID","value":"4039"},{"id":130,"name":"Impact","value":""},{"id":150,"name":"Time of Event (Mountain Time)","value":"10:07:19"},{"id":151,"name":"Denver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"%USERPROFILE%\AppData\Local\Temp\OnboardLogs"\RTDC4039\*4039*201612011*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"%USERPROFILE%\AppData\Local\Temp\OnboardLogs"\RTDC4039\*4039*201612011* &gt;&gt; 42705-slicedisagreementcheck.txt</v>
      </c>
    </row>
    <row r="27" spans="1:30" x14ac:dyDescent="0.25">
      <c r="A27" s="36">
        <v>42705.525995370372</v>
      </c>
      <c r="B27" s="31" t="s">
        <v>266</v>
      </c>
      <c r="C27" s="31" t="s">
        <v>428</v>
      </c>
      <c r="D27" s="31" t="s">
        <v>49</v>
      </c>
      <c r="E27" s="31" t="s">
        <v>201</v>
      </c>
      <c r="F27" s="47">
        <v>0</v>
      </c>
      <c r="G27" s="47">
        <v>39</v>
      </c>
      <c r="H27" s="47">
        <v>141</v>
      </c>
      <c r="I27" s="47">
        <v>119</v>
      </c>
      <c r="J27" s="31" t="s">
        <v>202</v>
      </c>
      <c r="K27" s="47">
        <v>1</v>
      </c>
      <c r="L27" s="154" t="s">
        <v>51</v>
      </c>
      <c r="M27" s="155">
        <f>CONVERT((I27-K27)/10000,"mi","ft")*IF(L27="Increasing Mileposts (1)",-1,1)</f>
        <v>62.304000000000002</v>
      </c>
      <c r="N27" s="156" t="str">
        <f>VLOOKUP(C27,'Trips&amp;Operators'!$C$1:$G$99999,5,FALSE)</f>
        <v>BONDS REYNALDO</v>
      </c>
      <c r="O27" s="182" t="s">
        <v>240</v>
      </c>
      <c r="P27" s="157" t="s">
        <v>966</v>
      </c>
      <c r="Q27" s="31"/>
      <c r="R27" s="100" t="str">
        <f>VLOOKUP(C27,'Train Runs'!$A$13:$AE$9982,31,0)</f>
        <v>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 &amp; aws s3 cp s3://rtdc.mdm.uploadarchive.raw/RTDC4010/ "%USERPROFILE%\AppData\Local\Temp\OnboardLogs"\RTDC4010\2016-12-02 --exclude "*" --recursive --include "*20161202*" &amp; "%USERPROFILE%\Documents\GitHub\mrs-test-scripts\Headless Mode &amp; Sideloading\WalkAndUnGZ.bat" "%USERPROFILE%\AppData\Local\Temp\OnboardLogs"\RTDC4010\2016-12-02</v>
      </c>
      <c r="S27" s="103" t="str">
        <f>VLOOKUP(C27,'Train Runs'!$A$13:$AE$9982,22,0)</f>
        <v>https://search-rtdc-monitor-bjffxe2xuh6vdkpspy63sjmuny.us-east-1.es.amazonaws.com/_plugin/kibana/#/discover/Steve-Slow-Train-Analysis-(2080s-and-2083s)?_g=(refreshInterval:(display:Off,section:0,value:0),time:(from:'2016-12-01 10:48:20-700',mode:absolute,to:'2016-12-01 13:37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/stypes="*4010*201612011*" /stext=" 19:.+((SYSTEM_STATE.+slice.+state.+changed )|(ment ac)|(multiple cpu faults)|(system.+state.+changed )|(\[timeout)|(PRM\|1\|D)|(kpr)|(kdp)|(\|lc)|(penalty))" /e /r /s</v>
      </c>
      <c r="U27" s="9" t="str">
        <f>MID(B27,13,4)</f>
        <v>4010</v>
      </c>
      <c r="V27" s="36">
        <f>A27-utc_offset/24</f>
        <v>42705.817662037036</v>
      </c>
      <c r="W27" s="50" t="str">
        <f>IF(VALUE(LEFT(IF(LEN(C27)=6,"0"&amp;C27,C27),2))&lt;=2,"EC",IF(OR(VALUE(LEFT(IF(LEN(C27)=6,"0"&amp;C27,C27),2))=8,VALUE(LEFT(IF(LEN(C27)=6,"0"&amp;C27,C27),2))=18),"NW","Other"))</f>
        <v>EC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braking","project_id":79,"tracker_id":40,"status_id":1,"priority_id":2,"assigned_to_id":23,"start_date":"2016-12-01","description":"CPU1 commanded brake, others did not","custom_fields":[{"id":1,"name":"Subdivision","value":"EC"},{"id":4,"name":"Milepost","value":"0.0001"},{"id":17,"name":"Train ID","value":"160-01"},{"id":16,"name":"Locomotive ID","value":"4010"},{"id":130,"name":"Impact","value":"Others"},{"id":150,"name":"Time of Event (Mountain Time)","value":"12:37:26"},{"id":151,"name":"Denver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27" s="53" t="s">
        <v>967</v>
      </c>
      <c r="AA27" s="53" t="s">
        <v>137</v>
      </c>
      <c r="AB27" s="53" t="s">
        <v>174</v>
      </c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"%USERPROFILE%\AppData\Local\Temp\OnboardLogs"\RTDC4010\*4010*201612011*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"%USERPROFILE%\AppData\Local\Temp\OnboardLogs"\RTDC4010\*4010*201612011* &gt;&gt; 42705-slicedisagreementcheck.txt</v>
      </c>
    </row>
    <row r="28" spans="1:30" x14ac:dyDescent="0.25">
      <c r="A28" s="36">
        <v>42705.683622685188</v>
      </c>
      <c r="B28" s="31" t="s">
        <v>248</v>
      </c>
      <c r="C28" s="31" t="s">
        <v>442</v>
      </c>
      <c r="D28" s="31" t="s">
        <v>49</v>
      </c>
      <c r="E28" s="31" t="s">
        <v>201</v>
      </c>
      <c r="F28" s="47">
        <v>0</v>
      </c>
      <c r="G28" s="47">
        <v>23</v>
      </c>
      <c r="H28" s="47">
        <v>880</v>
      </c>
      <c r="I28" s="47">
        <v>871</v>
      </c>
      <c r="J28" s="31" t="s">
        <v>202</v>
      </c>
      <c r="K28" s="47">
        <v>826</v>
      </c>
      <c r="L28" s="154" t="s">
        <v>51</v>
      </c>
      <c r="M28" s="155">
        <f>CONVERT((I28-K28)/10000,"mi","ft")*IF(L28="Increasing Mileposts (1)",-1,1)</f>
        <v>23.76</v>
      </c>
      <c r="N28" s="156" t="str">
        <f>VLOOKUP(C28,'Trips&amp;Operators'!$C$1:$G$99999,5,FALSE)</f>
        <v>SHOOK JOHN</v>
      </c>
      <c r="O28" s="182" t="s">
        <v>196</v>
      </c>
      <c r="P28" s="157"/>
      <c r="Q28" s="31"/>
      <c r="R28" s="100" t="str">
        <f>VLOOKUP(C28,'Train Runs'!$A$13:$AE$9982,31,0)</f>
        <v>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 &amp; aws s3 cp s3://rtdc.mdm.uploadarchive.raw/RTDC4045/ "%USERPROFILE%\AppData\Local\Temp\OnboardLogs"\RTDC4045\2016-12-02 --exclude "*" --recursive --include "*20161202*" &amp; "%USERPROFILE%\Documents\GitHub\mrs-test-scripts\Headless Mode &amp; Sideloading\WalkAndUnGZ.bat" "%USERPROFILE%\AppData\Local\Temp\OnboardLogs"\RTDC4045\2016-12-02</v>
      </c>
      <c r="S28" s="103" t="str">
        <f>VLOOKUP(C28,'Train Runs'!$A$13:$AE$9982,22,0)</f>
        <v>https://search-rtdc-monitor-bjffxe2xuh6vdkpspy63sjmuny.us-east-1.es.amazonaws.com/_plugin/kibana/#/discover/Steve-Slow-Train-Analysis-(2080s-and-2083s)?_g=(refreshInterval:(display:Off,section:0,value:0),time:(from:'2016-12-01 14:28:59-700',mode:absolute,to:'2016-12-01 17:24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/stypes="*4045*201612012*" /stext=" 23:.+((SYSTEM_STATE.+slice.+state.+changed )|(ment ac)|(multiple cpu faults)|(system.+state.+changed )|(\[timeout)|(PRM\|1\|D)|(kpr)|(kdp)|(\|lc)|(penalty))" /e /r /s</v>
      </c>
      <c r="U28" s="9" t="str">
        <f>MID(B28,13,4)</f>
        <v>4045</v>
      </c>
      <c r="V28" s="36">
        <f>A28-utc_offset/24</f>
        <v>42705.975289351853</v>
      </c>
      <c r="W28" s="50" t="str">
        <f>IF(VALUE(LEFT(IF(LEN(C28)=6,"0"&amp;C28,C28),2))&lt;=2,"EC",IF(OR(VALUE(LEFT(IF(LEN(C28)=6,"0"&amp;C28,C28),2))=8,VALUE(LEFT(IF(LEN(C28)=6,"0"&amp;C28,C28),2))=18),"NW","Other"))</f>
        <v>EC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{"issue":{"subject":"","project_id":79,"tracker_id":40,"status_id":1,"priority_id":2,"assigned_to_id":23,"start_date":"2016-12-01","description":"","custom_fields":[{"id":1,"name":"Subdivision","value":"EC"},{"id":4,"name":"Milepost","value":"0.0826"},{"id":17,"name":"Train ID","value":"190-01"},{"id":16,"name":"Locomotive ID","value":"4045"},{"id":130,"name":"Impact","value":""},{"id":150,"name":"Time of Event (Mountain Time)","value":"16:24:25"},{"id":151,"name":"Denver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"%USERPROFILE%\AppData\Local\Temp\OnboardLogs"\RTDC4045\*4045*201612012*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"%USERPROFILE%\AppData\Local\Temp\OnboardLogs"\RTDC4045\*4045*201612012* &gt;&gt; 42705-slicedisagreementcheck.txt</v>
      </c>
    </row>
    <row r="29" spans="1:30" x14ac:dyDescent="0.25">
      <c r="A29" s="36">
        <v>42706.044803240744</v>
      </c>
      <c r="B29" s="31" t="s">
        <v>223</v>
      </c>
      <c r="C29" s="31" t="s">
        <v>455</v>
      </c>
      <c r="D29" s="31" t="s">
        <v>49</v>
      </c>
      <c r="E29" s="31" t="s">
        <v>201</v>
      </c>
      <c r="F29" s="47">
        <v>0</v>
      </c>
      <c r="G29" s="47">
        <v>74</v>
      </c>
      <c r="H29" s="47">
        <v>1158</v>
      </c>
      <c r="I29" s="47">
        <v>1069</v>
      </c>
      <c r="J29" s="31" t="s">
        <v>202</v>
      </c>
      <c r="K29" s="47">
        <v>839</v>
      </c>
      <c r="L29" s="154" t="s">
        <v>51</v>
      </c>
      <c r="M29" s="155">
        <f>CONVERT((I29-K29)/10000,"mi","ft")*IF(L29="Increasing Mileposts (1)",-1,1)</f>
        <v>121.44</v>
      </c>
      <c r="N29" s="156" t="str">
        <f>VLOOKUP(C29,'Trips&amp;Operators'!$C$1:$G$99999,5,FALSE)</f>
        <v>COOLAHAN JOHN</v>
      </c>
      <c r="O29" s="182" t="s">
        <v>196</v>
      </c>
      <c r="P29" s="157"/>
      <c r="Q29" s="31"/>
      <c r="R29" s="100" t="str">
        <f>VLOOKUP(C29,'Train Runs'!$A$13:$AE$9982,31,0)</f>
        <v>aws s3 cp s3://rtdc.mdm.uploadarchive.raw/RTDC4037/ "%USERPROFILE%\AppData\Local\Temp\OnboardLogs"\RTDC4037\2016-12-02 --exclude "*" --recursive --include "*20161202*" &amp; "%USERPROFILE%\Documents\GitHub\mrs-test-scripts\Headless Mode &amp; Sideloading\WalkAndUnGZ.bat" "%USERPROFILE%\AppData\Local\Temp\OnboardLogs"\RTDC4037\2016-12-02 &amp; 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</v>
      </c>
      <c r="S29" s="103" t="str">
        <f>VLOOKUP(C29,'Train Runs'!$A$13:$AE$9982,22,0)</f>
        <v>https://search-rtdc-monitor-bjffxe2xuh6vdkpspy63sjmuny.us-east-1.es.amazonaws.com/_plugin/kibana/#/discover/Steve-Slow-Train-Analysis-(2080s-and-2083s)?_g=(refreshInterval:(display:Off,section:0,value:0),time:(from:'2016-12-01 23:13:16-700',mode:absolute,to:'2016-12-02 02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/stypes="*4037*201612020*" /stext=" 08:.+((SYSTEM_STATE.+slice.+state.+changed )|(ment ac)|(multiple cpu faults)|(system.+state.+changed )|(\[timeout)|(PRM\|1\|D)|(kpr)|(kdp)|(\|lc)|(penalty))" /e /r /s</v>
      </c>
      <c r="U29" s="9" t="str">
        <f>MID(B29,13,4)</f>
        <v>4037</v>
      </c>
      <c r="V29" s="36">
        <f>A29-utc_offset/24</f>
        <v>42706.336469907408</v>
      </c>
      <c r="W29" s="50" t="str">
        <f>IF(VALUE(LEFT(IF(LEN(C29)=6,"0"&amp;C29,C29),2))&lt;=2,"EC",IF(OR(VALUE(LEFT(IF(LEN(C29)=6,"0"&amp;C29,C29),2))=8,VALUE(LEFT(IF(LEN(C29)=6,"0"&amp;C29,C29),2))=18),"NW","Other"))</f>
        <v>EC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{"issue":{"subject":"","project_id":79,"tracker_id":40,"status_id":1,"priority_id":2,"assigned_to_id":23,"start_date":"2016-12-02","description":"","custom_fields":[{"id":1,"name":"Subdivision","value":"EC"},{"id":4,"name":"Milepost","value":"0.0839"},{"id":17,"name":"Train ID","value":"240-01"},{"id":16,"name":"Locomotive ID","value":"4037"},{"id":130,"name":"Impact","value":""},{"id":150,"name":"Time of Event (Mountain Time)","value":"01:04:31"},{"id":151,"name":"Denver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"%USERPROFILE%\AppData\Local\Temp\OnboardLogs"\RTDC4037\*4037*201612020*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"%USERPROFILE%\AppData\Local\Temp\OnboardLogs"\RTDC4037\*4037*201612020* &gt;&gt; 42705-slicedisagreementcheck.txt</v>
      </c>
    </row>
    <row r="30" spans="1:30" ht="15" customHeight="1" x14ac:dyDescent="0.25">
      <c r="A30" s="36">
        <v>42705.160879629628</v>
      </c>
      <c r="B30" s="31" t="s">
        <v>211</v>
      </c>
      <c r="C30" s="31" t="s">
        <v>409</v>
      </c>
      <c r="D30" s="31" t="s">
        <v>49</v>
      </c>
      <c r="E30" s="31" t="s">
        <v>201</v>
      </c>
      <c r="F30" s="47">
        <v>0</v>
      </c>
      <c r="G30" s="47">
        <v>124</v>
      </c>
      <c r="H30" s="47">
        <v>232872</v>
      </c>
      <c r="I30" s="47">
        <v>233347</v>
      </c>
      <c r="J30" s="31" t="s">
        <v>202</v>
      </c>
      <c r="K30" s="47">
        <v>233491</v>
      </c>
      <c r="L30" s="154" t="s">
        <v>50</v>
      </c>
      <c r="M30" s="155">
        <f>CONVERT((I30-K30)/10000,"mi","ft")*IF(L30="Increasing Mileposts (1)",-1,1)</f>
        <v>76.031999999999996</v>
      </c>
      <c r="N30" s="156" t="str">
        <f>VLOOKUP(C30,'Trips&amp;Operators'!$C$1:$G$99999,5,FALSE)</f>
        <v>MAELZER KURT</v>
      </c>
      <c r="O30" s="182" t="s">
        <v>196</v>
      </c>
      <c r="P30" s="157"/>
      <c r="Q30" s="31"/>
      <c r="R30" s="100" t="str">
        <f>VLOOKUP(C30,'Train Runs'!$A$13:$AE$9982,31,0)</f>
        <v>aws s3 cp s3://rtdc.mdm.uploadarchive.raw/RTDC4040/ "%USERPROFILE%\AppData\Local\Temp\OnboardLogs"\RTDC4040\2016-12-01 --exclude "*" --recursive --include "*20161201*" &amp; "%USERPROFILE%\Documents\GitHub\mrs-test-scripts\Headless Mode &amp; Sideloading\WalkAndUnGZ.bat" "%USERPROFILE%\AppData\Local\Temp\OnboardLogs"\RTDC4040\2016-12-01 &amp; aws s3 cp s3://rtdc.mdm.uploadarchive.raw/RTDC4040/ "%USERPROFILE%\AppData\Local\Temp\OnboardLogs"\RTDC4040\2016-12-02 --exclude "*" --recursive --include "*20161202*" &amp; "%USERPROFILE%\Documents\GitHub\mrs-test-scripts\Headless Mode &amp; Sideloading\WalkAndUnGZ.bat" "%USERPROFILE%\AppData\Local\Temp\OnboardLogs"\RTDC4040\2016-12-02</v>
      </c>
      <c r="S30" s="103" t="str">
        <f>VLOOKUP(C30,'Train Runs'!$A$13:$AE$9982,22,0)</f>
        <v>https://search-rtdc-monitor-bjffxe2xuh6vdkpspy63sjmuny.us-east-1.es.amazonaws.com/_plugin/kibana/#/discover/Steve-Slow-Train-Analysis-(2080s-and-2083s)?_g=(refreshInterval:(display:Off,section:0,value:0),time:(from:'2016-12-01 02:02:44-700',mode:absolute,to:'2016-12-01 04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/stypes="*4040*201612011*" /stext=" 10:.+((SYSTEM_STATE.+slice.+state.+changed )|(ment ac)|(multiple cpu faults)|(system.+state.+changed )|(\[timeout)|(PRM\|1\|D)|(kpr)|(kdp)|(\|lc)|(penalty))" /e /r /s</v>
      </c>
      <c r="U30" s="9" t="str">
        <f>MID(B30,13,4)</f>
        <v>4040</v>
      </c>
      <c r="V30" s="36">
        <f>A30-utc_offset/24</f>
        <v>42705.452546296292</v>
      </c>
      <c r="W30" s="50" t="str">
        <f>IF(VALUE(LEFT(IF(LEN(C30)=6,"0"&amp;C30,C30),2))&lt;=2,"EC",IF(OR(VALUE(LEFT(IF(LEN(C30)=6,"0"&amp;C30,C30),2))=8,VALUE(LEFT(IF(LEN(C30)=6,"0"&amp;C30,C30),2))=18),"NW","Other"))</f>
        <v>EC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{"issue":{"subject":"","project_id":79,"tracker_id":40,"status_id":1,"priority_id":2,"assigned_to_id":23,"start_date":"2016-12-01","description":"","custom_fields":[{"id":1,"name":"Subdivision","value":"EC"},{"id":4,"name":"Milepost","value":"23.3491"},{"id":17,"name":"Train ID","value":"101-01"},{"id":16,"name":"Locomotive ID","value":"4040"},{"id":130,"name":"Impact","value":""},{"id":150,"name":"Time of Event (Mountain Time)","value":"03:51:40"},{"id":151,"name":"Denver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"%USERPROFILE%\AppData\Local\Temp\OnboardLogs"\RTDC4040\*4040*201612011*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"%USERPROFILE%\AppData\Local\Temp\OnboardLogs"\RTDC4040\*4040*201612011* &gt;&gt; 42705-slicedisagreementcheck.txt</v>
      </c>
    </row>
    <row r="31" spans="1:30" ht="15" customHeight="1" x14ac:dyDescent="0.25">
      <c r="A31" s="36">
        <v>42705.608229166668</v>
      </c>
      <c r="B31" s="31" t="s">
        <v>297</v>
      </c>
      <c r="C31" s="31" t="s">
        <v>433</v>
      </c>
      <c r="D31" s="31" t="s">
        <v>49</v>
      </c>
      <c r="E31" s="31" t="s">
        <v>201</v>
      </c>
      <c r="F31" s="47">
        <v>0</v>
      </c>
      <c r="G31" s="47">
        <v>89</v>
      </c>
      <c r="H31" s="47">
        <v>233198</v>
      </c>
      <c r="I31" s="47">
        <v>233302</v>
      </c>
      <c r="J31" s="31" t="s">
        <v>202</v>
      </c>
      <c r="K31" s="47">
        <v>233491</v>
      </c>
      <c r="L31" s="154" t="s">
        <v>50</v>
      </c>
      <c r="M31" s="155">
        <f>CONVERT((I31-K31)/10000,"mi","ft")*IF(L31="Increasing Mileposts (1)",-1,1)</f>
        <v>99.792000000000002</v>
      </c>
      <c r="N31" s="156" t="str">
        <f>VLOOKUP(C31,'Trips&amp;Operators'!$C$1:$G$99999,5,FALSE)</f>
        <v>ADANE ELSHADAY</v>
      </c>
      <c r="O31" s="182" t="s">
        <v>196</v>
      </c>
      <c r="P31" s="157"/>
      <c r="Q31" s="31"/>
      <c r="R31" s="100" t="str">
        <f>VLOOKUP(C31,'Train Runs'!$A$13:$AE$9982,31,0)</f>
        <v>aws s3 cp s3://rtdc.mdm.uploadarchive.raw/RTDC4016/ "%USERPROFILE%\AppData\Local\Temp\OnboardLogs"\RTDC4016\2016-12-01 --exclude "*" --recursive --include "*20161201*" &amp; "%USERPROFILE%\Documents\GitHub\mrs-test-scripts\Headless Mode &amp; Sideloading\WalkAndUnGZ.bat" "%USERPROFILE%\AppData\Local\Temp\OnboardLogs"\RTDC4016\2016-12-01 &amp; aws s3 cp s3://rtdc.mdm.uploadarchive.raw/RTDC4016/ "%USERPROFILE%\AppData\Local\Temp\OnboardLogs"\RTDC4016\2016-12-02 --exclude "*" --recursive --include "*20161202*" &amp; "%USERPROFILE%\Documents\GitHub\mrs-test-scripts\Headless Mode &amp; Sideloading\WalkAndUnGZ.bat" "%USERPROFILE%\AppData\Local\Temp\OnboardLogs"\RTDC4016\2016-12-02</v>
      </c>
      <c r="S31" s="103" t="str">
        <f>VLOOKUP(C31,'Train Runs'!$A$13:$AE$9982,22,0)</f>
        <v>https://search-rtdc-monitor-bjffxe2xuh6vdkpspy63sjmuny.us-east-1.es.amazonaws.com/_plugin/kibana/#/discover/Steve-Slow-Train-Analysis-(2080s-and-2083s)?_g=(refreshInterval:(display:Off,section:0,value:0),time:(from:'2016-12-01 12:55:20-700',mode:absolute,to:'2016-12-01 15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/stypes="*4016*201612012*" /stext=" 21:.+((SYSTEM_STATE.+slice.+state.+changed )|(ment ac)|(multiple cpu faults)|(system.+state.+changed )|(\[timeout)|(PRM\|1\|D)|(kpr)|(kdp)|(\|lc)|(penalty))" /e /r /s</v>
      </c>
      <c r="U31" s="9" t="str">
        <f>MID(B31,13,4)</f>
        <v>4016</v>
      </c>
      <c r="V31" s="36">
        <f>A31-utc_offset/24</f>
        <v>42705.899895833332</v>
      </c>
      <c r="W31" s="50" t="str">
        <f>IF(VALUE(LEFT(IF(LEN(C31)=6,"0"&amp;C31,C31),2))&lt;=2,"EC",IF(OR(VALUE(LEFT(IF(LEN(C31)=6,"0"&amp;C31,C31),2))=8,VALUE(LEFT(IF(LEN(C31)=6,"0"&amp;C31,C31),2))=18),"NW","Other"))</f>
        <v>EC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{"issue":{"subject":"","project_id":79,"tracker_id":40,"status_id":1,"priority_id":2,"assigned_to_id":23,"start_date":"2016-12-01","description":"","custom_fields":[{"id":1,"name":"Subdivision","value":"EC"},{"id":4,"name":"Milepost","value":"23.3491"},{"id":17,"name":"Train ID","value":"183-01"},{"id":16,"name":"Locomotive ID","value":"4016"},{"id":130,"name":"Impact","value":""},{"id":150,"name":"Time of Event (Mountain Time)","value":"14:35:51"},{"id":151,"name":"Denver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"%USERPROFILE%\AppData\Local\Temp\OnboardLogs"\RTDC4016\*4016*201612012*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"%USERPROFILE%\AppData\Local\Temp\OnboardLogs"\RTDC4016\*4016*201612012* &gt;&gt; 42705-slicedisagreementcheck.txt</v>
      </c>
    </row>
    <row r="32" spans="1:30" x14ac:dyDescent="0.25">
      <c r="A32" s="36">
        <v>42705.661215277774</v>
      </c>
      <c r="B32" s="31" t="s">
        <v>308</v>
      </c>
      <c r="C32" s="31" t="s">
        <v>441</v>
      </c>
      <c r="D32" s="31" t="s">
        <v>49</v>
      </c>
      <c r="E32" s="31" t="s">
        <v>201</v>
      </c>
      <c r="F32" s="47">
        <v>0</v>
      </c>
      <c r="G32" s="47">
        <v>66</v>
      </c>
      <c r="H32" s="47">
        <v>233253</v>
      </c>
      <c r="I32" s="47">
        <v>233320</v>
      </c>
      <c r="J32" s="31" t="s">
        <v>202</v>
      </c>
      <c r="K32" s="47">
        <v>233491</v>
      </c>
      <c r="L32" s="154" t="s">
        <v>50</v>
      </c>
      <c r="M32" s="155">
        <f>CONVERT((I32-K32)/10000,"mi","ft")*IF(L32="Increasing Mileposts (1)",-1,1)</f>
        <v>90.287999999999997</v>
      </c>
      <c r="N32" s="156" t="str">
        <f>VLOOKUP(C32,'Trips&amp;Operators'!$C$1:$G$99999,5,FALSE)</f>
        <v>BROWN JACOB</v>
      </c>
      <c r="O32" s="182" t="s">
        <v>196</v>
      </c>
      <c r="P32" s="157"/>
      <c r="Q32" s="31"/>
      <c r="R32" s="100" t="str">
        <f>VLOOKUP(C32,'Train Runs'!$A$13:$AE$9982,31,0)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S32" s="103" t="str">
        <f>VLOOKUP(C32,'Train Runs'!$A$13:$AE$9982,22,0)</f>
        <v>https://search-rtdc-monitor-bjffxe2xuh6vdkpspy63sjmuny.us-east-1.es.amazonaws.com/_plugin/kibana/#/discover/Steve-Slow-Train-Analysis-(2080s-and-2083s)?_g=(refreshInterval:(display:Off,section:0,value:0),time:(from:'2016-12-01 14:10:19-700',mode:absolute,to:'2016-12-01 16:52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/stypes="*4007*201612012*" /stext=" 22:.+((SYSTEM_STATE.+slice.+state.+changed )|(ment ac)|(multiple cpu faults)|(system.+state.+changed )|(\[timeout)|(PRM\|1\|D)|(kpr)|(kdp)|(\|lc)|(penalty))" /e /r /s</v>
      </c>
      <c r="U32" s="9" t="str">
        <f>MID(B32,13,4)</f>
        <v>4007</v>
      </c>
      <c r="V32" s="36">
        <f>A32-utc_offset/24</f>
        <v>42705.952881944439</v>
      </c>
      <c r="W32" s="50" t="str">
        <f>IF(VALUE(LEFT(IF(LEN(C32)=6,"0"&amp;C32,C32),2))&lt;=2,"EC",IF(OR(VALUE(LEFT(IF(LEN(C32)=6,"0"&amp;C32,C32),2))=8,VALUE(LEFT(IF(LEN(C32)=6,"0"&amp;C32,C32),2))=18),"NW","Other"))</f>
        <v>EC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{"issue":{"subject":"","project_id":79,"tracker_id":40,"status_id":1,"priority_id":2,"assigned_to_id":23,"start_date":"2016-12-01","description":"","custom_fields":[{"id":1,"name":"Subdivision","value":"EC"},{"id":4,"name":"Milepost","value":"23.3491"},{"id":17,"name":"Train ID","value":"193-01"},{"id":16,"name":"Locomotive ID","value":"4007"},{"id":130,"name":"Impact","value":""},{"id":150,"name":"Time of Event (Mountain Time)","value":"15:52:09"},{"id":151,"name":"Denver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"%USERPROFILE%\AppData\Local\Temp\OnboardLogs"\RTDC4007\*4007*201612012*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"%USERPROFILE%\AppData\Local\Temp\OnboardLogs"\RTDC4007\*4007*201612012* &gt;&gt; 42705-slicedisagreementcheck.txt</v>
      </c>
    </row>
    <row r="33" spans="1:30" x14ac:dyDescent="0.25">
      <c r="A33" s="36">
        <v>42705.785081018519</v>
      </c>
      <c r="B33" s="31" t="s">
        <v>246</v>
      </c>
      <c r="C33" s="31" t="s">
        <v>448</v>
      </c>
      <c r="D33" s="31" t="s">
        <v>49</v>
      </c>
      <c r="E33" s="31" t="s">
        <v>201</v>
      </c>
      <c r="F33" s="47">
        <v>0</v>
      </c>
      <c r="G33" s="47">
        <v>42</v>
      </c>
      <c r="H33" s="47">
        <v>233349</v>
      </c>
      <c r="I33" s="47">
        <v>233374</v>
      </c>
      <c r="J33" s="31" t="s">
        <v>202</v>
      </c>
      <c r="K33" s="47">
        <v>233491</v>
      </c>
      <c r="L33" s="154" t="s">
        <v>50</v>
      </c>
      <c r="M33" s="155">
        <f>CONVERT((I33-K33)/10000,"mi","ft")*IF(L33="Increasing Mileposts (1)",-1,1)</f>
        <v>61.776000000000003</v>
      </c>
      <c r="N33" s="156" t="str">
        <f>VLOOKUP(C33,'Trips&amp;Operators'!$C$1:$G$99999,5,FALSE)</f>
        <v>LEVIN SCOTT</v>
      </c>
      <c r="O33" s="182" t="s">
        <v>196</v>
      </c>
      <c r="P33" s="157"/>
      <c r="Q33" s="31"/>
      <c r="R33" s="100" t="str">
        <f>VLOOKUP(C33,'Train Runs'!$A$13:$AE$9982,31,0)</f>
        <v>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 &amp; aws s3 cp s3://rtdc.mdm.uploadarchive.raw/RTDC4031/ "%USERPROFILE%\AppData\Local\Temp\OnboardLogs"\RTDC4031\2016-12-02 --exclude "*" --recursive --include "*20161202*" &amp; "%USERPROFILE%\Documents\GitHub\mrs-test-scripts\Headless Mode &amp; Sideloading\WalkAndUnGZ.bat" "%USERPROFILE%\AppData\Local\Temp\OnboardLogs"\RTDC4031\2016-12-02</v>
      </c>
      <c r="S33" s="103" t="str">
        <f>VLOOKUP(C33,'Train Runs'!$A$13:$AE$9982,22,0)</f>
        <v>https://search-rtdc-monitor-bjffxe2xuh6vdkpspy63sjmuny.us-east-1.es.amazonaws.com/_plugin/kibana/#/discover/Steve-Slow-Train-Analysis-(2080s-and-2083s)?_g=(refreshInterval:(display:Off,section:0,value:0),time:(from:'2016-12-01 17:07:39-700',mode:absolute,to:'2016-12-01 19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/stypes="*4031*201612020*" /stext=" 01:.+((SYSTEM_STATE.+slice.+state.+changed )|(ment ac)|(multiple cpu faults)|(system.+state.+changed )|(\[timeout)|(PRM\|1\|D)|(kpr)|(kdp)|(\|lc)|(penalty))" /e /r /s</v>
      </c>
      <c r="U33" s="9" t="str">
        <f>MID(B33,13,4)</f>
        <v>4031</v>
      </c>
      <c r="V33" s="36">
        <f>A33-utc_offset/24</f>
        <v>42706.076747685183</v>
      </c>
      <c r="W33" s="50" t="str">
        <f>IF(VALUE(LEFT(IF(LEN(C33)=6,"0"&amp;C33,C33),2))&lt;=2,"EC",IF(OR(VALUE(LEFT(IF(LEN(C33)=6,"0"&amp;C33,C33),2))=8,VALUE(LEFT(IF(LEN(C33)=6,"0"&amp;C33,C33),2))=18),"NW","Other"))</f>
        <v>EC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{"issue":{"subject":"","project_id":79,"tracker_id":40,"status_id":1,"priority_id":2,"assigned_to_id":23,"start_date":"2016-12-01","description":"","custom_fields":[{"id":1,"name":"Subdivision","value":"EC"},{"id":4,"name":"Milepost","value":"23.3491"},{"id":17,"name":"Train ID","value":"217-01"},{"id":16,"name":"Locomotive ID","value":"4031"},{"id":130,"name":"Impact","value":""},{"id":150,"name":"Time of Event (Mountain Time)","value":"18:50:31"},{"id":151,"name":"Denver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"%USERPROFILE%\AppData\Local\Temp\OnboardLogs"\RTDC4031\*4031*201612020*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"%USERPROFILE%\AppData\Local\Temp\OnboardLogs"\RTDC4031\*4031*201612020* &gt;&gt; 42705-slicedisagreementcheck.txt</v>
      </c>
    </row>
    <row r="34" spans="1:30" x14ac:dyDescent="0.25">
      <c r="A34" s="36">
        <v>42705.576724537037</v>
      </c>
      <c r="B34" s="31" t="s">
        <v>263</v>
      </c>
      <c r="C34" s="31" t="s">
        <v>431</v>
      </c>
      <c r="D34" s="31" t="s">
        <v>49</v>
      </c>
      <c r="E34" s="31" t="s">
        <v>328</v>
      </c>
      <c r="F34" s="47">
        <v>320</v>
      </c>
      <c r="G34" s="47">
        <v>472</v>
      </c>
      <c r="H34" s="47">
        <v>17547</v>
      </c>
      <c r="I34" s="47">
        <v>16007</v>
      </c>
      <c r="J34" s="31" t="s">
        <v>329</v>
      </c>
      <c r="K34" s="47">
        <v>15777</v>
      </c>
      <c r="L34" s="154" t="s">
        <v>51</v>
      </c>
      <c r="M34" s="155">
        <f>CONVERT((I34-K34)/10000,"mi","ft")*IF(L34="Increasing Mileposts (1)",-1,1)</f>
        <v>121.44</v>
      </c>
      <c r="N34" s="156" t="str">
        <f>VLOOKUP(C34,'Trips&amp;Operators'!$C$1:$G$99999,5,FALSE)</f>
        <v>DAVIDSON DAVID</v>
      </c>
      <c r="O34" s="182" t="s">
        <v>240</v>
      </c>
      <c r="P34" s="157" t="s">
        <v>868</v>
      </c>
      <c r="Q34" s="31"/>
      <c r="R34" s="100" t="str">
        <f>VLOOKUP(C34,'Train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34" s="103" t="str">
        <f>VLOOKUP(C34,'Train Runs'!$A$13:$AE$9982,22,0)</f>
        <v>https://search-rtdc-monitor-bjffxe2xuh6vdkpspy63sjmuny.us-east-1.es.amazonaws.com/_plugin/kibana/#/discover/Steve-Slow-Train-Analysis-(2080s-and-2083s)?_g=(refreshInterval:(display:Off,section:0,value:0),time:(from:'2016-12-01 12:38:14-700',mode:absolute,to:'2016-12-01 14:58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/stypes="*4004*201612012*" /stext=" 20:.+((SYSTEM_STATE.+slice.+state.+changed )|(ment ac)|(multiple cpu faults)|(system.+state.+changed )|(\[timeout)|(PRM\|1\|D)|(kpr)|(kdp)|(\|lc)|(penalty))" /e /r /s</v>
      </c>
      <c r="U34" s="9" t="str">
        <f>MID(B34,13,4)</f>
        <v>4004</v>
      </c>
      <c r="V34" s="36">
        <f>A34-utc_offset/24</f>
        <v>42705.868391203701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{"issue":{"subject":"Early arrival (41st)","project_id":79,"tracker_id":40,"status_id":1,"priority_id":2,"assigned_to_id":23,"start_date":"2016-12-01","description":"","custom_fields":[{"id":1,"name":"Subdivision","value":"NW"},{"id":4,"name":"Milepost","value":"1.5777"},{"id":17,"name":"Train ID","value":"822-01"},{"id":16,"name":"Locomotive ID","value":"4004"},{"id":130,"name":"Impact","value":""},{"id":150,"name":"Time of Event (Mountain Time)","value":"13:50:29"},{"id":151,"name":"Denver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"%USERPROFILE%\AppData\Local\Temp\OnboardLogs"\RTDC4004\*4004*201612012*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"%USERPROFILE%\AppData\Local\Temp\OnboardLogs"\RTDC4004\*4004*201612012* &gt;&gt; 42705-slicedisagreementcheck.txt</v>
      </c>
    </row>
    <row r="35" spans="1:30" x14ac:dyDescent="0.25">
      <c r="A35" s="36">
        <v>42705.439398148148</v>
      </c>
      <c r="B35" s="31" t="s">
        <v>262</v>
      </c>
      <c r="C35" s="31" t="s">
        <v>422</v>
      </c>
      <c r="D35" s="31" t="s">
        <v>98</v>
      </c>
      <c r="E35" s="31" t="s">
        <v>197</v>
      </c>
      <c r="F35" s="47">
        <v>450</v>
      </c>
      <c r="G35" s="47">
        <v>505</v>
      </c>
      <c r="H35" s="47">
        <v>14694</v>
      </c>
      <c r="I35" s="47">
        <v>16688</v>
      </c>
      <c r="J35" s="31" t="s">
        <v>198</v>
      </c>
      <c r="K35" s="47">
        <v>13572</v>
      </c>
      <c r="L35" s="154" t="s">
        <v>50</v>
      </c>
      <c r="M35" s="155">
        <f>CONVERT((I35-K35)/10000,"mi","ft")*IF(L35="Increasing Mileposts (1)",-1,1)</f>
        <v>-1645.248</v>
      </c>
      <c r="N35" s="156" t="str">
        <f>VLOOKUP(C35,'Trips&amp;Operators'!$C$1:$G$99999,5,FALSE)</f>
        <v>ISHMAEL JOSEPH</v>
      </c>
      <c r="O35" s="182" t="s">
        <v>196</v>
      </c>
      <c r="P35" s="157"/>
      <c r="Q35" s="31"/>
      <c r="R35" s="100" t="str">
        <f>VLOOKUP(C35,'Train Runs'!$A$13:$AE$9982,31,0)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S35" s="103" t="str">
        <f>VLOOKUP(C35,'Train Runs'!$A$13:$AE$9982,22,0)</f>
        <v>https://search-rtdc-monitor-bjffxe2xuh6vdkpspy63sjmuny.us-east-1.es.amazonaws.com/_plugin/kibana/#/discover/Steve-Slow-Train-Analysis-(2080s-and-2083s)?_g=(refreshInterval:(display:Off,section:0,value:0),time:(from:'2016-12-01 08:58:50-700',mode:absolute,to:'2016-12-01 11:42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/stypes="*4003*201612011*" /stext=" 17:.+((SYSTEM_STATE.+slice.+state.+changed )|(ment ac)|(multiple cpu faults)|(system.+state.+changed )|(\[timeout)|(PRM\|1\|D)|(kpr)|(kdp)|(\|lc)|(penalty))" /e /r /s</v>
      </c>
      <c r="U35" s="9" t="str">
        <f>MID(B35,13,4)</f>
        <v>4003</v>
      </c>
      <c r="V35" s="36">
        <f>A35-utc_offset/24</f>
        <v>42705.731064814812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{"issue":{"subject":"","project_id":79,"tracker_id":40,"status_id":1,"priority_id":2,"assigned_to_id":23,"start_date":"2016-12-01","description":"","custom_fields":[{"id":1,"name":"Subdivision","value":"NW"},{"id":4,"name":"Milepost","value":"1.3572"},{"id":17,"name":"Train ID","value":"815-01"},{"id":16,"name":"Locomotive ID","value":"4003"},{"id":130,"name":"Impact","value":""},{"id":150,"name":"Time of Event (Mountain Time)","value":"10:32:44"},{"id":151,"name":"Denver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"%USERPROFILE%\AppData\Local\Temp\OnboardLogs"\RTDC4003\*4003*201612011*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"%USERPROFILE%\AppData\Local\Temp\OnboardLogs"\RTDC4003\*4003*201612011* &gt;&gt; 42705-slicedisagreementcheck.txt</v>
      </c>
    </row>
    <row r="36" spans="1:30" x14ac:dyDescent="0.25">
      <c r="A36" s="36">
        <v>42705.560208333336</v>
      </c>
      <c r="B36" s="31" t="s">
        <v>262</v>
      </c>
      <c r="C36" s="31" t="s">
        <v>430</v>
      </c>
      <c r="D36" s="31" t="s">
        <v>49</v>
      </c>
      <c r="E36" s="31" t="s">
        <v>197</v>
      </c>
      <c r="F36" s="47">
        <v>300</v>
      </c>
      <c r="G36" s="47">
        <v>354</v>
      </c>
      <c r="H36" s="47">
        <v>20839</v>
      </c>
      <c r="I36" s="47">
        <v>21839</v>
      </c>
      <c r="J36" s="31" t="s">
        <v>198</v>
      </c>
      <c r="K36" s="47">
        <v>21299</v>
      </c>
      <c r="L36" s="154" t="s">
        <v>50</v>
      </c>
      <c r="M36" s="155">
        <f>CONVERT((I36-K36)/10000,"mi","ft")*IF(L36="Increasing Mileposts (1)",-1,1)</f>
        <v>-285.12</v>
      </c>
      <c r="N36" s="156" t="str">
        <f>VLOOKUP(C36,'Trips&amp;Operators'!$C$1:$G$99999,5,FALSE)</f>
        <v>DAVIDSON DAVID</v>
      </c>
      <c r="O36" s="182" t="s">
        <v>196</v>
      </c>
      <c r="P36" s="157"/>
      <c r="Q36" s="31"/>
      <c r="R36" s="100" t="str">
        <f>VLOOKUP(C36,'Train Runs'!$A$13:$AE$9982,31,0)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S36" s="103" t="str">
        <f>VLOOKUP(C36,'Train Runs'!$A$13:$AE$9982,22,0)</f>
        <v>https://search-rtdc-monitor-bjffxe2xuh6vdkpspy63sjmuny.us-east-1.es.amazonaws.com/_plugin/kibana/#/discover/Steve-Slow-Train-Analysis-(2080s-and-2083s)?_g=(refreshInterval:(display:Off,section:0,value:0),time:(from:'2016-12-01 12:12:35-700',mode:absolute,to:'2016-12-01 14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/stypes="*4003*201612012*" /stext=" 20:.+((SYSTEM_STATE.+slice.+state.+changed )|(ment ac)|(multiple cpu faults)|(system.+state.+changed )|(\[timeout)|(PRM\|1\|D)|(kpr)|(kdp)|(\|lc)|(penalty))" /e /r /s</v>
      </c>
      <c r="U36" s="9" t="str">
        <f>MID(B36,13,4)</f>
        <v>4003</v>
      </c>
      <c r="V36" s="36">
        <f>A36-utc_offset/24</f>
        <v>42705.851875</v>
      </c>
      <c r="W36" s="50" t="str">
        <f>IF(VALUE(LEFT(IF(LEN(C36)=6,"0"&amp;C36,C36),2))&lt;=2,"EC",IF(OR(VALUE(LEFT(IF(LEN(C36)=6,"0"&amp;C36,C36),2))=8,VALUE(LEFT(IF(LEN(C36)=6,"0"&amp;C36,C36),2))=18),"NW","Other"))</f>
        <v>NW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{"issue":{"subject":"","project_id":79,"tracker_id":40,"status_id":1,"priority_id":2,"assigned_to_id":23,"start_date":"2016-12-01","description":"","custom_fields":[{"id":1,"name":"Subdivision","value":"NW"},{"id":4,"name":"Milepost","value":"2.1299"},{"id":17,"name":"Train ID","value":"821-01"},{"id":16,"name":"Locomotive ID","value":"4003"},{"id":130,"name":"Impact","value":""},{"id":150,"name":"Time of Event (Mountain Time)","value":"13:26:42"},{"id":151,"name":"Denver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"%USERPROFILE%\AppData\Local\Temp\OnboardLogs"\RTDC4003\*4003*201612012*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"%USERPROFILE%\AppData\Local\Temp\OnboardLogs"\RTDC4003\*4003*201612012* &gt;&gt; 42705-slicedisagreementcheck.txt</v>
      </c>
    </row>
    <row r="37" spans="1:30" x14ac:dyDescent="0.25">
      <c r="A37" s="36">
        <v>42705.452638888892</v>
      </c>
      <c r="B37" s="31" t="s">
        <v>263</v>
      </c>
      <c r="C37" s="31" t="s">
        <v>423</v>
      </c>
      <c r="D37" s="31" t="s">
        <v>98</v>
      </c>
      <c r="E37" s="31" t="s">
        <v>197</v>
      </c>
      <c r="F37" s="47">
        <v>600</v>
      </c>
      <c r="G37" s="47">
        <v>654</v>
      </c>
      <c r="H37" s="47">
        <v>31093</v>
      </c>
      <c r="I37" s="47">
        <v>27913</v>
      </c>
      <c r="J37" s="31" t="s">
        <v>198</v>
      </c>
      <c r="K37" s="47">
        <v>36535</v>
      </c>
      <c r="L37" s="154" t="s">
        <v>51</v>
      </c>
      <c r="M37" s="155">
        <f>CONVERT((I37-K37)/10000,"mi","ft")*IF(L37="Increasing Mileposts (1)",-1,1)</f>
        <v>-4552.4160000000002</v>
      </c>
      <c r="N37" s="156" t="str">
        <f>VLOOKUP(C37,'Trips&amp;Operators'!$C$1:$G$99999,5,FALSE)</f>
        <v>ISHMAEL JOSEPH</v>
      </c>
      <c r="O37" s="182" t="s">
        <v>196</v>
      </c>
      <c r="P37" s="157"/>
      <c r="Q37" s="31"/>
      <c r="R37" s="100" t="str">
        <f>VLOOKUP(C37,'Train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37" s="103" t="str">
        <f>VLOOKUP(C37,'Train Runs'!$A$13:$AE$9982,22,0)</f>
        <v>https://search-rtdc-monitor-bjffxe2xuh6vdkpspy63sjmuny.us-east-1.es.amazonaws.com/_plugin/kibana/#/discover/Steve-Slow-Train-Analysis-(2080s-and-2083s)?_g=(refreshInterval:(display:Off,section:0,value:0),time:(from:'2016-12-01 09:43:44-700',mode:absolute,to:'2016-12-01 12:00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/stypes="*4004*201612011*" /stext=" 17:.+((SYSTEM_STATE.+slice.+state.+changed )|(ment ac)|(multiple cpu faults)|(system.+state.+changed )|(\[timeout)|(PRM\|1\|D)|(kpr)|(kdp)|(\|lc)|(penalty))" /e /r /s</v>
      </c>
      <c r="U37" s="9" t="str">
        <f>MID(B37,13,4)</f>
        <v>4004</v>
      </c>
      <c r="V37" s="36">
        <f>A37-utc_offset/24</f>
        <v>42705.744305555556</v>
      </c>
      <c r="W37" s="50" t="str">
        <f>IF(VALUE(LEFT(IF(LEN(C37)=6,"0"&amp;C37,C37),2))&lt;=2,"EC",IF(OR(VALUE(LEFT(IF(LEN(C37)=6,"0"&amp;C37,C37),2))=8,VALUE(LEFT(IF(LEN(C37)=6,"0"&amp;C37,C37),2))=18),"NW","Other"))</f>
        <v>NW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{"issue":{"subject":"","project_id":79,"tracker_id":40,"status_id":1,"priority_id":2,"assigned_to_id":23,"start_date":"2016-12-01","description":"","custom_fields":[{"id":1,"name":"Subdivision","value":"NW"},{"id":4,"name":"Milepost","value":"3.6535"},{"id":17,"name":"Train ID","value":"816-01"},{"id":16,"name":"Locomotive ID","value":"4004"},{"id":130,"name":"Impact","value":""},{"id":150,"name":"Time of Event (Mountain Time)","value":"10:51:48"},{"id":151,"name":"Denver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"%USERPROFILE%\AppData\Local\Temp\OnboardLogs"\RTDC4004\*4004*201612011*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"%USERPROFILE%\AppData\Local\Temp\OnboardLogs"\RTDC4004\*4004*201612011* &gt;&gt; 42705-slicedisagreementcheck.txt</v>
      </c>
    </row>
    <row r="38" spans="1:30" x14ac:dyDescent="0.25">
      <c r="A38" s="36">
        <v>42705.407557870371</v>
      </c>
      <c r="B38" s="31" t="s">
        <v>263</v>
      </c>
      <c r="C38" s="31" t="s">
        <v>419</v>
      </c>
      <c r="D38" s="31" t="s">
        <v>98</v>
      </c>
      <c r="E38" s="31" t="s">
        <v>197</v>
      </c>
      <c r="F38" s="47">
        <v>400</v>
      </c>
      <c r="G38" s="47">
        <v>451</v>
      </c>
      <c r="H38" s="47">
        <v>39017</v>
      </c>
      <c r="I38" s="47">
        <v>37828</v>
      </c>
      <c r="J38" s="31" t="s">
        <v>198</v>
      </c>
      <c r="K38" s="47">
        <v>40977</v>
      </c>
      <c r="L38" s="154" t="s">
        <v>51</v>
      </c>
      <c r="M38" s="155">
        <f>CONVERT((I38-K38)/10000,"mi","ft")*IF(L38="Increasing Mileposts (1)",-1,1)</f>
        <v>-1662.672</v>
      </c>
      <c r="N38" s="156" t="str">
        <f>VLOOKUP(C38,'Trips&amp;Operators'!$C$1:$G$99999,5,FALSE)</f>
        <v>ISHMAEL JOSEPH</v>
      </c>
      <c r="O38" s="182" t="s">
        <v>196</v>
      </c>
      <c r="P38" s="157"/>
      <c r="Q38" s="31"/>
      <c r="R38" s="100" t="str">
        <f>VLOOKUP(C38,'Train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38" s="103" t="str">
        <f>VLOOKUP(C38,'Train Runs'!$A$13:$AE$9982,22,0)</f>
        <v>https://search-rtdc-monitor-bjffxe2xuh6vdkpspy63sjmuny.us-east-1.es.amazonaws.com/_plugin/kibana/#/discover/Steve-Slow-Train-Analysis-(2080s-and-2083s)?_g=(refreshInterval:(display:Off,section:0,value:0),time:(from:'2016-12-01 08:35:51-700',mode:absolute,to:'2016-12-01 10:56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/stypes="*4004*201612011*" /stext=" 16:.+((SYSTEM_STATE.+slice.+state.+changed )|(ment ac)|(multiple cpu faults)|(system.+state.+changed )|(\[timeout)|(PRM\|1\|D)|(kpr)|(kdp)|(\|lc)|(penalty))" /e /r /s</v>
      </c>
      <c r="U38" s="9" t="str">
        <f>MID(B38,13,4)</f>
        <v>4004</v>
      </c>
      <c r="V38" s="36">
        <f>A38-utc_offset/24</f>
        <v>42705.699224537035</v>
      </c>
      <c r="W38" s="50" t="str">
        <f>IF(VALUE(LEFT(IF(LEN(C38)=6,"0"&amp;C38,C38),2))&lt;=2,"EC",IF(OR(VALUE(LEFT(IF(LEN(C38)=6,"0"&amp;C38,C38),2))=8,VALUE(LEFT(IF(LEN(C38)=6,"0"&amp;C38,C38),2))=18),"NW","Other"))</f>
        <v>NW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{"issue":{"subject":"","project_id":79,"tracker_id":40,"status_id":1,"priority_id":2,"assigned_to_id":23,"start_date":"2016-12-01","description":"","custom_fields":[{"id":1,"name":"Subdivision","value":"NW"},{"id":4,"name":"Milepost","value":"4.0977"},{"id":17,"name":"Train ID","value":"814-01"},{"id":16,"name":"Locomotive ID","value":"4004"},{"id":130,"name":"Impact","value":""},{"id":150,"name":"Time of Event (Mountain Time)","value":"09:46:53"},{"id":151,"name":"Denver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"%USERPROFILE%\AppData\Local\Temp\OnboardLogs"\RTDC4004\*4004*201612011*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"%USERPROFILE%\AppData\Local\Temp\OnboardLogs"\RTDC4004\*4004*201612011* &gt;&gt; 42705-slicedisagreementcheck.txt</v>
      </c>
    </row>
    <row r="39" spans="1:30" x14ac:dyDescent="0.25">
      <c r="A39" s="36">
        <v>42705.647719907407</v>
      </c>
      <c r="B39" s="31" t="s">
        <v>262</v>
      </c>
      <c r="C39" s="31" t="s">
        <v>438</v>
      </c>
      <c r="D39" s="31" t="s">
        <v>49</v>
      </c>
      <c r="E39" s="31" t="s">
        <v>197</v>
      </c>
      <c r="F39" s="47">
        <v>150</v>
      </c>
      <c r="G39" s="47">
        <v>314</v>
      </c>
      <c r="H39" s="47">
        <v>56194</v>
      </c>
      <c r="I39" s="47">
        <v>56838</v>
      </c>
      <c r="J39" s="31" t="s">
        <v>198</v>
      </c>
      <c r="K39" s="47">
        <v>57008</v>
      </c>
      <c r="L39" s="154" t="s">
        <v>50</v>
      </c>
      <c r="M39" s="155">
        <f>CONVERT((I39-K39)/10000,"mi","ft")*IF(L39="Increasing Mileposts (1)",-1,1)</f>
        <v>89.76</v>
      </c>
      <c r="N39" s="156" t="str">
        <f>VLOOKUP(C39,'Trips&amp;Operators'!$C$1:$G$99999,5,FALSE)</f>
        <v>DAVIDSON DAVID</v>
      </c>
      <c r="O39" s="182" t="s">
        <v>196</v>
      </c>
      <c r="P39" s="157"/>
      <c r="Q39" s="31"/>
      <c r="R39" s="100" t="str">
        <f>VLOOKUP(C39,'Train Runs'!$A$13:$AE$9982,31,0)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S39" s="103" t="str">
        <f>VLOOKUP(C39,'Train Runs'!$A$13:$AE$9982,22,0)</f>
        <v>https://search-rtdc-monitor-bjffxe2xuh6vdkpspy63sjmuny.us-east-1.es.amazonaws.com/_plugin/kibana/#/discover/Steve-Slow-Train-Analysis-(2080s-and-2083s)?_g=(refreshInterval:(display:Off,section:0,value:0),time:(from:'2016-12-01 14:00:13-700',mode:absolute,to:'2016-12-01 16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/stypes="*4003*201612012*" /stext=" 22:.+((SYSTEM_STATE.+slice.+state.+changed )|(ment ac)|(multiple cpu faults)|(system.+state.+changed )|(\[timeout)|(PRM\|1\|D)|(kpr)|(kdp)|(\|lc)|(penalty))" /e /r /s</v>
      </c>
      <c r="U39" s="9" t="str">
        <f>MID(B39,13,4)</f>
        <v>4003</v>
      </c>
      <c r="V39" s="36">
        <f>A39-utc_offset/24</f>
        <v>42705.939386574071</v>
      </c>
      <c r="W39" s="50" t="str">
        <f>IF(VALUE(LEFT(IF(LEN(C39)=6,"0"&amp;C39,C39),2))&lt;=2,"EC",IF(OR(VALUE(LEFT(IF(LEN(C39)=6,"0"&amp;C39,C39),2))=8,VALUE(LEFT(IF(LEN(C39)=6,"0"&amp;C39,C39),2))=18),"NW","Other"))</f>
        <v>NW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{"issue":{"subject":"","project_id":79,"tracker_id":40,"status_id":1,"priority_id":2,"assigned_to_id":23,"start_date":"2016-12-01","description":"","custom_fields":[{"id":1,"name":"Subdivision","value":"NW"},{"id":4,"name":"Milepost","value":"5.7008"},{"id":17,"name":"Train ID","value":"825-01"},{"id":16,"name":"Locomotive ID","value":"4003"},{"id":130,"name":"Impact","value":""},{"id":150,"name":"Time of Event (Mountain Time)","value":"15:32:43"},{"id":151,"name":"Denver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"%USERPROFILE%\AppData\Local\Temp\OnboardLogs"\RTDC4003\*4003*201612012*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"%USERPROFILE%\AppData\Local\Temp\OnboardLogs"\RTDC4003\*4003*201612012* &gt;&gt; 42705-slicedisagreementcheck.txt</v>
      </c>
    </row>
    <row r="40" spans="1:30" x14ac:dyDescent="0.25">
      <c r="A40" s="36">
        <v>42705.759444444448</v>
      </c>
      <c r="B40" s="31" t="s">
        <v>333</v>
      </c>
      <c r="C40" s="31" t="s">
        <v>444</v>
      </c>
      <c r="D40" s="31" t="s">
        <v>98</v>
      </c>
      <c r="E40" s="31" t="s">
        <v>197</v>
      </c>
      <c r="F40" s="47">
        <v>150</v>
      </c>
      <c r="G40" s="47">
        <v>210</v>
      </c>
      <c r="H40" s="47">
        <v>56955</v>
      </c>
      <c r="I40" s="47">
        <v>56600</v>
      </c>
      <c r="J40" s="31" t="s">
        <v>198</v>
      </c>
      <c r="K40" s="47">
        <v>59050</v>
      </c>
      <c r="L40" s="154" t="s">
        <v>51</v>
      </c>
      <c r="M40" s="155">
        <f>CONVERT((I40-K40)/10000,"mi","ft")*IF(L40="Increasing Mileposts (1)",-1,1)</f>
        <v>-1293.5999999999999</v>
      </c>
      <c r="N40" s="156" t="str">
        <f>VLOOKUP(C40,'Trips&amp;Operators'!$C$1:$G$99999,5,FALSE)</f>
        <v>YANAI IAN</v>
      </c>
      <c r="O40" s="182" t="s">
        <v>196</v>
      </c>
      <c r="P40" s="157"/>
      <c r="Q40" s="31"/>
      <c r="R40" s="100" t="str">
        <f>VLOOKUP(C40,'Train Runs'!$A$13:$AE$9982,31,0)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S40" s="103" t="str">
        <f>VLOOKUP(C40,'Train Runs'!$A$13:$AE$9982,22,0)</f>
        <v>https://search-rtdc-monitor-bjffxe2xuh6vdkpspy63sjmuny.us-east-1.es.amazonaws.com/_plugin/kibana/#/discover/Steve-Slow-Train-Analysis-(2080s-and-2083s)?_g=(refreshInterval:(display:Off,section:0,value:0),time:(from:'2016-12-01 17:06:08-700',mode:absolute,to:'2016-12-01 19:25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/stypes="*4043*201612020*" /stext=" 01:.+((SYSTEM_STATE.+slice.+state.+changed )|(ment ac)|(multiple cpu faults)|(system.+state.+changed )|(\[timeout)|(PRM\|1\|D)|(kpr)|(kdp)|(\|lc)|(penalty))" /e /r /s</v>
      </c>
      <c r="U40" s="9" t="str">
        <f>MID(B40,13,4)</f>
        <v>4043</v>
      </c>
      <c r="V40" s="36">
        <f>A40-utc_offset/24</f>
        <v>42706.051111111112</v>
      </c>
      <c r="W40" s="50" t="str">
        <f>IF(VALUE(LEFT(IF(LEN(C40)=6,"0"&amp;C40,C40),2))&lt;=2,"EC",IF(OR(VALUE(LEFT(IF(LEN(C40)=6,"0"&amp;C40,C40),2))=8,VALUE(LEFT(IF(LEN(C40)=6,"0"&amp;C40,C40),2))=18),"NW","Other"))</f>
        <v>NW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{"issue":{"subject":"","project_id":79,"tracker_id":40,"status_id":1,"priority_id":2,"assigned_to_id":23,"start_date":"2016-12-01","description":"","custom_fields":[{"id":1,"name":"Subdivision","value":"NW"},{"id":4,"name":"Milepost","value":"5.905"},{"id":17,"name":"Train ID","value":"836-01"},{"id":16,"name":"Locomotive ID","value":"4043"},{"id":130,"name":"Impact","value":""},{"id":150,"name":"Time of Event (Mountain Time)","value":"18:13:36"},{"id":151,"name":"Denver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"%USERPROFILE%\AppData\Local\Temp\OnboardLogs"\RTDC4043\*4043*201612020*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"%USERPROFILE%\AppData\Local\Temp\OnboardLogs"\RTDC4043\*4043*201612020* &gt;&gt; 42705-slicedisagreementcheck.txt</v>
      </c>
    </row>
    <row r="41" spans="1:30" x14ac:dyDescent="0.25">
      <c r="A41" s="36">
        <v>42705.326423611114</v>
      </c>
      <c r="B41" s="31" t="s">
        <v>263</v>
      </c>
      <c r="C41" s="31" t="s">
        <v>415</v>
      </c>
      <c r="D41" s="31" t="s">
        <v>49</v>
      </c>
      <c r="E41" s="31" t="s">
        <v>199</v>
      </c>
      <c r="F41" s="47">
        <v>0</v>
      </c>
      <c r="G41" s="47">
        <v>377</v>
      </c>
      <c r="H41" s="47">
        <v>17513</v>
      </c>
      <c r="I41" s="47">
        <v>16359</v>
      </c>
      <c r="J41" s="31" t="s">
        <v>200</v>
      </c>
      <c r="K41" s="47">
        <v>16590</v>
      </c>
      <c r="L41" s="154" t="s">
        <v>51</v>
      </c>
      <c r="M41" s="155">
        <f>CONVERT((I41-K41)/10000,"mi","ft")*IF(L41="Increasing Mileposts (1)",-1,1)</f>
        <v>-121.968</v>
      </c>
      <c r="N41" s="156" t="str">
        <f>VLOOKUP(C41,'Trips&amp;Operators'!$C$1:$G$99999,5,FALSE)</f>
        <v>ISHMAEL JOSEPH</v>
      </c>
      <c r="O41" s="182" t="s">
        <v>240</v>
      </c>
      <c r="P41" s="157" t="s">
        <v>352</v>
      </c>
      <c r="Q41" s="31"/>
      <c r="R41" s="100" t="str">
        <f>VLOOKUP(C41,'Train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41" s="103" t="str">
        <f>VLOOKUP(C41,'Train Runs'!$A$13:$AE$9982,22,0)</f>
        <v>https://search-rtdc-monitor-bjffxe2xuh6vdkpspy63sjmuny.us-east-1.es.amazonaws.com/_plugin/kibana/#/discover/Steve-Slow-Train-Analysis-(2080s-and-2083s)?_g=(refreshInterval:(display:Off,section:0,value:0),time:(from:'2016-12-01 06:36:06-700',mode:absolute,to:'2016-12-01 08:57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1" s="105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/stypes="*4004*201612011*" /stext=" 14:.+((SYSTEM_STATE.+slice.+state.+changed )|(ment ac)|(multiple cpu faults)|(system.+state.+changed )|(\[timeout)|(PRM\|1\|D)|(kpr)|(kdp)|(\|lc)|(penalty))" /e /r /s</v>
      </c>
      <c r="U41" s="9" t="str">
        <f>MID(B41,13,4)</f>
        <v>4004</v>
      </c>
      <c r="V41" s="36">
        <f>A41-utc_offset/24</f>
        <v>42705.618090277778</v>
      </c>
      <c r="W41" s="50" t="str">
        <f>IF(VALUE(LEFT(IF(LEN(C41)=6,"0"&amp;C41,C41),2))&lt;=2,"EC",IF(OR(VALUE(LEFT(IF(LEN(C41)=6,"0"&amp;C41,C41),2))=8,VALUE(LEFT(IF(LEN(C41)=6,"0"&amp;C41,C41),2))=18),"NW","Other"))</f>
        <v>NW</v>
      </c>
      <c r="X41" s="50" t="str">
        <f>IF(AND(E41="TRACK WARRANT AUTHORITY",G41&lt;10),"OMIT","KEEP")</f>
        <v>KEEP</v>
      </c>
      <c r="Y41" s="11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drop","project_id":79,"tracker_id":40,"status_id":1,"priority_id":2,"assigned_to_id":23,"start_date":"2016-12-01","description":"","custom_fields":[{"id":1,"name":"Subdivision","value":"NW"},{"id":4,"name":"Milepost","value":"1.659"},{"id":17,"name":"Train ID","value":"808-01"},{"id":16,"name":"Locomotive ID","value":"4004"},{"id":130,"name":"Impact","value":""},{"id":150,"name":"Time of Event (Mountain Time)","value":"07:50:03"},{"id":151,"name":"Denver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>"grep -hSE -A100 ""Enforcement Action"" "&amp;search_path&amp;"\RTDC"&amp;U41&amp;"\*"&amp;U41&amp;"*"&amp;TEXT(A41-utc_offset/24,"YYYYMMDD")&amp;LEFT(TEXT(A41-utc_offset/24,"HH"),1)&amp;"* | grep -SE ""((Enforcement Ac)|(PRM))"" -"</f>
        <v>grep -hSE -A100 "Enforcement Action" "%USERPROFILE%\AppData\Local\Temp\OnboardLogs"\RTDC4004\*4004*201612011*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"%USERPROFILE%\AppData\Local\Temp\OnboardLogs"\RTDC4004\*4004*201612011* &gt;&gt; 42705-slicedisagreementcheck.txt</v>
      </c>
    </row>
    <row r="42" spans="1:30" x14ac:dyDescent="0.25">
      <c r="A42" s="36">
        <v>42705.493113425924</v>
      </c>
      <c r="B42" s="31" t="s">
        <v>263</v>
      </c>
      <c r="C42" s="31" t="s">
        <v>427</v>
      </c>
      <c r="D42" s="31" t="s">
        <v>49</v>
      </c>
      <c r="E42" s="31" t="s">
        <v>199</v>
      </c>
      <c r="F42" s="47">
        <v>0</v>
      </c>
      <c r="G42" s="47">
        <v>379</v>
      </c>
      <c r="H42" s="47">
        <v>18814</v>
      </c>
      <c r="I42" s="47">
        <v>17571</v>
      </c>
      <c r="J42" s="31" t="s">
        <v>200</v>
      </c>
      <c r="K42" s="47">
        <v>16590</v>
      </c>
      <c r="L42" s="154" t="s">
        <v>51</v>
      </c>
      <c r="M42" s="155">
        <f>CONVERT((I42-K42)/10000,"mi","ft")*IF(L42="Increasing Mileposts (1)",-1,1)</f>
        <v>517.96799999999996</v>
      </c>
      <c r="N42" s="156" t="str">
        <f>VLOOKUP(C42,'Trips&amp;Operators'!$C$1:$G$99999,5,FALSE)</f>
        <v>ISHMAEL JOSEPH</v>
      </c>
      <c r="O42" s="182" t="s">
        <v>240</v>
      </c>
      <c r="P42" s="157" t="s">
        <v>352</v>
      </c>
      <c r="Q42" s="31"/>
      <c r="R42" s="100" t="str">
        <f>VLOOKUP(C42,'Train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42" s="103" t="str">
        <f>VLOOKUP(C42,'Train Runs'!$A$13:$AE$9982,22,0)</f>
        <v>https://search-rtdc-monitor-bjffxe2xuh6vdkpspy63sjmuny.us-east-1.es.amazonaws.com/_plugin/kibana/#/discover/Steve-Slow-Train-Analysis-(2080s-and-2083s)?_g=(refreshInterval:(display:Off,section:0,value:0),time:(from:'2016-12-01 10:38:26-700',mode:absolute,to:'2016-12-01 12:57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2" s="105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/stypes="*4004*201612011*" /stext=" 18:.+((SYSTEM_STATE.+slice.+state.+changed )|(ment ac)|(multiple cpu faults)|(system.+state.+changed )|(\[timeout)|(PRM\|1\|D)|(kpr)|(kdp)|(\|lc)|(penalty))" /e /r /s</v>
      </c>
      <c r="U42" s="9" t="str">
        <f>MID(B42,13,4)</f>
        <v>4004</v>
      </c>
      <c r="V42" s="36">
        <f>A42-utc_offset/24</f>
        <v>42705.784780092588</v>
      </c>
      <c r="W42" s="50" t="str">
        <f>IF(VALUE(LEFT(IF(LEN(C42)=6,"0"&amp;C42,C42),2))&lt;=2,"EC",IF(OR(VALUE(LEFT(IF(LEN(C42)=6,"0"&amp;C42,C42),2))=8,VALUE(LEFT(IF(LEN(C42)=6,"0"&amp;C42,C42),2))=18),"NW","Other"))</f>
        <v>NW</v>
      </c>
      <c r="X42" s="50" t="str">
        <f>IF(AND(E42="TRACK WARRANT AUTHORITY",G42&lt;10),"OMIT","KEEP")</f>
        <v>KEEP</v>
      </c>
      <c r="Y42" s="11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drop","project_id":79,"tracker_id":40,"status_id":1,"priority_id":2,"assigned_to_id":23,"start_date":"2016-12-01","description":"","custom_fields":[{"id":1,"name":"Subdivision","value":"NW"},{"id":4,"name":"Milepost","value":"1.659"},{"id":17,"name":"Train ID","value":"818-01"},{"id":16,"name":"Locomotive ID","value":"4004"},{"id":130,"name":"Impact","value":""},{"id":150,"name":"Time of Event (Mountain Time)","value":"11:50:05"},{"id":151,"name":"Denver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>"grep -hSE -A100 ""Enforcement Action"" "&amp;search_path&amp;"\RTDC"&amp;U42&amp;"\*"&amp;U42&amp;"*"&amp;TEXT(A42-utc_offset/24,"YYYYMMDD")&amp;LEFT(TEXT(A42-utc_offset/24,"HH"),1)&amp;"* | grep -SE ""((Enforcement Ac)|(PRM))"" -"</f>
        <v>grep -hSE -A100 "Enforcement Action" "%USERPROFILE%\AppData\Local\Temp\OnboardLogs"\RTDC4004\*4004*201612011*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"%USERPROFILE%\AppData\Local\Temp\OnboardLogs"\RTDC4004\*4004*201612011* &gt;&gt; 42705-slicedisagreementcheck.txt</v>
      </c>
    </row>
    <row r="43" spans="1:30" x14ac:dyDescent="0.25">
      <c r="A43" s="36">
        <v>42705.536354166667</v>
      </c>
      <c r="B43" s="31" t="s">
        <v>263</v>
      </c>
      <c r="C43" s="31" t="s">
        <v>429</v>
      </c>
      <c r="D43" s="31" t="s">
        <v>49</v>
      </c>
      <c r="E43" s="31" t="s">
        <v>199</v>
      </c>
      <c r="F43" s="47">
        <v>0</v>
      </c>
      <c r="G43" s="47">
        <v>206</v>
      </c>
      <c r="H43" s="47">
        <v>17316</v>
      </c>
      <c r="I43" s="47">
        <v>16921</v>
      </c>
      <c r="J43" s="31" t="s">
        <v>200</v>
      </c>
      <c r="K43" s="47">
        <v>16590</v>
      </c>
      <c r="L43" s="154" t="s">
        <v>51</v>
      </c>
      <c r="M43" s="155">
        <f>CONVERT((I43-K43)/10000,"mi","ft")*IF(L43="Increasing Mileposts (1)",-1,1)</f>
        <v>174.76799999999997</v>
      </c>
      <c r="N43" s="156" t="str">
        <f>VLOOKUP(C43,'Trips&amp;Operators'!$C$1:$G$99999,5,FALSE)</f>
        <v>ISHMAEL JOSEPH</v>
      </c>
      <c r="O43" s="182" t="s">
        <v>240</v>
      </c>
      <c r="P43" s="157" t="s">
        <v>352</v>
      </c>
      <c r="Q43" s="31"/>
      <c r="R43" s="100" t="str">
        <f>VLOOKUP(C43,'Train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43" s="103" t="str">
        <f>VLOOKUP(C43,'Train Runs'!$A$13:$AE$9982,22,0)</f>
        <v>https://search-rtdc-monitor-bjffxe2xuh6vdkpspy63sjmuny.us-east-1.es.amazonaws.com/_plugin/kibana/#/discover/Steve-Slow-Train-Analysis-(2080s-and-2083s)?_g=(refreshInterval:(display:Off,section:0,value:0),time:(from:'2016-12-01 11:37:12-700',mode:absolute,to:'2016-12-01 13:59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3" s="105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/stypes="*4004*201612011*" /stext=" 19:.+((SYSTEM_STATE.+slice.+state.+changed )|(ment ac)|(multiple cpu faults)|(system.+state.+changed )|(\[timeout)|(PRM\|1\|D)|(kpr)|(kdp)|(\|lc)|(penalty))" /e /r /s</v>
      </c>
      <c r="U43" s="9" t="str">
        <f>MID(B43,13,4)</f>
        <v>4004</v>
      </c>
      <c r="V43" s="36">
        <f>A43-utc_offset/24</f>
        <v>42705.828020833331</v>
      </c>
      <c r="W43" s="50" t="str">
        <f>IF(VALUE(LEFT(IF(LEN(C43)=6,"0"&amp;C43,C43),2))&lt;=2,"EC",IF(OR(VALUE(LEFT(IF(LEN(C43)=6,"0"&amp;C43,C43),2))=8,VALUE(LEFT(IF(LEN(C43)=6,"0"&amp;C43,C43),2))=18),"NW","Other"))</f>
        <v>NW</v>
      </c>
      <c r="X43" s="50" t="str">
        <f>IF(AND(E43="TRACK WARRANT AUTHORITY",G43&lt;10),"OMIT","KEEP")</f>
        <v>KEEP</v>
      </c>
      <c r="Y43" s="11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drop","project_id":79,"tracker_id":40,"status_id":1,"priority_id":2,"assigned_to_id":23,"start_date":"2016-12-01","description":"","custom_fields":[{"id":1,"name":"Subdivision","value":"NW"},{"id":4,"name":"Milepost","value":"1.659"},{"id":17,"name":"Train ID","value":"820-01"},{"id":16,"name":"Locomotive ID","value":"4004"},{"id":130,"name":"Impact","value":""},{"id":150,"name":"Time of Event (Mountain Time)","value":"12:52:21"},{"id":151,"name":"Denver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>"grep -hSE -A100 ""Enforcement Action"" "&amp;search_path&amp;"\RTDC"&amp;U43&amp;"\*"&amp;U43&amp;"*"&amp;TEXT(A43-utc_offset/24,"YYYYMMDD")&amp;LEFT(TEXT(A43-utc_offset/24,"HH"),1)&amp;"* | grep -SE ""((Enforcement Ac)|(PRM))"" -"</f>
        <v>grep -hSE -A100 "Enforcement Action" "%USERPROFILE%\AppData\Local\Temp\OnboardLogs"\RTDC4004\*4004*201612011*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"%USERPROFILE%\AppData\Local\Temp\OnboardLogs"\RTDC4004\*4004*201612011* &gt;&gt; 42705-slicedisagreementcheck.txt</v>
      </c>
    </row>
    <row r="44" spans="1:30" x14ac:dyDescent="0.25">
      <c r="A44" s="36">
        <v>42705.617939814816</v>
      </c>
      <c r="B44" s="31" t="s">
        <v>263</v>
      </c>
      <c r="C44" s="31" t="s">
        <v>434</v>
      </c>
      <c r="D44" s="31" t="s">
        <v>49</v>
      </c>
      <c r="E44" s="31" t="s">
        <v>199</v>
      </c>
      <c r="F44" s="47">
        <v>0</v>
      </c>
      <c r="G44" s="47">
        <v>296</v>
      </c>
      <c r="H44" s="47">
        <v>17604</v>
      </c>
      <c r="I44" s="47">
        <v>16831</v>
      </c>
      <c r="J44" s="31" t="s">
        <v>200</v>
      </c>
      <c r="K44" s="47">
        <v>16590</v>
      </c>
      <c r="L44" s="154" t="s">
        <v>51</v>
      </c>
      <c r="M44" s="155">
        <f>CONVERT((I44-K44)/10000,"mi","ft")*IF(L44="Increasing Mileposts (1)",-1,1)</f>
        <v>127.248</v>
      </c>
      <c r="N44" s="156" t="str">
        <f>VLOOKUP(C44,'Trips&amp;Operators'!$C$1:$G$99999,5,FALSE)</f>
        <v>DAVIDSON DAVID</v>
      </c>
      <c r="O44" s="182" t="s">
        <v>240</v>
      </c>
      <c r="P44" s="157" t="s">
        <v>352</v>
      </c>
      <c r="Q44" s="31"/>
      <c r="R44" s="100" t="str">
        <f>VLOOKUP(C44,'Train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44" s="103" t="str">
        <f>VLOOKUP(C44,'Train Runs'!$A$13:$AE$9982,22,0)</f>
        <v>https://search-rtdc-monitor-bjffxe2xuh6vdkpspy63sjmuny.us-east-1.es.amazonaws.com/_plugin/kibana/#/discover/Steve-Slow-Train-Analysis-(2080s-and-2083s)?_g=(refreshInterval:(display:Off,section:0,value:0),time:(from:'2016-12-01 13:39:41-700',mode:absolute,to:'2016-12-01 15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4" s="105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/stypes="*4004*201612012*" /stext=" 21:.+((SYSTEM_STATE.+slice.+state.+changed )|(ment ac)|(multiple cpu faults)|(system.+state.+changed )|(\[timeout)|(PRM\|1\|D)|(kpr)|(kdp)|(\|lc)|(penalty))" /e /r /s</v>
      </c>
      <c r="U44" s="9" t="str">
        <f>MID(B44,13,4)</f>
        <v>4004</v>
      </c>
      <c r="V44" s="36">
        <f>A44-utc_offset/24</f>
        <v>42705.90960648148</v>
      </c>
      <c r="W44" s="50" t="str">
        <f>IF(VALUE(LEFT(IF(LEN(C44)=6,"0"&amp;C44,C44),2))&lt;=2,"EC",IF(OR(VALUE(LEFT(IF(LEN(C44)=6,"0"&amp;C44,C44),2))=8,VALUE(LEFT(IF(LEN(C44)=6,"0"&amp;C44,C44),2))=18),"NW","Other"))</f>
        <v>NW</v>
      </c>
      <c r="X44" s="50" t="str">
        <f>IF(AND(E44="TRACK WARRANT AUTHORITY",G44&lt;10),"OMIT","KEEP")</f>
        <v>KEEP</v>
      </c>
      <c r="Y44" s="119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drop","project_id":79,"tracker_id":40,"status_id":1,"priority_id":2,"assigned_to_id":23,"start_date":"2016-12-01","description":"","custom_fields":[{"id":1,"name":"Subdivision","value":"NW"},{"id":4,"name":"Milepost","value":"1.659"},{"id":17,"name":"Train ID","value":"824-01"},{"id":16,"name":"Locomotive ID","value":"4004"},{"id":130,"name":"Impact","value":""},{"id":150,"name":"Time of Event (Mountain Time)","value":"14:49:50"},{"id":151,"name":"Denver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>"grep -hSE -A100 ""Enforcement Action"" "&amp;search_path&amp;"\RTDC"&amp;U44&amp;"\*"&amp;U44&amp;"*"&amp;TEXT(A44-utc_offset/24,"YYYYMMDD")&amp;LEFT(TEXT(A44-utc_offset/24,"HH"),1)&amp;"* | grep -SE ""((Enforcement Ac)|(PRM))"" -"</f>
        <v>grep -hSE -A100 "Enforcement Action" "%USERPROFILE%\AppData\Local\Temp\OnboardLogs"\RTDC4004\*4004*201612012*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"%USERPROFILE%\AppData\Local\Temp\OnboardLogs"\RTDC4004\*4004*201612012* &gt;&gt; 42705-slicedisagreementcheck.txt</v>
      </c>
    </row>
    <row r="45" spans="1:30" x14ac:dyDescent="0.25">
      <c r="A45" s="36">
        <v>42705.535682870373</v>
      </c>
      <c r="B45" s="31" t="s">
        <v>263</v>
      </c>
      <c r="C45" s="31" t="s">
        <v>429</v>
      </c>
      <c r="D45" s="31" t="s">
        <v>98</v>
      </c>
      <c r="E45" s="31" t="s">
        <v>199</v>
      </c>
      <c r="F45" s="47">
        <v>0</v>
      </c>
      <c r="G45" s="47">
        <v>299</v>
      </c>
      <c r="H45" s="47">
        <v>18921</v>
      </c>
      <c r="I45" s="47">
        <v>18150</v>
      </c>
      <c r="J45" s="31" t="s">
        <v>200</v>
      </c>
      <c r="K45" s="47">
        <v>19000</v>
      </c>
      <c r="L45" s="154" t="s">
        <v>51</v>
      </c>
      <c r="M45" s="155">
        <f>CONVERT((I45-K45)/10000,"mi","ft")*IF(L45="Increasing Mileposts (1)",-1,1)</f>
        <v>-448.8</v>
      </c>
      <c r="N45" s="156" t="str">
        <f>VLOOKUP(C45,'Trips&amp;Operators'!$C$1:$G$99999,5,FALSE)</f>
        <v>ISHMAEL JOSEPH</v>
      </c>
      <c r="O45" s="182" t="s">
        <v>240</v>
      </c>
      <c r="P45" s="157" t="s">
        <v>352</v>
      </c>
      <c r="Q45" s="31"/>
      <c r="R45" s="100" t="str">
        <f>VLOOKUP(C45,'Train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45" s="103" t="str">
        <f>VLOOKUP(C45,'Train Runs'!$A$13:$AE$9982,22,0)</f>
        <v>https://search-rtdc-monitor-bjffxe2xuh6vdkpspy63sjmuny.us-east-1.es.amazonaws.com/_plugin/kibana/#/discover/Steve-Slow-Train-Analysis-(2080s-and-2083s)?_g=(refreshInterval:(display:Off,section:0,value:0),time:(from:'2016-12-01 11:37:12-700',mode:absolute,to:'2016-12-01 13:59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5" s="105" t="str">
        <f>astrogrep_path&amp;" /spath="&amp;search_path&amp;" /stypes=""*"&amp;U45&amp;"*"&amp;TEXT(A45-utc_offset/24,"YYYYMMDD")&amp;LEFT(TEXT(A45-utc_offset/24,"HH"),1)&amp;"*"" /stext="" "&amp;TEXT(A45-utc_offset/24,"HH")&amp;search_regexp&amp;""" /e /r /s"</f>
        <v>"C:\Program Files (x86)\AstroGrep\AstroGrep.exe" /spath="%USERPROFILE%\AppData\Local\Temp\OnboardLogs" /stypes="*4004*201612011*" /stext=" 19:.+((SYSTEM_STATE.+slice.+state.+changed )|(ment ac)|(multiple cpu faults)|(system.+state.+changed )|(\[timeout)|(PRM\|1\|D)|(kpr)|(kdp)|(\|lc)|(penalty))" /e /r /s</v>
      </c>
      <c r="U45" s="9" t="str">
        <f>MID(B45,13,4)</f>
        <v>4004</v>
      </c>
      <c r="V45" s="36">
        <f>A45-utc_offset/24</f>
        <v>42705.827349537038</v>
      </c>
      <c r="W45" s="50" t="str">
        <f>IF(VALUE(LEFT(IF(LEN(C45)=6,"0"&amp;C45,C45),2))&lt;=2,"EC",IF(OR(VALUE(LEFT(IF(LEN(C45)=6,"0"&amp;C45,C45),2))=8,VALUE(LEFT(IF(LEN(C45)=6,"0"&amp;C45,C45),2))=18),"NW","Other"))</f>
        <v>NW</v>
      </c>
      <c r="X45" s="50" t="str">
        <f>IF(AND(E45="TRACK WARRANT AUTHORITY",G45&lt;10),"OMIT","KEEP")</f>
        <v>KEEP</v>
      </c>
      <c r="Y45" s="119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drop","project_id":79,"tracker_id":40,"status_id":1,"priority_id":2,"assigned_to_id":23,"start_date":"2016-12-01","description":"","custom_fields":[{"id":1,"name":"Subdivision","value":"NW"},{"id":4,"name":"Milepost","value":"1.9"},{"id":17,"name":"Train ID","value":"820-01"},{"id":16,"name":"Locomotive ID","value":"4004"},{"id":130,"name":"Impact","value":""},{"id":150,"name":"Time of Event (Mountain Time)","value":"12:51:23"},{"id":151,"name":"Denver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>"grep -hSE -A100 ""Enforcement Action"" "&amp;search_path&amp;"\RTDC"&amp;U45&amp;"\*"&amp;U45&amp;"*"&amp;TEXT(A45-utc_offset/24,"YYYYMMDD")&amp;LEFT(TEXT(A45-utc_offset/24,"HH"),1)&amp;"* | grep -SE ""((Enforcement Ac)|(PRM))"" -"</f>
        <v>grep -hSE -A100 "Enforcement Action" "%USERPROFILE%\AppData\Local\Temp\OnboardLogs"\RTDC4004\*4004*201612011*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"%USERPROFILE%\AppData\Local\Temp\OnboardLogs"\RTDC4004\*4004*201612011* &gt;&gt; 42705-slicedisagreementcheck.txt</v>
      </c>
    </row>
    <row r="46" spans="1:30" x14ac:dyDescent="0.25">
      <c r="A46" s="36">
        <v>42705.785451388889</v>
      </c>
      <c r="B46" s="31" t="s">
        <v>263</v>
      </c>
      <c r="C46" s="31" t="s">
        <v>449</v>
      </c>
      <c r="D46" s="31" t="s">
        <v>49</v>
      </c>
      <c r="E46" s="31" t="s">
        <v>199</v>
      </c>
      <c r="F46" s="47">
        <v>0</v>
      </c>
      <c r="G46" s="47">
        <v>248</v>
      </c>
      <c r="H46" s="47">
        <v>19026</v>
      </c>
      <c r="I46" s="47">
        <v>18437</v>
      </c>
      <c r="J46" s="31" t="s">
        <v>200</v>
      </c>
      <c r="K46" s="47">
        <v>19000</v>
      </c>
      <c r="L46" s="154" t="s">
        <v>51</v>
      </c>
      <c r="M46" s="155">
        <f>CONVERT((I46-K46)/10000,"mi","ft")*IF(L46="Increasing Mileposts (1)",-1,1)</f>
        <v>-297.26400000000001</v>
      </c>
      <c r="N46" s="156" t="str">
        <f>VLOOKUP(C46,'Trips&amp;Operators'!$C$1:$G$99999,5,FALSE)</f>
        <v>DAVIDSON DAVID</v>
      </c>
      <c r="O46" s="182" t="s">
        <v>240</v>
      </c>
      <c r="P46" s="157" t="s">
        <v>352</v>
      </c>
      <c r="Q46" s="31"/>
      <c r="R46" s="100" t="str">
        <f>VLOOKUP(C46,'Train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46" s="103" t="str">
        <f>VLOOKUP(C46,'Train Runs'!$A$13:$AE$9982,22,0)</f>
        <v>https://search-rtdc-monitor-bjffxe2xuh6vdkpspy63sjmuny.us-east-1.es.amazonaws.com/_plugin/kibana/#/discover/Steve-Slow-Train-Analysis-(2080s-and-2083s)?_g=(refreshInterval:(display:Off,section:0,value:0),time:(from:'2016-12-01 17:39:45-700',mode:absolute,to:'2016-12-01 19:59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6" s="105" t="str">
        <f>astrogrep_path&amp;" /spath="&amp;search_path&amp;" /stypes=""*"&amp;U46&amp;"*"&amp;TEXT(A46-utc_offset/24,"YYYYMMDD")&amp;LEFT(TEXT(A46-utc_offset/24,"HH"),1)&amp;"*"" /stext="" "&amp;TEXT(A46-utc_offset/24,"HH")&amp;search_regexp&amp;""" /e /r /s"</f>
        <v>"C:\Program Files (x86)\AstroGrep\AstroGrep.exe" /spath="%USERPROFILE%\AppData\Local\Temp\OnboardLogs" /stypes="*4004*201612020*" /stext=" 01:.+((SYSTEM_STATE.+slice.+state.+changed )|(ment ac)|(multiple cpu faults)|(system.+state.+changed )|(\[timeout)|(PRM\|1\|D)|(kpr)|(kdp)|(\|lc)|(penalty))" /e /r /s</v>
      </c>
      <c r="U46" s="9" t="str">
        <f>MID(B46,13,4)</f>
        <v>4004</v>
      </c>
      <c r="V46" s="36">
        <f>A46-utc_offset/24</f>
        <v>42706.077118055553</v>
      </c>
      <c r="W46" s="50" t="str">
        <f>IF(VALUE(LEFT(IF(LEN(C46)=6,"0"&amp;C46,C46),2))&lt;=2,"EC",IF(OR(VALUE(LEFT(IF(LEN(C46)=6,"0"&amp;C46,C46),2))=8,VALUE(LEFT(IF(LEN(C46)=6,"0"&amp;C46,C46),2))=18),"NW","Other"))</f>
        <v>NW</v>
      </c>
      <c r="X46" s="50" t="str">
        <f>IF(AND(E46="TRACK WARRANT AUTHORITY",G46&lt;10),"OMIT","KEEP")</f>
        <v>KEEP</v>
      </c>
      <c r="Y46" s="119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drop","project_id":79,"tracker_id":40,"status_id":1,"priority_id":2,"assigned_to_id":23,"start_date":"2016-12-01","description":"","custom_fields":[{"id":1,"name":"Subdivision","value":"NW"},{"id":4,"name":"Milepost","value":"1.9"},{"id":17,"name":"Train ID","value":"838-01"},{"id":16,"name":"Locomotive ID","value":"4004"},{"id":130,"name":"Impact","value":""},{"id":150,"name":"Time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>"grep -hSE -A100 ""Enforcement Action"" "&amp;search_path&amp;"\RTDC"&amp;U46&amp;"\*"&amp;U46&amp;"*"&amp;TEXT(A46-utc_offset/24,"YYYYMMDD")&amp;LEFT(TEXT(A46-utc_offset/24,"HH"),1)&amp;"* | grep -SE ""((Enforcement Ac)|(PRM))"" -"</f>
        <v>grep -hSE -A100 "Enforcement Action" "%USERPROFILE%\AppData\Local\Temp\OnboardLogs"\RTDC4004\*4004*201612020*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"%USERPROFILE%\AppData\Local\Temp\OnboardLogs"\RTDC4004\*4004*201612020* &gt;&gt; 42705-slicedisagreementcheck.txt</v>
      </c>
    </row>
    <row r="47" spans="1:30" x14ac:dyDescent="0.25">
      <c r="A47" s="36">
        <v>42705.561932870369</v>
      </c>
      <c r="B47" s="31" t="s">
        <v>262</v>
      </c>
      <c r="C47" s="31" t="s">
        <v>430</v>
      </c>
      <c r="D47" s="31" t="s">
        <v>49</v>
      </c>
      <c r="E47" s="31" t="s">
        <v>199</v>
      </c>
      <c r="F47" s="47">
        <v>0</v>
      </c>
      <c r="G47" s="47">
        <v>612</v>
      </c>
      <c r="H47" s="47">
        <v>32452</v>
      </c>
      <c r="I47" s="47">
        <v>34924</v>
      </c>
      <c r="J47" s="31" t="s">
        <v>200</v>
      </c>
      <c r="K47" s="47">
        <v>33236</v>
      </c>
      <c r="L47" s="154" t="s">
        <v>50</v>
      </c>
      <c r="M47" s="155">
        <f>CONVERT((I47-K47)/10000,"mi","ft")*IF(L47="Increasing Mileposts (1)",-1,1)</f>
        <v>-891.26400000000001</v>
      </c>
      <c r="N47" s="156" t="str">
        <f>VLOOKUP(C47,'Trips&amp;Operators'!$C$1:$G$99999,5,FALSE)</f>
        <v>DAVIDSON DAVID</v>
      </c>
      <c r="O47" s="182" t="s">
        <v>240</v>
      </c>
      <c r="P47" s="157" t="s">
        <v>352</v>
      </c>
      <c r="Q47" s="31"/>
      <c r="R47" s="100" t="str">
        <f>VLOOKUP(C47,'Train Runs'!$A$13:$AE$9982,31,0)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S47" s="103" t="str">
        <f>VLOOKUP(C47,'Train Runs'!$A$13:$AE$9982,22,0)</f>
        <v>https://search-rtdc-monitor-bjffxe2xuh6vdkpspy63sjmuny.us-east-1.es.amazonaws.com/_plugin/kibana/#/discover/Steve-Slow-Train-Analysis-(2080s-and-2083s)?_g=(refreshInterval:(display:Off,section:0,value:0),time:(from:'2016-12-01 12:12:35-700',mode:absolute,to:'2016-12-01 14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7" s="105" t="str">
        <f>astrogrep_path&amp;" /spath="&amp;search_path&amp;" /stypes=""*"&amp;U47&amp;"*"&amp;TEXT(A47-utc_offset/24,"YYYYMMDD")&amp;LEFT(TEXT(A47-utc_offset/24,"HH"),1)&amp;"*"" /stext="" "&amp;TEXT(A47-utc_offset/24,"HH")&amp;search_regexp&amp;""" /e /r /s"</f>
        <v>"C:\Program Files (x86)\AstroGrep\AstroGrep.exe" /spath="%USERPROFILE%\AppData\Local\Temp\OnboardLogs" /stypes="*4003*201612012*" /stext=" 20:.+((SYSTEM_STATE.+slice.+state.+changed )|(ment ac)|(multiple cpu faults)|(system.+state.+changed )|(\[timeout)|(PRM\|1\|D)|(kpr)|(kdp)|(\|lc)|(penalty))" /e /r /s</v>
      </c>
      <c r="U47" s="9" t="str">
        <f>MID(B47,13,4)</f>
        <v>4003</v>
      </c>
      <c r="V47" s="36">
        <f>A47-utc_offset/24</f>
        <v>42705.853599537033</v>
      </c>
      <c r="W47" s="50" t="str">
        <f>IF(VALUE(LEFT(IF(LEN(C47)=6,"0"&amp;C47,C47),2))&lt;=2,"EC",IF(OR(VALUE(LEFT(IF(LEN(C47)=6,"0"&amp;C47,C47),2))=8,VALUE(LEFT(IF(LEN(C47)=6,"0"&amp;C47,C47),2))=18),"NW","Other"))</f>
        <v>NW</v>
      </c>
      <c r="X47" s="50" t="str">
        <f>IF(AND(E47="TRACK WARRANT AUTHORITY",G47&lt;10),"OMIT","KEEP")</f>
        <v>KEEP</v>
      </c>
      <c r="Y47" s="119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drop","project_id":79,"tracker_id":40,"status_id":1,"priority_id":2,"assigned_to_id":23,"start_date":"2016-12-01","description":"","custom_fields":[{"id":1,"name":"Subdivision","value":"NW"},{"id":4,"name":"Milepost","value":"3.3236"},{"id":17,"name":"Train ID","value":"821-01"},{"id":16,"name":"Locomotive ID","value":"4003"},{"id":130,"name":"Impact","value":""},{"id":150,"name":"Time of Event (Mountain Time)","value":"13:29:11"},{"id":151,"name":"Denver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>"grep -hSE -A100 ""Enforcement Action"" "&amp;search_path&amp;"\RTDC"&amp;U47&amp;"\*"&amp;U47&amp;"*"&amp;TEXT(A47-utc_offset/24,"YYYYMMDD")&amp;LEFT(TEXT(A47-utc_offset/24,"HH"),1)&amp;"* | grep -SE ""((Enforcement Ac)|(PRM))"" -"</f>
        <v>grep -hSE -A100 "Enforcement Action" "%USERPROFILE%\AppData\Local\Temp\OnboardLogs"\RTDC4003\*4003*201612012*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"%USERPROFILE%\AppData\Local\Temp\OnboardLogs"\RTDC4003\*4003*201612012* &gt;&gt; 42705-slicedisagreementcheck.txt</v>
      </c>
    </row>
    <row r="48" spans="1:30" x14ac:dyDescent="0.25">
      <c r="A48" s="36">
        <v>42705.367766203701</v>
      </c>
      <c r="B48" s="31" t="s">
        <v>263</v>
      </c>
      <c r="C48" s="31" t="s">
        <v>416</v>
      </c>
      <c r="D48" s="31" t="s">
        <v>49</v>
      </c>
      <c r="E48" s="31" t="s">
        <v>417</v>
      </c>
      <c r="F48" s="47">
        <v>0</v>
      </c>
      <c r="G48" s="47">
        <v>498</v>
      </c>
      <c r="H48" s="47">
        <v>16915</v>
      </c>
      <c r="I48" s="47">
        <v>15119</v>
      </c>
      <c r="J48" s="31" t="s">
        <v>418</v>
      </c>
      <c r="K48" s="47">
        <v>14177</v>
      </c>
      <c r="L48" s="154" t="s">
        <v>51</v>
      </c>
      <c r="M48" s="155">
        <f>CONVERT((I48-K48)/10000,"mi","ft")*IF(L48="Increasing Mileposts (1)",-1,1)</f>
        <v>497.37599999999998</v>
      </c>
      <c r="N48" s="156" t="str">
        <f>VLOOKUP(C48,'Trips&amp;Operators'!$C$1:$G$99999,5,FALSE)</f>
        <v>SANTIZO D. EDY</v>
      </c>
      <c r="O48" s="182" t="s">
        <v>240</v>
      </c>
      <c r="P48" s="157" t="s">
        <v>352</v>
      </c>
      <c r="Q48" s="31"/>
      <c r="R48" s="100" t="str">
        <f>VLOOKUP(C48,'Train Runs'!$A$13:$AE$9982,31,0)</f>
        <v>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 &amp; aws s3 cp s3://rtdc.mdm.uploadarchive.raw/RTDC4004/ "%USERPROFILE%\AppData\Local\Temp\OnboardLogs"\RTDC4004\2016-12-02 --exclude "*" --recursive --include "*20161202*" &amp; "%USERPROFILE%\Documents\GitHub\mrs-test-scripts\Headless Mode &amp; Sideloading\WalkAndUnGZ.bat" "%USERPROFILE%\AppData\Local\Temp\OnboardLogs"\RTDC4004\2016-12-02</v>
      </c>
      <c r="S48" s="103" t="str">
        <f>VLOOKUP(C48,'Train Runs'!$A$13:$AE$9982,22,0)</f>
        <v>https://search-rtdc-monitor-bjffxe2xuh6vdkpspy63sjmuny.us-east-1.es.amazonaws.com/_plugin/kibana/#/discover/Steve-Slow-Train-Analysis-(2080s-and-2083s)?_g=(refreshInterval:(display:Off,section:0,value:0),time:(from:'2016-12-01 07:36:25-700',mode:absolute,to:'2016-12-01 09:56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8" s="105" t="str">
        <f>astrogrep_path&amp;" /spath="&amp;search_path&amp;" /stypes=""*"&amp;U48&amp;"*"&amp;TEXT(A48-utc_offset/24,"YYYYMMDD")&amp;LEFT(TEXT(A48-utc_offset/24,"HH"),1)&amp;"*"" /stext="" "&amp;TEXT(A48-utc_offset/24,"HH")&amp;search_regexp&amp;""" /e /r /s"</f>
        <v>"C:\Program Files (x86)\AstroGrep\AstroGrep.exe" /spath="%USERPROFILE%\AppData\Local\Temp\OnboardLogs" /stypes="*4004*201612011*" /stext=" 15:.+((SYSTEM_STATE.+slice.+state.+changed )|(ment ac)|(multiple cpu faults)|(system.+state.+changed )|(\[timeout)|(PRM\|1\|D)|(kpr)|(kdp)|(\|lc)|(penalty))" /e /r /s</v>
      </c>
      <c r="U48" s="9" t="str">
        <f>MID(B48,13,4)</f>
        <v>4004</v>
      </c>
      <c r="V48" s="36">
        <f>A48-utc_offset/24</f>
        <v>42705.659432870365</v>
      </c>
      <c r="W48" s="50" t="str">
        <f>IF(VALUE(LEFT(IF(LEN(C48)=6,"0"&amp;C48,C48),2))&lt;=2,"EC",IF(OR(VALUE(LEFT(IF(LEN(C48)=6,"0"&amp;C48,C48),2))=8,VALUE(LEFT(IF(LEN(C48)=6,"0"&amp;C48,C48),2))=18),"NW","Other"))</f>
        <v>NW</v>
      </c>
      <c r="X48" s="50" t="str">
        <f>IF(AND(E48="TRACK WARRANT AUTHORITY",G48&lt;10),"OMIT","KEEP")</f>
        <v>KEEP</v>
      </c>
      <c r="Y48" s="119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drop","project_id":79,"tracker_id":40,"status_id":1,"priority_id":2,"assigned_to_id":23,"start_date":"2016-12-01","description":"","custom_fields":[{"id":1,"name":"Subdivision","value":"NW"},{"id":4,"name":"Milepost","value":"1.4177"},{"id":17,"name":"Train ID","value":"812-01"},{"id":16,"name":"Locomotive ID","value":"4004"},{"id":130,"name":"Impact","value":""},{"id":150,"name":"Time of Event (Mountain Time)","value":"08:49:35"},{"id":151,"name":"Denver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>"grep -hSE -A100 ""Enforcement Action"" "&amp;search_path&amp;"\RTDC"&amp;U48&amp;"\*"&amp;U48&amp;"*"&amp;TEXT(A48-utc_offset/24,"YYYYMMDD")&amp;LEFT(TEXT(A48-utc_offset/24,"HH"),1)&amp;"* | grep -SE ""((Enforcement Ac)|(PRM))"" -"</f>
        <v>grep -hSE -A100 "Enforcement Action" "%USERPROFILE%\AppData\Local\Temp\OnboardLogs"\RTDC4004\*4004*201612011*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"%USERPROFILE%\AppData\Local\Temp\OnboardLogs"\RTDC4004\*4004*201612011* &gt;&gt; 42705-slicedisagreementcheck.txt</v>
      </c>
    </row>
    <row r="49" spans="1:30" x14ac:dyDescent="0.25">
      <c r="A49" s="36">
        <v>42705.770266203705</v>
      </c>
      <c r="B49" s="31" t="s">
        <v>262</v>
      </c>
      <c r="C49" s="31" t="s">
        <v>445</v>
      </c>
      <c r="D49" s="31" t="s">
        <v>49</v>
      </c>
      <c r="E49" s="31" t="s">
        <v>417</v>
      </c>
      <c r="F49" s="47">
        <v>0</v>
      </c>
      <c r="G49" s="47">
        <v>574</v>
      </c>
      <c r="H49" s="47">
        <v>28933</v>
      </c>
      <c r="I49" s="47">
        <v>31223</v>
      </c>
      <c r="J49" s="31" t="s">
        <v>418</v>
      </c>
      <c r="K49" s="47">
        <v>29691</v>
      </c>
      <c r="L49" s="154" t="s">
        <v>50</v>
      </c>
      <c r="M49" s="155">
        <f>CONVERT((I49-K49)/10000,"mi","ft")*IF(L49="Increasing Mileposts (1)",-1,1)</f>
        <v>-808.89599999999996</v>
      </c>
      <c r="N49" s="156" t="str">
        <f>VLOOKUP(C49,'Trips&amp;Operators'!$C$1:$G$99999,5,FALSE)</f>
        <v>DAVIDSON DAVID</v>
      </c>
      <c r="O49" s="182" t="s">
        <v>240</v>
      </c>
      <c r="P49" s="157" t="s">
        <v>352</v>
      </c>
      <c r="Q49" s="31"/>
      <c r="R49" s="100" t="str">
        <f>VLOOKUP(C49,'Train Runs'!$A$13:$AE$9982,31,0)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S49" s="103" t="str">
        <f>VLOOKUP(C49,'Train Runs'!$A$13:$AE$9982,22,0)</f>
        <v>https://search-rtdc-monitor-bjffxe2xuh6vdkpspy63sjmuny.us-east-1.es.amazonaws.com/_plugin/kibana/#/discover/Steve-Slow-Train-Analysis-(2080s-and-2083s)?_g=(refreshInterval:(display:Off,section:0,value:0),time:(from:'2016-12-01 17:00:31-700',mode:absolute,to:'2016-12-01 19:29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9" s="105" t="str">
        <f>astrogrep_path&amp;" /spath="&amp;search_path&amp;" /stypes=""*"&amp;U49&amp;"*"&amp;TEXT(A49-utc_offset/24,"YYYYMMDD")&amp;LEFT(TEXT(A49-utc_offset/24,"HH"),1)&amp;"*"" /stext="" "&amp;TEXT(A49-utc_offset/24,"HH")&amp;search_regexp&amp;""" /e /r /s"</f>
        <v>"C:\Program Files (x86)\AstroGrep\AstroGrep.exe" /spath="%USERPROFILE%\AppData\Local\Temp\OnboardLogs" /stypes="*4003*201612020*" /stext=" 01:.+((SYSTEM_STATE.+slice.+state.+changed )|(ment ac)|(multiple cpu faults)|(system.+state.+changed )|(\[timeout)|(PRM\|1\|D)|(kpr)|(kdp)|(\|lc)|(penalty))" /e /r /s</v>
      </c>
      <c r="U49" s="9" t="str">
        <f>MID(B49,13,4)</f>
        <v>4003</v>
      </c>
      <c r="V49" s="36">
        <f>A49-utc_offset/24</f>
        <v>42706.061932870369</v>
      </c>
      <c r="W49" s="50" t="str">
        <f>IF(VALUE(LEFT(IF(LEN(C49)=6,"0"&amp;C49,C49),2))&lt;=2,"EC",IF(OR(VALUE(LEFT(IF(LEN(C49)=6,"0"&amp;C49,C49),2))=8,VALUE(LEFT(IF(LEN(C49)=6,"0"&amp;C49,C49),2))=18),"NW","Other"))</f>
        <v>NW</v>
      </c>
      <c r="X49" s="50" t="str">
        <f>IF(AND(E49="TRACK WARRANT AUTHORITY",G49&lt;10),"OMIT","KEEP")</f>
        <v>KEEP</v>
      </c>
      <c r="Y49" s="119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drop","project_id":79,"tracker_id":40,"status_id":1,"priority_id":2,"assigned_to_id":23,"start_date":"2016-12-01","description":"","custom_fields":[{"id":1,"name":"Subdivision","value":"NW"},{"id":4,"name":"Milepost","value":"2.9691"},{"id":17,"name":"Train ID","value":"837-01"},{"id":16,"name":"Locomotive ID","value":"4003"},{"id":130,"name":"Impact","value":""},{"id":150,"name":"Time of Event (Mountain Time)","value":"18:29:11"},{"id":151,"name":"Denver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>"grep -hSE -A100 ""Enforcement Action"" "&amp;search_path&amp;"\RTDC"&amp;U49&amp;"\*"&amp;U49&amp;"*"&amp;TEXT(A49-utc_offset/24,"YYYYMMDD")&amp;LEFT(TEXT(A49-utc_offset/24,"HH"),1)&amp;"* | grep -SE ""((Enforcement Ac)|(PRM))"" -"</f>
        <v>grep -hSE -A100 "Enforcement Action" "%USERPROFILE%\AppData\Local\Temp\OnboardLogs"\RTDC4003\*4003*201612020*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"%USERPROFILE%\AppData\Local\Temp\OnboardLogs"\RTDC4003\*4003*201612020* &gt;&gt; 42705-slicedisagreementcheck.txt</v>
      </c>
    </row>
    <row r="50" spans="1:30" x14ac:dyDescent="0.25">
      <c r="A50" s="36">
        <v>42705.812488425923</v>
      </c>
      <c r="B50" s="31" t="s">
        <v>262</v>
      </c>
      <c r="C50" s="31" t="s">
        <v>450</v>
      </c>
      <c r="D50" s="31" t="s">
        <v>49</v>
      </c>
      <c r="E50" s="31" t="s">
        <v>417</v>
      </c>
      <c r="F50" s="47">
        <v>0</v>
      </c>
      <c r="G50" s="47">
        <v>354</v>
      </c>
      <c r="H50" s="47">
        <v>38743</v>
      </c>
      <c r="I50" s="47">
        <v>39579</v>
      </c>
      <c r="J50" s="31" t="s">
        <v>418</v>
      </c>
      <c r="K50" s="47">
        <v>39716</v>
      </c>
      <c r="L50" s="154" t="s">
        <v>50</v>
      </c>
      <c r="M50" s="155">
        <f>CONVERT((I50-K50)/10000,"mi","ft")*IF(L50="Increasing Mileposts (1)",-1,1)</f>
        <v>72.335999999999999</v>
      </c>
      <c r="N50" s="156" t="str">
        <f>VLOOKUP(C50,'Trips&amp;Operators'!$C$1:$G$99999,5,FALSE)</f>
        <v>DAVIDSON DAVID</v>
      </c>
      <c r="O50" s="182" t="s">
        <v>240</v>
      </c>
      <c r="P50" s="157" t="s">
        <v>352</v>
      </c>
      <c r="Q50" s="31"/>
      <c r="R50" s="100" t="str">
        <f>VLOOKUP(C50,'Train Runs'!$A$13:$AE$9982,31,0)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S50" s="103" t="str">
        <f>VLOOKUP(C50,'Train Runs'!$A$13:$AE$9982,22,0)</f>
        <v>https://search-rtdc-monitor-bjffxe2xuh6vdkpspy63sjmuny.us-east-1.es.amazonaws.com/_plugin/kibana/#/discover/Steve-Slow-Train-Analysis-(2080s-and-2083s)?_g=(refreshInterval:(display:Off,section:0,value:0),time:(from:'2016-12-01 18:16:25-700',mode:absolute,to:'2016-12-01 20:29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0" s="105" t="str">
        <f>astrogrep_path&amp;" /spath="&amp;search_path&amp;" /stypes=""*"&amp;U50&amp;"*"&amp;TEXT(A50-utc_offset/24,"YYYYMMDD")&amp;LEFT(TEXT(A50-utc_offset/24,"HH"),1)&amp;"*"" /stext="" "&amp;TEXT(A50-utc_offset/24,"HH")&amp;search_regexp&amp;""" /e /r /s"</f>
        <v>"C:\Program Files (x86)\AstroGrep\AstroGrep.exe" /spath="%USERPROFILE%\AppData\Local\Temp\OnboardLogs" /stypes="*4003*201612020*" /stext=" 02:.+((SYSTEM_STATE.+slice.+state.+changed )|(ment ac)|(multiple cpu faults)|(system.+state.+changed )|(\[timeout)|(PRM\|1\|D)|(kpr)|(kdp)|(\|lc)|(penalty))" /e /r /s</v>
      </c>
      <c r="U50" s="9" t="str">
        <f>MID(B50,13,4)</f>
        <v>4003</v>
      </c>
      <c r="V50" s="36">
        <f>A50-utc_offset/24</f>
        <v>42706.104155092587</v>
      </c>
      <c r="W50" s="50" t="str">
        <f>IF(VALUE(LEFT(IF(LEN(C50)=6,"0"&amp;C50,C50),2))&lt;=2,"EC",IF(OR(VALUE(LEFT(IF(LEN(C50)=6,"0"&amp;C50,C50),2))=8,VALUE(LEFT(IF(LEN(C50)=6,"0"&amp;C50,C50),2))=18),"NW","Other"))</f>
        <v>NW</v>
      </c>
      <c r="X50" s="50" t="str">
        <f>IF(AND(E50="TRACK WARRANT AUTHORITY",G50&lt;10),"OMIT","KEEP")</f>
        <v>KEEP</v>
      </c>
      <c r="Y50" s="119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drop","project_id":79,"tracker_id":40,"status_id":1,"priority_id":2,"assigned_to_id":23,"start_date":"2016-12-01","description":"","custom_fields":[{"id":1,"name":"Subdivision","value":"NW"},{"id":4,"name":"Milepost","value":"3.9716"},{"id":17,"name":"Train ID","value":"841-01"},{"id":16,"name":"Locomotive ID","value":"4003"},{"id":130,"name":"Impact","value":""},{"id":150,"name":"Time of Event (Mountain Time)","value":"19:29:59"},{"id":151,"name":"Denver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>"grep -hSE -A100 ""Enforcement Action"" "&amp;search_path&amp;"\RTDC"&amp;U50&amp;"\*"&amp;U50&amp;"*"&amp;TEXT(A50-utc_offset/24,"YYYYMMDD")&amp;LEFT(TEXT(A50-utc_offset/24,"HH"),1)&amp;"* | grep -SE ""((Enforcement Ac)|(PRM))"" -"</f>
        <v>grep -hSE -A100 "Enforcement Action" "%USERPROFILE%\AppData\Local\Temp\OnboardLogs"\RTDC4003\*4003*201612020*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"%USERPROFILE%\AppData\Local\Temp\OnboardLogs"\RTDC4003\*4003*201612020* &gt;&gt; 42705-slicedisagreementcheck.txt</v>
      </c>
    </row>
    <row r="51" spans="1:30" x14ac:dyDescent="0.25">
      <c r="A51" s="36">
        <v>42705.727476851855</v>
      </c>
      <c r="B51" s="31" t="s">
        <v>333</v>
      </c>
      <c r="C51" s="31" t="s">
        <v>443</v>
      </c>
      <c r="D51" s="31" t="s">
        <v>49</v>
      </c>
      <c r="E51" s="31" t="s">
        <v>201</v>
      </c>
      <c r="F51" s="47">
        <v>0</v>
      </c>
      <c r="G51" s="47">
        <v>81</v>
      </c>
      <c r="H51" s="47">
        <v>855</v>
      </c>
      <c r="I51" s="47">
        <v>636</v>
      </c>
      <c r="J51" s="31" t="s">
        <v>202</v>
      </c>
      <c r="K51" s="47">
        <v>575</v>
      </c>
      <c r="L51" s="154" t="s">
        <v>51</v>
      </c>
      <c r="M51" s="155">
        <f>CONVERT((I51-K51)/10000,"mi","ft")*IF(L51="Increasing Mileposts (1)",-1,1)</f>
        <v>32.207999999999998</v>
      </c>
      <c r="N51" s="156" t="str">
        <f>VLOOKUP(C51,'Trips&amp;Operators'!$C$1:$G$99999,5,FALSE)</f>
        <v>YANAI IAN</v>
      </c>
      <c r="O51" s="182" t="s">
        <v>240</v>
      </c>
      <c r="P51" s="157" t="s">
        <v>966</v>
      </c>
      <c r="Q51" s="31"/>
      <c r="R51" s="100" t="str">
        <f>VLOOKUP(C51,'Train Runs'!$A$13:$AE$9982,31,0)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S51" s="103" t="str">
        <f>VLOOKUP(C51,'Train Runs'!$A$13:$AE$9982,22,0)</f>
        <v>https://search-rtdc-monitor-bjffxe2xuh6vdkpspy63sjmuny.us-east-1.es.amazonaws.com/_plugin/kibana/#/discover/Steve-Slow-Train-Analysis-(2080s-and-2083s)?_g=(refreshInterval:(display:Off,section:0,value:0),time:(from:'2016-12-01 16:06:25-700',mode:absolute,to:'2016-12-01 18:27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1" s="105" t="str">
        <f>astrogrep_path&amp;" /spath="&amp;search_path&amp;" /stypes=""*"&amp;U51&amp;"*"&amp;TEXT(A51-utc_offset/24,"YYYYMMDD")&amp;LEFT(TEXT(A51-utc_offset/24,"HH"),1)&amp;"*"" /stext="" "&amp;TEXT(A51-utc_offset/24,"HH")&amp;search_regexp&amp;""" /e /r /s"</f>
        <v>"C:\Program Files (x86)\AstroGrep\AstroGrep.exe" /spath="%USERPROFILE%\AppData\Local\Temp\OnboardLogs" /stypes="*4043*201612020*" /stext=" 00:.+((SYSTEM_STATE.+slice.+state.+changed )|(ment ac)|(multiple cpu faults)|(system.+state.+changed )|(\[timeout)|(PRM\|1\|D)|(kpr)|(kdp)|(\|lc)|(penalty))" /e /r /s</v>
      </c>
      <c r="U51" s="9" t="str">
        <f>MID(B51,13,4)</f>
        <v>4043</v>
      </c>
      <c r="V51" s="36">
        <f>A51-utc_offset/24</f>
        <v>42706.019143518519</v>
      </c>
      <c r="W51" s="50" t="str">
        <f>IF(VALUE(LEFT(IF(LEN(C51)=6,"0"&amp;C51,C51),2))&lt;=2,"EC",IF(OR(VALUE(LEFT(IF(LEN(C51)=6,"0"&amp;C51,C51),2))=8,VALUE(LEFT(IF(LEN(C51)=6,"0"&amp;C51,C51),2))=18),"NW","Other"))</f>
        <v>NW</v>
      </c>
      <c r="X51" s="50" t="str">
        <f>IF(AND(E51="TRACK WARRANT AUTHORITY",G51&lt;10),"OMIT","KEEP")</f>
        <v>KEEP</v>
      </c>
      <c r="Y51" s="119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{"issue":{"subject":"Banner without braking","project_id":79,"tracker_id":40,"status_id":1,"priority_id":2,"assigned_to_id":23,"start_date":"2016-12-01","description":"CPU1 commanded brake, others did not","custom_fields":[{"id":1,"name":"Subdivision","value":"NW"},{"id":4,"name":"Milepost","value":"0.0575"},{"id":17,"name":"Train ID","value":"832-01"},{"id":16,"name":"Locomotive ID","value":"4043"},{"id":130,"name":"Impact","value":"Others"},{"id":150,"name":"Time of Event (Mountain Time)","value":"17:27:34"},{"id":151,"name":"Denver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Z51" s="53" t="s">
        <v>967</v>
      </c>
      <c r="AA51" s="53" t="s">
        <v>137</v>
      </c>
      <c r="AB51" s="53" t="s">
        <v>174</v>
      </c>
      <c r="AC51" s="138" t="str">
        <f>"grep -hSE -A100 ""Enforcement Action"" "&amp;search_path&amp;"\RTDC"&amp;U51&amp;"\*"&amp;U51&amp;"*"&amp;TEXT(A51-utc_offset/24,"YYYYMMDD")&amp;LEFT(TEXT(A51-utc_offset/24,"HH"),1)&amp;"* | grep -SE ""((Enforcement Ac)|(PRM))"" -"</f>
        <v>grep -hSE -A100 "Enforcement Action" "%USERPROFILE%\AppData\Local\Temp\OnboardLogs"\RTDC4043\*4043*201612020*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"%USERPROFILE%\AppData\Local\Temp\OnboardLogs"\RTDC4043\*4043*201612020* &gt;&gt; 42705-slicedisagreementcheck.txt</v>
      </c>
    </row>
    <row r="52" spans="1:30" x14ac:dyDescent="0.25">
      <c r="A52" s="36">
        <v>42705.566516203704</v>
      </c>
      <c r="B52" s="31" t="s">
        <v>262</v>
      </c>
      <c r="C52" s="31" t="s">
        <v>430</v>
      </c>
      <c r="D52" s="31" t="s">
        <v>49</v>
      </c>
      <c r="E52" s="31" t="s">
        <v>201</v>
      </c>
      <c r="F52" s="47">
        <v>0</v>
      </c>
      <c r="G52" s="47">
        <v>54</v>
      </c>
      <c r="H52" s="47">
        <v>58907</v>
      </c>
      <c r="I52" s="47">
        <v>58960</v>
      </c>
      <c r="J52" s="31" t="s">
        <v>202</v>
      </c>
      <c r="K52" s="47">
        <v>59048</v>
      </c>
      <c r="L52" s="154" t="s">
        <v>50</v>
      </c>
      <c r="M52" s="155">
        <f>CONVERT((I52-K52)/10000,"mi","ft")*IF(L52="Increasing Mileposts (1)",-1,1)</f>
        <v>46.463999999999999</v>
      </c>
      <c r="N52" s="156" t="str">
        <f>VLOOKUP(C52,'Trips&amp;Operators'!$C$1:$G$99999,5,FALSE)</f>
        <v>DAVIDSON DAVID</v>
      </c>
      <c r="O52" s="182" t="s">
        <v>196</v>
      </c>
      <c r="P52" s="157"/>
      <c r="Q52" s="31"/>
      <c r="R52" s="100" t="str">
        <f>VLOOKUP(C52,'Train Runs'!$A$13:$AE$9982,31,0)</f>
        <v>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 &amp; aws s3 cp s3://rtdc.mdm.uploadarchive.raw/RTDC4003/ "%USERPROFILE%\AppData\Local\Temp\OnboardLogs"\RTDC4003\2016-12-02 --exclude "*" --recursive --include "*20161202*" &amp; "%USERPROFILE%\Documents\GitHub\mrs-test-scripts\Headless Mode &amp; Sideloading\WalkAndUnGZ.bat" "%USERPROFILE%\AppData\Local\Temp\OnboardLogs"\RTDC4003\2016-12-02</v>
      </c>
      <c r="S52" s="103" t="str">
        <f>VLOOKUP(C52,'Train Runs'!$A$13:$AE$9982,22,0)</f>
        <v>https://search-rtdc-monitor-bjffxe2xuh6vdkpspy63sjmuny.us-east-1.es.amazonaws.com/_plugin/kibana/#/discover/Steve-Slow-Train-Analysis-(2080s-and-2083s)?_g=(refreshInterval:(display:Off,section:0,value:0),time:(from:'2016-12-01 12:12:35-700',mode:absolute,to:'2016-12-01 14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52" s="105" t="str">
        <f>astrogrep_path&amp;" /spath="&amp;search_path&amp;" /stypes=""*"&amp;U52&amp;"*"&amp;TEXT(A52-utc_offset/24,"YYYYMMDD")&amp;LEFT(TEXT(A52-utc_offset/24,"HH"),1)&amp;"*"" /stext="" "&amp;TEXT(A52-utc_offset/24,"HH")&amp;search_regexp&amp;""" /e /r /s"</f>
        <v>"C:\Program Files (x86)\AstroGrep\AstroGrep.exe" /spath="%USERPROFILE%\AppData\Local\Temp\OnboardLogs" /stypes="*4003*201612012*" /stext=" 20:.+((SYSTEM_STATE.+slice.+state.+changed )|(ment ac)|(multiple cpu faults)|(system.+state.+changed )|(\[timeout)|(PRM\|1\|D)|(kpr)|(kdp)|(\|lc)|(penalty))" /e /r /s</v>
      </c>
      <c r="U52" s="9" t="str">
        <f>MID(B52,13,4)</f>
        <v>4003</v>
      </c>
      <c r="V52" s="36">
        <f>A52-utc_offset/24</f>
        <v>42705.858182870368</v>
      </c>
      <c r="W52" s="50" t="str">
        <f>IF(VALUE(LEFT(IF(LEN(C52)=6,"0"&amp;C52,C52),2))&lt;=2,"EC",IF(OR(VALUE(LEFT(IF(LEN(C52)=6,"0"&amp;C52,C52),2))=8,VALUE(LEFT(IF(LEN(C52)=6,"0"&amp;C52,C52),2))=18),"NW","Other"))</f>
        <v>NW</v>
      </c>
      <c r="X52" s="50" t="str">
        <f>IF(AND(E52="TRACK WARRANT AUTHORITY",G52&lt;10),"OMIT","KEEP")</f>
        <v>KEEP</v>
      </c>
      <c r="Y52" s="119" t="str">
        <f>"echo {""issue"":{""subject"":"""&amp;P52&amp;""",""project_id"":79,""tracker_id"":40,""status_id"":"&amp;redmine_status&amp;",""priority_id"":"&amp;redmine_priority&amp;",""assigned_to_id"":"&amp;redmine_assignee&amp;",""start_date"":"""&amp;TEXT(A52,"YYYY-mm-dd")&amp;""",""description"":"""&amp;Z52&amp;""",""custom_fields"":[{""id"":1,""name"":""Subdivision"",""value"":"""&amp;W52&amp;"""},{""id"":4,""name"":""Milepost"",""value"":"""&amp;K52/10000&amp;"""},{""id"":17,""name"":""Train ID"",""value"":"""&amp;C52&amp;"""},{""id"":16,""name"":""Locomotive ID"",""value"":"""&amp;U52&amp;"""},{""id"":130,""name"":""Impact"",""value"":"""&amp;AA52&amp;"""},{""id"":150,""name"":""Time of Event (Mountain Time)"",""value"":"""&amp;TEXT(A52,"hh:mm:ss")&amp;"""},{""id"":151,""name"":""Denver Issue ID"",""value"":"""&amp;"""},{""id"":178,""name"":""Operational Impact"",""value"":"""&amp;redmine_op_impact&amp;"""},{""id"":179,""name"":""Denver Segment Assigned"",""value"":"""&amp;AB52&amp;"""}]}}"&amp;"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{"issue":{"subject":"","project_id":79,"tracker_id":40,"status_id":1,"priority_id":2,"assigned_to_id":23,"start_date":"2016-12-01","description":"","custom_fields":[{"id":1,"name":"Subdivision","value":"NW"},{"id":4,"name":"Milepost","value":"5.9048"},{"id":17,"name":"Train ID","value":"821-01"},{"id":16,"name":"Locomotive ID","value":"4003"},{"id":130,"name":"Impact","value":""},{"id":150,"name":"Time of Event (Mountain Time)","value":"13:35:47"},{"id":151,"name":"Denver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>"grep -hSE -A100 ""Enforcement Action"" "&amp;search_path&amp;"\RTDC"&amp;U52&amp;"\*"&amp;U52&amp;"*"&amp;TEXT(A52-utc_offset/24,"YYYYMMDD")&amp;LEFT(TEXT(A52-utc_offset/24,"HH"),1)&amp;"* | grep -SE ""((Enforcement Ac)|(PRM))"" -"</f>
        <v>grep -hSE -A100 "Enforcement Action" "%USERPROFILE%\AppData\Local\Temp\OnboardLogs"\RTDC4003\*4003*201612012*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"%USERPROFILE%\AppData\Local\Temp\OnboardLogs"\RTDC4003\*4003*201612012* &gt;&gt; 42705-slicedisagreementcheck.txt</v>
      </c>
    </row>
    <row r="53" spans="1:30" x14ac:dyDescent="0.25">
      <c r="A53" s="36">
        <v>42705.784398148149</v>
      </c>
      <c r="B53" s="31" t="s">
        <v>308</v>
      </c>
      <c r="C53" s="31" t="s">
        <v>447</v>
      </c>
      <c r="D53" s="31" t="s">
        <v>98</v>
      </c>
      <c r="E53" s="31" t="s">
        <v>328</v>
      </c>
      <c r="F53" s="47">
        <v>490</v>
      </c>
      <c r="G53" s="47">
        <v>546</v>
      </c>
      <c r="H53" s="47">
        <v>15788</v>
      </c>
      <c r="I53" s="47">
        <v>17751</v>
      </c>
      <c r="J53" s="31" t="s">
        <v>329</v>
      </c>
      <c r="K53" s="47">
        <v>15139</v>
      </c>
      <c r="L53" s="154" t="s">
        <v>50</v>
      </c>
      <c r="M53" s="155">
        <f>CONVERT((I53-K53)/10000,"mi","ft")*IF(L53="Increasing Mileposts (1)",-1,1)</f>
        <v>-1379.136</v>
      </c>
      <c r="N53" s="156" t="str">
        <f>VLOOKUP(C53,'Trips&amp;Operators'!$C$1:$G$99999,5,FALSE)</f>
        <v>BROWN JACOB</v>
      </c>
      <c r="O53" s="182" t="s">
        <v>196</v>
      </c>
      <c r="P53" s="157"/>
      <c r="Q53" s="31"/>
      <c r="R53" s="100" t="str">
        <f>VLOOKUP(C53,'Train Runs'!$A$13:$AE$9982,31,0)</f>
        <v>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 &amp; aws s3 cp s3://rtdc.mdm.uploadarchive.raw/RTDC4007/ "%USERPROFILE%\AppData\Local\Temp\OnboardLogs"\RTDC4007\2016-12-02 --exclude "*" --recursive --include "*20161202*" &amp; "%USERPROFILE%\Documents\GitHub\mrs-test-scripts\Headless Mode &amp; Sideloading\WalkAndUnGZ.bat" "%USERPROFILE%\AppData\Local\Temp\OnboardLogs"\RTDC4007\2016-12-02</v>
      </c>
      <c r="S53" s="103" t="str">
        <f>VLOOKUP(C53,'Train Runs'!$A$13:$AE$9982,22,0)</f>
        <v>https://search-rtdc-monitor-bjffxe2xuh6vdkpspy63sjmuny.us-east-1.es.amazonaws.com/_plugin/kibana/#/discover/Steve-Slow-Train-Analysis-(2080s-and-2083s)?_g=(refreshInterval:(display:Off,section:0,value:0),time:(from:'2016-12-01 17:41:23-700',mode:absolute,to:'2016-12-01 19:51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53" s="105" t="str">
        <f>astrogrep_path&amp;" /spath="&amp;search_path&amp;" /stypes=""*"&amp;U53&amp;"*"&amp;TEXT(A53-utc_offset/24,"YYYYMMDD")&amp;LEFT(TEXT(A53-utc_offset/24,"HH"),1)&amp;"*"" /stext="" "&amp;TEXT(A53-utc_offset/24,"HH")&amp;search_regexp&amp;""" /e /r /s"</f>
        <v>"C:\Program Files (x86)\AstroGrep\AstroGrep.exe" /spath="%USERPROFILE%\AppData\Local\Temp\OnboardLogs" /stypes="*4007*201612020*" /stext=" 01:.+((SYSTEM_STATE.+slice.+state.+changed )|(ment ac)|(multiple cpu faults)|(system.+state.+changed )|(\[timeout)|(PRM\|1\|D)|(kpr)|(kdp)|(\|lc)|(penalty))" /e /r /s</v>
      </c>
      <c r="U53" s="9" t="str">
        <f>MID(B53,13,4)</f>
        <v>4007</v>
      </c>
      <c r="V53" s="36">
        <f>A53-utc_offset/24</f>
        <v>42706.076064814813</v>
      </c>
      <c r="W53" s="50" t="str">
        <f>IF(VALUE(LEFT(IF(LEN(C53)=6,"0"&amp;C53,C53),2))&lt;=2,"EC",IF(OR(VALUE(LEFT(IF(LEN(C53)=6,"0"&amp;C53,C53),2))=8,VALUE(LEFT(IF(LEN(C53)=6,"0"&amp;C53,C53),2))=18),"NW","Other"))</f>
        <v>Other</v>
      </c>
      <c r="X53" s="50" t="str">
        <f>IF(AND(E53="TRACK WARRANT AUTHORITY",G53&lt;10),"OMIT","KEEP")</f>
        <v>KEEP</v>
      </c>
      <c r="Y53" s="119" t="str">
        <f>"echo {""issue"":{""subject"":"""&amp;P53&amp;""",""project_id"":79,""tracker_id"":40,""status_id"":"&amp;redmine_status&amp;",""priority_id"":"&amp;redmine_priority&amp;",""assigned_to_id"":"&amp;redmine_assignee&amp;",""start_date"":"""&amp;TEXT(A53,"YYYY-mm-dd")&amp;""",""description"":"""&amp;Z53&amp;""",""custom_fields"":[{""id"":1,""name"":""Subdivision"",""value"":"""&amp;W53&amp;"""},{""id"":4,""name"":""Milepost"",""value"":"""&amp;K53/10000&amp;"""},{""id"":17,""name"":""Train ID"",""value"":"""&amp;C53&amp;"""},{""id"":16,""name"":""Locomotive ID"",""value"":"""&amp;U53&amp;"""},{""id"":130,""name"":""Impact"",""value"":"""&amp;AA53&amp;"""},{""id"":150,""name"":""Time of Event (Mountain Time)"",""value"":"""&amp;TEXT(A53,"hh:mm:ss")&amp;"""},{""id"":151,""name"":""Denver Issue ID"",""value"":"""&amp;"""},{""id"":178,""name"":""Operational Impact"",""value"":"""&amp;redmine_op_impact&amp;"""},{""id"":179,""name"":""Denver Segment Assigned"",""value"":"""&amp;AB53&amp;"""}]}}"&amp;"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{"issue":{"subject":"","project_id":79,"tracker_id":40,"status_id":1,"priority_id":2,"assigned_to_id":23,"start_date":"2016-12-01","description":"","custom_fields":[{"id":1,"name":"Subdivision","value":"Other"},{"id":4,"name":"Milepost","value":"1.5139"},{"id":17,"name":"Train ID","value":"303-01"},{"id":16,"name":"Locomotive ID","value":"4007"},{"id":130,"name":"Impact","value":""},{"id":150,"name":"Time of Event (Mountain Time)","value":"18:49:32"},{"id":151,"name":"Denver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>"grep -hSE -A100 ""Enforcement Action"" "&amp;search_path&amp;"\RTDC"&amp;U53&amp;"\*"&amp;U53&amp;"*"&amp;TEXT(A53-utc_offset/24,"YYYYMMDD")&amp;LEFT(TEXT(A53-utc_offset/24,"HH"),1)&amp;"* | grep -SE ""((Enforcement Ac)|(PRM))"" -"</f>
        <v>grep -hSE -A100 "Enforcement Action" "%USERPROFILE%\AppData\Local\Temp\OnboardLogs"\RTDC4007\*4007*201612020*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"%USERPROFILE%\AppData\Local\Temp\OnboardLogs"\RTDC4007\*4007*201612020* &gt;&gt; 42705-slicedisagreementcheck.txt</v>
      </c>
    </row>
    <row r="54" spans="1:30" x14ac:dyDescent="0.25">
      <c r="A54" s="36">
        <v>42705.770879629628</v>
      </c>
      <c r="B54" s="31" t="s">
        <v>234</v>
      </c>
      <c r="C54" s="31" t="s">
        <v>446</v>
      </c>
      <c r="D54" s="31" t="s">
        <v>98</v>
      </c>
      <c r="E54" s="31" t="s">
        <v>197</v>
      </c>
      <c r="F54" s="47">
        <v>500</v>
      </c>
      <c r="G54" s="47">
        <v>551</v>
      </c>
      <c r="H54" s="47">
        <v>16076</v>
      </c>
      <c r="I54" s="47">
        <v>17979</v>
      </c>
      <c r="J54" s="31" t="s">
        <v>198</v>
      </c>
      <c r="K54" s="47">
        <v>14402</v>
      </c>
      <c r="L54" s="154" t="s">
        <v>50</v>
      </c>
      <c r="M54" s="155">
        <f>CONVERT((I54-K54)/10000,"mi","ft")*IF(L54="Increasing Mileposts (1)",-1,1)</f>
        <v>-1888.6559999999999</v>
      </c>
      <c r="N54" s="156" t="str">
        <f>VLOOKUP(C54,'Trips&amp;Operators'!$C$1:$G$99999,5,FALSE)</f>
        <v>HILLS DUSTIN</v>
      </c>
      <c r="O54" s="182" t="s">
        <v>196</v>
      </c>
      <c r="P54" s="157"/>
      <c r="Q54" s="31"/>
      <c r="R54" s="100" t="str">
        <f>VLOOKUP(C54,'Train Runs'!$A$13:$AE$9982,31,0)</f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S54" s="103" t="str">
        <f>VLOOKUP(C54,'Train Runs'!$A$13:$AE$9982,22,0)</f>
        <v>https://search-rtdc-monitor-bjffxe2xuh6vdkpspy63sjmuny.us-east-1.es.amazonaws.com/_plugin/kibana/#/discover/Steve-Slow-Train-Analysis-(2080s-and-2083s)?_g=(refreshInterval:(display:Off,section:0,value:0),time:(from:'2016-12-01 16:47:33-700',mode:absolute,to:'1969-12-31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54" s="105" t="str">
        <f>astrogrep_path&amp;" /spath="&amp;search_path&amp;" /stypes=""*"&amp;U54&amp;"*"&amp;TEXT(A54-utc_offset/24,"YYYYMMDD")&amp;LEFT(TEXT(A54-utc_offset/24,"HH"),1)&amp;"*"" /stext="" "&amp;TEXT(A54-utc_offset/24,"HH")&amp;search_regexp&amp;""" /e /r /s"</f>
        <v>"C:\Program Files (x86)\AstroGrep\AstroGrep.exe" /spath="%USERPROFILE%\AppData\Local\Temp\OnboardLogs" /stypes="*4014*201612020*" /stext=" 01:.+((SYSTEM_STATE.+slice.+state.+changed )|(ment ac)|(multiple cpu faults)|(system.+state.+changed )|(\[timeout)|(PRM\|1\|D)|(kpr)|(kdp)|(\|lc)|(penalty))" /e /r /s</v>
      </c>
      <c r="U54" s="9" t="str">
        <f>MID(B54,13,4)</f>
        <v>4014</v>
      </c>
      <c r="V54" s="36">
        <f>A54-utc_offset/24</f>
        <v>42706.062546296293</v>
      </c>
      <c r="W54" s="50" t="str">
        <f>IF(VALUE(LEFT(IF(LEN(C54)=6,"0"&amp;C54,C54),2))&lt;=2,"EC",IF(OR(VALUE(LEFT(IF(LEN(C54)=6,"0"&amp;C54,C54),2))=8,VALUE(LEFT(IF(LEN(C54)=6,"0"&amp;C54,C54),2))=18),"NW","Other"))</f>
        <v>Other</v>
      </c>
      <c r="X54" s="50" t="str">
        <f>IF(AND(E54="TRACK WARRANT AUTHORITY",G54&lt;10),"OMIT","KEEP")</f>
        <v>KEEP</v>
      </c>
      <c r="Y54" s="119" t="str">
        <f>"echo {""issue"":{""subject"":"""&amp;P54&amp;""",""project_id"":79,""tracker_id"":40,""status_id"":"&amp;redmine_status&amp;",""priority_id"":"&amp;redmine_priority&amp;",""assigned_to_id"":"&amp;redmine_assignee&amp;",""start_date"":"""&amp;TEXT(A54,"YYYY-mm-dd")&amp;""",""description"":"""&amp;Z54&amp;""",""custom_fields"":[{""id"":1,""name"":""Subdivision"",""value"":"""&amp;W54&amp;"""},{""id"":4,""name"":""Milepost"",""value"":"""&amp;K54/10000&amp;"""},{""id"":17,""name"":""Train ID"",""value"":"""&amp;C54&amp;"""},{""id"":16,""name"":""Locomotive ID"",""value"":"""&amp;U54&amp;"""},{""id"":130,""name"":""Impact"",""value"":"""&amp;AA54&amp;"""},{""id"":150,""name"":""Time of Event (Mountain Time)"",""value"":"""&amp;TEXT(A54,"hh:mm:ss")&amp;"""},{""id"":151,""name"":""Denver Issue ID"",""value"":"""&amp;"""},{""id"":178,""name"":""Operational Impact"",""value"":"""&amp;redmine_op_impact&amp;"""},{""id"":179,""name"":""Denver Segment Assigned"",""value"":"""&amp;AB54&amp;"""}]}}"&amp;"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{"issue":{"subject":"","project_id":79,"tracker_id":40,"status_id":1,"priority_id":2,"assigned_to_id":23,"start_date":"2016-12-01","description":"","custom_fields":[{"id":1,"name":"Subdivision","value":"Other"},{"id":4,"name":"Milepost","value":"1.4402"},{"id":17,"name":"Train ID","value":"75-01"},{"id":16,"name":"Locomotive ID","value":"4014"},{"id":130,"name":"Impact","value":""},{"id":150,"name":"Time of Event (Mountain Time)","value":"18:30:04"},{"id":151,"name":"Denver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>"grep -hSE -A100 ""Enforcement Action"" "&amp;search_path&amp;"\RTDC"&amp;U54&amp;"\*"&amp;U54&amp;"*"&amp;TEXT(A54-utc_offset/24,"YYYYMMDD")&amp;LEFT(TEXT(A54-utc_offset/24,"HH"),1)&amp;"* | grep -SE ""((Enforcement Ac)|(PRM))"" -"</f>
        <v>grep -hSE -A100 "Enforcement Action" "%USERPROFILE%\AppData\Local\Temp\OnboardLogs"\RTDC4014\*4014*201612020*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"%USERPROFILE%\AppData\Local\Temp\OnboardLogs"\RTDC4014\*4014*201612020* &gt;&gt; 42705-slicedisagreementcheck.txt</v>
      </c>
    </row>
    <row r="55" spans="1:30" x14ac:dyDescent="0.25">
      <c r="A55" s="36">
        <v>42705.171932870369</v>
      </c>
      <c r="B55" s="31" t="s">
        <v>327</v>
      </c>
      <c r="C55" s="31" t="s">
        <v>410</v>
      </c>
      <c r="D55" s="31" t="s">
        <v>49</v>
      </c>
      <c r="E55" s="31" t="s">
        <v>199</v>
      </c>
      <c r="F55" s="47">
        <v>0</v>
      </c>
      <c r="G55" s="47">
        <v>162</v>
      </c>
      <c r="H55" s="47">
        <v>19731</v>
      </c>
      <c r="I55" s="47">
        <v>19444</v>
      </c>
      <c r="J55" s="31" t="s">
        <v>200</v>
      </c>
      <c r="K55" s="47">
        <v>19000</v>
      </c>
      <c r="L55" s="154" t="s">
        <v>51</v>
      </c>
      <c r="M55" s="155">
        <f>CONVERT((I55-K55)/10000,"mi","ft")*IF(L55="Increasing Mileposts (1)",-1,1)</f>
        <v>234.43199999999999</v>
      </c>
      <c r="N55" s="156" t="str">
        <f>VLOOKUP(C55,'Trips&amp;Operators'!$C$1:$G$99999,5,FALSE)</f>
        <v>STRICKLAND EVAN</v>
      </c>
      <c r="O55" s="182" t="s">
        <v>196</v>
      </c>
      <c r="P55" s="157"/>
      <c r="Q55" s="31"/>
      <c r="R55" s="100" t="str">
        <f>VLOOKUP(C55,'Train Runs'!$A$13:$AE$9982,31,0)</f>
        <v>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 &amp; aws s3 cp s3://rtdc.mdm.uploadarchive.raw/RTDC4030/ "%USERPROFILE%\AppData\Local\Temp\OnboardLogs"\RTDC4030\2016-12-02 --exclude "*" --recursive --include "*20161202*" &amp; "%USERPROFILE%\Documents\GitHub\mrs-test-scripts\Headless Mode &amp; Sideloading\WalkAndUnGZ.bat" "%USERPROFILE%\AppData\Local\Temp\OnboardLogs"\RTDC4030\2016-12-02</v>
      </c>
      <c r="S55" s="103" t="str">
        <f>VLOOKUP(C55,'Train Runs'!$A$13:$AE$9982,22,0)</f>
        <v>https://search-rtdc-monitor-bjffxe2xuh6vdkpspy63sjmuny.us-east-1.es.amazonaws.com/_plugin/kibana/#/discover/Steve-Slow-Train-Analysis-(2080s-and-2083s)?_g=(refreshInterval:(display:Off,section:0,value:0),time:(from:'2016-12-01 03:10:54-700',mode:absolute,to:'2016-12-01 05:19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55" s="105" t="str">
        <f>astrogrep_path&amp;" /spath="&amp;search_path&amp;" /stypes=""*"&amp;U55&amp;"*"&amp;TEXT(A55-utc_offset/24,"YYYYMMDD")&amp;LEFT(TEXT(A55-utc_offset/24,"HH"),1)&amp;"*"" /stext="" "&amp;TEXT(A55-utc_offset/24,"HH")&amp;search_regexp&amp;""" /e /r /s"</f>
        <v>"C:\Program Files (x86)\AstroGrep\AstroGrep.exe" /spath="%USERPROFILE%\AppData\Local\Temp\OnboardLogs" /stypes="*4030*201612011*" /stext=" 11:.+((SYSTEM_STATE.+slice.+state.+changed )|(ment ac)|(multiple cpu faults)|(system.+state.+changed )|(\[timeout)|(PRM\|1\|D)|(kpr)|(kdp)|(\|lc)|(penalty))" /e /r /s</v>
      </c>
      <c r="U55" s="9" t="str">
        <f>MID(B55,13,4)</f>
        <v>4030</v>
      </c>
      <c r="V55" s="36">
        <f>A55-utc_offset/24</f>
        <v>42705.463599537034</v>
      </c>
      <c r="W55" s="50" t="str">
        <f>IF(VALUE(LEFT(IF(LEN(C55)=6,"0"&amp;C55,C55),2))&lt;=2,"EC",IF(OR(VALUE(LEFT(IF(LEN(C55)=6,"0"&amp;C55,C55),2))=8,VALUE(LEFT(IF(LEN(C55)=6,"0"&amp;C55,C55),2))=18),"NW","Other"))</f>
        <v>Other</v>
      </c>
      <c r="X55" s="50" t="str">
        <f>IF(AND(E55="TRACK WARRANT AUTHORITY",G55&lt;10),"OMIT","KEEP")</f>
        <v>KEEP</v>
      </c>
      <c r="Y55" s="119" t="str">
        <f>"echo {""issue"":{""subject"":"""&amp;P55&amp;""",""project_id"":79,""tracker_id"":40,""status_id"":"&amp;redmine_status&amp;",""priority_id"":"&amp;redmine_priority&amp;",""assigned_to_id"":"&amp;redmine_assignee&amp;",""start_date"":"""&amp;TEXT(A55,"YYYY-mm-dd")&amp;""",""description"":"""&amp;Z55&amp;""",""custom_fields"":[{""id"":1,""name"":""Subdivision"",""value"":"""&amp;W55&amp;"""},{""id"":4,""name"":""Milepost"",""value"":"""&amp;K55/10000&amp;"""},{""id"":17,""name"":""Train ID"",""value"":"""&amp;C55&amp;"""},{""id"":16,""name"":""Locomotive ID"",""value"":"""&amp;U55&amp;"""},{""id"":130,""name"":""Impact"",""value"":"""&amp;AA55&amp;"""},{""id"":150,""name"":""Time of Event (Mountain Time)"",""value"":"""&amp;TEXT(A55,"hh:mm:ss")&amp;"""},{""id"":151,""name"":""Denver Issue ID"",""value"":"""&amp;"""},{""id"":178,""name"":""Operational Impact"",""value"":"""&amp;redmine_op_impact&amp;"""},{""id"":179,""name"":""Denver Segment Assigned"",""value"":"""&amp;AB55&amp;"""}]}}"&amp;"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{"issue":{"subject":"","project_id":79,"tracker_id":40,"status_id":1,"priority_id":2,"assigned_to_id":23,"start_date":"2016-12-01","description":"","custom_fields":[{"id":1,"name":"Subdivision","value":"Other"},{"id":4,"name":"Milepost","value":"1.9"},{"id":17,"name":"Train ID","value":"308-01"},{"id":16,"name":"Locomotive ID","value":"4030"},{"id":130,"name":"Impact","value":""},{"id":150,"name":"Time of Event (Mountain Time)","value":"04:07:35"},{"id":151,"name":"Denver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>"grep -hSE -A100 ""Enforcement Action"" "&amp;search_path&amp;"\RTDC"&amp;U55&amp;"\*"&amp;U55&amp;"*"&amp;TEXT(A55-utc_offset/24,"YYYYMMDD")&amp;LEFT(TEXT(A55-utc_offset/24,"HH"),1)&amp;"* | grep -SE ""((Enforcement Ac)|(PRM))"" -"</f>
        <v>grep -hSE -A100 "Enforcement Action" "%USERPROFILE%\AppData\Local\Temp\OnboardLogs"\RTDC4030\*4030*201612011*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"%USERPROFILE%\AppData\Local\Temp\OnboardLogs"\RTDC4030\*4030*201612011* &gt;&gt; 42705-slicedisagreementcheck.txt</v>
      </c>
    </row>
    <row r="56" spans="1:30" x14ac:dyDescent="0.25">
      <c r="A56" s="36">
        <v>42705.647881944446</v>
      </c>
      <c r="B56" s="31" t="s">
        <v>333</v>
      </c>
      <c r="C56" s="31" t="s">
        <v>439</v>
      </c>
      <c r="D56" s="31" t="s">
        <v>49</v>
      </c>
      <c r="E56" s="31" t="s">
        <v>201</v>
      </c>
      <c r="F56" s="47">
        <v>0</v>
      </c>
      <c r="G56" s="47">
        <v>23</v>
      </c>
      <c r="H56" s="47">
        <v>635</v>
      </c>
      <c r="I56" s="47">
        <v>629</v>
      </c>
      <c r="J56" s="31" t="s">
        <v>202</v>
      </c>
      <c r="K56" s="47">
        <v>575</v>
      </c>
      <c r="L56" s="154" t="s">
        <v>51</v>
      </c>
      <c r="M56" s="155">
        <f>CONVERT((I56-K56)/10000,"mi","ft")*IF(L56="Increasing Mileposts (1)",-1,1)</f>
        <v>28.512</v>
      </c>
      <c r="N56" s="156" t="str">
        <f>VLOOKUP(C56,'Trips&amp;Operators'!$C$1:$G$99999,5,FALSE)</f>
        <v>YANAI IAN</v>
      </c>
      <c r="O56" s="182" t="s">
        <v>196</v>
      </c>
      <c r="P56" s="157"/>
      <c r="Q56" s="31"/>
      <c r="R56" s="100" t="str">
        <f>VLOOKUP(C56,'Train Runs'!$A$13:$AE$9982,31,0)</f>
        <v>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 &amp; aws s3 cp s3://rtdc.mdm.uploadarchive.raw/RTDC4043/ "%USERPROFILE%\AppData\Local\Temp\OnboardLogs"\RTDC4043\2016-12-02 --exclude "*" --recursive --include "*20161202*" &amp; "%USERPROFILE%\Documents\GitHub\mrs-test-scripts\Headless Mode &amp; Sideloading\WalkAndUnGZ.bat" "%USERPROFILE%\AppData\Local\Temp\OnboardLogs"\RTDC4043\2016-12-02</v>
      </c>
      <c r="S56" s="103" t="str">
        <f>VLOOKUP(C56,'Train Runs'!$A$13:$AE$9982,22,0)</f>
        <v>https://search-rtdc-monitor-bjffxe2xuh6vdkpspy63sjmuny.us-east-1.es.amazonaws.com/_plugin/kibana/#/discover/Steve-Slow-Train-Analysis-(2080s-and-2083s)?_g=(refreshInterval:(display:Off,section:0,value:0),time:(from:'2016-12-01 14:19:28-700',mode:absolute,to:'2016-12-01 16:32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6" s="105" t="str">
        <f>astrogrep_path&amp;" /spath="&amp;search_path&amp;" /stypes=""*"&amp;U56&amp;"*"&amp;TEXT(A56-utc_offset/24,"YYYYMMDD")&amp;LEFT(TEXT(A56-utc_offset/24,"HH"),1)&amp;"*"" /stext="" "&amp;TEXT(A56-utc_offset/24,"HH")&amp;search_regexp&amp;""" /e /r /s"</f>
        <v>"C:\Program Files (x86)\AstroGrep\AstroGrep.exe" /spath="%USERPROFILE%\AppData\Local\Temp\OnboardLogs" /stypes="*4043*201612012*" /stext=" 22:.+((SYSTEM_STATE.+slice.+state.+changed )|(ment ac)|(multiple cpu faults)|(system.+state.+changed )|(\[timeout)|(PRM\|1\|D)|(kpr)|(kdp)|(\|lc)|(penalty))" /e /r /s</v>
      </c>
      <c r="U56" s="9" t="str">
        <f>MID(B56,13,4)</f>
        <v>4043</v>
      </c>
      <c r="V56" s="36">
        <f>A56-utc_offset/24</f>
        <v>42705.93954861111</v>
      </c>
      <c r="W56" s="50" t="str">
        <f>IF(VALUE(LEFT(IF(LEN(C56)=6,"0"&amp;C56,C56),2))&lt;=2,"EC",IF(OR(VALUE(LEFT(IF(LEN(C56)=6,"0"&amp;C56,C56),2))=8,VALUE(LEFT(IF(LEN(C56)=6,"0"&amp;C56,C56),2))=18),"NW","Other"))</f>
        <v>Other</v>
      </c>
      <c r="X56" s="50" t="str">
        <f>IF(AND(E56="TRACK WARRANT AUTHORITY",G56&lt;10),"OMIT","KEEP")</f>
        <v>KEEP</v>
      </c>
      <c r="Y56" s="119" t="str">
        <f>"echo {""issue"":{""subject"":"""&amp;P56&amp;""",""project_id"":79,""tracker_id"":40,""status_id"":"&amp;redmine_status&amp;",""priority_id"":"&amp;redmine_priority&amp;",""assigned_to_id"":"&amp;redmine_assignee&amp;",""start_date"":"""&amp;TEXT(A56,"YYYY-mm-dd")&amp;""",""description"":"""&amp;Z56&amp;""",""custom_fields"":[{""id"":1,""name"":""Subdivision"",""value"":"""&amp;W56&amp;"""},{""id"":4,""name"":""Milepost"",""value"":"""&amp;K56/10000&amp;"""},{""id"":17,""name"":""Train ID"",""value"":"""&amp;C56&amp;"""},{""id"":16,""name"":""Locomotive ID"",""value"":"""&amp;U56&amp;"""},{""id"":130,""name"":""Impact"",""value"":"""&amp;AA56&amp;"""},{""id"":150,""name"":""Time of Event (Mountain Time)"",""value"":"""&amp;TEXT(A56,"hh:mm:ss")&amp;"""},{""id"":151,""name"":""Denver Issue ID"",""value"":"""&amp;"""},{""id"":178,""name"":""Operational Impact"",""value"":"""&amp;redmine_op_impact&amp;"""},{""id"":179,""name"":""Denver Segment Assigned"",""value"":"""&amp;AB56&amp;"""}]}}"&amp;"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{"issue":{"subject":"","project_id":79,"tracker_id":40,"status_id":1,"priority_id":2,"assigned_to_id":23,"start_date":"2016-12-01","description":"","custom_fields":[{"id":1,"name":"Subdivision","value":"Other"},{"id":4,"name":"Milepost","value":"0.0575"},{"id":17,"name":"Train ID","value":"904-01"},{"id":16,"name":"Locomotive ID","value":"4043"},{"id":130,"name":"Impact","value":""},{"id":150,"name":"Time of Event (Mountain Time)","value":"15:32:57"},{"id":151,"name":"Denver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>"grep -hSE -A100 ""Enforcement Action"" "&amp;search_path&amp;"\RTDC"&amp;U56&amp;"\*"&amp;U56&amp;"*"&amp;TEXT(A56-utc_offset/24,"YYYYMMDD")&amp;LEFT(TEXT(A56-utc_offset/24,"HH"),1)&amp;"* | grep -SE ""((Enforcement Ac)|(PRM))"" -"</f>
        <v>grep -hSE -A100 "Enforcement Action" "%USERPROFILE%\AppData\Local\Temp\OnboardLogs"\RTDC4043\*4043*201612012*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"%USERPROFILE%\AppData\Local\Temp\OnboardLogs"\RTDC4043\*4043*201612012* &gt;&gt; 42705-slicedisagreementcheck.txt</v>
      </c>
    </row>
    <row r="57" spans="1:30" x14ac:dyDescent="0.25">
      <c r="A57" s="36">
        <v>42705.600717592592</v>
      </c>
      <c r="B57" s="31" t="s">
        <v>298</v>
      </c>
      <c r="C57" s="31" t="s">
        <v>432</v>
      </c>
      <c r="D57" s="31" t="s">
        <v>49</v>
      </c>
      <c r="E57" s="31" t="s">
        <v>201</v>
      </c>
      <c r="F57" s="47">
        <v>0</v>
      </c>
      <c r="G57" s="47">
        <v>87</v>
      </c>
      <c r="H57" s="47">
        <v>1155</v>
      </c>
      <c r="I57" s="47">
        <v>1056</v>
      </c>
      <c r="J57" s="31" t="s">
        <v>202</v>
      </c>
      <c r="K57" s="47">
        <v>826</v>
      </c>
      <c r="L57" s="154" t="s">
        <v>51</v>
      </c>
      <c r="M57" s="155">
        <f>CONVERT((I57-K57)/10000,"mi","ft")*IF(L57="Increasing Mileposts (1)",-1,1)</f>
        <v>121.44</v>
      </c>
      <c r="N57" s="156" t="str">
        <f>VLOOKUP(C57,'Trips&amp;Operators'!$C$1:$G$99999,5,FALSE)</f>
        <v>HILLS DUSTIN</v>
      </c>
      <c r="O57" s="182" t="s">
        <v>196</v>
      </c>
      <c r="P57" s="157"/>
      <c r="Q57" s="31"/>
      <c r="R57" s="100" t="str">
        <f>VLOOKUP(C57,'Train Runs'!$A$13:$AE$9982,31,0)</f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S57" s="103" t="str">
        <f>VLOOKUP(C57,'Train Runs'!$A$13:$AE$9982,22,0)</f>
        <v>https://search-rtdc-monitor-bjffxe2xuh6vdkpspy63sjmuny.us-east-1.es.amazonaws.com/_plugin/kibana/#/discover/Steve-Slow-Train-Analysis-(2080s-and-2083s)?_g=(refreshInterval:(display:Off,section:0,value:0),time:(from:'2016-12-01 13:16:45-700',mode:absolute,to:'2016-12-01 15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57" s="105" t="str">
        <f>astrogrep_path&amp;" /spath="&amp;search_path&amp;" /stypes=""*"&amp;U57&amp;"*"&amp;TEXT(A57-utc_offset/24,"YYYYMMDD")&amp;LEFT(TEXT(A57-utc_offset/24,"HH"),1)&amp;"*"" /stext="" "&amp;TEXT(A57-utc_offset/24,"HH")&amp;search_regexp&amp;""" /e /r /s"</f>
        <v>"C:\Program Files (x86)\AstroGrep\AstroGrep.exe" /spath="%USERPROFILE%\AppData\Local\Temp\OnboardLogs" /stypes="*4001*201612012*" /stext=" 21:.+((SYSTEM_STATE.+slice.+state.+changed )|(ment ac)|(multiple cpu faults)|(system.+state.+changed )|(\[timeout)|(PRM\|1\|D)|(kpr)|(kdp)|(\|lc)|(penalty))" /e /r /s</v>
      </c>
      <c r="U57" s="9" t="str">
        <f>MID(B57,13,4)</f>
        <v>4001</v>
      </c>
      <c r="V57" s="36">
        <f>A57-utc_offset/24</f>
        <v>42705.892384259256</v>
      </c>
      <c r="W57" s="50" t="str">
        <f>IF(VALUE(LEFT(IF(LEN(C57)=6,"0"&amp;C57,C57),2))&lt;=2,"EC",IF(OR(VALUE(LEFT(IF(LEN(C57)=6,"0"&amp;C57,C57),2))=8,VALUE(LEFT(IF(LEN(C57)=6,"0"&amp;C57,C57),2))=18),"NW","Other"))</f>
        <v>Other</v>
      </c>
      <c r="X57" s="50" t="str">
        <f>IF(AND(E57="TRACK WARRANT AUTHORITY",G57&lt;10),"OMIT","KEEP")</f>
        <v>KEEP</v>
      </c>
      <c r="Y57" s="119" t="str">
        <f>"echo {""issue"":{""subject"":"""&amp;P57&amp;""",""project_id"":79,""tracker_id"":40,""status_id"":"&amp;redmine_status&amp;",""priority_id"":"&amp;redmine_priority&amp;",""assigned_to_id"":"&amp;redmine_assignee&amp;",""start_date"":"""&amp;TEXT(A57,"YYYY-mm-dd")&amp;""",""description"":"""&amp;Z57&amp;""",""custom_fields"":[{""id"":1,""name"":""Subdivision"",""value"":"""&amp;W57&amp;"""},{""id"":4,""name"":""Milepost"",""value"":"""&amp;K57/10000&amp;"""},{""id"":17,""name"":""Train ID"",""value"":"""&amp;C57&amp;"""},{""id"":16,""name"":""Locomotive ID"",""value"":"""&amp;U57&amp;"""},{""id"":130,""name"":""Impact"",""value"":"""&amp;AA57&amp;"""},{""id"":150,""name"":""Time of Event (Mountain Time)"",""value"":"""&amp;TEXT(A57,"hh:mm:ss")&amp;"""},{""id"":151,""name"":""Denver Issue ID"",""value"":"""&amp;"""},{""id"":178,""name"":""Operational Impact"",""value"":"""&amp;redmine_op_impact&amp;"""},{""id"":179,""name"":""Denver Segment Assigned"",""value"":"""&amp;AB57&amp;"""}]}}"&amp;"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{"issue":{"subject":"","project_id":79,"tracker_id":40,"status_id":1,"priority_id":2,"assigned_to_id":23,"start_date":"2016-12-01","description":"","custom_fields":[{"id":1,"name":"Subdivision","value":"Other"},{"id":4,"name":"Milepost","value":"0.0826"},{"id":17,"name":"Train ID","value":"54-01"},{"id":16,"name":"Locomotive ID","value":"4001"},{"id":130,"name":"Impact","value":""},{"id":150,"name":"Time of Event (Mountain Time)","value":"14:25:02"},{"id":151,"name":"Denver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38" t="str">
        <f>"grep -hSE -A100 ""Enforcement Action"" "&amp;search_path&amp;"\RTDC"&amp;U57&amp;"\*"&amp;U57&amp;"*"&amp;TEXT(A57-utc_offset/24,"YYYYMMDD")&amp;LEFT(TEXT(A57-utc_offset/24,"HH"),1)&amp;"* | grep -SE ""((Enforcement Ac)|(PRM))"" -"</f>
        <v>grep -hSE -A100 "Enforcement Action" "%USERPROFILE%\AppData\Local\Temp\OnboardLogs"\RTDC4001\*4001*201612012*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"&amp;Variables!$A$2&amp;"-slicedisagreementcheck.txt"</f>
        <v>grep -hSE "Enforcement Action" "%USERPROFILE%\AppData\Local\Temp\OnboardLogs"\RTDC4001\*4001*201612012* &gt;&gt; 42705-slicedisagreementcheck.txt</v>
      </c>
    </row>
    <row r="58" spans="1:30" x14ac:dyDescent="0.25">
      <c r="A58" s="36">
        <v>42705.601180555554</v>
      </c>
      <c r="B58" s="31" t="s">
        <v>298</v>
      </c>
      <c r="C58" s="31" t="s">
        <v>432</v>
      </c>
      <c r="D58" s="31" t="s">
        <v>49</v>
      </c>
      <c r="E58" s="31" t="s">
        <v>201</v>
      </c>
      <c r="F58" s="47">
        <v>0</v>
      </c>
      <c r="G58" s="47">
        <v>40</v>
      </c>
      <c r="H58" s="47">
        <v>976</v>
      </c>
      <c r="I58" s="47">
        <v>932</v>
      </c>
      <c r="J58" s="31" t="s">
        <v>202</v>
      </c>
      <c r="K58" s="47">
        <v>826</v>
      </c>
      <c r="L58" s="154" t="s">
        <v>51</v>
      </c>
      <c r="M58" s="155">
        <f>CONVERT((I58-K58)/10000,"mi","ft")*IF(L58="Increasing Mileposts (1)",-1,1)</f>
        <v>55.968000000000004</v>
      </c>
      <c r="N58" s="156" t="str">
        <f>VLOOKUP(C58,'Trips&amp;Operators'!$C$1:$G$99999,5,FALSE)</f>
        <v>HILLS DUSTIN</v>
      </c>
      <c r="O58" s="182" t="s">
        <v>196</v>
      </c>
      <c r="P58" s="157"/>
      <c r="Q58" s="31"/>
      <c r="R58" s="100" t="str">
        <f>VLOOKUP(C58,'Train Runs'!$A$13:$AE$9982,31,0)</f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S58" s="103" t="str">
        <f>VLOOKUP(C58,'Train Runs'!$A$13:$AE$9982,22,0)</f>
        <v>https://search-rtdc-monitor-bjffxe2xuh6vdkpspy63sjmuny.us-east-1.es.amazonaws.com/_plugin/kibana/#/discover/Steve-Slow-Train-Analysis-(2080s-and-2083s)?_g=(refreshInterval:(display:Off,section:0,value:0),time:(from:'2016-12-01 13:16:45-700',mode:absolute,to:'2016-12-01 15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58" s="105" t="str">
        <f>astrogrep_path&amp;" /spath="&amp;search_path&amp;" /stypes=""*"&amp;U58&amp;"*"&amp;TEXT(A58-utc_offset/24,"YYYYMMDD")&amp;LEFT(TEXT(A58-utc_offset/24,"HH"),1)&amp;"*"" /stext="" "&amp;TEXT(A58-utc_offset/24,"HH")&amp;search_regexp&amp;""" /e /r /s"</f>
        <v>"C:\Program Files (x86)\AstroGrep\AstroGrep.exe" /spath="%USERPROFILE%\AppData\Local\Temp\OnboardLogs" /stypes="*4001*201612012*" /stext=" 21:.+((SYSTEM_STATE.+slice.+state.+changed )|(ment ac)|(multiple cpu faults)|(system.+state.+changed )|(\[timeout)|(PRM\|1\|D)|(kpr)|(kdp)|(\|lc)|(penalty))" /e /r /s</v>
      </c>
      <c r="U58" s="9" t="str">
        <f>MID(B58,13,4)</f>
        <v>4001</v>
      </c>
      <c r="V58" s="36">
        <f>A58-utc_offset/24</f>
        <v>42705.892847222218</v>
      </c>
      <c r="W58" s="50" t="str">
        <f>IF(VALUE(LEFT(IF(LEN(C58)=6,"0"&amp;C58,C58),2))&lt;=2,"EC",IF(OR(VALUE(LEFT(IF(LEN(C58)=6,"0"&amp;C58,C58),2))=8,VALUE(LEFT(IF(LEN(C58)=6,"0"&amp;C58,C58),2))=18),"NW","Other"))</f>
        <v>Other</v>
      </c>
      <c r="X58" s="50" t="str">
        <f>IF(AND(E58="TRACK WARRANT AUTHORITY",G58&lt;10),"OMIT","KEEP")</f>
        <v>KEEP</v>
      </c>
      <c r="Y58" s="119" t="str">
        <f>"echo {""issue"":{""subject"":"""&amp;P58&amp;""",""project_id"":79,""tracker_id"":40,""status_id"":"&amp;redmine_status&amp;",""priority_id"":"&amp;redmine_priority&amp;",""assigned_to_id"":"&amp;redmine_assignee&amp;",""start_date"":"""&amp;TEXT(A58,"YYYY-mm-dd")&amp;""",""description"":"""&amp;Z58&amp;""",""custom_fields"":[{""id"":1,""name"":""Subdivision"",""value"":"""&amp;W58&amp;"""},{""id"":4,""name"":""Milepost"",""value"":"""&amp;K58/10000&amp;"""},{""id"":17,""name"":""Train ID"",""value"":"""&amp;C58&amp;"""},{""id"":16,""name"":""Locomotive ID"",""value"":"""&amp;U58&amp;"""},{""id"":130,""name"":""Impact"",""value"":"""&amp;AA58&amp;"""},{""id"":150,""name"":""Time of Event (Mountain Time)"",""value"":"""&amp;TEXT(A58,"hh:mm:ss")&amp;"""},{""id"":151,""name"":""Denver Issue ID"",""value"":"""&amp;"""},{""id"":178,""name"":""Operational Impact"",""value"":"""&amp;redmine_op_impact&amp;"""},{""id"":179,""name"":""Denver Segment Assigned"",""value"":"""&amp;AB58&amp;"""}]}}"&amp;"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{"issue":{"subject":"","project_id":79,"tracker_id":40,"status_id":1,"priority_id":2,"assigned_to_id":23,"start_date":"2016-12-01","description":"","custom_fields":[{"id":1,"name":"Subdivision","value":"Other"},{"id":4,"name":"Milepost","value":"0.0826"},{"id":17,"name":"Train ID","value":"54-01"},{"id":16,"name":"Locomotive ID","value":"4001"},{"id":130,"name":"Impact","value":""},{"id":150,"name":"Time of Event (Mountain Time)","value":"14:25:42"},{"id":151,"name":"Denver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38" t="str">
        <f>"grep -hSE -A100 ""Enforcement Action"" "&amp;search_path&amp;"\RTDC"&amp;U58&amp;"\*"&amp;U58&amp;"*"&amp;TEXT(A58-utc_offset/24,"YYYYMMDD")&amp;LEFT(TEXT(A58-utc_offset/24,"HH"),1)&amp;"* | grep -SE ""((Enforcement Ac)|(PRM))"" -"</f>
        <v>grep -hSE -A100 "Enforcement Action" "%USERPROFILE%\AppData\Local\Temp\OnboardLogs"\RTDC4001\*4001*201612012*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"&amp;Variables!$A$2&amp;"-slicedisagreementcheck.txt"</f>
        <v>grep -hSE "Enforcement Action" "%USERPROFILE%\AppData\Local\Temp\OnboardLogs"\RTDC4001\*4001*201612012* &gt;&gt; 42705-slicedisagreementcheck.txt</v>
      </c>
    </row>
    <row r="59" spans="1:30" x14ac:dyDescent="0.25">
      <c r="A59" s="36">
        <v>42705.6015625</v>
      </c>
      <c r="B59" s="31" t="s">
        <v>298</v>
      </c>
      <c r="C59" s="31" t="s">
        <v>432</v>
      </c>
      <c r="D59" s="31" t="s">
        <v>49</v>
      </c>
      <c r="E59" s="31" t="s">
        <v>201</v>
      </c>
      <c r="F59" s="47">
        <v>0</v>
      </c>
      <c r="G59" s="47">
        <v>24</v>
      </c>
      <c r="H59" s="47">
        <v>915</v>
      </c>
      <c r="I59" s="47">
        <v>887</v>
      </c>
      <c r="J59" s="31" t="s">
        <v>202</v>
      </c>
      <c r="K59" s="47">
        <v>826</v>
      </c>
      <c r="L59" s="154" t="s">
        <v>51</v>
      </c>
      <c r="M59" s="155">
        <f>CONVERT((I59-K59)/10000,"mi","ft")*IF(L59="Increasing Mileposts (1)",-1,1)</f>
        <v>32.207999999999998</v>
      </c>
      <c r="N59" s="156" t="str">
        <f>VLOOKUP(C59,'Trips&amp;Operators'!$C$1:$G$99999,5,FALSE)</f>
        <v>HILLS DUSTIN</v>
      </c>
      <c r="O59" s="182" t="s">
        <v>196</v>
      </c>
      <c r="P59" s="157"/>
      <c r="Q59" s="31"/>
      <c r="R59" s="100" t="str">
        <f>VLOOKUP(C59,'Train Runs'!$A$13:$AE$9982,31,0)</f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S59" s="103" t="str">
        <f>VLOOKUP(C59,'Train Runs'!$A$13:$AE$9982,22,0)</f>
        <v>https://search-rtdc-monitor-bjffxe2xuh6vdkpspy63sjmuny.us-east-1.es.amazonaws.com/_plugin/kibana/#/discover/Steve-Slow-Train-Analysis-(2080s-and-2083s)?_g=(refreshInterval:(display:Off,section:0,value:0),time:(from:'2016-12-01 13:16:45-700',mode:absolute,to:'2016-12-01 15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59" s="105" t="str">
        <f>astrogrep_path&amp;" /spath="&amp;search_path&amp;" /stypes=""*"&amp;U59&amp;"*"&amp;TEXT(A59-utc_offset/24,"YYYYMMDD")&amp;LEFT(TEXT(A59-utc_offset/24,"HH"),1)&amp;"*"" /stext="" "&amp;TEXT(A59-utc_offset/24,"HH")&amp;search_regexp&amp;""" /e /r /s"</f>
        <v>"C:\Program Files (x86)\AstroGrep\AstroGrep.exe" /spath="%USERPROFILE%\AppData\Local\Temp\OnboardLogs" /stypes="*4001*201612012*" /stext=" 21:.+((SYSTEM_STATE.+slice.+state.+changed )|(ment ac)|(multiple cpu faults)|(system.+state.+changed )|(\[timeout)|(PRM\|1\|D)|(kpr)|(kdp)|(\|lc)|(penalty))" /e /r /s</v>
      </c>
      <c r="U59" s="9" t="str">
        <f>MID(B59,13,4)</f>
        <v>4001</v>
      </c>
      <c r="V59" s="36">
        <f>A59-utc_offset/24</f>
        <v>42705.893229166664</v>
      </c>
      <c r="W59" s="50" t="str">
        <f>IF(VALUE(LEFT(IF(LEN(C59)=6,"0"&amp;C59,C59),2))&lt;=2,"EC",IF(OR(VALUE(LEFT(IF(LEN(C59)=6,"0"&amp;C59,C59),2))=8,VALUE(LEFT(IF(LEN(C59)=6,"0"&amp;C59,C59),2))=18),"NW","Other"))</f>
        <v>Other</v>
      </c>
      <c r="X59" s="50" t="str">
        <f>IF(AND(E59="TRACK WARRANT AUTHORITY",G59&lt;10),"OMIT","KEEP")</f>
        <v>KEEP</v>
      </c>
      <c r="Y59" s="119" t="str">
        <f>"echo {""issue"":{""subject"":"""&amp;P59&amp;""",""project_id"":79,""tracker_id"":40,""status_id"":"&amp;redmine_status&amp;",""priority_id"":"&amp;redmine_priority&amp;",""assigned_to_id"":"&amp;redmine_assignee&amp;",""start_date"":"""&amp;TEXT(A59,"YYYY-mm-dd")&amp;""",""description"":"""&amp;Z59&amp;""",""custom_fields"":[{""id"":1,""name"":""Subdivision"",""value"":"""&amp;W59&amp;"""},{""id"":4,""name"":""Milepost"",""value"":"""&amp;K59/10000&amp;"""},{""id"":17,""name"":""Train ID"",""value"":"""&amp;C59&amp;"""},{""id"":16,""name"":""Locomotive ID"",""value"":"""&amp;U59&amp;"""},{""id"":130,""name"":""Impact"",""value"":"""&amp;AA59&amp;"""},{""id"":150,""name"":""Time of Event (Mountain Time)"",""value"":"""&amp;TEXT(A59,"hh:mm:ss")&amp;"""},{""id"":151,""name"":""Denver Issue ID"",""value"":"""&amp;"""},{""id"":178,""name"":""Operational Impact"",""value"":"""&amp;redmine_op_impact&amp;"""},{""id"":179,""name"":""Denver Segment Assigned"",""value"":"""&amp;AB59&amp;"""}]}}"&amp;"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{"issue":{"subject":"","project_id":79,"tracker_id":40,"status_id":1,"priority_id":2,"assigned_to_id":23,"start_date":"2016-12-01","description":"","custom_fields":[{"id":1,"name":"Subdivision","value":"Other"},{"id":4,"name":"Milepost","value":"0.0826"},{"id":17,"name":"Train ID","value":"54-01"},{"id":16,"name":"Locomotive ID","value":"4001"},{"id":130,"name":"Impact","value":""},{"id":150,"name":"Time of Event (Mountain Time)","value":"14:26:15"},{"id":151,"name":"Denver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8" t="str">
        <f>"grep -hSE -A100 ""Enforcement Action"" "&amp;search_path&amp;"\RTDC"&amp;U59&amp;"\*"&amp;U59&amp;"*"&amp;TEXT(A59-utc_offset/24,"YYYYMMDD")&amp;LEFT(TEXT(A59-utc_offset/24,"HH"),1)&amp;"* | grep -SE ""((Enforcement Ac)|(PRM))"" -"</f>
        <v>grep -hSE -A100 "Enforcement Action" "%USERPROFILE%\AppData\Local\Temp\OnboardLogs"\RTDC4001\*4001*201612012*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"&amp;Variables!$A$2&amp;"-slicedisagreementcheck.txt"</f>
        <v>grep -hSE "Enforcement Action" "%USERPROFILE%\AppData\Local\Temp\OnboardLogs"\RTDC4001\*4001*201612012* &gt;&gt; 42705-slicedisagreementcheck.txt</v>
      </c>
    </row>
    <row r="60" spans="1:30" x14ac:dyDescent="0.25">
      <c r="A60" s="36">
        <v>42705.602280092593</v>
      </c>
      <c r="B60" s="31" t="s">
        <v>298</v>
      </c>
      <c r="C60" s="31" t="s">
        <v>432</v>
      </c>
      <c r="D60" s="31" t="s">
        <v>98</v>
      </c>
      <c r="E60" s="31" t="s">
        <v>201</v>
      </c>
      <c r="F60" s="47">
        <v>0</v>
      </c>
      <c r="G60" s="47">
        <v>6</v>
      </c>
      <c r="H60" s="47">
        <v>826</v>
      </c>
      <c r="I60" s="47">
        <v>0</v>
      </c>
      <c r="J60" s="31" t="s">
        <v>202</v>
      </c>
      <c r="K60" s="47">
        <v>826</v>
      </c>
      <c r="L60" s="154" t="s">
        <v>51</v>
      </c>
      <c r="M60" s="155">
        <f>CONVERT((I60-K60)/10000,"mi","ft")*IF(L60="Increasing Mileposts (1)",-1,1)</f>
        <v>-436.12799999999999</v>
      </c>
      <c r="N60" s="156" t="str">
        <f>VLOOKUP(C60,'Trips&amp;Operators'!$C$1:$G$99999,5,FALSE)</f>
        <v>HILLS DUSTIN</v>
      </c>
      <c r="O60" s="182" t="s">
        <v>196</v>
      </c>
      <c r="P60" s="157"/>
      <c r="Q60" s="31"/>
      <c r="R60" s="100" t="str">
        <f>VLOOKUP(C60,'Train Runs'!$A$13:$AE$9982,31,0)</f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S60" s="103" t="str">
        <f>VLOOKUP(C60,'Train Runs'!$A$13:$AE$9982,22,0)</f>
        <v>https://search-rtdc-monitor-bjffxe2xuh6vdkpspy63sjmuny.us-east-1.es.amazonaws.com/_plugin/kibana/#/discover/Steve-Slow-Train-Analysis-(2080s-and-2083s)?_g=(refreshInterval:(display:Off,section:0,value:0),time:(from:'2016-12-01 13:16:45-700',mode:absolute,to:'2016-12-01 15:25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60" s="105" t="str">
        <f>astrogrep_path&amp;" /spath="&amp;search_path&amp;" /stypes=""*"&amp;U60&amp;"*"&amp;TEXT(A60-utc_offset/24,"YYYYMMDD")&amp;LEFT(TEXT(A60-utc_offset/24,"HH"),1)&amp;"*"" /stext="" "&amp;TEXT(A60-utc_offset/24,"HH")&amp;search_regexp&amp;""" /e /r /s"</f>
        <v>"C:\Program Files (x86)\AstroGrep\AstroGrep.exe" /spath="%USERPROFILE%\AppData\Local\Temp\OnboardLogs" /stypes="*4001*201612012*" /stext=" 21:.+((SYSTEM_STATE.+slice.+state.+changed )|(ment ac)|(multiple cpu faults)|(system.+state.+changed )|(\[timeout)|(PRM\|1\|D)|(kpr)|(kdp)|(\|lc)|(penalty))" /e /r /s</v>
      </c>
      <c r="U60" s="9" t="str">
        <f>MID(B60,13,4)</f>
        <v>4001</v>
      </c>
      <c r="V60" s="36">
        <f>A60-utc_offset/24</f>
        <v>42705.893946759257</v>
      </c>
      <c r="W60" s="50" t="str">
        <f>IF(VALUE(LEFT(IF(LEN(C60)=6,"0"&amp;C60,C60),2))&lt;=2,"EC",IF(OR(VALUE(LEFT(IF(LEN(C60)=6,"0"&amp;C60,C60),2))=8,VALUE(LEFT(IF(LEN(C60)=6,"0"&amp;C60,C60),2))=18),"NW","Other"))</f>
        <v>Other</v>
      </c>
      <c r="X60" s="50" t="str">
        <f>IF(AND(E60="TRACK WARRANT AUTHORITY",G60&lt;10),"OMIT","KEEP")</f>
        <v>OMIT</v>
      </c>
      <c r="Y60" s="119" t="str">
        <f>"echo {""issue"":{""subject"":"""&amp;P60&amp;""",""project_id"":79,""tracker_id"":40,""status_id"":"&amp;redmine_status&amp;",""priority_id"":"&amp;redmine_priority&amp;",""assigned_to_id"":"&amp;redmine_assignee&amp;",""start_date"":"""&amp;TEXT(A60,"YYYY-mm-dd")&amp;""",""description"":"""&amp;Z60&amp;""",""custom_fields"":[{""id"":1,""name"":""Subdivision"",""value"":"""&amp;W60&amp;"""},{""id"":4,""name"":""Milepost"",""value"":"""&amp;K60/10000&amp;"""},{""id"":17,""name"":""Train ID"",""value"":"""&amp;C60&amp;"""},{""id"":16,""name"":""Locomotive ID"",""value"":"""&amp;U60&amp;"""},{""id"":130,""name"":""Impact"",""value"":"""&amp;AA60&amp;"""},{""id"":150,""name"":""Time of Event (Mountain Time)"",""value"":"""&amp;TEXT(A60,"hh:mm:ss")&amp;"""},{""id"":151,""name"":""Denver Issue ID"",""value"":"""&amp;"""},{""id"":178,""name"":""Operational Impact"",""value"":"""&amp;redmine_op_impact&amp;"""},{""id"":179,""name"":""Denver Segment Assigned"",""value"":"""&amp;AB60&amp;"""}]}}"&amp;"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{"issue":{"subject":"","project_id":79,"tracker_id":40,"status_id":1,"priority_id":2,"assigned_to_id":23,"start_date":"2016-12-01","description":"","custom_fields":[{"id":1,"name":"Subdivision","value":"Other"},{"id":4,"name":"Milepost","value":"0.0826"},{"id":17,"name":"Train ID","value":"54-01"},{"id":16,"name":"Locomotive ID","value":"4001"},{"id":130,"name":"Impact","value":""},{"id":150,"name":"Time of Event (Mountain Time)","value":"14:27:17"},{"id":151,"name":"Denver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3"/>
      <c r="AA60" s="53"/>
      <c r="AB60" s="53"/>
      <c r="AC60" s="138" t="str">
        <f>"grep -hSE -A100 ""Enforcement Action"" "&amp;search_path&amp;"\RTDC"&amp;U60&amp;"\*"&amp;U60&amp;"*"&amp;TEXT(A60-utc_offset/24,"YYYYMMDD")&amp;LEFT(TEXT(A60-utc_offset/24,"HH"),1)&amp;"* | grep -SE ""((Enforcement Ac)|(PRM))"" -"</f>
        <v>grep -hSE -A100 "Enforcement Action" "%USERPROFILE%\AppData\Local\Temp\OnboardLogs"\RTDC4001\*4001*201612012*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"&amp;Variables!$A$2&amp;"-slicedisagreementcheck.txt"</f>
        <v>grep -hSE "Enforcement Action" "%USERPROFILE%\AppData\Local\Temp\OnboardLogs"\RTDC4001\*4001*201612012* &gt;&gt; 42705-slicedisagreementcheck.txt</v>
      </c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60">
      <sortCondition ref="V6:V46"/>
    </sortState>
  </autoFilter>
  <sortState ref="A7:AD60">
    <sortCondition ref="W7:W60"/>
    <sortCondition ref="E7:E60"/>
    <sortCondition ref="K7:K60"/>
    <sortCondition ref="C7:C60"/>
    <sortCondition ref="F7:F60"/>
  </sortState>
  <mergeCells count="1">
    <mergeCell ref="A5:O5"/>
  </mergeCells>
  <conditionalFormatting sqref="O6:P6 R6 O76:O1048576 O7:O60">
    <cfRule type="cellIs" dxfId="19" priority="36" operator="equal">
      <formula>"Y"</formula>
    </cfRule>
  </conditionalFormatting>
  <conditionalFormatting sqref="O2:O3">
    <cfRule type="cellIs" dxfId="18" priority="27" operator="equal">
      <formula>"Y"</formula>
    </cfRule>
  </conditionalFormatting>
  <conditionalFormatting sqref="A7:P60">
    <cfRule type="expression" dxfId="17" priority="20">
      <formula>$O7="Y"</formula>
    </cfRule>
  </conditionalFormatting>
  <hyperlinks>
    <hyperlink ref="Z20" r:id="rId1"/>
    <hyperlink ref="Z17" r:id="rId2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AA7:AA60</xm:sqref>
        </x14:dataValidation>
        <x14:dataValidation type="list" allowBlank="1" showInputMessage="1" showErrorMessage="1">
          <x14:formula1>
            <xm:f>'Redmine List Values'!$C$2:$C$15</xm:f>
          </x14:formula1>
          <xm:sqref>AB7:AB60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2016-12-01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-01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3" s="31" t="e">
        <f>VLOOKUP(B3,'Train Runs'!$A$13:$A$99979,1,FALSE)</f>
        <v>#N/A</v>
      </c>
      <c r="K3" s="31" t="e">
        <f>IF(VLOOKUP(A3,$K$40:$K$63,1,FALSE),"Cancelled")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-01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4" s="31" t="e">
        <f>VLOOKUP(B4,'Train Runs'!$A$13:$A$99979,1,FALSE)</f>
        <v>#N/A</v>
      </c>
      <c r="K4" s="31" t="e">
        <f>IF(VLOOKUP(A4,$K$40:$K$63,1,FALSE),"Cancelled")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-01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5" s="31" t="e">
        <f>VLOOKUP(B5,'Train Runs'!$A$13:$A$99979,1,FALSE)</f>
        <v>#N/A</v>
      </c>
      <c r="K5" s="31" t="e">
        <f>IF(VLOOKUP(A5,$K$40:$K$63,1,FALSE),"Cancelled")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-01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6" s="31" t="e">
        <f>VLOOKUP(B6,'Train Runs'!$A$13:$A$99979,1,FALSE)</f>
        <v>#N/A</v>
      </c>
      <c r="K6" s="31" t="e">
        <f t="shared" ref="K6:K10" si="2">IF(VLOOKUP(A6,$K$40:$K$63,1,FALSE),"Cancelled")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-01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7" s="31" t="e">
        <f>VLOOKUP(B7,'Train Runs'!$A$13:$A$99979,1,FALSE)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-01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8" s="31" t="e">
        <f>VLOOKUP(B8,'Train Runs'!$A$13:$A$99979,1,FALSE)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-01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9" s="31" t="e">
        <f>VLOOKUP(B9,'Train Runs'!$A$13:$A$99979,1,FALSE)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-01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0" s="31" t="e">
        <f>VLOOKUP(B10,'Train Runs'!$A$13:$A$99979,1,FALSE)</f>
        <v>#N/A</v>
      </c>
      <c r="K10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408</v>
      </c>
      <c r="G1" s="8" t="s">
        <v>407</v>
      </c>
    </row>
    <row r="2" spans="1:7" x14ac:dyDescent="0.25">
      <c r="A2" s="8">
        <v>42705.033217592594</v>
      </c>
      <c r="B2" s="21" t="s">
        <v>332</v>
      </c>
      <c r="C2" s="21" t="s">
        <v>358</v>
      </c>
      <c r="D2" s="165">
        <v>1300000</v>
      </c>
      <c r="E2" s="21" t="s">
        <v>113</v>
      </c>
      <c r="F2" s="21" t="s">
        <v>405</v>
      </c>
      <c r="G2" s="8" t="str">
        <f>E2&amp;" "&amp;F2</f>
        <v>LEVIN SCOTT</v>
      </c>
    </row>
    <row r="3" spans="1:7" x14ac:dyDescent="0.25">
      <c r="A3" s="8">
        <v>42705.044872685183</v>
      </c>
      <c r="B3" s="21" t="s">
        <v>218</v>
      </c>
      <c r="C3" s="21" t="s">
        <v>359</v>
      </c>
      <c r="D3" s="165">
        <v>1230000</v>
      </c>
      <c r="E3" s="21" t="s">
        <v>312</v>
      </c>
      <c r="F3" s="21" t="s">
        <v>390</v>
      </c>
      <c r="G3" s="8" t="str">
        <f t="shared" ref="G3:G66" si="0">E3&amp;" "&amp;F3</f>
        <v>YANAI IAN</v>
      </c>
    </row>
    <row r="4" spans="1:7" x14ac:dyDescent="0.25">
      <c r="A4" s="8">
        <v>42705.046481481484</v>
      </c>
      <c r="B4" s="21" t="s">
        <v>218</v>
      </c>
      <c r="C4" s="21" t="s">
        <v>359</v>
      </c>
      <c r="D4" s="165">
        <v>1230000</v>
      </c>
      <c r="E4" s="21" t="s">
        <v>312</v>
      </c>
      <c r="F4" s="21" t="s">
        <v>390</v>
      </c>
      <c r="G4" s="8" t="str">
        <f t="shared" si="0"/>
        <v>YANAI IAN</v>
      </c>
    </row>
    <row r="5" spans="1:7" x14ac:dyDescent="0.25">
      <c r="A5" s="8">
        <v>42705.055185185185</v>
      </c>
      <c r="B5" s="21" t="s">
        <v>216</v>
      </c>
      <c r="C5" s="21" t="s">
        <v>360</v>
      </c>
      <c r="D5" s="165">
        <v>1290000</v>
      </c>
      <c r="E5" s="21" t="s">
        <v>301</v>
      </c>
      <c r="F5" s="21" t="s">
        <v>389</v>
      </c>
      <c r="G5" s="8" t="str">
        <f t="shared" si="0"/>
        <v>COOLAHAN JOHN</v>
      </c>
    </row>
    <row r="6" spans="1:7" x14ac:dyDescent="0.25">
      <c r="A6" s="8">
        <v>42705.067499999997</v>
      </c>
      <c r="B6" s="21" t="s">
        <v>220</v>
      </c>
      <c r="C6" s="21" t="s">
        <v>361</v>
      </c>
      <c r="D6" s="165">
        <v>1300000</v>
      </c>
      <c r="E6" s="21" t="s">
        <v>113</v>
      </c>
      <c r="F6" s="21" t="s">
        <v>405</v>
      </c>
      <c r="G6" s="8" t="str">
        <f t="shared" si="0"/>
        <v>LEVIN SCOTT</v>
      </c>
    </row>
    <row r="7" spans="1:7" x14ac:dyDescent="0.25">
      <c r="A7" s="8">
        <v>42705.127349537041</v>
      </c>
      <c r="B7" s="21" t="s">
        <v>211</v>
      </c>
      <c r="C7" s="21" t="s">
        <v>409</v>
      </c>
      <c r="D7" s="165">
        <v>2010000</v>
      </c>
      <c r="E7" s="21" t="s">
        <v>353</v>
      </c>
      <c r="F7" s="21" t="s">
        <v>391</v>
      </c>
      <c r="G7" s="8" t="str">
        <f t="shared" si="0"/>
        <v>MAELZER KURT</v>
      </c>
    </row>
    <row r="8" spans="1:7" x14ac:dyDescent="0.25">
      <c r="A8" s="8">
        <v>42705.140590277777</v>
      </c>
      <c r="B8" s="21" t="s">
        <v>266</v>
      </c>
      <c r="C8" s="21" t="s">
        <v>456</v>
      </c>
      <c r="D8" s="165">
        <v>1090000</v>
      </c>
      <c r="E8" s="21" t="s">
        <v>310</v>
      </c>
      <c r="F8" s="21" t="s">
        <v>392</v>
      </c>
      <c r="G8" s="8" t="str">
        <f t="shared" si="0"/>
        <v>SPECTOR MICHAEL</v>
      </c>
    </row>
    <row r="9" spans="1:7" ht="15.75" thickBot="1" x14ac:dyDescent="0.3">
      <c r="A9" s="25">
        <v>42705.153310185182</v>
      </c>
      <c r="B9" s="21" t="s">
        <v>246</v>
      </c>
      <c r="C9" s="21" t="s">
        <v>457</v>
      </c>
      <c r="D9" s="165">
        <v>1090000</v>
      </c>
      <c r="E9" s="21" t="s">
        <v>310</v>
      </c>
      <c r="F9" s="21" t="s">
        <v>392</v>
      </c>
      <c r="G9" s="8" t="str">
        <f t="shared" si="0"/>
        <v>SPECTOR MICHAEL</v>
      </c>
    </row>
    <row r="10" spans="1:7" x14ac:dyDescent="0.25">
      <c r="A10" s="8">
        <v>42705.157638888886</v>
      </c>
      <c r="B10" s="21" t="s">
        <v>436</v>
      </c>
      <c r="C10" s="21" t="s">
        <v>458</v>
      </c>
      <c r="D10" s="165">
        <v>2140000</v>
      </c>
      <c r="E10" s="21" t="s">
        <v>459</v>
      </c>
      <c r="F10" s="21" t="s">
        <v>460</v>
      </c>
      <c r="G10" s="8" t="str">
        <f t="shared" si="0"/>
        <v>ROBINSON KADDIBA</v>
      </c>
    </row>
    <row r="11" spans="1:7" x14ac:dyDescent="0.25">
      <c r="A11" s="8">
        <v>42705.161990740744</v>
      </c>
      <c r="B11" s="21" t="s">
        <v>327</v>
      </c>
      <c r="C11" s="21" t="s">
        <v>410</v>
      </c>
      <c r="D11" s="165">
        <v>1760000</v>
      </c>
      <c r="E11" s="21" t="s">
        <v>461</v>
      </c>
      <c r="F11" s="21" t="s">
        <v>462</v>
      </c>
      <c r="G11" s="8" t="str">
        <f t="shared" si="0"/>
        <v>STRICKLAND EVAN</v>
      </c>
    </row>
    <row r="12" spans="1:7" x14ac:dyDescent="0.25">
      <c r="A12" s="8">
        <v>42705.168113425927</v>
      </c>
      <c r="B12" s="21" t="s">
        <v>327</v>
      </c>
      <c r="C12" s="21" t="s">
        <v>410</v>
      </c>
      <c r="D12" s="165">
        <v>1760000</v>
      </c>
      <c r="E12" s="21" t="s">
        <v>461</v>
      </c>
      <c r="F12" s="21" t="s">
        <v>462</v>
      </c>
      <c r="G12" s="8" t="str">
        <f t="shared" si="0"/>
        <v>STRICKLAND EVAN</v>
      </c>
    </row>
    <row r="13" spans="1:7" x14ac:dyDescent="0.25">
      <c r="A13" s="8">
        <v>42705.169004629628</v>
      </c>
      <c r="B13" s="21" t="s">
        <v>327</v>
      </c>
      <c r="C13" s="21" t="s">
        <v>410</v>
      </c>
      <c r="D13" s="165">
        <v>1760000</v>
      </c>
      <c r="E13" s="21" t="s">
        <v>461</v>
      </c>
      <c r="F13" s="21" t="s">
        <v>462</v>
      </c>
      <c r="G13" s="8" t="str">
        <f t="shared" si="0"/>
        <v>STRICKLAND EVAN</v>
      </c>
    </row>
    <row r="14" spans="1:7" x14ac:dyDescent="0.25">
      <c r="A14" s="8">
        <v>42705.170486111114</v>
      </c>
      <c r="B14" s="21" t="s">
        <v>327</v>
      </c>
      <c r="C14" s="21" t="s">
        <v>410</v>
      </c>
      <c r="D14" s="165">
        <v>1760000</v>
      </c>
      <c r="E14" s="21" t="s">
        <v>461</v>
      </c>
      <c r="F14" s="21" t="s">
        <v>462</v>
      </c>
      <c r="G14" s="8" t="str">
        <f t="shared" si="0"/>
        <v>STRICKLAND EVAN</v>
      </c>
    </row>
    <row r="15" spans="1:7" x14ac:dyDescent="0.25">
      <c r="A15" s="8">
        <v>42705.17114583333</v>
      </c>
      <c r="B15" s="21" t="s">
        <v>463</v>
      </c>
      <c r="C15" s="21" t="s">
        <v>464</v>
      </c>
      <c r="D15" s="165">
        <v>2010000</v>
      </c>
      <c r="E15" s="21" t="s">
        <v>353</v>
      </c>
      <c r="F15" s="21" t="s">
        <v>391</v>
      </c>
      <c r="G15" s="8" t="str">
        <f t="shared" si="0"/>
        <v>MAELZER KURT</v>
      </c>
    </row>
    <row r="16" spans="1:7" x14ac:dyDescent="0.25">
      <c r="A16" s="8">
        <v>42705.173611111109</v>
      </c>
      <c r="B16" s="21" t="s">
        <v>249</v>
      </c>
      <c r="C16" s="21" t="s">
        <v>465</v>
      </c>
      <c r="D16" s="165">
        <v>2140000</v>
      </c>
      <c r="E16" s="21" t="s">
        <v>459</v>
      </c>
      <c r="F16" s="21" t="s">
        <v>460</v>
      </c>
      <c r="G16" s="8" t="str">
        <f t="shared" si="0"/>
        <v>ROBINSON KADDIBA</v>
      </c>
    </row>
    <row r="17" spans="1:7" x14ac:dyDescent="0.25">
      <c r="A17" s="8">
        <v>42705.174513888887</v>
      </c>
      <c r="B17" s="21" t="s">
        <v>327</v>
      </c>
      <c r="C17" s="21" t="s">
        <v>410</v>
      </c>
      <c r="D17" s="165">
        <v>1760000</v>
      </c>
      <c r="E17" s="21" t="s">
        <v>461</v>
      </c>
      <c r="F17" s="21" t="s">
        <v>462</v>
      </c>
      <c r="G17" s="8" t="str">
        <f t="shared" si="0"/>
        <v>STRICKLAND EVAN</v>
      </c>
    </row>
    <row r="18" spans="1:7" x14ac:dyDescent="0.25">
      <c r="A18" s="8">
        <v>42705.182175925926</v>
      </c>
      <c r="B18" s="21" t="s">
        <v>330</v>
      </c>
      <c r="C18" s="21" t="s">
        <v>466</v>
      </c>
      <c r="D18" s="165">
        <v>1760000</v>
      </c>
      <c r="E18" s="21" t="s">
        <v>461</v>
      </c>
      <c r="F18" s="21" t="s">
        <v>462</v>
      </c>
      <c r="G18" s="8" t="str">
        <f t="shared" si="0"/>
        <v>STRICKLAND EVAN</v>
      </c>
    </row>
    <row r="19" spans="1:7" x14ac:dyDescent="0.25">
      <c r="A19" s="8">
        <v>42705.182187500002</v>
      </c>
      <c r="B19" s="21" t="s">
        <v>307</v>
      </c>
      <c r="C19" s="21" t="s">
        <v>467</v>
      </c>
      <c r="D19" s="165">
        <v>2630000</v>
      </c>
      <c r="E19" s="21" t="s">
        <v>259</v>
      </c>
      <c r="F19" s="21" t="s">
        <v>395</v>
      </c>
      <c r="G19" s="8" t="str">
        <f t="shared" si="0"/>
        <v>SAFIEF AEIMEN</v>
      </c>
    </row>
    <row r="20" spans="1:7" x14ac:dyDescent="0.25">
      <c r="A20" s="8">
        <v>42705.185266203705</v>
      </c>
      <c r="B20" s="21" t="s">
        <v>330</v>
      </c>
      <c r="C20" s="21" t="s">
        <v>466</v>
      </c>
      <c r="D20" s="165">
        <v>1760000</v>
      </c>
      <c r="E20" s="21" t="s">
        <v>461</v>
      </c>
      <c r="F20" s="21" t="s">
        <v>462</v>
      </c>
      <c r="G20" s="8" t="str">
        <f t="shared" si="0"/>
        <v>STRICKLAND EVAN</v>
      </c>
    </row>
    <row r="21" spans="1:7" x14ac:dyDescent="0.25">
      <c r="A21" s="8">
        <v>42705.190960648149</v>
      </c>
      <c r="B21" s="21" t="s">
        <v>266</v>
      </c>
      <c r="C21" s="21" t="s">
        <v>411</v>
      </c>
      <c r="D21" s="165">
        <v>1090000</v>
      </c>
      <c r="E21" s="21" t="s">
        <v>310</v>
      </c>
      <c r="F21" s="21" t="s">
        <v>392</v>
      </c>
      <c r="G21" s="8" t="str">
        <f t="shared" si="0"/>
        <v>SPECTOR MICHAEL</v>
      </c>
    </row>
    <row r="22" spans="1:7" x14ac:dyDescent="0.25">
      <c r="A22" s="27">
        <v>42705.192361111112</v>
      </c>
      <c r="B22" s="21" t="s">
        <v>307</v>
      </c>
      <c r="C22" s="21" t="s">
        <v>467</v>
      </c>
      <c r="D22" s="165">
        <v>2630000</v>
      </c>
      <c r="E22" s="21" t="s">
        <v>259</v>
      </c>
      <c r="F22" s="21" t="s">
        <v>395</v>
      </c>
      <c r="G22" s="8" t="str">
        <f t="shared" si="0"/>
        <v>SAFIEF AEIMEN</v>
      </c>
    </row>
    <row r="23" spans="1:7" x14ac:dyDescent="0.25">
      <c r="A23" s="8">
        <v>42705.196898148148</v>
      </c>
      <c r="B23" s="21" t="s">
        <v>308</v>
      </c>
      <c r="C23" s="21" t="s">
        <v>468</v>
      </c>
      <c r="D23" s="165">
        <v>2630000</v>
      </c>
      <c r="E23" s="21" t="s">
        <v>259</v>
      </c>
      <c r="F23" s="21" t="s">
        <v>395</v>
      </c>
      <c r="G23" s="8" t="str">
        <f t="shared" si="0"/>
        <v>SAFIEF AEIMEN</v>
      </c>
    </row>
    <row r="24" spans="1:7" x14ac:dyDescent="0.25">
      <c r="A24" s="8">
        <v>42705.203969907408</v>
      </c>
      <c r="B24" s="21" t="s">
        <v>211</v>
      </c>
      <c r="C24" s="21" t="s">
        <v>469</v>
      </c>
      <c r="D24" s="165">
        <v>1110000</v>
      </c>
      <c r="E24" s="21" t="s">
        <v>299</v>
      </c>
      <c r="F24" s="21" t="s">
        <v>394</v>
      </c>
      <c r="G24" s="8" t="str">
        <f t="shared" si="0"/>
        <v>STARKS ANGELINA</v>
      </c>
    </row>
    <row r="25" spans="1:7" x14ac:dyDescent="0.25">
      <c r="A25" s="8">
        <v>42705.204872685186</v>
      </c>
      <c r="B25" s="21" t="s">
        <v>470</v>
      </c>
      <c r="C25" s="21" t="s">
        <v>471</v>
      </c>
      <c r="D25" s="165">
        <v>2010000</v>
      </c>
      <c r="E25" s="21" t="s">
        <v>353</v>
      </c>
      <c r="F25" s="21" t="s">
        <v>391</v>
      </c>
      <c r="G25" s="8" t="str">
        <f t="shared" si="0"/>
        <v>MAELZER KURT</v>
      </c>
    </row>
    <row r="26" spans="1:7" x14ac:dyDescent="0.25">
      <c r="A26" s="8">
        <v>42705.206365740742</v>
      </c>
      <c r="B26" s="21" t="s">
        <v>470</v>
      </c>
      <c r="C26" s="21" t="s">
        <v>471</v>
      </c>
      <c r="D26" s="165">
        <v>2010000</v>
      </c>
      <c r="E26" s="21" t="s">
        <v>353</v>
      </c>
      <c r="F26" s="21" t="s">
        <v>391</v>
      </c>
      <c r="G26" s="8" t="str">
        <f t="shared" si="0"/>
        <v>MAELZER KURT</v>
      </c>
    </row>
    <row r="27" spans="1:7" x14ac:dyDescent="0.25">
      <c r="A27" s="8">
        <v>42705.206770833334</v>
      </c>
      <c r="B27" s="21" t="s">
        <v>436</v>
      </c>
      <c r="C27" s="21" t="s">
        <v>472</v>
      </c>
      <c r="D27" s="165">
        <v>2140000</v>
      </c>
      <c r="E27" s="21" t="s">
        <v>459</v>
      </c>
      <c r="F27" s="21" t="s">
        <v>460</v>
      </c>
      <c r="G27" s="8" t="str">
        <f t="shared" si="0"/>
        <v>ROBINSON KADDIBA</v>
      </c>
    </row>
    <row r="28" spans="1:7" x14ac:dyDescent="0.25">
      <c r="A28" s="8">
        <v>42705.20752314815</v>
      </c>
      <c r="B28" s="21" t="s">
        <v>470</v>
      </c>
      <c r="C28" s="21" t="s">
        <v>471</v>
      </c>
      <c r="D28" s="165">
        <v>2010000</v>
      </c>
      <c r="E28" s="21" t="s">
        <v>353</v>
      </c>
      <c r="F28" s="21" t="s">
        <v>391</v>
      </c>
      <c r="G28" s="8" t="str">
        <f t="shared" si="0"/>
        <v>MAELZER KURT</v>
      </c>
    </row>
    <row r="29" spans="1:7" x14ac:dyDescent="0.25">
      <c r="A29" s="8">
        <v>42705.209444444445</v>
      </c>
      <c r="B29" s="21" t="s">
        <v>184</v>
      </c>
      <c r="C29" s="21" t="s">
        <v>473</v>
      </c>
      <c r="D29" s="165">
        <v>1830000</v>
      </c>
      <c r="E29" s="21" t="s">
        <v>474</v>
      </c>
      <c r="F29" s="21" t="s">
        <v>475</v>
      </c>
      <c r="G29" s="8" t="str">
        <f t="shared" si="0"/>
        <v>YORK EDGAR</v>
      </c>
    </row>
    <row r="30" spans="1:7" x14ac:dyDescent="0.25">
      <c r="A30" s="8">
        <v>42705.216921296298</v>
      </c>
      <c r="B30" s="21" t="s">
        <v>333</v>
      </c>
      <c r="C30" s="21" t="s">
        <v>476</v>
      </c>
      <c r="D30" s="165">
        <v>1830000</v>
      </c>
      <c r="E30" s="21" t="s">
        <v>474</v>
      </c>
      <c r="F30" s="21" t="s">
        <v>475</v>
      </c>
      <c r="G30" s="8" t="str">
        <f t="shared" si="0"/>
        <v>YORK EDGAR</v>
      </c>
    </row>
    <row r="31" spans="1:7" x14ac:dyDescent="0.25">
      <c r="A31" s="8">
        <v>42705.222175925926</v>
      </c>
      <c r="B31" s="21" t="s">
        <v>327</v>
      </c>
      <c r="C31" s="21" t="s">
        <v>477</v>
      </c>
      <c r="D31" s="165">
        <v>1760000</v>
      </c>
      <c r="E31" s="21" t="s">
        <v>461</v>
      </c>
      <c r="F31" s="21" t="s">
        <v>462</v>
      </c>
      <c r="G31" s="8" t="str">
        <f t="shared" si="0"/>
        <v>STRICKLAND EVAN</v>
      </c>
    </row>
    <row r="32" spans="1:7" x14ac:dyDescent="0.25">
      <c r="A32" s="8">
        <v>42705.225868055553</v>
      </c>
      <c r="B32" s="21" t="s">
        <v>246</v>
      </c>
      <c r="C32" s="21" t="s">
        <v>478</v>
      </c>
      <c r="D32" s="165">
        <v>2620000</v>
      </c>
      <c r="E32" s="21" t="s">
        <v>309</v>
      </c>
      <c r="F32" s="21" t="s">
        <v>396</v>
      </c>
      <c r="G32" s="8" t="str">
        <f t="shared" si="0"/>
        <v>PERKINS DARREN</v>
      </c>
    </row>
    <row r="33" spans="1:7" x14ac:dyDescent="0.25">
      <c r="A33" s="8">
        <v>42705.228263888886</v>
      </c>
      <c r="B33" s="21" t="s">
        <v>184</v>
      </c>
      <c r="C33" s="21" t="s">
        <v>479</v>
      </c>
      <c r="D33" s="165">
        <v>1830000</v>
      </c>
      <c r="E33" s="21" t="s">
        <v>474</v>
      </c>
      <c r="F33" s="21" t="s">
        <v>475</v>
      </c>
      <c r="G33" s="8" t="str">
        <f t="shared" si="0"/>
        <v>YORK EDGAR</v>
      </c>
    </row>
    <row r="34" spans="1:7" x14ac:dyDescent="0.25">
      <c r="A34" s="8">
        <v>42705.23269675926</v>
      </c>
      <c r="B34" s="21" t="s">
        <v>183</v>
      </c>
      <c r="C34" s="21" t="s">
        <v>480</v>
      </c>
      <c r="D34" s="165">
        <v>1090000</v>
      </c>
      <c r="E34" s="21" t="s">
        <v>310</v>
      </c>
      <c r="F34" s="21" t="s">
        <v>392</v>
      </c>
      <c r="G34" s="8" t="str">
        <f t="shared" si="0"/>
        <v>SPECTOR MICHAEL</v>
      </c>
    </row>
    <row r="35" spans="1:7" x14ac:dyDescent="0.25">
      <c r="A35" s="8">
        <v>42705.233993055554</v>
      </c>
      <c r="B35" s="21" t="s">
        <v>183</v>
      </c>
      <c r="C35" s="21" t="s">
        <v>480</v>
      </c>
      <c r="D35" s="165">
        <v>1090000</v>
      </c>
      <c r="E35" s="21" t="s">
        <v>310</v>
      </c>
      <c r="F35" s="21" t="s">
        <v>392</v>
      </c>
      <c r="G35" s="8" t="str">
        <f t="shared" si="0"/>
        <v>SPECTOR MICHAEL</v>
      </c>
    </row>
    <row r="36" spans="1:7" x14ac:dyDescent="0.25">
      <c r="A36" s="8">
        <v>42705.2340625</v>
      </c>
      <c r="B36" s="21" t="s">
        <v>307</v>
      </c>
      <c r="C36" s="21" t="s">
        <v>481</v>
      </c>
      <c r="D36" s="165">
        <v>2630000</v>
      </c>
      <c r="E36" s="21" t="s">
        <v>259</v>
      </c>
      <c r="F36" s="21" t="s">
        <v>395</v>
      </c>
      <c r="G36" s="8" t="str">
        <f t="shared" si="0"/>
        <v>SAFIEF AEIMEN</v>
      </c>
    </row>
    <row r="37" spans="1:7" x14ac:dyDescent="0.25">
      <c r="A37" s="8">
        <v>42705.244629629633</v>
      </c>
      <c r="B37" s="21" t="s">
        <v>263</v>
      </c>
      <c r="C37" s="21" t="s">
        <v>482</v>
      </c>
      <c r="D37" s="165">
        <v>2100000</v>
      </c>
      <c r="E37" s="21" t="s">
        <v>483</v>
      </c>
      <c r="F37" s="21" t="s">
        <v>484</v>
      </c>
      <c r="G37" s="8" t="str">
        <f t="shared" si="0"/>
        <v>ISHMAEL JOSEPH</v>
      </c>
    </row>
    <row r="38" spans="1:7" x14ac:dyDescent="0.25">
      <c r="A38" s="8">
        <v>42705.245057870372</v>
      </c>
      <c r="B38" s="21" t="s">
        <v>213</v>
      </c>
      <c r="C38" s="21" t="s">
        <v>412</v>
      </c>
      <c r="D38" s="165">
        <v>1110000</v>
      </c>
      <c r="E38" s="21" t="s">
        <v>299</v>
      </c>
      <c r="F38" s="21" t="s">
        <v>394</v>
      </c>
      <c r="G38" s="8" t="str">
        <f t="shared" si="0"/>
        <v>STARKS ANGELINA</v>
      </c>
    </row>
    <row r="39" spans="1:7" x14ac:dyDescent="0.25">
      <c r="A39" s="8">
        <v>42705.24690972222</v>
      </c>
      <c r="B39" s="21" t="s">
        <v>249</v>
      </c>
      <c r="C39" s="21" t="s">
        <v>485</v>
      </c>
      <c r="D39" s="165">
        <v>2140000</v>
      </c>
      <c r="E39" s="21" t="s">
        <v>459</v>
      </c>
      <c r="F39" s="21" t="s">
        <v>460</v>
      </c>
      <c r="G39" s="8" t="str">
        <f t="shared" si="0"/>
        <v>ROBINSON KADDIBA</v>
      </c>
    </row>
    <row r="40" spans="1:7" x14ac:dyDescent="0.25">
      <c r="A40" s="8">
        <v>42705.252372685187</v>
      </c>
      <c r="B40" s="26" t="s">
        <v>463</v>
      </c>
      <c r="C40" s="21" t="s">
        <v>486</v>
      </c>
      <c r="D40" s="165">
        <v>2010000</v>
      </c>
      <c r="E40" s="21" t="s">
        <v>353</v>
      </c>
      <c r="F40" s="21" t="s">
        <v>391</v>
      </c>
      <c r="G40" s="8" t="str">
        <f t="shared" si="0"/>
        <v>MAELZER KURT</v>
      </c>
    </row>
    <row r="41" spans="1:7" x14ac:dyDescent="0.25">
      <c r="A41" s="8">
        <v>42705.253993055558</v>
      </c>
      <c r="B41" s="21" t="s">
        <v>262</v>
      </c>
      <c r="C41" s="21" t="s">
        <v>487</v>
      </c>
      <c r="D41" s="165">
        <v>2100000</v>
      </c>
      <c r="E41" s="21" t="s">
        <v>483</v>
      </c>
      <c r="F41" s="21" t="s">
        <v>484</v>
      </c>
      <c r="G41" s="8" t="str">
        <f t="shared" si="0"/>
        <v>ISHMAEL JOSEPH</v>
      </c>
    </row>
    <row r="42" spans="1:7" x14ac:dyDescent="0.25">
      <c r="A42" s="8">
        <v>42705.255972222221</v>
      </c>
      <c r="B42" s="21" t="s">
        <v>333</v>
      </c>
      <c r="C42" s="21" t="s">
        <v>488</v>
      </c>
      <c r="D42" s="165">
        <v>1830000</v>
      </c>
      <c r="E42" s="21" t="s">
        <v>474</v>
      </c>
      <c r="F42" s="21" t="s">
        <v>475</v>
      </c>
      <c r="G42" s="8" t="str">
        <f t="shared" si="0"/>
        <v>YORK EDGAR</v>
      </c>
    </row>
    <row r="43" spans="1:7" x14ac:dyDescent="0.25">
      <c r="A43" s="8">
        <v>42705.256273148145</v>
      </c>
      <c r="B43" s="21" t="s">
        <v>274</v>
      </c>
      <c r="C43" s="21" t="s">
        <v>489</v>
      </c>
      <c r="D43" s="165">
        <v>2620000</v>
      </c>
      <c r="E43" s="21" t="s">
        <v>309</v>
      </c>
      <c r="F43" s="21" t="s">
        <v>396</v>
      </c>
      <c r="G43" s="8" t="str">
        <f t="shared" si="0"/>
        <v>PERKINS DARREN</v>
      </c>
    </row>
    <row r="44" spans="1:7" x14ac:dyDescent="0.25">
      <c r="A44" s="8">
        <v>42705.257245370369</v>
      </c>
      <c r="B44" s="21" t="s">
        <v>330</v>
      </c>
      <c r="C44" s="21" t="s">
        <v>490</v>
      </c>
      <c r="D44" s="165">
        <v>1760000</v>
      </c>
      <c r="E44" s="21" t="s">
        <v>461</v>
      </c>
      <c r="F44" s="21" t="s">
        <v>462</v>
      </c>
      <c r="G44" s="8" t="str">
        <f t="shared" si="0"/>
        <v>STRICKLAND EVAN</v>
      </c>
    </row>
    <row r="45" spans="1:7" x14ac:dyDescent="0.25">
      <c r="A45" s="8">
        <v>42705.265798611108</v>
      </c>
      <c r="B45" s="21" t="s">
        <v>308</v>
      </c>
      <c r="C45" s="21" t="s">
        <v>491</v>
      </c>
      <c r="D45" s="165">
        <v>2630000</v>
      </c>
      <c r="E45" s="21" t="s">
        <v>259</v>
      </c>
      <c r="F45" s="21" t="s">
        <v>395</v>
      </c>
      <c r="G45" s="8" t="str">
        <f t="shared" si="0"/>
        <v>SAFIEF AEIMEN</v>
      </c>
    </row>
    <row r="46" spans="1:7" x14ac:dyDescent="0.25">
      <c r="A46" s="8">
        <v>42705.269386574073</v>
      </c>
      <c r="B46" s="21" t="s">
        <v>184</v>
      </c>
      <c r="C46" s="21" t="s">
        <v>492</v>
      </c>
      <c r="D46" s="165">
        <v>1830000</v>
      </c>
      <c r="E46" s="21" t="s">
        <v>474</v>
      </c>
      <c r="F46" s="21" t="s">
        <v>475</v>
      </c>
      <c r="G46" s="8" t="str">
        <f t="shared" si="0"/>
        <v>YORK EDGAR</v>
      </c>
    </row>
    <row r="47" spans="1:7" x14ac:dyDescent="0.25">
      <c r="A47" s="8">
        <v>42705.275138888886</v>
      </c>
      <c r="B47" s="21" t="s">
        <v>266</v>
      </c>
      <c r="C47" s="21" t="s">
        <v>493</v>
      </c>
      <c r="D47" s="165">
        <v>1090000</v>
      </c>
      <c r="E47" s="21" t="s">
        <v>310</v>
      </c>
      <c r="F47" s="21" t="s">
        <v>392</v>
      </c>
      <c r="G47" s="8" t="str">
        <f t="shared" si="0"/>
        <v>SPECTOR MICHAEL</v>
      </c>
    </row>
    <row r="48" spans="1:7" x14ac:dyDescent="0.25">
      <c r="A48" s="8">
        <v>42705.27621527778</v>
      </c>
      <c r="B48" s="21" t="s">
        <v>263</v>
      </c>
      <c r="C48" s="21" t="s">
        <v>494</v>
      </c>
      <c r="D48" s="165">
        <v>2100000</v>
      </c>
      <c r="E48" s="21" t="s">
        <v>483</v>
      </c>
      <c r="F48" s="21" t="s">
        <v>484</v>
      </c>
      <c r="G48" s="8" t="str">
        <f t="shared" si="0"/>
        <v>ISHMAEL JOSEPH</v>
      </c>
    </row>
    <row r="49" spans="1:7" x14ac:dyDescent="0.25">
      <c r="A49" s="8">
        <v>42705.277407407404</v>
      </c>
      <c r="B49" s="21" t="s">
        <v>248</v>
      </c>
      <c r="C49" s="21" t="s">
        <v>495</v>
      </c>
      <c r="D49" s="165">
        <v>2140000</v>
      </c>
      <c r="E49" s="21" t="s">
        <v>459</v>
      </c>
      <c r="F49" s="21" t="s">
        <v>460</v>
      </c>
      <c r="G49" s="8" t="str">
        <f t="shared" si="0"/>
        <v>ROBINSON KADDIBA</v>
      </c>
    </row>
    <row r="50" spans="1:7" x14ac:dyDescent="0.25">
      <c r="A50" s="8">
        <v>42705.278657407405</v>
      </c>
      <c r="B50" s="21" t="s">
        <v>211</v>
      </c>
      <c r="C50" s="21" t="s">
        <v>496</v>
      </c>
      <c r="D50" s="165">
        <v>1110000</v>
      </c>
      <c r="E50" s="21" t="s">
        <v>299</v>
      </c>
      <c r="F50" s="21" t="s">
        <v>394</v>
      </c>
      <c r="G50" s="8" t="str">
        <f t="shared" si="0"/>
        <v>STARKS ANGELINA</v>
      </c>
    </row>
    <row r="51" spans="1:7" x14ac:dyDescent="0.25">
      <c r="A51" s="8">
        <v>42705.286770833336</v>
      </c>
      <c r="B51" s="21" t="s">
        <v>470</v>
      </c>
      <c r="C51" s="21" t="s">
        <v>497</v>
      </c>
      <c r="D51" s="165">
        <v>2010000</v>
      </c>
      <c r="E51" s="21" t="s">
        <v>353</v>
      </c>
      <c r="F51" s="21" t="s">
        <v>391</v>
      </c>
      <c r="G51" s="8" t="str">
        <f t="shared" si="0"/>
        <v>MAELZER KURT</v>
      </c>
    </row>
    <row r="52" spans="1:7" x14ac:dyDescent="0.25">
      <c r="A52" s="8">
        <v>42705.292048611111</v>
      </c>
      <c r="B52" s="21" t="s">
        <v>262</v>
      </c>
      <c r="C52" s="21" t="s">
        <v>498</v>
      </c>
      <c r="D52" s="165">
        <v>2100000</v>
      </c>
      <c r="E52" s="21" t="s">
        <v>483</v>
      </c>
      <c r="F52" s="21" t="s">
        <v>484</v>
      </c>
      <c r="G52" s="8" t="str">
        <f t="shared" si="0"/>
        <v>ISHMAEL JOSEPH</v>
      </c>
    </row>
    <row r="53" spans="1:7" x14ac:dyDescent="0.25">
      <c r="A53" s="8">
        <v>42705.295844907407</v>
      </c>
      <c r="B53" s="21" t="s">
        <v>327</v>
      </c>
      <c r="C53" s="21" t="s">
        <v>414</v>
      </c>
      <c r="D53" s="165">
        <v>1760000</v>
      </c>
      <c r="E53" s="21" t="s">
        <v>461</v>
      </c>
      <c r="F53" s="21" t="s">
        <v>462</v>
      </c>
      <c r="G53" s="8" t="str">
        <f t="shared" si="0"/>
        <v>STRICKLAND EVAN</v>
      </c>
    </row>
    <row r="54" spans="1:7" x14ac:dyDescent="0.25">
      <c r="A54" s="8">
        <v>42705.297048611108</v>
      </c>
      <c r="B54" s="21" t="s">
        <v>333</v>
      </c>
      <c r="C54" s="21" t="s">
        <v>499</v>
      </c>
      <c r="D54" s="165">
        <v>1830000</v>
      </c>
      <c r="E54" s="21" t="s">
        <v>474</v>
      </c>
      <c r="F54" s="21" t="s">
        <v>475</v>
      </c>
      <c r="G54" s="8" t="str">
        <f t="shared" si="0"/>
        <v>YORK EDGAR</v>
      </c>
    </row>
    <row r="55" spans="1:7" x14ac:dyDescent="0.25">
      <c r="A55" s="8">
        <v>42705.297222222223</v>
      </c>
      <c r="B55" s="21" t="s">
        <v>246</v>
      </c>
      <c r="C55" s="21" t="s">
        <v>413</v>
      </c>
      <c r="D55" s="165">
        <v>2620000</v>
      </c>
      <c r="E55" s="21" t="s">
        <v>309</v>
      </c>
      <c r="F55" s="21" t="s">
        <v>396</v>
      </c>
      <c r="G55" s="8" t="str">
        <f t="shared" si="0"/>
        <v>PERKINS DARREN</v>
      </c>
    </row>
    <row r="56" spans="1:7" x14ac:dyDescent="0.25">
      <c r="A56" s="8">
        <v>42705.300127314818</v>
      </c>
      <c r="B56" s="21" t="s">
        <v>307</v>
      </c>
      <c r="C56" s="21" t="s">
        <v>500</v>
      </c>
      <c r="D56" s="165">
        <v>2630000</v>
      </c>
      <c r="E56" s="21" t="s">
        <v>259</v>
      </c>
      <c r="F56" s="21" t="s">
        <v>395</v>
      </c>
      <c r="G56" s="8" t="str">
        <f t="shared" si="0"/>
        <v>SAFIEF AEIMEN</v>
      </c>
    </row>
    <row r="57" spans="1:7" x14ac:dyDescent="0.25">
      <c r="A57" s="8">
        <v>42705.308125000003</v>
      </c>
      <c r="B57" s="21" t="s">
        <v>183</v>
      </c>
      <c r="C57" s="21" t="s">
        <v>501</v>
      </c>
      <c r="D57" s="165">
        <v>1240000</v>
      </c>
      <c r="E57" s="21" t="s">
        <v>502</v>
      </c>
      <c r="F57" s="21" t="s">
        <v>503</v>
      </c>
      <c r="G57" s="8" t="str">
        <f t="shared" si="0"/>
        <v>GRASTON MATHEU</v>
      </c>
    </row>
    <row r="58" spans="1:7" x14ac:dyDescent="0.25">
      <c r="A58" s="8">
        <v>42705.310844907406</v>
      </c>
      <c r="B58" s="21" t="s">
        <v>184</v>
      </c>
      <c r="C58" s="21" t="s">
        <v>504</v>
      </c>
      <c r="D58" s="165">
        <v>1830000</v>
      </c>
      <c r="E58" s="21" t="s">
        <v>474</v>
      </c>
      <c r="F58" s="21" t="s">
        <v>475</v>
      </c>
      <c r="G58" s="8" t="str">
        <f t="shared" si="0"/>
        <v>YORK EDGAR</v>
      </c>
    </row>
    <row r="59" spans="1:7" x14ac:dyDescent="0.25">
      <c r="A59" s="8">
        <v>42705.317141203705</v>
      </c>
      <c r="B59" s="21" t="s">
        <v>263</v>
      </c>
      <c r="C59" s="21" t="s">
        <v>415</v>
      </c>
      <c r="D59" s="165">
        <v>2100000</v>
      </c>
      <c r="E59" s="21" t="s">
        <v>483</v>
      </c>
      <c r="F59" s="21" t="s">
        <v>484</v>
      </c>
      <c r="G59" s="8" t="str">
        <f t="shared" si="0"/>
        <v>ISHMAEL JOSEPH</v>
      </c>
    </row>
    <row r="60" spans="1:7" x14ac:dyDescent="0.25">
      <c r="A60" s="8">
        <v>42705.31722222222</v>
      </c>
      <c r="B60" s="21" t="s">
        <v>213</v>
      </c>
      <c r="C60" s="21" t="s">
        <v>505</v>
      </c>
      <c r="D60" s="165">
        <v>1110000</v>
      </c>
      <c r="E60" s="21" t="s">
        <v>299</v>
      </c>
      <c r="F60" s="21" t="s">
        <v>394</v>
      </c>
      <c r="G60" s="8" t="str">
        <f t="shared" si="0"/>
        <v>STARKS ANGELINA</v>
      </c>
    </row>
    <row r="61" spans="1:7" x14ac:dyDescent="0.25">
      <c r="A61" s="8">
        <v>42705.319178240738</v>
      </c>
      <c r="B61" s="21" t="s">
        <v>184</v>
      </c>
      <c r="C61" s="21" t="s">
        <v>504</v>
      </c>
      <c r="D61" s="165">
        <v>1340000</v>
      </c>
      <c r="E61" s="21" t="s">
        <v>334</v>
      </c>
      <c r="F61" s="21" t="s">
        <v>398</v>
      </c>
      <c r="G61" s="8" t="str">
        <f t="shared" si="0"/>
        <v>BEAM ROSS</v>
      </c>
    </row>
    <row r="62" spans="1:7" x14ac:dyDescent="0.25">
      <c r="A62" s="8">
        <v>42705.32303240741</v>
      </c>
      <c r="B62" s="21" t="s">
        <v>249</v>
      </c>
      <c r="C62" s="21" t="s">
        <v>506</v>
      </c>
      <c r="D62" s="165">
        <v>2140000</v>
      </c>
      <c r="E62" s="21" t="s">
        <v>459</v>
      </c>
      <c r="F62" s="21" t="s">
        <v>460</v>
      </c>
      <c r="G62" s="8" t="str">
        <f t="shared" si="0"/>
        <v>ROBINSON KADDIBA</v>
      </c>
    </row>
    <row r="63" spans="1:7" x14ac:dyDescent="0.25">
      <c r="A63" s="8">
        <v>42705.323750000003</v>
      </c>
      <c r="B63" s="21" t="s">
        <v>249</v>
      </c>
      <c r="C63" s="21" t="s">
        <v>506</v>
      </c>
      <c r="D63" s="165">
        <v>2140000</v>
      </c>
      <c r="E63" s="21" t="s">
        <v>459</v>
      </c>
      <c r="F63" s="21" t="s">
        <v>460</v>
      </c>
      <c r="G63" s="8" t="str">
        <f t="shared" si="0"/>
        <v>ROBINSON KADDIBA</v>
      </c>
    </row>
    <row r="64" spans="1:7" x14ac:dyDescent="0.25">
      <c r="A64" s="27">
        <v>42705.326319444444</v>
      </c>
      <c r="B64" s="21" t="s">
        <v>463</v>
      </c>
      <c r="C64" s="21" t="s">
        <v>507</v>
      </c>
      <c r="D64" s="165">
        <v>2010000</v>
      </c>
      <c r="E64" s="21" t="s">
        <v>353</v>
      </c>
      <c r="F64" s="21" t="s">
        <v>391</v>
      </c>
      <c r="G64" s="8" t="str">
        <f t="shared" si="0"/>
        <v>MAELZER KURT</v>
      </c>
    </row>
    <row r="65" spans="1:7" x14ac:dyDescent="0.25">
      <c r="A65" s="8">
        <v>42705.332233796296</v>
      </c>
      <c r="B65" s="21" t="s">
        <v>330</v>
      </c>
      <c r="C65" s="21" t="s">
        <v>508</v>
      </c>
      <c r="D65" s="165">
        <v>1760000</v>
      </c>
      <c r="E65" s="21" t="s">
        <v>461</v>
      </c>
      <c r="F65" s="21" t="s">
        <v>462</v>
      </c>
      <c r="G65" s="8" t="str">
        <f t="shared" si="0"/>
        <v>STRICKLAND EVAN</v>
      </c>
    </row>
    <row r="66" spans="1:7" x14ac:dyDescent="0.25">
      <c r="A66" s="8">
        <v>42705.333101851851</v>
      </c>
      <c r="B66" s="21" t="s">
        <v>262</v>
      </c>
      <c r="C66" s="21" t="s">
        <v>509</v>
      </c>
      <c r="D66" s="165">
        <v>2100000</v>
      </c>
      <c r="E66" s="21" t="s">
        <v>483</v>
      </c>
      <c r="F66" s="21" t="s">
        <v>484</v>
      </c>
      <c r="G66" s="8" t="str">
        <f t="shared" si="0"/>
        <v>ISHMAEL JOSEPH</v>
      </c>
    </row>
    <row r="67" spans="1:7" x14ac:dyDescent="0.25">
      <c r="A67" s="8">
        <v>42705.337152777778</v>
      </c>
      <c r="B67" s="21" t="s">
        <v>274</v>
      </c>
      <c r="C67" s="21" t="s">
        <v>510</v>
      </c>
      <c r="D67" s="165">
        <v>2620000</v>
      </c>
      <c r="E67" s="21" t="s">
        <v>309</v>
      </c>
      <c r="F67" s="21" t="s">
        <v>396</v>
      </c>
      <c r="G67" s="8" t="str">
        <f t="shared" ref="G67:G130" si="1">E67&amp;" "&amp;F67</f>
        <v>PERKINS DARREN</v>
      </c>
    </row>
    <row r="68" spans="1:7" x14ac:dyDescent="0.25">
      <c r="A68" s="8">
        <v>42705.337372685186</v>
      </c>
      <c r="B68" s="21" t="s">
        <v>330</v>
      </c>
      <c r="C68" s="21" t="s">
        <v>508</v>
      </c>
      <c r="D68" s="165">
        <v>1760000</v>
      </c>
      <c r="E68" s="21" t="s">
        <v>461</v>
      </c>
      <c r="F68" s="21" t="s">
        <v>462</v>
      </c>
      <c r="G68" s="8" t="str">
        <f t="shared" si="1"/>
        <v>STRICKLAND EVAN</v>
      </c>
    </row>
    <row r="69" spans="1:7" x14ac:dyDescent="0.25">
      <c r="A69" s="8">
        <v>42705.338275462964</v>
      </c>
      <c r="B69" s="21" t="s">
        <v>333</v>
      </c>
      <c r="C69" s="21" t="s">
        <v>511</v>
      </c>
      <c r="D69" s="165">
        <v>1340000</v>
      </c>
      <c r="E69" s="21" t="s">
        <v>334</v>
      </c>
      <c r="F69" s="21" t="s">
        <v>398</v>
      </c>
      <c r="G69" s="8" t="str">
        <f t="shared" si="1"/>
        <v>BEAM ROSS</v>
      </c>
    </row>
    <row r="70" spans="1:7" x14ac:dyDescent="0.25">
      <c r="A70" s="8">
        <v>42705.3437037037</v>
      </c>
      <c r="B70" s="21" t="s">
        <v>262</v>
      </c>
      <c r="C70" s="21" t="s">
        <v>509</v>
      </c>
      <c r="D70" s="165">
        <v>1360000</v>
      </c>
      <c r="E70" s="21" t="s">
        <v>354</v>
      </c>
      <c r="F70" s="21" t="s">
        <v>397</v>
      </c>
      <c r="G70" s="8" t="str">
        <f t="shared" si="1"/>
        <v>SANTIZO D. EDY</v>
      </c>
    </row>
    <row r="71" spans="1:7" x14ac:dyDescent="0.25">
      <c r="A71" s="8">
        <v>42705.345671296294</v>
      </c>
      <c r="B71" s="21" t="s">
        <v>266</v>
      </c>
      <c r="C71" s="21" t="s">
        <v>512</v>
      </c>
      <c r="D71" s="165">
        <v>1240000</v>
      </c>
      <c r="E71" s="21" t="s">
        <v>502</v>
      </c>
      <c r="F71" s="21" t="s">
        <v>503</v>
      </c>
      <c r="G71" s="8" t="str">
        <f t="shared" si="1"/>
        <v>GRASTON MATHEU</v>
      </c>
    </row>
    <row r="72" spans="1:7" x14ac:dyDescent="0.25">
      <c r="A72" s="8">
        <v>42705.347581018519</v>
      </c>
      <c r="B72" s="21" t="s">
        <v>308</v>
      </c>
      <c r="C72" s="21" t="s">
        <v>513</v>
      </c>
      <c r="D72" s="165">
        <v>2630000</v>
      </c>
      <c r="E72" s="21" t="s">
        <v>259</v>
      </c>
      <c r="F72" s="21" t="s">
        <v>395</v>
      </c>
      <c r="G72" s="8" t="str">
        <f t="shared" si="1"/>
        <v>SAFIEF AEIMEN</v>
      </c>
    </row>
    <row r="73" spans="1:7" x14ac:dyDescent="0.25">
      <c r="A73" s="8">
        <v>42705.355104166665</v>
      </c>
      <c r="B73" s="21" t="s">
        <v>184</v>
      </c>
      <c r="C73" s="21" t="s">
        <v>514</v>
      </c>
      <c r="D73" s="165">
        <v>1830000</v>
      </c>
      <c r="E73" s="21" t="s">
        <v>474</v>
      </c>
      <c r="F73" s="21" t="s">
        <v>475</v>
      </c>
      <c r="G73" s="8" t="str">
        <f t="shared" si="1"/>
        <v>YORK EDGAR</v>
      </c>
    </row>
    <row r="74" spans="1:7" x14ac:dyDescent="0.25">
      <c r="A74" s="8">
        <v>42705.355821759258</v>
      </c>
      <c r="B74" s="21" t="s">
        <v>211</v>
      </c>
      <c r="C74" s="21" t="s">
        <v>515</v>
      </c>
      <c r="D74" s="165">
        <v>1110000</v>
      </c>
      <c r="E74" s="21" t="s">
        <v>299</v>
      </c>
      <c r="F74" s="21" t="s">
        <v>394</v>
      </c>
      <c r="G74" s="8" t="str">
        <f t="shared" si="1"/>
        <v>STARKS ANGELINA</v>
      </c>
    </row>
    <row r="75" spans="1:7" x14ac:dyDescent="0.25">
      <c r="A75" s="8">
        <v>42705.359143518515</v>
      </c>
      <c r="B75" s="21" t="s">
        <v>263</v>
      </c>
      <c r="C75" s="21" t="s">
        <v>416</v>
      </c>
      <c r="D75" s="165">
        <v>1360000</v>
      </c>
      <c r="E75" s="21" t="s">
        <v>354</v>
      </c>
      <c r="F75" s="21" t="s">
        <v>397</v>
      </c>
      <c r="G75" s="8" t="str">
        <f t="shared" si="1"/>
        <v>SANTIZO D. EDY</v>
      </c>
    </row>
    <row r="76" spans="1:7" x14ac:dyDescent="0.25">
      <c r="A76" s="8">
        <v>42705.360486111109</v>
      </c>
      <c r="B76" s="21" t="s">
        <v>248</v>
      </c>
      <c r="C76" s="21" t="s">
        <v>516</v>
      </c>
      <c r="D76" s="165">
        <v>2140000</v>
      </c>
      <c r="E76" s="21" t="s">
        <v>459</v>
      </c>
      <c r="F76" s="21" t="s">
        <v>460</v>
      </c>
      <c r="G76" s="8" t="str">
        <f t="shared" si="1"/>
        <v>ROBINSON KADDIBA</v>
      </c>
    </row>
    <row r="77" spans="1:7" x14ac:dyDescent="0.25">
      <c r="A77" s="8">
        <v>42705.361122685186</v>
      </c>
      <c r="B77" s="21" t="s">
        <v>470</v>
      </c>
      <c r="C77" s="21" t="s">
        <v>517</v>
      </c>
      <c r="D77" s="165">
        <v>2010000</v>
      </c>
      <c r="E77" s="21" t="s">
        <v>353</v>
      </c>
      <c r="F77" s="21" t="s">
        <v>391</v>
      </c>
      <c r="G77" s="8" t="str">
        <f t="shared" si="1"/>
        <v>MAELZER KURT</v>
      </c>
    </row>
    <row r="78" spans="1:7" x14ac:dyDescent="0.25">
      <c r="A78" s="8">
        <v>42705.364363425928</v>
      </c>
      <c r="B78" s="21" t="s">
        <v>327</v>
      </c>
      <c r="C78" s="21" t="s">
        <v>518</v>
      </c>
      <c r="D78" s="165">
        <v>1760000</v>
      </c>
      <c r="E78" s="21" t="s">
        <v>461</v>
      </c>
      <c r="F78" s="21" t="s">
        <v>462</v>
      </c>
      <c r="G78" s="8" t="str">
        <f t="shared" si="1"/>
        <v>STRICKLAND EVAN</v>
      </c>
    </row>
    <row r="79" spans="1:7" x14ac:dyDescent="0.25">
      <c r="A79" s="8">
        <v>42705.375011574077</v>
      </c>
      <c r="B79" s="21" t="s">
        <v>246</v>
      </c>
      <c r="C79" s="21" t="s">
        <v>519</v>
      </c>
      <c r="D79" s="165">
        <v>2620000</v>
      </c>
      <c r="E79" s="21" t="s">
        <v>309</v>
      </c>
      <c r="F79" s="21" t="s">
        <v>396</v>
      </c>
      <c r="G79" s="8" t="str">
        <f t="shared" si="1"/>
        <v>PERKINS DARREN</v>
      </c>
    </row>
    <row r="80" spans="1:7" x14ac:dyDescent="0.25">
      <c r="A80" s="8">
        <v>42705.38008101852</v>
      </c>
      <c r="B80" s="21" t="s">
        <v>307</v>
      </c>
      <c r="C80" s="21" t="s">
        <v>520</v>
      </c>
      <c r="D80" s="165">
        <v>2630000</v>
      </c>
      <c r="E80" s="21" t="s">
        <v>259</v>
      </c>
      <c r="F80" s="21" t="s">
        <v>395</v>
      </c>
      <c r="G80" s="8" t="str">
        <f t="shared" si="1"/>
        <v>SAFIEF AEIMEN</v>
      </c>
    </row>
    <row r="81" spans="1:7" x14ac:dyDescent="0.25">
      <c r="A81" s="8">
        <v>42705.38554398148</v>
      </c>
      <c r="B81" s="21" t="s">
        <v>183</v>
      </c>
      <c r="C81" s="21" t="s">
        <v>521</v>
      </c>
      <c r="D81" s="165">
        <v>1090000</v>
      </c>
      <c r="E81" s="21" t="s">
        <v>310</v>
      </c>
      <c r="F81" s="21" t="s">
        <v>392</v>
      </c>
      <c r="G81" s="8" t="str">
        <f t="shared" si="1"/>
        <v>SPECTOR MICHAEL</v>
      </c>
    </row>
    <row r="82" spans="1:7" x14ac:dyDescent="0.25">
      <c r="A82" s="8">
        <v>42705.385636574072</v>
      </c>
      <c r="B82" s="21" t="s">
        <v>262</v>
      </c>
      <c r="C82" s="21" t="s">
        <v>522</v>
      </c>
      <c r="D82" s="165">
        <v>2100000</v>
      </c>
      <c r="E82" s="21" t="s">
        <v>483</v>
      </c>
      <c r="F82" s="21" t="s">
        <v>484</v>
      </c>
      <c r="G82" s="8" t="str">
        <f t="shared" si="1"/>
        <v>ISHMAEL JOSEPH</v>
      </c>
    </row>
    <row r="83" spans="1:7" x14ac:dyDescent="0.25">
      <c r="A83" s="8">
        <v>42705.391134259262</v>
      </c>
      <c r="B83" s="21" t="s">
        <v>249</v>
      </c>
      <c r="C83" s="21" t="s">
        <v>523</v>
      </c>
      <c r="D83" s="165">
        <v>2140000</v>
      </c>
      <c r="E83" s="21" t="s">
        <v>459</v>
      </c>
      <c r="F83" s="21" t="s">
        <v>460</v>
      </c>
      <c r="G83" s="8" t="str">
        <f t="shared" si="1"/>
        <v>ROBINSON KADDIBA</v>
      </c>
    </row>
    <row r="84" spans="1:7" x14ac:dyDescent="0.25">
      <c r="A84" s="8">
        <v>42705.392280092594</v>
      </c>
      <c r="B84" s="21" t="s">
        <v>213</v>
      </c>
      <c r="C84" s="21" t="s">
        <v>420</v>
      </c>
      <c r="D84" s="165">
        <v>1110000</v>
      </c>
      <c r="E84" s="21" t="s">
        <v>299</v>
      </c>
      <c r="F84" s="21" t="s">
        <v>394</v>
      </c>
      <c r="G84" s="8" t="str">
        <f t="shared" si="1"/>
        <v>STARKS ANGELINA</v>
      </c>
    </row>
    <row r="85" spans="1:7" x14ac:dyDescent="0.25">
      <c r="A85" s="8">
        <v>42705.397939814815</v>
      </c>
      <c r="B85" s="21" t="s">
        <v>463</v>
      </c>
      <c r="C85" s="21" t="s">
        <v>524</v>
      </c>
      <c r="D85" s="165">
        <v>2010000</v>
      </c>
      <c r="E85" s="21" t="s">
        <v>353</v>
      </c>
      <c r="F85" s="21" t="s">
        <v>391</v>
      </c>
      <c r="G85" s="8" t="str">
        <f t="shared" si="1"/>
        <v>MAELZER KURT</v>
      </c>
    </row>
    <row r="86" spans="1:7" x14ac:dyDescent="0.25">
      <c r="A86" s="8">
        <v>42705.400613425925</v>
      </c>
      <c r="B86" s="21" t="s">
        <v>263</v>
      </c>
      <c r="C86" s="21" t="s">
        <v>419</v>
      </c>
      <c r="D86" s="165">
        <v>2100000</v>
      </c>
      <c r="E86" s="21" t="s">
        <v>483</v>
      </c>
      <c r="F86" s="21" t="s">
        <v>484</v>
      </c>
      <c r="G86" s="8" t="str">
        <f t="shared" si="1"/>
        <v>ISHMAEL JOSEPH</v>
      </c>
    </row>
    <row r="87" spans="1:7" x14ac:dyDescent="0.25">
      <c r="A87" s="8">
        <v>42705.404016203705</v>
      </c>
      <c r="B87" s="21" t="s">
        <v>330</v>
      </c>
      <c r="C87" s="21" t="s">
        <v>525</v>
      </c>
      <c r="D87" s="165">
        <v>1760000</v>
      </c>
      <c r="E87" s="21" t="s">
        <v>461</v>
      </c>
      <c r="F87" s="21" t="s">
        <v>462</v>
      </c>
      <c r="G87" s="8" t="str">
        <f t="shared" si="1"/>
        <v>STRICKLAND EVAN</v>
      </c>
    </row>
    <row r="88" spans="1:7" x14ac:dyDescent="0.25">
      <c r="A88" s="8">
        <v>42705.408726851849</v>
      </c>
      <c r="B88" s="21" t="s">
        <v>274</v>
      </c>
      <c r="C88" s="21" t="s">
        <v>421</v>
      </c>
      <c r="D88" s="165">
        <v>2620000</v>
      </c>
      <c r="E88" s="21" t="s">
        <v>309</v>
      </c>
      <c r="F88" s="21" t="s">
        <v>396</v>
      </c>
      <c r="G88" s="8" t="str">
        <f t="shared" si="1"/>
        <v>PERKINS DARREN</v>
      </c>
    </row>
    <row r="89" spans="1:7" x14ac:dyDescent="0.25">
      <c r="A89" s="8">
        <v>42705.411435185182</v>
      </c>
      <c r="B89" s="21" t="s">
        <v>308</v>
      </c>
      <c r="C89" s="21" t="s">
        <v>526</v>
      </c>
      <c r="D89" s="165">
        <v>2630000</v>
      </c>
      <c r="E89" s="21" t="s">
        <v>259</v>
      </c>
      <c r="F89" s="21" t="s">
        <v>395</v>
      </c>
      <c r="G89" s="8" t="str">
        <f t="shared" si="1"/>
        <v>SAFIEF AEIMEN</v>
      </c>
    </row>
    <row r="90" spans="1:7" x14ac:dyDescent="0.25">
      <c r="A90" s="8">
        <v>42705.416377314818</v>
      </c>
      <c r="B90" s="21" t="s">
        <v>262</v>
      </c>
      <c r="C90" s="21" t="s">
        <v>422</v>
      </c>
      <c r="D90" s="165">
        <v>2100000</v>
      </c>
      <c r="E90" s="21" t="s">
        <v>483</v>
      </c>
      <c r="F90" s="21" t="s">
        <v>484</v>
      </c>
      <c r="G90" s="8" t="str">
        <f t="shared" si="1"/>
        <v>ISHMAEL JOSEPH</v>
      </c>
    </row>
    <row r="91" spans="1:7" x14ac:dyDescent="0.25">
      <c r="A91" s="8">
        <v>42705.419432870367</v>
      </c>
      <c r="B91" s="21" t="s">
        <v>266</v>
      </c>
      <c r="C91" s="21" t="s">
        <v>527</v>
      </c>
      <c r="D91" s="165">
        <v>1090000</v>
      </c>
      <c r="E91" s="21" t="s">
        <v>310</v>
      </c>
      <c r="F91" s="21" t="s">
        <v>392</v>
      </c>
      <c r="G91" s="8" t="str">
        <f t="shared" si="1"/>
        <v>SPECTOR MICHAEL</v>
      </c>
    </row>
    <row r="92" spans="1:7" x14ac:dyDescent="0.25">
      <c r="A92" s="8">
        <v>42705.423368055555</v>
      </c>
      <c r="B92" s="21" t="s">
        <v>248</v>
      </c>
      <c r="C92" s="21" t="s">
        <v>523</v>
      </c>
      <c r="D92" s="165">
        <v>2140000</v>
      </c>
      <c r="E92" s="21" t="s">
        <v>459</v>
      </c>
      <c r="F92" s="21" t="s">
        <v>460</v>
      </c>
      <c r="G92" s="8" t="str">
        <f t="shared" si="1"/>
        <v>ROBINSON KADDIBA</v>
      </c>
    </row>
    <row r="93" spans="1:7" x14ac:dyDescent="0.25">
      <c r="A93" s="8">
        <v>42705.424016203702</v>
      </c>
      <c r="B93" s="21" t="s">
        <v>248</v>
      </c>
      <c r="C93" s="21" t="s">
        <v>528</v>
      </c>
      <c r="D93" s="165">
        <v>2140000</v>
      </c>
      <c r="E93" s="21" t="s">
        <v>459</v>
      </c>
      <c r="F93" s="21" t="s">
        <v>460</v>
      </c>
      <c r="G93" s="8" t="str">
        <f t="shared" si="1"/>
        <v>ROBINSON KADDIBA</v>
      </c>
    </row>
    <row r="94" spans="1:7" x14ac:dyDescent="0.25">
      <c r="A94" s="8">
        <v>42705.425787037035</v>
      </c>
      <c r="B94" s="21" t="s">
        <v>211</v>
      </c>
      <c r="C94" s="21" t="s">
        <v>529</v>
      </c>
      <c r="D94" s="165">
        <v>1110000</v>
      </c>
      <c r="E94" s="21" t="s">
        <v>299</v>
      </c>
      <c r="F94" s="21" t="s">
        <v>394</v>
      </c>
      <c r="G94" s="8" t="str">
        <f t="shared" si="1"/>
        <v>STARKS ANGELINA</v>
      </c>
    </row>
    <row r="95" spans="1:7" x14ac:dyDescent="0.25">
      <c r="A95" s="8">
        <v>42705.433877314812</v>
      </c>
      <c r="B95" s="21" t="s">
        <v>470</v>
      </c>
      <c r="C95" s="21" t="s">
        <v>530</v>
      </c>
      <c r="D95" s="165">
        <v>1830000</v>
      </c>
      <c r="E95" s="21" t="s">
        <v>474</v>
      </c>
      <c r="F95" s="21" t="s">
        <v>475</v>
      </c>
      <c r="G95" s="8" t="str">
        <f t="shared" si="1"/>
        <v>YORK EDGAR</v>
      </c>
    </row>
    <row r="96" spans="1:7" x14ac:dyDescent="0.25">
      <c r="A96" s="8">
        <v>42705.435717592591</v>
      </c>
      <c r="B96" s="21" t="s">
        <v>327</v>
      </c>
      <c r="C96" s="21" t="s">
        <v>531</v>
      </c>
      <c r="D96" s="165">
        <v>1760000</v>
      </c>
      <c r="E96" s="21" t="s">
        <v>461</v>
      </c>
      <c r="F96" s="21" t="s">
        <v>462</v>
      </c>
      <c r="G96" s="8" t="str">
        <f t="shared" si="1"/>
        <v>STRICKLAND EVAN</v>
      </c>
    </row>
    <row r="97" spans="1:7" x14ac:dyDescent="0.25">
      <c r="A97" s="8">
        <v>42705.442430555559</v>
      </c>
      <c r="B97" s="21" t="s">
        <v>532</v>
      </c>
      <c r="C97" s="21" t="s">
        <v>533</v>
      </c>
      <c r="D97" s="165">
        <v>2220000</v>
      </c>
      <c r="E97" s="21" t="s">
        <v>534</v>
      </c>
      <c r="F97" s="21" t="s">
        <v>535</v>
      </c>
      <c r="G97" s="8" t="str">
        <f t="shared" si="1"/>
        <v>HILLS DUSTIN</v>
      </c>
    </row>
    <row r="98" spans="1:7" x14ac:dyDescent="0.25">
      <c r="A98" s="8">
        <v>42705.445625</v>
      </c>
      <c r="B98" s="21" t="s">
        <v>246</v>
      </c>
      <c r="C98" s="21" t="s">
        <v>425</v>
      </c>
      <c r="D98" s="165">
        <v>2620000</v>
      </c>
      <c r="E98" s="21" t="s">
        <v>309</v>
      </c>
      <c r="F98" s="21" t="s">
        <v>396</v>
      </c>
      <c r="G98" s="8" t="str">
        <f t="shared" si="1"/>
        <v>PERKINS DARREN</v>
      </c>
    </row>
    <row r="99" spans="1:7" x14ac:dyDescent="0.25">
      <c r="A99" s="8">
        <v>42705.446932870371</v>
      </c>
      <c r="B99" s="21" t="s">
        <v>307</v>
      </c>
      <c r="C99" s="21" t="s">
        <v>536</v>
      </c>
      <c r="D99" s="165">
        <v>2630000</v>
      </c>
      <c r="E99" s="21" t="s">
        <v>259</v>
      </c>
      <c r="F99" s="21" t="s">
        <v>395</v>
      </c>
      <c r="G99" s="8" t="str">
        <f t="shared" si="1"/>
        <v>SAFIEF AEIMEN</v>
      </c>
    </row>
    <row r="100" spans="1:7" x14ac:dyDescent="0.25">
      <c r="A100" s="8">
        <v>42705.447453703702</v>
      </c>
      <c r="B100" s="21" t="s">
        <v>263</v>
      </c>
      <c r="C100" s="21" t="s">
        <v>423</v>
      </c>
      <c r="D100" s="165">
        <v>2100000</v>
      </c>
      <c r="E100" s="21" t="s">
        <v>483</v>
      </c>
      <c r="F100" s="21" t="s">
        <v>484</v>
      </c>
      <c r="G100" s="8" t="str">
        <f t="shared" si="1"/>
        <v>ISHMAEL JOSEPH</v>
      </c>
    </row>
    <row r="101" spans="1:7" x14ac:dyDescent="0.25">
      <c r="A101" s="8">
        <v>42705.454571759263</v>
      </c>
      <c r="B101" s="21" t="s">
        <v>183</v>
      </c>
      <c r="C101" s="21" t="s">
        <v>537</v>
      </c>
      <c r="D101" s="165">
        <v>940000</v>
      </c>
      <c r="E101" s="21" t="s">
        <v>311</v>
      </c>
      <c r="F101" s="21" t="s">
        <v>399</v>
      </c>
      <c r="G101" s="8" t="str">
        <f t="shared" si="1"/>
        <v>BONDS REYNALDO</v>
      </c>
    </row>
    <row r="102" spans="1:7" x14ac:dyDescent="0.25">
      <c r="A102" s="8">
        <v>42705.459907407407</v>
      </c>
      <c r="B102" s="21" t="s">
        <v>452</v>
      </c>
      <c r="C102" s="21" t="s">
        <v>538</v>
      </c>
      <c r="D102" s="165">
        <v>2040000</v>
      </c>
      <c r="E102" s="21" t="s">
        <v>356</v>
      </c>
      <c r="F102" s="21" t="s">
        <v>402</v>
      </c>
      <c r="G102" s="8" t="str">
        <f t="shared" si="1"/>
        <v>MOSES BRADLEY</v>
      </c>
    </row>
    <row r="103" spans="1:7" x14ac:dyDescent="0.25">
      <c r="A103" s="8">
        <v>42705.460949074077</v>
      </c>
      <c r="B103" s="21" t="s">
        <v>262</v>
      </c>
      <c r="C103" s="21" t="s">
        <v>539</v>
      </c>
      <c r="D103" s="165">
        <v>2100000</v>
      </c>
      <c r="E103" s="21" t="s">
        <v>483</v>
      </c>
      <c r="F103" s="21" t="s">
        <v>484</v>
      </c>
      <c r="G103" s="8" t="str">
        <f t="shared" si="1"/>
        <v>ISHMAEL JOSEPH</v>
      </c>
    </row>
    <row r="104" spans="1:7" x14ac:dyDescent="0.25">
      <c r="A104" s="8">
        <v>42705.463043981479</v>
      </c>
      <c r="B104" s="21" t="s">
        <v>463</v>
      </c>
      <c r="C104" s="21" t="s">
        <v>540</v>
      </c>
      <c r="D104" s="165">
        <v>1830000</v>
      </c>
      <c r="E104" s="21" t="s">
        <v>474</v>
      </c>
      <c r="F104" s="21" t="s">
        <v>475</v>
      </c>
      <c r="G104" s="8" t="str">
        <f t="shared" si="1"/>
        <v>YORK EDGAR</v>
      </c>
    </row>
    <row r="105" spans="1:7" x14ac:dyDescent="0.25">
      <c r="A105" s="8">
        <v>42705.463784722226</v>
      </c>
      <c r="B105" s="21" t="s">
        <v>249</v>
      </c>
      <c r="C105" s="21" t="s">
        <v>541</v>
      </c>
      <c r="D105" s="165">
        <v>2020000</v>
      </c>
      <c r="E105" s="21" t="s">
        <v>542</v>
      </c>
      <c r="F105" s="21" t="s">
        <v>389</v>
      </c>
      <c r="G105" s="8" t="str">
        <f t="shared" si="1"/>
        <v>SHOOK JOHN</v>
      </c>
    </row>
    <row r="106" spans="1:7" x14ac:dyDescent="0.25">
      <c r="A106" s="8">
        <v>42705.463935185187</v>
      </c>
      <c r="B106" s="21" t="s">
        <v>543</v>
      </c>
      <c r="C106" s="21" t="s">
        <v>544</v>
      </c>
      <c r="D106" s="165">
        <v>1340000</v>
      </c>
      <c r="E106" s="21" t="s">
        <v>334</v>
      </c>
      <c r="F106" s="21" t="s">
        <v>398</v>
      </c>
      <c r="G106" s="8" t="str">
        <f t="shared" si="1"/>
        <v>BEAM ROSS</v>
      </c>
    </row>
    <row r="107" spans="1:7" x14ac:dyDescent="0.25">
      <c r="A107" s="8">
        <v>42705.464270833334</v>
      </c>
      <c r="B107" s="21" t="s">
        <v>213</v>
      </c>
      <c r="C107" s="21" t="s">
        <v>424</v>
      </c>
      <c r="D107" s="165">
        <v>1110000</v>
      </c>
      <c r="E107" s="21" t="s">
        <v>299</v>
      </c>
      <c r="F107" s="21" t="s">
        <v>394</v>
      </c>
      <c r="G107" s="8" t="str">
        <f t="shared" si="1"/>
        <v>STARKS ANGELINA</v>
      </c>
    </row>
    <row r="108" spans="1:7" x14ac:dyDescent="0.25">
      <c r="A108" s="8">
        <v>42705.47583333333</v>
      </c>
      <c r="B108" s="21" t="s">
        <v>330</v>
      </c>
      <c r="C108" s="21" t="s">
        <v>426</v>
      </c>
      <c r="D108" s="165">
        <v>2040000</v>
      </c>
      <c r="E108" s="21" t="s">
        <v>356</v>
      </c>
      <c r="F108" s="21" t="s">
        <v>402</v>
      </c>
      <c r="G108" s="8" t="str">
        <f t="shared" si="1"/>
        <v>MOSES BRADLEY</v>
      </c>
    </row>
    <row r="109" spans="1:7" x14ac:dyDescent="0.25">
      <c r="A109" s="8">
        <v>42705.478645833333</v>
      </c>
      <c r="B109" s="21" t="s">
        <v>274</v>
      </c>
      <c r="C109" s="21" t="s">
        <v>545</v>
      </c>
      <c r="D109" s="165">
        <v>2620000</v>
      </c>
      <c r="E109" s="21" t="s">
        <v>309</v>
      </c>
      <c r="F109" s="21" t="s">
        <v>396</v>
      </c>
      <c r="G109" s="8" t="str">
        <f t="shared" si="1"/>
        <v>PERKINS DARREN</v>
      </c>
    </row>
    <row r="110" spans="1:7" x14ac:dyDescent="0.25">
      <c r="A110" s="8">
        <v>42705.485451388886</v>
      </c>
      <c r="B110" s="21" t="s">
        <v>263</v>
      </c>
      <c r="C110" s="21" t="s">
        <v>427</v>
      </c>
      <c r="D110" s="165">
        <v>2100000</v>
      </c>
      <c r="E110" s="21" t="s">
        <v>483</v>
      </c>
      <c r="F110" s="21" t="s">
        <v>484</v>
      </c>
      <c r="G110" s="8" t="str">
        <f t="shared" si="1"/>
        <v>ISHMAEL JOSEPH</v>
      </c>
    </row>
    <row r="111" spans="1:7" x14ac:dyDescent="0.25">
      <c r="A111" s="8">
        <v>42705.485972222225</v>
      </c>
      <c r="B111" s="21" t="s">
        <v>308</v>
      </c>
      <c r="C111" s="21" t="s">
        <v>546</v>
      </c>
      <c r="D111" s="165">
        <v>2270000</v>
      </c>
      <c r="E111" s="21" t="s">
        <v>357</v>
      </c>
      <c r="F111" s="21" t="s">
        <v>404</v>
      </c>
      <c r="G111" s="8" t="str">
        <f t="shared" si="1"/>
        <v>BROWN JACOB</v>
      </c>
    </row>
    <row r="112" spans="1:7" x14ac:dyDescent="0.25">
      <c r="A112" s="8">
        <v>42705.489085648151</v>
      </c>
      <c r="B112" s="21" t="s">
        <v>547</v>
      </c>
      <c r="C112" s="21" t="s">
        <v>548</v>
      </c>
      <c r="D112" s="165">
        <v>1760000</v>
      </c>
      <c r="E112" s="21" t="s">
        <v>461</v>
      </c>
      <c r="F112" s="21" t="s">
        <v>462</v>
      </c>
      <c r="G112" s="8" t="str">
        <f t="shared" si="1"/>
        <v>STRICKLAND EVAN</v>
      </c>
    </row>
    <row r="113" spans="1:7" x14ac:dyDescent="0.25">
      <c r="A113" s="8">
        <v>42705.4924537037</v>
      </c>
      <c r="B113" s="21" t="s">
        <v>266</v>
      </c>
      <c r="C113" s="21" t="s">
        <v>428</v>
      </c>
      <c r="D113" s="165">
        <v>940000</v>
      </c>
      <c r="E113" s="21" t="s">
        <v>311</v>
      </c>
      <c r="F113" s="21" t="s">
        <v>399</v>
      </c>
      <c r="G113" s="8" t="str">
        <f t="shared" si="1"/>
        <v>BONDS REYNALDO</v>
      </c>
    </row>
    <row r="114" spans="1:7" x14ac:dyDescent="0.25">
      <c r="A114" s="8">
        <v>42705.492997685185</v>
      </c>
      <c r="B114" s="21" t="s">
        <v>297</v>
      </c>
      <c r="C114" s="21" t="s">
        <v>549</v>
      </c>
      <c r="D114" s="165">
        <v>2220000</v>
      </c>
      <c r="E114" s="21" t="s">
        <v>534</v>
      </c>
      <c r="F114" s="21" t="s">
        <v>535</v>
      </c>
      <c r="G114" s="8" t="str">
        <f t="shared" si="1"/>
        <v>HILLS DUSTIN</v>
      </c>
    </row>
    <row r="115" spans="1:7" x14ac:dyDescent="0.25">
      <c r="A115" s="8">
        <v>42705.494085648148</v>
      </c>
      <c r="B115" s="21" t="s">
        <v>297</v>
      </c>
      <c r="C115" s="21" t="s">
        <v>549</v>
      </c>
      <c r="D115" s="165">
        <v>2220000</v>
      </c>
      <c r="E115" s="21" t="s">
        <v>534</v>
      </c>
      <c r="F115" s="21" t="s">
        <v>535</v>
      </c>
      <c r="G115" s="8" t="str">
        <f t="shared" si="1"/>
        <v>HILLS DUSTIN</v>
      </c>
    </row>
    <row r="116" spans="1:7" x14ac:dyDescent="0.25">
      <c r="A116" s="8">
        <v>42705.495486111111</v>
      </c>
      <c r="B116" s="21" t="s">
        <v>463</v>
      </c>
      <c r="C116" s="21" t="s">
        <v>540</v>
      </c>
      <c r="D116" s="165">
        <v>1830000</v>
      </c>
      <c r="E116" s="21" t="s">
        <v>474</v>
      </c>
      <c r="F116" s="21" t="s">
        <v>475</v>
      </c>
      <c r="G116" s="8" t="str">
        <f t="shared" si="1"/>
        <v>YORK EDGAR</v>
      </c>
    </row>
    <row r="117" spans="1:7" x14ac:dyDescent="0.25">
      <c r="A117" s="8">
        <v>42705.499618055554</v>
      </c>
      <c r="B117" s="21" t="s">
        <v>211</v>
      </c>
      <c r="C117" s="21" t="s">
        <v>549</v>
      </c>
      <c r="D117" s="165">
        <v>2260000</v>
      </c>
      <c r="E117" s="21" t="s">
        <v>550</v>
      </c>
      <c r="F117" s="21" t="s">
        <v>551</v>
      </c>
      <c r="G117" s="8" t="str">
        <f t="shared" si="1"/>
        <v>ARVIDSON DANIEL</v>
      </c>
    </row>
    <row r="118" spans="1:7" x14ac:dyDescent="0.25">
      <c r="A118" s="8">
        <v>42705.500462962962</v>
      </c>
      <c r="B118" s="21" t="s">
        <v>262</v>
      </c>
      <c r="C118" s="21" t="s">
        <v>552</v>
      </c>
      <c r="D118" s="165">
        <v>2100000</v>
      </c>
      <c r="E118" s="21" t="s">
        <v>483</v>
      </c>
      <c r="F118" s="21" t="s">
        <v>484</v>
      </c>
      <c r="G118" s="8" t="str">
        <f t="shared" si="1"/>
        <v>ISHMAEL JOSEPH</v>
      </c>
    </row>
    <row r="119" spans="1:7" x14ac:dyDescent="0.25">
      <c r="A119" s="8">
        <v>42705.501226851855</v>
      </c>
      <c r="B119" s="21" t="s">
        <v>248</v>
      </c>
      <c r="C119" s="21" t="s">
        <v>553</v>
      </c>
      <c r="D119" s="165">
        <v>2020000</v>
      </c>
      <c r="E119" s="21" t="s">
        <v>542</v>
      </c>
      <c r="F119" s="21" t="s">
        <v>389</v>
      </c>
      <c r="G119" s="8" t="str">
        <f t="shared" si="1"/>
        <v>SHOOK JOHN</v>
      </c>
    </row>
    <row r="120" spans="1:7" x14ac:dyDescent="0.25">
      <c r="A120" s="8">
        <v>42705.506064814814</v>
      </c>
      <c r="B120" s="21" t="s">
        <v>297</v>
      </c>
      <c r="C120" s="21" t="s">
        <v>554</v>
      </c>
      <c r="D120" s="165">
        <v>1820000</v>
      </c>
      <c r="E120" s="21" t="s">
        <v>355</v>
      </c>
      <c r="F120" s="21" t="s">
        <v>400</v>
      </c>
      <c r="G120" s="8" t="str">
        <f t="shared" si="1"/>
        <v>ADANE ELSHADAY</v>
      </c>
    </row>
    <row r="121" spans="1:7" x14ac:dyDescent="0.25">
      <c r="A121" s="8">
        <v>42705.51425925926</v>
      </c>
      <c r="B121" s="21" t="s">
        <v>327</v>
      </c>
      <c r="C121" s="21" t="s">
        <v>555</v>
      </c>
      <c r="D121" s="165">
        <v>2040000</v>
      </c>
      <c r="E121" s="21" t="s">
        <v>356</v>
      </c>
      <c r="F121" s="21" t="s">
        <v>402</v>
      </c>
      <c r="G121" s="8" t="str">
        <f t="shared" si="1"/>
        <v>MOSES BRADLEY</v>
      </c>
    </row>
    <row r="122" spans="1:7" x14ac:dyDescent="0.25">
      <c r="A122" s="8">
        <v>42705.519525462965</v>
      </c>
      <c r="B122" s="26" t="s">
        <v>246</v>
      </c>
      <c r="C122" s="21" t="s">
        <v>556</v>
      </c>
      <c r="D122" s="165">
        <v>1740000</v>
      </c>
      <c r="E122" s="21" t="s">
        <v>335</v>
      </c>
      <c r="F122" s="21" t="s">
        <v>401</v>
      </c>
      <c r="G122" s="8" t="str">
        <f t="shared" si="1"/>
        <v>STORY SAMANTHA</v>
      </c>
    </row>
    <row r="123" spans="1:7" x14ac:dyDescent="0.25">
      <c r="A123" s="8">
        <v>42705.520115740743</v>
      </c>
      <c r="B123" s="21" t="s">
        <v>307</v>
      </c>
      <c r="C123" s="21" t="s">
        <v>557</v>
      </c>
      <c r="D123" s="165">
        <v>2270000</v>
      </c>
      <c r="E123" s="21" t="s">
        <v>357</v>
      </c>
      <c r="F123" s="21" t="s">
        <v>404</v>
      </c>
      <c r="G123" s="8" t="str">
        <f t="shared" si="1"/>
        <v>BROWN JACOB</v>
      </c>
    </row>
    <row r="124" spans="1:7" x14ac:dyDescent="0.25">
      <c r="A124" s="8">
        <v>42705.522916666669</v>
      </c>
      <c r="B124" s="21" t="s">
        <v>470</v>
      </c>
      <c r="C124" s="21" t="s">
        <v>558</v>
      </c>
      <c r="D124" s="165">
        <v>2110000</v>
      </c>
      <c r="E124" s="21" t="s">
        <v>559</v>
      </c>
      <c r="F124" s="21" t="s">
        <v>560</v>
      </c>
      <c r="G124" s="8" t="str">
        <f t="shared" si="1"/>
        <v>OUN ZACK</v>
      </c>
    </row>
    <row r="125" spans="1:7" x14ac:dyDescent="0.25">
      <c r="A125" s="8">
        <v>42705.52615740741</v>
      </c>
      <c r="B125" s="21" t="s">
        <v>263</v>
      </c>
      <c r="C125" s="21" t="s">
        <v>429</v>
      </c>
      <c r="D125" s="165">
        <v>2100000</v>
      </c>
      <c r="E125" s="21" t="s">
        <v>483</v>
      </c>
      <c r="F125" s="21" t="s">
        <v>484</v>
      </c>
      <c r="G125" s="8" t="str">
        <f t="shared" si="1"/>
        <v>ISHMAEL JOSEPH</v>
      </c>
    </row>
    <row r="126" spans="1:7" x14ac:dyDescent="0.25">
      <c r="A126" s="8">
        <v>42705.52783564815</v>
      </c>
      <c r="B126" s="21" t="s">
        <v>183</v>
      </c>
      <c r="C126" s="21" t="s">
        <v>561</v>
      </c>
      <c r="D126" s="165">
        <v>940000</v>
      </c>
      <c r="E126" s="21" t="s">
        <v>311</v>
      </c>
      <c r="F126" s="21" t="s">
        <v>399</v>
      </c>
      <c r="G126" s="8" t="str">
        <f t="shared" si="1"/>
        <v>BONDS REYNALDO</v>
      </c>
    </row>
    <row r="127" spans="1:7" x14ac:dyDescent="0.25">
      <c r="A127" s="8">
        <v>42705.533310185187</v>
      </c>
      <c r="B127" s="21" t="s">
        <v>213</v>
      </c>
      <c r="C127" s="21" t="s">
        <v>562</v>
      </c>
      <c r="D127" s="165">
        <v>2260000</v>
      </c>
      <c r="E127" s="21" t="s">
        <v>550</v>
      </c>
      <c r="F127" s="21" t="s">
        <v>551</v>
      </c>
      <c r="G127" s="8" t="str">
        <f t="shared" si="1"/>
        <v>ARVIDSON DANIEL</v>
      </c>
    </row>
    <row r="128" spans="1:7" x14ac:dyDescent="0.25">
      <c r="A128" s="8">
        <v>42705.535636574074</v>
      </c>
      <c r="B128" s="21" t="s">
        <v>463</v>
      </c>
      <c r="C128" s="21" t="s">
        <v>563</v>
      </c>
      <c r="D128" s="165">
        <v>2110000</v>
      </c>
      <c r="E128" s="21" t="s">
        <v>559</v>
      </c>
      <c r="F128" s="21" t="s">
        <v>560</v>
      </c>
      <c r="G128" s="8" t="str">
        <f t="shared" si="1"/>
        <v>OUN ZACK</v>
      </c>
    </row>
    <row r="129" spans="1:7" x14ac:dyDescent="0.25">
      <c r="A129" s="8">
        <v>42705.536597222221</v>
      </c>
      <c r="B129" s="21" t="s">
        <v>249</v>
      </c>
      <c r="C129" s="21" t="s">
        <v>564</v>
      </c>
      <c r="D129" s="165">
        <v>2020000</v>
      </c>
      <c r="E129" s="21" t="s">
        <v>542</v>
      </c>
      <c r="F129" s="21" t="s">
        <v>389</v>
      </c>
      <c r="G129" s="8" t="str">
        <f t="shared" si="1"/>
        <v>SHOOK JOHN</v>
      </c>
    </row>
    <row r="130" spans="1:7" x14ac:dyDescent="0.25">
      <c r="A130" s="8">
        <v>42705.538055555553</v>
      </c>
      <c r="B130" s="21" t="s">
        <v>436</v>
      </c>
      <c r="C130" s="21" t="s">
        <v>565</v>
      </c>
      <c r="D130" s="165">
        <v>1820000</v>
      </c>
      <c r="E130" s="21" t="s">
        <v>355</v>
      </c>
      <c r="F130" s="21" t="s">
        <v>400</v>
      </c>
      <c r="G130" s="8" t="str">
        <f t="shared" si="1"/>
        <v>ADANE ELSHADAY</v>
      </c>
    </row>
    <row r="131" spans="1:7" x14ac:dyDescent="0.25">
      <c r="A131" s="8">
        <v>42705.548784722225</v>
      </c>
      <c r="B131" s="21" t="s">
        <v>330</v>
      </c>
      <c r="C131" s="21" t="s">
        <v>566</v>
      </c>
      <c r="D131" s="165">
        <v>2040000</v>
      </c>
      <c r="E131" s="21" t="s">
        <v>356</v>
      </c>
      <c r="F131" s="21" t="s">
        <v>402</v>
      </c>
      <c r="G131" s="8" t="str">
        <f t="shared" ref="G131:G194" si="2">E131&amp;" "&amp;F131</f>
        <v>MOSES BRADLEY</v>
      </c>
    </row>
    <row r="132" spans="1:7" x14ac:dyDescent="0.25">
      <c r="A132" s="8">
        <v>42705.551145833335</v>
      </c>
      <c r="B132" s="21" t="s">
        <v>262</v>
      </c>
      <c r="C132" s="21" t="s">
        <v>430</v>
      </c>
      <c r="D132" s="165">
        <v>2600000</v>
      </c>
      <c r="E132" s="21" t="s">
        <v>258</v>
      </c>
      <c r="F132" s="21" t="s">
        <v>393</v>
      </c>
      <c r="G132" s="8" t="str">
        <f t="shared" si="2"/>
        <v>DAVIDSON DAVID</v>
      </c>
    </row>
    <row r="133" spans="1:7" x14ac:dyDescent="0.25">
      <c r="A133" s="8">
        <v>42705.556284722225</v>
      </c>
      <c r="B133" s="21" t="s">
        <v>274</v>
      </c>
      <c r="C133" s="21" t="s">
        <v>567</v>
      </c>
      <c r="D133" s="165">
        <v>1740000</v>
      </c>
      <c r="E133" s="21" t="s">
        <v>335</v>
      </c>
      <c r="F133" s="21" t="s">
        <v>401</v>
      </c>
      <c r="G133" s="8" t="str">
        <f t="shared" si="2"/>
        <v>STORY SAMANTHA</v>
      </c>
    </row>
    <row r="134" spans="1:7" x14ac:dyDescent="0.25">
      <c r="A134" s="8">
        <v>42705.56013888889</v>
      </c>
      <c r="B134" s="21" t="s">
        <v>308</v>
      </c>
      <c r="C134" s="21" t="s">
        <v>568</v>
      </c>
      <c r="D134" s="165">
        <v>2270000</v>
      </c>
      <c r="E134" s="21" t="s">
        <v>357</v>
      </c>
      <c r="F134" s="21" t="s">
        <v>404</v>
      </c>
      <c r="G134" s="8" t="str">
        <f t="shared" si="2"/>
        <v>BROWN JACOB</v>
      </c>
    </row>
    <row r="135" spans="1:7" x14ac:dyDescent="0.25">
      <c r="A135" s="8">
        <v>42705.563796296294</v>
      </c>
      <c r="B135" s="21" t="s">
        <v>308</v>
      </c>
      <c r="C135" s="21" t="s">
        <v>568</v>
      </c>
      <c r="D135" s="165">
        <v>2270000</v>
      </c>
      <c r="E135" s="21" t="s">
        <v>357</v>
      </c>
      <c r="F135" s="21" t="s">
        <v>404</v>
      </c>
      <c r="G135" s="8" t="str">
        <f t="shared" si="2"/>
        <v>BROWN JACOB</v>
      </c>
    </row>
    <row r="136" spans="1:7" x14ac:dyDescent="0.25">
      <c r="A136" s="8">
        <v>42705.564328703702</v>
      </c>
      <c r="B136" s="21" t="s">
        <v>266</v>
      </c>
      <c r="C136" s="21" t="s">
        <v>569</v>
      </c>
      <c r="D136" s="165">
        <v>940000</v>
      </c>
      <c r="E136" s="21" t="s">
        <v>311</v>
      </c>
      <c r="F136" s="21" t="s">
        <v>399</v>
      </c>
      <c r="G136" s="8" t="str">
        <f t="shared" si="2"/>
        <v>BONDS REYNALDO</v>
      </c>
    </row>
    <row r="137" spans="1:7" x14ac:dyDescent="0.25">
      <c r="A137" s="8">
        <v>42705.568749999999</v>
      </c>
      <c r="B137" s="21" t="s">
        <v>263</v>
      </c>
      <c r="C137" s="21" t="s">
        <v>431</v>
      </c>
      <c r="D137" s="165">
        <v>2600000</v>
      </c>
      <c r="E137" s="21" t="s">
        <v>258</v>
      </c>
      <c r="F137" s="21" t="s">
        <v>393</v>
      </c>
      <c r="G137" s="8" t="str">
        <f t="shared" si="2"/>
        <v>DAVIDSON DAVID</v>
      </c>
    </row>
    <row r="138" spans="1:7" x14ac:dyDescent="0.25">
      <c r="A138" s="8">
        <v>42705.570763888885</v>
      </c>
      <c r="B138" s="21" t="s">
        <v>211</v>
      </c>
      <c r="C138" s="21" t="s">
        <v>570</v>
      </c>
      <c r="D138" s="165">
        <v>2260000</v>
      </c>
      <c r="E138" s="21" t="s">
        <v>550</v>
      </c>
      <c r="F138" s="21" t="s">
        <v>551</v>
      </c>
      <c r="G138" s="8" t="str">
        <f t="shared" si="2"/>
        <v>ARVIDSON DANIEL</v>
      </c>
    </row>
    <row r="139" spans="1:7" x14ac:dyDescent="0.25">
      <c r="A139" s="8">
        <v>42705.575914351852</v>
      </c>
      <c r="B139" s="21" t="s">
        <v>248</v>
      </c>
      <c r="C139" s="21" t="s">
        <v>571</v>
      </c>
      <c r="D139" s="165">
        <v>2020000</v>
      </c>
      <c r="E139" s="21" t="s">
        <v>542</v>
      </c>
      <c r="F139" s="21" t="s">
        <v>389</v>
      </c>
      <c r="G139" s="8" t="str">
        <f t="shared" si="2"/>
        <v>SHOOK JOHN</v>
      </c>
    </row>
    <row r="140" spans="1:7" x14ac:dyDescent="0.25">
      <c r="A140" s="8">
        <v>42705.580648148149</v>
      </c>
      <c r="B140" s="21" t="s">
        <v>297</v>
      </c>
      <c r="C140" s="21" t="s">
        <v>433</v>
      </c>
      <c r="D140" s="165">
        <v>1820000</v>
      </c>
      <c r="E140" s="21" t="s">
        <v>355</v>
      </c>
      <c r="F140" s="21" t="s">
        <v>400</v>
      </c>
      <c r="G140" s="8" t="str">
        <f t="shared" si="2"/>
        <v>ADANE ELSHADAY</v>
      </c>
    </row>
    <row r="141" spans="1:7" x14ac:dyDescent="0.25">
      <c r="A141" s="8">
        <v>42705.587372685186</v>
      </c>
      <c r="B141" s="21" t="s">
        <v>308</v>
      </c>
      <c r="C141" s="21" t="s">
        <v>568</v>
      </c>
      <c r="D141" s="165">
        <v>2270000</v>
      </c>
      <c r="E141" s="21" t="s">
        <v>357</v>
      </c>
      <c r="F141" s="21" t="s">
        <v>404</v>
      </c>
      <c r="G141" s="8" t="str">
        <f t="shared" si="2"/>
        <v>BROWN JACOB</v>
      </c>
    </row>
    <row r="142" spans="1:7" x14ac:dyDescent="0.25">
      <c r="A142" s="8">
        <v>42705.58797453704</v>
      </c>
      <c r="B142" s="21" t="s">
        <v>327</v>
      </c>
      <c r="C142" s="21" t="s">
        <v>572</v>
      </c>
      <c r="D142" s="165">
        <v>2040000</v>
      </c>
      <c r="E142" s="21" t="s">
        <v>356</v>
      </c>
      <c r="F142" s="21" t="s">
        <v>402</v>
      </c>
      <c r="G142" s="8" t="str">
        <f t="shared" si="2"/>
        <v>MOSES BRADLEY</v>
      </c>
    </row>
    <row r="143" spans="1:7" x14ac:dyDescent="0.25">
      <c r="A143" s="8">
        <v>42705.591493055559</v>
      </c>
      <c r="B143" s="21" t="s">
        <v>246</v>
      </c>
      <c r="C143" s="21" t="s">
        <v>573</v>
      </c>
      <c r="D143" s="165">
        <v>1740000</v>
      </c>
      <c r="E143" s="21" t="s">
        <v>335</v>
      </c>
      <c r="F143" s="21" t="s">
        <v>401</v>
      </c>
      <c r="G143" s="8" t="str">
        <f t="shared" si="2"/>
        <v>STORY SAMANTHA</v>
      </c>
    </row>
    <row r="144" spans="1:7" x14ac:dyDescent="0.25">
      <c r="A144" s="8">
        <v>42705.595497685186</v>
      </c>
      <c r="B144" s="21" t="s">
        <v>298</v>
      </c>
      <c r="C144" s="21" t="s">
        <v>432</v>
      </c>
      <c r="D144" s="165">
        <v>2220000</v>
      </c>
      <c r="E144" s="21" t="s">
        <v>534</v>
      </c>
      <c r="F144" s="21" t="s">
        <v>535</v>
      </c>
      <c r="G144" s="8" t="str">
        <f t="shared" si="2"/>
        <v>HILLS DUSTIN</v>
      </c>
    </row>
    <row r="145" spans="1:7" x14ac:dyDescent="0.25">
      <c r="A145" s="8">
        <v>42705.596863425926</v>
      </c>
      <c r="B145" s="21" t="s">
        <v>262</v>
      </c>
      <c r="C145" s="21" t="s">
        <v>574</v>
      </c>
      <c r="D145" s="165">
        <v>2600000</v>
      </c>
      <c r="E145" s="21" t="s">
        <v>258</v>
      </c>
      <c r="F145" s="21" t="s">
        <v>393</v>
      </c>
      <c r="G145" s="8" t="str">
        <f t="shared" si="2"/>
        <v>DAVIDSON DAVID</v>
      </c>
    </row>
    <row r="146" spans="1:7" x14ac:dyDescent="0.25">
      <c r="A146" s="8">
        <v>42705.599027777775</v>
      </c>
      <c r="B146" s="21" t="s">
        <v>183</v>
      </c>
      <c r="C146" s="21" t="s">
        <v>575</v>
      </c>
      <c r="D146" s="165">
        <v>940000</v>
      </c>
      <c r="E146" s="21" t="s">
        <v>311</v>
      </c>
      <c r="F146" s="21" t="s">
        <v>399</v>
      </c>
      <c r="G146" s="8" t="str">
        <f t="shared" si="2"/>
        <v>BONDS REYNALDO</v>
      </c>
    </row>
    <row r="147" spans="1:7" x14ac:dyDescent="0.25">
      <c r="A147" s="8">
        <v>42705.600243055553</v>
      </c>
      <c r="B147" s="21" t="s">
        <v>307</v>
      </c>
      <c r="C147" s="21" t="s">
        <v>435</v>
      </c>
      <c r="D147" s="165">
        <v>2270000</v>
      </c>
      <c r="E147" s="21" t="s">
        <v>357</v>
      </c>
      <c r="F147" s="21" t="s">
        <v>404</v>
      </c>
      <c r="G147" s="8" t="str">
        <f t="shared" si="2"/>
        <v>BROWN JACOB</v>
      </c>
    </row>
    <row r="148" spans="1:7" x14ac:dyDescent="0.25">
      <c r="A148" s="8">
        <v>42705.609247685185</v>
      </c>
      <c r="B148" s="21" t="s">
        <v>213</v>
      </c>
      <c r="C148" s="21" t="s">
        <v>576</v>
      </c>
      <c r="D148" s="165">
        <v>2260000</v>
      </c>
      <c r="E148" s="21" t="s">
        <v>550</v>
      </c>
      <c r="F148" s="21" t="s">
        <v>551</v>
      </c>
      <c r="G148" s="8" t="str">
        <f t="shared" si="2"/>
        <v>ARVIDSON DANIEL</v>
      </c>
    </row>
    <row r="149" spans="1:7" x14ac:dyDescent="0.25">
      <c r="A149" s="8">
        <v>42705.610682870371</v>
      </c>
      <c r="B149" s="21" t="s">
        <v>249</v>
      </c>
      <c r="C149" s="21" t="s">
        <v>577</v>
      </c>
      <c r="D149" s="165">
        <v>2020000</v>
      </c>
      <c r="E149" s="21" t="s">
        <v>542</v>
      </c>
      <c r="F149" s="21" t="s">
        <v>389</v>
      </c>
      <c r="G149" s="8" t="str">
        <f t="shared" si="2"/>
        <v>SHOOK JOHN</v>
      </c>
    </row>
    <row r="150" spans="1:7" x14ac:dyDescent="0.25">
      <c r="A150" s="8">
        <v>42705.610821759263</v>
      </c>
      <c r="B150" s="21" t="s">
        <v>436</v>
      </c>
      <c r="C150" s="21" t="s">
        <v>437</v>
      </c>
      <c r="D150" s="165">
        <v>1820000</v>
      </c>
      <c r="E150" s="21" t="s">
        <v>355</v>
      </c>
      <c r="F150" s="21" t="s">
        <v>400</v>
      </c>
      <c r="G150" s="8" t="str">
        <f t="shared" si="2"/>
        <v>ADANE ELSHADAY</v>
      </c>
    </row>
    <row r="151" spans="1:7" x14ac:dyDescent="0.25">
      <c r="A151" s="8">
        <v>42705.611192129632</v>
      </c>
      <c r="B151" s="21" t="s">
        <v>263</v>
      </c>
      <c r="C151" s="21" t="s">
        <v>434</v>
      </c>
      <c r="D151" s="165">
        <v>2600000</v>
      </c>
      <c r="E151" s="21" t="s">
        <v>258</v>
      </c>
      <c r="F151" s="21" t="s">
        <v>393</v>
      </c>
      <c r="G151" s="8" t="str">
        <f t="shared" si="2"/>
        <v>DAVIDSON DAVID</v>
      </c>
    </row>
    <row r="152" spans="1:7" x14ac:dyDescent="0.25">
      <c r="A152" s="8">
        <v>42705.622685185182</v>
      </c>
      <c r="B152" s="21" t="s">
        <v>330</v>
      </c>
      <c r="C152" s="21" t="s">
        <v>578</v>
      </c>
      <c r="D152" s="165">
        <v>2040000</v>
      </c>
      <c r="E152" s="21" t="s">
        <v>356</v>
      </c>
      <c r="F152" s="21" t="s">
        <v>402</v>
      </c>
      <c r="G152" s="8" t="str">
        <f t="shared" si="2"/>
        <v>MOSES BRADLEY</v>
      </c>
    </row>
    <row r="153" spans="1:7" x14ac:dyDescent="0.25">
      <c r="A153" s="8">
        <v>42705.625694444447</v>
      </c>
      <c r="B153" s="21" t="s">
        <v>262</v>
      </c>
      <c r="C153" s="21" t="s">
        <v>438</v>
      </c>
      <c r="D153" s="165">
        <v>2600000</v>
      </c>
      <c r="E153" s="21" t="s">
        <v>258</v>
      </c>
      <c r="F153" s="21" t="s">
        <v>393</v>
      </c>
      <c r="G153" s="8" t="str">
        <f t="shared" si="2"/>
        <v>DAVIDSON DAVID</v>
      </c>
    </row>
    <row r="154" spans="1:7" x14ac:dyDescent="0.25">
      <c r="A154" s="8">
        <v>42705.628668981481</v>
      </c>
      <c r="B154" s="21" t="s">
        <v>274</v>
      </c>
      <c r="C154" s="21" t="s">
        <v>440</v>
      </c>
      <c r="D154" s="165">
        <v>1740000</v>
      </c>
      <c r="E154" s="21" t="s">
        <v>335</v>
      </c>
      <c r="F154" s="21" t="s">
        <v>401</v>
      </c>
      <c r="G154" s="8" t="str">
        <f t="shared" si="2"/>
        <v>STORY SAMANTHA</v>
      </c>
    </row>
    <row r="155" spans="1:7" x14ac:dyDescent="0.25">
      <c r="A155" s="8">
        <v>42705.631643518522</v>
      </c>
      <c r="B155" s="21" t="s">
        <v>266</v>
      </c>
      <c r="C155" s="21" t="s">
        <v>579</v>
      </c>
      <c r="D155" s="165">
        <v>940000</v>
      </c>
      <c r="E155" s="21" t="s">
        <v>311</v>
      </c>
      <c r="F155" s="21" t="s">
        <v>399</v>
      </c>
      <c r="G155" s="8" t="str">
        <f t="shared" si="2"/>
        <v>BONDS REYNALDO</v>
      </c>
    </row>
    <row r="156" spans="1:7" x14ac:dyDescent="0.25">
      <c r="A156" s="8">
        <v>42705.6327662037</v>
      </c>
      <c r="B156" s="21" t="s">
        <v>308</v>
      </c>
      <c r="C156" s="21" t="s">
        <v>441</v>
      </c>
      <c r="D156" s="165">
        <v>2270000</v>
      </c>
      <c r="E156" s="21" t="s">
        <v>357</v>
      </c>
      <c r="F156" s="21" t="s">
        <v>404</v>
      </c>
      <c r="G156" s="8" t="str">
        <f t="shared" si="2"/>
        <v>BROWN JACOB</v>
      </c>
    </row>
    <row r="157" spans="1:7" x14ac:dyDescent="0.25">
      <c r="A157" s="8">
        <v>42705.639270833337</v>
      </c>
      <c r="B157" s="21" t="s">
        <v>333</v>
      </c>
      <c r="C157" s="21" t="s">
        <v>439</v>
      </c>
      <c r="D157" s="165">
        <v>1230000</v>
      </c>
      <c r="E157" s="21" t="s">
        <v>312</v>
      </c>
      <c r="F157" s="21" t="s">
        <v>390</v>
      </c>
      <c r="G157" s="8" t="str">
        <f t="shared" si="2"/>
        <v>YANAI IAN</v>
      </c>
    </row>
    <row r="158" spans="1:7" x14ac:dyDescent="0.25">
      <c r="A158" s="8">
        <v>42705.643842592595</v>
      </c>
      <c r="B158" s="21" t="s">
        <v>211</v>
      </c>
      <c r="C158" s="21" t="s">
        <v>580</v>
      </c>
      <c r="D158" s="165">
        <v>2260000</v>
      </c>
      <c r="E158" s="21" t="s">
        <v>550</v>
      </c>
      <c r="F158" s="21" t="s">
        <v>551</v>
      </c>
      <c r="G158" s="8" t="str">
        <f t="shared" si="2"/>
        <v>ARVIDSON DANIEL</v>
      </c>
    </row>
    <row r="159" spans="1:7" x14ac:dyDescent="0.25">
      <c r="A159" s="8">
        <v>42705.645231481481</v>
      </c>
      <c r="B159" s="21" t="s">
        <v>436</v>
      </c>
      <c r="C159" s="21" t="s">
        <v>437</v>
      </c>
      <c r="D159" s="165">
        <v>1820000</v>
      </c>
      <c r="E159" s="21" t="s">
        <v>355</v>
      </c>
      <c r="F159" s="21" t="s">
        <v>400</v>
      </c>
      <c r="G159" s="8" t="str">
        <f t="shared" si="2"/>
        <v>ADANE ELSHADAY</v>
      </c>
    </row>
    <row r="160" spans="1:7" x14ac:dyDescent="0.25">
      <c r="A160" s="8">
        <v>42705.64565972222</v>
      </c>
      <c r="B160" s="21" t="s">
        <v>248</v>
      </c>
      <c r="C160" s="21" t="s">
        <v>442</v>
      </c>
      <c r="D160" s="165">
        <v>2020000</v>
      </c>
      <c r="E160" s="21" t="s">
        <v>542</v>
      </c>
      <c r="F160" s="21" t="s">
        <v>389</v>
      </c>
      <c r="G160" s="8" t="str">
        <f t="shared" si="2"/>
        <v>SHOOK JOHN</v>
      </c>
    </row>
    <row r="161" spans="1:7" x14ac:dyDescent="0.25">
      <c r="A161" s="8">
        <v>42705.649421296293</v>
      </c>
      <c r="B161" s="21" t="s">
        <v>184</v>
      </c>
      <c r="C161" s="21" t="s">
        <v>581</v>
      </c>
      <c r="D161" s="165">
        <v>1230000</v>
      </c>
      <c r="E161" s="21" t="s">
        <v>312</v>
      </c>
      <c r="F161" s="21" t="s">
        <v>390</v>
      </c>
      <c r="G161" s="8" t="str">
        <f t="shared" si="2"/>
        <v>YANAI IAN</v>
      </c>
    </row>
    <row r="162" spans="1:7" x14ac:dyDescent="0.25">
      <c r="A162" s="8">
        <v>42705.65121527778</v>
      </c>
      <c r="B162" s="21" t="s">
        <v>263</v>
      </c>
      <c r="C162" s="21" t="s">
        <v>582</v>
      </c>
      <c r="D162" s="165">
        <v>2600000</v>
      </c>
      <c r="E162" s="21" t="s">
        <v>258</v>
      </c>
      <c r="F162" s="21" t="s">
        <v>393</v>
      </c>
      <c r="G162" s="8" t="str">
        <f t="shared" si="2"/>
        <v>DAVIDSON DAVID</v>
      </c>
    </row>
    <row r="163" spans="1:7" x14ac:dyDescent="0.25">
      <c r="A163" s="8">
        <v>42705.658564814818</v>
      </c>
      <c r="B163" s="21" t="s">
        <v>297</v>
      </c>
      <c r="C163" s="21" t="s">
        <v>583</v>
      </c>
      <c r="D163" s="165">
        <v>1820000</v>
      </c>
      <c r="E163" s="21" t="s">
        <v>355</v>
      </c>
      <c r="F163" s="21" t="s">
        <v>400</v>
      </c>
      <c r="G163" s="8" t="str">
        <f t="shared" si="2"/>
        <v>ADANE ELSHADAY</v>
      </c>
    </row>
    <row r="164" spans="1:7" x14ac:dyDescent="0.25">
      <c r="A164" s="8">
        <v>42705.659699074073</v>
      </c>
      <c r="B164" s="21" t="s">
        <v>327</v>
      </c>
      <c r="C164" s="21" t="s">
        <v>584</v>
      </c>
      <c r="D164" s="165">
        <v>2040000</v>
      </c>
      <c r="E164" s="21" t="s">
        <v>356</v>
      </c>
      <c r="F164" s="21" t="s">
        <v>402</v>
      </c>
      <c r="G164" s="8" t="str">
        <f t="shared" si="2"/>
        <v>MOSES BRADLEY</v>
      </c>
    </row>
    <row r="165" spans="1:7" x14ac:dyDescent="0.25">
      <c r="A165" s="8">
        <v>42705.661180555559</v>
      </c>
      <c r="B165" s="21" t="s">
        <v>274</v>
      </c>
      <c r="C165" s="21" t="s">
        <v>440</v>
      </c>
      <c r="D165" s="165">
        <v>1740000</v>
      </c>
      <c r="E165" s="21" t="s">
        <v>335</v>
      </c>
      <c r="F165" s="21" t="s">
        <v>401</v>
      </c>
      <c r="G165" s="8" t="str">
        <f t="shared" si="2"/>
        <v>STORY SAMANTHA</v>
      </c>
    </row>
    <row r="166" spans="1:7" x14ac:dyDescent="0.25">
      <c r="A166" s="8">
        <v>42705.665682870371</v>
      </c>
      <c r="B166" s="21" t="s">
        <v>307</v>
      </c>
      <c r="C166" s="21" t="s">
        <v>585</v>
      </c>
      <c r="D166" s="165">
        <v>2270000</v>
      </c>
      <c r="E166" s="21" t="s">
        <v>357</v>
      </c>
      <c r="F166" s="21" t="s">
        <v>404</v>
      </c>
      <c r="G166" s="8" t="str">
        <f t="shared" si="2"/>
        <v>BROWN JACOB</v>
      </c>
    </row>
    <row r="167" spans="1:7" x14ac:dyDescent="0.25">
      <c r="A167" s="8">
        <v>42705.667800925927</v>
      </c>
      <c r="B167" s="21" t="s">
        <v>262</v>
      </c>
      <c r="C167" s="21" t="s">
        <v>586</v>
      </c>
      <c r="D167" s="165">
        <v>2600000</v>
      </c>
      <c r="E167" s="21" t="s">
        <v>258</v>
      </c>
      <c r="F167" s="21" t="s">
        <v>393</v>
      </c>
      <c r="G167" s="8" t="str">
        <f t="shared" si="2"/>
        <v>DAVIDSON DAVID</v>
      </c>
    </row>
    <row r="168" spans="1:7" x14ac:dyDescent="0.25">
      <c r="A168" s="8">
        <v>42705.667986111112</v>
      </c>
      <c r="B168" s="21" t="s">
        <v>218</v>
      </c>
      <c r="C168" s="21" t="s">
        <v>587</v>
      </c>
      <c r="D168" s="165">
        <v>2220000</v>
      </c>
      <c r="E168" s="21" t="s">
        <v>534</v>
      </c>
      <c r="F168" s="21" t="s">
        <v>535</v>
      </c>
      <c r="G168" s="8" t="str">
        <f t="shared" si="2"/>
        <v>HILLS DUSTIN</v>
      </c>
    </row>
    <row r="169" spans="1:7" x14ac:dyDescent="0.25">
      <c r="A169" s="8">
        <v>42705.671134259261</v>
      </c>
      <c r="B169" s="21" t="s">
        <v>333</v>
      </c>
      <c r="C169" s="21" t="s">
        <v>588</v>
      </c>
      <c r="D169" s="165">
        <v>1230000</v>
      </c>
      <c r="E169" s="21" t="s">
        <v>312</v>
      </c>
      <c r="F169" s="21" t="s">
        <v>390</v>
      </c>
      <c r="G169" s="8" t="str">
        <f t="shared" si="2"/>
        <v>YANAI IAN</v>
      </c>
    </row>
    <row r="170" spans="1:7" x14ac:dyDescent="0.25">
      <c r="A170" s="8">
        <v>42705.675810185188</v>
      </c>
      <c r="B170" s="21" t="s">
        <v>183</v>
      </c>
      <c r="C170" s="21" t="s">
        <v>589</v>
      </c>
      <c r="D170" s="165">
        <v>940000</v>
      </c>
      <c r="E170" s="21" t="s">
        <v>311</v>
      </c>
      <c r="F170" s="21" t="s">
        <v>399</v>
      </c>
      <c r="G170" s="8" t="str">
        <f t="shared" si="2"/>
        <v>BONDS REYNALDO</v>
      </c>
    </row>
    <row r="171" spans="1:7" x14ac:dyDescent="0.25">
      <c r="A171" s="8">
        <v>42705.679560185185</v>
      </c>
      <c r="B171" s="21" t="s">
        <v>213</v>
      </c>
      <c r="C171" s="21" t="s">
        <v>590</v>
      </c>
      <c r="D171" s="165">
        <v>2260000</v>
      </c>
      <c r="E171" s="21" t="s">
        <v>550</v>
      </c>
      <c r="F171" s="21" t="s">
        <v>551</v>
      </c>
      <c r="G171" s="8" t="str">
        <f t="shared" si="2"/>
        <v>ARVIDSON DANIEL</v>
      </c>
    </row>
    <row r="172" spans="1:7" x14ac:dyDescent="0.25">
      <c r="A172" s="8">
        <v>42705.682337962964</v>
      </c>
      <c r="B172" s="21" t="s">
        <v>246</v>
      </c>
      <c r="C172" s="21" t="s">
        <v>591</v>
      </c>
      <c r="D172" s="165">
        <v>2020000</v>
      </c>
      <c r="E172" s="21" t="s">
        <v>542</v>
      </c>
      <c r="F172" s="21" t="s">
        <v>389</v>
      </c>
      <c r="G172" s="8" t="str">
        <f t="shared" si="2"/>
        <v>SHOOK JOHN</v>
      </c>
    </row>
    <row r="173" spans="1:7" x14ac:dyDescent="0.25">
      <c r="A173" s="8">
        <v>42705.684849537036</v>
      </c>
      <c r="B173" s="21" t="s">
        <v>452</v>
      </c>
      <c r="C173" s="21" t="s">
        <v>592</v>
      </c>
      <c r="D173" s="165">
        <v>2370000</v>
      </c>
      <c r="E173" s="21" t="s">
        <v>593</v>
      </c>
      <c r="F173" s="21" t="s">
        <v>594</v>
      </c>
      <c r="G173" s="8" t="str">
        <f t="shared" si="2"/>
        <v>DELGADO DIANAH</v>
      </c>
    </row>
    <row r="174" spans="1:7" x14ac:dyDescent="0.25">
      <c r="A174" s="8">
        <v>42705.686331018522</v>
      </c>
      <c r="B174" s="21" t="s">
        <v>436</v>
      </c>
      <c r="C174" s="21" t="s">
        <v>595</v>
      </c>
      <c r="D174" s="165">
        <v>1820000</v>
      </c>
      <c r="E174" s="21" t="s">
        <v>355</v>
      </c>
      <c r="F174" s="21" t="s">
        <v>400</v>
      </c>
      <c r="G174" s="8" t="str">
        <f t="shared" si="2"/>
        <v>ADANE ELSHADAY</v>
      </c>
    </row>
    <row r="175" spans="1:7" x14ac:dyDescent="0.25">
      <c r="A175" s="8">
        <v>42705.68681712963</v>
      </c>
      <c r="B175" s="21" t="s">
        <v>184</v>
      </c>
      <c r="C175" s="21" t="s">
        <v>596</v>
      </c>
      <c r="D175" s="165">
        <v>1230000</v>
      </c>
      <c r="E175" s="21" t="s">
        <v>312</v>
      </c>
      <c r="F175" s="21" t="s">
        <v>390</v>
      </c>
      <c r="G175" s="8" t="str">
        <f t="shared" si="2"/>
        <v>YANAI IAN</v>
      </c>
    </row>
    <row r="176" spans="1:7" x14ac:dyDescent="0.25">
      <c r="A176" s="8">
        <v>42705.690613425926</v>
      </c>
      <c r="B176" s="21" t="s">
        <v>213</v>
      </c>
      <c r="C176" s="21" t="s">
        <v>590</v>
      </c>
      <c r="D176" s="165">
        <v>2260000</v>
      </c>
      <c r="E176" s="21" t="s">
        <v>550</v>
      </c>
      <c r="F176" s="21" t="s">
        <v>551</v>
      </c>
      <c r="G176" s="8" t="str">
        <f t="shared" si="2"/>
        <v>ARVIDSON DANIEL</v>
      </c>
    </row>
    <row r="177" spans="1:7" x14ac:dyDescent="0.25">
      <c r="A177" s="8">
        <v>42705.693344907406</v>
      </c>
      <c r="B177" s="21" t="s">
        <v>263</v>
      </c>
      <c r="C177" s="21" t="s">
        <v>597</v>
      </c>
      <c r="D177" s="165">
        <v>2600000</v>
      </c>
      <c r="E177" s="21" t="s">
        <v>258</v>
      </c>
      <c r="F177" s="21" t="s">
        <v>393</v>
      </c>
      <c r="G177" s="8" t="str">
        <f t="shared" si="2"/>
        <v>DAVIDSON DAVID</v>
      </c>
    </row>
    <row r="178" spans="1:7" x14ac:dyDescent="0.25">
      <c r="A178" s="8">
        <v>42705.696898148148</v>
      </c>
      <c r="B178" s="21" t="s">
        <v>298</v>
      </c>
      <c r="C178" s="21" t="s">
        <v>598</v>
      </c>
      <c r="D178" s="165">
        <v>2220000</v>
      </c>
      <c r="E178" s="21" t="s">
        <v>534</v>
      </c>
      <c r="F178" s="21" t="s">
        <v>535</v>
      </c>
      <c r="G178" s="8" t="str">
        <f t="shared" si="2"/>
        <v>HILLS DUSTIN</v>
      </c>
    </row>
    <row r="179" spans="1:7" x14ac:dyDescent="0.25">
      <c r="A179" s="8">
        <v>42705.697870370372</v>
      </c>
      <c r="B179" s="21" t="s">
        <v>330</v>
      </c>
      <c r="C179" s="21" t="s">
        <v>599</v>
      </c>
      <c r="D179" s="165">
        <v>2040000</v>
      </c>
      <c r="E179" s="21" t="s">
        <v>356</v>
      </c>
      <c r="F179" s="21" t="s">
        <v>402</v>
      </c>
      <c r="G179" s="8" t="str">
        <f t="shared" si="2"/>
        <v>MOSES BRADLEY</v>
      </c>
    </row>
    <row r="180" spans="1:7" x14ac:dyDescent="0.25">
      <c r="A180" s="8">
        <v>42705.707175925927</v>
      </c>
      <c r="B180" s="21" t="s">
        <v>266</v>
      </c>
      <c r="C180" s="21" t="s">
        <v>600</v>
      </c>
      <c r="D180" s="165">
        <v>940000</v>
      </c>
      <c r="E180" s="21" t="s">
        <v>311</v>
      </c>
      <c r="F180" s="21" t="s">
        <v>399</v>
      </c>
      <c r="G180" s="8" t="str">
        <f t="shared" si="2"/>
        <v>BONDS REYNALDO</v>
      </c>
    </row>
    <row r="181" spans="1:7" x14ac:dyDescent="0.25">
      <c r="A181" s="8">
        <v>42705.707962962966</v>
      </c>
      <c r="B181" s="21" t="s">
        <v>308</v>
      </c>
      <c r="C181" s="21" t="s">
        <v>601</v>
      </c>
      <c r="D181" s="165">
        <v>2270000</v>
      </c>
      <c r="E181" s="21" t="s">
        <v>357</v>
      </c>
      <c r="F181" s="21" t="s">
        <v>404</v>
      </c>
      <c r="G181" s="8" t="str">
        <f t="shared" si="2"/>
        <v>BROWN JACOB</v>
      </c>
    </row>
    <row r="182" spans="1:7" x14ac:dyDescent="0.25">
      <c r="A182" s="8">
        <v>42705.709444444445</v>
      </c>
      <c r="B182" s="21" t="s">
        <v>262</v>
      </c>
      <c r="C182" s="21" t="s">
        <v>602</v>
      </c>
      <c r="D182" s="165">
        <v>2600000</v>
      </c>
      <c r="E182" s="21" t="s">
        <v>258</v>
      </c>
      <c r="F182" s="21" t="s">
        <v>393</v>
      </c>
      <c r="G182" s="8" t="str">
        <f t="shared" si="2"/>
        <v>DAVIDSON DAVID</v>
      </c>
    </row>
    <row r="183" spans="1:7" x14ac:dyDescent="0.25">
      <c r="A183" s="8">
        <v>42705.713113425925</v>
      </c>
      <c r="B183" s="21" t="s">
        <v>333</v>
      </c>
      <c r="C183" s="21" t="s">
        <v>443</v>
      </c>
      <c r="D183" s="165">
        <v>1230000</v>
      </c>
      <c r="E183" s="21" t="s">
        <v>312</v>
      </c>
      <c r="F183" s="21" t="s">
        <v>390</v>
      </c>
      <c r="G183" s="8" t="str">
        <f t="shared" si="2"/>
        <v>YANAI IAN</v>
      </c>
    </row>
    <row r="184" spans="1:7" x14ac:dyDescent="0.25">
      <c r="A184" s="8">
        <v>42705.714131944442</v>
      </c>
      <c r="B184" s="21" t="s">
        <v>547</v>
      </c>
      <c r="C184" s="21" t="s">
        <v>603</v>
      </c>
      <c r="D184" s="165">
        <v>1180000</v>
      </c>
      <c r="E184" s="21" t="s">
        <v>300</v>
      </c>
      <c r="F184" s="21" t="s">
        <v>403</v>
      </c>
      <c r="G184" s="8" t="str">
        <f t="shared" si="2"/>
        <v>LEVERE CRAIG</v>
      </c>
    </row>
    <row r="185" spans="1:7" x14ac:dyDescent="0.25">
      <c r="A185" s="8">
        <v>42705.719247685185</v>
      </c>
      <c r="B185" s="21" t="s">
        <v>532</v>
      </c>
      <c r="C185" s="21" t="s">
        <v>604</v>
      </c>
      <c r="D185" s="165">
        <v>1290000</v>
      </c>
      <c r="E185" s="21" t="s">
        <v>301</v>
      </c>
      <c r="F185" s="21" t="s">
        <v>389</v>
      </c>
      <c r="G185" s="8" t="str">
        <f t="shared" si="2"/>
        <v>COOLAHAN JOHN</v>
      </c>
    </row>
    <row r="186" spans="1:7" x14ac:dyDescent="0.25">
      <c r="A186" s="8">
        <v>42705.720995370371</v>
      </c>
      <c r="B186" s="21" t="s">
        <v>274</v>
      </c>
      <c r="C186" s="21" t="s">
        <v>605</v>
      </c>
      <c r="D186" s="165">
        <v>2020000</v>
      </c>
      <c r="E186" s="21" t="s">
        <v>542</v>
      </c>
      <c r="F186" s="21" t="s">
        <v>389</v>
      </c>
      <c r="G186" s="8" t="str">
        <f t="shared" si="2"/>
        <v>SHOOK JOHN</v>
      </c>
    </row>
    <row r="187" spans="1:7" x14ac:dyDescent="0.25">
      <c r="A187" s="8">
        <v>42705.726921296293</v>
      </c>
      <c r="B187" s="21" t="s">
        <v>297</v>
      </c>
      <c r="C187" s="21" t="s">
        <v>606</v>
      </c>
      <c r="D187" s="165">
        <v>2260000</v>
      </c>
      <c r="E187" s="21" t="s">
        <v>550</v>
      </c>
      <c r="F187" s="21" t="s">
        <v>551</v>
      </c>
      <c r="G187" s="8" t="str">
        <f t="shared" si="2"/>
        <v>ARVIDSON DANIEL</v>
      </c>
    </row>
    <row r="188" spans="1:7" x14ac:dyDescent="0.25">
      <c r="A188" s="8">
        <v>42705.72892361111</v>
      </c>
      <c r="B188" s="21" t="s">
        <v>184</v>
      </c>
      <c r="C188" s="21" t="s">
        <v>607</v>
      </c>
      <c r="D188" s="165">
        <v>1230000</v>
      </c>
      <c r="E188" s="21" t="s">
        <v>312</v>
      </c>
      <c r="F188" s="21" t="s">
        <v>390</v>
      </c>
      <c r="G188" s="8" t="str">
        <f t="shared" si="2"/>
        <v>YANAI IAN</v>
      </c>
    </row>
    <row r="189" spans="1:7" x14ac:dyDescent="0.25">
      <c r="A189" s="8">
        <v>42705.735127314816</v>
      </c>
      <c r="B189" s="21" t="s">
        <v>218</v>
      </c>
      <c r="C189" s="21" t="s">
        <v>608</v>
      </c>
      <c r="D189" s="165">
        <v>1290000</v>
      </c>
      <c r="E189" s="21" t="s">
        <v>301</v>
      </c>
      <c r="F189" s="21" t="s">
        <v>389</v>
      </c>
      <c r="G189" s="8" t="str">
        <f t="shared" si="2"/>
        <v>COOLAHAN JOHN</v>
      </c>
    </row>
    <row r="190" spans="1:7" x14ac:dyDescent="0.25">
      <c r="A190" s="8">
        <v>42705.735254629632</v>
      </c>
      <c r="B190" s="21" t="s">
        <v>327</v>
      </c>
      <c r="C190" s="21" t="s">
        <v>609</v>
      </c>
      <c r="D190" s="165">
        <v>2040000</v>
      </c>
      <c r="E190" s="21" t="s">
        <v>356</v>
      </c>
      <c r="F190" s="21" t="s">
        <v>402</v>
      </c>
      <c r="G190" s="8" t="str">
        <f t="shared" si="2"/>
        <v>MOSES BRADLEY</v>
      </c>
    </row>
    <row r="191" spans="1:7" x14ac:dyDescent="0.25">
      <c r="A191" s="8">
        <v>42705.735451388886</v>
      </c>
      <c r="B191" s="21" t="s">
        <v>263</v>
      </c>
      <c r="C191" s="21" t="s">
        <v>610</v>
      </c>
      <c r="D191" s="165">
        <v>2600000</v>
      </c>
      <c r="E191" s="21" t="s">
        <v>258</v>
      </c>
      <c r="F191" s="21" t="s">
        <v>393</v>
      </c>
      <c r="G191" s="8" t="str">
        <f t="shared" si="2"/>
        <v>DAVIDSON DAVID</v>
      </c>
    </row>
    <row r="192" spans="1:7" x14ac:dyDescent="0.25">
      <c r="A192" s="8">
        <v>42705.736770833333</v>
      </c>
      <c r="B192" s="21" t="s">
        <v>234</v>
      </c>
      <c r="C192" s="21" t="s">
        <v>446</v>
      </c>
      <c r="D192" s="165">
        <v>2220000</v>
      </c>
      <c r="E192" s="21" t="s">
        <v>534</v>
      </c>
      <c r="F192" s="21" t="s">
        <v>535</v>
      </c>
      <c r="G192" s="8" t="str">
        <f t="shared" si="2"/>
        <v>HILLS DUSTIN</v>
      </c>
    </row>
    <row r="193" spans="1:7" x14ac:dyDescent="0.25">
      <c r="A193" s="8">
        <v>42705.741655092592</v>
      </c>
      <c r="B193" s="21" t="s">
        <v>234</v>
      </c>
      <c r="C193" s="21" t="s">
        <v>446</v>
      </c>
      <c r="D193" s="165">
        <v>2220000</v>
      </c>
      <c r="E193" s="21" t="s">
        <v>534</v>
      </c>
      <c r="F193" s="21" t="s">
        <v>535</v>
      </c>
      <c r="G193" s="8" t="str">
        <f t="shared" si="2"/>
        <v>HILLS DUSTIN</v>
      </c>
    </row>
    <row r="194" spans="1:7" x14ac:dyDescent="0.25">
      <c r="A194" s="8">
        <v>42705.743981481479</v>
      </c>
      <c r="B194" s="21" t="s">
        <v>307</v>
      </c>
      <c r="C194" s="21" t="s">
        <v>611</v>
      </c>
      <c r="D194" s="165">
        <v>2270000</v>
      </c>
      <c r="E194" s="21" t="s">
        <v>357</v>
      </c>
      <c r="F194" s="21" t="s">
        <v>404</v>
      </c>
      <c r="G194" s="8" t="str">
        <f t="shared" si="2"/>
        <v>BROWN JACOB</v>
      </c>
    </row>
    <row r="195" spans="1:7" x14ac:dyDescent="0.25">
      <c r="A195" s="8">
        <v>42705.746157407404</v>
      </c>
      <c r="B195" s="21" t="s">
        <v>183</v>
      </c>
      <c r="C195" s="21" t="s">
        <v>612</v>
      </c>
      <c r="D195" s="165">
        <v>1740000</v>
      </c>
      <c r="E195" s="21" t="s">
        <v>335</v>
      </c>
      <c r="F195" s="21" t="s">
        <v>401</v>
      </c>
      <c r="G195" s="8" t="str">
        <f t="shared" ref="G195:G258" si="3">E195&amp;" "&amp;F195</f>
        <v>STORY SAMANTHA</v>
      </c>
    </row>
    <row r="196" spans="1:7" x14ac:dyDescent="0.25">
      <c r="A196" s="8">
        <v>42705.747175925928</v>
      </c>
      <c r="B196" s="21" t="s">
        <v>223</v>
      </c>
      <c r="C196" s="21" t="s">
        <v>613</v>
      </c>
      <c r="D196" s="165">
        <v>2560000</v>
      </c>
      <c r="E196" s="21" t="s">
        <v>614</v>
      </c>
      <c r="F196" s="21" t="s">
        <v>615</v>
      </c>
      <c r="G196" s="8" t="str">
        <f t="shared" si="3"/>
        <v>MACDONALD THOMAS</v>
      </c>
    </row>
    <row r="197" spans="1:7" x14ac:dyDescent="0.25">
      <c r="A197" s="8">
        <v>42705.748067129629</v>
      </c>
      <c r="B197" s="21" t="s">
        <v>543</v>
      </c>
      <c r="C197" s="21" t="s">
        <v>616</v>
      </c>
      <c r="D197" s="165">
        <v>940000</v>
      </c>
      <c r="E197" s="21" t="s">
        <v>311</v>
      </c>
      <c r="F197" s="21" t="s">
        <v>399</v>
      </c>
      <c r="G197" s="8" t="str">
        <f t="shared" si="3"/>
        <v>BONDS REYNALDO</v>
      </c>
    </row>
    <row r="198" spans="1:7" x14ac:dyDescent="0.25">
      <c r="A198" s="8">
        <v>42705.749085648145</v>
      </c>
      <c r="B198" s="21" t="s">
        <v>543</v>
      </c>
      <c r="C198" s="21" t="s">
        <v>616</v>
      </c>
      <c r="D198" s="165">
        <v>940000</v>
      </c>
      <c r="E198" s="21" t="s">
        <v>311</v>
      </c>
      <c r="F198" s="21" t="s">
        <v>399</v>
      </c>
      <c r="G198" s="8" t="str">
        <f t="shared" si="3"/>
        <v>BONDS REYNALDO</v>
      </c>
    </row>
    <row r="199" spans="1:7" x14ac:dyDescent="0.25">
      <c r="A199" s="8">
        <v>42705.750821759262</v>
      </c>
      <c r="B199" s="21" t="s">
        <v>262</v>
      </c>
      <c r="C199" s="21" t="s">
        <v>445</v>
      </c>
      <c r="D199" s="165">
        <v>2600000</v>
      </c>
      <c r="E199" s="21" t="s">
        <v>258</v>
      </c>
      <c r="F199" s="21" t="s">
        <v>393</v>
      </c>
      <c r="G199" s="8" t="str">
        <f t="shared" si="3"/>
        <v>DAVIDSON DAVID</v>
      </c>
    </row>
    <row r="200" spans="1:7" x14ac:dyDescent="0.25">
      <c r="A200" s="8">
        <v>42705.754432870373</v>
      </c>
      <c r="B200" s="21" t="s">
        <v>452</v>
      </c>
      <c r="C200" s="21" t="s">
        <v>617</v>
      </c>
      <c r="D200" s="165">
        <v>1180000</v>
      </c>
      <c r="E200" s="21" t="s">
        <v>300</v>
      </c>
      <c r="F200" s="21" t="s">
        <v>403</v>
      </c>
      <c r="G200" s="8" t="str">
        <f t="shared" si="3"/>
        <v>LEVERE CRAIG</v>
      </c>
    </row>
    <row r="201" spans="1:7" x14ac:dyDescent="0.25">
      <c r="A201" s="8">
        <v>42705.754675925928</v>
      </c>
      <c r="B201" s="21" t="s">
        <v>333</v>
      </c>
      <c r="C201" s="21" t="s">
        <v>444</v>
      </c>
      <c r="D201" s="165">
        <v>1230000</v>
      </c>
      <c r="E201" s="21" t="s">
        <v>312</v>
      </c>
      <c r="F201" s="21" t="s">
        <v>390</v>
      </c>
      <c r="G201" s="8" t="str">
        <f t="shared" si="3"/>
        <v>YANAI IAN</v>
      </c>
    </row>
    <row r="202" spans="1:7" x14ac:dyDescent="0.25">
      <c r="A202" s="27">
        <v>42705.756620370368</v>
      </c>
      <c r="B202" s="21" t="s">
        <v>246</v>
      </c>
      <c r="C202" s="21" t="s">
        <v>448</v>
      </c>
      <c r="D202" s="165">
        <v>1300000</v>
      </c>
      <c r="E202" s="21" t="s">
        <v>113</v>
      </c>
      <c r="F202" s="21" t="s">
        <v>405</v>
      </c>
      <c r="G202" s="8" t="str">
        <f t="shared" si="3"/>
        <v>LEVIN SCOTT</v>
      </c>
    </row>
    <row r="203" spans="1:7" x14ac:dyDescent="0.25">
      <c r="A203" s="8">
        <v>42705.766539351855</v>
      </c>
      <c r="B203" s="21" t="s">
        <v>436</v>
      </c>
      <c r="C203" s="21" t="s">
        <v>618</v>
      </c>
      <c r="D203" s="165">
        <v>2260000</v>
      </c>
      <c r="E203" s="21" t="s">
        <v>550</v>
      </c>
      <c r="F203" s="21" t="s">
        <v>551</v>
      </c>
      <c r="G203" s="8" t="str">
        <f t="shared" si="3"/>
        <v>ARVIDSON DANIEL</v>
      </c>
    </row>
    <row r="204" spans="1:7" x14ac:dyDescent="0.25">
      <c r="A204" s="8">
        <v>42705.76766203704</v>
      </c>
      <c r="B204" s="21" t="s">
        <v>330</v>
      </c>
      <c r="C204" s="21" t="s">
        <v>619</v>
      </c>
      <c r="D204" s="165">
        <v>2000000</v>
      </c>
      <c r="E204" s="21" t="s">
        <v>215</v>
      </c>
      <c r="F204" s="21" t="s">
        <v>406</v>
      </c>
      <c r="G204" s="8" t="str">
        <f t="shared" si="3"/>
        <v>STAMBAUGH JAMES</v>
      </c>
    </row>
    <row r="205" spans="1:7" x14ac:dyDescent="0.25">
      <c r="A205" s="8">
        <v>42705.769328703704</v>
      </c>
      <c r="B205" s="21" t="s">
        <v>184</v>
      </c>
      <c r="C205" s="21" t="s">
        <v>620</v>
      </c>
      <c r="D205" s="165">
        <v>1230000</v>
      </c>
      <c r="E205" s="21" t="s">
        <v>312</v>
      </c>
      <c r="F205" s="21" t="s">
        <v>390</v>
      </c>
      <c r="G205" s="8" t="str">
        <f t="shared" si="3"/>
        <v>YANAI IAN</v>
      </c>
    </row>
    <row r="206" spans="1:7" x14ac:dyDescent="0.25">
      <c r="A206" s="8">
        <v>42705.77480324074</v>
      </c>
      <c r="B206" s="21" t="s">
        <v>298</v>
      </c>
      <c r="C206" s="21" t="s">
        <v>621</v>
      </c>
      <c r="D206" s="165">
        <v>1290000</v>
      </c>
      <c r="E206" s="21" t="s">
        <v>301</v>
      </c>
      <c r="F206" s="21" t="s">
        <v>389</v>
      </c>
      <c r="G206" s="8" t="str">
        <f t="shared" si="3"/>
        <v>COOLAHAN JOHN</v>
      </c>
    </row>
    <row r="207" spans="1:7" x14ac:dyDescent="0.25">
      <c r="A207" s="8">
        <v>42705.778136574074</v>
      </c>
      <c r="B207" s="21" t="s">
        <v>263</v>
      </c>
      <c r="C207" s="21" t="s">
        <v>449</v>
      </c>
      <c r="D207" s="165">
        <v>2600000</v>
      </c>
      <c r="E207" s="21" t="s">
        <v>258</v>
      </c>
      <c r="F207" s="21" t="s">
        <v>393</v>
      </c>
      <c r="G207" s="8" t="str">
        <f t="shared" si="3"/>
        <v>DAVIDSON DAVID</v>
      </c>
    </row>
    <row r="208" spans="1:7" x14ac:dyDescent="0.25">
      <c r="A208" s="8">
        <v>42705.779085648152</v>
      </c>
      <c r="B208" s="21" t="s">
        <v>308</v>
      </c>
      <c r="C208" s="21" t="s">
        <v>447</v>
      </c>
      <c r="D208" s="165">
        <v>2270000</v>
      </c>
      <c r="E208" s="21" t="s">
        <v>357</v>
      </c>
      <c r="F208" s="21" t="s">
        <v>404</v>
      </c>
      <c r="G208" s="8" t="str">
        <f t="shared" si="3"/>
        <v>BROWN JACOB</v>
      </c>
    </row>
    <row r="209" spans="1:7" x14ac:dyDescent="0.25">
      <c r="A209" s="8">
        <v>42705.78533564815</v>
      </c>
      <c r="B209" s="21" t="s">
        <v>266</v>
      </c>
      <c r="C209" s="21" t="s">
        <v>622</v>
      </c>
      <c r="D209" s="165">
        <v>1740000</v>
      </c>
      <c r="E209" s="21" t="s">
        <v>335</v>
      </c>
      <c r="F209" s="21" t="s">
        <v>401</v>
      </c>
      <c r="G209" s="8" t="str">
        <f t="shared" si="3"/>
        <v>STORY SAMANTHA</v>
      </c>
    </row>
    <row r="210" spans="1:7" x14ac:dyDescent="0.25">
      <c r="A210" s="8">
        <v>42705.789872685185</v>
      </c>
      <c r="B210" s="21" t="s">
        <v>547</v>
      </c>
      <c r="C210" s="21" t="s">
        <v>623</v>
      </c>
      <c r="D210" s="165">
        <v>2530000</v>
      </c>
      <c r="E210" s="21" t="s">
        <v>277</v>
      </c>
      <c r="F210" s="21" t="s">
        <v>624</v>
      </c>
      <c r="G210" s="8" t="str">
        <f t="shared" si="3"/>
        <v>LALONDE GREGORY</v>
      </c>
    </row>
    <row r="211" spans="1:7" x14ac:dyDescent="0.25">
      <c r="A211" s="8">
        <v>42705.795972222222</v>
      </c>
      <c r="B211" s="21" t="s">
        <v>333</v>
      </c>
      <c r="C211" s="21" t="s">
        <v>625</v>
      </c>
      <c r="D211" s="165">
        <v>1230000</v>
      </c>
      <c r="E211" s="21" t="s">
        <v>312</v>
      </c>
      <c r="F211" s="21" t="s">
        <v>390</v>
      </c>
      <c r="G211" s="8" t="str">
        <f t="shared" si="3"/>
        <v>YANAI IAN</v>
      </c>
    </row>
    <row r="212" spans="1:7" x14ac:dyDescent="0.25">
      <c r="A212" s="8">
        <v>42705.797592592593</v>
      </c>
      <c r="B212" s="21" t="s">
        <v>274</v>
      </c>
      <c r="C212" s="21" t="s">
        <v>451</v>
      </c>
      <c r="D212" s="165">
        <v>1300000</v>
      </c>
      <c r="E212" s="21" t="s">
        <v>113</v>
      </c>
      <c r="F212" s="21" t="s">
        <v>405</v>
      </c>
      <c r="G212" s="8" t="str">
        <f t="shared" si="3"/>
        <v>LEVIN SCOTT</v>
      </c>
    </row>
    <row r="213" spans="1:7" x14ac:dyDescent="0.25">
      <c r="A213" s="8">
        <v>42705.801851851851</v>
      </c>
      <c r="B213" s="21" t="s">
        <v>297</v>
      </c>
      <c r="C213" s="21" t="s">
        <v>626</v>
      </c>
      <c r="D213" s="165">
        <v>2260000</v>
      </c>
      <c r="E213" s="21" t="s">
        <v>550</v>
      </c>
      <c r="F213" s="21" t="s">
        <v>551</v>
      </c>
      <c r="G213" s="8" t="str">
        <f t="shared" si="3"/>
        <v>ARVIDSON DANIEL</v>
      </c>
    </row>
    <row r="214" spans="1:7" x14ac:dyDescent="0.25">
      <c r="A214" s="8">
        <v>42705.803414351853</v>
      </c>
      <c r="B214" s="21" t="s">
        <v>262</v>
      </c>
      <c r="C214" s="21" t="s">
        <v>450</v>
      </c>
      <c r="D214" s="165">
        <v>2600000</v>
      </c>
      <c r="E214" s="21" t="s">
        <v>258</v>
      </c>
      <c r="F214" s="21" t="s">
        <v>393</v>
      </c>
      <c r="G214" s="8" t="str">
        <f t="shared" si="3"/>
        <v>DAVIDSON DAVID</v>
      </c>
    </row>
    <row r="215" spans="1:7" x14ac:dyDescent="0.25">
      <c r="A215" s="8">
        <v>42705.808229166665</v>
      </c>
      <c r="B215" s="21" t="s">
        <v>222</v>
      </c>
      <c r="C215" s="21" t="s">
        <v>627</v>
      </c>
      <c r="D215" s="165">
        <v>2560000</v>
      </c>
      <c r="E215" s="21" t="s">
        <v>614</v>
      </c>
      <c r="F215" s="21" t="s">
        <v>615</v>
      </c>
      <c r="G215" s="8" t="str">
        <f t="shared" si="3"/>
        <v>MACDONALD THOMAS</v>
      </c>
    </row>
    <row r="216" spans="1:7" x14ac:dyDescent="0.25">
      <c r="A216" s="8">
        <v>42705.808657407404</v>
      </c>
      <c r="B216" s="21" t="s">
        <v>327</v>
      </c>
      <c r="C216" s="21" t="s">
        <v>628</v>
      </c>
      <c r="D216" s="165">
        <v>2000000</v>
      </c>
      <c r="E216" s="21" t="s">
        <v>215</v>
      </c>
      <c r="F216" s="21" t="s">
        <v>406</v>
      </c>
      <c r="G216" s="8" t="str">
        <f t="shared" si="3"/>
        <v>STAMBAUGH JAMES</v>
      </c>
    </row>
    <row r="217" spans="1:7" x14ac:dyDescent="0.25">
      <c r="A217" s="8">
        <v>42705.818784722222</v>
      </c>
      <c r="B217" s="21" t="s">
        <v>263</v>
      </c>
      <c r="C217" s="21" t="s">
        <v>629</v>
      </c>
      <c r="D217" s="165">
        <v>2600000</v>
      </c>
      <c r="E217" s="21" t="s">
        <v>258</v>
      </c>
      <c r="F217" s="21" t="s">
        <v>393</v>
      </c>
      <c r="G217" s="8" t="str">
        <f t="shared" si="3"/>
        <v>DAVIDSON DAVID</v>
      </c>
    </row>
    <row r="218" spans="1:7" x14ac:dyDescent="0.25">
      <c r="A218" s="8">
        <v>42705.820347222223</v>
      </c>
      <c r="B218" s="21" t="s">
        <v>452</v>
      </c>
      <c r="C218" s="21" t="s">
        <v>453</v>
      </c>
      <c r="D218" s="165">
        <v>2530000</v>
      </c>
      <c r="E218" s="21" t="s">
        <v>277</v>
      </c>
      <c r="F218" s="21" t="s">
        <v>624</v>
      </c>
      <c r="G218" s="8" t="str">
        <f t="shared" si="3"/>
        <v>LALONDE GREGORY</v>
      </c>
    </row>
    <row r="219" spans="1:7" x14ac:dyDescent="0.25">
      <c r="A219" s="8">
        <v>42705.821793981479</v>
      </c>
      <c r="B219" s="21" t="s">
        <v>218</v>
      </c>
      <c r="C219" s="21" t="s">
        <v>630</v>
      </c>
      <c r="D219" s="165">
        <v>1740000</v>
      </c>
      <c r="E219" s="21" t="s">
        <v>335</v>
      </c>
      <c r="F219" s="21" t="s">
        <v>401</v>
      </c>
      <c r="G219" s="8" t="str">
        <f t="shared" si="3"/>
        <v>STORY SAMANTHA</v>
      </c>
    </row>
    <row r="220" spans="1:7" x14ac:dyDescent="0.25">
      <c r="A220" s="8">
        <v>42705.830312500002</v>
      </c>
      <c r="B220" s="21" t="s">
        <v>246</v>
      </c>
      <c r="C220" s="21" t="s">
        <v>631</v>
      </c>
      <c r="D220" s="165">
        <v>1300000</v>
      </c>
      <c r="E220" s="21" t="s">
        <v>113</v>
      </c>
      <c r="F220" s="21" t="s">
        <v>405</v>
      </c>
      <c r="G220" s="8" t="str">
        <f t="shared" si="3"/>
        <v>LEVIN SCOTT</v>
      </c>
    </row>
    <row r="221" spans="1:7" x14ac:dyDescent="0.25">
      <c r="A221" s="8">
        <v>42705.840601851851</v>
      </c>
      <c r="B221" s="21" t="s">
        <v>183</v>
      </c>
      <c r="C221" s="21" t="s">
        <v>632</v>
      </c>
      <c r="D221" s="165">
        <v>2000000</v>
      </c>
      <c r="E221" s="21" t="s">
        <v>215</v>
      </c>
      <c r="F221" s="21" t="s">
        <v>406</v>
      </c>
      <c r="G221" s="8" t="str">
        <f t="shared" si="3"/>
        <v>STAMBAUGH JAMES</v>
      </c>
    </row>
    <row r="222" spans="1:7" x14ac:dyDescent="0.25">
      <c r="A222" s="8">
        <v>42705.845034722224</v>
      </c>
      <c r="B222" s="21" t="s">
        <v>262</v>
      </c>
      <c r="C222" s="21" t="s">
        <v>633</v>
      </c>
      <c r="D222" s="165">
        <v>2600000</v>
      </c>
      <c r="E222" s="21" t="s">
        <v>258</v>
      </c>
      <c r="F222" s="21" t="s">
        <v>393</v>
      </c>
      <c r="G222" s="8" t="str">
        <f t="shared" si="3"/>
        <v>DAVIDSON DAVID</v>
      </c>
    </row>
    <row r="223" spans="1:7" x14ac:dyDescent="0.25">
      <c r="A223" s="8">
        <v>42705.84814814815</v>
      </c>
      <c r="B223" s="21" t="s">
        <v>223</v>
      </c>
      <c r="C223" s="21" t="s">
        <v>634</v>
      </c>
      <c r="D223" s="165">
        <v>2560000</v>
      </c>
      <c r="E223" s="21" t="s">
        <v>614</v>
      </c>
      <c r="F223" s="21" t="s">
        <v>615</v>
      </c>
      <c r="G223" s="8" t="str">
        <f t="shared" si="3"/>
        <v>MACDONALD THOMAS</v>
      </c>
    </row>
    <row r="224" spans="1:7" x14ac:dyDescent="0.25">
      <c r="A224" s="8">
        <v>42705.858946759261</v>
      </c>
      <c r="B224" t="s">
        <v>263</v>
      </c>
      <c r="C224" t="s">
        <v>635</v>
      </c>
      <c r="D224" s="165">
        <v>2600000</v>
      </c>
      <c r="E224" t="s">
        <v>258</v>
      </c>
      <c r="F224" s="21" t="s">
        <v>393</v>
      </c>
      <c r="G224" s="8" t="str">
        <f t="shared" si="3"/>
        <v>DAVIDSON DAVID</v>
      </c>
    </row>
    <row r="225" spans="1:7" x14ac:dyDescent="0.25">
      <c r="A225" s="8">
        <v>42705.868333333332</v>
      </c>
      <c r="B225" t="s">
        <v>274</v>
      </c>
      <c r="C225" t="s">
        <v>636</v>
      </c>
      <c r="D225" s="165">
        <v>1300000</v>
      </c>
      <c r="E225" t="s">
        <v>113</v>
      </c>
      <c r="F225" s="21" t="s">
        <v>405</v>
      </c>
      <c r="G225" s="8" t="str">
        <f t="shared" si="3"/>
        <v>LEVIN SCOTT</v>
      </c>
    </row>
    <row r="226" spans="1:7" x14ac:dyDescent="0.25">
      <c r="A226" s="8">
        <v>42705.872083333335</v>
      </c>
      <c r="B226" t="s">
        <v>547</v>
      </c>
      <c r="C226" t="s">
        <v>637</v>
      </c>
      <c r="D226" s="165">
        <v>1180000</v>
      </c>
      <c r="E226" t="s">
        <v>300</v>
      </c>
      <c r="F226" s="21" t="s">
        <v>403</v>
      </c>
      <c r="G226" s="8" t="str">
        <f t="shared" si="3"/>
        <v>LEVERE CRAIG</v>
      </c>
    </row>
    <row r="227" spans="1:7" x14ac:dyDescent="0.25">
      <c r="A227" s="8">
        <v>42705.872442129628</v>
      </c>
      <c r="B227" t="s">
        <v>262</v>
      </c>
      <c r="C227" t="s">
        <v>638</v>
      </c>
      <c r="D227" s="165">
        <v>1230000</v>
      </c>
      <c r="E227" t="s">
        <v>312</v>
      </c>
      <c r="F227" s="21" t="s">
        <v>390</v>
      </c>
      <c r="G227" s="8" t="str">
        <f t="shared" si="3"/>
        <v>YANAI IAN</v>
      </c>
    </row>
    <row r="228" spans="1:7" x14ac:dyDescent="0.25">
      <c r="A228" s="8">
        <v>42705.888680555552</v>
      </c>
      <c r="B228" t="s">
        <v>266</v>
      </c>
      <c r="C228" t="s">
        <v>639</v>
      </c>
      <c r="D228" s="165">
        <v>2000000</v>
      </c>
      <c r="E228" t="s">
        <v>215</v>
      </c>
      <c r="F228" s="21" t="s">
        <v>406</v>
      </c>
      <c r="G228" s="8" t="str">
        <f t="shared" si="3"/>
        <v>STAMBAUGH JAMES</v>
      </c>
    </row>
    <row r="229" spans="1:7" x14ac:dyDescent="0.25">
      <c r="A229" s="8">
        <v>42705.893194444441</v>
      </c>
      <c r="B229" t="s">
        <v>222</v>
      </c>
      <c r="C229" t="s">
        <v>640</v>
      </c>
      <c r="D229" s="165">
        <v>1290000</v>
      </c>
      <c r="E229" t="s">
        <v>301</v>
      </c>
      <c r="F229" s="21" t="s">
        <v>389</v>
      </c>
      <c r="G229" s="8" t="str">
        <f t="shared" si="3"/>
        <v>COOLAHAN JOHN</v>
      </c>
    </row>
    <row r="230" spans="1:7" x14ac:dyDescent="0.25">
      <c r="A230" s="8">
        <v>42705.901932870373</v>
      </c>
      <c r="B230" t="s">
        <v>263</v>
      </c>
      <c r="C230" t="s">
        <v>641</v>
      </c>
      <c r="D230" s="165">
        <v>1230000</v>
      </c>
      <c r="E230" t="s">
        <v>312</v>
      </c>
      <c r="F230" s="21" t="s">
        <v>390</v>
      </c>
      <c r="G230" s="8" t="str">
        <f t="shared" si="3"/>
        <v>YANAI IAN</v>
      </c>
    </row>
    <row r="231" spans="1:7" x14ac:dyDescent="0.25">
      <c r="A231" s="8">
        <v>42705.906342592592</v>
      </c>
      <c r="B231" t="s">
        <v>452</v>
      </c>
      <c r="C231" t="s">
        <v>642</v>
      </c>
      <c r="D231" s="165">
        <v>1180000</v>
      </c>
      <c r="E231" t="s">
        <v>300</v>
      </c>
      <c r="F231" s="21" t="s">
        <v>403</v>
      </c>
      <c r="G231" s="8" t="str">
        <f t="shared" si="3"/>
        <v>LEVERE CRAIG</v>
      </c>
    </row>
    <row r="232" spans="1:7" x14ac:dyDescent="0.25">
      <c r="A232" s="8">
        <v>42705.910381944443</v>
      </c>
      <c r="B232" t="s">
        <v>246</v>
      </c>
      <c r="C232" t="s">
        <v>643</v>
      </c>
      <c r="D232" s="165">
        <v>1300000</v>
      </c>
      <c r="E232" t="s">
        <v>113</v>
      </c>
      <c r="F232" s="21" t="s">
        <v>405</v>
      </c>
      <c r="G232" s="8" t="str">
        <f t="shared" si="3"/>
        <v>LEVIN SCOTT</v>
      </c>
    </row>
    <row r="233" spans="1:7" x14ac:dyDescent="0.25">
      <c r="A233" s="8">
        <v>42705.914166666669</v>
      </c>
      <c r="B233" t="s">
        <v>262</v>
      </c>
      <c r="C233" t="s">
        <v>644</v>
      </c>
      <c r="D233" s="165">
        <v>1230000</v>
      </c>
      <c r="E233" t="s">
        <v>312</v>
      </c>
      <c r="F233" s="21" t="s">
        <v>390</v>
      </c>
      <c r="G233" s="8" t="str">
        <f t="shared" si="3"/>
        <v>YANAI IAN</v>
      </c>
    </row>
    <row r="234" spans="1:7" x14ac:dyDescent="0.25">
      <c r="A234" s="8">
        <v>42705.921944444446</v>
      </c>
      <c r="B234" t="s">
        <v>183</v>
      </c>
      <c r="C234" t="s">
        <v>645</v>
      </c>
      <c r="D234" s="165">
        <v>2000000</v>
      </c>
      <c r="E234" t="s">
        <v>215</v>
      </c>
      <c r="F234" s="21" t="s">
        <v>406</v>
      </c>
      <c r="G234" s="8" t="str">
        <f t="shared" si="3"/>
        <v>STAMBAUGH JAMES</v>
      </c>
    </row>
    <row r="235" spans="1:7" x14ac:dyDescent="0.25">
      <c r="A235" s="8">
        <v>42705.929074074076</v>
      </c>
      <c r="B235" t="s">
        <v>223</v>
      </c>
      <c r="C235" t="s">
        <v>646</v>
      </c>
      <c r="D235" s="165">
        <v>1290000</v>
      </c>
      <c r="E235" t="s">
        <v>301</v>
      </c>
      <c r="F235" s="21" t="s">
        <v>389</v>
      </c>
      <c r="G235" s="8" t="str">
        <f t="shared" si="3"/>
        <v>COOLAHAN JOHN</v>
      </c>
    </row>
    <row r="236" spans="1:7" x14ac:dyDescent="0.25">
      <c r="A236" s="8">
        <v>42705.941400462965</v>
      </c>
      <c r="B236" t="s">
        <v>263</v>
      </c>
      <c r="C236" t="s">
        <v>647</v>
      </c>
      <c r="D236" s="165">
        <v>1230000</v>
      </c>
      <c r="E236" t="s">
        <v>312</v>
      </c>
      <c r="F236" s="21" t="s">
        <v>390</v>
      </c>
      <c r="G236" s="8" t="str">
        <f t="shared" si="3"/>
        <v>YANAI IAN</v>
      </c>
    </row>
    <row r="237" spans="1:7" x14ac:dyDescent="0.25">
      <c r="A237" s="8">
        <v>42705.951643518521</v>
      </c>
      <c r="B237" t="s">
        <v>547</v>
      </c>
      <c r="C237" t="s">
        <v>648</v>
      </c>
      <c r="D237" s="165">
        <v>1180000</v>
      </c>
      <c r="E237" t="s">
        <v>300</v>
      </c>
      <c r="F237" s="21" t="s">
        <v>403</v>
      </c>
      <c r="G237" s="8" t="str">
        <f t="shared" si="3"/>
        <v>LEVERE CRAIG</v>
      </c>
    </row>
    <row r="238" spans="1:7" x14ac:dyDescent="0.25">
      <c r="A238" s="8">
        <v>42705.952060185184</v>
      </c>
      <c r="B238" t="s">
        <v>274</v>
      </c>
      <c r="C238" t="s">
        <v>649</v>
      </c>
      <c r="D238" s="165">
        <v>1300000</v>
      </c>
      <c r="E238" t="s">
        <v>113</v>
      </c>
      <c r="F238" s="21" t="s">
        <v>405</v>
      </c>
      <c r="G238" s="8" t="str">
        <f t="shared" si="3"/>
        <v>LEVIN SCOTT</v>
      </c>
    </row>
    <row r="239" spans="1:7" x14ac:dyDescent="0.25">
      <c r="A239" s="8">
        <v>42705.97446759259</v>
      </c>
      <c r="B239" t="s">
        <v>266</v>
      </c>
      <c r="C239" t="s">
        <v>650</v>
      </c>
      <c r="D239" s="165">
        <v>2000000</v>
      </c>
      <c r="E239" t="s">
        <v>215</v>
      </c>
      <c r="F239" s="21" t="s">
        <v>406</v>
      </c>
      <c r="G239" s="8" t="str">
        <f t="shared" si="3"/>
        <v>STAMBAUGH JAMES</v>
      </c>
    </row>
    <row r="240" spans="1:7" x14ac:dyDescent="0.25">
      <c r="A240" s="8">
        <v>42705.976018518515</v>
      </c>
      <c r="B240" t="s">
        <v>222</v>
      </c>
      <c r="C240" t="s">
        <v>651</v>
      </c>
      <c r="D240" s="165">
        <v>1290000</v>
      </c>
      <c r="E240" t="s">
        <v>301</v>
      </c>
      <c r="F240" s="21" t="s">
        <v>389</v>
      </c>
      <c r="G240" s="8" t="str">
        <f t="shared" si="3"/>
        <v>COOLAHAN JOHN</v>
      </c>
    </row>
    <row r="241" spans="1:7" x14ac:dyDescent="0.25">
      <c r="A241" s="8">
        <v>42705.993807870371</v>
      </c>
      <c r="B241" t="s">
        <v>452</v>
      </c>
      <c r="C241" t="s">
        <v>652</v>
      </c>
      <c r="D241" s="165">
        <v>1180000</v>
      </c>
      <c r="E241" t="s">
        <v>300</v>
      </c>
      <c r="F241" s="21" t="s">
        <v>403</v>
      </c>
      <c r="G241" s="8" t="str">
        <f t="shared" si="3"/>
        <v>LEVERE CRAIG</v>
      </c>
    </row>
    <row r="242" spans="1:7" x14ac:dyDescent="0.25">
      <c r="A242" s="8">
        <v>42705.99627314815</v>
      </c>
      <c r="B242" t="s">
        <v>246</v>
      </c>
      <c r="C242" t="s">
        <v>653</v>
      </c>
      <c r="D242" s="165">
        <v>1300000</v>
      </c>
      <c r="E242" t="s">
        <v>113</v>
      </c>
      <c r="F242" s="21" t="s">
        <v>405</v>
      </c>
      <c r="G242" s="8" t="str">
        <f t="shared" si="3"/>
        <v>LEVIN SCOTT</v>
      </c>
    </row>
    <row r="243" spans="1:7" x14ac:dyDescent="0.25">
      <c r="A243" s="8">
        <v>42706.004305555558</v>
      </c>
      <c r="B243" t="s">
        <v>183</v>
      </c>
      <c r="C243" t="s">
        <v>654</v>
      </c>
      <c r="D243" s="165">
        <v>2000000</v>
      </c>
      <c r="E243" t="s">
        <v>215</v>
      </c>
      <c r="F243" s="21" t="s">
        <v>406</v>
      </c>
      <c r="G243" s="8" t="str">
        <f t="shared" si="3"/>
        <v>STAMBAUGH JAMES</v>
      </c>
    </row>
    <row r="244" spans="1:7" x14ac:dyDescent="0.25">
      <c r="A244" s="8">
        <v>42706.00990740741</v>
      </c>
      <c r="B244" t="s">
        <v>223</v>
      </c>
      <c r="C244" t="s">
        <v>455</v>
      </c>
      <c r="D244" s="165">
        <v>1290000</v>
      </c>
      <c r="E244" t="s">
        <v>301</v>
      </c>
      <c r="F244" s="21" t="s">
        <v>389</v>
      </c>
      <c r="G244" s="8" t="str">
        <f t="shared" si="3"/>
        <v>COOLAHAN JOHN</v>
      </c>
    </row>
    <row r="245" spans="1:7" x14ac:dyDescent="0.25">
      <c r="A245" s="8">
        <v>42706.026990740742</v>
      </c>
      <c r="B245" t="s">
        <v>547</v>
      </c>
      <c r="C245" t="s">
        <v>655</v>
      </c>
      <c r="D245" s="165">
        <v>1180000</v>
      </c>
      <c r="E245" t="s">
        <v>300</v>
      </c>
      <c r="F245" s="21" t="s">
        <v>403</v>
      </c>
      <c r="G245" s="8" t="str">
        <f t="shared" si="3"/>
        <v>LEVERE CRAIG</v>
      </c>
    </row>
    <row r="246" spans="1:7" x14ac:dyDescent="0.25">
      <c r="A246" s="8">
        <v>42706.035787037035</v>
      </c>
      <c r="B246" t="s">
        <v>274</v>
      </c>
      <c r="C246" t="s">
        <v>454</v>
      </c>
      <c r="D246" s="165">
        <v>1300000</v>
      </c>
      <c r="E246" t="s">
        <v>113</v>
      </c>
      <c r="F246" s="21" t="s">
        <v>405</v>
      </c>
      <c r="G246" s="8" t="str">
        <f t="shared" si="3"/>
        <v>LEVIN SCOTT</v>
      </c>
    </row>
    <row r="247" spans="1:7" x14ac:dyDescent="0.25">
      <c r="A247" s="8">
        <v>42706.04965277778</v>
      </c>
      <c r="B247" t="s">
        <v>330</v>
      </c>
      <c r="C247" t="s">
        <v>656</v>
      </c>
      <c r="D247" s="165">
        <v>1290000</v>
      </c>
      <c r="E247" t="s">
        <v>301</v>
      </c>
      <c r="F247" s="21" t="s">
        <v>389</v>
      </c>
      <c r="G247" s="8" t="str">
        <f t="shared" si="3"/>
        <v>COOLAHAN JOHN</v>
      </c>
    </row>
    <row r="248" spans="1:7" x14ac:dyDescent="0.25">
      <c r="A248" s="8">
        <v>42706.05704861111</v>
      </c>
      <c r="B248" t="s">
        <v>266</v>
      </c>
      <c r="C248" t="s">
        <v>657</v>
      </c>
      <c r="D248" s="165">
        <v>2000000</v>
      </c>
      <c r="E248" t="s">
        <v>215</v>
      </c>
      <c r="F248" s="21" t="s">
        <v>406</v>
      </c>
      <c r="G248" s="8" t="str">
        <f t="shared" si="3"/>
        <v>STAMBAUGH JAMES</v>
      </c>
    </row>
    <row r="249" spans="1:7" x14ac:dyDescent="0.25">
      <c r="A249" s="8">
        <v>42706.06658564815</v>
      </c>
      <c r="B249" t="s">
        <v>246</v>
      </c>
      <c r="C249" t="s">
        <v>658</v>
      </c>
      <c r="D249" s="165">
        <v>1300000</v>
      </c>
      <c r="E249" t="s">
        <v>113</v>
      </c>
      <c r="F249" s="21" t="s">
        <v>405</v>
      </c>
      <c r="G249" s="8" t="str">
        <f t="shared" si="3"/>
        <v>LEVIN SCOTT</v>
      </c>
    </row>
    <row r="250" spans="1:7" x14ac:dyDescent="0.25">
      <c r="A250" s="8">
        <v>42700.022650462961</v>
      </c>
      <c r="B250" t="s">
        <v>154</v>
      </c>
      <c r="C250" t="s">
        <v>278</v>
      </c>
      <c r="D250" s="165">
        <v>2530000</v>
      </c>
      <c r="E250" t="s">
        <v>277</v>
      </c>
      <c r="F250" s="21" t="str">
        <f t="shared" ref="F239:F265" si="4">B250</f>
        <v>rtdc.l.rtdc.4051:itc</v>
      </c>
      <c r="G250" s="8" t="str">
        <f t="shared" si="3"/>
        <v>LALONDE rtdc.l.rtdc.4051:itc</v>
      </c>
    </row>
    <row r="251" spans="1:7" x14ac:dyDescent="0.25">
      <c r="A251" s="8">
        <v>42700.032500000001</v>
      </c>
      <c r="B251" t="s">
        <v>235</v>
      </c>
      <c r="C251" t="s">
        <v>275</v>
      </c>
      <c r="D251" s="165">
        <v>1800000</v>
      </c>
      <c r="E251" t="s">
        <v>276</v>
      </c>
      <c r="F251" s="21" t="str">
        <f t="shared" si="4"/>
        <v>rtdc.l.rtdc.4013:itc</v>
      </c>
      <c r="G251" s="8" t="str">
        <f t="shared" si="3"/>
        <v>CHANDLER rtdc.l.rtdc.4013:itc</v>
      </c>
    </row>
    <row r="252" spans="1:7" x14ac:dyDescent="0.25">
      <c r="A252" s="8">
        <v>42700.037488425929</v>
      </c>
      <c r="B252" t="s">
        <v>211</v>
      </c>
      <c r="C252" t="s">
        <v>280</v>
      </c>
      <c r="D252" s="165">
        <v>2600000</v>
      </c>
      <c r="E252" t="s">
        <v>258</v>
      </c>
      <c r="F252" s="21" t="str">
        <f t="shared" si="4"/>
        <v>rtdc.l.rtdc.4040:itc</v>
      </c>
      <c r="G252" s="8" t="str">
        <f t="shared" si="3"/>
        <v>DAVIDSON rtdc.l.rtdc.4040:itc</v>
      </c>
    </row>
    <row r="253" spans="1:7" x14ac:dyDescent="0.25">
      <c r="A253" s="8">
        <v>42700.045208333337</v>
      </c>
      <c r="B253" t="s">
        <v>155</v>
      </c>
      <c r="C253" t="s">
        <v>279</v>
      </c>
      <c r="D253" s="165">
        <v>2530000</v>
      </c>
      <c r="E253" t="s">
        <v>277</v>
      </c>
      <c r="F253" s="21" t="str">
        <f t="shared" si="4"/>
        <v>rtdc.l.rtdc.4052:itc</v>
      </c>
      <c r="G253" s="8" t="str">
        <f t="shared" si="3"/>
        <v>LALONDE rtdc.l.rtdc.4052:itc</v>
      </c>
    </row>
    <row r="254" spans="1:7" x14ac:dyDescent="0.25">
      <c r="A254" s="8">
        <v>42700.045347222222</v>
      </c>
      <c r="B254" t="s">
        <v>249</v>
      </c>
      <c r="C254" t="s">
        <v>281</v>
      </c>
      <c r="D254" s="165">
        <v>2630000</v>
      </c>
      <c r="E254" t="s">
        <v>259</v>
      </c>
      <c r="F254" s="21" t="str">
        <f t="shared" si="4"/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257</v>
      </c>
      <c r="C255" t="s">
        <v>282</v>
      </c>
      <c r="D255" s="165">
        <v>2000000</v>
      </c>
      <c r="E255" t="s">
        <v>215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278</v>
      </c>
      <c r="D256" s="165">
        <v>2530000</v>
      </c>
      <c r="E256" t="s">
        <v>277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234</v>
      </c>
      <c r="C257" t="s">
        <v>283</v>
      </c>
      <c r="D257" s="165">
        <v>1800000</v>
      </c>
      <c r="E257" t="s">
        <v>276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213</v>
      </c>
      <c r="C258" t="s">
        <v>284</v>
      </c>
      <c r="D258" s="165">
        <v>2600000</v>
      </c>
      <c r="E258" t="s">
        <v>258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279</v>
      </c>
      <c r="D259" s="165">
        <v>2530000</v>
      </c>
      <c r="E259" t="s">
        <v>277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256</v>
      </c>
      <c r="C260" t="s">
        <v>285</v>
      </c>
      <c r="D260" s="165">
        <v>2000000</v>
      </c>
      <c r="E260" t="s">
        <v>215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278</v>
      </c>
      <c r="D261" s="165">
        <v>2530000</v>
      </c>
      <c r="E261" t="s">
        <v>277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211</v>
      </c>
      <c r="C262" t="s">
        <v>286</v>
      </c>
      <c r="D262" s="165">
        <v>2600000</v>
      </c>
      <c r="E262" t="s">
        <v>258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208</v>
      </c>
      <c r="C263" t="s">
        <v>224</v>
      </c>
      <c r="D263" s="165">
        <v>2000000</v>
      </c>
      <c r="E263" t="s">
        <v>215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220</v>
      </c>
      <c r="C264" t="s">
        <v>225</v>
      </c>
      <c r="D264" s="165">
        <v>2550000</v>
      </c>
      <c r="E264" t="s">
        <v>219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223</v>
      </c>
      <c r="C265" t="s">
        <v>226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218</v>
      </c>
      <c r="C266" t="s">
        <v>227</v>
      </c>
      <c r="D266" s="165">
        <v>2420000</v>
      </c>
      <c r="E266" t="s">
        <v>221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216</v>
      </c>
      <c r="C267" t="s">
        <v>228</v>
      </c>
      <c r="D267" s="165">
        <v>2000000</v>
      </c>
      <c r="E267" t="s">
        <v>215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222</v>
      </c>
      <c r="C268" t="s">
        <v>229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19.34</v>
      </c>
      <c r="B2" s="165">
        <v>0.41</v>
      </c>
      <c r="C2" s="165">
        <v>4.82</v>
      </c>
      <c r="D2" s="8">
        <v>42705</v>
      </c>
      <c r="E2" s="165">
        <v>0.44</v>
      </c>
      <c r="F2" s="165" t="s">
        <v>288</v>
      </c>
      <c r="G2" s="165">
        <v>264.27999999999997</v>
      </c>
      <c r="H2" s="165">
        <v>0</v>
      </c>
      <c r="I2" s="165">
        <v>0</v>
      </c>
      <c r="J2" s="165">
        <v>1019.76</v>
      </c>
      <c r="K2" s="165" t="s">
        <v>313</v>
      </c>
      <c r="L2" s="165">
        <v>23.5</v>
      </c>
      <c r="M2" s="165">
        <v>1480575600</v>
      </c>
      <c r="N2" s="165">
        <v>6.66</v>
      </c>
      <c r="O2" s="165">
        <v>237</v>
      </c>
      <c r="P2" s="165">
        <v>3.23</v>
      </c>
      <c r="Q2"/>
      <c r="R2"/>
    </row>
    <row r="3" spans="1:18" x14ac:dyDescent="0.25">
      <c r="A3" s="165">
        <v>22.72</v>
      </c>
      <c r="B3" s="165">
        <v>0.41</v>
      </c>
      <c r="C3" s="165">
        <v>5.01</v>
      </c>
      <c r="D3" s="8">
        <v>42705.041666666664</v>
      </c>
      <c r="E3" s="165">
        <v>0.46</v>
      </c>
      <c r="F3" s="165" t="s">
        <v>288</v>
      </c>
      <c r="G3" s="165">
        <v>264.79000000000002</v>
      </c>
      <c r="H3" s="165">
        <v>0</v>
      </c>
      <c r="I3" s="165">
        <v>0</v>
      </c>
      <c r="J3" s="165">
        <v>1020.03</v>
      </c>
      <c r="K3" s="165" t="s">
        <v>313</v>
      </c>
      <c r="L3" s="165">
        <v>22.72</v>
      </c>
      <c r="M3" s="165">
        <v>1480579200</v>
      </c>
      <c r="N3" s="165">
        <v>6.38</v>
      </c>
      <c r="O3" s="165">
        <v>233</v>
      </c>
      <c r="P3" s="165">
        <v>2.44</v>
      </c>
      <c r="Q3"/>
      <c r="R3"/>
    </row>
    <row r="4" spans="1:18" x14ac:dyDescent="0.25">
      <c r="A4" s="165">
        <v>21.49</v>
      </c>
      <c r="B4" s="165">
        <v>0.41</v>
      </c>
      <c r="C4" s="165">
        <v>4.82</v>
      </c>
      <c r="D4" s="8">
        <v>42705.083333333336</v>
      </c>
      <c r="E4" s="165">
        <v>0.48</v>
      </c>
      <c r="F4" s="165" t="s">
        <v>288</v>
      </c>
      <c r="G4" s="165">
        <v>265.3</v>
      </c>
      <c r="H4" s="165">
        <v>0</v>
      </c>
      <c r="I4" s="165">
        <v>0</v>
      </c>
      <c r="J4" s="165">
        <v>1020.34</v>
      </c>
      <c r="K4" s="165" t="s">
        <v>313</v>
      </c>
      <c r="L4" s="165">
        <v>21.49</v>
      </c>
      <c r="M4" s="165">
        <v>1480582800</v>
      </c>
      <c r="N4" s="165">
        <v>5.57</v>
      </c>
      <c r="O4" s="165">
        <v>242</v>
      </c>
      <c r="P4" s="165">
        <v>2.06</v>
      </c>
      <c r="Q4"/>
      <c r="R4"/>
    </row>
    <row r="5" spans="1:18" x14ac:dyDescent="0.25">
      <c r="A5" s="165">
        <v>21.26</v>
      </c>
      <c r="B5" s="165">
        <v>0.51</v>
      </c>
      <c r="C5" s="165">
        <v>4.9800000000000004</v>
      </c>
      <c r="D5" s="8">
        <v>42705.125</v>
      </c>
      <c r="E5" s="165">
        <v>0.49</v>
      </c>
      <c r="F5" s="165" t="s">
        <v>288</v>
      </c>
      <c r="G5" s="165">
        <v>265.88</v>
      </c>
      <c r="H5" s="165">
        <v>0</v>
      </c>
      <c r="I5" s="165">
        <v>0</v>
      </c>
      <c r="J5" s="165">
        <v>1020.18</v>
      </c>
      <c r="K5" s="165" t="s">
        <v>313</v>
      </c>
      <c r="L5" s="165">
        <v>21.26</v>
      </c>
      <c r="M5" s="165">
        <v>1480586400</v>
      </c>
      <c r="N5" s="165">
        <v>4.92</v>
      </c>
      <c r="O5" s="165">
        <v>232</v>
      </c>
      <c r="P5" s="165">
        <v>1.78</v>
      </c>
      <c r="Q5"/>
      <c r="R5"/>
    </row>
    <row r="6" spans="1:18" x14ac:dyDescent="0.25">
      <c r="A6" s="165">
        <v>21.11</v>
      </c>
      <c r="B6" s="165">
        <v>0.65</v>
      </c>
      <c r="C6" s="165">
        <v>4.55</v>
      </c>
      <c r="D6" s="8">
        <v>42705.166666666664</v>
      </c>
      <c r="E6" s="165">
        <v>0.48</v>
      </c>
      <c r="F6" s="165" t="s">
        <v>288</v>
      </c>
      <c r="G6" s="165">
        <v>266.51</v>
      </c>
      <c r="H6" s="165">
        <v>0</v>
      </c>
      <c r="I6" s="165">
        <v>0</v>
      </c>
      <c r="J6" s="165">
        <v>1020.02</v>
      </c>
      <c r="K6" s="165" t="s">
        <v>659</v>
      </c>
      <c r="L6" s="165">
        <v>21.11</v>
      </c>
      <c r="M6" s="165">
        <v>1480590000</v>
      </c>
      <c r="N6" s="165">
        <v>5.28</v>
      </c>
      <c r="O6" s="165">
        <v>258</v>
      </c>
      <c r="P6" s="165">
        <v>1.1399999999999999</v>
      </c>
      <c r="Q6"/>
      <c r="R6"/>
    </row>
    <row r="7" spans="1:18" x14ac:dyDescent="0.25">
      <c r="A7" s="165">
        <v>21.5</v>
      </c>
      <c r="B7" s="165">
        <v>0.57999999999999996</v>
      </c>
      <c r="C7" s="165">
        <v>5.25</v>
      </c>
      <c r="D7" s="8">
        <v>42705.208333333336</v>
      </c>
      <c r="E7" s="165">
        <v>0.49</v>
      </c>
      <c r="F7" s="165" t="s">
        <v>288</v>
      </c>
      <c r="G7" s="165">
        <v>267.20999999999998</v>
      </c>
      <c r="H7" s="165">
        <v>0</v>
      </c>
      <c r="I7" s="165">
        <v>0</v>
      </c>
      <c r="J7" s="165">
        <v>1019.96</v>
      </c>
      <c r="K7" s="165" t="s">
        <v>313</v>
      </c>
      <c r="L7" s="165">
        <v>21.5</v>
      </c>
      <c r="M7" s="165">
        <v>1480593600</v>
      </c>
      <c r="N7" s="165">
        <v>7.12</v>
      </c>
      <c r="O7" s="165">
        <v>214</v>
      </c>
      <c r="P7" s="165">
        <v>1.65</v>
      </c>
      <c r="Q7"/>
      <c r="R7"/>
    </row>
    <row r="8" spans="1:18" x14ac:dyDescent="0.25">
      <c r="A8" s="165">
        <v>21.77</v>
      </c>
      <c r="B8" s="165">
        <v>0.73</v>
      </c>
      <c r="C8" s="165">
        <v>6.49</v>
      </c>
      <c r="D8" s="8">
        <v>42705.25</v>
      </c>
      <c r="E8" s="165">
        <v>0.51</v>
      </c>
      <c r="F8" s="165" t="s">
        <v>288</v>
      </c>
      <c r="G8" s="165">
        <v>268.26</v>
      </c>
      <c r="H8" s="165">
        <v>0</v>
      </c>
      <c r="I8" s="165">
        <v>0</v>
      </c>
      <c r="J8" s="165">
        <v>1020</v>
      </c>
      <c r="K8" s="165" t="s">
        <v>659</v>
      </c>
      <c r="L8" s="165">
        <v>21.77</v>
      </c>
      <c r="M8" s="165">
        <v>1480597200</v>
      </c>
      <c r="N8" s="165">
        <v>10</v>
      </c>
      <c r="O8" s="165">
        <v>243</v>
      </c>
      <c r="P8" s="165">
        <v>2.62</v>
      </c>
      <c r="Q8"/>
      <c r="R8"/>
    </row>
    <row r="9" spans="1:18" x14ac:dyDescent="0.25">
      <c r="A9" s="165">
        <v>22.21</v>
      </c>
      <c r="B9" s="165">
        <v>0.87</v>
      </c>
      <c r="C9" s="165">
        <v>6.68</v>
      </c>
      <c r="D9" s="8">
        <v>42705.291666666664</v>
      </c>
      <c r="E9" s="165">
        <v>0.51</v>
      </c>
      <c r="F9" s="165" t="s">
        <v>288</v>
      </c>
      <c r="G9" s="165">
        <v>269.38</v>
      </c>
      <c r="H9" s="165">
        <v>0</v>
      </c>
      <c r="I9" s="165">
        <v>0</v>
      </c>
      <c r="J9" s="165">
        <v>1020.07</v>
      </c>
      <c r="K9" s="165" t="s">
        <v>659</v>
      </c>
      <c r="L9" s="165">
        <v>22.21</v>
      </c>
      <c r="M9" s="165">
        <v>1480600800</v>
      </c>
      <c r="N9" s="165">
        <v>10</v>
      </c>
      <c r="O9" s="165">
        <v>247</v>
      </c>
      <c r="P9" s="165">
        <v>2.2200000000000002</v>
      </c>
      <c r="Q9"/>
      <c r="R9"/>
    </row>
    <row r="10" spans="1:18" x14ac:dyDescent="0.25">
      <c r="A10" s="165">
        <v>24.19</v>
      </c>
      <c r="B10" s="165">
        <v>0.87</v>
      </c>
      <c r="C10" s="165">
        <v>8.49</v>
      </c>
      <c r="D10" s="8">
        <v>42705.333333333336</v>
      </c>
      <c r="E10" s="165">
        <v>0.51</v>
      </c>
      <c r="F10" s="165" t="s">
        <v>289</v>
      </c>
      <c r="G10" s="165">
        <v>269.81</v>
      </c>
      <c r="H10" s="165">
        <v>0</v>
      </c>
      <c r="I10" s="165">
        <v>0</v>
      </c>
      <c r="J10" s="165">
        <v>1019.8</v>
      </c>
      <c r="K10" s="165" t="s">
        <v>659</v>
      </c>
      <c r="L10" s="165">
        <v>24.19</v>
      </c>
      <c r="M10" s="165">
        <v>1480604400</v>
      </c>
      <c r="N10" s="165">
        <v>4.41</v>
      </c>
      <c r="O10" s="165">
        <v>252</v>
      </c>
      <c r="P10" s="165">
        <v>2.0299999999999998</v>
      </c>
      <c r="Q10"/>
      <c r="R10"/>
    </row>
    <row r="11" spans="1:18" x14ac:dyDescent="0.25">
      <c r="A11" s="165">
        <v>28.33</v>
      </c>
      <c r="B11" s="165">
        <v>0.81</v>
      </c>
      <c r="C11" s="165">
        <v>9.82</v>
      </c>
      <c r="D11" s="8">
        <v>42705.375</v>
      </c>
      <c r="E11" s="165">
        <v>0.45</v>
      </c>
      <c r="F11" s="165" t="s">
        <v>289</v>
      </c>
      <c r="G11" s="165">
        <v>268.86</v>
      </c>
      <c r="H11" s="165">
        <v>0</v>
      </c>
      <c r="I11" s="165">
        <v>0</v>
      </c>
      <c r="J11" s="165">
        <v>1018.81</v>
      </c>
      <c r="K11" s="165" t="s">
        <v>659</v>
      </c>
      <c r="L11" s="165">
        <v>28.33</v>
      </c>
      <c r="M11" s="165">
        <v>1480608000</v>
      </c>
      <c r="N11" s="165">
        <v>4.32</v>
      </c>
      <c r="O11" s="165">
        <v>234</v>
      </c>
      <c r="P11" s="165">
        <v>2.12</v>
      </c>
      <c r="Q11"/>
      <c r="R11"/>
    </row>
    <row r="12" spans="1:18" x14ac:dyDescent="0.25">
      <c r="A12" s="165">
        <v>32.200000000000003</v>
      </c>
      <c r="B12" s="165">
        <v>0.72</v>
      </c>
      <c r="C12" s="165">
        <v>8.6999999999999993</v>
      </c>
      <c r="D12" s="8">
        <v>42705.416666666664</v>
      </c>
      <c r="E12" s="165">
        <v>0.37</v>
      </c>
      <c r="F12" s="165" t="s">
        <v>289</v>
      </c>
      <c r="G12" s="165">
        <v>267.22000000000003</v>
      </c>
      <c r="H12" s="165">
        <v>0</v>
      </c>
      <c r="I12" s="165">
        <v>0</v>
      </c>
      <c r="J12" s="165">
        <v>1017.53</v>
      </c>
      <c r="K12" s="165" t="s">
        <v>659</v>
      </c>
      <c r="L12" s="165">
        <v>32.200000000000003</v>
      </c>
      <c r="M12" s="165">
        <v>1480611600</v>
      </c>
      <c r="N12" s="165">
        <v>3.57</v>
      </c>
      <c r="O12" s="165">
        <v>269</v>
      </c>
      <c r="P12" s="165">
        <v>1.23</v>
      </c>
      <c r="Q12"/>
      <c r="R12"/>
    </row>
    <row r="13" spans="1:18" x14ac:dyDescent="0.25">
      <c r="A13" s="165">
        <v>35.14</v>
      </c>
      <c r="B13" s="165">
        <v>0.64</v>
      </c>
      <c r="C13" s="165">
        <v>9.19</v>
      </c>
      <c r="D13" s="8">
        <v>42705.458333333336</v>
      </c>
      <c r="E13" s="165">
        <v>0.33</v>
      </c>
      <c r="F13" s="165" t="s">
        <v>289</v>
      </c>
      <c r="G13" s="165">
        <v>266.12</v>
      </c>
      <c r="H13" s="165">
        <v>0</v>
      </c>
      <c r="I13" s="165">
        <v>0</v>
      </c>
      <c r="J13" s="165">
        <v>1016.2</v>
      </c>
      <c r="K13" s="165" t="s">
        <v>659</v>
      </c>
      <c r="L13" s="165">
        <v>35.14</v>
      </c>
      <c r="M13" s="165">
        <v>1480615200</v>
      </c>
      <c r="N13" s="165">
        <v>3.56</v>
      </c>
      <c r="O13" s="165">
        <v>346</v>
      </c>
      <c r="P13" s="165">
        <v>0.86</v>
      </c>
      <c r="Q13"/>
      <c r="R13"/>
    </row>
    <row r="14" spans="1:18" x14ac:dyDescent="0.25">
      <c r="A14" s="165">
        <v>38.76</v>
      </c>
      <c r="B14" s="165">
        <v>0.62</v>
      </c>
      <c r="C14" s="165">
        <v>9.8699999999999992</v>
      </c>
      <c r="D14" s="8">
        <v>42705.5</v>
      </c>
      <c r="E14" s="165">
        <v>0.3</v>
      </c>
      <c r="F14" s="165" t="s">
        <v>289</v>
      </c>
      <c r="G14" s="165">
        <v>266.27999999999997</v>
      </c>
      <c r="H14" s="165">
        <v>0</v>
      </c>
      <c r="I14" s="165">
        <v>0</v>
      </c>
      <c r="J14" s="165">
        <v>1015.33</v>
      </c>
      <c r="K14" s="165" t="s">
        <v>659</v>
      </c>
      <c r="L14" s="165">
        <v>38.76</v>
      </c>
      <c r="M14" s="165">
        <v>1480618800</v>
      </c>
      <c r="N14" s="165">
        <v>3.56</v>
      </c>
      <c r="O14" s="165">
        <v>35</v>
      </c>
      <c r="P14" s="165">
        <v>1.67</v>
      </c>
      <c r="Q14"/>
      <c r="R14"/>
    </row>
    <row r="15" spans="1:18" x14ac:dyDescent="0.25">
      <c r="A15" s="165">
        <v>40.89</v>
      </c>
      <c r="B15" s="165">
        <v>0.63</v>
      </c>
      <c r="C15" s="165">
        <v>8.85</v>
      </c>
      <c r="D15" s="8">
        <v>42705.541666666664</v>
      </c>
      <c r="E15" s="165">
        <v>0.26</v>
      </c>
      <c r="F15" s="165" t="s">
        <v>289</v>
      </c>
      <c r="G15" s="165">
        <v>266.99</v>
      </c>
      <c r="H15" s="165">
        <v>0</v>
      </c>
      <c r="I15" s="165">
        <v>0</v>
      </c>
      <c r="J15" s="165">
        <v>1014.66</v>
      </c>
      <c r="K15" s="165" t="s">
        <v>659</v>
      </c>
      <c r="L15" s="165">
        <v>40.89</v>
      </c>
      <c r="M15" s="165">
        <v>1480622400</v>
      </c>
      <c r="N15" s="165">
        <v>3.57</v>
      </c>
      <c r="O15" s="165">
        <v>91</v>
      </c>
      <c r="P15" s="165">
        <v>1.77</v>
      </c>
      <c r="Q15"/>
      <c r="R15"/>
    </row>
    <row r="16" spans="1:18" x14ac:dyDescent="0.25">
      <c r="A16" s="165">
        <v>41.88</v>
      </c>
      <c r="B16" s="165">
        <v>0.47</v>
      </c>
      <c r="C16" s="165">
        <v>9.4700000000000006</v>
      </c>
      <c r="D16" s="8">
        <v>42705.583333333336</v>
      </c>
      <c r="E16" s="165">
        <v>0.26</v>
      </c>
      <c r="F16" s="165" t="s">
        <v>289</v>
      </c>
      <c r="G16" s="165">
        <v>267.32</v>
      </c>
      <c r="H16" s="165">
        <v>0</v>
      </c>
      <c r="I16" s="165">
        <v>0</v>
      </c>
      <c r="J16" s="165">
        <v>1014.4</v>
      </c>
      <c r="K16" s="165" t="s">
        <v>313</v>
      </c>
      <c r="L16" s="165">
        <v>41.88</v>
      </c>
      <c r="M16" s="165">
        <v>1480626000</v>
      </c>
      <c r="N16" s="165">
        <v>4.7699999999999996</v>
      </c>
      <c r="O16" s="165">
        <v>86</v>
      </c>
      <c r="P16" s="165">
        <v>2.92</v>
      </c>
      <c r="Q16"/>
      <c r="R16"/>
    </row>
    <row r="17" spans="1:18" x14ac:dyDescent="0.25">
      <c r="A17" s="165">
        <v>38.81</v>
      </c>
      <c r="B17" s="165">
        <v>0.49</v>
      </c>
      <c r="C17" s="165">
        <v>8.2200000000000006</v>
      </c>
      <c r="D17" s="8">
        <v>42705.625</v>
      </c>
      <c r="E17" s="165">
        <v>0.26</v>
      </c>
      <c r="F17" s="165" t="s">
        <v>289</v>
      </c>
      <c r="G17" s="165">
        <v>266.74</v>
      </c>
      <c r="H17" s="165">
        <v>0</v>
      </c>
      <c r="I17" s="165">
        <v>0</v>
      </c>
      <c r="J17" s="165">
        <v>1014.74</v>
      </c>
      <c r="K17" s="165" t="s">
        <v>313</v>
      </c>
      <c r="L17" s="165">
        <v>40.49</v>
      </c>
      <c r="M17" s="165">
        <v>1480629600</v>
      </c>
      <c r="N17" s="165">
        <v>4.8600000000000003</v>
      </c>
      <c r="O17" s="165">
        <v>76</v>
      </c>
      <c r="P17" s="165">
        <v>3.09</v>
      </c>
      <c r="Q17"/>
      <c r="R17"/>
    </row>
    <row r="18" spans="1:18" x14ac:dyDescent="0.25">
      <c r="A18" s="165">
        <v>36.619999999999997</v>
      </c>
      <c r="B18" s="165">
        <v>0.52</v>
      </c>
      <c r="C18" s="165">
        <v>7.83</v>
      </c>
      <c r="D18" s="8">
        <v>42705.666666666664</v>
      </c>
      <c r="E18" s="165">
        <v>0.27</v>
      </c>
      <c r="F18" s="165" t="s">
        <v>289</v>
      </c>
      <c r="G18" s="165">
        <v>265.79000000000002</v>
      </c>
      <c r="H18" s="165">
        <v>0</v>
      </c>
      <c r="I18" s="165">
        <v>0</v>
      </c>
      <c r="J18" s="165">
        <v>1015.25</v>
      </c>
      <c r="K18" s="165" t="s">
        <v>313</v>
      </c>
      <c r="L18" s="165">
        <v>38.76</v>
      </c>
      <c r="M18" s="165">
        <v>1480633200</v>
      </c>
      <c r="N18" s="165">
        <v>5.07</v>
      </c>
      <c r="O18" s="165">
        <v>61</v>
      </c>
      <c r="P18" s="165">
        <v>3.3</v>
      </c>
      <c r="Q18"/>
      <c r="R18"/>
    </row>
    <row r="19" spans="1:18" x14ac:dyDescent="0.25">
      <c r="A19" s="165">
        <v>36.32</v>
      </c>
      <c r="B19" s="165">
        <v>0.5</v>
      </c>
      <c r="C19" s="165">
        <v>8.0399999999999991</v>
      </c>
      <c r="D19" s="8">
        <v>42705.708333333336</v>
      </c>
      <c r="E19" s="165">
        <v>0.3</v>
      </c>
      <c r="F19" s="165" t="s">
        <v>288</v>
      </c>
      <c r="G19" s="165">
        <v>265.23</v>
      </c>
      <c r="H19" s="165">
        <v>0</v>
      </c>
      <c r="I19" s="165">
        <v>0</v>
      </c>
      <c r="J19" s="165">
        <v>1015.87</v>
      </c>
      <c r="K19" s="165" t="s">
        <v>313</v>
      </c>
      <c r="L19" s="165">
        <v>36.32</v>
      </c>
      <c r="M19" s="165">
        <v>1480636800</v>
      </c>
      <c r="N19" s="165">
        <v>5.47</v>
      </c>
      <c r="O19" s="165">
        <v>61</v>
      </c>
      <c r="P19" s="165">
        <v>2.61</v>
      </c>
      <c r="Q19"/>
      <c r="R19"/>
    </row>
    <row r="20" spans="1:18" x14ac:dyDescent="0.25">
      <c r="A20" s="165">
        <v>33.96</v>
      </c>
      <c r="B20" s="165">
        <v>0.36</v>
      </c>
      <c r="C20" s="165">
        <v>8.85</v>
      </c>
      <c r="D20" s="8">
        <v>42705.75</v>
      </c>
      <c r="E20" s="165">
        <v>0.34</v>
      </c>
      <c r="F20" s="165" t="s">
        <v>288</v>
      </c>
      <c r="G20" s="165">
        <v>265.47000000000003</v>
      </c>
      <c r="H20" s="165">
        <v>0</v>
      </c>
      <c r="I20" s="165">
        <v>0</v>
      </c>
      <c r="J20" s="165">
        <v>1016.74</v>
      </c>
      <c r="K20" s="165" t="s">
        <v>313</v>
      </c>
      <c r="L20" s="165">
        <v>33.96</v>
      </c>
      <c r="M20" s="165">
        <v>1480640400</v>
      </c>
      <c r="N20" s="165">
        <v>6.19</v>
      </c>
      <c r="O20" s="165">
        <v>23</v>
      </c>
      <c r="P20" s="165">
        <v>1.96</v>
      </c>
      <c r="Q20"/>
      <c r="R20"/>
    </row>
    <row r="21" spans="1:18" x14ac:dyDescent="0.25">
      <c r="A21" s="165">
        <v>31.96</v>
      </c>
      <c r="B21" s="165">
        <v>0.41</v>
      </c>
      <c r="C21" s="165">
        <v>9.0299999999999994</v>
      </c>
      <c r="D21" s="8">
        <v>42705.791666666664</v>
      </c>
      <c r="E21" s="165">
        <v>0.38</v>
      </c>
      <c r="F21" s="165" t="s">
        <v>288</v>
      </c>
      <c r="G21" s="165">
        <v>266.10000000000002</v>
      </c>
      <c r="H21" s="165">
        <v>0</v>
      </c>
      <c r="I21" s="165">
        <v>0</v>
      </c>
      <c r="J21" s="165">
        <v>1017.99</v>
      </c>
      <c r="K21" s="165" t="s">
        <v>313</v>
      </c>
      <c r="L21" s="165">
        <v>31.96</v>
      </c>
      <c r="M21" s="165">
        <v>1480644000</v>
      </c>
      <c r="N21" s="165">
        <v>7.38</v>
      </c>
      <c r="O21" s="165">
        <v>7</v>
      </c>
      <c r="P21" s="165">
        <v>1.48</v>
      </c>
      <c r="Q21"/>
      <c r="R21"/>
    </row>
    <row r="22" spans="1:18" x14ac:dyDescent="0.25">
      <c r="A22" s="165">
        <v>31.12</v>
      </c>
      <c r="B22" s="165">
        <v>0.51</v>
      </c>
      <c r="C22" s="165">
        <v>9.5</v>
      </c>
      <c r="D22" s="8">
        <v>42705.833333333336</v>
      </c>
      <c r="E22" s="165">
        <v>0.4</v>
      </c>
      <c r="F22" s="165" t="s">
        <v>288</v>
      </c>
      <c r="G22" s="165">
        <v>266.57</v>
      </c>
      <c r="H22" s="165">
        <v>0</v>
      </c>
      <c r="I22" s="165">
        <v>0</v>
      </c>
      <c r="J22" s="165">
        <v>1019.13</v>
      </c>
      <c r="K22" s="165" t="s">
        <v>313</v>
      </c>
      <c r="L22" s="165">
        <v>31.12</v>
      </c>
      <c r="M22" s="165">
        <v>1480647600</v>
      </c>
      <c r="N22" s="165">
        <v>6.72</v>
      </c>
      <c r="O22" s="165">
        <v>319</v>
      </c>
      <c r="P22" s="165">
        <v>1.18</v>
      </c>
      <c r="Q22"/>
      <c r="R22"/>
    </row>
    <row r="23" spans="1:18" x14ac:dyDescent="0.25">
      <c r="A23" s="165">
        <v>29.67</v>
      </c>
      <c r="B23" s="165">
        <v>0.67</v>
      </c>
      <c r="C23" s="165">
        <v>10.26</v>
      </c>
      <c r="D23" s="8">
        <v>42705.875</v>
      </c>
      <c r="E23" s="165">
        <v>0.44</v>
      </c>
      <c r="F23" s="165" t="s">
        <v>288</v>
      </c>
      <c r="G23" s="165">
        <v>266.70999999999998</v>
      </c>
      <c r="H23" s="165">
        <v>0</v>
      </c>
      <c r="I23" s="165">
        <v>0</v>
      </c>
      <c r="J23" s="165">
        <v>1019.92</v>
      </c>
      <c r="K23" s="165" t="s">
        <v>659</v>
      </c>
      <c r="L23" s="165">
        <v>29.67</v>
      </c>
      <c r="M23" s="165">
        <v>1480651200</v>
      </c>
      <c r="N23" s="165">
        <v>5.84</v>
      </c>
      <c r="O23" s="165">
        <v>337</v>
      </c>
      <c r="P23" s="165">
        <v>1.53</v>
      </c>
      <c r="Q23"/>
      <c r="R23"/>
    </row>
    <row r="24" spans="1:18" x14ac:dyDescent="0.25">
      <c r="A24" s="165">
        <v>28.53</v>
      </c>
      <c r="B24" s="165">
        <v>0.73</v>
      </c>
      <c r="C24" s="165">
        <v>10.54</v>
      </c>
      <c r="D24" s="8">
        <v>42705.916666666664</v>
      </c>
      <c r="E24" s="165">
        <v>0.46</v>
      </c>
      <c r="F24" s="165" t="s">
        <v>288</v>
      </c>
      <c r="G24" s="165">
        <v>266.68</v>
      </c>
      <c r="H24" s="165">
        <v>0</v>
      </c>
      <c r="I24" s="165">
        <v>0</v>
      </c>
      <c r="J24" s="165">
        <v>1020.54</v>
      </c>
      <c r="K24" s="165" t="s">
        <v>659</v>
      </c>
      <c r="L24" s="165">
        <v>28.53</v>
      </c>
      <c r="M24" s="165">
        <v>1480654800</v>
      </c>
      <c r="N24" s="165">
        <v>5.95</v>
      </c>
      <c r="O24" s="165">
        <v>344</v>
      </c>
      <c r="P24" s="165">
        <v>1.99</v>
      </c>
      <c r="Q24"/>
      <c r="R24"/>
    </row>
    <row r="25" spans="1:18" x14ac:dyDescent="0.25">
      <c r="A25" s="165">
        <v>28.53</v>
      </c>
      <c r="B25" s="165">
        <v>0.77</v>
      </c>
      <c r="C25" s="165">
        <v>11.02</v>
      </c>
      <c r="D25" s="8">
        <v>42705.958333333336</v>
      </c>
      <c r="E25" s="165">
        <v>0.47</v>
      </c>
      <c r="F25" s="165" t="s">
        <v>288</v>
      </c>
      <c r="G25" s="165">
        <v>266.43</v>
      </c>
      <c r="H25" s="165">
        <v>0</v>
      </c>
      <c r="I25" s="165">
        <v>0</v>
      </c>
      <c r="J25" s="165">
        <v>1021.14</v>
      </c>
      <c r="K25" s="165" t="s">
        <v>659</v>
      </c>
      <c r="L25" s="165">
        <v>28.53</v>
      </c>
      <c r="M25" s="165">
        <v>1480658400</v>
      </c>
      <c r="N25" s="165">
        <v>6.52</v>
      </c>
      <c r="O25" s="165">
        <v>327</v>
      </c>
      <c r="P25" s="165">
        <v>1.59</v>
      </c>
      <c r="Q25"/>
      <c r="R25"/>
    </row>
    <row r="26" spans="1:18" x14ac:dyDescent="0.25">
      <c r="A26" s="165">
        <v>27</v>
      </c>
      <c r="B26" s="165">
        <v>0.8</v>
      </c>
      <c r="C26" s="165">
        <v>10.49</v>
      </c>
      <c r="D26" s="8">
        <v>42706</v>
      </c>
      <c r="E26" s="165">
        <v>0.49</v>
      </c>
      <c r="F26" s="165" t="s">
        <v>288</v>
      </c>
      <c r="G26" s="165">
        <v>265.70999999999998</v>
      </c>
      <c r="H26" s="165">
        <v>0</v>
      </c>
      <c r="I26" s="165">
        <v>0</v>
      </c>
      <c r="J26" s="165">
        <v>1021.7</v>
      </c>
      <c r="K26" s="165" t="s">
        <v>659</v>
      </c>
      <c r="L26" s="165">
        <v>27</v>
      </c>
      <c r="M26" s="165">
        <v>1480662000</v>
      </c>
      <c r="N26" s="165">
        <v>6.94</v>
      </c>
      <c r="O26" s="165">
        <v>334</v>
      </c>
      <c r="P26" s="165">
        <v>1.43</v>
      </c>
      <c r="Q26"/>
      <c r="R26"/>
    </row>
    <row r="27" spans="1:18" x14ac:dyDescent="0.25">
      <c r="A27" s="165">
        <v>26.52</v>
      </c>
      <c r="B27" s="165">
        <v>0.88</v>
      </c>
      <c r="C27" s="165">
        <v>10.27</v>
      </c>
      <c r="D27" s="8">
        <v>42706.041666666664</v>
      </c>
      <c r="E27" s="165">
        <v>0.5</v>
      </c>
      <c r="F27" s="165" t="s">
        <v>288</v>
      </c>
      <c r="G27" s="165">
        <v>265</v>
      </c>
      <c r="H27" s="165">
        <v>0</v>
      </c>
      <c r="I27" s="165">
        <v>0</v>
      </c>
      <c r="J27" s="165">
        <v>1022.26</v>
      </c>
      <c r="K27" s="165" t="s">
        <v>659</v>
      </c>
      <c r="L27" s="165">
        <v>26.52</v>
      </c>
      <c r="M27" s="165">
        <v>1480665600</v>
      </c>
      <c r="N27" s="165">
        <v>6.82</v>
      </c>
      <c r="O27" s="165">
        <v>328</v>
      </c>
      <c r="P27" s="165">
        <v>2.23</v>
      </c>
      <c r="Q27"/>
      <c r="R27"/>
    </row>
    <row r="28" spans="1:18" x14ac:dyDescent="0.25">
      <c r="A28" s="165">
        <v>25.67</v>
      </c>
      <c r="B28" s="165">
        <v>0.82</v>
      </c>
      <c r="C28" s="165">
        <v>8.9600000000000009</v>
      </c>
      <c r="D28" s="8">
        <v>42706.083333333336</v>
      </c>
      <c r="E28" s="165">
        <v>0.49</v>
      </c>
      <c r="F28" s="165" t="s">
        <v>288</v>
      </c>
      <c r="G28" s="165">
        <v>264.29000000000002</v>
      </c>
      <c r="H28" s="165">
        <v>0</v>
      </c>
      <c r="I28" s="165">
        <v>0</v>
      </c>
      <c r="J28" s="165">
        <v>1022.82</v>
      </c>
      <c r="K28" s="165" t="s">
        <v>659</v>
      </c>
      <c r="L28" s="165">
        <v>25.67</v>
      </c>
      <c r="M28" s="165">
        <v>1480669200</v>
      </c>
      <c r="N28" s="165">
        <v>5.79</v>
      </c>
      <c r="O28" s="165">
        <v>323</v>
      </c>
      <c r="P28" s="165">
        <v>2.13</v>
      </c>
      <c r="Q28"/>
      <c r="R28"/>
    </row>
    <row r="29" spans="1:18" x14ac:dyDescent="0.25">
      <c r="A29" s="165">
        <v>21.66</v>
      </c>
      <c r="B29" s="165">
        <v>0.78</v>
      </c>
      <c r="C29" s="165">
        <v>6.65</v>
      </c>
      <c r="D29" s="8">
        <v>42706.125</v>
      </c>
      <c r="E29" s="165">
        <v>0.52</v>
      </c>
      <c r="F29" s="165" t="s">
        <v>288</v>
      </c>
      <c r="G29" s="165">
        <v>263.85000000000002</v>
      </c>
      <c r="H29" s="165">
        <v>0</v>
      </c>
      <c r="I29" s="165">
        <v>0</v>
      </c>
      <c r="J29" s="165">
        <v>1023.47</v>
      </c>
      <c r="K29" s="165" t="s">
        <v>659</v>
      </c>
      <c r="L29" s="165">
        <v>21.66</v>
      </c>
      <c r="M29" s="165">
        <v>1480672800</v>
      </c>
      <c r="N29" s="165">
        <v>7.44</v>
      </c>
      <c r="O29" s="165">
        <v>330</v>
      </c>
      <c r="P29" s="165">
        <v>1.65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9"/>
  <sheetViews>
    <sheetView topLeftCell="A5" workbookViewId="0">
      <selection activeCell="M29" sqref="M2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42705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205</v>
      </c>
      <c r="J17" s="33"/>
      <c r="K17" s="34"/>
      <c r="L17" s="34"/>
    </row>
    <row r="18" spans="3:13" x14ac:dyDescent="0.25">
      <c r="C18" t="s">
        <v>835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836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837</v>
      </c>
      <c r="J20" t="s">
        <v>87</v>
      </c>
      <c r="M20" s="68" t="s">
        <v>306</v>
      </c>
    </row>
    <row r="21" spans="3:13" x14ac:dyDescent="0.25">
      <c r="C21" t="s">
        <v>838</v>
      </c>
      <c r="J21" s="21" t="s">
        <v>90</v>
      </c>
      <c r="K21" s="21" t="s">
        <v>91</v>
      </c>
      <c r="M21" s="68" t="s">
        <v>182</v>
      </c>
    </row>
    <row r="22" spans="3:13" x14ac:dyDescent="0.25">
      <c r="C22" t="s">
        <v>839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840</v>
      </c>
      <c r="J23" s="29" t="s">
        <v>95</v>
      </c>
      <c r="K23" s="21"/>
      <c r="M23" s="69">
        <v>-7</v>
      </c>
    </row>
    <row r="24" spans="3:13" x14ac:dyDescent="0.25">
      <c r="C24" t="s">
        <v>841</v>
      </c>
      <c r="J24" s="21" t="s">
        <v>108</v>
      </c>
      <c r="K24" s="21"/>
      <c r="M24" s="68" t="s">
        <v>110</v>
      </c>
    </row>
    <row r="25" spans="3:13" x14ac:dyDescent="0.25">
      <c r="C25" t="s">
        <v>842</v>
      </c>
      <c r="J25" t="s">
        <v>151</v>
      </c>
      <c r="M25" s="68" t="b">
        <v>1</v>
      </c>
    </row>
    <row r="26" spans="3:13" x14ac:dyDescent="0.25">
      <c r="C26" t="s">
        <v>843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C:\Users\stu\Documents\GitHub\eaglep3-reporting\EC\2016-12-01-refined-times.txt</v>
      </c>
    </row>
    <row r="27" spans="3:13" x14ac:dyDescent="0.25">
      <c r="C27" t="s">
        <v>844</v>
      </c>
      <c r="J27" t="s">
        <v>188</v>
      </c>
      <c r="M27" s="68" t="str">
        <f>"C:\Users\stu\Documents\GitHub\eaglep3-reporting\EC\"&amp;TEXT(A2,"YYYY-MM-DD")&amp;"-Enforcements.txt"</f>
        <v>C:\Users\stu\Documents\GitHub\eaglep3-reporting\EC\2016-12-01-Enforcements.txt</v>
      </c>
    </row>
    <row r="28" spans="3:13" x14ac:dyDescent="0.25">
      <c r="C28" t="s">
        <v>845</v>
      </c>
      <c r="J28" t="s">
        <v>189</v>
      </c>
      <c r="M28" s="106" t="str">
        <f>"C:\Users\stu\Documents\GitHub\eaglep3-reporting\EC\"&amp;TEXT(A2,"YYYY-MM-DD")&amp;"-Runs-Refined.txt"</f>
        <v>C:\Users\stu\Documents\GitHub\eaglep3-reporting\EC\2016-12-01-Runs-Refined.txt</v>
      </c>
    </row>
    <row r="29" spans="3:13" x14ac:dyDescent="0.25">
      <c r="C29" t="s">
        <v>846</v>
      </c>
      <c r="J29" t="s">
        <v>190</v>
      </c>
      <c r="M29" s="106" t="str">
        <f>"C:\Users\stu\Documents\GitHub\eaglep3-reporting\EC\"&amp;TEXT(A2,"YYYY-MM-DD")&amp;"-Trips.txt"</f>
        <v>C:\Users\stu\Documents\GitHub\eaglep3-reporting\EC\2016-12-01-Trips.txt</v>
      </c>
    </row>
    <row r="30" spans="3:13" x14ac:dyDescent="0.25">
      <c r="C30" t="s">
        <v>847</v>
      </c>
      <c r="J30" t="s">
        <v>191</v>
      </c>
      <c r="M30" s="106" t="str">
        <f>"C:\Users\stu\Documents\GitHub\eaglep3-reporting\EC\"&amp;TEXT(A2,"YYYY-MM-DD")&amp;"-Weather.txt"</f>
        <v>C:\Users\stu\Documents\GitHub\eaglep3-reporting\EC\2016-12-01-Weather.txt</v>
      </c>
    </row>
    <row r="31" spans="3:13" x14ac:dyDescent="0.25">
      <c r="C31" t="s">
        <v>848</v>
      </c>
    </row>
    <row r="32" spans="3:13" x14ac:dyDescent="0.25">
      <c r="C32" t="s">
        <v>849</v>
      </c>
    </row>
    <row r="33" spans="3:3" x14ac:dyDescent="0.25">
      <c r="C33" t="s">
        <v>850</v>
      </c>
    </row>
    <row r="34" spans="3:3" x14ac:dyDescent="0.25">
      <c r="C34" t="s">
        <v>851</v>
      </c>
    </row>
    <row r="35" spans="3:3" x14ac:dyDescent="0.25">
      <c r="C35" t="s">
        <v>852</v>
      </c>
    </row>
    <row r="36" spans="3:3" x14ac:dyDescent="0.25">
      <c r="C36" t="s">
        <v>853</v>
      </c>
    </row>
    <row r="37" spans="3:3" x14ac:dyDescent="0.25">
      <c r="C37" t="s">
        <v>854</v>
      </c>
    </row>
    <row r="38" spans="3:3" x14ac:dyDescent="0.25">
      <c r="C38" t="s">
        <v>855</v>
      </c>
    </row>
    <row r="39" spans="3:3" x14ac:dyDescent="0.25">
      <c r="C39" t="s">
        <v>856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C3" sqref="C3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869</v>
      </c>
      <c r="B1" t="str">
        <f t="shared" ref="B1:B64" si="0">MID(A1,6,23)</f>
        <v>2016/12/01 10:51:15.594</v>
      </c>
      <c r="C1" t="e">
        <f>ABS(B1-#REF!)</f>
        <v>#REF!</v>
      </c>
    </row>
    <row r="2" spans="1:3" x14ac:dyDescent="0.25">
      <c r="A2" t="s">
        <v>870</v>
      </c>
      <c r="B2" s="21" t="str">
        <f t="shared" si="0"/>
        <v>2016/12/01 10:51:34.089</v>
      </c>
      <c r="C2">
        <f>ABS(B2-B1)</f>
        <v>2.1406250016298145E-4</v>
      </c>
    </row>
    <row r="3" spans="1:3" x14ac:dyDescent="0.25">
      <c r="A3" t="s">
        <v>871</v>
      </c>
      <c r="B3" s="21" t="str">
        <f t="shared" si="0"/>
        <v>2016/12/01 10:51:34.235</v>
      </c>
      <c r="C3" s="21">
        <f t="shared" ref="C3:C66" si="1">ABS(B3-B2)</f>
        <v>1.6898120520636439E-6</v>
      </c>
    </row>
    <row r="4" spans="1:3" x14ac:dyDescent="0.25">
      <c r="A4" t="s">
        <v>872</v>
      </c>
      <c r="B4" s="21" t="str">
        <f t="shared" si="0"/>
        <v>2016/12/01 11:07:25.978</v>
      </c>
      <c r="C4" s="21">
        <f t="shared" si="1"/>
        <v>1.1015543983376119E-2</v>
      </c>
    </row>
    <row r="5" spans="1:3" x14ac:dyDescent="0.25">
      <c r="A5" t="s">
        <v>873</v>
      </c>
      <c r="B5" s="21" t="str">
        <f t="shared" si="0"/>
        <v>2016/12/01 11:07:26.305</v>
      </c>
      <c r="C5" s="21">
        <f t="shared" si="1"/>
        <v>3.7847203202545643E-6</v>
      </c>
    </row>
    <row r="6" spans="1:3" x14ac:dyDescent="0.25">
      <c r="A6" t="s">
        <v>874</v>
      </c>
      <c r="B6" s="21" t="str">
        <f t="shared" si="0"/>
        <v>2016/12/01 11:07:26.380</v>
      </c>
      <c r="C6" s="21">
        <f t="shared" si="1"/>
        <v>8.6805812316015363E-7</v>
      </c>
    </row>
    <row r="7" spans="1:3" x14ac:dyDescent="0.25">
      <c r="A7" t="s">
        <v>875</v>
      </c>
      <c r="B7" s="21" t="str">
        <f t="shared" si="0"/>
        <v>2016/12/01 12:17:39.585</v>
      </c>
      <c r="C7" s="21">
        <f t="shared" si="1"/>
        <v>4.8763946753751952E-2</v>
      </c>
    </row>
    <row r="8" spans="1:3" x14ac:dyDescent="0.25">
      <c r="A8" t="s">
        <v>876</v>
      </c>
      <c r="B8" s="21" t="str">
        <f t="shared" si="0"/>
        <v>2016/12/01 12:17:39.867</v>
      </c>
      <c r="C8" s="21">
        <f t="shared" si="1"/>
        <v>3.2638927223160863E-6</v>
      </c>
    </row>
    <row r="9" spans="1:3" x14ac:dyDescent="0.25">
      <c r="A9" t="s">
        <v>877</v>
      </c>
      <c r="B9" s="21" t="str">
        <f t="shared" si="0"/>
        <v>2016/12/01 12:20:50.868</v>
      </c>
      <c r="C9" s="21">
        <f t="shared" si="1"/>
        <v>2.2106597243691795E-3</v>
      </c>
    </row>
    <row r="10" spans="1:3" x14ac:dyDescent="0.25">
      <c r="A10" t="s">
        <v>878</v>
      </c>
      <c r="B10" s="21" t="str">
        <f t="shared" si="0"/>
        <v>2016/12/01 12:20:51.579</v>
      </c>
      <c r="C10" s="21">
        <f t="shared" si="1"/>
        <v>8.2291662693023682E-6</v>
      </c>
    </row>
    <row r="11" spans="1:3" x14ac:dyDescent="0.25">
      <c r="A11" t="s">
        <v>879</v>
      </c>
      <c r="B11" s="21" t="str">
        <f t="shared" si="0"/>
        <v>2016/12/01 13:34:47.138</v>
      </c>
      <c r="C11" s="21">
        <f t="shared" si="1"/>
        <v>5.1337488424906041E-2</v>
      </c>
    </row>
    <row r="12" spans="1:3" x14ac:dyDescent="0.25">
      <c r="A12" t="s">
        <v>880</v>
      </c>
      <c r="B12" s="21" t="str">
        <f t="shared" si="0"/>
        <v>2016/12/01 13:34:47.180</v>
      </c>
      <c r="C12" s="21">
        <f t="shared" si="1"/>
        <v>4.8610672820359468E-7</v>
      </c>
    </row>
    <row r="13" spans="1:3" x14ac:dyDescent="0.25">
      <c r="A13" t="s">
        <v>881</v>
      </c>
      <c r="B13" s="21" t="str">
        <f t="shared" si="0"/>
        <v>2016/12/01 13:34:47.245</v>
      </c>
      <c r="C13" s="21">
        <f t="shared" si="1"/>
        <v>7.5231946539133787E-7</v>
      </c>
    </row>
    <row r="14" spans="1:3" x14ac:dyDescent="0.25">
      <c r="A14" t="s">
        <v>882</v>
      </c>
      <c r="B14" s="21" t="str">
        <f t="shared" si="0"/>
        <v>2016/12/01 14:18:53.190</v>
      </c>
      <c r="C14" s="21">
        <f t="shared" si="1"/>
        <v>3.0624363425886258E-2</v>
      </c>
    </row>
    <row r="15" spans="1:3" x14ac:dyDescent="0.25">
      <c r="A15" t="s">
        <v>883</v>
      </c>
      <c r="B15" s="21" t="str">
        <f t="shared" si="0"/>
        <v>2016/12/01 14:18:53.265</v>
      </c>
      <c r="C15" s="21">
        <f t="shared" si="1"/>
        <v>8.6805084720253944E-7</v>
      </c>
    </row>
    <row r="16" spans="1:3" x14ac:dyDescent="0.25">
      <c r="A16" t="s">
        <v>884</v>
      </c>
      <c r="B16" s="21" t="str">
        <f t="shared" si="0"/>
        <v>2016/12/01 14:18:53.641</v>
      </c>
      <c r="C16" s="21">
        <f t="shared" si="1"/>
        <v>4.3518521124497056E-6</v>
      </c>
    </row>
    <row r="17" spans="1:3" x14ac:dyDescent="0.25">
      <c r="A17" t="s">
        <v>885</v>
      </c>
      <c r="B17" s="21" t="str">
        <f t="shared" si="0"/>
        <v>2016/12/01 14:47:20.386</v>
      </c>
      <c r="C17" s="21">
        <f t="shared" si="1"/>
        <v>1.975399305956671E-2</v>
      </c>
    </row>
    <row r="18" spans="1:3" x14ac:dyDescent="0.25">
      <c r="A18" t="s">
        <v>886</v>
      </c>
      <c r="B18" s="21" t="str">
        <f t="shared" si="0"/>
        <v>2016/12/01 14:47:20.977</v>
      </c>
      <c r="C18" s="21">
        <f t="shared" si="1"/>
        <v>6.8402732722461224E-6</v>
      </c>
    </row>
    <row r="19" spans="1:3" x14ac:dyDescent="0.25">
      <c r="A19" t="s">
        <v>887</v>
      </c>
      <c r="B19" s="21" t="str">
        <f t="shared" si="0"/>
        <v>2016/12/01 14:49:41.612</v>
      </c>
      <c r="C19" s="21">
        <f t="shared" si="1"/>
        <v>1.6277199101750739E-3</v>
      </c>
    </row>
    <row r="20" spans="1:3" x14ac:dyDescent="0.25">
      <c r="A20" t="s">
        <v>888</v>
      </c>
      <c r="B20" s="21" t="str">
        <f t="shared" si="0"/>
        <v>2016/12/01 14:49:41.836</v>
      </c>
      <c r="C20" s="21">
        <f t="shared" si="1"/>
        <v>2.5925910449586809E-6</v>
      </c>
    </row>
    <row r="21" spans="1:3" x14ac:dyDescent="0.25">
      <c r="A21" t="s">
        <v>889</v>
      </c>
      <c r="B21" s="21" t="str">
        <f t="shared" si="0"/>
        <v>2016/12/01 14:49:41.948</v>
      </c>
      <c r="C21" s="21">
        <f t="shared" si="1"/>
        <v>1.2962991604581475E-6</v>
      </c>
    </row>
    <row r="22" spans="1:3" x14ac:dyDescent="0.25">
      <c r="A22" t="s">
        <v>890</v>
      </c>
      <c r="B22" s="21" t="str">
        <f t="shared" si="0"/>
        <v>2016/12/01 14:55:42.968</v>
      </c>
      <c r="C22" s="21">
        <f t="shared" si="1"/>
        <v>4.178472219791729E-3</v>
      </c>
    </row>
    <row r="23" spans="1:3" x14ac:dyDescent="0.25">
      <c r="A23" t="s">
        <v>891</v>
      </c>
      <c r="B23" s="21" t="str">
        <f t="shared" si="0"/>
        <v>2016/12/01 15:49:11.625</v>
      </c>
      <c r="C23" s="21">
        <f t="shared" si="1"/>
        <v>3.7137233797693625E-2</v>
      </c>
    </row>
    <row r="24" spans="1:3" x14ac:dyDescent="0.25">
      <c r="A24" t="s">
        <v>892</v>
      </c>
      <c r="B24" s="21" t="str">
        <f t="shared" si="0"/>
        <v>2016/12/01 15:49:11.989</v>
      </c>
      <c r="C24" s="21">
        <f t="shared" si="1"/>
        <v>4.2129613575525582E-6</v>
      </c>
    </row>
    <row r="25" spans="1:3" x14ac:dyDescent="0.25">
      <c r="A25" t="s">
        <v>893</v>
      </c>
      <c r="B25" s="21" t="str">
        <f t="shared" si="0"/>
        <v>2016/12/01 15:49:12.000</v>
      </c>
      <c r="C25" s="21">
        <f t="shared" si="1"/>
        <v>1.2731470633298159E-7</v>
      </c>
    </row>
    <row r="26" spans="1:3" x14ac:dyDescent="0.25">
      <c r="A26" t="s">
        <v>894</v>
      </c>
      <c r="B26" s="21" t="str">
        <f t="shared" si="0"/>
        <v>2016/12/01 16:46:34.592</v>
      </c>
      <c r="C26" s="21">
        <f t="shared" si="1"/>
        <v>3.9844814818934537E-2</v>
      </c>
    </row>
    <row r="27" spans="1:3" x14ac:dyDescent="0.25">
      <c r="A27" t="s">
        <v>895</v>
      </c>
      <c r="B27" s="21" t="str">
        <f t="shared" si="0"/>
        <v>2016/12/01 16:46:34.806</v>
      </c>
      <c r="C27" s="21">
        <f t="shared" si="1"/>
        <v>2.4768523871898651E-6</v>
      </c>
    </row>
    <row r="28" spans="1:3" x14ac:dyDescent="0.25">
      <c r="A28" t="s">
        <v>896</v>
      </c>
      <c r="B28" s="21" t="str">
        <f t="shared" si="0"/>
        <v>2016/12/01 16:46:34.954</v>
      </c>
      <c r="C28" s="21">
        <f t="shared" si="1"/>
        <v>1.7129568732343614E-6</v>
      </c>
    </row>
    <row r="29" spans="1:3" x14ac:dyDescent="0.25">
      <c r="A29" t="s">
        <v>897</v>
      </c>
      <c r="B29" s="21" t="str">
        <f t="shared" si="0"/>
        <v>2016/12/01 17:07:13.147</v>
      </c>
      <c r="C29" s="21">
        <f t="shared" si="1"/>
        <v>1.4330937505292241E-2</v>
      </c>
    </row>
    <row r="30" spans="1:3" x14ac:dyDescent="0.25">
      <c r="A30" t="s">
        <v>898</v>
      </c>
      <c r="B30" s="21" t="str">
        <f t="shared" si="0"/>
        <v>2016/12/01 17:07:13.180</v>
      </c>
      <c r="C30" s="21">
        <f t="shared" si="1"/>
        <v>3.8194411899894476E-7</v>
      </c>
    </row>
    <row r="31" spans="1:3" x14ac:dyDescent="0.25">
      <c r="A31" t="s">
        <v>899</v>
      </c>
      <c r="B31" s="21" t="str">
        <f t="shared" si="0"/>
        <v>2016/12/01 17:07:13.193</v>
      </c>
      <c r="C31" s="21">
        <f t="shared" si="1"/>
        <v>1.5045952750369906E-7</v>
      </c>
    </row>
    <row r="32" spans="1:3" x14ac:dyDescent="0.25">
      <c r="A32" t="s">
        <v>900</v>
      </c>
      <c r="B32" s="21" t="str">
        <f t="shared" si="0"/>
        <v>2016/12/01 17:28:32.439</v>
      </c>
      <c r="C32" s="21">
        <f t="shared" si="1"/>
        <v>1.4806087965553161E-2</v>
      </c>
    </row>
    <row r="33" spans="1:3" x14ac:dyDescent="0.25">
      <c r="A33" t="s">
        <v>901</v>
      </c>
      <c r="B33" s="21" t="str">
        <f t="shared" si="0"/>
        <v>2016/12/01 17:28:32.804</v>
      </c>
      <c r="C33" s="21">
        <f t="shared" si="1"/>
        <v>4.224537406116724E-6</v>
      </c>
    </row>
    <row r="34" spans="1:3" x14ac:dyDescent="0.25">
      <c r="A34" t="s">
        <v>902</v>
      </c>
      <c r="B34" s="21" t="str">
        <f t="shared" si="0"/>
        <v>2016/12/01 17:51:17.593</v>
      </c>
      <c r="C34" s="21">
        <f t="shared" si="1"/>
        <v>1.5796168983797543E-2</v>
      </c>
    </row>
    <row r="35" spans="1:3" x14ac:dyDescent="0.25">
      <c r="A35" t="s">
        <v>903</v>
      </c>
      <c r="B35" s="21" t="str">
        <f t="shared" si="0"/>
        <v>2016/12/01 17:51:17.815</v>
      </c>
      <c r="C35" s="21">
        <f t="shared" si="1"/>
        <v>2.5694389478303492E-6</v>
      </c>
    </row>
    <row r="36" spans="1:3" x14ac:dyDescent="0.25">
      <c r="A36" t="s">
        <v>904</v>
      </c>
      <c r="B36" s="21" t="str">
        <f t="shared" si="0"/>
        <v>2016/12/01 17:51:17.989</v>
      </c>
      <c r="C36" s="21">
        <f t="shared" si="1"/>
        <v>2.0138904801569879E-6</v>
      </c>
    </row>
    <row r="37" spans="1:3" x14ac:dyDescent="0.25">
      <c r="A37" t="s">
        <v>905</v>
      </c>
      <c r="B37" s="21" t="str">
        <f t="shared" si="0"/>
        <v>2016/12/01 18:16:02.150</v>
      </c>
      <c r="C37" s="21">
        <f t="shared" si="1"/>
        <v>1.7177789355628192E-2</v>
      </c>
    </row>
    <row r="38" spans="1:3" x14ac:dyDescent="0.25">
      <c r="A38" t="s">
        <v>906</v>
      </c>
      <c r="B38" s="21" t="str">
        <f t="shared" si="0"/>
        <v>2016/12/01 18:16:02.184</v>
      </c>
      <c r="C38" s="21">
        <f t="shared" si="1"/>
        <v>3.9351289160549641E-7</v>
      </c>
    </row>
    <row r="39" spans="1:3" x14ac:dyDescent="0.25">
      <c r="A39" t="s">
        <v>907</v>
      </c>
      <c r="B39" s="21" t="str">
        <f t="shared" si="0"/>
        <v>2016/12/01 18:19:48.176</v>
      </c>
      <c r="C39" s="21">
        <f t="shared" si="1"/>
        <v>2.6156481471844018E-3</v>
      </c>
    </row>
    <row r="40" spans="1:3" x14ac:dyDescent="0.25">
      <c r="A40" t="s">
        <v>908</v>
      </c>
      <c r="B40" s="21" t="str">
        <f t="shared" si="0"/>
        <v>2016/12/01 18:19:48.619</v>
      </c>
      <c r="C40" s="21">
        <f t="shared" si="1"/>
        <v>5.127316399011761E-6</v>
      </c>
    </row>
    <row r="41" spans="1:3" x14ac:dyDescent="0.25">
      <c r="A41" t="s">
        <v>909</v>
      </c>
      <c r="B41" s="21" t="str">
        <f t="shared" si="0"/>
        <v>2016/12/01 18:42:11.451</v>
      </c>
      <c r="C41" s="21">
        <f t="shared" si="1"/>
        <v>1.5542037035629619E-2</v>
      </c>
    </row>
    <row r="42" spans="1:3" x14ac:dyDescent="0.25">
      <c r="A42" t="s">
        <v>910</v>
      </c>
      <c r="B42" s="21" t="str">
        <f t="shared" si="0"/>
        <v>2016/12/01 18:42:11.553</v>
      </c>
      <c r="C42" s="21">
        <f t="shared" si="1"/>
        <v>1.1805605026893318E-6</v>
      </c>
    </row>
    <row r="43" spans="1:3" x14ac:dyDescent="0.25">
      <c r="A43" t="s">
        <v>911</v>
      </c>
      <c r="B43" s="21" t="str">
        <f t="shared" si="0"/>
        <v>2016/12/01 18:49:41.846</v>
      </c>
      <c r="C43" s="21">
        <f t="shared" si="1"/>
        <v>5.211724535911344E-3</v>
      </c>
    </row>
    <row r="44" spans="1:3" x14ac:dyDescent="0.25">
      <c r="A44" t="s">
        <v>912</v>
      </c>
      <c r="B44" s="21" t="str">
        <f t="shared" si="0"/>
        <v>2016/12/01 18:49:41.971</v>
      </c>
      <c r="C44" s="21">
        <f t="shared" si="1"/>
        <v>1.4467586879618466E-6</v>
      </c>
    </row>
    <row r="45" spans="1:3" x14ac:dyDescent="0.25">
      <c r="A45" t="s">
        <v>913</v>
      </c>
      <c r="B45" s="21" t="str">
        <f t="shared" si="0"/>
        <v>2016/12/01 18:49:42.597</v>
      </c>
      <c r="C45" s="21">
        <f t="shared" si="1"/>
        <v>7.2453694883733988E-6</v>
      </c>
    </row>
    <row r="46" spans="1:3" x14ac:dyDescent="0.25">
      <c r="A46" t="s">
        <v>914</v>
      </c>
      <c r="B46" s="21" t="str">
        <f t="shared" si="0"/>
        <v>2016/12/01 19:02:37.560</v>
      </c>
      <c r="C46" s="21">
        <f t="shared" si="1"/>
        <v>8.969479167717509E-3</v>
      </c>
    </row>
    <row r="47" spans="1:3" x14ac:dyDescent="0.25">
      <c r="A47" t="s">
        <v>915</v>
      </c>
      <c r="B47" s="21" t="str">
        <f t="shared" si="0"/>
        <v>2016/12/01 19:02:38.433</v>
      </c>
      <c r="C47" s="21">
        <f t="shared" si="1"/>
        <v>1.0104165994562209E-5</v>
      </c>
    </row>
    <row r="48" spans="1:3" x14ac:dyDescent="0.25">
      <c r="A48" t="s">
        <v>916</v>
      </c>
      <c r="B48" s="21" t="str">
        <f t="shared" si="0"/>
        <v>2016/12/01 19:37:22.863</v>
      </c>
      <c r="C48" s="21">
        <f t="shared" si="1"/>
        <v>2.4125347219523974E-2</v>
      </c>
    </row>
    <row r="49" spans="1:3" x14ac:dyDescent="0.25">
      <c r="A49" t="s">
        <v>917</v>
      </c>
      <c r="B49" s="21" t="str">
        <f t="shared" si="0"/>
        <v>2016/12/01 19:51:04.584</v>
      </c>
      <c r="C49" s="21">
        <f t="shared" si="1"/>
        <v>9.5106597218546085E-3</v>
      </c>
    </row>
    <row r="50" spans="1:3" x14ac:dyDescent="0.25">
      <c r="A50" t="s">
        <v>918</v>
      </c>
      <c r="B50" s="21" t="str">
        <f t="shared" si="0"/>
        <v>2016/12/01 19:51:04.803</v>
      </c>
      <c r="C50" s="21">
        <f t="shared" si="1"/>
        <v>2.5347253540530801E-6</v>
      </c>
    </row>
    <row r="51" spans="1:3" x14ac:dyDescent="0.25">
      <c r="A51" t="s">
        <v>919</v>
      </c>
      <c r="B51" s="21" t="str">
        <f t="shared" si="0"/>
        <v>2016/12/01 19:51:04.964</v>
      </c>
      <c r="C51" s="21">
        <f t="shared" si="1"/>
        <v>1.8634236766956747E-6</v>
      </c>
    </row>
    <row r="52" spans="1:3" x14ac:dyDescent="0.25">
      <c r="A52" t="s">
        <v>920</v>
      </c>
      <c r="B52" s="21" t="str">
        <f t="shared" si="0"/>
        <v>2016/12/01 19:52:08.079</v>
      </c>
      <c r="C52" s="21">
        <f t="shared" si="1"/>
        <v>7.3049768980126828E-4</v>
      </c>
    </row>
    <row r="53" spans="1:3" x14ac:dyDescent="0.25">
      <c r="A53" t="s">
        <v>921</v>
      </c>
      <c r="B53" s="21" t="str">
        <f t="shared" si="0"/>
        <v>2016/12/01 19:52:08.434</v>
      </c>
      <c r="C53" s="21">
        <f t="shared" si="1"/>
        <v>4.1087914723902941E-6</v>
      </c>
    </row>
    <row r="54" spans="1:3" x14ac:dyDescent="0.25">
      <c r="A54" t="s">
        <v>922</v>
      </c>
      <c r="B54" s="21" t="str">
        <f t="shared" si="0"/>
        <v>2016/12/01 19:52:08.948</v>
      </c>
      <c r="C54" s="21">
        <f t="shared" si="1"/>
        <v>5.9490776038728654E-6</v>
      </c>
    </row>
    <row r="55" spans="1:3" x14ac:dyDescent="0.25">
      <c r="A55" t="s">
        <v>923</v>
      </c>
      <c r="B55" s="21" t="str">
        <f t="shared" si="0"/>
        <v>2016/12/01 20:49:03.273</v>
      </c>
      <c r="C55" s="21">
        <f t="shared" si="1"/>
        <v>3.9517650460766163E-2</v>
      </c>
    </row>
    <row r="56" spans="1:3" x14ac:dyDescent="0.25">
      <c r="A56" t="s">
        <v>924</v>
      </c>
      <c r="B56" s="21" t="str">
        <f t="shared" si="0"/>
        <v>2016/12/01 20:50:06.590</v>
      </c>
      <c r="C56" s="21">
        <f t="shared" si="1"/>
        <v>7.32835651433561E-4</v>
      </c>
    </row>
    <row r="57" spans="1:3" x14ac:dyDescent="0.25">
      <c r="A57" t="s">
        <v>925</v>
      </c>
      <c r="B57" s="21" t="str">
        <f t="shared" si="0"/>
        <v>2016/12/01 20:50:06.974</v>
      </c>
      <c r="C57" s="21">
        <f t="shared" si="1"/>
        <v>4.4444459490478039E-6</v>
      </c>
    </row>
    <row r="58" spans="1:3" x14ac:dyDescent="0.25">
      <c r="A58" t="s">
        <v>926</v>
      </c>
      <c r="B58" s="21" t="str">
        <f t="shared" si="0"/>
        <v>2016/12/01 21:35:42.840</v>
      </c>
      <c r="C58" s="21">
        <f t="shared" si="1"/>
        <v>3.1665115740906913E-2</v>
      </c>
    </row>
    <row r="59" spans="1:3" x14ac:dyDescent="0.25">
      <c r="A59" t="s">
        <v>927</v>
      </c>
      <c r="B59" s="21" t="str">
        <f t="shared" si="0"/>
        <v>2016/12/01 21:35:43.320</v>
      </c>
      <c r="C59" s="21">
        <f t="shared" si="1"/>
        <v>5.5555501603521407E-6</v>
      </c>
    </row>
    <row r="60" spans="1:3" x14ac:dyDescent="0.25">
      <c r="A60" t="s">
        <v>928</v>
      </c>
      <c r="B60" s="21" t="str">
        <f t="shared" si="0"/>
        <v>2016/12/01 21:35:43.342</v>
      </c>
      <c r="C60" s="21">
        <f t="shared" si="1"/>
        <v>2.5462941266596317E-7</v>
      </c>
    </row>
    <row r="61" spans="1:3" x14ac:dyDescent="0.25">
      <c r="A61" t="s">
        <v>929</v>
      </c>
      <c r="B61" s="21" t="str">
        <f t="shared" si="0"/>
        <v>2016/12/01 21:49:30.649</v>
      </c>
      <c r="C61" s="21">
        <f t="shared" si="1"/>
        <v>9.5753124987822957E-3</v>
      </c>
    </row>
    <row r="62" spans="1:3" x14ac:dyDescent="0.25">
      <c r="A62" t="s">
        <v>930</v>
      </c>
      <c r="B62" s="21" t="str">
        <f t="shared" si="0"/>
        <v>2016/12/01 21:49:30.994</v>
      </c>
      <c r="C62" s="21">
        <f t="shared" si="1"/>
        <v>3.9930600905790925E-6</v>
      </c>
    </row>
    <row r="63" spans="1:3" x14ac:dyDescent="0.25">
      <c r="A63" t="s">
        <v>931</v>
      </c>
      <c r="B63" s="21" t="str">
        <f t="shared" si="0"/>
        <v>2016/12/01 21:49:31.530</v>
      </c>
      <c r="C63" s="21">
        <f t="shared" si="1"/>
        <v>6.2036997405812144E-6</v>
      </c>
    </row>
    <row r="64" spans="1:3" x14ac:dyDescent="0.25">
      <c r="A64" t="s">
        <v>932</v>
      </c>
      <c r="B64" s="21" t="str">
        <f t="shared" si="0"/>
        <v>2016/12/01 21:56:29.349</v>
      </c>
      <c r="C64" s="21">
        <f t="shared" si="1"/>
        <v>4.8358680578530766E-3</v>
      </c>
    </row>
    <row r="65" spans="1:3" x14ac:dyDescent="0.25">
      <c r="A65" t="s">
        <v>933</v>
      </c>
      <c r="B65" s="21" t="str">
        <f t="shared" ref="B65:B75" si="2">MID(A65,6,23)</f>
        <v>2016/12/01 21:56:29.697</v>
      </c>
      <c r="C65" s="21">
        <f t="shared" si="1"/>
        <v>4.0277809603139758E-6</v>
      </c>
    </row>
    <row r="66" spans="1:3" x14ac:dyDescent="0.25">
      <c r="A66" t="s">
        <v>934</v>
      </c>
      <c r="B66" s="21" t="str">
        <f t="shared" si="2"/>
        <v>2016/12/01 21:56:30.341</v>
      </c>
      <c r="C66" s="21">
        <f t="shared" si="1"/>
        <v>7.4537019827403128E-6</v>
      </c>
    </row>
    <row r="67" spans="1:3" x14ac:dyDescent="0.25">
      <c r="A67" t="s">
        <v>935</v>
      </c>
      <c r="B67" s="21" t="str">
        <f t="shared" si="2"/>
        <v>2016/12/01 22:24:07.273</v>
      </c>
      <c r="C67" s="21">
        <f t="shared" ref="C67:C75" si="3">ABS(B67-B66)</f>
        <v>1.9177453701558989E-2</v>
      </c>
    </row>
    <row r="68" spans="1:3" x14ac:dyDescent="0.25">
      <c r="A68" t="s">
        <v>936</v>
      </c>
      <c r="B68" s="21" t="str">
        <f t="shared" si="2"/>
        <v>2016/12/01 22:24:07.365</v>
      </c>
      <c r="C68" s="21">
        <f t="shared" si="3"/>
        <v>1.0648145689629018E-6</v>
      </c>
    </row>
    <row r="69" spans="1:3" x14ac:dyDescent="0.25">
      <c r="A69" t="s">
        <v>937</v>
      </c>
      <c r="B69" s="21" t="str">
        <f t="shared" si="2"/>
        <v>2016/12/01 22:24:07.942</v>
      </c>
      <c r="C69" s="21">
        <f t="shared" si="3"/>
        <v>6.6782449721358716E-6</v>
      </c>
    </row>
    <row r="70" spans="1:3" x14ac:dyDescent="0.25">
      <c r="A70" t="s">
        <v>938</v>
      </c>
      <c r="B70" s="21" t="str">
        <f t="shared" si="2"/>
        <v>2016/12/01 22:25:42.280</v>
      </c>
      <c r="C70" s="21">
        <f t="shared" si="3"/>
        <v>1.0918749976553954E-3</v>
      </c>
    </row>
    <row r="71" spans="1:3" x14ac:dyDescent="0.25">
      <c r="A71" t="s">
        <v>939</v>
      </c>
      <c r="B71" s="21" t="str">
        <f t="shared" si="2"/>
        <v>2016/12/01 22:25:42.356</v>
      </c>
      <c r="C71" s="21">
        <f t="shared" si="3"/>
        <v>8.7962689576670527E-7</v>
      </c>
    </row>
    <row r="72" spans="1:3" x14ac:dyDescent="0.25">
      <c r="A72" t="s">
        <v>940</v>
      </c>
      <c r="B72" s="21" t="str">
        <f t="shared" si="2"/>
        <v>2016/12/01 22:25:42.941</v>
      </c>
      <c r="C72" s="21">
        <f t="shared" si="3"/>
        <v>6.7708388087339699E-6</v>
      </c>
    </row>
    <row r="73" spans="1:3" x14ac:dyDescent="0.25">
      <c r="A73" t="s">
        <v>941</v>
      </c>
      <c r="B73" s="21" t="str">
        <f t="shared" si="2"/>
        <v>2016/12/01 22:45:43.806</v>
      </c>
      <c r="C73" s="21">
        <f t="shared" si="3"/>
        <v>1.3898900462663732E-2</v>
      </c>
    </row>
    <row r="74" spans="1:3" x14ac:dyDescent="0.25">
      <c r="A74" t="s">
        <v>942</v>
      </c>
      <c r="B74" s="21" t="str">
        <f t="shared" si="2"/>
        <v>2016/12/01 22:45:44.435</v>
      </c>
      <c r="C74" s="21">
        <f t="shared" si="3"/>
        <v>7.2800903581082821E-6</v>
      </c>
    </row>
    <row r="75" spans="1:3" x14ac:dyDescent="0.25">
      <c r="A75" t="s">
        <v>943</v>
      </c>
      <c r="B75" s="21" t="str">
        <f t="shared" si="2"/>
        <v>2016/12/01 22:52:01.377</v>
      </c>
      <c r="C75" s="21">
        <f t="shared" si="3"/>
        <v>4.3627546256175265E-3</v>
      </c>
    </row>
    <row r="76" spans="1:3" x14ac:dyDescent="0.25">
      <c r="A76" t="s">
        <v>944</v>
      </c>
      <c r="B76" s="21" t="str">
        <f t="shared" ref="B76:B81" si="4">MID(A76,6,23)</f>
        <v>2016/12/01 22:52:02.283</v>
      </c>
      <c r="C76" s="21">
        <f t="shared" ref="C76:C81" si="5">ABS(B76-B75)</f>
        <v>1.0486117389518768E-5</v>
      </c>
    </row>
    <row r="77" spans="1:3" x14ac:dyDescent="0.25">
      <c r="A77" t="s">
        <v>945</v>
      </c>
      <c r="B77" s="21" t="str">
        <f t="shared" si="4"/>
        <v>2016/12/01 23:24:21.002</v>
      </c>
      <c r="C77" s="21">
        <f t="shared" si="5"/>
        <v>2.2438877313106786E-2</v>
      </c>
    </row>
    <row r="78" spans="1:3" x14ac:dyDescent="0.25">
      <c r="A78" t="s">
        <v>946</v>
      </c>
      <c r="B78" s="21" t="str">
        <f t="shared" si="4"/>
        <v>2016/12/01 23:24:21.467</v>
      </c>
      <c r="C78" s="21">
        <f t="shared" si="5"/>
        <v>5.3819458116777241E-6</v>
      </c>
    </row>
    <row r="79" spans="1:3" x14ac:dyDescent="0.25">
      <c r="A79" t="s">
        <v>947</v>
      </c>
      <c r="B79" s="21" t="str">
        <f t="shared" si="4"/>
        <v>2016/12/02 00:27:15.363</v>
      </c>
      <c r="C79" s="21">
        <f t="shared" si="5"/>
        <v>4.3679351852915715E-2</v>
      </c>
    </row>
    <row r="80" spans="1:3" x14ac:dyDescent="0.25">
      <c r="A80" t="s">
        <v>948</v>
      </c>
      <c r="B80" s="21" t="str">
        <f t="shared" si="4"/>
        <v>2016/12/02 01:13:24.382</v>
      </c>
      <c r="C80" s="21">
        <f t="shared" si="5"/>
        <v>3.2048831017164048E-2</v>
      </c>
    </row>
    <row r="81" spans="1:3" x14ac:dyDescent="0.25">
      <c r="A81" t="s">
        <v>949</v>
      </c>
      <c r="B81" s="21" t="str">
        <f t="shared" si="4"/>
        <v>2016/12/02 01:13:24.839</v>
      </c>
      <c r="C81" s="21">
        <f t="shared" si="5"/>
        <v>5.2893519750796258E-6</v>
      </c>
    </row>
    <row r="82" spans="1:3" x14ac:dyDescent="0.25">
      <c r="A82" t="s">
        <v>950</v>
      </c>
      <c r="B82" s="21" t="str">
        <f t="shared" ref="B82:B114" si="6">MID(A82,6,23)</f>
        <v>2016/12/02 01:13:24.929</v>
      </c>
      <c r="C82" s="21">
        <f t="shared" ref="C82:C114" si="7">ABS(B82-B81)</f>
        <v>1.0416624718345702E-6</v>
      </c>
    </row>
    <row r="83" spans="1:3" x14ac:dyDescent="0.25">
      <c r="A83" t="s">
        <v>951</v>
      </c>
      <c r="B83" s="21" t="str">
        <f t="shared" si="6"/>
        <v>2016/12/02 01:50:26.170</v>
      </c>
      <c r="C83" s="21">
        <f t="shared" si="7"/>
        <v>2.5708807872433681E-2</v>
      </c>
    </row>
    <row r="84" spans="1:3" x14ac:dyDescent="0.25">
      <c r="A84" t="s">
        <v>952</v>
      </c>
      <c r="B84" s="21" t="str">
        <f t="shared" si="6"/>
        <v>2016/12/02 01:50:26.614</v>
      </c>
      <c r="C84" s="21">
        <f t="shared" si="7"/>
        <v>5.1388851716183126E-6</v>
      </c>
    </row>
    <row r="85" spans="1:3" x14ac:dyDescent="0.25">
      <c r="A85" t="s">
        <v>953</v>
      </c>
      <c r="B85" s="21" t="str">
        <f t="shared" si="6"/>
        <v>2016/12/02 01:50:48.448</v>
      </c>
      <c r="C85" s="21">
        <f t="shared" si="7"/>
        <v>2.5270833430113271E-4</v>
      </c>
    </row>
    <row r="86" spans="1:3" x14ac:dyDescent="0.25">
      <c r="A86" t="s">
        <v>954</v>
      </c>
      <c r="B86" s="21" t="str">
        <f t="shared" si="6"/>
        <v>2016/12/02 01:50:48.472</v>
      </c>
      <c r="C86" s="21">
        <f t="shared" si="7"/>
        <v>2.7778150979429483E-7</v>
      </c>
    </row>
    <row r="87" spans="1:3" x14ac:dyDescent="0.25">
      <c r="A87" t="s">
        <v>955</v>
      </c>
      <c r="B87" s="21" t="str">
        <f t="shared" si="6"/>
        <v>2016/12/02 02:41:12.810</v>
      </c>
      <c r="C87" s="21">
        <f t="shared" si="7"/>
        <v>3.5003912038519047E-2</v>
      </c>
    </row>
    <row r="88" spans="1:3" x14ac:dyDescent="0.25">
      <c r="A88" t="s">
        <v>956</v>
      </c>
      <c r="B88" s="21" t="str">
        <f t="shared" si="6"/>
        <v>2016/12/02 02:41:13.426</v>
      </c>
      <c r="C88" s="21">
        <f t="shared" si="7"/>
        <v>7.1296235546469688E-6</v>
      </c>
    </row>
    <row r="89" spans="1:3" x14ac:dyDescent="0.25">
      <c r="A89" t="s">
        <v>957</v>
      </c>
      <c r="B89" s="21" t="str">
        <f t="shared" si="6"/>
        <v>2016/12/02 02:41:49.809</v>
      </c>
      <c r="C89" s="21">
        <f t="shared" si="7"/>
        <v>4.2109953938052058E-4</v>
      </c>
    </row>
    <row r="90" spans="1:3" x14ac:dyDescent="0.25">
      <c r="A90" t="s">
        <v>958</v>
      </c>
      <c r="B90" s="21" t="str">
        <f t="shared" si="6"/>
        <v>2016/12/02 02:41:50.431</v>
      </c>
      <c r="C90" s="21">
        <f t="shared" si="7"/>
        <v>7.1990725700743496E-6</v>
      </c>
    </row>
    <row r="91" spans="1:3" x14ac:dyDescent="0.25">
      <c r="A91" t="s">
        <v>959</v>
      </c>
      <c r="B91" s="21" t="str">
        <f t="shared" si="6"/>
        <v>2016/12/02 03:36:11.994</v>
      </c>
      <c r="C91" s="21">
        <f t="shared" si="7"/>
        <v>3.7749571762105916E-2</v>
      </c>
    </row>
    <row r="92" spans="1:3" x14ac:dyDescent="0.25">
      <c r="A92" t="s">
        <v>960</v>
      </c>
      <c r="B92" s="21" t="str">
        <f t="shared" si="6"/>
        <v>2016/12/02 03:36:12.050</v>
      </c>
      <c r="C92" s="21">
        <f t="shared" si="7"/>
        <v>6.4814958022907376E-7</v>
      </c>
    </row>
    <row r="93" spans="1:3" x14ac:dyDescent="0.25">
      <c r="A93" t="s">
        <v>961</v>
      </c>
      <c r="B93" s="21" t="str">
        <f t="shared" si="6"/>
        <v>2016/12/02 03:36:12.287</v>
      </c>
      <c r="C93" s="21">
        <f t="shared" si="7"/>
        <v>2.7430505724623799E-6</v>
      </c>
    </row>
    <row r="94" spans="1:3" x14ac:dyDescent="0.25">
      <c r="A94" t="s">
        <v>962</v>
      </c>
      <c r="B94" s="21" t="str">
        <f t="shared" si="6"/>
        <v>2016/12/02 06:03:13.652</v>
      </c>
      <c r="C94" s="21">
        <f t="shared" si="7"/>
        <v>0.10209913194557885</v>
      </c>
    </row>
    <row r="95" spans="1:3" x14ac:dyDescent="0.25">
      <c r="A95" t="s">
        <v>963</v>
      </c>
      <c r="B95" s="21" t="str">
        <f t="shared" si="6"/>
        <v>2016/12/02 08:04:23.467</v>
      </c>
      <c r="C95" s="21">
        <f t="shared" si="7"/>
        <v>8.4141377315972932E-2</v>
      </c>
    </row>
    <row r="96" spans="1:3" x14ac:dyDescent="0.25">
      <c r="A96" t="s">
        <v>964</v>
      </c>
      <c r="B96" s="21" t="str">
        <f t="shared" si="6"/>
        <v>2016/12/02 08:04:23.660</v>
      </c>
      <c r="C96" s="21">
        <f t="shared" si="7"/>
        <v>2.2337990230880678E-6</v>
      </c>
    </row>
    <row r="97" spans="1:3" x14ac:dyDescent="0.25">
      <c r="A97" t="s">
        <v>965</v>
      </c>
      <c r="B97" s="21" t="str">
        <f t="shared" si="6"/>
        <v>2016/12/02 08:04:24.148</v>
      </c>
      <c r="C97" s="21">
        <f t="shared" si="7"/>
        <v>5.6481439969502389E-6</v>
      </c>
    </row>
    <row r="98" spans="1:3" x14ac:dyDescent="0.25">
      <c r="B98" s="21"/>
      <c r="C98" s="21"/>
    </row>
    <row r="99" spans="1:3" x14ac:dyDescent="0.25">
      <c r="B99" s="21"/>
      <c r="C99" s="21"/>
    </row>
    <row r="100" spans="1:3" x14ac:dyDescent="0.25">
      <c r="B100" s="21"/>
      <c r="C100" s="21"/>
    </row>
    <row r="101" spans="1:3" x14ac:dyDescent="0.25">
      <c r="B101" s="21"/>
      <c r="C101" s="21"/>
    </row>
    <row r="102" spans="1:3" x14ac:dyDescent="0.25">
      <c r="B102" s="21"/>
      <c r="C102" s="21"/>
    </row>
    <row r="103" spans="1:3" x14ac:dyDescent="0.25">
      <c r="B103" s="21"/>
      <c r="C103" s="21"/>
    </row>
    <row r="104" spans="1:3" x14ac:dyDescent="0.25">
      <c r="B104" s="21"/>
      <c r="C104" s="21"/>
    </row>
    <row r="105" spans="1:3" x14ac:dyDescent="0.25">
      <c r="B105" s="21"/>
      <c r="C105" s="21"/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16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2016-12-02T16:50:57Z</dcterms:modified>
</cp:coreProperties>
</file>