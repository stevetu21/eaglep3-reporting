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5" i="1" l="1"/>
  <c r="X206" i="1"/>
  <c r="X207" i="1"/>
  <c r="X208" i="1"/>
  <c r="K205" i="1"/>
  <c r="L205" i="1"/>
  <c r="M205" i="1"/>
  <c r="N205" i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X202" i="1"/>
  <c r="K201" i="1"/>
  <c r="L201" i="1"/>
  <c r="M201" i="1"/>
  <c r="N201" i="1" s="1"/>
  <c r="V201" i="1"/>
  <c r="AA201" i="1"/>
  <c r="AB201" i="1"/>
  <c r="AC201" i="1"/>
  <c r="AD201" i="1"/>
  <c r="X201" i="1" s="1"/>
  <c r="AE201" i="1"/>
  <c r="AF201" i="1"/>
  <c r="AH201" i="1"/>
  <c r="AM201" i="1"/>
  <c r="AN201" i="1"/>
  <c r="AO201" i="1"/>
  <c r="X157" i="1"/>
  <c r="X158" i="1"/>
  <c r="X159" i="1"/>
  <c r="K157" i="1"/>
  <c r="L157" i="1"/>
  <c r="M157" i="1"/>
  <c r="N157" i="1" s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6" i="1"/>
  <c r="L156" i="1"/>
  <c r="M156" i="1"/>
  <c r="N156" i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X141" i="1"/>
  <c r="K140" i="1"/>
  <c r="L140" i="1"/>
  <c r="M140" i="1"/>
  <c r="N140" i="1"/>
  <c r="V140" i="1"/>
  <c r="AA140" i="1"/>
  <c r="AB140" i="1"/>
  <c r="AC140" i="1"/>
  <c r="AD140" i="1"/>
  <c r="T140" i="1" s="1"/>
  <c r="AE140" i="1"/>
  <c r="AF140" i="1"/>
  <c r="AH140" i="1"/>
  <c r="AM140" i="1"/>
  <c r="AN140" i="1"/>
  <c r="AO140" i="1"/>
  <c r="X119" i="1"/>
  <c r="X120" i="1"/>
  <c r="K118" i="1"/>
  <c r="L118" i="1"/>
  <c r="M118" i="1"/>
  <c r="N118" i="1" s="1"/>
  <c r="V118" i="1"/>
  <c r="AA118" i="1"/>
  <c r="AB118" i="1"/>
  <c r="AC118" i="1"/>
  <c r="AD118" i="1"/>
  <c r="T118" i="1" s="1"/>
  <c r="AE118" i="1"/>
  <c r="AF118" i="1"/>
  <c r="AH118" i="1"/>
  <c r="AM118" i="1"/>
  <c r="AN118" i="1"/>
  <c r="AO118" i="1"/>
  <c r="P103" i="1"/>
  <c r="X56" i="1"/>
  <c r="X5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S18" i="3" s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T44" i="1"/>
  <c r="V44" i="1"/>
  <c r="Y44" i="1"/>
  <c r="Z44" i="1"/>
  <c r="AB44" i="1"/>
  <c r="AC44" i="1"/>
  <c r="AD44" i="1"/>
  <c r="X44" i="1" s="1"/>
  <c r="AE44" i="1"/>
  <c r="AF44" i="1"/>
  <c r="AH44" i="1"/>
  <c r="AM44" i="1"/>
  <c r="AN44" i="1"/>
  <c r="AO44" i="1"/>
  <c r="K45" i="1"/>
  <c r="L45" i="1"/>
  <c r="M45" i="1"/>
  <c r="N45" i="1"/>
  <c r="V45" i="1"/>
  <c r="Y45" i="1"/>
  <c r="Z45" i="1"/>
  <c r="AB45" i="1"/>
  <c r="AC45" i="1"/>
  <c r="AD45" i="1"/>
  <c r="X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S19" i="3" s="1"/>
  <c r="Y50" i="1"/>
  <c r="Z50" i="1"/>
  <c r="AB50" i="1"/>
  <c r="AC50" i="1"/>
  <c r="AD50" i="1"/>
  <c r="AE50" i="1"/>
  <c r="R19" i="3" s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T67" i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T71" i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AO71" i="1"/>
  <c r="K72" i="1"/>
  <c r="L72" i="1"/>
  <c r="M72" i="1"/>
  <c r="N72" i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R17" i="3" s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AO79" i="1"/>
  <c r="K80" i="1"/>
  <c r="L80" i="1"/>
  <c r="M80" i="1"/>
  <c r="N80" i="1" s="1"/>
  <c r="V80" i="1"/>
  <c r="S16" i="3" s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AA84" i="1" s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T85" i="1"/>
  <c r="V85" i="1"/>
  <c r="X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T86" i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AO86" i="1"/>
  <c r="K87" i="1"/>
  <c r="L87" i="1"/>
  <c r="M87" i="1"/>
  <c r="N87" i="1" s="1"/>
  <c r="T87" i="1"/>
  <c r="V87" i="1"/>
  <c r="Y87" i="1"/>
  <c r="Z87" i="1"/>
  <c r="AB87" i="1"/>
  <c r="AC87" i="1"/>
  <c r="AD87" i="1"/>
  <c r="X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AA88" i="1" s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T89" i="1"/>
  <c r="V89" i="1"/>
  <c r="X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T90" i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AO90" i="1"/>
  <c r="K91" i="1"/>
  <c r="L91" i="1"/>
  <c r="M91" i="1"/>
  <c r="N91" i="1" s="1"/>
  <c r="T91" i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AA92" i="1" s="1"/>
  <c r="Z92" i="1"/>
  <c r="AB92" i="1"/>
  <c r="AC92" i="1"/>
  <c r="AD92" i="1"/>
  <c r="X92" i="1" s="1"/>
  <c r="AE92" i="1"/>
  <c r="AF92" i="1"/>
  <c r="AH92" i="1"/>
  <c r="AM92" i="1"/>
  <c r="AN92" i="1"/>
  <c r="AO92" i="1"/>
  <c r="K93" i="1"/>
  <c r="L93" i="1"/>
  <c r="M93" i="1"/>
  <c r="N93" i="1" s="1"/>
  <c r="T93" i="1"/>
  <c r="V93" i="1"/>
  <c r="X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T94" i="1"/>
  <c r="V94" i="1"/>
  <c r="Y94" i="1"/>
  <c r="Z94" i="1"/>
  <c r="AB94" i="1"/>
  <c r="AC94" i="1"/>
  <c r="AD94" i="1"/>
  <c r="X94" i="1" s="1"/>
  <c r="AE94" i="1"/>
  <c r="AF94" i="1"/>
  <c r="AH94" i="1"/>
  <c r="AM94" i="1"/>
  <c r="AN94" i="1"/>
  <c r="AO94" i="1"/>
  <c r="K95" i="1"/>
  <c r="L95" i="1"/>
  <c r="M95" i="1"/>
  <c r="N95" i="1" s="1"/>
  <c r="T95" i="1"/>
  <c r="V95" i="1"/>
  <c r="Y95" i="1"/>
  <c r="Z95" i="1"/>
  <c r="AB95" i="1"/>
  <c r="AC95" i="1"/>
  <c r="AD95" i="1"/>
  <c r="X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AA96" i="1" s="1"/>
  <c r="Z96" i="1"/>
  <c r="AB96" i="1"/>
  <c r="AC96" i="1"/>
  <c r="AD96" i="1"/>
  <c r="X96" i="1" s="1"/>
  <c r="AE96" i="1"/>
  <c r="AF96" i="1"/>
  <c r="AH96" i="1"/>
  <c r="AM96" i="1"/>
  <c r="AN96" i="1"/>
  <c r="AO96" i="1"/>
  <c r="K97" i="1"/>
  <c r="L97" i="1"/>
  <c r="M97" i="1"/>
  <c r="N97" i="1" s="1"/>
  <c r="T97" i="1"/>
  <c r="V97" i="1"/>
  <c r="X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T98" i="1"/>
  <c r="V98" i="1"/>
  <c r="Y98" i="1"/>
  <c r="Z98" i="1"/>
  <c r="AB98" i="1"/>
  <c r="AC98" i="1"/>
  <c r="AD98" i="1"/>
  <c r="X98" i="1" s="1"/>
  <c r="AE98" i="1"/>
  <c r="AF98" i="1"/>
  <c r="AH98" i="1"/>
  <c r="AM98" i="1"/>
  <c r="AN98" i="1"/>
  <c r="AO98" i="1"/>
  <c r="K99" i="1"/>
  <c r="L99" i="1"/>
  <c r="M99" i="1"/>
  <c r="N99" i="1" s="1"/>
  <c r="T99" i="1"/>
  <c r="V99" i="1"/>
  <c r="Y99" i="1"/>
  <c r="Z99" i="1"/>
  <c r="AB99" i="1"/>
  <c r="AC99" i="1"/>
  <c r="AD99" i="1"/>
  <c r="X99" i="1" s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AA100" i="1" s="1"/>
  <c r="Z100" i="1"/>
  <c r="AB100" i="1"/>
  <c r="AC100" i="1"/>
  <c r="AD100" i="1"/>
  <c r="X100" i="1" s="1"/>
  <c r="AE100" i="1"/>
  <c r="R14" i="3" s="1"/>
  <c r="AF100" i="1"/>
  <c r="AH100" i="1"/>
  <c r="AM100" i="1"/>
  <c r="AN100" i="1"/>
  <c r="AO100" i="1"/>
  <c r="K101" i="1"/>
  <c r="L101" i="1"/>
  <c r="M101" i="1"/>
  <c r="N101" i="1" s="1"/>
  <c r="T101" i="1"/>
  <c r="V101" i="1"/>
  <c r="X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T102" i="1"/>
  <c r="V102" i="1"/>
  <c r="Y102" i="1"/>
  <c r="Z102" i="1"/>
  <c r="AB102" i="1"/>
  <c r="AC102" i="1"/>
  <c r="AD102" i="1"/>
  <c r="X102" i="1" s="1"/>
  <c r="AE102" i="1"/>
  <c r="AF102" i="1"/>
  <c r="AH102" i="1"/>
  <c r="AM102" i="1"/>
  <c r="AN102" i="1"/>
  <c r="AO102" i="1"/>
  <c r="K103" i="1"/>
  <c r="L103" i="1"/>
  <c r="M103" i="1"/>
  <c r="T103" i="1"/>
  <c r="V103" i="1"/>
  <c r="Y103" i="1"/>
  <c r="Z103" i="1"/>
  <c r="AB103" i="1"/>
  <c r="AC103" i="1"/>
  <c r="AD103" i="1"/>
  <c r="X103" i="1" s="1"/>
  <c r="AE103" i="1"/>
  <c r="AF103" i="1"/>
  <c r="AH103" i="1"/>
  <c r="AM103" i="1"/>
  <c r="AN103" i="1"/>
  <c r="AO103" i="1"/>
  <c r="K104" i="1"/>
  <c r="L104" i="1"/>
  <c r="M104" i="1"/>
  <c r="V104" i="1"/>
  <c r="Y104" i="1"/>
  <c r="AA104" i="1" s="1"/>
  <c r="Z104" i="1"/>
  <c r="AB104" i="1"/>
  <c r="AC104" i="1"/>
  <c r="AD104" i="1"/>
  <c r="X104" i="1" s="1"/>
  <c r="AE104" i="1"/>
  <c r="AF104" i="1"/>
  <c r="AH104" i="1"/>
  <c r="AM104" i="1"/>
  <c r="AN104" i="1"/>
  <c r="AO104" i="1"/>
  <c r="K105" i="1"/>
  <c r="L105" i="1"/>
  <c r="M105" i="1"/>
  <c r="N105" i="1" s="1"/>
  <c r="T105" i="1"/>
  <c r="V105" i="1"/>
  <c r="X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T106" i="1"/>
  <c r="V106" i="1"/>
  <c r="Y106" i="1"/>
  <c r="Z106" i="1"/>
  <c r="AB106" i="1"/>
  <c r="AC106" i="1"/>
  <c r="AD106" i="1"/>
  <c r="X106" i="1" s="1"/>
  <c r="AE106" i="1"/>
  <c r="AF106" i="1"/>
  <c r="AH106" i="1"/>
  <c r="AM106" i="1"/>
  <c r="AN106" i="1"/>
  <c r="AO106" i="1"/>
  <c r="K107" i="1"/>
  <c r="L107" i="1"/>
  <c r="M107" i="1"/>
  <c r="N107" i="1" s="1"/>
  <c r="T107" i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AA108" i="1" s="1"/>
  <c r="Z108" i="1"/>
  <c r="AB108" i="1"/>
  <c r="AC108" i="1"/>
  <c r="AD108" i="1"/>
  <c r="X108" i="1" s="1"/>
  <c r="AE108" i="1"/>
  <c r="AF108" i="1"/>
  <c r="AH108" i="1"/>
  <c r="AM108" i="1"/>
  <c r="AN108" i="1"/>
  <c r="AO108" i="1"/>
  <c r="K109" i="1"/>
  <c r="L109" i="1"/>
  <c r="M109" i="1"/>
  <c r="N109" i="1" s="1"/>
  <c r="T109" i="1"/>
  <c r="V109" i="1"/>
  <c r="X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T110" i="1"/>
  <c r="V110" i="1"/>
  <c r="S7" i="3" s="1"/>
  <c r="Y110" i="1"/>
  <c r="Z110" i="1"/>
  <c r="AB110" i="1"/>
  <c r="AC110" i="1"/>
  <c r="AD110" i="1"/>
  <c r="X110" i="1" s="1"/>
  <c r="AE110" i="1"/>
  <c r="R7" i="3" s="1"/>
  <c r="AF110" i="1"/>
  <c r="AH110" i="1"/>
  <c r="AM110" i="1"/>
  <c r="AN110" i="1"/>
  <c r="AO110" i="1"/>
  <c r="K111" i="1"/>
  <c r="L111" i="1"/>
  <c r="M111" i="1"/>
  <c r="N111" i="1" s="1"/>
  <c r="T111" i="1"/>
  <c r="V111" i="1"/>
  <c r="Y111" i="1"/>
  <c r="Z111" i="1"/>
  <c r="AB111" i="1"/>
  <c r="AC111" i="1"/>
  <c r="AD111" i="1"/>
  <c r="X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AA112" i="1" s="1"/>
  <c r="Z112" i="1"/>
  <c r="AB112" i="1"/>
  <c r="AC112" i="1"/>
  <c r="AD112" i="1"/>
  <c r="X112" i="1" s="1"/>
  <c r="AE112" i="1"/>
  <c r="AF112" i="1"/>
  <c r="AH112" i="1"/>
  <c r="AM112" i="1"/>
  <c r="AN112" i="1"/>
  <c r="AO112" i="1"/>
  <c r="K113" i="1"/>
  <c r="L113" i="1"/>
  <c r="M113" i="1"/>
  <c r="N113" i="1" s="1"/>
  <c r="T113" i="1"/>
  <c r="V113" i="1"/>
  <c r="X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T114" i="1"/>
  <c r="V114" i="1"/>
  <c r="Y114" i="1"/>
  <c r="Z114" i="1"/>
  <c r="AB114" i="1"/>
  <c r="AC114" i="1"/>
  <c r="AD114" i="1"/>
  <c r="X114" i="1" s="1"/>
  <c r="AE114" i="1"/>
  <c r="AF114" i="1"/>
  <c r="AH114" i="1"/>
  <c r="AM114" i="1"/>
  <c r="AN114" i="1"/>
  <c r="AO114" i="1"/>
  <c r="K115" i="1"/>
  <c r="L115" i="1"/>
  <c r="M115" i="1"/>
  <c r="N115" i="1" s="1"/>
  <c r="T115" i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AA116" i="1" s="1"/>
  <c r="Z116" i="1"/>
  <c r="AB116" i="1"/>
  <c r="AC116" i="1"/>
  <c r="AD116" i="1"/>
  <c r="X116" i="1" s="1"/>
  <c r="AE116" i="1"/>
  <c r="AF116" i="1"/>
  <c r="AH116" i="1"/>
  <c r="AM116" i="1"/>
  <c r="AN116" i="1"/>
  <c r="AO116" i="1"/>
  <c r="K117" i="1"/>
  <c r="L117" i="1"/>
  <c r="M117" i="1"/>
  <c r="N117" i="1" s="1"/>
  <c r="T117" i="1"/>
  <c r="V117" i="1"/>
  <c r="X117" i="1"/>
  <c r="Y117" i="1"/>
  <c r="Z117" i="1"/>
  <c r="AB117" i="1"/>
  <c r="AC117" i="1"/>
  <c r="AD117" i="1"/>
  <c r="AE117" i="1"/>
  <c r="AF117" i="1"/>
  <c r="AH117" i="1"/>
  <c r="AM117" i="1"/>
  <c r="AN117" i="1"/>
  <c r="AO117" i="1"/>
  <c r="K119" i="1"/>
  <c r="L119" i="1"/>
  <c r="M119" i="1"/>
  <c r="N119" i="1" s="1"/>
  <c r="T119" i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T120" i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AA121" i="1" s="1"/>
  <c r="Z121" i="1"/>
  <c r="AB121" i="1"/>
  <c r="AC121" i="1"/>
  <c r="AD121" i="1"/>
  <c r="X121" i="1" s="1"/>
  <c r="AE121" i="1"/>
  <c r="AF121" i="1"/>
  <c r="AH121" i="1"/>
  <c r="AM121" i="1"/>
  <c r="AN121" i="1"/>
  <c r="AO121" i="1"/>
  <c r="K122" i="1"/>
  <c r="L122" i="1"/>
  <c r="M122" i="1"/>
  <c r="N122" i="1" s="1"/>
  <c r="T122" i="1"/>
  <c r="V122" i="1"/>
  <c r="S12" i="3" s="1"/>
  <c r="X122" i="1"/>
  <c r="Y122" i="1"/>
  <c r="Z122" i="1"/>
  <c r="AB122" i="1"/>
  <c r="AC122" i="1"/>
  <c r="AD122" i="1"/>
  <c r="AE122" i="1"/>
  <c r="R12" i="3" s="1"/>
  <c r="AF122" i="1"/>
  <c r="AH122" i="1"/>
  <c r="AM122" i="1"/>
  <c r="AN122" i="1"/>
  <c r="AO122" i="1"/>
  <c r="K123" i="1"/>
  <c r="L123" i="1"/>
  <c r="M123" i="1"/>
  <c r="N123" i="1" s="1"/>
  <c r="T123" i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AO123" i="1"/>
  <c r="K124" i="1"/>
  <c r="L124" i="1"/>
  <c r="M124" i="1"/>
  <c r="N124" i="1" s="1"/>
  <c r="T124" i="1"/>
  <c r="V124" i="1"/>
  <c r="Y124" i="1"/>
  <c r="Z124" i="1"/>
  <c r="AB124" i="1"/>
  <c r="AC124" i="1"/>
  <c r="AD124" i="1"/>
  <c r="X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AA125" i="1" s="1"/>
  <c r="Z125" i="1"/>
  <c r="AB125" i="1"/>
  <c r="AC125" i="1"/>
  <c r="AD125" i="1"/>
  <c r="X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X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S13" i="3" s="1"/>
  <c r="X134" i="1"/>
  <c r="Y134" i="1"/>
  <c r="Z134" i="1"/>
  <c r="AA134" i="1" s="1"/>
  <c r="AB134" i="1"/>
  <c r="AC134" i="1"/>
  <c r="AD134" i="1"/>
  <c r="T134" i="1" s="1"/>
  <c r="AE134" i="1"/>
  <c r="R13" i="3" s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AO139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/>
  <c r="V145" i="1"/>
  <c r="Y145" i="1"/>
  <c r="Z145" i="1"/>
  <c r="AA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S11" i="3" s="1"/>
  <c r="Y147" i="1"/>
  <c r="Z147" i="1"/>
  <c r="AB147" i="1"/>
  <c r="AC147" i="1"/>
  <c r="AD147" i="1"/>
  <c r="T147" i="1" s="1"/>
  <c r="AE147" i="1"/>
  <c r="R11" i="3" s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S8" i="3" s="1"/>
  <c r="Y155" i="1"/>
  <c r="Z155" i="1"/>
  <c r="AB155" i="1"/>
  <c r="AC155" i="1"/>
  <c r="AD155" i="1"/>
  <c r="AE155" i="1"/>
  <c r="R8" i="3" s="1"/>
  <c r="AF155" i="1"/>
  <c r="AH155" i="1"/>
  <c r="AM155" i="1"/>
  <c r="AN155" i="1"/>
  <c r="AO155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8" i="1"/>
  <c r="AM158" i="1"/>
  <c r="AN158" i="1"/>
  <c r="AO158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159" i="1"/>
  <c r="AM159" i="1"/>
  <c r="AN159" i="1"/>
  <c r="AO159" i="1"/>
  <c r="K210" i="1"/>
  <c r="L210" i="1"/>
  <c r="M210" i="1"/>
  <c r="N210" i="1" s="1"/>
  <c r="V210" i="1"/>
  <c r="S24" i="3" s="1"/>
  <c r="Y210" i="1"/>
  <c r="Z210" i="1"/>
  <c r="AB210" i="1"/>
  <c r="AC210" i="1"/>
  <c r="AD210" i="1"/>
  <c r="AE210" i="1"/>
  <c r="R24" i="3" s="1"/>
  <c r="AF210" i="1"/>
  <c r="AH160" i="1"/>
  <c r="AM160" i="1"/>
  <c r="AN160" i="1"/>
  <c r="AO160" i="1"/>
  <c r="K211" i="1"/>
  <c r="L211" i="1"/>
  <c r="M211" i="1"/>
  <c r="N211" i="1"/>
  <c r="V211" i="1"/>
  <c r="Y211" i="1"/>
  <c r="Z211" i="1"/>
  <c r="AB211" i="1"/>
  <c r="AC211" i="1"/>
  <c r="AD211" i="1"/>
  <c r="AE211" i="1"/>
  <c r="AF211" i="1"/>
  <c r="AH161" i="1"/>
  <c r="AM161" i="1"/>
  <c r="AN161" i="1"/>
  <c r="AO161" i="1"/>
  <c r="K212" i="1"/>
  <c r="L212" i="1"/>
  <c r="M212" i="1"/>
  <c r="N212" i="1"/>
  <c r="V212" i="1"/>
  <c r="Y212" i="1"/>
  <c r="Z212" i="1"/>
  <c r="AA212" i="1"/>
  <c r="AB212" i="1"/>
  <c r="AC212" i="1"/>
  <c r="AD212" i="1"/>
  <c r="AE212" i="1"/>
  <c r="AF212" i="1"/>
  <c r="AH162" i="1"/>
  <c r="AM162" i="1"/>
  <c r="AN162" i="1"/>
  <c r="AO162" i="1"/>
  <c r="K213" i="1"/>
  <c r="L213" i="1"/>
  <c r="M213" i="1"/>
  <c r="N213" i="1" s="1"/>
  <c r="V213" i="1"/>
  <c r="S25" i="3" s="1"/>
  <c r="Y213" i="1"/>
  <c r="Z213" i="1"/>
  <c r="AB213" i="1"/>
  <c r="AC213" i="1"/>
  <c r="AD213" i="1"/>
  <c r="AE213" i="1"/>
  <c r="R25" i="3" s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AA215" i="1" s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AA219" i="1" s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70" i="1"/>
  <c r="AM170" i="1"/>
  <c r="AN170" i="1"/>
  <c r="AO17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1" i="1"/>
  <c r="AM171" i="1"/>
  <c r="AN171" i="1"/>
  <c r="AO171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2" i="1"/>
  <c r="AM172" i="1"/>
  <c r="AN172" i="1"/>
  <c r="AO172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A230" i="1" s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A231" i="1" s="1"/>
  <c r="AB231" i="1"/>
  <c r="AC231" i="1"/>
  <c r="AD231" i="1"/>
  <c r="AE231" i="1"/>
  <c r="AF231" i="1"/>
  <c r="AH175" i="1"/>
  <c r="AM175" i="1"/>
  <c r="AN175" i="1"/>
  <c r="AO175" i="1"/>
  <c r="K232" i="1"/>
  <c r="L232" i="1"/>
  <c r="M232" i="1"/>
  <c r="N232" i="1" s="1"/>
  <c r="V232" i="1"/>
  <c r="S27" i="3" s="1"/>
  <c r="Y232" i="1"/>
  <c r="Z232" i="1"/>
  <c r="AB232" i="1"/>
  <c r="AC232" i="1"/>
  <c r="AD232" i="1"/>
  <c r="AE232" i="1"/>
  <c r="R27" i="3" s="1"/>
  <c r="AF232" i="1"/>
  <c r="AH176" i="1"/>
  <c r="AM176" i="1"/>
  <c r="AN176" i="1"/>
  <c r="AO176" i="1"/>
  <c r="K233" i="1"/>
  <c r="L233" i="1"/>
  <c r="M233" i="1"/>
  <c r="N233" i="1"/>
  <c r="V233" i="1"/>
  <c r="Y233" i="1"/>
  <c r="AA233" i="1" s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/>
  <c r="V234" i="1"/>
  <c r="Y234" i="1"/>
  <c r="AA234" i="1" s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S26" i="3" s="1"/>
  <c r="Y235" i="1"/>
  <c r="Z235" i="1"/>
  <c r="AB235" i="1"/>
  <c r="AC235" i="1"/>
  <c r="AD235" i="1"/>
  <c r="AE235" i="1"/>
  <c r="R26" i="3" s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A238" i="1" s="1"/>
  <c r="AB238" i="1"/>
  <c r="AC238" i="1"/>
  <c r="AD238" i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3" i="1"/>
  <c r="AM183" i="1"/>
  <c r="AN183" i="1"/>
  <c r="AO18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4" i="1"/>
  <c r="AM184" i="1"/>
  <c r="AN184" i="1"/>
  <c r="AO184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5" i="1"/>
  <c r="AM185" i="1"/>
  <c r="AN185" i="1"/>
  <c r="AO185" i="1"/>
  <c r="K242" i="1"/>
  <c r="L242" i="1"/>
  <c r="M242" i="1"/>
  <c r="N242" i="1" s="1"/>
  <c r="V242" i="1"/>
  <c r="Y242" i="1"/>
  <c r="Z242" i="1"/>
  <c r="AA242" i="1" s="1"/>
  <c r="AB242" i="1"/>
  <c r="AC242" i="1"/>
  <c r="AD242" i="1"/>
  <c r="AE242" i="1"/>
  <c r="AF242" i="1"/>
  <c r="AH186" i="1"/>
  <c r="AM186" i="1"/>
  <c r="AN186" i="1"/>
  <c r="AO186" i="1"/>
  <c r="K243" i="1"/>
  <c r="L243" i="1"/>
  <c r="M243" i="1"/>
  <c r="N243" i="1" s="1"/>
  <c r="V243" i="1"/>
  <c r="S29" i="3" s="1"/>
  <c r="Y243" i="1"/>
  <c r="Z243" i="1"/>
  <c r="AB243" i="1"/>
  <c r="AC243" i="1"/>
  <c r="AD243" i="1"/>
  <c r="AE243" i="1"/>
  <c r="R29" i="3" s="1"/>
  <c r="AF243" i="1"/>
  <c r="AH187" i="1"/>
  <c r="AM187" i="1"/>
  <c r="AN187" i="1"/>
  <c r="AO18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8" i="1"/>
  <c r="AM188" i="1"/>
  <c r="AN188" i="1"/>
  <c r="AO188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9" i="1"/>
  <c r="AM189" i="1"/>
  <c r="AN189" i="1"/>
  <c r="AO189" i="1"/>
  <c r="K246" i="1"/>
  <c r="L246" i="1"/>
  <c r="M246" i="1"/>
  <c r="N246" i="1" s="1"/>
  <c r="V246" i="1"/>
  <c r="Y246" i="1"/>
  <c r="Z246" i="1"/>
  <c r="AA246" i="1" s="1"/>
  <c r="AB246" i="1"/>
  <c r="AC246" i="1"/>
  <c r="AD246" i="1"/>
  <c r="AE246" i="1"/>
  <c r="AF246" i="1"/>
  <c r="AH190" i="1"/>
  <c r="AM190" i="1"/>
  <c r="AN190" i="1"/>
  <c r="AO190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1" i="1"/>
  <c r="AM191" i="1"/>
  <c r="AN191" i="1"/>
  <c r="AO191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2" i="1"/>
  <c r="AM192" i="1"/>
  <c r="AN192" i="1"/>
  <c r="AO192" i="1"/>
  <c r="K249" i="1"/>
  <c r="L249" i="1"/>
  <c r="M249" i="1"/>
  <c r="N249" i="1" s="1"/>
  <c r="V249" i="1"/>
  <c r="Y249" i="1"/>
  <c r="Z249" i="1"/>
  <c r="AA249" i="1" s="1"/>
  <c r="AB249" i="1"/>
  <c r="AC249" i="1"/>
  <c r="AD249" i="1"/>
  <c r="AE249" i="1"/>
  <c r="AF249" i="1"/>
  <c r="AH193" i="1"/>
  <c r="AM193" i="1"/>
  <c r="AN193" i="1"/>
  <c r="AO193" i="1"/>
  <c r="K250" i="1"/>
  <c r="L250" i="1"/>
  <c r="M250" i="1"/>
  <c r="N250" i="1" s="1"/>
  <c r="V250" i="1"/>
  <c r="Y250" i="1"/>
  <c r="Z250" i="1"/>
  <c r="AA250" i="1" s="1"/>
  <c r="AB250" i="1"/>
  <c r="AC250" i="1"/>
  <c r="AD250" i="1"/>
  <c r="AE250" i="1"/>
  <c r="AF250" i="1"/>
  <c r="AH194" i="1"/>
  <c r="AM194" i="1"/>
  <c r="AN194" i="1"/>
  <c r="AO194" i="1"/>
  <c r="K251" i="1"/>
  <c r="L251" i="1"/>
  <c r="M251" i="1"/>
  <c r="N251" i="1" s="1"/>
  <c r="V251" i="1"/>
  <c r="Y251" i="1"/>
  <c r="AA251" i="1" s="1"/>
  <c r="Z251" i="1"/>
  <c r="AB251" i="1"/>
  <c r="AC251" i="1"/>
  <c r="AD251" i="1"/>
  <c r="T251" i="1" s="1"/>
  <c r="AE251" i="1"/>
  <c r="AF251" i="1"/>
  <c r="AH195" i="1"/>
  <c r="AM195" i="1"/>
  <c r="AN195" i="1"/>
  <c r="AO195" i="1"/>
  <c r="K252" i="1"/>
  <c r="L252" i="1"/>
  <c r="M252" i="1"/>
  <c r="N252" i="1" s="1"/>
  <c r="V252" i="1"/>
  <c r="Y252" i="1"/>
  <c r="Z252" i="1"/>
  <c r="AB252" i="1"/>
  <c r="AC252" i="1"/>
  <c r="AD252" i="1"/>
  <c r="X252" i="1" s="1"/>
  <c r="AE252" i="1"/>
  <c r="AF252" i="1"/>
  <c r="AH196" i="1"/>
  <c r="AM196" i="1"/>
  <c r="AN196" i="1"/>
  <c r="AO196" i="1"/>
  <c r="K158" i="1"/>
  <c r="L158" i="1"/>
  <c r="M158" i="1"/>
  <c r="N158" i="1"/>
  <c r="V158" i="1"/>
  <c r="Y158" i="1"/>
  <c r="Z158" i="1"/>
  <c r="AB158" i="1"/>
  <c r="AC158" i="1"/>
  <c r="AD158" i="1"/>
  <c r="AE158" i="1"/>
  <c r="AF158" i="1"/>
  <c r="AH197" i="1"/>
  <c r="AM197" i="1"/>
  <c r="AN197" i="1"/>
  <c r="AO197" i="1"/>
  <c r="K159" i="1"/>
  <c r="L159" i="1"/>
  <c r="M159" i="1"/>
  <c r="N159" i="1" s="1"/>
  <c r="V159" i="1"/>
  <c r="Y159" i="1"/>
  <c r="AA159" i="1" s="1"/>
  <c r="Z159" i="1"/>
  <c r="AB159" i="1"/>
  <c r="AC159" i="1"/>
  <c r="AD159" i="1"/>
  <c r="T159" i="1" s="1"/>
  <c r="AE159" i="1"/>
  <c r="AF159" i="1"/>
  <c r="AH198" i="1"/>
  <c r="AM198" i="1"/>
  <c r="AN198" i="1"/>
  <c r="AO198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99" i="1"/>
  <c r="AM199" i="1"/>
  <c r="AN199" i="1"/>
  <c r="AO199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200" i="1"/>
  <c r="AM200" i="1"/>
  <c r="AN200" i="1"/>
  <c r="AO20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2" i="1"/>
  <c r="AM202" i="1"/>
  <c r="AN202" i="1"/>
  <c r="AO20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3" i="1"/>
  <c r="AM203" i="1"/>
  <c r="AN203" i="1"/>
  <c r="AO20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4" i="1"/>
  <c r="AM204" i="1"/>
  <c r="AN204" i="1"/>
  <c r="AO204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206" i="1"/>
  <c r="AM206" i="1"/>
  <c r="AN206" i="1"/>
  <c r="AO20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7" i="1"/>
  <c r="AM207" i="1"/>
  <c r="AN207" i="1"/>
  <c r="AO207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208" i="1"/>
  <c r="AM208" i="1"/>
  <c r="AN208" i="1"/>
  <c r="AO20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9" i="1"/>
  <c r="AM209" i="1"/>
  <c r="AN209" i="1"/>
  <c r="AO20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0" i="1"/>
  <c r="AM210" i="1"/>
  <c r="AN210" i="1"/>
  <c r="AO210" i="1"/>
  <c r="K170" i="1"/>
  <c r="L170" i="1"/>
  <c r="M170" i="1"/>
  <c r="N170" i="1" s="1"/>
  <c r="V170" i="1"/>
  <c r="Y170" i="1"/>
  <c r="AA170" i="1" s="1"/>
  <c r="Z170" i="1"/>
  <c r="AB170" i="1"/>
  <c r="AC170" i="1"/>
  <c r="AD170" i="1"/>
  <c r="T170" i="1" s="1"/>
  <c r="AE170" i="1"/>
  <c r="AF170" i="1"/>
  <c r="AH211" i="1"/>
  <c r="AM211" i="1"/>
  <c r="AN211" i="1"/>
  <c r="AO21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2" i="1"/>
  <c r="AM212" i="1"/>
  <c r="AN212" i="1"/>
  <c r="AO21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3" i="1"/>
  <c r="AM213" i="1"/>
  <c r="AN213" i="1"/>
  <c r="AO213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214" i="1"/>
  <c r="AM214" i="1"/>
  <c r="AN214" i="1"/>
  <c r="AO214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15" i="1"/>
  <c r="AM215" i="1"/>
  <c r="AN215" i="1"/>
  <c r="AO215" i="1"/>
  <c r="K175" i="1"/>
  <c r="L175" i="1"/>
  <c r="M175" i="1"/>
  <c r="N175" i="1" s="1"/>
  <c r="T175" i="1"/>
  <c r="V175" i="1"/>
  <c r="Y175" i="1"/>
  <c r="Z175" i="1"/>
  <c r="AB175" i="1"/>
  <c r="AC175" i="1"/>
  <c r="AD175" i="1"/>
  <c r="AE175" i="1"/>
  <c r="AF175" i="1"/>
  <c r="AH216" i="1"/>
  <c r="AM216" i="1"/>
  <c r="AN216" i="1"/>
  <c r="AO216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217" i="1"/>
  <c r="AM217" i="1"/>
  <c r="AN217" i="1"/>
  <c r="AO21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8" i="1"/>
  <c r="AM218" i="1"/>
  <c r="AN218" i="1"/>
  <c r="AO21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9" i="1"/>
  <c r="AM219" i="1"/>
  <c r="AN219" i="1"/>
  <c r="AO21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0" i="1"/>
  <c r="AM220" i="1"/>
  <c r="AN220" i="1"/>
  <c r="AO22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1" i="1"/>
  <c r="AM221" i="1"/>
  <c r="AN221" i="1"/>
  <c r="AO22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2" i="1"/>
  <c r="AM222" i="1"/>
  <c r="AN222" i="1"/>
  <c r="AO222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23" i="1"/>
  <c r="AM223" i="1"/>
  <c r="AN223" i="1"/>
  <c r="AO223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24" i="1"/>
  <c r="AM224" i="1"/>
  <c r="AN224" i="1"/>
  <c r="AO22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5" i="1"/>
  <c r="AM225" i="1"/>
  <c r="AN225" i="1"/>
  <c r="AO225" i="1"/>
  <c r="K185" i="1"/>
  <c r="L185" i="1"/>
  <c r="M185" i="1"/>
  <c r="N185" i="1" s="1"/>
  <c r="V185" i="1"/>
  <c r="S21" i="3" s="1"/>
  <c r="Y185" i="1"/>
  <c r="Z185" i="1"/>
  <c r="AB185" i="1"/>
  <c r="AC185" i="1"/>
  <c r="AD185" i="1"/>
  <c r="T185" i="1" s="1"/>
  <c r="AE185" i="1"/>
  <c r="R21" i="3" s="1"/>
  <c r="AF185" i="1"/>
  <c r="AH226" i="1"/>
  <c r="AM226" i="1"/>
  <c r="AN226" i="1"/>
  <c r="AO226" i="1"/>
  <c r="K186" i="1"/>
  <c r="L186" i="1"/>
  <c r="M186" i="1"/>
  <c r="N186" i="1" s="1"/>
  <c r="V186" i="1"/>
  <c r="Y186" i="1"/>
  <c r="Z186" i="1"/>
  <c r="AA186" i="1" s="1"/>
  <c r="AB186" i="1"/>
  <c r="AC186" i="1"/>
  <c r="AD186" i="1"/>
  <c r="T186" i="1" s="1"/>
  <c r="AE186" i="1"/>
  <c r="AF186" i="1"/>
  <c r="AH227" i="1"/>
  <c r="AM227" i="1"/>
  <c r="AN227" i="1"/>
  <c r="AO22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8" i="1"/>
  <c r="AM228" i="1"/>
  <c r="AN228" i="1"/>
  <c r="AO228" i="1"/>
  <c r="K188" i="1"/>
  <c r="L188" i="1"/>
  <c r="M188" i="1"/>
  <c r="V188" i="1"/>
  <c r="Y188" i="1"/>
  <c r="Z188" i="1"/>
  <c r="AB188" i="1"/>
  <c r="AC188" i="1"/>
  <c r="AD188" i="1"/>
  <c r="T188" i="1" s="1"/>
  <c r="AE188" i="1"/>
  <c r="AF188" i="1"/>
  <c r="AH229" i="1"/>
  <c r="AM229" i="1"/>
  <c r="AN229" i="1"/>
  <c r="AO22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0" i="1"/>
  <c r="AM230" i="1"/>
  <c r="AN230" i="1"/>
  <c r="AO230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31" i="1"/>
  <c r="AM231" i="1"/>
  <c r="AN231" i="1"/>
  <c r="AO23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2" i="1"/>
  <c r="AM232" i="1"/>
  <c r="AN232" i="1"/>
  <c r="AO232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233" i="1"/>
  <c r="AM233" i="1"/>
  <c r="AN233" i="1"/>
  <c r="AO233" i="1"/>
  <c r="K193" i="1"/>
  <c r="L193" i="1"/>
  <c r="M193" i="1"/>
  <c r="N193" i="1"/>
  <c r="V193" i="1"/>
  <c r="S20" i="3" s="1"/>
  <c r="Y193" i="1"/>
  <c r="Z193" i="1"/>
  <c r="AB193" i="1"/>
  <c r="AC193" i="1"/>
  <c r="AD193" i="1"/>
  <c r="T193" i="1" s="1"/>
  <c r="AE193" i="1"/>
  <c r="R20" i="3" s="1"/>
  <c r="AF193" i="1"/>
  <c r="AH234" i="1"/>
  <c r="AM234" i="1"/>
  <c r="AN234" i="1"/>
  <c r="AO234" i="1"/>
  <c r="K194" i="1"/>
  <c r="L194" i="1"/>
  <c r="M194" i="1"/>
  <c r="N194" i="1"/>
  <c r="V194" i="1"/>
  <c r="Y194" i="1"/>
  <c r="Z194" i="1"/>
  <c r="AB194" i="1"/>
  <c r="AC194" i="1"/>
  <c r="AD194" i="1"/>
  <c r="T194" i="1" s="1"/>
  <c r="AE194" i="1"/>
  <c r="AF194" i="1"/>
  <c r="AH235" i="1"/>
  <c r="AM235" i="1"/>
  <c r="AN235" i="1"/>
  <c r="AO235" i="1"/>
  <c r="K195" i="1"/>
  <c r="L195" i="1"/>
  <c r="M195" i="1"/>
  <c r="N195" i="1"/>
  <c r="V195" i="1"/>
  <c r="Y195" i="1"/>
  <c r="Z195" i="1"/>
  <c r="AB195" i="1"/>
  <c r="AC195" i="1"/>
  <c r="AD195" i="1"/>
  <c r="T195" i="1" s="1"/>
  <c r="AE195" i="1"/>
  <c r="AF195" i="1"/>
  <c r="AH236" i="1"/>
  <c r="AM236" i="1"/>
  <c r="AN236" i="1"/>
  <c r="AO236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37" i="1"/>
  <c r="AM237" i="1"/>
  <c r="AN237" i="1"/>
  <c r="AO237" i="1"/>
  <c r="K197" i="1"/>
  <c r="L197" i="1"/>
  <c r="M197" i="1"/>
  <c r="N197" i="1"/>
  <c r="V197" i="1"/>
  <c r="Y197" i="1"/>
  <c r="Z197" i="1"/>
  <c r="AB197" i="1"/>
  <c r="AC197" i="1"/>
  <c r="AD197" i="1"/>
  <c r="T197" i="1" s="1"/>
  <c r="AE197" i="1"/>
  <c r="AF197" i="1"/>
  <c r="AH238" i="1"/>
  <c r="AM238" i="1"/>
  <c r="AN238" i="1"/>
  <c r="AO238" i="1"/>
  <c r="K198" i="1"/>
  <c r="L198" i="1"/>
  <c r="M198" i="1"/>
  <c r="N198" i="1"/>
  <c r="V198" i="1"/>
  <c r="Y198" i="1"/>
  <c r="Z198" i="1"/>
  <c r="AB198" i="1"/>
  <c r="AC198" i="1"/>
  <c r="AD198" i="1"/>
  <c r="T198" i="1" s="1"/>
  <c r="AE198" i="1"/>
  <c r="AF198" i="1"/>
  <c r="AH239" i="1"/>
  <c r="AM239" i="1"/>
  <c r="AN239" i="1"/>
  <c r="AO239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40" i="1"/>
  <c r="AM240" i="1"/>
  <c r="AN240" i="1"/>
  <c r="AO240" i="1"/>
  <c r="K200" i="1"/>
  <c r="L200" i="1"/>
  <c r="M200" i="1"/>
  <c r="N200" i="1"/>
  <c r="V200" i="1"/>
  <c r="Y200" i="1"/>
  <c r="Z200" i="1"/>
  <c r="AA200" i="1" s="1"/>
  <c r="AB200" i="1"/>
  <c r="AC200" i="1"/>
  <c r="AD200" i="1"/>
  <c r="T200" i="1" s="1"/>
  <c r="AE200" i="1"/>
  <c r="AF200" i="1"/>
  <c r="AH241" i="1"/>
  <c r="AM241" i="1"/>
  <c r="AN241" i="1"/>
  <c r="AO241" i="1"/>
  <c r="K202" i="1"/>
  <c r="L202" i="1"/>
  <c r="M202" i="1"/>
  <c r="N202" i="1"/>
  <c r="V202" i="1"/>
  <c r="Y202" i="1"/>
  <c r="Z202" i="1"/>
  <c r="AA202" i="1" s="1"/>
  <c r="AB202" i="1"/>
  <c r="AC202" i="1"/>
  <c r="AD202" i="1"/>
  <c r="T202" i="1" s="1"/>
  <c r="AE202" i="1"/>
  <c r="AF202" i="1"/>
  <c r="AH242" i="1"/>
  <c r="AM242" i="1"/>
  <c r="AN242" i="1"/>
  <c r="AO242" i="1"/>
  <c r="K203" i="1"/>
  <c r="L203" i="1"/>
  <c r="M203" i="1"/>
  <c r="N203" i="1"/>
  <c r="V203" i="1"/>
  <c r="Y203" i="1"/>
  <c r="Z203" i="1"/>
  <c r="AA203" i="1" s="1"/>
  <c r="AB203" i="1"/>
  <c r="AC203" i="1"/>
  <c r="AD203" i="1"/>
  <c r="T203" i="1" s="1"/>
  <c r="AE203" i="1"/>
  <c r="AF203" i="1"/>
  <c r="AH243" i="1"/>
  <c r="AM243" i="1"/>
  <c r="AN243" i="1"/>
  <c r="AO243" i="1"/>
  <c r="K204" i="1"/>
  <c r="L204" i="1"/>
  <c r="M204" i="1"/>
  <c r="N204" i="1"/>
  <c r="V204" i="1"/>
  <c r="Y204" i="1"/>
  <c r="Z204" i="1"/>
  <c r="AA204" i="1" s="1"/>
  <c r="AB204" i="1"/>
  <c r="AC204" i="1"/>
  <c r="AD204" i="1"/>
  <c r="T204" i="1" s="1"/>
  <c r="AE204" i="1"/>
  <c r="AF204" i="1"/>
  <c r="AH244" i="1"/>
  <c r="AM244" i="1"/>
  <c r="AN244" i="1"/>
  <c r="AO244" i="1"/>
  <c r="K206" i="1"/>
  <c r="L206" i="1"/>
  <c r="M206" i="1"/>
  <c r="N206" i="1"/>
  <c r="V206" i="1"/>
  <c r="Y206" i="1"/>
  <c r="Z206" i="1"/>
  <c r="AA206" i="1" s="1"/>
  <c r="AB206" i="1"/>
  <c r="AC206" i="1"/>
  <c r="AD206" i="1"/>
  <c r="T206" i="1" s="1"/>
  <c r="AE206" i="1"/>
  <c r="AF206" i="1"/>
  <c r="AH245" i="1"/>
  <c r="AM245" i="1"/>
  <c r="AN245" i="1"/>
  <c r="AO245" i="1"/>
  <c r="K207" i="1"/>
  <c r="L207" i="1"/>
  <c r="M207" i="1"/>
  <c r="N207" i="1"/>
  <c r="V207" i="1"/>
  <c r="Y207" i="1"/>
  <c r="Z207" i="1"/>
  <c r="AA207" i="1" s="1"/>
  <c r="AB207" i="1"/>
  <c r="AC207" i="1"/>
  <c r="AD207" i="1"/>
  <c r="T207" i="1" s="1"/>
  <c r="AE207" i="1"/>
  <c r="AF207" i="1"/>
  <c r="AH246" i="1"/>
  <c r="AM246" i="1"/>
  <c r="AN246" i="1"/>
  <c r="AO246" i="1"/>
  <c r="K222" i="1"/>
  <c r="L222" i="1"/>
  <c r="M222" i="1"/>
  <c r="N222" i="1"/>
  <c r="V222" i="1"/>
  <c r="Y222" i="1"/>
  <c r="Z222" i="1"/>
  <c r="AA222" i="1" s="1"/>
  <c r="AB222" i="1"/>
  <c r="AC222" i="1"/>
  <c r="AD222" i="1"/>
  <c r="T222" i="1" s="1"/>
  <c r="AE222" i="1"/>
  <c r="AF222" i="1"/>
  <c r="AH247" i="1"/>
  <c r="AM247" i="1"/>
  <c r="AN247" i="1"/>
  <c r="AO247" i="1"/>
  <c r="K223" i="1"/>
  <c r="L223" i="1"/>
  <c r="M223" i="1"/>
  <c r="N223" i="1"/>
  <c r="V223" i="1"/>
  <c r="Y223" i="1"/>
  <c r="Z223" i="1"/>
  <c r="AA223" i="1" s="1"/>
  <c r="AB223" i="1"/>
  <c r="AC223" i="1"/>
  <c r="AD223" i="1"/>
  <c r="T223" i="1" s="1"/>
  <c r="AE223" i="1"/>
  <c r="AF223" i="1"/>
  <c r="AH248" i="1"/>
  <c r="AM248" i="1"/>
  <c r="AN248" i="1"/>
  <c r="AO248" i="1"/>
  <c r="K224" i="1"/>
  <c r="L224" i="1"/>
  <c r="M224" i="1"/>
  <c r="N224" i="1"/>
  <c r="V224" i="1"/>
  <c r="Y224" i="1"/>
  <c r="Z224" i="1"/>
  <c r="AA224" i="1" s="1"/>
  <c r="AB224" i="1"/>
  <c r="AC224" i="1"/>
  <c r="AD224" i="1"/>
  <c r="T224" i="1" s="1"/>
  <c r="AE224" i="1"/>
  <c r="AF224" i="1"/>
  <c r="AH249" i="1"/>
  <c r="AM249" i="1"/>
  <c r="AN249" i="1"/>
  <c r="AO249" i="1"/>
  <c r="K225" i="1"/>
  <c r="L225" i="1"/>
  <c r="M225" i="1"/>
  <c r="N225" i="1"/>
  <c r="V225" i="1"/>
  <c r="Y225" i="1"/>
  <c r="Z225" i="1"/>
  <c r="AA225" i="1" s="1"/>
  <c r="AB225" i="1"/>
  <c r="AC225" i="1"/>
  <c r="AD225" i="1"/>
  <c r="T225" i="1" s="1"/>
  <c r="AE225" i="1"/>
  <c r="AF225" i="1"/>
  <c r="AH250" i="1"/>
  <c r="AM250" i="1"/>
  <c r="AN250" i="1"/>
  <c r="AO250" i="1"/>
  <c r="K226" i="1"/>
  <c r="L226" i="1"/>
  <c r="M226" i="1"/>
  <c r="N226" i="1"/>
  <c r="V226" i="1"/>
  <c r="Y226" i="1"/>
  <c r="Z226" i="1"/>
  <c r="AA226" i="1" s="1"/>
  <c r="AB226" i="1"/>
  <c r="AC226" i="1"/>
  <c r="AD226" i="1"/>
  <c r="T226" i="1" s="1"/>
  <c r="AE226" i="1"/>
  <c r="AF226" i="1"/>
  <c r="AH251" i="1"/>
  <c r="AM251" i="1"/>
  <c r="AN251" i="1"/>
  <c r="AO251" i="1"/>
  <c r="K227" i="1"/>
  <c r="L227" i="1"/>
  <c r="M227" i="1"/>
  <c r="N227" i="1"/>
  <c r="V227" i="1"/>
  <c r="Y227" i="1"/>
  <c r="Z227" i="1"/>
  <c r="AA227" i="1" s="1"/>
  <c r="AB227" i="1"/>
  <c r="AC227" i="1"/>
  <c r="AD227" i="1"/>
  <c r="T227" i="1" s="1"/>
  <c r="AE227" i="1"/>
  <c r="AF227" i="1"/>
  <c r="AH252" i="1"/>
  <c r="AM252" i="1"/>
  <c r="AN252" i="1"/>
  <c r="AO252" i="1"/>
  <c r="M24" i="3"/>
  <c r="U24" i="3"/>
  <c r="T24" i="3" s="1"/>
  <c r="V24" i="3"/>
  <c r="X24" i="3"/>
  <c r="M18" i="3"/>
  <c r="R18" i="3"/>
  <c r="U18" i="3"/>
  <c r="V18" i="3"/>
  <c r="X18" i="3"/>
  <c r="M15" i="3"/>
  <c r="R15" i="3"/>
  <c r="S15" i="3"/>
  <c r="U15" i="3"/>
  <c r="AC15" i="3" s="1"/>
  <c r="V15" i="3"/>
  <c r="X15" i="3"/>
  <c r="M19" i="3"/>
  <c r="U19" i="3"/>
  <c r="V19" i="3"/>
  <c r="X19" i="3"/>
  <c r="M10" i="3"/>
  <c r="S10" i="3"/>
  <c r="U10" i="3"/>
  <c r="AC10" i="3" s="1"/>
  <c r="V10" i="3"/>
  <c r="X10" i="3"/>
  <c r="M26" i="3"/>
  <c r="U26" i="3"/>
  <c r="V26" i="3"/>
  <c r="X26" i="3"/>
  <c r="M27" i="3"/>
  <c r="U27" i="3"/>
  <c r="AC27" i="3" s="1"/>
  <c r="V27" i="3"/>
  <c r="X27" i="3"/>
  <c r="M17" i="3"/>
  <c r="S17" i="3"/>
  <c r="U17" i="3"/>
  <c r="T17" i="3" s="1"/>
  <c r="V17" i="3"/>
  <c r="X17" i="3"/>
  <c r="M16" i="3"/>
  <c r="R16" i="3"/>
  <c r="U16" i="3"/>
  <c r="V16" i="3"/>
  <c r="X16" i="3"/>
  <c r="M29" i="3"/>
  <c r="U29" i="3"/>
  <c r="AC29" i="3" s="1"/>
  <c r="V29" i="3"/>
  <c r="X29" i="3"/>
  <c r="M9" i="3"/>
  <c r="R9" i="3"/>
  <c r="S9" i="3"/>
  <c r="U9" i="3"/>
  <c r="AC9" i="3" s="1"/>
  <c r="V9" i="3"/>
  <c r="X9" i="3"/>
  <c r="M28" i="3"/>
  <c r="U28" i="3"/>
  <c r="T28" i="3" s="1"/>
  <c r="V28" i="3"/>
  <c r="X28" i="3"/>
  <c r="M21" i="3"/>
  <c r="U21" i="3"/>
  <c r="AC21" i="3" s="1"/>
  <c r="V21" i="3"/>
  <c r="X21" i="3"/>
  <c r="M7" i="3"/>
  <c r="U7" i="3"/>
  <c r="T7" i="3" s="1"/>
  <c r="V7" i="3"/>
  <c r="X7" i="3"/>
  <c r="M14" i="3"/>
  <c r="S14" i="3"/>
  <c r="U14" i="3"/>
  <c r="V14" i="3"/>
  <c r="X14" i="3"/>
  <c r="M12" i="3"/>
  <c r="U12" i="3"/>
  <c r="AC12" i="3" s="1"/>
  <c r="V12" i="3"/>
  <c r="X12" i="3"/>
  <c r="M20" i="3"/>
  <c r="U20" i="3"/>
  <c r="V20" i="3"/>
  <c r="X20" i="3"/>
  <c r="M13" i="3"/>
  <c r="U13" i="3"/>
  <c r="AC13" i="3" s="1"/>
  <c r="V13" i="3"/>
  <c r="X13" i="3"/>
  <c r="M25" i="3"/>
  <c r="U25" i="3"/>
  <c r="AC25" i="3" s="1"/>
  <c r="V25" i="3"/>
  <c r="X25" i="3"/>
  <c r="M22" i="3"/>
  <c r="R22" i="3"/>
  <c r="U22" i="3"/>
  <c r="T22" i="3" s="1"/>
  <c r="V22" i="3"/>
  <c r="X22" i="3"/>
  <c r="M11" i="3"/>
  <c r="U11" i="3"/>
  <c r="V11" i="3"/>
  <c r="X11" i="3"/>
  <c r="M8" i="3"/>
  <c r="U8" i="3"/>
  <c r="AC8" i="3" s="1"/>
  <c r="V8" i="3"/>
  <c r="X8" i="3"/>
  <c r="AG205" i="1"/>
  <c r="AG201" i="1"/>
  <c r="AG157" i="1"/>
  <c r="AG156" i="1"/>
  <c r="AG140" i="1"/>
  <c r="AG118" i="1"/>
  <c r="AG79" i="1"/>
  <c r="AG18" i="1"/>
  <c r="AG26" i="1"/>
  <c r="AG34" i="1"/>
  <c r="AG19" i="1"/>
  <c r="AG27" i="1"/>
  <c r="AG36" i="1"/>
  <c r="AG40" i="1"/>
  <c r="AG44" i="1"/>
  <c r="AG48" i="1"/>
  <c r="AG54" i="1"/>
  <c r="AG61" i="1"/>
  <c r="AG66" i="1"/>
  <c r="AG56" i="1"/>
  <c r="AG67" i="1"/>
  <c r="AG83" i="1"/>
  <c r="AG99" i="1"/>
  <c r="AG115" i="1"/>
  <c r="AG134" i="1"/>
  <c r="AG142" i="1"/>
  <c r="AG146" i="1"/>
  <c r="AG150" i="1"/>
  <c r="AG154" i="1"/>
  <c r="AG210" i="1"/>
  <c r="AG214" i="1"/>
  <c r="AG218" i="1"/>
  <c r="AG228" i="1"/>
  <c r="AG232" i="1"/>
  <c r="AG236" i="1"/>
  <c r="AG240" i="1"/>
  <c r="AG244" i="1"/>
  <c r="AG248" i="1"/>
  <c r="AG252" i="1"/>
  <c r="AG74" i="1"/>
  <c r="AG90" i="1"/>
  <c r="AG106" i="1"/>
  <c r="AG123" i="1"/>
  <c r="AG137" i="1"/>
  <c r="AG81" i="1"/>
  <c r="AG97" i="1"/>
  <c r="AG113" i="1"/>
  <c r="AG128" i="1"/>
  <c r="AG72" i="1"/>
  <c r="AG88" i="1"/>
  <c r="AG104" i="1"/>
  <c r="AG121" i="1"/>
  <c r="AG160" i="1"/>
  <c r="AG164" i="1"/>
  <c r="AG168" i="1"/>
  <c r="AG172" i="1"/>
  <c r="AG176" i="1"/>
  <c r="AG180" i="1"/>
  <c r="AG184" i="1"/>
  <c r="AG188" i="1"/>
  <c r="AG192" i="1"/>
  <c r="AG196" i="1"/>
  <c r="AG200" i="1"/>
  <c r="AG206" i="1"/>
  <c r="AG224" i="1"/>
  <c r="AG20" i="1"/>
  <c r="AG28" i="1"/>
  <c r="AG35" i="1"/>
  <c r="AG21" i="1"/>
  <c r="AG29" i="1"/>
  <c r="AG38" i="1"/>
  <c r="AG41" i="1"/>
  <c r="AG45" i="1"/>
  <c r="AG49" i="1"/>
  <c r="AG51" i="1"/>
  <c r="AG58" i="1"/>
  <c r="AG87" i="1"/>
  <c r="AG120" i="1"/>
  <c r="AG143" i="1"/>
  <c r="AG151" i="1"/>
  <c r="AG211" i="1"/>
  <c r="AG219" i="1"/>
  <c r="AG233" i="1"/>
  <c r="AG241" i="1"/>
  <c r="AG249" i="1"/>
  <c r="AG78" i="1"/>
  <c r="AG110" i="1"/>
  <c r="AG69" i="1"/>
  <c r="AG101" i="1"/>
  <c r="AG132" i="1"/>
  <c r="AG92" i="1"/>
  <c r="AG108" i="1"/>
  <c r="AG161" i="1"/>
  <c r="AG169" i="1"/>
  <c r="AG177" i="1"/>
  <c r="AG185" i="1"/>
  <c r="AG193" i="1"/>
  <c r="AG202" i="1"/>
  <c r="AG225" i="1"/>
  <c r="AG53" i="1"/>
  <c r="AG107" i="1"/>
  <c r="AG139" i="1"/>
  <c r="AG152" i="1"/>
  <c r="AG212" i="1"/>
  <c r="AG220" i="1"/>
  <c r="AG238" i="1"/>
  <c r="AG246" i="1"/>
  <c r="AG82" i="1"/>
  <c r="AG114" i="1"/>
  <c r="AG89" i="1"/>
  <c r="AG122" i="1"/>
  <c r="AG112" i="1"/>
  <c r="AG131" i="1"/>
  <c r="AG170" i="1"/>
  <c r="AG178" i="1"/>
  <c r="AG186" i="1"/>
  <c r="AG198" i="1"/>
  <c r="AG222" i="1"/>
  <c r="AG111" i="1"/>
  <c r="AG145" i="1"/>
  <c r="AG153" i="1"/>
  <c r="AG63" i="1"/>
  <c r="AG71" i="1"/>
  <c r="AG103" i="1"/>
  <c r="AG138" i="1"/>
  <c r="AG147" i="1"/>
  <c r="AG155" i="1"/>
  <c r="AG215" i="1"/>
  <c r="AG229" i="1"/>
  <c r="AG237" i="1"/>
  <c r="AG245" i="1"/>
  <c r="AG158" i="1"/>
  <c r="AG94" i="1"/>
  <c r="AG125" i="1"/>
  <c r="AG85" i="1"/>
  <c r="AG117" i="1"/>
  <c r="AG76" i="1"/>
  <c r="AG127" i="1"/>
  <c r="AG165" i="1"/>
  <c r="AG173" i="1"/>
  <c r="AG181" i="1"/>
  <c r="AG189" i="1"/>
  <c r="AG197" i="1"/>
  <c r="AG207" i="1"/>
  <c r="AG31" i="1"/>
  <c r="AG46" i="1"/>
  <c r="AG57" i="1"/>
  <c r="AG60" i="1"/>
  <c r="AG75" i="1"/>
  <c r="AG126" i="1"/>
  <c r="AG144" i="1"/>
  <c r="AG208" i="1"/>
  <c r="AG216" i="1"/>
  <c r="AG234" i="1"/>
  <c r="AG242" i="1"/>
  <c r="AG250" i="1"/>
  <c r="AG98" i="1"/>
  <c r="AG129" i="1"/>
  <c r="AG105" i="1"/>
  <c r="AG136" i="1"/>
  <c r="AG96" i="1"/>
  <c r="AG162" i="1"/>
  <c r="AG174" i="1"/>
  <c r="AG182" i="1"/>
  <c r="AG194" i="1"/>
  <c r="AG203" i="1"/>
  <c r="AG226" i="1"/>
  <c r="AG16" i="1"/>
  <c r="AG24" i="1"/>
  <c r="AG32" i="1"/>
  <c r="AG17" i="1"/>
  <c r="AG25" i="1"/>
  <c r="AG33" i="1"/>
  <c r="AG39" i="1"/>
  <c r="AG43" i="1"/>
  <c r="AG47" i="1"/>
  <c r="AG52" i="1"/>
  <c r="AG59" i="1"/>
  <c r="AG65" i="1"/>
  <c r="AG55" i="1"/>
  <c r="AG62" i="1"/>
  <c r="AG95" i="1"/>
  <c r="AG130" i="1"/>
  <c r="AG141" i="1"/>
  <c r="AG149" i="1"/>
  <c r="AG209" i="1"/>
  <c r="AG14" i="1"/>
  <c r="AG22" i="1"/>
  <c r="AG30" i="1"/>
  <c r="AG15" i="1"/>
  <c r="AG23" i="1"/>
  <c r="AG37" i="1"/>
  <c r="AG42" i="1"/>
  <c r="AG50" i="1"/>
  <c r="AG64" i="1"/>
  <c r="AG91" i="1"/>
  <c r="AG148" i="1"/>
  <c r="AG230" i="1"/>
  <c r="AG159" i="1"/>
  <c r="AG73" i="1"/>
  <c r="AG80" i="1"/>
  <c r="AG166" i="1"/>
  <c r="AG190" i="1"/>
  <c r="AG213" i="1"/>
  <c r="AG235" i="1"/>
  <c r="AG251" i="1"/>
  <c r="AG119" i="1"/>
  <c r="AG109" i="1"/>
  <c r="AG100" i="1"/>
  <c r="AG167" i="1"/>
  <c r="AG183" i="1"/>
  <c r="AG199" i="1"/>
  <c r="AG217" i="1"/>
  <c r="AG239" i="1"/>
  <c r="AG70" i="1"/>
  <c r="AG133" i="1"/>
  <c r="AG124" i="1"/>
  <c r="AG116" i="1"/>
  <c r="AG171" i="1"/>
  <c r="AG187" i="1"/>
  <c r="AG204" i="1"/>
  <c r="AG93" i="1"/>
  <c r="AG163" i="1"/>
  <c r="AG179" i="1"/>
  <c r="AG247" i="1"/>
  <c r="AG227" i="1"/>
  <c r="AG221" i="1"/>
  <c r="AG243" i="1"/>
  <c r="AG86" i="1"/>
  <c r="AG77" i="1"/>
  <c r="AG68" i="1"/>
  <c r="AG135" i="1"/>
  <c r="AG175" i="1"/>
  <c r="AG191" i="1"/>
  <c r="AG223" i="1"/>
  <c r="AG231" i="1"/>
  <c r="AG84" i="1"/>
  <c r="AG195" i="1"/>
  <c r="AG102" i="1"/>
  <c r="W18" i="3"/>
  <c r="W29" i="3"/>
  <c r="W8" i="3"/>
  <c r="W19" i="3"/>
  <c r="W14" i="3"/>
  <c r="W15" i="3"/>
  <c r="W21" i="3"/>
  <c r="W17" i="3"/>
  <c r="W22" i="3"/>
  <c r="W12" i="3"/>
  <c r="W26" i="3"/>
  <c r="W20" i="3"/>
  <c r="W10" i="3"/>
  <c r="W24" i="3"/>
  <c r="W28" i="3"/>
  <c r="W27" i="3"/>
  <c r="W25" i="3"/>
  <c r="W16" i="3"/>
  <c r="W11" i="3"/>
  <c r="W13" i="3"/>
  <c r="W7" i="3"/>
  <c r="W9" i="3"/>
  <c r="AI205" i="1" l="1"/>
  <c r="U205" i="1"/>
  <c r="S205" i="1" s="1"/>
  <c r="W205" i="1"/>
  <c r="AE15" i="3"/>
  <c r="T201" i="1"/>
  <c r="AI201" i="1"/>
  <c r="U201" i="1"/>
  <c r="S201" i="1" s="1"/>
  <c r="W201" i="1"/>
  <c r="R10" i="3"/>
  <c r="U157" i="1"/>
  <c r="S157" i="1" s="1"/>
  <c r="AI157" i="1"/>
  <c r="W157" i="1"/>
  <c r="U156" i="1"/>
  <c r="S156" i="1" s="1"/>
  <c r="AI156" i="1"/>
  <c r="W156" i="1"/>
  <c r="X156" i="1"/>
  <c r="S22" i="3"/>
  <c r="R28" i="3"/>
  <c r="U140" i="1"/>
  <c r="S140" i="1" s="1"/>
  <c r="AI140" i="1"/>
  <c r="W140" i="1"/>
  <c r="X140" i="1"/>
  <c r="X118" i="1"/>
  <c r="AI118" i="1"/>
  <c r="U118" i="1"/>
  <c r="S118" i="1" s="1"/>
  <c r="W118" i="1"/>
  <c r="AA185" i="1"/>
  <c r="AA181" i="1"/>
  <c r="AA177" i="1"/>
  <c r="W177" i="1" s="1"/>
  <c r="AA171" i="1"/>
  <c r="AA163" i="1"/>
  <c r="AA248" i="1"/>
  <c r="AA244" i="1"/>
  <c r="W244" i="1" s="1"/>
  <c r="AA208" i="1"/>
  <c r="AA152" i="1"/>
  <c r="S28" i="3"/>
  <c r="AC24" i="3"/>
  <c r="X173" i="1"/>
  <c r="X172" i="1"/>
  <c r="X168" i="1"/>
  <c r="T252" i="1"/>
  <c r="U252" i="1" s="1"/>
  <c r="S252" i="1" s="1"/>
  <c r="AA241" i="1"/>
  <c r="AA237" i="1"/>
  <c r="X138" i="1"/>
  <c r="X132" i="1"/>
  <c r="AA132" i="1"/>
  <c r="T129" i="1"/>
  <c r="X82" i="1"/>
  <c r="X80" i="1"/>
  <c r="X76" i="1"/>
  <c r="AD24" i="3"/>
  <c r="AA188" i="1"/>
  <c r="AA184" i="1"/>
  <c r="W184" i="1" s="1"/>
  <c r="AA175" i="1"/>
  <c r="X174" i="1"/>
  <c r="T161" i="1"/>
  <c r="AA158" i="1"/>
  <c r="W158" i="1" s="1"/>
  <c r="X250" i="1"/>
  <c r="AA247" i="1"/>
  <c r="AA228" i="1"/>
  <c r="AA211" i="1"/>
  <c r="W211" i="1" s="1"/>
  <c r="AA141" i="1"/>
  <c r="T137" i="1"/>
  <c r="X133" i="1"/>
  <c r="AA133" i="1"/>
  <c r="W133" i="1" s="1"/>
  <c r="X83" i="1"/>
  <c r="T75" i="1"/>
  <c r="X43" i="1"/>
  <c r="AA19" i="1"/>
  <c r="W19" i="1" s="1"/>
  <c r="AA189" i="1"/>
  <c r="AA166" i="1"/>
  <c r="X165" i="1"/>
  <c r="X164" i="1"/>
  <c r="X162" i="1"/>
  <c r="AA160" i="1"/>
  <c r="T160" i="1"/>
  <c r="AA245" i="1"/>
  <c r="AA235" i="1"/>
  <c r="AA232" i="1"/>
  <c r="AA229" i="1"/>
  <c r="AA213" i="1"/>
  <c r="W213" i="1" s="1"/>
  <c r="AA210" i="1"/>
  <c r="AA155" i="1"/>
  <c r="AA146" i="1"/>
  <c r="AA144" i="1"/>
  <c r="T136" i="1"/>
  <c r="AA130" i="1"/>
  <c r="AA127" i="1"/>
  <c r="X81" i="1"/>
  <c r="X74" i="1"/>
  <c r="X73" i="1"/>
  <c r="X70" i="1"/>
  <c r="X69" i="1"/>
  <c r="X42" i="1"/>
  <c r="AA176" i="1"/>
  <c r="AA172" i="1"/>
  <c r="AA167" i="1"/>
  <c r="W167" i="1" s="1"/>
  <c r="T250" i="1"/>
  <c r="X248" i="1"/>
  <c r="AA239" i="1"/>
  <c r="AA236" i="1"/>
  <c r="W236" i="1" s="1"/>
  <c r="AA217" i="1"/>
  <c r="AA214" i="1"/>
  <c r="AA147" i="1"/>
  <c r="AA138" i="1"/>
  <c r="W138" i="1" s="1"/>
  <c r="AA135" i="1"/>
  <c r="AA62" i="1"/>
  <c r="AA199" i="1"/>
  <c r="AA198" i="1"/>
  <c r="W198" i="1" s="1"/>
  <c r="AA197" i="1"/>
  <c r="AA196" i="1"/>
  <c r="AA195" i="1"/>
  <c r="AA194" i="1"/>
  <c r="W194" i="1" s="1"/>
  <c r="AA193" i="1"/>
  <c r="AA192" i="1"/>
  <c r="AA191" i="1"/>
  <c r="AA187" i="1"/>
  <c r="X171" i="1"/>
  <c r="AA169" i="1"/>
  <c r="AA168" i="1"/>
  <c r="AA164" i="1"/>
  <c r="W164" i="1" s="1"/>
  <c r="T158" i="1"/>
  <c r="AA243" i="1"/>
  <c r="AA240" i="1"/>
  <c r="AA221" i="1"/>
  <c r="W221" i="1" s="1"/>
  <c r="AA218" i="1"/>
  <c r="AA153" i="1"/>
  <c r="AA151" i="1"/>
  <c r="AA150" i="1"/>
  <c r="W150" i="1" s="1"/>
  <c r="AA149" i="1"/>
  <c r="AA148" i="1"/>
  <c r="AA142" i="1"/>
  <c r="AA139" i="1"/>
  <c r="W139" i="1" s="1"/>
  <c r="X131" i="1"/>
  <c r="X126" i="1"/>
  <c r="X65" i="1"/>
  <c r="AA55" i="1"/>
  <c r="W55" i="1" s="1"/>
  <c r="AA15" i="1"/>
  <c r="T176" i="1"/>
  <c r="T168" i="1"/>
  <c r="AA180" i="1"/>
  <c r="W180" i="1" s="1"/>
  <c r="AA179" i="1"/>
  <c r="AA178" i="1"/>
  <c r="T174" i="1"/>
  <c r="X170" i="1"/>
  <c r="X163" i="1"/>
  <c r="AA162" i="1"/>
  <c r="X177" i="1"/>
  <c r="X169" i="1"/>
  <c r="X175" i="1"/>
  <c r="T173" i="1"/>
  <c r="T163" i="1"/>
  <c r="AA252" i="1"/>
  <c r="X249" i="1"/>
  <c r="T249" i="1"/>
  <c r="AA161" i="1"/>
  <c r="X251" i="1"/>
  <c r="AA136" i="1"/>
  <c r="T133" i="1"/>
  <c r="AA128" i="1"/>
  <c r="T125" i="1"/>
  <c r="U125" i="1" s="1"/>
  <c r="S125" i="1" s="1"/>
  <c r="AA122" i="1"/>
  <c r="T121" i="1"/>
  <c r="AA117" i="1"/>
  <c r="T116" i="1"/>
  <c r="U116" i="1" s="1"/>
  <c r="S116" i="1" s="1"/>
  <c r="AA113" i="1"/>
  <c r="T112" i="1"/>
  <c r="AA109" i="1"/>
  <c r="T108" i="1"/>
  <c r="U108" i="1" s="1"/>
  <c r="S108" i="1" s="1"/>
  <c r="AA105" i="1"/>
  <c r="T104" i="1"/>
  <c r="AA101" i="1"/>
  <c r="T100" i="1"/>
  <c r="U100" i="1" s="1"/>
  <c r="S100" i="1" s="1"/>
  <c r="AA97" i="1"/>
  <c r="T96" i="1"/>
  <c r="AA93" i="1"/>
  <c r="T92" i="1"/>
  <c r="AA89" i="1"/>
  <c r="T88" i="1"/>
  <c r="AA85" i="1"/>
  <c r="T83" i="1"/>
  <c r="U83" i="1" s="1"/>
  <c r="S83" i="1" s="1"/>
  <c r="T79" i="1"/>
  <c r="X77" i="1"/>
  <c r="T76" i="1"/>
  <c r="T72" i="1"/>
  <c r="U72" i="1" s="1"/>
  <c r="S72" i="1" s="1"/>
  <c r="T68" i="1"/>
  <c r="X64" i="1"/>
  <c r="AA56" i="1"/>
  <c r="T138" i="1"/>
  <c r="U138" i="1" s="1"/>
  <c r="S138" i="1" s="1"/>
  <c r="T135" i="1"/>
  <c r="T132" i="1"/>
  <c r="T130" i="1"/>
  <c r="T127" i="1"/>
  <c r="U127" i="1" s="1"/>
  <c r="S127" i="1" s="1"/>
  <c r="AA21" i="1"/>
  <c r="AA124" i="1"/>
  <c r="AA120" i="1"/>
  <c r="AA115" i="1"/>
  <c r="W115" i="1" s="1"/>
  <c r="AA111" i="1"/>
  <c r="AA107" i="1"/>
  <c r="AA103" i="1"/>
  <c r="AA99" i="1"/>
  <c r="W99" i="1" s="1"/>
  <c r="AA95" i="1"/>
  <c r="AA91" i="1"/>
  <c r="AA87" i="1"/>
  <c r="AA60" i="1"/>
  <c r="W60" i="1" s="1"/>
  <c r="AA53" i="1"/>
  <c r="X51" i="1"/>
  <c r="AA137" i="1"/>
  <c r="AA129" i="1"/>
  <c r="W129" i="1" s="1"/>
  <c r="AA123" i="1"/>
  <c r="AA119" i="1"/>
  <c r="AA114" i="1"/>
  <c r="AA110" i="1"/>
  <c r="W110" i="1" s="1"/>
  <c r="AA106" i="1"/>
  <c r="AA102" i="1"/>
  <c r="AA98" i="1"/>
  <c r="AA94" i="1"/>
  <c r="W94" i="1" s="1"/>
  <c r="AA90" i="1"/>
  <c r="AA86" i="1"/>
  <c r="T80" i="1"/>
  <c r="AA36" i="1"/>
  <c r="W36" i="1" s="1"/>
  <c r="AA35" i="1"/>
  <c r="AA17" i="1"/>
  <c r="U227" i="1"/>
  <c r="S227" i="1" s="1"/>
  <c r="AI252" i="1"/>
  <c r="U226" i="1"/>
  <c r="S226" i="1" s="1"/>
  <c r="AI251" i="1"/>
  <c r="U225" i="1"/>
  <c r="S225" i="1" s="1"/>
  <c r="AI250" i="1"/>
  <c r="U224" i="1"/>
  <c r="S224" i="1" s="1"/>
  <c r="AI249" i="1"/>
  <c r="U223" i="1"/>
  <c r="S223" i="1" s="1"/>
  <c r="AI248" i="1"/>
  <c r="U222" i="1"/>
  <c r="S222" i="1" s="1"/>
  <c r="AI247" i="1"/>
  <c r="U207" i="1"/>
  <c r="S207" i="1" s="1"/>
  <c r="AI246" i="1"/>
  <c r="U206" i="1"/>
  <c r="S206" i="1" s="1"/>
  <c r="AI245" i="1"/>
  <c r="U204" i="1"/>
  <c r="S204" i="1"/>
  <c r="AI244" i="1"/>
  <c r="U203" i="1"/>
  <c r="S203" i="1" s="1"/>
  <c r="AI243" i="1"/>
  <c r="U202" i="1"/>
  <c r="S202" i="1" s="1"/>
  <c r="AI242" i="1"/>
  <c r="U200" i="1"/>
  <c r="S200" i="1" s="1"/>
  <c r="AI241" i="1"/>
  <c r="U199" i="1"/>
  <c r="S199" i="1" s="1"/>
  <c r="AI240" i="1"/>
  <c r="U198" i="1"/>
  <c r="S198" i="1" s="1"/>
  <c r="AI239" i="1"/>
  <c r="U197" i="1"/>
  <c r="S197" i="1" s="1"/>
  <c r="AI238" i="1"/>
  <c r="U196" i="1"/>
  <c r="S196" i="1" s="1"/>
  <c r="AI237" i="1"/>
  <c r="U195" i="1"/>
  <c r="S195" i="1" s="1"/>
  <c r="AI236" i="1"/>
  <c r="U194" i="1"/>
  <c r="S194" i="1" s="1"/>
  <c r="AI235" i="1"/>
  <c r="U193" i="1"/>
  <c r="S193" i="1" s="1"/>
  <c r="AI234" i="1"/>
  <c r="U192" i="1"/>
  <c r="S192" i="1" s="1"/>
  <c r="AI233" i="1"/>
  <c r="U191" i="1"/>
  <c r="S191" i="1" s="1"/>
  <c r="AI232" i="1"/>
  <c r="U190" i="1"/>
  <c r="S190" i="1" s="1"/>
  <c r="AI231" i="1"/>
  <c r="U189" i="1"/>
  <c r="S189" i="1" s="1"/>
  <c r="AI230" i="1"/>
  <c r="U188" i="1"/>
  <c r="AI229" i="1"/>
  <c r="U187" i="1"/>
  <c r="S187" i="1" s="1"/>
  <c r="AI228" i="1"/>
  <c r="U186" i="1"/>
  <c r="S186" i="1" s="1"/>
  <c r="AI227" i="1"/>
  <c r="U185" i="1"/>
  <c r="S185" i="1" s="1"/>
  <c r="AI226" i="1"/>
  <c r="U184" i="1"/>
  <c r="S184" i="1" s="1"/>
  <c r="AI225" i="1"/>
  <c r="U183" i="1"/>
  <c r="S183" i="1" s="1"/>
  <c r="AI224" i="1"/>
  <c r="U182" i="1"/>
  <c r="S182" i="1" s="1"/>
  <c r="AI223" i="1"/>
  <c r="U181" i="1"/>
  <c r="S181" i="1" s="1"/>
  <c r="AI222" i="1"/>
  <c r="U180" i="1"/>
  <c r="S180" i="1" s="1"/>
  <c r="AI221" i="1"/>
  <c r="U179" i="1"/>
  <c r="S179" i="1" s="1"/>
  <c r="AI220" i="1"/>
  <c r="U178" i="1"/>
  <c r="S178" i="1" s="1"/>
  <c r="AI219" i="1"/>
  <c r="U177" i="1"/>
  <c r="S177" i="1" s="1"/>
  <c r="AI218" i="1"/>
  <c r="U176" i="1"/>
  <c r="S176" i="1" s="1"/>
  <c r="AI217" i="1"/>
  <c r="U175" i="1"/>
  <c r="S175" i="1" s="1"/>
  <c r="AI216" i="1"/>
  <c r="U174" i="1"/>
  <c r="S174" i="1" s="1"/>
  <c r="AI215" i="1"/>
  <c r="U173" i="1"/>
  <c r="S173" i="1" s="1"/>
  <c r="AI214" i="1"/>
  <c r="U172" i="1"/>
  <c r="S172" i="1" s="1"/>
  <c r="AI213" i="1"/>
  <c r="U171" i="1"/>
  <c r="S171" i="1" s="1"/>
  <c r="AI212" i="1"/>
  <c r="U170" i="1"/>
  <c r="S170" i="1" s="1"/>
  <c r="AI211" i="1"/>
  <c r="U169" i="1"/>
  <c r="S169" i="1" s="1"/>
  <c r="AI210" i="1"/>
  <c r="U168" i="1"/>
  <c r="S168" i="1" s="1"/>
  <c r="AI209" i="1"/>
  <c r="AI208" i="1"/>
  <c r="AI207" i="1"/>
  <c r="U166" i="1"/>
  <c r="S166" i="1" s="1"/>
  <c r="AI206" i="1"/>
  <c r="AI204" i="1"/>
  <c r="U164" i="1"/>
  <c r="S164" i="1" s="1"/>
  <c r="AI203" i="1"/>
  <c r="U163" i="1"/>
  <c r="S163" i="1" s="1"/>
  <c r="AI202" i="1"/>
  <c r="U162" i="1"/>
  <c r="S162" i="1" s="1"/>
  <c r="AI200" i="1"/>
  <c r="U161" i="1"/>
  <c r="S161" i="1" s="1"/>
  <c r="AI199" i="1"/>
  <c r="U160" i="1"/>
  <c r="S160" i="1" s="1"/>
  <c r="AI135" i="1"/>
  <c r="U135" i="1"/>
  <c r="S135" i="1" s="1"/>
  <c r="AI131" i="1"/>
  <c r="U131" i="1"/>
  <c r="S131" i="1" s="1"/>
  <c r="AI127" i="1"/>
  <c r="AI121" i="1"/>
  <c r="U121" i="1"/>
  <c r="S121" i="1" s="1"/>
  <c r="AI116" i="1"/>
  <c r="AI112" i="1"/>
  <c r="U112" i="1"/>
  <c r="S112" i="1" s="1"/>
  <c r="AI108" i="1"/>
  <c r="AI104" i="1"/>
  <c r="U104" i="1"/>
  <c r="AI100" i="1"/>
  <c r="AI96" i="1"/>
  <c r="U96" i="1"/>
  <c r="S96" i="1" s="1"/>
  <c r="AI92" i="1"/>
  <c r="U92" i="1"/>
  <c r="S92" i="1" s="1"/>
  <c r="AI88" i="1"/>
  <c r="U88" i="1"/>
  <c r="S88" i="1" s="1"/>
  <c r="AI84" i="1"/>
  <c r="U84" i="1"/>
  <c r="S84" i="1" s="1"/>
  <c r="AI80" i="1"/>
  <c r="U80" i="1"/>
  <c r="S80" i="1" s="1"/>
  <c r="AI76" i="1"/>
  <c r="U76" i="1"/>
  <c r="S76" i="1" s="1"/>
  <c r="AI72" i="1"/>
  <c r="AI68" i="1"/>
  <c r="U68" i="1"/>
  <c r="S68" i="1" s="1"/>
  <c r="AI136" i="1"/>
  <c r="U136" i="1"/>
  <c r="S136" i="1" s="1"/>
  <c r="AI132" i="1"/>
  <c r="U132" i="1"/>
  <c r="S132" i="1" s="1"/>
  <c r="AI128" i="1"/>
  <c r="U128" i="1"/>
  <c r="S128" i="1" s="1"/>
  <c r="AI124" i="1"/>
  <c r="U124" i="1"/>
  <c r="S124" i="1" s="1"/>
  <c r="AI122" i="1"/>
  <c r="U122" i="1"/>
  <c r="S122" i="1" s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U137" i="1"/>
  <c r="S137" i="1" s="1"/>
  <c r="AI137" i="1"/>
  <c r="U133" i="1"/>
  <c r="S133" i="1" s="1"/>
  <c r="AI133" i="1"/>
  <c r="U129" i="1"/>
  <c r="S129" i="1" s="1"/>
  <c r="AI129" i="1"/>
  <c r="AI125" i="1"/>
  <c r="AI123" i="1"/>
  <c r="U123" i="1"/>
  <c r="S123" i="1" s="1"/>
  <c r="AI119" i="1"/>
  <c r="U119" i="1"/>
  <c r="S119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AI90" i="1"/>
  <c r="U90" i="1"/>
  <c r="S90" i="1" s="1"/>
  <c r="AI86" i="1"/>
  <c r="U86" i="1"/>
  <c r="S86" i="1" s="1"/>
  <c r="AI82" i="1"/>
  <c r="AI78" i="1"/>
  <c r="AI74" i="1"/>
  <c r="AI70" i="1"/>
  <c r="U159" i="1"/>
  <c r="S159" i="1" s="1"/>
  <c r="AI198" i="1"/>
  <c r="U158" i="1"/>
  <c r="S158" i="1" s="1"/>
  <c r="AI197" i="1"/>
  <c r="AI196" i="1"/>
  <c r="U251" i="1"/>
  <c r="S251" i="1" s="1"/>
  <c r="AI195" i="1"/>
  <c r="W251" i="1"/>
  <c r="U250" i="1"/>
  <c r="S250" i="1" s="1"/>
  <c r="AI194" i="1"/>
  <c r="U249" i="1"/>
  <c r="S249" i="1" s="1"/>
  <c r="AI193" i="1"/>
  <c r="W249" i="1"/>
  <c r="U248" i="1"/>
  <c r="S248" i="1" s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5" i="1"/>
  <c r="AI154" i="1"/>
  <c r="AI153" i="1"/>
  <c r="AI152" i="1"/>
  <c r="AI151" i="1"/>
  <c r="AI150" i="1"/>
  <c r="U149" i="1"/>
  <c r="S149" i="1" s="1"/>
  <c r="AI149" i="1"/>
  <c r="U148" i="1"/>
  <c r="S148" i="1" s="1"/>
  <c r="AI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U139" i="1"/>
  <c r="S139" i="1" s="1"/>
  <c r="AI139" i="1"/>
  <c r="AI138" i="1"/>
  <c r="U134" i="1"/>
  <c r="S134" i="1" s="1"/>
  <c r="AI134" i="1"/>
  <c r="U130" i="1"/>
  <c r="S130" i="1" s="1"/>
  <c r="AI130" i="1"/>
  <c r="U126" i="1"/>
  <c r="S126" i="1" s="1"/>
  <c r="AI126" i="1"/>
  <c r="AI120" i="1"/>
  <c r="U120" i="1"/>
  <c r="S120" i="1" s="1"/>
  <c r="AI115" i="1"/>
  <c r="U115" i="1"/>
  <c r="S115" i="1" s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91" i="1"/>
  <c r="U91" i="1"/>
  <c r="S91" i="1" s="1"/>
  <c r="AI87" i="1"/>
  <c r="U87" i="1"/>
  <c r="S87" i="1" s="1"/>
  <c r="AI83" i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2" i="1"/>
  <c r="AI60" i="1"/>
  <c r="AI58" i="1"/>
  <c r="AI56" i="1"/>
  <c r="AI55" i="1"/>
  <c r="AI53" i="1"/>
  <c r="U51" i="1"/>
  <c r="S51" i="1" s="1"/>
  <c r="AI51" i="1"/>
  <c r="AI66" i="1"/>
  <c r="AI65" i="1"/>
  <c r="AI64" i="1"/>
  <c r="U64" i="1"/>
  <c r="S64" i="1" s="1"/>
  <c r="AI63" i="1"/>
  <c r="AI61" i="1"/>
  <c r="AI59" i="1"/>
  <c r="AI57" i="1"/>
  <c r="AI54" i="1"/>
  <c r="AI52" i="1"/>
  <c r="AI50" i="1"/>
  <c r="AI49" i="1"/>
  <c r="AI48" i="1"/>
  <c r="AI47" i="1"/>
  <c r="AI46" i="1"/>
  <c r="AI45" i="1"/>
  <c r="AI44" i="1"/>
  <c r="U44" i="1"/>
  <c r="S44" i="1" s="1"/>
  <c r="AI43" i="1"/>
  <c r="AI42" i="1"/>
  <c r="AI41" i="1"/>
  <c r="AI40" i="1"/>
  <c r="AI39" i="1"/>
  <c r="AI37" i="1"/>
  <c r="AI38" i="1"/>
  <c r="AI36" i="1"/>
  <c r="AI33" i="1"/>
  <c r="AI31" i="1"/>
  <c r="AI29" i="1"/>
  <c r="AI27" i="1"/>
  <c r="AI25" i="1"/>
  <c r="AI23" i="1"/>
  <c r="AI21" i="1"/>
  <c r="AI19" i="1"/>
  <c r="AI17" i="1"/>
  <c r="AI15" i="1"/>
  <c r="AI35" i="1"/>
  <c r="AI34" i="1"/>
  <c r="AI32" i="1"/>
  <c r="AI30" i="1"/>
  <c r="AI28" i="1"/>
  <c r="AI26" i="1"/>
  <c r="AI24" i="1"/>
  <c r="AI22" i="1"/>
  <c r="AI20" i="1"/>
  <c r="AI18" i="1"/>
  <c r="AI16" i="1"/>
  <c r="AI14" i="1"/>
  <c r="W176" i="1"/>
  <c r="W173" i="1"/>
  <c r="W168" i="1"/>
  <c r="W252" i="1"/>
  <c r="W174" i="1"/>
  <c r="W171" i="1"/>
  <c r="W250" i="1"/>
  <c r="W227" i="1"/>
  <c r="W226" i="1"/>
  <c r="W225" i="1"/>
  <c r="W224" i="1"/>
  <c r="W223" i="1"/>
  <c r="W222" i="1"/>
  <c r="W207" i="1"/>
  <c r="W206" i="1"/>
  <c r="W204" i="1"/>
  <c r="W203" i="1"/>
  <c r="W202" i="1"/>
  <c r="W200" i="1"/>
  <c r="W199" i="1"/>
  <c r="W197" i="1"/>
  <c r="W196" i="1"/>
  <c r="W195" i="1"/>
  <c r="W193" i="1"/>
  <c r="W192" i="1"/>
  <c r="W191" i="1"/>
  <c r="W190" i="1"/>
  <c r="W189" i="1"/>
  <c r="W188" i="1"/>
  <c r="W187" i="1"/>
  <c r="W186" i="1"/>
  <c r="W185" i="1"/>
  <c r="W183" i="1"/>
  <c r="W182" i="1"/>
  <c r="W181" i="1"/>
  <c r="W179" i="1"/>
  <c r="W178" i="1"/>
  <c r="W172" i="1"/>
  <c r="W169" i="1"/>
  <c r="W248" i="1"/>
  <c r="W175" i="1"/>
  <c r="W170" i="1"/>
  <c r="W159" i="1"/>
  <c r="T167" i="1"/>
  <c r="U167" i="1" s="1"/>
  <c r="S167" i="1" s="1"/>
  <c r="X166" i="1"/>
  <c r="W165" i="1"/>
  <c r="T165" i="1"/>
  <c r="U165" i="1" s="1"/>
  <c r="S165" i="1" s="1"/>
  <c r="W163" i="1"/>
  <c r="W161" i="1"/>
  <c r="W240" i="1"/>
  <c r="W232" i="1"/>
  <c r="W228" i="1"/>
  <c r="W218" i="1"/>
  <c r="W214" i="1"/>
  <c r="W210" i="1"/>
  <c r="W154" i="1"/>
  <c r="W247" i="1"/>
  <c r="W243" i="1"/>
  <c r="W239" i="1"/>
  <c r="W235" i="1"/>
  <c r="W231" i="1"/>
  <c r="W217" i="1"/>
  <c r="W209" i="1"/>
  <c r="W153" i="1"/>
  <c r="W166" i="1"/>
  <c r="W162" i="1"/>
  <c r="W160" i="1"/>
  <c r="W246" i="1"/>
  <c r="W242" i="1"/>
  <c r="W238" i="1"/>
  <c r="W234" i="1"/>
  <c r="W230" i="1"/>
  <c r="W220" i="1"/>
  <c r="W216" i="1"/>
  <c r="W212" i="1"/>
  <c r="W208" i="1"/>
  <c r="W152" i="1"/>
  <c r="X227" i="1"/>
  <c r="X226" i="1"/>
  <c r="X225" i="1"/>
  <c r="X224" i="1"/>
  <c r="X223" i="1"/>
  <c r="X222" i="1"/>
  <c r="X204" i="1"/>
  <c r="X203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W245" i="1"/>
  <c r="W241" i="1"/>
  <c r="W237" i="1"/>
  <c r="W233" i="1"/>
  <c r="W229" i="1"/>
  <c r="W219" i="1"/>
  <c r="W215" i="1"/>
  <c r="W155" i="1"/>
  <c r="T247" i="1"/>
  <c r="U247" i="1" s="1"/>
  <c r="S247" i="1" s="1"/>
  <c r="X247" i="1"/>
  <c r="T246" i="1"/>
  <c r="U246" i="1" s="1"/>
  <c r="S246" i="1" s="1"/>
  <c r="X246" i="1"/>
  <c r="T245" i="1"/>
  <c r="U245" i="1" s="1"/>
  <c r="S245" i="1" s="1"/>
  <c r="X245" i="1"/>
  <c r="T244" i="1"/>
  <c r="U244" i="1" s="1"/>
  <c r="S244" i="1" s="1"/>
  <c r="X244" i="1"/>
  <c r="T243" i="1"/>
  <c r="U243" i="1" s="1"/>
  <c r="S243" i="1" s="1"/>
  <c r="X243" i="1"/>
  <c r="T242" i="1"/>
  <c r="U242" i="1" s="1"/>
  <c r="S242" i="1" s="1"/>
  <c r="X242" i="1"/>
  <c r="T241" i="1"/>
  <c r="U241" i="1" s="1"/>
  <c r="S241" i="1" s="1"/>
  <c r="X241" i="1"/>
  <c r="T240" i="1"/>
  <c r="U240" i="1" s="1"/>
  <c r="S240" i="1" s="1"/>
  <c r="X240" i="1"/>
  <c r="T239" i="1"/>
  <c r="U239" i="1" s="1"/>
  <c r="S239" i="1" s="1"/>
  <c r="X239" i="1"/>
  <c r="T238" i="1"/>
  <c r="U238" i="1" s="1"/>
  <c r="S238" i="1" s="1"/>
  <c r="X238" i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W147" i="1"/>
  <c r="W143" i="1"/>
  <c r="W136" i="1"/>
  <c r="W135" i="1"/>
  <c r="W130" i="1"/>
  <c r="W128" i="1"/>
  <c r="W127" i="1"/>
  <c r="W146" i="1"/>
  <c r="W142" i="1"/>
  <c r="W125" i="1"/>
  <c r="W145" i="1"/>
  <c r="W141" i="1"/>
  <c r="W134" i="1"/>
  <c r="W132" i="1"/>
  <c r="W131" i="1"/>
  <c r="W126" i="1"/>
  <c r="W124" i="1"/>
  <c r="W151" i="1"/>
  <c r="W149" i="1"/>
  <c r="W148" i="1"/>
  <c r="W144" i="1"/>
  <c r="W137" i="1"/>
  <c r="X149" i="1"/>
  <c r="X148" i="1"/>
  <c r="X147" i="1"/>
  <c r="X146" i="1"/>
  <c r="X145" i="1"/>
  <c r="X144" i="1"/>
  <c r="X143" i="1"/>
  <c r="X142" i="1"/>
  <c r="X139" i="1"/>
  <c r="W122" i="1"/>
  <c r="W117" i="1"/>
  <c r="W113" i="1"/>
  <c r="W109" i="1"/>
  <c r="W105" i="1"/>
  <c r="W101" i="1"/>
  <c r="W97" i="1"/>
  <c r="W93" i="1"/>
  <c r="W89" i="1"/>
  <c r="W85" i="1"/>
  <c r="X84" i="1"/>
  <c r="T82" i="1"/>
  <c r="U82" i="1" s="1"/>
  <c r="S82" i="1" s="1"/>
  <c r="T78" i="1"/>
  <c r="U78" i="1" s="1"/>
  <c r="S78" i="1" s="1"/>
  <c r="T74" i="1"/>
  <c r="U74" i="1" s="1"/>
  <c r="S74" i="1" s="1"/>
  <c r="T70" i="1"/>
  <c r="U70" i="1" s="1"/>
  <c r="S70" i="1" s="1"/>
  <c r="X66" i="1"/>
  <c r="X47" i="1"/>
  <c r="T47" i="1"/>
  <c r="U47" i="1" s="1"/>
  <c r="S47" i="1" s="1"/>
  <c r="W123" i="1"/>
  <c r="W119" i="1"/>
  <c r="W114" i="1"/>
  <c r="W106" i="1"/>
  <c r="W102" i="1"/>
  <c r="W98" i="1"/>
  <c r="W90" i="1"/>
  <c r="W86" i="1"/>
  <c r="X48" i="1"/>
  <c r="T48" i="1"/>
  <c r="U48" i="1" s="1"/>
  <c r="S48" i="1" s="1"/>
  <c r="W120" i="1"/>
  <c r="W111" i="1"/>
  <c r="W107" i="1"/>
  <c r="W103" i="1"/>
  <c r="W95" i="1"/>
  <c r="W91" i="1"/>
  <c r="W87" i="1"/>
  <c r="T66" i="1"/>
  <c r="U66" i="1" s="1"/>
  <c r="S66" i="1" s="1"/>
  <c r="X49" i="1"/>
  <c r="T49" i="1"/>
  <c r="U49" i="1" s="1"/>
  <c r="S49" i="1" s="1"/>
  <c r="W121" i="1"/>
  <c r="W116" i="1"/>
  <c r="W112" i="1"/>
  <c r="W108" i="1"/>
  <c r="W104" i="1"/>
  <c r="W100" i="1"/>
  <c r="W96" i="1"/>
  <c r="W92" i="1"/>
  <c r="W88" i="1"/>
  <c r="W84" i="1"/>
  <c r="T65" i="1"/>
  <c r="U65" i="1" s="1"/>
  <c r="S65" i="1" s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T54" i="1"/>
  <c r="U54" i="1" s="1"/>
  <c r="S54" i="1" s="1"/>
  <c r="X54" i="1"/>
  <c r="T52" i="1"/>
  <c r="U52" i="1" s="1"/>
  <c r="S52" i="1" s="1"/>
  <c r="X52" i="1"/>
  <c r="X50" i="1"/>
  <c r="T50" i="1"/>
  <c r="U50" i="1" s="1"/>
  <c r="S50" i="1" s="1"/>
  <c r="X46" i="1"/>
  <c r="T46" i="1"/>
  <c r="U46" i="1" s="1"/>
  <c r="S46" i="1" s="1"/>
  <c r="AA83" i="1"/>
  <c r="W83" i="1" s="1"/>
  <c r="AA82" i="1"/>
  <c r="W82" i="1" s="1"/>
  <c r="AA81" i="1"/>
  <c r="W81" i="1" s="1"/>
  <c r="AA80" i="1"/>
  <c r="W80" i="1" s="1"/>
  <c r="AA79" i="1"/>
  <c r="W79" i="1" s="1"/>
  <c r="AA78" i="1"/>
  <c r="W78" i="1" s="1"/>
  <c r="AA77" i="1"/>
  <c r="W77" i="1" s="1"/>
  <c r="AA76" i="1"/>
  <c r="W76" i="1" s="1"/>
  <c r="AA75" i="1"/>
  <c r="W75" i="1" s="1"/>
  <c r="AA74" i="1"/>
  <c r="W74" i="1" s="1"/>
  <c r="AA73" i="1"/>
  <c r="W73" i="1" s="1"/>
  <c r="AA72" i="1"/>
  <c r="W72" i="1" s="1"/>
  <c r="AA71" i="1"/>
  <c r="W71" i="1" s="1"/>
  <c r="AA70" i="1"/>
  <c r="W70" i="1" s="1"/>
  <c r="AA69" i="1"/>
  <c r="W69" i="1" s="1"/>
  <c r="AA68" i="1"/>
  <c r="W68" i="1" s="1"/>
  <c r="AA67" i="1"/>
  <c r="W67" i="1" s="1"/>
  <c r="AA66" i="1"/>
  <c r="W66" i="1" s="1"/>
  <c r="AA65" i="1"/>
  <c r="W65" i="1" s="1"/>
  <c r="AA64" i="1"/>
  <c r="W64" i="1" s="1"/>
  <c r="AA63" i="1"/>
  <c r="W63" i="1" s="1"/>
  <c r="AA61" i="1"/>
  <c r="W61" i="1" s="1"/>
  <c r="AA59" i="1"/>
  <c r="W59" i="1" s="1"/>
  <c r="AA57" i="1"/>
  <c r="W57" i="1" s="1"/>
  <c r="AA54" i="1"/>
  <c r="W54" i="1" s="1"/>
  <c r="AA52" i="1"/>
  <c r="W52" i="1" s="1"/>
  <c r="T45" i="1"/>
  <c r="U45" i="1" s="1"/>
  <c r="S45" i="1" s="1"/>
  <c r="W62" i="1"/>
  <c r="W58" i="1"/>
  <c r="W56" i="1"/>
  <c r="W53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T56" i="1"/>
  <c r="U56" i="1" s="1"/>
  <c r="S56" i="1" s="1"/>
  <c r="T55" i="1"/>
  <c r="U55" i="1" s="1"/>
  <c r="S55" i="1" s="1"/>
  <c r="X55" i="1"/>
  <c r="T53" i="1"/>
  <c r="U53" i="1" s="1"/>
  <c r="S53" i="1" s="1"/>
  <c r="X53" i="1"/>
  <c r="W38" i="1"/>
  <c r="AA51" i="1"/>
  <c r="W51" i="1" s="1"/>
  <c r="AA50" i="1"/>
  <c r="W50" i="1" s="1"/>
  <c r="AA49" i="1"/>
  <c r="W49" i="1" s="1"/>
  <c r="AA48" i="1"/>
  <c r="W48" i="1" s="1"/>
  <c r="AA47" i="1"/>
  <c r="W47" i="1" s="1"/>
  <c r="AA46" i="1"/>
  <c r="W46" i="1" s="1"/>
  <c r="AA45" i="1"/>
  <c r="W45" i="1" s="1"/>
  <c r="AA44" i="1"/>
  <c r="W44" i="1" s="1"/>
  <c r="AA43" i="1"/>
  <c r="W43" i="1" s="1"/>
  <c r="AA42" i="1"/>
  <c r="W42" i="1" s="1"/>
  <c r="AA41" i="1"/>
  <c r="W41" i="1" s="1"/>
  <c r="AA40" i="1"/>
  <c r="W40" i="1" s="1"/>
  <c r="AA39" i="1"/>
  <c r="W39" i="1" s="1"/>
  <c r="AA37" i="1"/>
  <c r="W37" i="1" s="1"/>
  <c r="W35" i="1"/>
  <c r="T32" i="1"/>
  <c r="U32" i="1" s="1"/>
  <c r="S32" i="1" s="1"/>
  <c r="X32" i="1"/>
  <c r="T24" i="1"/>
  <c r="U24" i="1" s="1"/>
  <c r="S24" i="1" s="1"/>
  <c r="X24" i="1"/>
  <c r="T43" i="1"/>
  <c r="U43" i="1" s="1"/>
  <c r="S43" i="1" s="1"/>
  <c r="T42" i="1"/>
  <c r="U42" i="1" s="1"/>
  <c r="S42" i="1" s="1"/>
  <c r="T41" i="1"/>
  <c r="U41" i="1" s="1"/>
  <c r="S41" i="1" s="1"/>
  <c r="T40" i="1"/>
  <c r="U40" i="1" s="1"/>
  <c r="S40" i="1" s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26" i="1"/>
  <c r="U26" i="1" s="1"/>
  <c r="S26" i="1" s="1"/>
  <c r="X26" i="1"/>
  <c r="T28" i="1"/>
  <c r="U28" i="1" s="1"/>
  <c r="S28" i="1" s="1"/>
  <c r="X28" i="1"/>
  <c r="T30" i="1"/>
  <c r="U30" i="1" s="1"/>
  <c r="S30" i="1" s="1"/>
  <c r="X30" i="1"/>
  <c r="T22" i="1"/>
  <c r="U22" i="1" s="1"/>
  <c r="S22" i="1" s="1"/>
  <c r="X22" i="1"/>
  <c r="T20" i="1"/>
  <c r="U20" i="1" s="1"/>
  <c r="S20" i="1" s="1"/>
  <c r="X20" i="1"/>
  <c r="T18" i="1"/>
  <c r="U18" i="1" s="1"/>
  <c r="S18" i="1" s="1"/>
  <c r="X18" i="1"/>
  <c r="T16" i="1"/>
  <c r="U16" i="1" s="1"/>
  <c r="S16" i="1" s="1"/>
  <c r="X16" i="1"/>
  <c r="T14" i="1"/>
  <c r="U14" i="1" s="1"/>
  <c r="S14" i="1" s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20" i="1"/>
  <c r="W20" i="1" s="1"/>
  <c r="AA18" i="1"/>
  <c r="W18" i="1" s="1"/>
  <c r="AA16" i="1"/>
  <c r="W16" i="1" s="1"/>
  <c r="AA14" i="1"/>
  <c r="W14" i="1" s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W21" i="1"/>
  <c r="W17" i="1"/>
  <c r="W15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T17" i="1"/>
  <c r="U17" i="1" s="1"/>
  <c r="S17" i="1" s="1"/>
  <c r="X17" i="1"/>
  <c r="T15" i="1"/>
  <c r="U15" i="1" s="1"/>
  <c r="S15" i="1" s="1"/>
  <c r="X15" i="1"/>
  <c r="AD28" i="3"/>
  <c r="AE24" i="3"/>
  <c r="AE19" i="3"/>
  <c r="AC28" i="3"/>
  <c r="AE28" i="3"/>
  <c r="AD29" i="3"/>
  <c r="AD17" i="3"/>
  <c r="AE27" i="3"/>
  <c r="AD21" i="3"/>
  <c r="AD12" i="3"/>
  <c r="AE16" i="3"/>
  <c r="AC7" i="3"/>
  <c r="AD9" i="3"/>
  <c r="AD20" i="3"/>
  <c r="AD16" i="3"/>
  <c r="AE11" i="3"/>
  <c r="AC22" i="3"/>
  <c r="AD25" i="3"/>
  <c r="AC17" i="3"/>
  <c r="AD13" i="3"/>
  <c r="AD8" i="3"/>
  <c r="AD11" i="3"/>
  <c r="T25" i="3"/>
  <c r="T9" i="3"/>
  <c r="T8" i="3"/>
  <c r="T13" i="3"/>
  <c r="AE26" i="3"/>
  <c r="AE22" i="3"/>
  <c r="T21" i="3"/>
  <c r="T29" i="3"/>
  <c r="AE18" i="3"/>
  <c r="AE14" i="3"/>
  <c r="T10" i="3"/>
  <c r="AD27" i="3"/>
  <c r="T12" i="3"/>
  <c r="AD19" i="3"/>
  <c r="T27" i="3"/>
  <c r="AD15" i="3"/>
  <c r="AE10" i="3"/>
  <c r="T15" i="3"/>
  <c r="Y25" i="3"/>
  <c r="Y12" i="3"/>
  <c r="Y9" i="3"/>
  <c r="Y27" i="3"/>
  <c r="Y22" i="3"/>
  <c r="Y7" i="3"/>
  <c r="Y28" i="3"/>
  <c r="Y17" i="3"/>
  <c r="Y24" i="3"/>
  <c r="Y8" i="3"/>
  <c r="Y13" i="3"/>
  <c r="Y21" i="3"/>
  <c r="Y29" i="3"/>
  <c r="Y10" i="3"/>
  <c r="Y15" i="3"/>
  <c r="Y11" i="3"/>
  <c r="Y20" i="3"/>
  <c r="Y14" i="3"/>
  <c r="Y16" i="3"/>
  <c r="Y26" i="3"/>
  <c r="Y19" i="3"/>
  <c r="Y18" i="3"/>
  <c r="AC11" i="3"/>
  <c r="AC20" i="3"/>
  <c r="AC14" i="3"/>
  <c r="AC16" i="3"/>
  <c r="AC26" i="3"/>
  <c r="AC19" i="3"/>
  <c r="AC18" i="3"/>
  <c r="T11" i="3"/>
  <c r="AE29" i="3"/>
  <c r="T20" i="3"/>
  <c r="AD26" i="3"/>
  <c r="AE25" i="3"/>
  <c r="T14" i="3"/>
  <c r="AD22" i="3"/>
  <c r="AE21" i="3"/>
  <c r="AE20" i="3"/>
  <c r="T16" i="3"/>
  <c r="AD18" i="3"/>
  <c r="AE17" i="3"/>
  <c r="T26" i="3"/>
  <c r="AD14" i="3"/>
  <c r="AE13" i="3"/>
  <c r="T19" i="3"/>
  <c r="AD10" i="3"/>
  <c r="AE9" i="3"/>
  <c r="T18" i="3"/>
  <c r="AE12" i="3"/>
  <c r="AE8" i="3"/>
  <c r="M23" i="3"/>
  <c r="R23" i="3"/>
  <c r="S23" i="3"/>
  <c r="U23" i="3"/>
  <c r="T23" i="3" s="1"/>
  <c r="V23" i="3"/>
  <c r="X23" i="3"/>
  <c r="W23" i="3"/>
  <c r="AD23" i="3" l="1"/>
  <c r="AE23" i="3"/>
  <c r="AC23" i="3"/>
  <c r="Y23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D3" i="6" l="1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N11" i="3" s="1"/>
  <c r="G236" i="4"/>
  <c r="G237" i="4"/>
  <c r="G238" i="4"/>
  <c r="G239" i="4"/>
  <c r="G240" i="4"/>
  <c r="G241" i="4"/>
  <c r="G242" i="4"/>
  <c r="G243" i="4"/>
  <c r="G244" i="4"/>
  <c r="G245" i="4"/>
  <c r="N8" i="3" s="1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N24" i="3" s="1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18" i="3" s="1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15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N26" i="3" s="1"/>
  <c r="G83" i="4"/>
  <c r="G84" i="4"/>
  <c r="G85" i="4"/>
  <c r="G86" i="4"/>
  <c r="G87" i="4"/>
  <c r="G88" i="4"/>
  <c r="G89" i="4"/>
  <c r="G90" i="4"/>
  <c r="G91" i="4"/>
  <c r="G92" i="4"/>
  <c r="N27" i="3" s="1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17" i="3" s="1"/>
  <c r="G118" i="4"/>
  <c r="G119" i="4"/>
  <c r="G120" i="4"/>
  <c r="G121" i="4"/>
  <c r="G122" i="4"/>
  <c r="G123" i="4"/>
  <c r="N16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N23" i="3" s="1"/>
  <c r="G136" i="4"/>
  <c r="G137" i="4"/>
  <c r="N9" i="3" s="1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N14" i="3" s="1"/>
  <c r="G156" i="4"/>
  <c r="G157" i="4"/>
  <c r="G158" i="4"/>
  <c r="G159" i="4"/>
  <c r="N21" i="3" s="1"/>
  <c r="G160" i="4"/>
  <c r="N7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12" i="3" s="1"/>
  <c r="G187" i="4"/>
  <c r="G188" i="4"/>
  <c r="N20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13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8" i="3" l="1"/>
  <c r="N29" i="3"/>
  <c r="N10" i="3"/>
  <c r="N19" i="3"/>
  <c r="N22" i="3"/>
  <c r="N2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<sst xmlns="http://schemas.openxmlformats.org/spreadsheetml/2006/main" count="2841" uniqueCount="1123">
  <si>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</si>
  <si>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</si>
  <si>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</si>
  <si>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</si>
  <si>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</si>
  <si>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</si>
  <si>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</si>
  <si>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</si>
  <si>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</si>
  <si>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</si>
  <si>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</si>
  <si>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</si>
  <si>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</si>
  <si>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</si>
  <si>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</si>
  <si>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</si>
  <si>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</si>
  <si>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</si>
  <si>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</si>
  <si>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</si>
  <si>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</si>
  <si>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</si>
  <si>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</si>
  <si>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</si>
  <si>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</si>
  <si>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</si>
  <si>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</si>
  <si>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</si>
  <si>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</si>
  <si>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</si>
  <si>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</si>
  <si>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</si>
  <si>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</si>
  <si>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</si>
  <si>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</si>
  <si>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</si>
  <si>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</si>
  <si>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</si>
  <si>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</si>
  <si>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</si>
  <si>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</si>
  <si>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</si>
  <si>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</si>
  <si>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</si>
  <si>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</si>
  <si>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</si>
  <si>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</si>
  <si>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</si>
  <si>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</si>
  <si>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</si>
  <si>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</si>
  <si>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</si>
  <si>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</si>
  <si>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</si>
  <si>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</si>
  <si>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</si>
  <si>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</si>
  <si>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</si>
  <si>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</si>
  <si>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</si>
  <si>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</si>
  <si>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</si>
  <si>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</si>
  <si>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</si>
  <si>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</si>
  <si>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</si>
  <si>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</si>
  <si>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</si>
  <si>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</si>
  <si>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</si>
  <si>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</si>
  <si>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</si>
  <si>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</si>
  <si>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</si>
  <si>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</si>
  <si>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</si>
  <si>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</si>
  <si>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</si>
  <si>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</si>
  <si>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</si>
  <si>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</si>
  <si>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</si>
  <si>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</si>
  <si>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</si>
  <si>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</si>
  <si>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</si>
  <si>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</si>
  <si>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</si>
  <si>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</si>
  <si>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</si>
  <si>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</si>
  <si>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</si>
  <si>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</si>
  <si>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</si>
  <si>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</si>
  <si>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</si>
  <si>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</si>
  <si>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</si>
  <si>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</si>
  <si>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</si>
  <si>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</si>
  <si>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</si>
  <si>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</si>
  <si>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</si>
  <si>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</si>
  <si>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</si>
  <si>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</si>
  <si>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</si>
  <si>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</si>
  <si>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</si>
  <si>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</si>
  <si>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</si>
  <si>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</si>
  <si>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</si>
  <si>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</si>
  <si>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</si>
  <si>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</si>
  <si>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</si>
  <si>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</si>
  <si>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</si>
  <si>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</si>
  <si>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</si>
  <si>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</si>
  <si>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</si>
  <si>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</si>
  <si>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</si>
  <si>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</si>
  <si>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</si>
  <si>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</si>
  <si>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</si>
  <si>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</si>
  <si>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</si>
  <si>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</si>
  <si>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</si>
  <si>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</si>
  <si>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</si>
  <si>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</si>
  <si>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</si>
  <si>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</si>
  <si>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</si>
  <si>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</si>
  <si>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</si>
  <si>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</si>
  <si>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</si>
  <si>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</si>
  <si>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</si>
  <si>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</si>
  <si>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</si>
  <si>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</si>
  <si>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</si>
  <si>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</si>
  <si>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</si>
  <si>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</si>
  <si>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</si>
  <si>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</si>
  <si>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</si>
  <si>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</si>
  <si>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</si>
  <si>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</si>
  <si>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</si>
  <si>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</si>
  <si>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</si>
  <si>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</si>
  <si>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</si>
  <si>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</si>
  <si>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</si>
  <si>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</si>
  <si>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</si>
  <si>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</si>
  <si>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</si>
  <si>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</si>
  <si>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</si>
  <si>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</si>
  <si>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</si>
  <si>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</si>
  <si>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</si>
  <si>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</si>
  <si>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</si>
  <si>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</si>
  <si>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</si>
  <si>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</si>
  <si>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</si>
  <si>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</si>
  <si>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</si>
  <si>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</si>
  <si>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</si>
  <si>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</si>
  <si>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</si>
  <si>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</si>
  <si>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</si>
  <si>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</si>
  <si>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</si>
  <si>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</si>
  <si>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</si>
  <si>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</si>
  <si>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</si>
  <si>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</si>
  <si>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</si>
  <si>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</si>
  <si>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</si>
  <si>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</si>
  <si>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</si>
  <si>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</si>
  <si>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</si>
  <si>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</si>
  <si>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</si>
  <si>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</si>
  <si>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</si>
  <si>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</si>
  <si>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</si>
  <si>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</si>
  <si>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</si>
  <si>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</si>
  <si>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</si>
  <si>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</si>
  <si>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</si>
  <si>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</si>
  <si>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</si>
  <si>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</si>
  <si>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</si>
  <si>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</si>
  <si>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</si>
  <si>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</si>
  <si>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</si>
  <si>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</si>
  <si>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</si>
  <si>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</si>
  <si>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</si>
  <si>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</si>
  <si>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</si>
  <si>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</si>
  <si>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</si>
  <si>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</si>
  <si>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</si>
  <si>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</si>
  <si>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</si>
  <si>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</si>
  <si>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</si>
  <si>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</si>
  <si>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</si>
  <si>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</si>
  <si>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</si>
  <si>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</si>
  <si>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</si>
  <si>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</si>
  <si>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</si>
  <si>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</si>
  <si>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</si>
  <si>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</si>
  <si>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</si>
  <si>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</si>
  <si>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</si>
  <si>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</si>
  <si>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</si>
  <si>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</si>
  <si>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</si>
  <si>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</si>
  <si>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</si>
  <si>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</si>
  <si>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</si>
  <si>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</si>
  <si>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</si>
  <si>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</si>
  <si>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</si>
  <si>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</si>
  <si>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</si>
  <si>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</si>
  <si>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</si>
  <si>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</si>
  <si>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</si>
  <si>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</si>
  <si>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</si>
  <si>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</si>
  <si>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</si>
  <si>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</si>
  <si>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</si>
  <si>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</si>
  <si>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</si>
  <si>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</si>
  <si>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</si>
  <si>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</si>
  <si>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</si>
  <si>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</si>
  <si>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</si>
  <si>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</si>
  <si>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</si>
  <si>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</si>
  <si>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</si>
  <si>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</si>
  <si>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</si>
  <si>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</si>
  <si>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</si>
  <si>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</si>
  <si>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</si>
  <si>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</si>
  <si>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</si>
  <si>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</si>
  <si>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</si>
  <si>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</si>
  <si>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</si>
  <si>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</si>
  <si>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</si>
  <si>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</si>
  <si>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</si>
  <si>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</si>
  <si>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</si>
  <si>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</si>
  <si>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</si>
  <si>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</si>
  <si>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</si>
  <si>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</si>
  <si>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</si>
  <si>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</si>
  <si>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</si>
  <si>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</si>
  <si>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</si>
  <si>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</si>
  <si>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</si>
  <si>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</si>
  <si>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</si>
  <si>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</si>
  <si>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</si>
  <si>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</si>
  <si>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</si>
  <si>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</si>
  <si>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</si>
  <si>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</si>
  <si>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</si>
  <si>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</si>
  <si>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</si>
  <si>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</si>
  <si>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</si>
  <si>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</si>
  <si>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</si>
  <si>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</si>
  <si>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</si>
  <si>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</si>
  <si>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</si>
  <si>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</si>
  <si>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</si>
  <si>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</si>
  <si>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</si>
  <si>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</si>
  <si>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</si>
  <si>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</si>
  <si>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</si>
  <si>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</si>
  <si>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</si>
  <si>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</si>
  <si>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</si>
  <si>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</si>
  <si>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</si>
  <si>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</si>
  <si>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</si>
  <si>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</si>
  <si>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</si>
  <si>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</si>
  <si>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</si>
  <si>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</si>
  <si>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</si>
  <si>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</si>
  <si>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</si>
  <si>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</si>
  <si>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</si>
  <si>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</si>
  <si>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</si>
  <si>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</si>
  <si>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</si>
  <si>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</si>
  <si>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</si>
  <si>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</si>
  <si>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</si>
  <si>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</si>
  <si>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</si>
  <si>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</si>
  <si>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</si>
  <si>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</si>
  <si>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</si>
  <si>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</si>
  <si>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</si>
  <si>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</si>
  <si>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</si>
  <si>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</si>
  <si>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</si>
  <si>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</si>
  <si>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</si>
  <si>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</si>
  <si>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</si>
  <si>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</si>
  <si>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</si>
  <si>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</si>
  <si>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</si>
  <si>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</si>
  <si>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</si>
  <si>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</si>
  <si>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</si>
  <si>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</si>
  <si>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</si>
  <si>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</si>
  <si>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</si>
  <si>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</si>
  <si>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</si>
  <si>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</si>
  <si>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</si>
  <si>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</si>
  <si>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</si>
  <si>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</si>
  <si>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</si>
  <si>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</si>
  <si>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</si>
  <si>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</si>
  <si>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</si>
  <si>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</si>
  <si>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</si>
  <si>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</si>
  <si>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</si>
  <si>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</si>
  <si>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</si>
  <si>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</si>
  <si>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</si>
  <si>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</si>
  <si>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</si>
  <si>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</si>
  <si>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</si>
  <si>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</si>
  <si>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</si>
  <si>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</si>
  <si>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</si>
  <si>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</si>
  <si>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</si>
  <si>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</si>
  <si>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</si>
  <si>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</si>
  <si>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</si>
  <si>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</si>
  <si>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</si>
  <si>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</si>
  <si>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</si>
  <si>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</si>
  <si>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</si>
  <si>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</si>
  <si>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</si>
  <si>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</si>
  <si>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</si>
  <si>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</si>
  <si>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</si>
  <si>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</si>
  <si>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</si>
  <si>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</si>
  <si>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</si>
  <si>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</si>
  <si>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</si>
  <si>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</si>
  <si>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</si>
  <si>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</si>
  <si>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</si>
  <si>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</si>
  <si>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</si>
  <si>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</si>
  <si>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</si>
  <si>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</si>
  <si>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</si>
  <si>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</si>
  <si>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</si>
  <si>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Wi-MAX data drop</t>
  </si>
  <si>
    <t>HAMMOND</t>
  </si>
  <si>
    <t>JUSTYNN</t>
  </si>
  <si>
    <t>311-17</t>
  </si>
  <si>
    <t>313-17</t>
  </si>
  <si>
    <t>204:225</t>
  </si>
  <si>
    <t>rtdc.l.rtdc.4006:itc</t>
  </si>
  <si>
    <t>313-22</t>
  </si>
  <si>
    <t>309-22</t>
  </si>
  <si>
    <t>311-22</t>
  </si>
  <si>
    <t>ANDERS</t>
  </si>
  <si>
    <t>STEVEN</t>
  </si>
  <si>
    <t>rtdc.l.rtdc.4009:itc</t>
  </si>
  <si>
    <t>204:201</t>
  </si>
  <si>
    <t>rtdc.l.rtdc.4044:itc</t>
  </si>
  <si>
    <t>204:205</t>
  </si>
  <si>
    <t>204:466</t>
  </si>
  <si>
    <t>204:194</t>
  </si>
  <si>
    <t>Early Arrival</t>
  </si>
  <si>
    <t>204:517</t>
  </si>
  <si>
    <t>204:233295</t>
  </si>
  <si>
    <t>204:156</t>
  </si>
  <si>
    <t>DAVID</t>
  </si>
  <si>
    <t>204:522</t>
  </si>
  <si>
    <t>204:497</t>
  </si>
  <si>
    <t>204:200</t>
  </si>
  <si>
    <t>204:233278</t>
  </si>
  <si>
    <t>204:169</t>
  </si>
  <si>
    <t>SPECTOR</t>
  </si>
  <si>
    <t>rtdc.l.rtdc.4019:itc</t>
  </si>
  <si>
    <t>rtdc.l.rtdc.4020:itc</t>
  </si>
  <si>
    <t>DAVIDSON</t>
  </si>
  <si>
    <t>246-22</t>
  </si>
  <si>
    <t>204:232998</t>
  </si>
  <si>
    <t>204:232977</t>
  </si>
  <si>
    <t>204:489</t>
  </si>
  <si>
    <t>204:214</t>
  </si>
  <si>
    <t>SWITCH UNKNOWN</t>
  </si>
  <si>
    <t>Track device (7)</t>
  </si>
  <si>
    <t>204:209</t>
  </si>
  <si>
    <t>204:480</t>
  </si>
  <si>
    <t>204:508</t>
  </si>
  <si>
    <t>204:500</t>
  </si>
  <si>
    <t>204:233310</t>
  </si>
  <si>
    <t>204:535</t>
  </si>
  <si>
    <t>rtdc.l.rtdc.4041:itc</t>
  </si>
  <si>
    <t>rtdc.l.rtdc.4033:itc</t>
  </si>
  <si>
    <t>rtdc.l.rtdc.4064:itc</t>
  </si>
  <si>
    <t>204:232994</t>
  </si>
  <si>
    <t>204:515</t>
  </si>
  <si>
    <t>204:150</t>
  </si>
  <si>
    <t>204:232981</t>
  </si>
  <si>
    <t>204:484</t>
  </si>
  <si>
    <t>204:167</t>
  </si>
  <si>
    <t>204:475</t>
  </si>
  <si>
    <t>STEWART</t>
  </si>
  <si>
    <t>204:233299</t>
  </si>
  <si>
    <t>204:498</t>
  </si>
  <si>
    <t>204:172</t>
  </si>
  <si>
    <t>204:467</t>
  </si>
  <si>
    <t>204:211</t>
  </si>
  <si>
    <t>204:451</t>
  </si>
  <si>
    <t>204:469</t>
  </si>
  <si>
    <t>204:462</t>
  </si>
  <si>
    <t>204:232936</t>
  </si>
  <si>
    <t>204:218</t>
  </si>
  <si>
    <t>300:23301</t>
  </si>
  <si>
    <t>204:145</t>
  </si>
  <si>
    <t>rtdc.l.rtdc.4063:itc</t>
  </si>
  <si>
    <t>LONG</t>
  </si>
  <si>
    <t>FULLER</t>
  </si>
  <si>
    <t>LEVERE</t>
  </si>
  <si>
    <t>CRAIG</t>
  </si>
  <si>
    <t>clear-day</t>
  </si>
  <si>
    <t>Clear</t>
  </si>
  <si>
    <t>clear-night</t>
  </si>
  <si>
    <t>204:242</t>
  </si>
  <si>
    <t>204:138</t>
  </si>
  <si>
    <t>204:233291</t>
  </si>
  <si>
    <t>204:444</t>
  </si>
  <si>
    <t>204:232</t>
  </si>
  <si>
    <t>204:548</t>
  </si>
  <si>
    <t>204:233268</t>
  </si>
  <si>
    <t>204:227</t>
  </si>
  <si>
    <t>204:233247</t>
  </si>
  <si>
    <t>204:216</t>
  </si>
  <si>
    <t>204:238</t>
  </si>
  <si>
    <t>204:524</t>
  </si>
  <si>
    <t>300:58611</t>
  </si>
  <si>
    <t>204:439</t>
  </si>
  <si>
    <t>204:148</t>
  </si>
  <si>
    <t>300:58939</t>
  </si>
  <si>
    <t>300:58630</t>
  </si>
  <si>
    <t>204:511</t>
  </si>
  <si>
    <t>204:223</t>
  </si>
  <si>
    <t>204:232983</t>
  </si>
  <si>
    <t>204:540</t>
  </si>
  <si>
    <t>204:233308</t>
  </si>
  <si>
    <t>204:221</t>
  </si>
  <si>
    <t>204:537</t>
  </si>
  <si>
    <t>204:232938</t>
  </si>
  <si>
    <t>204:551</t>
  </si>
  <si>
    <t>204:232942</t>
  </si>
  <si>
    <t>204:579</t>
  </si>
  <si>
    <t>rtdc.l.rtdc.4002:itc</t>
  </si>
  <si>
    <t>TRACK WARRANT AUTHORITY</t>
  </si>
  <si>
    <t>Form based authority (4)</t>
  </si>
  <si>
    <t>rtdc.l.rtdc.4001:itc</t>
  </si>
  <si>
    <t>244-03</t>
  </si>
  <si>
    <t>rtdc.l.rtdc.4034:itc</t>
  </si>
  <si>
    <t>HUFFSMITH</t>
  </si>
  <si>
    <t>MONTY</t>
  </si>
  <si>
    <t>GEBRETEKLE</t>
  </si>
  <si>
    <t>DAGNEW</t>
  </si>
  <si>
    <t>FORTUNATO</t>
  </si>
  <si>
    <t>FRANK</t>
  </si>
  <si>
    <t>NEWELL</t>
  </si>
  <si>
    <t>BRUDER</t>
  </si>
  <si>
    <t>RICHARD</t>
  </si>
  <si>
    <t>HOLCOMB</t>
  </si>
  <si>
    <t>KAMDEN</t>
  </si>
  <si>
    <t>ZEWDU</t>
  </si>
  <si>
    <t>DEREJE</t>
  </si>
  <si>
    <t>DE LA ROSA</t>
  </si>
  <si>
    <t>ALEX</t>
  </si>
  <si>
    <t>242-03</t>
  </si>
  <si>
    <t>307-03</t>
  </si>
  <si>
    <t>precipAccumulation</t>
  </si>
  <si>
    <t>precipType</t>
  </si>
  <si>
    <t>snow</t>
  </si>
  <si>
    <t>204:233322</t>
  </si>
  <si>
    <t>204:152</t>
  </si>
  <si>
    <t>204:473</t>
  </si>
  <si>
    <t>204:232984</t>
  </si>
  <si>
    <t>204:233251</t>
  </si>
  <si>
    <t>204:233282</t>
  </si>
  <si>
    <t>204:232969</t>
  </si>
  <si>
    <t>204:533</t>
  </si>
  <si>
    <t>204:233314</t>
  </si>
  <si>
    <t>204:233021</t>
  </si>
  <si>
    <t>204:232964</t>
  </si>
  <si>
    <t>204:233284</t>
  </si>
  <si>
    <t>204:486</t>
  </si>
  <si>
    <t>204:457</t>
  </si>
  <si>
    <t>204:233315</t>
  </si>
  <si>
    <t>204:207</t>
  </si>
  <si>
    <t>204:232972</t>
  </si>
  <si>
    <t>204:233276</t>
  </si>
  <si>
    <t>204:233340</t>
  </si>
  <si>
    <t>204:141</t>
  </si>
  <si>
    <t>204:438</t>
  </si>
  <si>
    <t>204:231</t>
  </si>
  <si>
    <t>204:161</t>
  </si>
  <si>
    <t>204:504</t>
  </si>
  <si>
    <t>204:232952</t>
  </si>
  <si>
    <t>204:437</t>
  </si>
  <si>
    <t>204:233245</t>
  </si>
  <si>
    <t>204:233238</t>
  </si>
  <si>
    <t>204:482</t>
  </si>
  <si>
    <t>204:539</t>
  </si>
  <si>
    <t>204:189</t>
  </si>
  <si>
    <t>204:233286</t>
  </si>
  <si>
    <t>204:229</t>
  </si>
  <si>
    <t>204:232900</t>
  </si>
  <si>
    <t>204:546</t>
  </si>
  <si>
    <t>204:232869</t>
  </si>
  <si>
    <t>204:232934</t>
  </si>
  <si>
    <t>204:260</t>
  </si>
  <si>
    <t>204:544</t>
  </si>
  <si>
    <t>204:236</t>
  </si>
  <si>
    <t>204:262</t>
  </si>
  <si>
    <t>204:233244</t>
  </si>
  <si>
    <t>204:232960</t>
  </si>
  <si>
    <t>204:513</t>
  </si>
  <si>
    <t>300:23306</t>
  </si>
  <si>
    <t>204:254</t>
  </si>
  <si>
    <t>300:23310</t>
  </si>
  <si>
    <t>300:112511</t>
  </si>
  <si>
    <t>300:58899</t>
  </si>
  <si>
    <t>204:446</t>
  </si>
  <si>
    <t>204:157</t>
  </si>
  <si>
    <t>204:426</t>
  </si>
  <si>
    <t>204:162</t>
  </si>
  <si>
    <t>300:58954</t>
  </si>
  <si>
    <t>300:58948</t>
  </si>
  <si>
    <t>204:468</t>
  </si>
  <si>
    <t>204:153</t>
  </si>
  <si>
    <t>204:448</t>
  </si>
  <si>
    <t>300:58634</t>
  </si>
  <si>
    <t>204:140</t>
  </si>
  <si>
    <t>300:58623</t>
  </si>
  <si>
    <t>300:28784</t>
  </si>
  <si>
    <t>302-04</t>
  </si>
  <si>
    <t>rtdc.l.rtdc.4045:itc</t>
  </si>
  <si>
    <t>106-04</t>
  </si>
  <si>
    <t>116-04</t>
  </si>
  <si>
    <t>810-04</t>
  </si>
  <si>
    <t>61-04</t>
  </si>
  <si>
    <t>138-04</t>
  </si>
  <si>
    <t>rtdc.l.rtdc.4046:itc</t>
  </si>
  <si>
    <t>147-04</t>
  </si>
  <si>
    <t>63-04</t>
  </si>
  <si>
    <t>62-04</t>
  </si>
  <si>
    <t>164-04</t>
  </si>
  <si>
    <t>168-04</t>
  </si>
  <si>
    <t>67-04</t>
  </si>
  <si>
    <t>178-04</t>
  </si>
  <si>
    <t>827-04</t>
  </si>
  <si>
    <t>rtdc.l.rtdc.4015:itc</t>
  </si>
  <si>
    <t>826-04</t>
  </si>
  <si>
    <t>rtdc.l.rtdc.4032:itc</t>
  </si>
  <si>
    <t>197-04</t>
  </si>
  <si>
    <t>rtdc.l.rtdc.4043:itc</t>
  </si>
  <si>
    <t>188-04</t>
  </si>
  <si>
    <t>209-04</t>
  </si>
  <si>
    <t>832-04</t>
  </si>
  <si>
    <t>834-04</t>
  </si>
  <si>
    <t>221-04</t>
  </si>
  <si>
    <t>305-04</t>
  </si>
  <si>
    <t>234-04</t>
  </si>
  <si>
    <t>242-04</t>
  </si>
  <si>
    <t>101-04</t>
  </si>
  <si>
    <t>ROCHA</t>
  </si>
  <si>
    <t>YAOTL</t>
  </si>
  <si>
    <t>300-04</t>
  </si>
  <si>
    <t>rtdc.l.rtdc.4056:itc</t>
  </si>
  <si>
    <t>75-04</t>
  </si>
  <si>
    <t>77-04</t>
  </si>
  <si>
    <t>ACKERMAN</t>
  </si>
  <si>
    <t>JARED</t>
  </si>
  <si>
    <t>STARKS</t>
  </si>
  <si>
    <t>ANGELINA</t>
  </si>
  <si>
    <t>103-04</t>
  </si>
  <si>
    <t>304-04</t>
  </si>
  <si>
    <t>306-04</t>
  </si>
  <si>
    <t>102-04</t>
  </si>
  <si>
    <t>105-04</t>
  </si>
  <si>
    <t>308-04</t>
  </si>
  <si>
    <t>DONTE</t>
  </si>
  <si>
    <t>107-04</t>
  </si>
  <si>
    <t>104-04</t>
  </si>
  <si>
    <t>109-04</t>
  </si>
  <si>
    <t>901-04</t>
  </si>
  <si>
    <t>rtdc.l.rtdc.4031:itc</t>
  </si>
  <si>
    <t>310-04</t>
  </si>
  <si>
    <t>BEAM</t>
  </si>
  <si>
    <t>ROSS</t>
  </si>
  <si>
    <t>111-04</t>
  </si>
  <si>
    <t>800-04</t>
  </si>
  <si>
    <t>108-04</t>
  </si>
  <si>
    <t>113-04</t>
  </si>
  <si>
    <t>312-04</t>
  </si>
  <si>
    <t>115-04</t>
  </si>
  <si>
    <t>801-04</t>
  </si>
  <si>
    <t>117-04</t>
  </si>
  <si>
    <t>110-04</t>
  </si>
  <si>
    <t>902-04</t>
  </si>
  <si>
    <t>114-04</t>
  </si>
  <si>
    <t>112-04</t>
  </si>
  <si>
    <t>119-04</t>
  </si>
  <si>
    <t>802-04</t>
  </si>
  <si>
    <t>rtdc.l.rtdc.4016:itc</t>
  </si>
  <si>
    <t>803-04</t>
  </si>
  <si>
    <t>121-04</t>
  </si>
  <si>
    <t>118-04</t>
  </si>
  <si>
    <t>123-04</t>
  </si>
  <si>
    <t>804-04</t>
  </si>
  <si>
    <t>805-04</t>
  </si>
  <si>
    <t>125-04</t>
  </si>
  <si>
    <t>120-04</t>
  </si>
  <si>
    <t>127-04</t>
  </si>
  <si>
    <t>122-04</t>
  </si>
  <si>
    <t>806-04</t>
  </si>
  <si>
    <t>807-04</t>
  </si>
  <si>
    <t>129-04</t>
  </si>
  <si>
    <t>124-04</t>
  </si>
  <si>
    <t>131-04</t>
  </si>
  <si>
    <t>808-04</t>
  </si>
  <si>
    <t>809-04</t>
  </si>
  <si>
    <t>128-04</t>
  </si>
  <si>
    <t>133-04</t>
  </si>
  <si>
    <t>126-04</t>
  </si>
  <si>
    <t>135-04</t>
  </si>
  <si>
    <t>130-04</t>
  </si>
  <si>
    <t>811-04</t>
  </si>
  <si>
    <t>132-04</t>
  </si>
  <si>
    <t>137-04</t>
  </si>
  <si>
    <t>812-04</t>
  </si>
  <si>
    <t>139-04</t>
  </si>
  <si>
    <t>134-04</t>
  </si>
  <si>
    <t>903-04</t>
  </si>
  <si>
    <t>136-04</t>
  </si>
  <si>
    <t>141-04</t>
  </si>
  <si>
    <t>143-04</t>
  </si>
  <si>
    <t>813-04</t>
  </si>
  <si>
    <t>60-04</t>
  </si>
  <si>
    <t>145-04</t>
  </si>
  <si>
    <t>142-04</t>
  </si>
  <si>
    <t>140-04</t>
  </si>
  <si>
    <t>814-04</t>
  </si>
  <si>
    <t>149-04</t>
  </si>
  <si>
    <t>146-04</t>
  </si>
  <si>
    <t>144-04</t>
  </si>
  <si>
    <t>151-04</t>
  </si>
  <si>
    <t>815-04</t>
  </si>
  <si>
    <t>153-04</t>
  </si>
  <si>
    <t>STRICKLAND</t>
  </si>
  <si>
    <t>EVAN</t>
  </si>
  <si>
    <t>148-04</t>
  </si>
  <si>
    <t>150-04</t>
  </si>
  <si>
    <t>816-04</t>
  </si>
  <si>
    <t>155-04</t>
  </si>
  <si>
    <t>157-04</t>
  </si>
  <si>
    <t>BADERTSCHER</t>
  </si>
  <si>
    <t>DIANE</t>
  </si>
  <si>
    <t>152-04</t>
  </si>
  <si>
    <t>159-04</t>
  </si>
  <si>
    <t>154-04</t>
  </si>
  <si>
    <t>817-04</t>
  </si>
  <si>
    <t>156-04</t>
  </si>
  <si>
    <t>161-04</t>
  </si>
  <si>
    <t>65-04</t>
  </si>
  <si>
    <t>163-04</t>
  </si>
  <si>
    <t>66-04</t>
  </si>
  <si>
    <t>158-04</t>
  </si>
  <si>
    <t>160-04</t>
  </si>
  <si>
    <t>165-04</t>
  </si>
  <si>
    <t>818-04</t>
  </si>
  <si>
    <t>819-04</t>
  </si>
  <si>
    <t>167-04</t>
  </si>
  <si>
    <t>ROBINSON</t>
  </si>
  <si>
    <t>KADDIBA</t>
  </si>
  <si>
    <t>169-04</t>
  </si>
  <si>
    <t>162-04</t>
  </si>
  <si>
    <t>820-04</t>
  </si>
  <si>
    <t>166-04</t>
  </si>
  <si>
    <t>171-04</t>
  </si>
  <si>
    <t>173-04</t>
  </si>
  <si>
    <t>175-04</t>
  </si>
  <si>
    <t>170-04</t>
  </si>
  <si>
    <t>821-04</t>
  </si>
  <si>
    <t>177-04</t>
  </si>
  <si>
    <t>172-04</t>
  </si>
  <si>
    <t>179-04</t>
  </si>
  <si>
    <t>822-04</t>
  </si>
  <si>
    <t>174-04</t>
  </si>
  <si>
    <t>181-04</t>
  </si>
  <si>
    <t>176-04</t>
  </si>
  <si>
    <t>183-04</t>
  </si>
  <si>
    <t>823-04</t>
  </si>
  <si>
    <t>185-04</t>
  </si>
  <si>
    <t>180-04</t>
  </si>
  <si>
    <t>824-04</t>
  </si>
  <si>
    <t>187-04</t>
  </si>
  <si>
    <t>182-04</t>
  </si>
  <si>
    <t>189-04</t>
  </si>
  <si>
    <t>184-04</t>
  </si>
  <si>
    <t>191-04</t>
  </si>
  <si>
    <t>825-04</t>
  </si>
  <si>
    <t>186-04</t>
  </si>
  <si>
    <t>193-04</t>
  </si>
  <si>
    <t>904-04</t>
  </si>
  <si>
    <t>WEST</t>
  </si>
  <si>
    <t>BRYAN</t>
  </si>
  <si>
    <t>195-04</t>
  </si>
  <si>
    <t>190-04</t>
  </si>
  <si>
    <t>192-04</t>
  </si>
  <si>
    <t>828-04</t>
  </si>
  <si>
    <t>199-04</t>
  </si>
  <si>
    <t>194-04</t>
  </si>
  <si>
    <t>829-04</t>
  </si>
  <si>
    <t>201-04</t>
  </si>
  <si>
    <t>196-04</t>
  </si>
  <si>
    <t>203-04</t>
  </si>
  <si>
    <t>830-04</t>
  </si>
  <si>
    <t>831-04</t>
  </si>
  <si>
    <t>198-04</t>
  </si>
  <si>
    <t>205-04</t>
  </si>
  <si>
    <t>200-04</t>
  </si>
  <si>
    <t>207-04</t>
  </si>
  <si>
    <t>rtdc.l.rtdc.4054:itc</t>
  </si>
  <si>
    <t>73-04</t>
  </si>
  <si>
    <t>833-04</t>
  </si>
  <si>
    <t>202-04</t>
  </si>
  <si>
    <t>204-04</t>
  </si>
  <si>
    <t>211-04</t>
  </si>
  <si>
    <t>835-04</t>
  </si>
  <si>
    <t>206-04</t>
  </si>
  <si>
    <t>74-04</t>
  </si>
  <si>
    <t>208-04</t>
  </si>
  <si>
    <t>213-04</t>
  </si>
  <si>
    <t>215-04</t>
  </si>
  <si>
    <t>836-04</t>
  </si>
  <si>
    <t>837-04</t>
  </si>
  <si>
    <t>217-04</t>
  </si>
  <si>
    <t>210-04</t>
  </si>
  <si>
    <t>212-04</t>
  </si>
  <si>
    <t>219-04</t>
  </si>
  <si>
    <t>838-04</t>
  </si>
  <si>
    <t>839-04</t>
  </si>
  <si>
    <t>301-04</t>
  </si>
  <si>
    <t>214-04</t>
  </si>
  <si>
    <t>216-04</t>
  </si>
  <si>
    <t>218-04</t>
  </si>
  <si>
    <t>841-04</t>
  </si>
  <si>
    <t>906-04</t>
  </si>
  <si>
    <t>303-04</t>
  </si>
  <si>
    <t>220-04</t>
  </si>
  <si>
    <t>840-04</t>
  </si>
  <si>
    <t>223-04</t>
  </si>
  <si>
    <t>225-04</t>
  </si>
  <si>
    <t>222-04</t>
  </si>
  <si>
    <t>843-04</t>
  </si>
  <si>
    <t>227-04</t>
  </si>
  <si>
    <t>842-04</t>
  </si>
  <si>
    <t>224-04</t>
  </si>
  <si>
    <t>226-04</t>
  </si>
  <si>
    <t>229-04</t>
  </si>
  <si>
    <t>845-04</t>
  </si>
  <si>
    <t>231-04</t>
  </si>
  <si>
    <t>228-04</t>
  </si>
  <si>
    <t>844-04</t>
  </si>
  <si>
    <t>233-04</t>
  </si>
  <si>
    <t>230-04</t>
  </si>
  <si>
    <t>847-04</t>
  </si>
  <si>
    <t>232-04</t>
  </si>
  <si>
    <t>235-04</t>
  </si>
  <si>
    <t>846-04</t>
  </si>
  <si>
    <t>237-04</t>
  </si>
  <si>
    <t>849-04</t>
  </si>
  <si>
    <t>236-04</t>
  </si>
  <si>
    <t>239-04</t>
  </si>
  <si>
    <t>908-04</t>
  </si>
  <si>
    <t>241-04</t>
  </si>
  <si>
    <t>238-04</t>
  </si>
  <si>
    <t>243-04</t>
  </si>
  <si>
    <t>240-04</t>
  </si>
  <si>
    <t>313-04</t>
  </si>
  <si>
    <t>307-04</t>
  </si>
  <si>
    <t>244-04</t>
  </si>
  <si>
    <t>309-04</t>
  </si>
  <si>
    <t>311-04</t>
  </si>
  <si>
    <t>rain</t>
  </si>
  <si>
    <t>204:759</t>
  </si>
  <si>
    <t>204:233357</t>
  </si>
  <si>
    <t>204:233013</t>
  </si>
  <si>
    <t>204:160</t>
  </si>
  <si>
    <t>204:458</t>
  </si>
  <si>
    <t>204:232987</t>
  </si>
  <si>
    <t>204:233281</t>
  </si>
  <si>
    <t>204:232970</t>
  </si>
  <si>
    <t>204:191</t>
  </si>
  <si>
    <t>204:233355</t>
  </si>
  <si>
    <t>204:233015</t>
  </si>
  <si>
    <t>204:149</t>
  </si>
  <si>
    <t>204:233236</t>
  </si>
  <si>
    <t>204:232907</t>
  </si>
  <si>
    <t>204:442</t>
  </si>
  <si>
    <t>204:232978</t>
  </si>
  <si>
    <t>204:233289</t>
  </si>
  <si>
    <t>204:232955</t>
  </si>
  <si>
    <t>204:233028</t>
  </si>
  <si>
    <t>204:163</t>
  </si>
  <si>
    <t>204:506</t>
  </si>
  <si>
    <t>204:233249</t>
  </si>
  <si>
    <t>204:232917</t>
  </si>
  <si>
    <t>204:233306</t>
  </si>
  <si>
    <t>204:232996</t>
  </si>
  <si>
    <t>204:233297</t>
  </si>
  <si>
    <t>204:232980</t>
  </si>
  <si>
    <t>204:143</t>
  </si>
  <si>
    <t>204:233280</t>
  </si>
  <si>
    <t>204:232973</t>
  </si>
  <si>
    <t>204:488</t>
  </si>
  <si>
    <t>204:233285</t>
  </si>
  <si>
    <t>204:233288</t>
  </si>
  <si>
    <t>204:232971</t>
  </si>
  <si>
    <t>204:134</t>
  </si>
  <si>
    <t>204:233232</t>
  </si>
  <si>
    <t>204:232945</t>
  </si>
  <si>
    <t>204:232986</t>
  </si>
  <si>
    <t>204:203</t>
  </si>
  <si>
    <t>204:233305</t>
  </si>
  <si>
    <t>204:183</t>
  </si>
  <si>
    <t>204:447</t>
  </si>
  <si>
    <t>204:233002</t>
  </si>
  <si>
    <t>204:233243</t>
  </si>
  <si>
    <t>204:232944</t>
  </si>
  <si>
    <t>204:198</t>
  </si>
  <si>
    <t>204:233227</t>
  </si>
  <si>
    <t>204:232902</t>
  </si>
  <si>
    <t>204:187</t>
  </si>
  <si>
    <t>204:427</t>
  </si>
  <si>
    <t>204:232926</t>
  </si>
  <si>
    <t>204:232896</t>
  </si>
  <si>
    <t>204:455</t>
  </si>
  <si>
    <t>204:170</t>
  </si>
  <si>
    <t>204:509</t>
  </si>
  <si>
    <t>204:233336</t>
  </si>
  <si>
    <t>204:233010</t>
  </si>
  <si>
    <t>204:233312</t>
  </si>
  <si>
    <t>204:249</t>
  </si>
  <si>
    <t>204:232915</t>
  </si>
  <si>
    <t>204:232928</t>
  </si>
  <si>
    <t>204:233222</t>
  </si>
  <si>
    <t>204:232879</t>
  </si>
  <si>
    <t>204:181</t>
  </si>
  <si>
    <t>204:233317</t>
  </si>
  <si>
    <t>204:233008</t>
  </si>
  <si>
    <t>204:234</t>
  </si>
  <si>
    <t>204:520</t>
  </si>
  <si>
    <t>204:233230</t>
  </si>
  <si>
    <t>204:233228</t>
  </si>
  <si>
    <t>204:212</t>
  </si>
  <si>
    <t>204:233219</t>
  </si>
  <si>
    <t>204:64710</t>
  </si>
  <si>
    <t>204:36797</t>
  </si>
  <si>
    <t>204:185</t>
  </si>
  <si>
    <t>204:233338</t>
  </si>
  <si>
    <t>204:243</t>
  </si>
  <si>
    <t>204:233217</t>
  </si>
  <si>
    <t>204:542</t>
  </si>
  <si>
    <t>204:233201</t>
  </si>
  <si>
    <t>204:232871</t>
  </si>
  <si>
    <t>204:233209</t>
  </si>
  <si>
    <t>204:233184</t>
  </si>
  <si>
    <t>204:232968</t>
  </si>
  <si>
    <t>204:233240</t>
  </si>
  <si>
    <t>204:586</t>
  </si>
  <si>
    <t>204:267</t>
  </si>
  <si>
    <t>204:557</t>
  </si>
  <si>
    <t>204:240</t>
  </si>
  <si>
    <t>204:568</t>
  </si>
  <si>
    <t>204:233293</t>
  </si>
  <si>
    <t>204:233168</t>
  </si>
  <si>
    <t>204:232863</t>
  </si>
  <si>
    <t>204:233261</t>
  </si>
  <si>
    <t>204:232946</t>
  </si>
  <si>
    <t>300:23442</t>
  </si>
  <si>
    <t>300:23299</t>
  </si>
  <si>
    <t>300:21670</t>
  </si>
  <si>
    <t>204:4498</t>
  </si>
  <si>
    <t>204:571</t>
  </si>
  <si>
    <t>300:23302</t>
  </si>
  <si>
    <t>300:23461</t>
  </si>
  <si>
    <t>204:2729</t>
  </si>
  <si>
    <t>300:23627</t>
  </si>
  <si>
    <t>300:23504</t>
  </si>
  <si>
    <t>300:25444</t>
  </si>
  <si>
    <t>300:23343</t>
  </si>
  <si>
    <t>300:112260</t>
  </si>
  <si>
    <t>300:39212</t>
  </si>
  <si>
    <t>300:30559</t>
  </si>
  <si>
    <t>300:112584</t>
  </si>
  <si>
    <t>300:39541</t>
  </si>
  <si>
    <t>300:112515</t>
  </si>
  <si>
    <t>204:1498</t>
  </si>
  <si>
    <t>300:112187</t>
  </si>
  <si>
    <t>204:664</t>
  </si>
  <si>
    <t>300:112191</t>
  </si>
  <si>
    <t>300:28780</t>
  </si>
  <si>
    <t>300:112193</t>
  </si>
  <si>
    <t>300:39204</t>
  </si>
  <si>
    <t>300:39531</t>
  </si>
  <si>
    <t>300:39728</t>
  </si>
  <si>
    <t>300:50429</t>
  </si>
  <si>
    <t>300:39888</t>
  </si>
  <si>
    <t>300:50424</t>
  </si>
  <si>
    <t>300:30678</t>
  </si>
  <si>
    <t>300:58988</t>
  </si>
  <si>
    <t>300:112208</t>
  </si>
  <si>
    <t>300:39229</t>
  </si>
  <si>
    <t>300:57356</t>
  </si>
  <si>
    <t>300:47240</t>
  </si>
  <si>
    <t>300:112184</t>
  </si>
  <si>
    <t>300:39241</t>
  </si>
  <si>
    <t>204:1253</t>
  </si>
  <si>
    <t>300:24224</t>
  </si>
  <si>
    <t>300:30445</t>
  </si>
  <si>
    <t>300:112513</t>
  </si>
  <si>
    <t>300:39570</t>
  </si>
  <si>
    <t>300:26417</t>
  </si>
  <si>
    <t>300:28651</t>
  </si>
  <si>
    <t>300:39557</t>
  </si>
  <si>
    <t>300:112519</t>
  </si>
  <si>
    <t>204:1148</t>
  </si>
  <si>
    <t>300:23781</t>
  </si>
  <si>
    <t>204:1681</t>
  </si>
  <si>
    <t>204:3251</t>
  </si>
  <si>
    <t>204:1181</t>
  </si>
  <si>
    <t>204:406</t>
  </si>
  <si>
    <t>204:3562</t>
  </si>
  <si>
    <t>204:639</t>
  </si>
  <si>
    <t>300:23318</t>
  </si>
  <si>
    <t>300:58636</t>
  </si>
  <si>
    <t>300:58982</t>
  </si>
  <si>
    <t>300:58655</t>
  </si>
  <si>
    <t>204:117</t>
  </si>
  <si>
    <t>204:450</t>
  </si>
  <si>
    <t>300:58978</t>
  </si>
  <si>
    <t>300:58662</t>
  </si>
  <si>
    <t>204:424</t>
  </si>
  <si>
    <t>300:58937</t>
  </si>
  <si>
    <t>300:58628</t>
  </si>
  <si>
    <t>300:58992</t>
  </si>
  <si>
    <t>300:58677</t>
  </si>
  <si>
    <t>300:58673</t>
  </si>
  <si>
    <t>300:58986</t>
  </si>
  <si>
    <t>204:166</t>
  </si>
  <si>
    <t>300:57677</t>
  </si>
  <si>
    <t>300:58670</t>
  </si>
  <si>
    <t>204:949</t>
  </si>
  <si>
    <t>300:58666</t>
  </si>
  <si>
    <t>300:58935</t>
  </si>
  <si>
    <t>300:58621</t>
  </si>
  <si>
    <t>204:146</t>
  </si>
  <si>
    <t>204:135</t>
  </si>
  <si>
    <t>204:433</t>
  </si>
  <si>
    <t>300:58943</t>
  </si>
  <si>
    <t>300:58926</t>
  </si>
  <si>
    <t>300:58617</t>
  </si>
  <si>
    <t>300:57248</t>
  </si>
  <si>
    <t>300:57246</t>
  </si>
  <si>
    <t>300:58918</t>
  </si>
  <si>
    <t>300:58602</t>
  </si>
  <si>
    <t>300:58941</t>
  </si>
  <si>
    <t>204:108</t>
  </si>
  <si>
    <t>300:58624</t>
  </si>
  <si>
    <t>204:423</t>
  </si>
  <si>
    <t>300:58600</t>
  </si>
  <si>
    <t>204:459</t>
  </si>
  <si>
    <t>300:58924</t>
  </si>
  <si>
    <t>204:460</t>
  </si>
  <si>
    <t>300:58914</t>
  </si>
  <si>
    <t>300:30311</t>
  </si>
  <si>
    <t>300:23680</t>
  </si>
  <si>
    <t>204:155</t>
  </si>
  <si>
    <t>300:24248</t>
  </si>
  <si>
    <t>300:23478</t>
  </si>
  <si>
    <t>300:28786</t>
  </si>
  <si>
    <t>300:58581</t>
  </si>
  <si>
    <t>300:28791</t>
  </si>
  <si>
    <t>start /low /b %USERPROFILE%\Documents\GitHub\eaglep3\Utilities\DownloadLogsFromS3.py --loco 4064 --day 2018-01-04</t>
  </si>
  <si>
    <t>start /low /b %USERPROFILE%\Documents\GitHub\eaglep3\Utilities\DownloadLogsFromS3.py --loco 4015 --day 2018-01-04</t>
  </si>
  <si>
    <t>start /low /b %USERPROFILE%\Documents\GitHub\eaglep3\Utilities\DownloadLogsFromS3.py --loco 4032 --day 2018-01-04</t>
  </si>
  <si>
    <t>start /low /b %USERPROFILE%\Documents\GitHub\eaglep3\Utilities\DownloadLogsFromS3.py --loco 4045 --day 2018-01-05</t>
  </si>
  <si>
    <t>start /low /b %USERPROFILE%\Documents\GitHub\eaglep3\Utilities\DownloadLogsFromS3.py --loco 4063 --day 2018-01-04</t>
  </si>
  <si>
    <t>start /low /b %USERPROFILE%\Documents\GitHub\eaglep3\Utilities\DownloadLogsFromS3.py --loco 4051 --day 2018-01-04</t>
  </si>
  <si>
    <t>start /low /b %USERPROFILE%\Documents\GitHub\eaglep3\Utilities\DownloadLogsFromS3.py --loco 4034 --day 2018-01-05</t>
  </si>
  <si>
    <t>start /low /b %USERPROFILE%\Documents\GitHub\eaglep3\Utilities\DownloadLogsFromS3.py --loco 4043 --day 2018-01-04</t>
  </si>
  <si>
    <t>start /low /b %USERPROFILE%\Documents\GitHub\eaglep3\Utilities\DownloadLogsFromS3.py --loco 4017 --day 2018-01-04</t>
  </si>
  <si>
    <t>start /low /b %USERPROFILE%\Documents\GitHub\eaglep3\Utilities\DownloadLogsFromS3.py --loco 4033 --day 2018-01-04</t>
  </si>
  <si>
    <t>start /low /b %USERPROFILE%\Documents\GitHub\eaglep3\Utilities\DownloadLogsFromS3.py --loco 4045 --day 2018-01-04</t>
  </si>
  <si>
    <t>start /low /b %USERPROFILE%\Documents\GitHub\eaglep3\Utilities\DownloadLogsFromS3.py --loco 4015 --day 2018-01-05</t>
  </si>
  <si>
    <t>start /low /b %USERPROFILE%\Documents\GitHub\eaglep3\Utilities\DownloadLogsFromS3.py --loco 4010 --day 2018-01-04</t>
  </si>
  <si>
    <t>Onboard en route failure</t>
  </si>
  <si>
    <t>Observed unhealthy xing for Chambers and Sable due to Wi-MAX data drop</t>
  </si>
  <si>
    <t>Observed unhealthy xing for Steele due to minor onboard en route failure</t>
  </si>
  <si>
    <t>Observed unhealthy xing for Chambers due to station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</si>
</sst>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61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43104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43104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COUNTIFS($N$13:$N$9604,"&gt;0",$AG$13:$AG$9604,I1)</f>
        <v>143</v>
      </c>
      <c r="K5" s="39"/>
      <c r="L5" s="171"/>
      <c r="M5" s="40">
        <f>AVERAGEIFS($N$13:$N$9604,$AG$13:$AG$9604,I1)</f>
        <v>37.096736596569976</v>
      </c>
      <c r="N5" s="38">
        <f t="array" ref="N5">MIN(IF($AG$13:$AG$9604=I1,IF(ISNUMBER($N$13:$N$9604),IF($N$13:$N$9604&gt;0,$N$13:$N$9604))))</f>
        <v>33.900000003632158</v>
      </c>
      <c r="O5" s="3">
        <f t="array" ref="O5">MAX(IF($AG$13:$AG$9604=I1,IF(ISNUMBER($N$13:$N$9604),IF($N$13:$N$9604&gt;0,$N$13:$N$9604))))</f>
        <v>43.399999992689118</v>
      </c>
      <c r="P5" s="2"/>
      <c r="R5" s="162" t="s">
        <v>17</v>
      </c>
      <c r="S5" s="206">
        <f>COUNTIFS($N$13:$N$9604,"&gt;0",$AG$13:$AG$9604,R1)</f>
        <v>49</v>
      </c>
      <c r="T5" s="171"/>
      <c r="U5" s="194"/>
      <c r="V5" s="210">
        <f>AVERAGEIFS($N$13:$N$9604,$AG$13:$AG$9604,R1)</f>
        <v>13.555782313092745</v>
      </c>
      <c r="W5" s="211">
        <f t="array" ref="W5">MIN(IF($AG$13:$AG$9604=R1,IF(ISNUMBER($N$13:$N$9604),IF($N$13:$N$9604&gt;0,$N$13:$N$9604))))</f>
        <v>10.850000000791624</v>
      </c>
      <c r="X5" s="199">
        <f t="array" ref="X5">MAX(IF($AG$13:$AG$9604=R1,IF(ISNUMBER($N$13:$N$9604),IF($N$13:$N$9604&gt;0,$N$13:$N$9604))))</f>
        <v>16.916666671168059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COUNT($O$13:$O$362)</f>
        <v>0</v>
      </c>
      <c r="K6" s="39"/>
      <c r="L6" s="171"/>
      <c r="M6" s="40">
        <f>IFERROR(AVERAGE($O$13:$O$362),0)</f>
        <v>0</v>
      </c>
      <c r="N6" s="38">
        <f>MIN($O$13:$O$362)</f>
        <v>0</v>
      </c>
      <c r="O6" s="3">
        <f>MAX($O$13:$O$362)</f>
        <v>0</v>
      </c>
      <c r="P6" s="2"/>
      <c r="R6" s="163" t="s">
        <v>43</v>
      </c>
      <c r="S6" s="206">
        <f>COUNT($O$13:$O$362)</f>
        <v>0</v>
      </c>
      <c r="T6" s="171"/>
      <c r="U6" s="194"/>
      <c r="V6" s="210">
        <f>IFERROR(AVERAGE($O$13:$O$362),0)</f>
        <v>0</v>
      </c>
      <c r="W6" s="211">
        <f>MIN($O$13:$O$362)</f>
        <v>0</v>
      </c>
      <c r="X6" s="199">
        <f>MAX($O$13:$O$362)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COUNTIFS($P$13:$P$9604,"&gt;0",$AG$13:$AG$9604,I1)</f>
        <v>1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COUNTIFS($P$13:$P$9604,"&gt;0",$AG$13:$AG$9604,R1)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1"/>
      <c r="M8" s="40">
        <f>M5</f>
        <v>37.096736596569976</v>
      </c>
      <c r="N8" s="38">
        <f>N5</f>
        <v>33.900000003632158</v>
      </c>
      <c r="O8" s="3">
        <f>O5</f>
        <v>43.399999992689118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13.555782313092745</v>
      </c>
      <c r="W8" s="211">
        <f>W5</f>
        <v>10.850000000791624</v>
      </c>
      <c r="X8" s="199">
        <f>X5</f>
        <v>16.916666671168059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- 2018-01-04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AVERAGE(S13:S135)</f>
        <v>0.99590163934426235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685</v>
      </c>
      <c r="B13" s="7">
        <v>4034</v>
      </c>
      <c r="C13" s="21" t="s">
        <v>192</v>
      </c>
      <c r="D13" s="21" t="s">
        <v>907</v>
      </c>
      <c r="E13" s="13">
        <v>43104.133634259262</v>
      </c>
      <c r="F13" s="13">
        <v>43104.135601851849</v>
      </c>
      <c r="G13" s="7">
        <v>55</v>
      </c>
      <c r="H13" s="21" t="s">
        <v>908</v>
      </c>
      <c r="I13" s="13">
        <v>43104.159756944442</v>
      </c>
      <c r="J13" s="7">
        <v>0</v>
      </c>
      <c r="K13" s="89" t="str">
        <f>IF(ISEVEN(B13),(B13-1)&amp;"/"&amp;B13,B13&amp;"/"&amp;(B13+1))</f>
        <v>4033/4034</v>
      </c>
      <c r="L13" s="184" t="str">
        <f>VLOOKUP(A13,'Trips&amp;Operators'!$C$1:$G$99911,5,FALSE)</f>
        <v>ROCHA YAOTL</v>
      </c>
      <c r="M13" s="6">
        <f>I13-F13</f>
        <v>2.4155092592991423E-2</v>
      </c>
      <c r="N13" s="7">
        <f>24*60*SUM($M13:$M13)</f>
        <v>34.783333333907649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-04T02:12:26-0700',mode:absolute,to:'2018-01-04T04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7.5899999999999995E-2</v>
      </c>
      <c r="Z13" s="203">
        <f>RIGHT(H13,LEN(H13)-4)/10000</f>
        <v>23.335699999999999</v>
      </c>
      <c r="AA13" s="203">
        <f>ABS(Z13-Y13)</f>
        <v>23.259799999999998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/stypes="app*4034*20180104*"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4034 --swversion DE.1.0.9.0 --startMP 204:759 --initTime 2018-01-04T03:12:26 --startdatetime 2018-01-04T03:15:16 --delay 55 --endMP 204:233357 --enddatetime 2018-01-04T03:50:03 --enforcementcount 0 &gt;&gt;%USERPROFILE%\Documents\GitHub\eaglep3-reporting\EC\2018-01-04-refined-times.txt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{"issue":{"subject":"","project_id":79,"tracker_id":40,"status_id":1,"priority_id":2,"assigned_to_id":338,"start_date":"2018-01-04","description":"","custom_fields":[{"id":1,"name":"Subdivision","value":"EC"},{"id":4,"name":"Milepost","value":"23.3357"},{"id":17,"name":"Train ID","value":"101-04"},{"id":16,"name":"Locomotive ID","value":"4034"},{"id":130,"name":"Impact","value":""},{"id":150,"name":"Time of Event (Mountain Time)","value":"03:50:03"},{"id":151,"name":"Denver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4034 --day 2018-01-04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10:50:03"},{"id":29,"name":"Sharepoint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-04T02:12:26-0700',mode:absolute,to:'2018-01-04T04:50:03-0700'))&amp;_a=(columns:!('Message%20ID',Summary),filters:!(),index:'emp_*',interval:auto,query:(query_string:(analyze_wildcard:!t,query:'%22rtdc.l.rtdc.4034%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699</v>
      </c>
      <c r="B14" s="225">
        <v>4033</v>
      </c>
      <c r="C14" s="227" t="s">
        <v>192</v>
      </c>
      <c r="D14" s="227" t="s">
        <v>909</v>
      </c>
      <c r="E14" s="226">
        <v>43104.172268518516</v>
      </c>
      <c r="F14" s="226">
        <v>43104.175324074073</v>
      </c>
      <c r="G14" s="225">
        <v>80</v>
      </c>
      <c r="H14" s="227" t="s">
        <v>910</v>
      </c>
      <c r="I14" s="226">
        <v>43104.20108796296</v>
      </c>
      <c r="J14" s="225">
        <v>0</v>
      </c>
      <c r="K14" s="237" t="str">
        <f>IF(ISEVEN(B14),(B14-1)&amp;"/"&amp;B14,B14&amp;"/"&amp;(B14+1))</f>
        <v>4033/4034</v>
      </c>
      <c r="L14" s="245" t="str">
        <f>VLOOKUP(A14,'Trips&amp;Operators'!$C$1:$G$99911,5,FALSE)</f>
        <v>ROCHA YAOTL</v>
      </c>
      <c r="M14" s="224">
        <f>I14-F14</f>
        <v>2.5763888887013309E-2</v>
      </c>
      <c r="N14" s="225">
        <f>24*60*SUM($M14:$M14)</f>
        <v>37.099999997299165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-04T03:08:04-0700',mode:absolute,to:'2018-01-04T05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23.301300000000001</v>
      </c>
      <c r="Z14" s="247">
        <f>RIGHT(H14,LEN(H14)-4)/10000</f>
        <v>1.6E-2</v>
      </c>
      <c r="AA14" s="247">
        <f>ABS(Z14-Y14)</f>
        <v>23.285300000000003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/stypes="app*4033*20180104*"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6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4033 --swversion DE.1.0.9.0 --startMP 204:233013 --initTime 2018-01-04T04:08:04 --startdatetime 2018-01-04T04:12:28 --delay 80 --endMP 204:160 --enddatetime 2018-01-04T04:49:34 --enforcementcount 0 &gt;&gt;%USERPROFILE%\Documents\GitHub\eaglep3-reporting\EC\2018-01-04-refined-times.txt</v>
      </c>
      <c r="AI14" s="238" t="str">
        <f t="shared" ref="AI14:AI76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{"issue":{"subject":"","project_id":79,"tracker_id":40,"status_id":1,"priority_id":2,"assigned_to_id":338,"start_date":"2018-01-04","description":"","custom_fields":[{"id":1,"name":"Subdivision","value":"EC"},{"id":4,"name":"Milepost","value":"0.016"},{"id":17,"name":"Train ID","value":"102-04"},{"id":16,"name":"Locomotive ID","value":"4033"},{"id":130,"name":"Impact","value":""},{"id":150,"name":"Time of Event (Mountain Time)","value":"04:49:34"},{"id":151,"name":"Denver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6" si="7">"start /low /b "&amp;dls3logs&amp;" --loco "&amp;B14&amp;" --day "&amp;TEXT(F14,"YYYY-MM-DD")</f>
        <v>start /low /b %USERPROFILE%\Documents\GitHub\eaglep3\Utilities\DownloadLogsFromS3.py --loco 4033 --day 2018-01-04</v>
      </c>
      <c r="AN14" s="241" t="str">
        <f t="shared" ref="AN14:AN76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11:49:34"},{"id":29,"name":"Sharepoint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6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-04T03:08:04-0700',mode:absolute,to:'2018-01-04T05:49:34-0700'))&amp;_a=(columns:!('Message%20ID',Summary),filters:!(),index:'emp_*',interval:auto,query:(query_string:(analyze_wildcard:!t,query:'%22rtdc.l.rtdc.4033%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696</v>
      </c>
      <c r="B15" s="225">
        <v>4018</v>
      </c>
      <c r="C15" s="227" t="s">
        <v>192</v>
      </c>
      <c r="D15" s="227" t="s">
        <v>911</v>
      </c>
      <c r="E15" s="226">
        <v>43104.154004629629</v>
      </c>
      <c r="F15" s="226">
        <v>43104.156597222223</v>
      </c>
      <c r="G15" s="225">
        <v>82</v>
      </c>
      <c r="H15" s="227" t="s">
        <v>602</v>
      </c>
      <c r="I15" s="226">
        <v>43104.181863425925</v>
      </c>
      <c r="J15" s="225">
        <v>0</v>
      </c>
      <c r="K15" s="237" t="str">
        <f>IF(ISEVEN(B15),(B15-1)&amp;"/"&amp;B15,B15&amp;"/"&amp;(B15+1))</f>
        <v>4017/4018</v>
      </c>
      <c r="L15" s="245" t="str">
        <f>VLOOKUP(A15,'Trips&amp;Operators'!$C$1:$G$99911,5,FALSE)</f>
        <v>STARKS ANGELINA</v>
      </c>
      <c r="M15" s="224">
        <f>I15-F15</f>
        <v>2.5266203701903578E-2</v>
      </c>
      <c r="N15" s="225">
        <f>24*60*SUM($M15:$M15)</f>
        <v>36.383333330741152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-04T02:41:46-0700',mode:absolute,to:'2018-01-04T05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4.58E-2</v>
      </c>
      <c r="Z15" s="247">
        <f>RIGHT(H15,LEN(H15)-4)/10000</f>
        <v>23.331399999999999</v>
      </c>
      <c r="AA15" s="247">
        <f>ABS(Z15-Y15)</f>
        <v>23.285599999999999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/stypes="app*4018*20180104*"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103-04 --locoid 4018 --swversion DE.1.0.9.0 --startMP 204:458 --initTime 2018-01-04T03:41:46 --startdatetime 2018-01-04T03:45:30 --delay 82 --endMP 204:233314 --enddatetime 2018-01-04T04:21:53 --enforcementcount 0 &gt;&gt;%USERPROFILE%\Documents\GitHub\eaglep3-reporting\EC\2018-01-04-refined-times.txt</v>
      </c>
      <c r="AI15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{"issue":{"subject":"","project_id":79,"tracker_id":40,"status_id":1,"priority_id":2,"assigned_to_id":338,"start_date":"2018-01-04","description":"","custom_fields":[{"id":1,"name":"Subdivision","value":"EC"},{"id":4,"name":"Milepost","value":"23.3314"},{"id":17,"name":"Train ID","value":"103-04"},{"id":16,"name":"Locomotive ID","value":"4018"},{"id":130,"name":"Impact","value":""},{"id":150,"name":"Time of Event (Mountain Time)","value":"04:21:53"},{"id":151,"name":"Denver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4018 --day 2018-01-04</v>
      </c>
      <c r="AN15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11:21:53"},{"id":29,"name":"Sharepoint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-04T02:41:46-0700',mode:absolute,to:'2018-01-04T05:21:53-0700'))&amp;_a=(columns:!('Message%20ID',Summary),filters:!(),index:'emp_*',interval:auto,query:(query_string:(analyze_wildcard:!t,query:'%22rtdc.l.rtdc.4018%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704</v>
      </c>
      <c r="B16" s="225">
        <v>4017</v>
      </c>
      <c r="C16" s="227" t="s">
        <v>192</v>
      </c>
      <c r="D16" s="227" t="s">
        <v>912</v>
      </c>
      <c r="E16" s="226">
        <v>43104.192245370374</v>
      </c>
      <c r="F16" s="226">
        <v>43104.196006944447</v>
      </c>
      <c r="G16" s="225">
        <v>81</v>
      </c>
      <c r="H16" s="227" t="s">
        <v>541</v>
      </c>
      <c r="I16" s="226">
        <v>43104.222951388889</v>
      </c>
      <c r="J16" s="225">
        <v>0</v>
      </c>
      <c r="K16" s="237" t="str">
        <f>IF(ISEVEN(B16),(B16-1)&amp;"/"&amp;B16,B16&amp;"/"&amp;(B16+1))</f>
        <v>4017/4018</v>
      </c>
      <c r="L16" s="245" t="str">
        <f>VLOOKUP(A16,'Trips&amp;Operators'!$C$1:$G$99911,5,FALSE)</f>
        <v>STARKS ANGELINA</v>
      </c>
      <c r="M16" s="224">
        <f>I16-F16</f>
        <v>2.6944444442051463E-2</v>
      </c>
      <c r="N16" s="225">
        <f>24*60*SUM($M16:$M16)</f>
        <v>38.799999996554106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-04T03:36:50-0700',mode:absolute,to:'2018-01-04T06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23.2987</v>
      </c>
      <c r="Z16" s="247">
        <f>RIGHT(H16,LEN(H16)-4)/10000</f>
        <v>1.38E-2</v>
      </c>
      <c r="AA16" s="247">
        <f>ABS(Z16-Y16)</f>
        <v>23.2849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/stypes="app*4017*20180104*"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104-04 --locoid 4017 --swversion DE.1.0.9.0 --startMP 204:232987 --initTime 2018-01-04T04:36:50 --startdatetime 2018-01-04T04:42:15 --delay 81 --endMP 204:138 --enddatetime 2018-01-04T05:21:03 --enforcementcount 0 &gt;&gt;%USERPROFILE%\Documents\GitHub\eaglep3-reporting\EC\2018-01-04-refined-times.txt</v>
      </c>
      <c r="AI16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{"issue":{"subject":"","project_id":79,"tracker_id":40,"status_id":1,"priority_id":2,"assigned_to_id":338,"start_date":"2018-01-04","description":"","custom_fields":[{"id":1,"name":"Subdivision","value":"EC"},{"id":4,"name":"Milepost","value":"0.0138"},{"id":17,"name":"Train ID","value":"104-04"},{"id":16,"name":"Locomotive ID","value":"4017"},{"id":130,"name":"Impact","value":""},{"id":150,"name":"Time of Event (Mountain Time)","value":"05:21:03"},{"id":151,"name":"Denver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4017 --day 2018-01-04</v>
      </c>
      <c r="AN16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-04T03:36:50-0700',mode:absolute,to:'2018-01-04T06:21:03-0700'))&amp;_a=(columns:!('Message%20ID',Summary),filters:!(),index:'emp_*',interval:auto,query:(query_string:(analyze_wildcard:!t,query:'%22rtdc.l.rtdc.4017%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700</v>
      </c>
      <c r="B17" s="225">
        <v>4046</v>
      </c>
      <c r="C17" s="227" t="s">
        <v>192</v>
      </c>
      <c r="D17" s="227" t="s">
        <v>505</v>
      </c>
      <c r="E17" s="226">
        <v>43104.173148148147</v>
      </c>
      <c r="F17" s="226">
        <v>43104.177291666667</v>
      </c>
      <c r="G17" s="225">
        <v>84</v>
      </c>
      <c r="H17" s="227" t="s">
        <v>913</v>
      </c>
      <c r="I17" s="226">
        <v>43104.202337962961</v>
      </c>
      <c r="J17" s="225">
        <v>0</v>
      </c>
      <c r="K17" s="237" t="str">
        <f>IF(ISEVEN(B17),(B17-1)&amp;"/"&amp;B17,B17&amp;"/"&amp;(B17+1))</f>
        <v>4045/4046</v>
      </c>
      <c r="L17" s="245" t="str">
        <f>VLOOKUP(A17,'Trips&amp;Operators'!$C$1:$G$99911,5,FALSE)</f>
        <v>LONG FULLER</v>
      </c>
      <c r="M17" s="224">
        <f>I17-F17</f>
        <v>2.5046296294021886E-2</v>
      </c>
      <c r="N17" s="225">
        <f>24*60*SUM($M17:$M17)</f>
        <v>36.066666663391516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-04T03:09:20-0700',mode:absolute,to:'2018-01-04T05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5.0799999999999998E-2</v>
      </c>
      <c r="Z17" s="247">
        <f>RIGHT(H17,LEN(H17)-4)/10000</f>
        <v>23.328099999999999</v>
      </c>
      <c r="AA17" s="247">
        <f>ABS(Z17-Y17)</f>
        <v>23.2773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/stypes="app*4046*20180104*"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105-04 --locoid 4046 --swversion DE.1.0.9.0 --startMP 204:508 --initTime 2018-01-04T04:09:20 --startdatetime 2018-01-04T04:15:18 --delay 84 --endMP 204:233281 --enddatetime 2018-01-04T04:51:22 --enforcementcount 0 &gt;&gt;%USERPROFILE%\Documents\GitHub\eaglep3-reporting\EC\2018-01-04-refined-times.txt</v>
      </c>
      <c r="AI17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{"issue":{"subject":"","project_id":79,"tracker_id":40,"status_id":1,"priority_id":2,"assigned_to_id":338,"start_date":"2018-01-04","description":"","custom_fields":[{"id":1,"name":"Subdivision","value":"EC"},{"id":4,"name":"Milepost","value":"23.3281"},{"id":17,"name":"Train ID","value":"105-04"},{"id":16,"name":"Locomotive ID","value":"4046"},{"id":130,"name":"Impact","value":""},{"id":150,"name":"Time of Event (Mountain Time)","value":"04:51:22"},{"id":151,"name":"Denver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4046 --day 2018-01-04</v>
      </c>
      <c r="AN17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11:51:22"},{"id":29,"name":"Sharepoint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-04T03:09:20-0700',mode:absolute,to:'2018-01-04T05:51:22-0700'))&amp;_a=(columns:!('Message%20ID',Summary),filters:!(),index:'emp_*',interval:auto,query:(query_string:(analyze_wildcard:!t,query:'%22rtdc.l.rtdc.4046%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658</v>
      </c>
      <c r="B18" s="225">
        <v>4045</v>
      </c>
      <c r="C18" s="227" t="s">
        <v>192</v>
      </c>
      <c r="D18" s="227" t="s">
        <v>914</v>
      </c>
      <c r="E18" s="226">
        <v>43104.209872685184</v>
      </c>
      <c r="F18" s="226">
        <v>43104.216851851852</v>
      </c>
      <c r="G18" s="225">
        <v>62</v>
      </c>
      <c r="H18" s="227" t="s">
        <v>915</v>
      </c>
      <c r="I18" s="226">
        <v>43104.244386574072</v>
      </c>
      <c r="J18" s="225">
        <v>0</v>
      </c>
      <c r="K18" s="237" t="str">
        <f>IF(ISEVEN(B18),(B18-1)&amp;"/"&amp;B18,B18&amp;"/"&amp;(B18+1))</f>
        <v>4045/4046</v>
      </c>
      <c r="L18" s="245" t="str">
        <f>VLOOKUP(A18,'Trips&amp;Operators'!$C$1:$G$99911,5,FALSE)</f>
        <v>LONG FULLER</v>
      </c>
      <c r="M18" s="224">
        <f>I18-F18</f>
        <v>2.753472221957054E-2</v>
      </c>
      <c r="N18" s="225">
        <f>24*60*SUM($M18:$M18)</f>
        <v>39.649999996181577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-04T04:02:13-0700',mode:absolute,to:'2018-01-04T06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23.297000000000001</v>
      </c>
      <c r="Z18" s="247">
        <f>RIGHT(H18,LEN(H18)-4)/10000</f>
        <v>1.9099999999999999E-2</v>
      </c>
      <c r="AA18" s="247">
        <f>ABS(Z18-Y18)</f>
        <v>23.277899999999999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/stypes="app*4045*20180104*"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106-04 --locoid 4045 --swversion DE.1.0.9.0 --startMP 204:232970 --initTime 2018-01-04T05:02:13 --startdatetime 2018-01-04T05:12:16 --delay 62 --endMP 204:191 --enddatetime 2018-01-04T05:51:55 --enforcementcount 0 &gt;&gt;%USERPROFILE%\Documents\GitHub\eaglep3-reporting\EC\2018-01-04-refined-times.txt</v>
      </c>
      <c r="AI18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{"issue":{"subject":"","project_id":79,"tracker_id":40,"status_id":1,"priority_id":2,"assigned_to_id":338,"start_date":"2018-01-04","description":"","custom_fields":[{"id":1,"name":"Subdivision","value":"EC"},{"id":4,"name":"Milepost","value":"0.0191"},{"id":17,"name":"Train ID","value":"106-04"},{"id":16,"name":"Locomotive ID","value":"4045"},{"id":130,"name":"Impact","value":""},{"id":150,"name":"Time of Event (Mountain Time)","value":"05:51:55"},{"id":151,"name":"Denver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4045 --day 2018-01-04</v>
      </c>
      <c r="AN18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-04T04:02:13-0700',mode:absolute,to:'2018-01-04T06:51:55-0700'))&amp;_a=(columns:!('Message%20ID',Summary),filters:!(),index:'emp_*',interval:auto,query:(query_string:(analyze_wildcard:!t,query:'%22rtdc.l.rtdc.4045%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703</v>
      </c>
      <c r="B19" s="225">
        <v>4064</v>
      </c>
      <c r="C19" s="227" t="s">
        <v>192</v>
      </c>
      <c r="D19" s="227" t="s">
        <v>525</v>
      </c>
      <c r="E19" s="226">
        <v>43104.182083333333</v>
      </c>
      <c r="F19" s="226">
        <v>43104.188009259262</v>
      </c>
      <c r="G19" s="225">
        <v>66</v>
      </c>
      <c r="H19" s="227" t="s">
        <v>916</v>
      </c>
      <c r="I19" s="226">
        <v>43104.21166666667</v>
      </c>
      <c r="J19" s="225">
        <v>0</v>
      </c>
      <c r="K19" s="237" t="str">
        <f>IF(ISEVEN(B19),(B19-1)&amp;"/"&amp;B19,B19&amp;"/"&amp;(B19+1))</f>
        <v>4063/4064</v>
      </c>
      <c r="L19" s="245" t="str">
        <f>VLOOKUP(A19,'Trips&amp;Operators'!$C$1:$G$99911,5,FALSE)</f>
        <v>GEBRETEKLE DAGNEW</v>
      </c>
      <c r="M19" s="224">
        <f>I19-F19</f>
        <v>2.3657407407881692E-2</v>
      </c>
      <c r="N19" s="225">
        <f>24*60*SUM($M19:$M19)</f>
        <v>34.066666667349637</v>
      </c>
      <c r="O19" s="225"/>
      <c r="P19" s="225"/>
      <c r="Q19" s="228"/>
      <c r="R19" s="242" t="s">
        <v>1121</v>
      </c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-04T03:22:12-0700',mode:absolute,to:'2018-01-04T06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4.5100000000000001E-2</v>
      </c>
      <c r="Z19" s="247">
        <f>RIGHT(H19,LEN(H19)-4)/10000</f>
        <v>23.3355</v>
      </c>
      <c r="AA19" s="247">
        <f>ABS(Z19-Y19)</f>
        <v>23.290399999999998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/stypes="app*4064*20180104*"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107-04 --locoid 4064 --swversion DE.1.0.9.0 --startMP 204:451 --initTime 2018-01-04T04:22:12 --startdatetime 2018-01-04T04:30:44 --delay 66 --endMP 204:233355 --enddatetime 2018-01-04T05:04:48 --enforcementcount 0 &gt;&gt;%USERPROFILE%\Documents\GitHub\eaglep3-reporting\EC\2018-01-04-refined-times.txt</v>
      </c>
      <c r="AI19" s="238" t="str">
        <f t="shared" si="6"/>
        <v>echo {"issue":{"subject":"Observed unhealthy xing for Steele due to minor onboard en route failure","project_id":79,"tracker_id":40,"status_id":1,"priority_id":2,"assigned_to_id":338,"start_date":"2018-01-04","description":"","custom_fields":[{"id":1,"name":"Subdivision","value":"EC"},{"id":4,"name":"Milepost","value":"23.3355"},{"id":17,"name":"Train ID","value":"107-04"},{"id":16,"name":"Locomotive ID","value":"4064"},{"id":130,"name":"Impact","value":""},{"id":150,"name":"Time of Event (Mountain Time)","value":"05:04:48"},{"id":151,"name":"Denver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4064 --day 2018-01-04</v>
      </c>
      <c r="AN19" s="241" t="str">
        <f t="shared" si="8"/>
        <v>echo {"issue":{"subject":"Observed unhealthy xing for Steele due to minor onboard en route failure","project_id":30,"tracker_id":4,"status_id":1,"priority_id":1,"assigned_to_id":10,"start_date":"2018-01-04","description":"","custom_fields":[{"id":30,"name":"Category","value":"Issue"},{"id":3,"name":"Functional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-04T03:22:12-0700',mode:absolute,to:'2018-01-04T06:04:48-0700'))&amp;_a=(columns:!('Message%20ID',Summary),filters:!(),index:'emp_*',interval:auto,query:(query_string:(analyze_wildcard:!t,query:'%22rtdc.l.rtdc.4064%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713</v>
      </c>
      <c r="B20" s="225">
        <v>4063</v>
      </c>
      <c r="C20" s="227" t="s">
        <v>192</v>
      </c>
      <c r="D20" s="227" t="s">
        <v>917</v>
      </c>
      <c r="E20" s="226">
        <v>43104.212951388887</v>
      </c>
      <c r="F20" s="226">
        <v>43104.227256944447</v>
      </c>
      <c r="G20" s="225">
        <v>52</v>
      </c>
      <c r="H20" s="227" t="s">
        <v>918</v>
      </c>
      <c r="I20" s="226">
        <v>43104.252326388887</v>
      </c>
      <c r="J20" s="225">
        <v>0</v>
      </c>
      <c r="K20" s="237" t="str">
        <f>IF(ISEVEN(B20),(B20-1)&amp;"/"&amp;B20,B20&amp;"/"&amp;(B20+1))</f>
        <v>4063/4064</v>
      </c>
      <c r="L20" s="245" t="str">
        <f>VLOOKUP(A20,'Trips&amp;Operators'!$C$1:$G$99911,5,FALSE)</f>
        <v>GEBRETEKLE DAGNEW</v>
      </c>
      <c r="M20" s="224">
        <f>I20-F20</f>
        <v>2.5069444440305233E-2</v>
      </c>
      <c r="N20" s="225">
        <f>24*60*SUM($M20:$M20)</f>
        <v>36.099999994039536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-04T04:06:39-0700',mode:absolute,to:'2018-01-04T07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23.301500000000001</v>
      </c>
      <c r="Z20" s="247">
        <f>RIGHT(H20,LEN(H20)-4)/10000</f>
        <v>1.49E-2</v>
      </c>
      <c r="AA20" s="247">
        <f>ABS(Z20-Y20)</f>
        <v>23.2866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/stypes="app*4063*20180104*"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108-04 --locoid 4063 --swversion DE.1.0.9.0 --startMP 204:233015 --initTime 2018-01-04T05:06:39 --startdatetime 2018-01-04T05:27:15 --delay 52 --endMP 204:149 --enddatetime 2018-01-04T06:03:21 --enforcementcount 0 &gt;&gt;%USERPROFILE%\Documents\GitHub\eaglep3-reporting\EC\2018-01-04-refined-times.txt</v>
      </c>
      <c r="AI20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{"issue":{"subject":"","project_id":79,"tracker_id":40,"status_id":1,"priority_id":2,"assigned_to_id":338,"start_date":"2018-01-04","description":"","custom_fields":[{"id":1,"name":"Subdivision","value":"EC"},{"id":4,"name":"Milepost","value":"0.0149"},{"id":17,"name":"Train ID","value":"108-04"},{"id":16,"name":"Locomotive ID","value":"4063"},{"id":130,"name":"Impact","value":""},{"id":150,"name":"Time of Event (Mountain Time)","value":"06:03:21"},{"id":151,"name":"Denver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4063 --day 2018-01-04</v>
      </c>
      <c r="AN20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-04T04:06:39-0700',mode:absolute,to:'2018-01-04T07:03:21-0700'))&amp;_a=(columns:!('Message%20ID',Summary),filters:!(),index:'emp_*',interval:auto,query:(query_string:(analyze_wildcard:!t,query:'%22rtdc.l.rtdc.4063%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705</v>
      </c>
      <c r="B21" s="225">
        <v>4052</v>
      </c>
      <c r="C21" s="227" t="s">
        <v>192</v>
      </c>
      <c r="D21" s="227" t="s">
        <v>617</v>
      </c>
      <c r="E21" s="226">
        <v>43104.192754629628</v>
      </c>
      <c r="F21" s="226">
        <v>43104.199097222219</v>
      </c>
      <c r="G21" s="225">
        <v>106</v>
      </c>
      <c r="H21" s="227" t="s">
        <v>635</v>
      </c>
      <c r="I21" s="226">
        <v>43104.224502314813</v>
      </c>
      <c r="J21" s="225">
        <v>0</v>
      </c>
      <c r="K21" s="237" t="str">
        <f>IF(ISEVEN(B21),(B21-1)&amp;"/"&amp;B21,B21&amp;"/"&amp;(B21+1))</f>
        <v>4051/4052</v>
      </c>
      <c r="L21" s="245" t="str">
        <f>VLOOKUP(A21,'Trips&amp;Operators'!$C$1:$G$99911,5,FALSE)</f>
        <v>WILLIAMS DONTE</v>
      </c>
      <c r="M21" s="224">
        <f>I21-F21</f>
        <v>2.5405092594155576E-2</v>
      </c>
      <c r="N21" s="225">
        <f>24*60*SUM($M21:$M21)</f>
        <v>36.58333333558403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-04T03:37:34-0700',mode:absolute,to:'2018-01-04T06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5.04E-2</v>
      </c>
      <c r="Z21" s="247">
        <f>RIGHT(H21,LEN(H21)-4)/10000</f>
        <v>23.324400000000001</v>
      </c>
      <c r="AA21" s="247">
        <f>ABS(Z21-Y21)</f>
        <v>23.274000000000001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s3://rtdc.mdm.uploadarchive.raw/RTDC4052/ "%USERPROFILE%\AppData\Local\Temp\OnboardLogs"\RTDC4052\2018-01-04 --exclude "*" --recursive --include "*20180104*" &amp; "%USERPROFILE%\Documents\GitHub\mrs-test-scripts\Headless Mode &amp; Sideloading\WalkAndUnGZ.bat" "%USERPROFILE%\AppData\Local\Temp\OnboardLogs"\RTDC4052\2018-01-04 &amp; 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/stypes="app*4052*20180104*"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109-04 --locoid 4052 --swversion DE.1.0.9.0 --startMP 204:504 --initTime 2018-01-04T04:37:34 --startdatetime 2018-01-04T04:46:42 --delay 106 --endMP 204:233244 --enddatetime 2018-01-04T05:23:17 --enforcementcount 0 &gt;&gt;%USERPROFILE%\Documents\GitHub\eaglep3-reporting\EC\2018-01-04-refined-times.txt</v>
      </c>
      <c r="AI21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{"issue":{"subject":"","project_id":79,"tracker_id":40,"status_id":1,"priority_id":2,"assigned_to_id":338,"start_date":"2018-01-04","description":"","custom_fields":[{"id":1,"name":"Subdivision","value":"EC"},{"id":4,"name":"Milepost","value":"23.3244"},{"id":17,"name":"Train ID","value":"109-04"},{"id":16,"name":"Locomotive ID","value":"4052"},{"id":130,"name":"Impact","value":""},{"id":150,"name":"Time of Event (Mountain Time)","value":"05:23:17"},{"id":151,"name":"Denver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4052 --day 2018-01-04</v>
      </c>
      <c r="AN21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-04T03:37:34-0700',mode:absolute,to:'2018-01-04T06:23:17-0700'))&amp;_a=(columns:!('Message%20ID',Summary),filters:!(),index:'emp_*',interval:auto,query:(query_string:(analyze_wildcard:!t,query:'%22rtdc.l.rtdc.4052%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719</v>
      </c>
      <c r="B22" s="225">
        <v>4051</v>
      </c>
      <c r="C22" s="227" t="s">
        <v>192</v>
      </c>
      <c r="D22" s="227" t="s">
        <v>564</v>
      </c>
      <c r="E22" s="226">
        <v>43104.234375</v>
      </c>
      <c r="F22" s="226">
        <v>43104.237708333334</v>
      </c>
      <c r="G22" s="225">
        <v>88</v>
      </c>
      <c r="H22" s="227" t="s">
        <v>481</v>
      </c>
      <c r="I22" s="226">
        <v>43104.264884259261</v>
      </c>
      <c r="J22" s="225">
        <v>0</v>
      </c>
      <c r="K22" s="237" t="str">
        <f>IF(ISEVEN(B22),(B22-1)&amp;"/"&amp;B22,B22&amp;"/"&amp;(B22+1))</f>
        <v>4051/4052</v>
      </c>
      <c r="L22" s="245" t="str">
        <f>VLOOKUP(A22,'Trips&amp;Operators'!$C$1:$G$99911,5,FALSE)</f>
        <v>WILLIAMS DONTE</v>
      </c>
      <c r="M22" s="224">
        <f>I22-F22</f>
        <v>2.7175925926712807E-2</v>
      </c>
      <c r="N22" s="225">
        <f>24*60*SUM($M22:$M22)</f>
        <v>39.133333334466442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-04T04:37:30-0700',mode:absolute,to:'2018-01-04T07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23.293800000000001</v>
      </c>
      <c r="Z22" s="247">
        <f>RIGHT(H22,LEN(H22)-4)/10000</f>
        <v>1.9400000000000001E-2</v>
      </c>
      <c r="AA22" s="247">
        <f>ABS(Z22-Y22)</f>
        <v>23.2744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/stypes="app*4051*20180104*"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110-04 --locoid 4051 --swversion DE.1.0.9.0 --startMP 204:232938 --initTime 2018-01-04T05:37:30 --startdatetime 2018-01-04T05:42:18 --delay 88 --endMP 204:194 --enddatetime 2018-01-04T06:21:26 --enforcementcount 0 &gt;&gt;%USERPROFILE%\Documents\GitHub\eaglep3-reporting\EC\2018-01-04-refined-times.txt</v>
      </c>
      <c r="AI22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{"issue":{"subject":"","project_id":79,"tracker_id":40,"status_id":1,"priority_id":2,"assigned_to_id":338,"start_date":"2018-01-04","description":"","custom_fields":[{"id":1,"name":"Subdivision","value":"EC"},{"id":4,"name":"Milepost","value":"0.0194"},{"id":17,"name":"Train ID","value":"110-04"},{"id":16,"name":"Locomotive ID","value":"4051"},{"id":130,"name":"Impact","value":""},{"id":150,"name":"Time of Event (Mountain Time)","value":"06:21:26"},{"id":151,"name":"Denver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4051 --day 2018-01-04</v>
      </c>
      <c r="AN22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-04T04:37:30-0700',mode:absolute,to:'2018-01-04T07:21:26-0700'))&amp;_a=(columns:!('Message%20ID',Summary),filters:!(),index:'emp_*',interval:auto,query:(query_string:(analyze_wildcard:!t,query:'%22rtdc.l.rtdc.4051%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711</v>
      </c>
      <c r="B23" s="225">
        <v>4034</v>
      </c>
      <c r="C23" s="227" t="s">
        <v>192</v>
      </c>
      <c r="D23" s="227" t="s">
        <v>523</v>
      </c>
      <c r="E23" s="226">
        <v>43104.205520833333</v>
      </c>
      <c r="F23" s="226">
        <v>43104.208564814813</v>
      </c>
      <c r="G23" s="225">
        <v>65</v>
      </c>
      <c r="H23" s="227" t="s">
        <v>919</v>
      </c>
      <c r="I23" s="226">
        <v>43104.233472222222</v>
      </c>
      <c r="J23" s="225">
        <v>0</v>
      </c>
      <c r="K23" s="237" t="str">
        <f>IF(ISEVEN(B23),(B23-1)&amp;"/"&amp;B23,B23&amp;"/"&amp;(B23+1))</f>
        <v>4033/4034</v>
      </c>
      <c r="L23" s="245" t="str">
        <f>VLOOKUP(A23,'Trips&amp;Operators'!$C$1:$G$99911,5,FALSE)</f>
        <v>ROCHA YAOTL</v>
      </c>
      <c r="M23" s="224">
        <f>I23-F23</f>
        <v>2.4907407409045845E-2</v>
      </c>
      <c r="N23" s="225">
        <f>24*60*SUM($M23:$M23)</f>
        <v>35.866666669026017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-04T03:55:57-0700',mode:absolute,to:'2018-01-04T06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4.6699999999999998E-2</v>
      </c>
      <c r="Z23" s="247">
        <f>RIGHT(H23,LEN(H23)-4)/10000</f>
        <v>23.323599999999999</v>
      </c>
      <c r="AA23" s="247">
        <f>ABS(Z23-Y23)</f>
        <v>23.276899999999998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/stypes="app*4034*20180104*"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111-04 --locoid 4034 --swversion DE.1.0.9.0 --startMP 204:467 --initTime 2018-01-04T04:55:57 --startdatetime 2018-01-04T05:00:20 --delay 65 --endMP 204:233236 --enddatetime 2018-01-04T05:36:12 --enforcementcount 0 &gt;&gt;%USERPROFILE%\Documents\GitHub\eaglep3-reporting\EC\2018-01-04-refined-times.txt</v>
      </c>
      <c r="AI23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{"issue":{"subject":"","project_id":79,"tracker_id":40,"status_id":1,"priority_id":2,"assigned_to_id":338,"start_date":"2018-01-04","description":"","custom_fields":[{"id":1,"name":"Subdivision","value":"EC"},{"id":4,"name":"Milepost","value":"23.3236"},{"id":17,"name":"Train ID","value":"111-04"},{"id":16,"name":"Locomotive ID","value":"4034"},{"id":130,"name":"Impact","value":""},{"id":150,"name":"Time of Event (Mountain Time)","value":"05:36:12"},{"id":151,"name":"Denver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4034 --day 2018-01-04</v>
      </c>
      <c r="AN23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-04T03:55:57-0700',mode:absolute,to:'2018-01-04T06:36:12-0700'))&amp;_a=(columns:!('Message%20ID',Summary),filters:!(),index:'emp_*',interval:auto,query:(query_string:(analyze_wildcard:!t,query:'%22rtdc.l.rtdc.4034%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722</v>
      </c>
      <c r="B24" s="225">
        <v>4033</v>
      </c>
      <c r="C24" s="227" t="s">
        <v>192</v>
      </c>
      <c r="D24" s="227" t="s">
        <v>920</v>
      </c>
      <c r="E24" s="226">
        <v>43104.244513888887</v>
      </c>
      <c r="F24" s="226">
        <v>43104.248379629629</v>
      </c>
      <c r="G24" s="225">
        <v>84</v>
      </c>
      <c r="H24" s="227" t="s">
        <v>918</v>
      </c>
      <c r="I24" s="226">
        <v>43104.274189814816</v>
      </c>
      <c r="J24" s="225">
        <v>0</v>
      </c>
      <c r="K24" s="237" t="str">
        <f>IF(ISEVEN(B24),(B24-1)&amp;"/"&amp;B24,B24&amp;"/"&amp;(B24+1))</f>
        <v>4033/4034</v>
      </c>
      <c r="L24" s="245" t="str">
        <f>VLOOKUP(A24,'Trips&amp;Operators'!$C$1:$G$99911,5,FALSE)</f>
        <v>ROCHA YAOTL</v>
      </c>
      <c r="M24" s="224">
        <f>I24-F24</f>
        <v>2.5810185186855961E-2</v>
      </c>
      <c r="N24" s="225">
        <f>24*60*SUM($M24:$M24)</f>
        <v>37.166666669072583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-04T04:52:06-0700',mode:absolute,to:'2018-01-04T07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23.290700000000001</v>
      </c>
      <c r="Z24" s="247">
        <f>RIGHT(H24,LEN(H24)-4)/10000</f>
        <v>1.49E-2</v>
      </c>
      <c r="AA24" s="247">
        <f>ABS(Z24-Y24)</f>
        <v>23.2758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/stypes="app*4033*20180104*"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112-04 --locoid 4033 --swversion DE.1.0.9.0 --startMP 204:232907 --initTime 2018-01-04T05:52:06 --startdatetime 2018-01-04T05:57:40 --delay 84 --endMP 204:149 --enddatetime 2018-01-04T06:34:50 --enforcementcount 0 &gt;&gt;%USERPROFILE%\Documents\GitHub\eaglep3-reporting\EC\2018-01-04-refined-times.txt</v>
      </c>
      <c r="AI24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{"issue":{"subject":"","project_id":79,"tracker_id":40,"status_id":1,"priority_id":2,"assigned_to_id":338,"start_date":"2018-01-04","description":"","custom_fields":[{"id":1,"name":"Subdivision","value":"EC"},{"id":4,"name":"Milepost","value":"0.0149"},{"id":17,"name":"Train ID","value":"112-04"},{"id":16,"name":"Locomotive ID","value":"4033"},{"id":130,"name":"Impact","value":""},{"id":150,"name":"Time of Event (Mountain Time)","value":"06:34:50"},{"id":151,"name":"Denver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4033 --day 2018-01-04</v>
      </c>
      <c r="AN24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-04T04:52:06-0700',mode:absolute,to:'2018-01-04T07:34:50-0700'))&amp;_a=(columns:!('Message%20ID',Summary),filters:!(),index:'emp_*',interval:auto,query:(query_string:(analyze_wildcard:!t,query:'%22rtdc.l.rtdc.4033%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714</v>
      </c>
      <c r="B25" s="225">
        <v>4032</v>
      </c>
      <c r="C25" s="227" t="s">
        <v>192</v>
      </c>
      <c r="D25" s="227" t="s">
        <v>551</v>
      </c>
      <c r="E25" s="226">
        <v>43104.21334490741</v>
      </c>
      <c r="F25" s="226">
        <v>43104.218935185185</v>
      </c>
      <c r="G25" s="225">
        <v>70</v>
      </c>
      <c r="H25" s="227" t="s">
        <v>602</v>
      </c>
      <c r="I25" s="226">
        <v>43104.243425925924</v>
      </c>
      <c r="J25" s="225">
        <v>0</v>
      </c>
      <c r="K25" s="237" t="str">
        <f>IF(ISEVEN(B25),(B25-1)&amp;"/"&amp;B25,B25&amp;"/"&amp;(B25+1))</f>
        <v>4031/4032</v>
      </c>
      <c r="L25" s="245" t="str">
        <f>VLOOKUP(A25,'Trips&amp;Operators'!$C$1:$G$99911,5,FALSE)</f>
        <v>BEAM ROSS</v>
      </c>
      <c r="M25" s="224">
        <f>I25-F25</f>
        <v>2.4490740739565808E-2</v>
      </c>
      <c r="N25" s="225">
        <f>24*60*SUM($M25:$M25)</f>
        <v>35.266666664974764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-04T04:07:13-0700',mode:absolute,to:'2018-01-04T06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5.2400000000000002E-2</v>
      </c>
      <c r="Z25" s="247">
        <f>RIGHT(H25,LEN(H25)-4)/10000</f>
        <v>23.331399999999999</v>
      </c>
      <c r="AA25" s="247">
        <f>ABS(Z25-Y25)</f>
        <v>23.279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/stypes="app*4032*20180104*"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113-04 --locoid 4032 --swversion DE.1.0.9.0 --startMP 204:524 --initTime 2018-01-04T05:07:13 --startdatetime 2018-01-04T05:15:16 --delay 70 --endMP 204:233314 --enddatetime 2018-01-04T05:50:32 --enforcementcount 0 &gt;&gt;%USERPROFILE%\Documents\GitHub\eaglep3-reporting\EC\2018-01-04-refined-times.txt</v>
      </c>
      <c r="AI25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{"issue":{"subject":"","project_id":79,"tracker_id":40,"status_id":1,"priority_id":2,"assigned_to_id":338,"start_date":"2018-01-04","description":"","custom_fields":[{"id":1,"name":"Subdivision","value":"EC"},{"id":4,"name":"Milepost","value":"23.3314"},{"id":17,"name":"Train ID","value":"113-04"},{"id":16,"name":"Locomotive ID","value":"4032"},{"id":130,"name":"Impact","value":""},{"id":150,"name":"Time of Event (Mountain Time)","value":"05:50:32"},{"id":151,"name":"Denver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4032 --day 2018-01-04</v>
      </c>
      <c r="AN25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-04T04:07:13-0700',mode:absolute,to:'2018-01-04T06:50:32-0700'))&amp;_a=(columns:!('Message%20ID',Summary),filters:!(),index:'emp_*',interval:auto,query:(query_string:(analyze_wildcard:!t,query:'%22rtdc.l.rtdc.4032%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721</v>
      </c>
      <c r="B26" s="225">
        <v>4031</v>
      </c>
      <c r="C26" s="227" t="s">
        <v>192</v>
      </c>
      <c r="D26" s="227" t="s">
        <v>912</v>
      </c>
      <c r="E26" s="226">
        <v>43104.244398148148</v>
      </c>
      <c r="F26" s="226">
        <v>43104.258506944447</v>
      </c>
      <c r="G26" s="225">
        <v>70</v>
      </c>
      <c r="H26" s="227" t="s">
        <v>479</v>
      </c>
      <c r="I26" s="226">
        <v>43104.284074074072</v>
      </c>
      <c r="J26" s="225">
        <v>0</v>
      </c>
      <c r="K26" s="237" t="str">
        <f>IF(ISEVEN(B26),(B26-1)&amp;"/"&amp;B26,B26&amp;"/"&amp;(B26+1))</f>
        <v>4031/4032</v>
      </c>
      <c r="L26" s="245" t="str">
        <f>VLOOKUP(A26,'Trips&amp;Operators'!$C$1:$G$99911,5,FALSE)</f>
        <v>BEAM ROSS</v>
      </c>
      <c r="M26" s="224">
        <f>I26-F26</f>
        <v>2.5567129625414964E-2</v>
      </c>
      <c r="N26" s="225">
        <f>24*60*SUM($M26:$M26)</f>
        <v>36.816666660597548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-04T04:51:56-0700',mode:absolute,to:'2018-01-04T07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23.2987</v>
      </c>
      <c r="Z26" s="247">
        <f>RIGHT(H26,LEN(H26)-4)/10000</f>
        <v>2.0500000000000001E-2</v>
      </c>
      <c r="AA26" s="247">
        <f>ABS(Z26-Y26)</f>
        <v>23.278200000000002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s3://rtdc.mdm.uploadarchive.raw/RTDC4031/ "%USERPROFILE%\AppData\Local\Temp\OnboardLogs"\RTDC4031\2018-01-04 --exclude "*" --recursive --include "*20180104*" &amp; "%USERPROFILE%\Documents\GitHub\mrs-test-scripts\Headless Mode &amp; Sideloading\WalkAndUnGZ.bat" "%USERPROFILE%\AppData\Local\Temp\OnboardLogs"\RTDC4031\2018-01-04 &amp; aws s3 cp s3://rtdc.mdm.uploadarchive.raw/RTDC4031/ "%USERPROFILE%\AppData\Local\Temp\OnboardLogs"\RTDC4031\2018-01-05 --exclude "*" --recursive --include "*20180105*" &amp; "%USERPROFILE%\Documents\GitHub\mrs-test-scripts\Headless Mode &amp; Sideloading\WalkAndUnGZ.bat" "%USERPROFILE%\AppData\Local\Temp\OnboardLogs"\RTDC4031\2018-01-05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/stypes="app*4031*20180104*"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114-04 --locoid 4031 --swversion DE.1.0.9.0 --startMP 204:232987 --initTime 2018-01-04T05:51:56 --startdatetime 2018-01-04T06:12:15 --delay 70 --endMP 204:205 --enddatetime 2018-01-04T06:49:04 --enforcementcount 0 &gt;&gt;%USERPROFILE%\Documents\GitHub\eaglep3-reporting\EC\2018-01-04-refined-times.txt</v>
      </c>
      <c r="AI26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{"issue":{"subject":"","project_id":79,"tracker_id":40,"status_id":1,"priority_id":2,"assigned_to_id":338,"start_date":"2018-01-04","description":"","custom_fields":[{"id":1,"name":"Subdivision","value":"EC"},{"id":4,"name":"Milepost","value":"0.0205"},{"id":17,"name":"Train ID","value":"114-04"},{"id":16,"name":"Locomotive ID","value":"4031"},{"id":130,"name":"Impact","value":""},{"id":150,"name":"Time of Event (Mountain Time)","value":"06:49:04"},{"id":151,"name":"Denver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4031 --day 2018-01-04</v>
      </c>
      <c r="AN26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-04T04:51:56-0700',mode:absolute,to:'2018-01-04T07:49:04-0700'))&amp;_a=(columns:!('Message%20ID',Summary),filters:!(),index:'emp_*',interval:auto,query:(query_string:(analyze_wildcard:!t,query:'%22rtdc.l.rtdc.4031%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716</v>
      </c>
      <c r="B27" s="225">
        <v>4018</v>
      </c>
      <c r="C27" s="227" t="s">
        <v>192</v>
      </c>
      <c r="D27" s="227" t="s">
        <v>921</v>
      </c>
      <c r="E27" s="226">
        <v>43104.225752314815</v>
      </c>
      <c r="F27" s="226">
        <v>43104.229745370372</v>
      </c>
      <c r="G27" s="225">
        <v>74</v>
      </c>
      <c r="H27" s="227" t="s">
        <v>520</v>
      </c>
      <c r="I27" s="226">
        <v>43104.255844907406</v>
      </c>
      <c r="J27" s="225">
        <v>0</v>
      </c>
      <c r="K27" s="237" t="str">
        <f>IF(ISEVEN(B27),(B27-1)&amp;"/"&amp;B27,B27&amp;"/"&amp;(B27+1))</f>
        <v>4017/4018</v>
      </c>
      <c r="L27" s="245" t="str">
        <f>VLOOKUP(A27,'Trips&amp;Operators'!$C$1:$G$99911,5,FALSE)</f>
        <v>STARKS ANGELINA</v>
      </c>
      <c r="M27" s="224">
        <f>I27-F27</f>
        <v>2.6099537033587694E-2</v>
      </c>
      <c r="N27" s="225">
        <f>24*60*SUM($M27:$M27)</f>
        <v>37.58333332836628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-04T04:25:05-0700',mode:absolute,to:'2018-01-04T07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4.4200000000000003E-2</v>
      </c>
      <c r="Z27" s="247">
        <f>RIGHT(H27,LEN(H27)-4)/10000</f>
        <v>23.329899999999999</v>
      </c>
      <c r="AA27" s="247">
        <f>ABS(Z27-Y27)</f>
        <v>23.285699999999999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/stypes="app*4018*20180104*"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115-04 --locoid 4018 --swversion DE.1.0.9.0 --startMP 204:442 --initTime 2018-01-04T05:25:05 --startdatetime 2018-01-04T05:30:50 --delay 74 --endMP 204:233299 --enddatetime 2018-01-04T06:08:25 --enforcementcount 0 &gt;&gt;%USERPROFILE%\Documents\GitHub\eaglep3-reporting\EC\2018-01-04-refined-times.txt</v>
      </c>
      <c r="AI27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{"issue":{"subject":"","project_id":79,"tracker_id":40,"status_id":1,"priority_id":2,"assigned_to_id":338,"start_date":"2018-01-04","description":"","custom_fields":[{"id":1,"name":"Subdivision","value":"EC"},{"id":4,"name":"Milepost","value":"23.3299"},{"id":17,"name":"Train ID","value":"115-04"},{"id":16,"name":"Locomotive ID","value":"4018"},{"id":130,"name":"Impact","value":""},{"id":150,"name":"Time of Event (Mountain Time)","value":"06:08:25"},{"id":151,"name":"Denver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4018 --day 2018-01-04</v>
      </c>
      <c r="AN27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-04T04:25:05-0700',mode:absolute,to:'2018-01-04T07:08:25-0700'))&amp;_a=(columns:!('Message%20ID',Summary),filters:!(),index:'emp_*',interval:auto,query:(query_string:(analyze_wildcard:!t,query:'%22rtdc.l.rtdc.4018%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659</v>
      </c>
      <c r="B28" s="225">
        <v>4017</v>
      </c>
      <c r="C28" s="227" t="s">
        <v>192</v>
      </c>
      <c r="D28" s="227" t="s">
        <v>922</v>
      </c>
      <c r="E28" s="226">
        <v>43104.258333333331</v>
      </c>
      <c r="F28" s="226">
        <v>43104.269004629627</v>
      </c>
      <c r="G28" s="225">
        <v>79</v>
      </c>
      <c r="H28" s="227" t="s">
        <v>616</v>
      </c>
      <c r="I28" s="226">
        <v>43104.296944444446</v>
      </c>
      <c r="J28" s="225">
        <v>0</v>
      </c>
      <c r="K28" s="237" t="str">
        <f>IF(ISEVEN(B28),(B28-1)&amp;"/"&amp;B28,B28&amp;"/"&amp;(B28+1))</f>
        <v>4017/4018</v>
      </c>
      <c r="L28" s="245" t="str">
        <f>VLOOKUP(A28,'Trips&amp;Operators'!$C$1:$G$99911,5,FALSE)</f>
        <v>STARKS ANGELINA</v>
      </c>
      <c r="M28" s="224">
        <f>I28-F28</f>
        <v>2.7939814819546882E-2</v>
      </c>
      <c r="N28" s="225">
        <f>24*60*SUM($M28:$M28)</f>
        <v>40.23333334014751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-04T05:12:00-0700',mode:absolute,to:'2018-01-04T08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23.297799999999999</v>
      </c>
      <c r="Z28" s="247">
        <f>RIGHT(H28,LEN(H28)-4)/10000</f>
        <v>1.61E-2</v>
      </c>
      <c r="AA28" s="247">
        <f>ABS(Z28-Y28)</f>
        <v>23.281699999999997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/stypes="app*4017*20180104*"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116-04 --locoid 4017 --swversion DE.1.0.9.0 --startMP 204:232978 --initTime 2018-01-04T06:12:00 --startdatetime 2018-01-04T06:27:22 --delay 79 --endMP 204:161 --enddatetime 2018-01-04T07:07:36 --enforcementcount 0 &gt;&gt;%USERPROFILE%\Documents\GitHub\eaglep3-reporting\EC\2018-01-04-refined-times.txt</v>
      </c>
      <c r="AI28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{"issue":{"subject":"","project_id":79,"tracker_id":40,"status_id":1,"priority_id":2,"assigned_to_id":338,"start_date":"2018-01-04","description":"","custom_fields":[{"id":1,"name":"Subdivision","value":"EC"},{"id":4,"name":"Milepost","value":"0.0161"},{"id":17,"name":"Train ID","value":"116-04"},{"id":16,"name":"Locomotive ID","value":"4017"},{"id":130,"name":"Impact","value":""},{"id":150,"name":"Time of Event (Mountain Time)","value":"07:07:36"},{"id":151,"name":"Denver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4017 --day 2018-01-04</v>
      </c>
      <c r="AN28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-04T05:12:00-0700',mode:absolute,to:'2018-01-04T08:07:36-0700'))&amp;_a=(columns:!('Message%20ID',Summary),filters:!(),index:'emp_*',interval:auto,query:(query_string:(analyze_wildcard:!t,query:'%22rtdc.l.rtdc.4017%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718</v>
      </c>
      <c r="B29" s="225">
        <v>4044</v>
      </c>
      <c r="C29" s="227" t="s">
        <v>192</v>
      </c>
      <c r="D29" s="227" t="s">
        <v>508</v>
      </c>
      <c r="E29" s="226">
        <v>43104.234201388892</v>
      </c>
      <c r="F29" s="226">
        <v>43104.23982638889</v>
      </c>
      <c r="G29" s="225">
        <v>81</v>
      </c>
      <c r="H29" s="227" t="s">
        <v>484</v>
      </c>
      <c r="I29" s="226">
        <v>43104.2653125</v>
      </c>
      <c r="J29" s="225">
        <v>0</v>
      </c>
      <c r="K29" s="237" t="str">
        <f>IF(ISEVEN(B29),(B29-1)&amp;"/"&amp;B29,B29&amp;"/"&amp;(B29+1))</f>
        <v>4043/4044</v>
      </c>
      <c r="L29" s="245" t="str">
        <f>VLOOKUP(A29,'Trips&amp;Operators'!$C$1:$G$99911,5,FALSE)</f>
        <v>DAVIDSON DAVID</v>
      </c>
      <c r="M29" s="224">
        <f>I29-F29</f>
        <v>2.548611110978527E-2</v>
      </c>
      <c r="N29" s="225">
        <f>24*60*SUM($M29:$M29)</f>
        <v>36.699999998090789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-04T04:37:15-0700',mode:absolute,to:'2018-01-04T07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5.3499999999999999E-2</v>
      </c>
      <c r="Z29" s="247">
        <f>RIGHT(H29,LEN(H29)-4)/10000</f>
        <v>23.329499999999999</v>
      </c>
      <c r="AA29" s="247">
        <f>ABS(Z29-Y29)</f>
        <v>23.276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/stypes="app*4044*20180104*"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117-04 --locoid 4044 --swversion DE.1.0.9.0 --startMP 204:535 --initTime 2018-01-04T05:37:15 --startdatetime 2018-01-04T05:45:21 --delay 81 --endMP 204:233295 --enddatetime 2018-01-04T06:22:03 --enforcementcount 0 &gt;&gt;%USERPROFILE%\Documents\GitHub\eaglep3-reporting\EC\2018-01-04-refined-times.txt</v>
      </c>
      <c r="AI29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{"issue":{"subject":"","project_id":79,"tracker_id":40,"status_id":1,"priority_id":2,"assigned_to_id":338,"start_date":"2018-01-04","description":"","custom_fields":[{"id":1,"name":"Subdivision","value":"EC"},{"id":4,"name":"Milepost","value":"23.3295"},{"id":17,"name":"Train ID","value":"117-04"},{"id":16,"name":"Locomotive ID","value":"4044"},{"id":130,"name":"Impact","value":""},{"id":150,"name":"Time of Event (Mountain Time)","value":"06:22:03"},{"id":151,"name":"Denver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4044 --day 2018-01-04</v>
      </c>
      <c r="AN29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-04T04:37:15-0700',mode:absolute,to:'2018-01-04T07:22:03-0700'))&amp;_a=(columns:!('Message%20ID',Summary),filters:!(),index:'emp_*',interval:auto,query:(query_string:(analyze_wildcard:!t,query:'%22rtdc.l.rtdc.4044%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728</v>
      </c>
      <c r="B30" s="225">
        <v>4043</v>
      </c>
      <c r="C30" s="227" t="s">
        <v>192</v>
      </c>
      <c r="D30" s="227" t="s">
        <v>610</v>
      </c>
      <c r="E30" s="226">
        <v>43104.266712962963</v>
      </c>
      <c r="F30" s="226">
        <v>43104.279456018521</v>
      </c>
      <c r="G30" s="225">
        <v>51</v>
      </c>
      <c r="H30" s="227" t="s">
        <v>529</v>
      </c>
      <c r="I30" s="226">
        <v>43104.306168981479</v>
      </c>
      <c r="J30" s="225">
        <v>0</v>
      </c>
      <c r="K30" s="237" t="str">
        <f>IF(ISEVEN(B30),(B30-1)&amp;"/"&amp;B30,B30&amp;"/"&amp;(B30+1))</f>
        <v>4043/4044</v>
      </c>
      <c r="L30" s="245" t="str">
        <f>VLOOKUP(A30,'Trips&amp;Operators'!$C$1:$G$99911,5,FALSE)</f>
        <v>DAVIDSON DAVID</v>
      </c>
      <c r="M30" s="224">
        <f>I30-F30</f>
        <v>2.6712962957390118E-2</v>
      </c>
      <c r="N30" s="225">
        <f>24*60*SUM($M30:$M30)</f>
        <v>38.46666665864177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-04T05:24:04-0700',mode:absolute,to:'2018-01-04T08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23.2972</v>
      </c>
      <c r="Z30" s="247">
        <f>RIGHT(H30,LEN(H30)-4)/10000</f>
        <v>2.18E-2</v>
      </c>
      <c r="AA30" s="247">
        <f>ABS(Z30-Y30)</f>
        <v>23.275400000000001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/stypes="app*4043*20180104*"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118-04 --locoid 4043 --swversion DE.1.0.9.0 --startMP 204:232972 --initTime 2018-01-04T06:24:04 --startdatetime 2018-01-04T06:42:25 --delay 51 --endMP 204:218 --enddatetime 2018-01-04T07:20:53 --enforcementcount 0 &gt;&gt;%USERPROFILE%\Documents\GitHub\eaglep3-reporting\EC\2018-01-04-refined-times.txt</v>
      </c>
      <c r="AI30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{"issue":{"subject":"","project_id":79,"tracker_id":40,"status_id":1,"priority_id":2,"assigned_to_id":338,"start_date":"2018-01-04","description":"","custom_fields":[{"id":1,"name":"Subdivision","value":"EC"},{"id":4,"name":"Milepost","value":"0.0218"},{"id":17,"name":"Train ID","value":"118-04"},{"id":16,"name":"Locomotive ID","value":"4043"},{"id":130,"name":"Impact","value":""},{"id":150,"name":"Time of Event (Mountain Time)","value":"07:20:53"},{"id":151,"name":"Denver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4043 --day 2018-01-04</v>
      </c>
      <c r="AN30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-04T05:24:04-0700',mode:absolute,to:'2018-01-04T08:20:53-0700'))&amp;_a=(columns:!('Message%20ID',Summary),filters:!(),index:'emp_*',interval:auto,query:(query_string:(analyze_wildcard:!t,query:'%22rtdc.l.rtdc.4043%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723</v>
      </c>
      <c r="B31" s="225">
        <v>4046</v>
      </c>
      <c r="C31" s="227" t="s">
        <v>192</v>
      </c>
      <c r="D31" s="227" t="s">
        <v>526</v>
      </c>
      <c r="E31" s="226">
        <v>43104.245972222219</v>
      </c>
      <c r="F31" s="226">
        <v>43104.250162037039</v>
      </c>
      <c r="G31" s="225">
        <v>80</v>
      </c>
      <c r="H31" s="227" t="s">
        <v>923</v>
      </c>
      <c r="I31" s="226">
        <v>43104.275752314818</v>
      </c>
      <c r="J31" s="225">
        <v>0</v>
      </c>
      <c r="K31" s="237" t="str">
        <f>IF(ISEVEN(B31),(B31-1)&amp;"/"&amp;B31,B31&amp;"/"&amp;(B31+1))</f>
        <v>4045/4046</v>
      </c>
      <c r="L31" s="245" t="str">
        <f>VLOOKUP(A31,'Trips&amp;Operators'!$C$1:$G$99911,5,FALSE)</f>
        <v>LONG FULLER</v>
      </c>
      <c r="M31" s="224">
        <f>I31-F31</f>
        <v>2.5590277778974269E-2</v>
      </c>
      <c r="N31" s="225">
        <f>24*60*SUM($M31:$M31)</f>
        <v>36.850000001722947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-04T04:54:12-0700',mode:absolute,to:'2018-01-04T07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4.6899999999999997E-2</v>
      </c>
      <c r="Z31" s="247">
        <f>RIGHT(H31,LEN(H31)-4)/10000</f>
        <v>23.328900000000001</v>
      </c>
      <c r="AA31" s="247">
        <f>ABS(Z31-Y31)</f>
        <v>23.282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/stypes="app*4046*20180104*"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119-04 --locoid 4046 --swversion DE.1.0.9.0 --startMP 204:469 --initTime 2018-01-04T05:54:12 --startdatetime 2018-01-04T06:00:14 --delay 80 --endMP 204:233289 --enddatetime 2018-01-04T06:37:05 --enforcementcount 0 &gt;&gt;%USERPROFILE%\Documents\GitHub\eaglep3-reporting\EC\2018-01-04-refined-times.txt</v>
      </c>
      <c r="AI31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{"issue":{"subject":"","project_id":79,"tracker_id":40,"status_id":1,"priority_id":2,"assigned_to_id":338,"start_date":"2018-01-04","description":"","custom_fields":[{"id":1,"name":"Subdivision","value":"EC"},{"id":4,"name":"Milepost","value":"23.3289"},{"id":17,"name":"Train ID","value":"119-04"},{"id":16,"name":"Locomotive ID","value":"4046"},{"id":130,"name":"Impact","value":""},{"id":150,"name":"Time of Event (Mountain Time)","value":"06:37:05"},{"id":151,"name":"Denver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4046 --day 2018-01-04</v>
      </c>
      <c r="AN31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-04T04:54:12-0700',mode:absolute,to:'2018-01-04T07:37:05-0700'))&amp;_a=(columns:!('Message%20ID',Summary),filters:!(),index:'emp_*',interval:auto,query:(query_string:(analyze_wildcard:!t,query:'%22rtdc.l.rtdc.4046%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733</v>
      </c>
      <c r="B32" s="225">
        <v>4045</v>
      </c>
      <c r="C32" s="227" t="s">
        <v>192</v>
      </c>
      <c r="D32" s="227" t="s">
        <v>924</v>
      </c>
      <c r="E32" s="226">
        <v>43104.279247685183</v>
      </c>
      <c r="F32" s="226">
        <v>43104.289861111109</v>
      </c>
      <c r="G32" s="225">
        <v>69</v>
      </c>
      <c r="H32" s="227" t="s">
        <v>479</v>
      </c>
      <c r="I32" s="226">
        <v>43104.315983796296</v>
      </c>
      <c r="J32" s="225">
        <v>0</v>
      </c>
      <c r="K32" s="237" t="str">
        <f>IF(ISEVEN(B32),(B32-1)&amp;"/"&amp;B32,B32&amp;"/"&amp;(B32+1))</f>
        <v>4045/4046</v>
      </c>
      <c r="L32" s="245" t="str">
        <f>VLOOKUP(A32,'Trips&amp;Operators'!$C$1:$G$99911,5,FALSE)</f>
        <v>LONG FULLER</v>
      </c>
      <c r="M32" s="224">
        <f>I32-F32</f>
        <v>2.6122685187146999E-2</v>
      </c>
      <c r="N32" s="225">
        <f>24*60*SUM($M32:$M32)</f>
        <v>37.616666669491678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-04T05:42:07-0700',mode:absolute,to:'2018-01-04T08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23.295500000000001</v>
      </c>
      <c r="Z32" s="247">
        <f>RIGHT(H32,LEN(H32)-4)/10000</f>
        <v>2.0500000000000001E-2</v>
      </c>
      <c r="AA32" s="247">
        <f>ABS(Z32-Y32)</f>
        <v>23.275000000000002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/stypes="app*4045*20180104*"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120-04 --locoid 4045 --swversion DE.1.0.9.0 --startMP 204:232955 --initTime 2018-01-04T06:42:07 --startdatetime 2018-01-04T06:57:24 --delay 69 --endMP 204:205 --enddatetime 2018-01-04T07:35:01 --enforcementcount 0 &gt;&gt;%USERPROFILE%\Documents\GitHub\eaglep3-reporting\EC\2018-01-04-refined-times.txt</v>
      </c>
      <c r="AI32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{"issue":{"subject":"","project_id":79,"tracker_id":40,"status_id":1,"priority_id":2,"assigned_to_id":338,"start_date":"2018-01-04","description":"","custom_fields":[{"id":1,"name":"Subdivision","value":"EC"},{"id":4,"name":"Milepost","value":"0.0205"},{"id":17,"name":"Train ID","value":"120-04"},{"id":16,"name":"Locomotive ID","value":"4045"},{"id":130,"name":"Impact","value":""},{"id":150,"name":"Time of Event (Mountain Time)","value":"07:35:01"},{"id":151,"name":"Denver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4045 --day 2018-01-04</v>
      </c>
      <c r="AN32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-04T05:42:07-0700',mode:absolute,to:'2018-01-04T08:35:01-0700'))&amp;_a=(columns:!('Message%20ID',Summary),filters:!(),index:'emp_*',interval:auto,query:(query_string:(analyze_wildcard:!t,query:'%22rtdc.l.rtdc.4045%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727</v>
      </c>
      <c r="B33" s="225">
        <v>4064</v>
      </c>
      <c r="C33" s="227" t="s">
        <v>192</v>
      </c>
      <c r="D33" s="227" t="s">
        <v>527</v>
      </c>
      <c r="E33" s="226">
        <v>43104.254560185182</v>
      </c>
      <c r="F33" s="226">
        <v>43104.260613425926</v>
      </c>
      <c r="G33" s="225">
        <v>48</v>
      </c>
      <c r="H33" s="227" t="s">
        <v>612</v>
      </c>
      <c r="I33" s="226">
        <v>43104.285185185188</v>
      </c>
      <c r="J33" s="225">
        <v>0</v>
      </c>
      <c r="K33" s="237" t="str">
        <f>IF(ISEVEN(B33),(B33-1)&amp;"/"&amp;B33,B33&amp;"/"&amp;(B33+1))</f>
        <v>4063/4064</v>
      </c>
      <c r="L33" s="245" t="str">
        <f>VLOOKUP(A33,'Trips&amp;Operators'!$C$1:$G$99911,5,FALSE)</f>
        <v>GEBRETEKLE DAGNEW</v>
      </c>
      <c r="M33" s="224">
        <f>I33-F33</f>
        <v>2.457175926247146E-2</v>
      </c>
      <c r="N33" s="225">
        <f>24*60*SUM($M33:$M33)</f>
        <v>35.383333337958902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-04T05:06:34-0700',mode:absolute,to:'2018-01-04T07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4.6199999999999998E-2</v>
      </c>
      <c r="Z33" s="247">
        <f>RIGHT(H33,LEN(H33)-4)/10000</f>
        <v>23.334</v>
      </c>
      <c r="AA33" s="247">
        <f>ABS(Z33-Y33)</f>
        <v>23.287800000000001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/stypes="app*4064*20180104*"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121-04 --locoid 4064 --swversion DE.1.0.9.0 --startMP 204:462 --initTime 2018-01-04T06:06:34 --startdatetime 2018-01-04T06:15:17 --delay 48 --endMP 204:233340 --enddatetime 2018-01-04T06:50:40 --enforcementcount 0 &gt;&gt;%USERPROFILE%\Documents\GitHub\eaglep3-reporting\EC\2018-01-04-refined-times.txt</v>
      </c>
      <c r="AI33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{"issue":{"subject":"","project_id":79,"tracker_id":40,"status_id":1,"priority_id":2,"assigned_to_id":338,"start_date":"2018-01-04","description":"","custom_fields":[{"id":1,"name":"Subdivision","value":"EC"},{"id":4,"name":"Milepost","value":"23.334"},{"id":17,"name":"Train ID","value":"121-04"},{"id":16,"name":"Locomotive ID","value":"4064"},{"id":130,"name":"Impact","value":""},{"id":150,"name":"Time of Event (Mountain Time)","value":"06:50:40"},{"id":151,"name":"Denver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4064 --day 2018-01-04</v>
      </c>
      <c r="AN33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-04T05:06:34-0700',mode:absolute,to:'2018-01-04T07:50:40-0700'))&amp;_a=(columns:!('Message%20ID',Summary),filters:!(),index:'emp_*',interval:auto,query:(query_string:(analyze_wildcard:!t,query:'%22rtdc.l.rtdc.4064%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735</v>
      </c>
      <c r="B34" s="225">
        <v>4063</v>
      </c>
      <c r="C34" s="227" t="s">
        <v>192</v>
      </c>
      <c r="D34" s="227" t="s">
        <v>925</v>
      </c>
      <c r="E34" s="226">
        <v>43104.286608796298</v>
      </c>
      <c r="F34" s="226">
        <v>43104.300208333334</v>
      </c>
      <c r="G34" s="225">
        <v>48</v>
      </c>
      <c r="H34" s="227" t="s">
        <v>926</v>
      </c>
      <c r="I34" s="226">
        <v>43104.325370370374</v>
      </c>
      <c r="J34" s="225">
        <v>0</v>
      </c>
      <c r="K34" s="237" t="str">
        <f>IF(ISEVEN(B34),(B34-1)&amp;"/"&amp;B34,B34&amp;"/"&amp;(B34+1))</f>
        <v>4063/4064</v>
      </c>
      <c r="L34" s="245" t="str">
        <f>VLOOKUP(A34,'Trips&amp;Operators'!$C$1:$G$99911,5,FALSE)</f>
        <v>GEBRETEKLE DAGNEW</v>
      </c>
      <c r="M34" s="224">
        <f>I34-F34</f>
        <v>2.5162037039990537E-2</v>
      </c>
      <c r="N34" s="225">
        <f>24*60*SUM($M34:$M34)</f>
        <v>36.233333337586373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-04T05:52:43-0700',mode:absolute,to:'2018-01-04T08:48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23.302800000000001</v>
      </c>
      <c r="Z34" s="247">
        <f>RIGHT(H34,LEN(H34)-4)/10000</f>
        <v>1.6299999999999999E-2</v>
      </c>
      <c r="AA34" s="247">
        <f>ABS(Z34-Y34)</f>
        <v>23.2865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/stypes="app*4063*20180104*"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122-04 --locoid 4063 --swversion DE.1.0.9.0 --startMP 204:233028 --initTime 2018-01-04T06:52:43 --startdatetime 2018-01-04T07:12:18 --delay 48 --endMP 204:163 --enddatetime 2018-01-04T07:48:32 --enforcementcount 0 &gt;&gt;%USERPROFILE%\Documents\GitHub\eaglep3-reporting\EC\2018-01-04-refined-times.txt</v>
      </c>
      <c r="AI34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{"issue":{"subject":"","project_id":79,"tracker_id":40,"status_id":1,"priority_id":2,"assigned_to_id":338,"start_date":"2018-01-04","description":"","custom_fields":[{"id":1,"name":"Subdivision","value":"EC"},{"id":4,"name":"Milepost","value":"0.0163"},{"id":17,"name":"Train ID","value":"122-04"},{"id":16,"name":"Locomotive ID","value":"4063"},{"id":130,"name":"Impact","value":""},{"id":150,"name":"Time of Event (Mountain Time)","value":"07:48:32"},{"id":151,"name":"Denver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4063 --day 2018-01-04</v>
      </c>
      <c r="AN34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-04T05:52:43-0700',mode:absolute,to:'2018-01-04T08:48:32-0700'))&amp;_a=(columns:!('Message%20ID',Summary),filters:!(),index:'emp_*',interval:auto,query:(query_string:(analyze_wildcard:!t,query:'%22rtdc.l.rtdc.4063%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729</v>
      </c>
      <c r="B35" s="225">
        <v>4052</v>
      </c>
      <c r="C35" s="227" t="s">
        <v>192</v>
      </c>
      <c r="D35" s="227" t="s">
        <v>927</v>
      </c>
      <c r="E35" s="226">
        <v>43104.266435185185</v>
      </c>
      <c r="F35" s="226">
        <v>43104.271087962959</v>
      </c>
      <c r="G35" s="225">
        <v>96</v>
      </c>
      <c r="H35" s="227" t="s">
        <v>928</v>
      </c>
      <c r="I35" s="226">
        <v>43104.296099537038</v>
      </c>
      <c r="J35" s="225">
        <v>0</v>
      </c>
      <c r="K35" s="237" t="str">
        <f>IF(ISEVEN(B35),(B35-1)&amp;"/"&amp;B35,B35&amp;"/"&amp;(B35+1))</f>
        <v>4051/4052</v>
      </c>
      <c r="L35" s="245" t="str">
        <f>VLOOKUP(A35,'Trips&amp;Operators'!$C$1:$G$99911,5,FALSE)</f>
        <v>WILLIAMS DONTE</v>
      </c>
      <c r="M35" s="224">
        <f>I35-F35</f>
        <v>2.5011574078234844E-2</v>
      </c>
      <c r="N35" s="225">
        <f>24*60*SUM($M35:$M35)</f>
        <v>36.016666672658175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-04T05:23:40-0700',mode:absolute,to:'2018-01-04T08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5.0599999999999999E-2</v>
      </c>
      <c r="Z35" s="247">
        <f>RIGHT(H35,LEN(H35)-4)/10000</f>
        <v>23.3249</v>
      </c>
      <c r="AA35" s="247">
        <f>ABS(Z35-Y35)</f>
        <v>23.2743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s3://rtdc.mdm.uploadarchive.raw/RTDC4052/ "%USERPROFILE%\AppData\Local\Temp\OnboardLogs"\RTDC4052\2018-01-04 --exclude "*" --recursive --include "*20180104*" &amp; "%USERPROFILE%\Documents\GitHub\mrs-test-scripts\Headless Mode &amp; Sideloading\WalkAndUnGZ.bat" "%USERPROFILE%\AppData\Local\Temp\OnboardLogs"\RTDC4052\2018-01-04 &amp; 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/stypes="app*4052*20180104*"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123-04 --locoid 4052 --swversion DE.1.0.9.0 --startMP 204:506 --initTime 2018-01-04T06:23:40 --startdatetime 2018-01-04T06:30:22 --delay 96 --endMP 204:233249 --enddatetime 2018-01-04T07:06:23 --enforcementcount 0 &gt;&gt;%USERPROFILE%\Documents\GitHub\eaglep3-reporting\EC\2018-01-04-refined-times.txt</v>
      </c>
      <c r="AI35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{"issue":{"subject":"","project_id":79,"tracker_id":40,"status_id":1,"priority_id":2,"assigned_to_id":338,"start_date":"2018-01-04","description":"","custom_fields":[{"id":1,"name":"Subdivision","value":"EC"},{"id":4,"name":"Milepost","value":"23.3249"},{"id":17,"name":"Train ID","value":"123-04"},{"id":16,"name":"Locomotive ID","value":"4052"},{"id":130,"name":"Impact","value":""},{"id":150,"name":"Time of Event (Mountain Time)","value":"07:06:23"},{"id":151,"name":"Denver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4052 --day 2018-01-04</v>
      </c>
      <c r="AN35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-04T05:23:40-0700',mode:absolute,to:'2018-01-04T08:06:23-0700'))&amp;_a=(columns:!('Message%20ID',Summary),filters:!(),index:'emp_*',interval:auto,query:(query_string:(analyze_wildcard:!t,query:'%22rtdc.l.rtdc.4052%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739</v>
      </c>
      <c r="B36" s="225">
        <v>4051</v>
      </c>
      <c r="C36" s="227" t="s">
        <v>192</v>
      </c>
      <c r="D36" s="227" t="s">
        <v>929</v>
      </c>
      <c r="E36" s="226">
        <v>43104.305428240739</v>
      </c>
      <c r="F36" s="226">
        <v>43104.310671296298</v>
      </c>
      <c r="G36" s="225">
        <v>127</v>
      </c>
      <c r="H36" s="227" t="s">
        <v>529</v>
      </c>
      <c r="I36" s="226">
        <v>43104.337476851855</v>
      </c>
      <c r="J36" s="225">
        <v>0</v>
      </c>
      <c r="K36" s="237" t="str">
        <f>IF(ISEVEN(B36),(B36-1)&amp;"/"&amp;B36,B36&amp;"/"&amp;(B36+1))</f>
        <v>4051/4052</v>
      </c>
      <c r="L36" s="245" t="str">
        <f>VLOOKUP(A36,'Trips&amp;Operators'!$C$1:$G$99911,5,FALSE)</f>
        <v>WILLIAMS DONTE</v>
      </c>
      <c r="M36" s="224">
        <f>I36-F36</f>
        <v>2.6805555557075422E-2</v>
      </c>
      <c r="N36" s="225">
        <f>24*60*SUM($M36:$M36)</f>
        <v>38.600000002188608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-04T06:19:49-0700',mode:absolute,to:'2018-01-04T09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23.291699999999999</v>
      </c>
      <c r="Z36" s="247">
        <f>RIGHT(H36,LEN(H36)-4)/10000</f>
        <v>2.18E-2</v>
      </c>
      <c r="AA36" s="247">
        <f>ABS(Z36-Y36)</f>
        <v>23.2699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/stypes="app*4051*20180104*"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124-04 --locoid 4051 --swversion DE.1.0.9.0 --startMP 204:232917 --initTime 2018-01-04T07:19:49 --startdatetime 2018-01-04T07:27:22 --delay 127 --endMP 204:218 --enddatetime 2018-01-04T08:05:58 --enforcementcount 0 &gt;&gt;%USERPROFILE%\Documents\GitHub\eaglep3-reporting\EC\2018-01-04-refined-times.txt</v>
      </c>
      <c r="AI36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{"issue":{"subject":"","project_id":79,"tracker_id":40,"status_id":1,"priority_id":2,"assigned_to_id":338,"start_date":"2018-01-04","description":"","custom_fields":[{"id":1,"name":"Subdivision","value":"EC"},{"id":4,"name":"Milepost","value":"0.0218"},{"id":17,"name":"Train ID","value":"124-04"},{"id":16,"name":"Locomotive ID","value":"4051"},{"id":130,"name":"Impact","value":""},{"id":150,"name":"Time of Event (Mountain Time)","value":"08:05:58"},{"id":151,"name":"Denver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4051 --day 2018-01-04</v>
      </c>
      <c r="AN36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-04T06:19:49-0700',mode:absolute,to:'2018-01-04T09:05:58-0700'))&amp;_a=(columns:!('Message%20ID',Summary),filters:!(),index:'emp_*',interval:auto,query:(query_string:(analyze_wildcard:!t,query:'%22rtdc.l.rtdc.4051%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732</v>
      </c>
      <c r="B37" s="225">
        <v>4034</v>
      </c>
      <c r="C37" s="227" t="s">
        <v>192</v>
      </c>
      <c r="D37" s="227" t="s">
        <v>518</v>
      </c>
      <c r="E37" s="226">
        <v>43104.276030092595</v>
      </c>
      <c r="F37" s="226">
        <v>43104.281423611108</v>
      </c>
      <c r="G37" s="225">
        <v>58</v>
      </c>
      <c r="H37" s="227" t="s">
        <v>930</v>
      </c>
      <c r="I37" s="226">
        <v>43104.306446759256</v>
      </c>
      <c r="J37" s="225">
        <v>0</v>
      </c>
      <c r="K37" s="237" t="str">
        <f>IF(ISEVEN(B37),(B37-1)&amp;"/"&amp;B37,B37&amp;"/"&amp;(B37+1))</f>
        <v>4033/4034</v>
      </c>
      <c r="L37" s="245" t="str">
        <f>VLOOKUP(A37,'Trips&amp;Operators'!$C$1:$G$99911,5,FALSE)</f>
        <v>ROCHA YAOTL</v>
      </c>
      <c r="M37" s="224">
        <f>I37-F37</f>
        <v>2.5023148147738539E-2</v>
      </c>
      <c r="N37" s="225">
        <f>24*60*SUM($M37:$M37)</f>
        <v>36.033333332743496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-04T05:37:29-0700',mode:absolute,to:'2018-01-04T08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4.7500000000000001E-2</v>
      </c>
      <c r="Z37" s="247">
        <f>RIGHT(H37,LEN(H37)-4)/10000</f>
        <v>23.3306</v>
      </c>
      <c r="AA37" s="247">
        <f>ABS(Z37-Y37)</f>
        <v>23.283100000000001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/stypes="app*4034*20180104*"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125-04 --locoid 4034 --swversion DE.1.0.9.0 --startMP 204:475 --initTime 2018-01-04T06:37:29 --startdatetime 2018-01-04T06:45:15 --delay 58 --endMP 204:233306 --enddatetime 2018-01-04T07:21:17 --enforcementcount 0 &gt;&gt;%USERPROFILE%\Documents\GitHub\eaglep3-reporting\EC\2018-01-04-refined-times.txt</v>
      </c>
      <c r="AI37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{"issue":{"subject":"","project_id":79,"tracker_id":40,"status_id":1,"priority_id":2,"assigned_to_id":338,"start_date":"2018-01-04","description":"","custom_fields":[{"id":1,"name":"Subdivision","value":"EC"},{"id":4,"name":"Milepost","value":"23.3306"},{"id":17,"name":"Train ID","value":"125-04"},{"id":16,"name":"Locomotive ID","value":"4034"},{"id":130,"name":"Impact","value":""},{"id":150,"name":"Time of Event (Mountain Time)","value":"07:21:17"},{"id":151,"name":"Denver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4034 --day 2018-01-04</v>
      </c>
      <c r="AN37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-04T05:37:29-0700',mode:absolute,to:'2018-01-04T08:21:17-0700'))&amp;_a=(columns:!('Message%20ID',Summary),filters:!(),index:'emp_*',interval:auto,query:(query_string:(analyze_wildcard:!t,query:'%22rtdc.l.rtdc.4034%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745</v>
      </c>
      <c r="B38" s="225">
        <v>4033</v>
      </c>
      <c r="C38" s="227" t="s">
        <v>192</v>
      </c>
      <c r="D38" s="227" t="s">
        <v>931</v>
      </c>
      <c r="E38" s="226">
        <v>43104.319652777776</v>
      </c>
      <c r="F38" s="226">
        <v>43104.321296296293</v>
      </c>
      <c r="G38" s="225">
        <v>46</v>
      </c>
      <c r="H38" s="227" t="s">
        <v>595</v>
      </c>
      <c r="I38" s="226">
        <v>43104.34716435185</v>
      </c>
      <c r="J38" s="225">
        <v>0</v>
      </c>
      <c r="K38" s="237" t="str">
        <f>IF(ISEVEN(B38),(B38-1)&amp;"/"&amp;B38,B38&amp;"/"&amp;(B38+1))</f>
        <v>4033/4034</v>
      </c>
      <c r="L38" s="245" t="str">
        <f>VLOOKUP(A38,'Trips&amp;Operators'!$C$1:$G$99911,5,FALSE)</f>
        <v>ROCHA YAOTL</v>
      </c>
      <c r="M38" s="224">
        <f>I38-F38</f>
        <v>2.5868055556202307E-2</v>
      </c>
      <c r="N38" s="225">
        <f>24*60*SUM($M38:$M38)</f>
        <v>37.250000000931323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-04T06:40:18-0700',mode:absolute,to:'2018-01-04T09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23.299600000000002</v>
      </c>
      <c r="Z38" s="247">
        <f>RIGHT(H38,LEN(H38)-4)/10000</f>
        <v>1.52E-2</v>
      </c>
      <c r="AA38" s="247">
        <f>ABS(Z38-Y38)</f>
        <v>23.284400000000002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/stypes="app*4033*20180104*"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126-04 --locoid 4033 --swversion DE.1.0.9.0 --startMP 204:232996 --initTime 2018-01-04T07:40:18 --startdatetime 2018-01-04T07:42:40 --delay 46 --endMP 204:152 --enddatetime 2018-01-04T08:19:55 --enforcementcount 0 &gt;&gt;%USERPROFILE%\Documents\GitHub\eaglep3-reporting\EC\2018-01-04-refined-times.txt</v>
      </c>
      <c r="AI38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{"issue":{"subject":"","project_id":79,"tracker_id":40,"status_id":1,"priority_id":2,"assigned_to_id":338,"start_date":"2018-01-04","description":"","custom_fields":[{"id":1,"name":"Subdivision","value":"EC"},{"id":4,"name":"Milepost","value":"0.0152"},{"id":17,"name":"Train ID","value":"126-04"},{"id":16,"name":"Locomotive ID","value":"4033"},{"id":130,"name":"Impact","value":""},{"id":150,"name":"Time of Event (Mountain Time)","value":"08:19:55"},{"id":151,"name":"Denver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4033 --day 2018-01-04</v>
      </c>
      <c r="AN38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-04T06:40:18-0700',mode:absolute,to:'2018-01-04T09:19:55-0700'))&amp;_a=(columns:!('Message%20ID',Summary),filters:!(),index:'emp_*',interval:auto,query:(query_string:(analyze_wildcard:!t,query:'%22rtdc.l.rtdc.4033%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734</v>
      </c>
      <c r="B39" s="225">
        <v>4032</v>
      </c>
      <c r="C39" s="227" t="s">
        <v>192</v>
      </c>
      <c r="D39" s="227" t="s">
        <v>506</v>
      </c>
      <c r="E39" s="226">
        <v>43104.286215277774</v>
      </c>
      <c r="F39" s="226">
        <v>43104.292141203703</v>
      </c>
      <c r="G39" s="225">
        <v>89</v>
      </c>
      <c r="H39" s="227" t="s">
        <v>932</v>
      </c>
      <c r="I39" s="226">
        <v>43104.315810185188</v>
      </c>
      <c r="J39" s="225">
        <v>0</v>
      </c>
      <c r="K39" s="237" t="str">
        <f>IF(ISEVEN(B39),(B39-1)&amp;"/"&amp;B39,B39&amp;"/"&amp;(B39+1))</f>
        <v>4031/4032</v>
      </c>
      <c r="L39" s="245" t="str">
        <f>VLOOKUP(A39,'Trips&amp;Operators'!$C$1:$G$99911,5,FALSE)</f>
        <v>BEAM ROSS</v>
      </c>
      <c r="M39" s="224">
        <f>I39-F39</f>
        <v>2.3668981484661344E-2</v>
      </c>
      <c r="N39" s="225">
        <f>24*60*SUM($M39:$M39)</f>
        <v>34.083333337912336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-04T05:52:09-0700',mode:absolute,to:'2018-01-04T08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0.05</v>
      </c>
      <c r="Z39" s="247">
        <f>RIGHT(H39,LEN(H39)-4)/10000</f>
        <v>23.329699999999999</v>
      </c>
      <c r="AA39" s="247">
        <f>ABS(Z39-Y39)</f>
        <v>23.279699999999998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/stypes="app*4032*20180104*"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127-04 --locoid 4032 --swversion DE.1.0.9.0 --startMP 204:500 --initTime 2018-01-04T06:52:09 --startdatetime 2018-01-04T07:00:41 --delay 89 --endMP 204:233297 --enddatetime 2018-01-04T07:34:46 --enforcementcount 0 &gt;&gt;%USERPROFILE%\Documents\GitHub\eaglep3-reporting\EC\2018-01-04-refined-times.txt</v>
      </c>
      <c r="AI39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{"issue":{"subject":"","project_id":79,"tracker_id":40,"status_id":1,"priority_id":2,"assigned_to_id":338,"start_date":"2018-01-04","description":"","custom_fields":[{"id":1,"name":"Subdivision","value":"EC"},{"id":4,"name":"Milepost","value":"23.3297"},{"id":17,"name":"Train ID","value":"127-04"},{"id":16,"name":"Locomotive ID","value":"4032"},{"id":130,"name":"Impact","value":""},{"id":150,"name":"Time of Event (Mountain Time)","value":"07:34:46"},{"id":151,"name":"Denver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4032 --day 2018-01-04</v>
      </c>
      <c r="AN39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-04T05:52:09-0700',mode:absolute,to:'2018-01-04T08:34:46-0700'))&amp;_a=(columns:!('Message%20ID',Summary),filters:!(),index:'emp_*',interval:auto,query:(query_string:(analyze_wildcard:!t,query:'%22rtdc.l.rtdc.4032%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743</v>
      </c>
      <c r="B40" s="225">
        <v>4031</v>
      </c>
      <c r="C40" s="227" t="s">
        <v>192</v>
      </c>
      <c r="D40" s="227" t="s">
        <v>933</v>
      </c>
      <c r="E40" s="226">
        <v>43104.31689814815</v>
      </c>
      <c r="F40" s="226">
        <v>43104.331423611111</v>
      </c>
      <c r="G40" s="225">
        <v>56</v>
      </c>
      <c r="H40" s="227" t="s">
        <v>477</v>
      </c>
      <c r="I40" s="226">
        <v>43104.357268518521</v>
      </c>
      <c r="J40" s="225">
        <v>0</v>
      </c>
      <c r="K40" s="237" t="str">
        <f>IF(ISEVEN(B40),(B40-1)&amp;"/"&amp;B40,B40&amp;"/"&amp;(B40+1))</f>
        <v>4031/4032</v>
      </c>
      <c r="L40" s="245" t="str">
        <f>VLOOKUP(A40,'Trips&amp;Operators'!$C$1:$G$99911,5,FALSE)</f>
        <v>BEAM ROSS</v>
      </c>
      <c r="M40" s="224">
        <f>I40-F40</f>
        <v>2.584490740991896E-2</v>
      </c>
      <c r="N40" s="225">
        <f>24*60*SUM($M40:$M40)</f>
        <v>37.216666670283303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-04T06:36:20-0700',mode:absolute,to:'2018-01-04T09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23.297999999999998</v>
      </c>
      <c r="Z40" s="247">
        <f>RIGHT(H40,LEN(H40)-4)/10000</f>
        <v>2.01E-2</v>
      </c>
      <c r="AA40" s="247">
        <f>ABS(Z40-Y40)</f>
        <v>23.277899999999999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s3://rtdc.mdm.uploadarchive.raw/RTDC4031/ "%USERPROFILE%\AppData\Local\Temp\OnboardLogs"\RTDC4031\2018-01-04 --exclude "*" --recursive --include "*20180104*" &amp; "%USERPROFILE%\Documents\GitHub\mrs-test-scripts\Headless Mode &amp; Sideloading\WalkAndUnGZ.bat" "%USERPROFILE%\AppData\Local\Temp\OnboardLogs"\RTDC4031\2018-01-04 &amp; aws s3 cp s3://rtdc.mdm.uploadarchive.raw/RTDC4031/ "%USERPROFILE%\AppData\Local\Temp\OnboardLogs"\RTDC4031\2018-01-05 --exclude "*" --recursive --include "*20180105*" &amp; "%USERPROFILE%\Documents\GitHub\mrs-test-scripts\Headless Mode &amp; Sideloading\WalkAndUnGZ.bat" "%USERPROFILE%\AppData\Local\Temp\OnboardLogs"\RTDC4031\2018-01-05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/stypes="app*4031*20180104*"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128-04 --locoid 4031 --swversion DE.1.0.9.0 --startMP 204:232980 --initTime 2018-01-04T07:36:20 --startdatetime 2018-01-04T07:57:15 --delay 56 --endMP 204:201 --enddatetime 2018-01-04T08:34:28 --enforcementcount 0 &gt;&gt;%USERPROFILE%\Documents\GitHub\eaglep3-reporting\EC\2018-01-04-refined-times.txt</v>
      </c>
      <c r="AI40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{"issue":{"subject":"","project_id":79,"tracker_id":40,"status_id":1,"priority_id":2,"assigned_to_id":338,"start_date":"2018-01-04","description":"","custom_fields":[{"id":1,"name":"Subdivision","value":"EC"},{"id":4,"name":"Milepost","value":"0.0201"},{"id":17,"name":"Train ID","value":"128-04"},{"id":16,"name":"Locomotive ID","value":"4031"},{"id":130,"name":"Impact","value":""},{"id":150,"name":"Time of Event (Mountain Time)","value":"08:34:28"},{"id":151,"name":"Denver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4031 --day 2018-01-04</v>
      </c>
      <c r="AN40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-04T06:36:20-0700',mode:absolute,to:'2018-01-04T09:34:28-0700'))&amp;_a=(columns:!('Message%20ID',Summary),filters:!(),index:'emp_*',interval:auto,query:(query_string:(analyze_wildcard:!t,query:'%22rtdc.l.rtdc.4031%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738</v>
      </c>
      <c r="B41" s="225">
        <v>4018</v>
      </c>
      <c r="C41" s="227" t="s">
        <v>192</v>
      </c>
      <c r="D41" s="227" t="s">
        <v>523</v>
      </c>
      <c r="E41" s="226">
        <v>43104.30128472222</v>
      </c>
      <c r="F41" s="226">
        <v>43104.302442129629</v>
      </c>
      <c r="G41" s="225">
        <v>54</v>
      </c>
      <c r="H41" s="227" t="s">
        <v>542</v>
      </c>
      <c r="I41" s="226">
        <v>43104.327662037038</v>
      </c>
      <c r="J41" s="225">
        <v>0</v>
      </c>
      <c r="K41" s="237" t="str">
        <f>IF(ISEVEN(B41),(B41-1)&amp;"/"&amp;B41,B41&amp;"/"&amp;(B41+1))</f>
        <v>4017/4018</v>
      </c>
      <c r="L41" s="245" t="str">
        <f>VLOOKUP(A41,'Trips&amp;Operators'!$C$1:$G$99911,5,FALSE)</f>
        <v>STARKS ANGELINA</v>
      </c>
      <c r="M41" s="224">
        <f>I41-F41</f>
        <v>2.5219907409336884E-2</v>
      </c>
      <c r="N41" s="225">
        <f>24*60*SUM($M41:$M41)</f>
        <v>36.316666669445112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-04T06:13:51-0700',mode:absolute,to:'2018-01-04T08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4.6699999999999998E-2</v>
      </c>
      <c r="Z41" s="247">
        <f>RIGHT(H41,LEN(H41)-4)/10000</f>
        <v>23.3291</v>
      </c>
      <c r="AA41" s="247">
        <f>ABS(Z41-Y41)</f>
        <v>23.282399999999999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/stypes="app*4018*20180104*"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129-04 --locoid 4018 --swversion DE.1.0.9.0 --startMP 204:467 --initTime 2018-01-04T07:13:51 --startdatetime 2018-01-04T07:15:31 --delay 54 --endMP 204:233291 --enddatetime 2018-01-04T07:51:50 --enforcementcount 0 &gt;&gt;%USERPROFILE%\Documents\GitHub\eaglep3-reporting\EC\2018-01-04-refined-times.txt</v>
      </c>
      <c r="AI41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{"issue":{"subject":"","project_id":79,"tracker_id":40,"status_id":1,"priority_id":2,"assigned_to_id":338,"start_date":"2018-01-04","description":"","custom_fields":[{"id":1,"name":"Subdivision","value":"EC"},{"id":4,"name":"Milepost","value":"23.3291"},{"id":17,"name":"Train ID","value":"129-04"},{"id":16,"name":"Locomotive ID","value":"4018"},{"id":130,"name":"Impact","value":""},{"id":150,"name":"Time of Event (Mountain Time)","value":"07:51:50"},{"id":151,"name":"Denver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4018 --day 2018-01-04</v>
      </c>
      <c r="AN41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-04T06:13:51-0700',mode:absolute,to:'2018-01-04T08:51:50-0700'))&amp;_a=(columns:!('Message%20ID',Summary),filters:!(),index:'emp_*',interval:auto,query:(query_string:(analyze_wildcard:!t,query:'%22rtdc.l.rtdc.4018%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747</v>
      </c>
      <c r="B42" s="225">
        <v>4017</v>
      </c>
      <c r="C42" s="227" t="s">
        <v>192</v>
      </c>
      <c r="D42" s="227" t="s">
        <v>912</v>
      </c>
      <c r="E42" s="226">
        <v>43104.335578703707</v>
      </c>
      <c r="F42" s="226">
        <v>43104.341840277775</v>
      </c>
      <c r="G42" s="225">
        <v>85</v>
      </c>
      <c r="H42" s="227" t="s">
        <v>934</v>
      </c>
      <c r="I42" s="226">
        <v>43104.369791666664</v>
      </c>
      <c r="J42" s="225">
        <v>0</v>
      </c>
      <c r="K42" s="237" t="str">
        <f>IF(ISEVEN(B42),(B42-1)&amp;"/"&amp;B42,B42&amp;"/"&amp;(B42+1))</f>
        <v>4017/4018</v>
      </c>
      <c r="L42" s="245" t="str">
        <f>VLOOKUP(A42,'Trips&amp;Operators'!$C$1:$G$99911,5,FALSE)</f>
        <v>STARKS ANGELINA</v>
      </c>
      <c r="M42" s="224">
        <f>I42-F42</f>
        <v>2.7951388889050577E-2</v>
      </c>
      <c r="N42" s="225">
        <f>24*60*SUM($M42:$M42)</f>
        <v>40.250000000232831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-04T07:03:14-0700',mode:absolute,to:'2018-01-04T09:52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23.2987</v>
      </c>
      <c r="Z42" s="247">
        <f>RIGHT(H42,LEN(H42)-4)/10000</f>
        <v>1.43E-2</v>
      </c>
      <c r="AA42" s="247">
        <f>ABS(Z42-Y42)</f>
        <v>23.284400000000002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/stypes="app*4017*20180104*"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130-04 --locoid 4017 --swversion DE.1.0.9.0 --startMP 204:232987 --initTime 2018-01-04T08:03:14 --startdatetime 2018-01-04T08:12:15 --delay 85 --endMP 204:143 --enddatetime 2018-01-04T08:52:30 --enforcementcount 0 &gt;&gt;%USERPROFILE%\Documents\GitHub\eaglep3-reporting\EC\2018-01-04-refined-times.txt</v>
      </c>
      <c r="AI42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{"issue":{"subject":"","project_id":79,"tracker_id":40,"status_id":1,"priority_id":2,"assigned_to_id":338,"start_date":"2018-01-04","description":"","custom_fields":[{"id":1,"name":"Subdivision","value":"EC"},{"id":4,"name":"Milepost","value":"0.0143"},{"id":17,"name":"Train ID","value":"130-04"},{"id":16,"name":"Locomotive ID","value":"4017"},{"id":130,"name":"Impact","value":""},{"id":150,"name":"Time of Event (Mountain Time)","value":"08:52:30"},{"id":151,"name":"Denver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4017 --day 2018-01-04</v>
      </c>
      <c r="AN42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-04T07:03:14-0700',mode:absolute,to:'2018-01-04T09:52:30-0700'))&amp;_a=(columns:!('Message%20ID',Summary),filters:!(),index:'emp_*',interval:auto,query:(query_string:(analyze_wildcard:!t,query:'%22rtdc.l.rtdc.4017%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740</v>
      </c>
      <c r="B43" s="225">
        <v>4044</v>
      </c>
      <c r="C43" s="227" t="s">
        <v>192</v>
      </c>
      <c r="D43" s="227" t="s">
        <v>513</v>
      </c>
      <c r="E43" s="226">
        <v>43104.307673611111</v>
      </c>
      <c r="F43" s="226">
        <v>43104.3128125</v>
      </c>
      <c r="G43" s="225">
        <v>51</v>
      </c>
      <c r="H43" s="227" t="s">
        <v>935</v>
      </c>
      <c r="I43" s="226">
        <v>43104.337557870371</v>
      </c>
      <c r="J43" s="225">
        <v>0</v>
      </c>
      <c r="K43" s="237" t="str">
        <f>IF(ISEVEN(B43),(B43-1)&amp;"/"&amp;B43,B43&amp;"/"&amp;(B43+1))</f>
        <v>4043/4044</v>
      </c>
      <c r="L43" s="245" t="str">
        <f>VLOOKUP(A43,'Trips&amp;Operators'!$C$1:$G$99911,5,FALSE)</f>
        <v>DAVIDSON DAVID</v>
      </c>
      <c r="M43" s="224">
        <f>I43-F43</f>
        <v>2.47453703705105E-2</v>
      </c>
      <c r="N43" s="225">
        <f>24*60*SUM($M43:$M43)</f>
        <v>35.63333333353512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-04T06:23:03-0700',mode:absolute,to:'2018-01-04T09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5.1499999999999997E-2</v>
      </c>
      <c r="Z43" s="247">
        <f>RIGHT(H43,LEN(H43)-4)/10000</f>
        <v>23.327999999999999</v>
      </c>
      <c r="AA43" s="247">
        <f>ABS(Z43-Y43)</f>
        <v>23.276499999999999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/stypes="app*4044*20180104*"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131-04 --locoid 4044 --swversion DE.1.0.9.0 --startMP 204:515 --initTime 2018-01-04T07:23:03 --startdatetime 2018-01-04T07:30:27 --delay 51 --endMP 204:233280 --enddatetime 2018-01-04T08:06:05 --enforcementcount 0 &gt;&gt;%USERPROFILE%\Documents\GitHub\eaglep3-reporting\EC\2018-01-04-refined-times.txt</v>
      </c>
      <c r="AI43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{"issue":{"subject":"","project_id":79,"tracker_id":40,"status_id":1,"priority_id":2,"assigned_to_id":338,"start_date":"2018-01-04","description":"","custom_fields":[{"id":1,"name":"Subdivision","value":"EC"},{"id":4,"name":"Milepost","value":"23.328"},{"id":17,"name":"Train ID","value":"131-04"},{"id":16,"name":"Locomotive ID","value":"4044"},{"id":130,"name":"Impact","value":""},{"id":150,"name":"Time of Event (Mountain Time)","value":"08:06:05"},{"id":151,"name":"Denver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4044 --day 2018-01-04</v>
      </c>
      <c r="AN43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-04T06:23:03-0700',mode:absolute,to:'2018-01-04T09:06:05-0700'))&amp;_a=(columns:!('Message%20ID',Summary),filters:!(),index:'emp_*',interval:auto,query:(query_string:(analyze_wildcard:!t,query:'%22rtdc.l.rtdc.4044%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749</v>
      </c>
      <c r="B44" s="225">
        <v>4043</v>
      </c>
      <c r="C44" s="227" t="s">
        <v>192</v>
      </c>
      <c r="D44" s="227" t="s">
        <v>936</v>
      </c>
      <c r="E44" s="226">
        <v>43104.339212962965</v>
      </c>
      <c r="F44" s="226">
        <v>43104.35229166667</v>
      </c>
      <c r="G44" s="225">
        <v>56</v>
      </c>
      <c r="H44" s="227" t="s">
        <v>633</v>
      </c>
      <c r="I44" s="226">
        <v>43104.379641203705</v>
      </c>
      <c r="J44" s="225">
        <v>0</v>
      </c>
      <c r="K44" s="237" t="str">
        <f>IF(ISEVEN(B44),(B44-1)&amp;"/"&amp;B44,B44&amp;"/"&amp;(B44+1))</f>
        <v>4043/4044</v>
      </c>
      <c r="L44" s="245" t="str">
        <f>VLOOKUP(A44,'Trips&amp;Operators'!$C$1:$G$99911,5,FALSE)</f>
        <v>DAVIDSON DAVID</v>
      </c>
      <c r="M44" s="224">
        <f>I44-F44</f>
        <v>2.7349537034751847E-2</v>
      </c>
      <c r="N44" s="225">
        <f>24*60*SUM($M44:$M44)</f>
        <v>39.38333333004266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-04T07:08:28-0700',mode:absolute,to:'2018-01-04T10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23.2973</v>
      </c>
      <c r="Z44" s="247">
        <f>RIGHT(H44,LEN(H44)-4)/10000</f>
        <v>2.3599999999999999E-2</v>
      </c>
      <c r="AA44" s="247">
        <f>ABS(Z44-Y44)</f>
        <v>23.273700000000002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/stypes="app*4043*20180104*"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132-04 --locoid 4043 --swversion DE.1.0.9.0 --startMP 204:232973 --initTime 2018-01-04T08:08:28 --startdatetime 2018-01-04T08:27:18 --delay 56 --endMP 204:236 --enddatetime 2018-01-04T09:06:41 --enforcementcount 0 &gt;&gt;%USERPROFILE%\Documents\GitHub\eaglep3-reporting\EC\2018-01-04-refined-times.txt</v>
      </c>
      <c r="AI44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{"issue":{"subject":"","project_id":79,"tracker_id":40,"status_id":1,"priority_id":2,"assigned_to_id":338,"start_date":"2018-01-04","description":"","custom_fields":[{"id":1,"name":"Subdivision","value":"EC"},{"id":4,"name":"Milepost","value":"0.0236"},{"id":17,"name":"Train ID","value":"132-04"},{"id":16,"name":"Locomotive ID","value":"4043"},{"id":130,"name":"Impact","value":""},{"id":150,"name":"Time of Event (Mountain Time)","value":"09:06:41"},{"id":151,"name":"Denver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4043 --day 2018-01-04</v>
      </c>
      <c r="AN44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-04T07:08:28-0700',mode:absolute,to:'2018-01-04T10:06:41-0700'))&amp;_a=(columns:!('Message%20ID',Summary),filters:!(),index:'emp_*',interval:auto,query:(query_string:(analyze_wildcard:!t,query:'%22rtdc.l.rtdc.4043%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744</v>
      </c>
      <c r="B45" s="225">
        <v>4046</v>
      </c>
      <c r="C45" s="227" t="s">
        <v>192</v>
      </c>
      <c r="D45" s="227" t="s">
        <v>937</v>
      </c>
      <c r="E45" s="226">
        <v>43104.318009259259</v>
      </c>
      <c r="F45" s="226">
        <v>43104.323206018518</v>
      </c>
      <c r="G45" s="225">
        <v>52</v>
      </c>
      <c r="H45" s="227" t="s">
        <v>938</v>
      </c>
      <c r="I45" s="226">
        <v>43104.349675925929</v>
      </c>
      <c r="J45" s="225">
        <v>0</v>
      </c>
      <c r="K45" s="237" t="str">
        <f>IF(ISEVEN(B45),(B45-1)&amp;"/"&amp;B45,B45&amp;"/"&amp;(B45+1))</f>
        <v>4045/4046</v>
      </c>
      <c r="L45" s="245" t="str">
        <f>VLOOKUP(A45,'Trips&amp;Operators'!$C$1:$G$99911,5,FALSE)</f>
        <v>LONG FULLER</v>
      </c>
      <c r="M45" s="224">
        <f>I45-F45</f>
        <v>2.6469907410501037E-2</v>
      </c>
      <c r="N45" s="225">
        <f>24*60*SUM($M45:$M45)</f>
        <v>38.116666671121493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-04T06:37:56-0700',mode:absolute,to:'2018-01-04T09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4.8800000000000003E-2</v>
      </c>
      <c r="Z45" s="247">
        <f>RIGHT(H45,LEN(H45)-4)/10000</f>
        <v>23.328499999999998</v>
      </c>
      <c r="AA45" s="247">
        <f>ABS(Z45-Y45)</f>
        <v>23.279699999999998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133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/stypes="app*4046*20180104*"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133-04 --locoid 4046 --swversion DE.1.0.9.0 --startMP 204:488 --initTime 2018-01-04T07:37:56 --startdatetime 2018-01-04T07:45:25 --delay 52 --endMP 204:233285 --enddatetime 2018-01-04T08:23:32 --enforcementcount 0 &gt;&gt;%USERPROFILE%\Documents\GitHub\eaglep3-reporting\EC\2018-01-04-refined-times.txt</v>
      </c>
      <c r="AI45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{"issue":{"subject":"","project_id":79,"tracker_id":40,"status_id":1,"priority_id":2,"assigned_to_id":338,"start_date":"2018-01-04","description":"","custom_fields":[{"id":1,"name":"Subdivision","value":"EC"},{"id":4,"name":"Milepost","value":"23.3285"},{"id":17,"name":"Train ID","value":"133-04"},{"id":16,"name":"Locomotive ID","value":"4046"},{"id":130,"name":"Impact","value":""},{"id":150,"name":"Time of Event (Mountain Time)","value":"08:23:32"},{"id":151,"name":"Denver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4046 --day 2018-01-04</v>
      </c>
      <c r="AN45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-04T06:37:56-0700',mode:absolute,to:'2018-01-04T09:23:32-0700'))&amp;_a=(columns:!('Message%20ID',Summary),filters:!(),index:'emp_*',interval:auto,query:(query_string:(analyze_wildcard:!t,query:'%22rtdc.l.rtdc.4046%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753</v>
      </c>
      <c r="B46" s="225">
        <v>4045</v>
      </c>
      <c r="C46" s="227" t="s">
        <v>192</v>
      </c>
      <c r="D46" s="227" t="s">
        <v>515</v>
      </c>
      <c r="E46" s="226">
        <v>43104.351840277777</v>
      </c>
      <c r="F46" s="226">
        <v>43104.362696759257</v>
      </c>
      <c r="G46" s="225">
        <v>64</v>
      </c>
      <c r="H46" s="227" t="s">
        <v>503</v>
      </c>
      <c r="I46" s="226">
        <v>43104.389502314814</v>
      </c>
      <c r="J46" s="225">
        <v>0</v>
      </c>
      <c r="K46" s="237" t="str">
        <f>IF(ISEVEN(B46),(B46-1)&amp;"/"&amp;B46,B46&amp;"/"&amp;(B46+1))</f>
        <v>4045/4046</v>
      </c>
      <c r="L46" s="245" t="str">
        <f>VLOOKUP(A46,'Trips&amp;Operators'!$C$1:$G$99911,5,FALSE)</f>
        <v>LONG FULLER</v>
      </c>
      <c r="M46" s="224">
        <f>I46-F46</f>
        <v>2.6805555557075422E-2</v>
      </c>
      <c r="N46" s="225">
        <f>24*60*SUM($M46:$M46)</f>
        <v>38.600000002188608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-04T07:26:39-0700',mode:absolute,to:'2018-01-04T10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23.298100000000002</v>
      </c>
      <c r="Z46" s="247">
        <f>RIGHT(H46,LEN(H46)-4)/10000</f>
        <v>2.0899999999999998E-2</v>
      </c>
      <c r="AA46" s="247">
        <f>ABS(Z46-Y46)</f>
        <v>23.277200000000001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134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/stypes="app*4045*20180104*"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134-04 --locoid 4045 --swversion DE.1.0.9.0 --startMP 204:232981 --initTime 2018-01-04T08:26:39 --startdatetime 2018-01-04T08:42:17 --delay 64 --endMP 204:209 --enddatetime 2018-01-04T09:20:53 --enforcementcount 0 &gt;&gt;%USERPROFILE%\Documents\GitHub\eaglep3-reporting\EC\2018-01-04-refined-times.txt</v>
      </c>
      <c r="AI46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{"issue":{"subject":"","project_id":79,"tracker_id":40,"status_id":1,"priority_id":2,"assigned_to_id":338,"start_date":"2018-01-04","description":"","custom_fields":[{"id":1,"name":"Subdivision","value":"EC"},{"id":4,"name":"Milepost","value":"0.0209"},{"id":17,"name":"Train ID","value":"134-04"},{"id":16,"name":"Locomotive ID","value":"4045"},{"id":130,"name":"Impact","value":""},{"id":150,"name":"Time of Event (Mountain Time)","value":"09:20:53"},{"id":151,"name":"Denver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4045 --day 2018-01-04</v>
      </c>
      <c r="AN46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-04T07:26:39-0700',mode:absolute,to:'2018-01-04T10:20:53-0700'))&amp;_a=(columns:!('Message%20ID',Summary),filters:!(),index:'emp_*',interval:auto,query:(query_string:(analyze_wildcard:!t,query:'%22rtdc.l.rtdc.4045%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746</v>
      </c>
      <c r="B47" s="225">
        <v>4064</v>
      </c>
      <c r="C47" s="227" t="s">
        <v>192</v>
      </c>
      <c r="D47" s="227" t="s">
        <v>516</v>
      </c>
      <c r="E47" s="226">
        <v>43104.327187499999</v>
      </c>
      <c r="F47" s="226">
        <v>43104.333564814813</v>
      </c>
      <c r="G47" s="225">
        <v>68</v>
      </c>
      <c r="H47" s="227" t="s">
        <v>939</v>
      </c>
      <c r="I47" s="226">
        <v>43104.357106481482</v>
      </c>
      <c r="J47" s="225">
        <v>0</v>
      </c>
      <c r="K47" s="237" t="str">
        <f>IF(ISEVEN(B47),(B47-1)&amp;"/"&amp;B47,B47&amp;"/"&amp;(B47+1))</f>
        <v>4063/4064</v>
      </c>
      <c r="L47" s="245" t="str">
        <f>VLOOKUP(A47,'Trips&amp;Operators'!$C$1:$G$99911,5,FALSE)</f>
        <v>GEBRETEKLE DAGNEW</v>
      </c>
      <c r="M47" s="224">
        <f>I47-F47</f>
        <v>2.3541666669188999E-2</v>
      </c>
      <c r="N47" s="225">
        <f>24*60*SUM($M47:$M47)</f>
        <v>33.900000003632158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-04T06:51:09-0700',mode:absolute,to:'2018-01-04T09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4.8399999999999999E-2</v>
      </c>
      <c r="Z47" s="247">
        <f>RIGHT(H47,LEN(H47)-4)/10000</f>
        <v>23.328800000000001</v>
      </c>
      <c r="AA47" s="247">
        <f>ABS(Z47-Y47)</f>
        <v>23.2804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135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/stypes="app*4064*20180104*"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135-04 --locoid 4064 --swversion DE.1.0.9.0 --startMP 204:484 --initTime 2018-01-04T07:51:09 --startdatetime 2018-01-04T08:00:20 --delay 68 --endMP 204:233288 --enddatetime 2018-01-04T08:34:14 --enforcementcount 0 &gt;&gt;%USERPROFILE%\Documents\GitHub\eaglep3-reporting\EC\2018-01-04-refined-times.txt</v>
      </c>
      <c r="AI47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{"issue":{"subject":"","project_id":79,"tracker_id":40,"status_id":1,"priority_id":2,"assigned_to_id":338,"start_date":"2018-01-04","description":"","custom_fields":[{"id":1,"name":"Subdivision","value":"EC"},{"id":4,"name":"Milepost","value":"23.3288"},{"id":17,"name":"Train ID","value":"135-04"},{"id":16,"name":"Locomotive ID","value":"4064"},{"id":130,"name":"Impact","value":""},{"id":150,"name":"Time of Event (Mountain Time)","value":"08:34:14"},{"id":151,"name":"Denver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4064 --day 2018-01-04</v>
      </c>
      <c r="AN47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-04T06:51:09-0700',mode:absolute,to:'2018-01-04T09:34:14-0700'))&amp;_a=(columns:!('Message%20ID',Summary),filters:!(),index:'emp_*',interval:auto,query:(query_string:(analyze_wildcard:!t,query:'%22rtdc.l.rtdc.4064%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755</v>
      </c>
      <c r="B48" s="225">
        <v>4063</v>
      </c>
      <c r="C48" s="227" t="s">
        <v>192</v>
      </c>
      <c r="D48" s="227" t="s">
        <v>940</v>
      </c>
      <c r="E48" s="226">
        <v>43104.358668981484</v>
      </c>
      <c r="F48" s="226">
        <v>43104.373078703706</v>
      </c>
      <c r="G48" s="225">
        <v>49</v>
      </c>
      <c r="H48" s="227" t="s">
        <v>941</v>
      </c>
      <c r="I48" s="226">
        <v>43104.398553240739</v>
      </c>
      <c r="J48" s="225">
        <v>0</v>
      </c>
      <c r="K48" s="237" t="str">
        <f>IF(ISEVEN(B48),(B48-1)&amp;"/"&amp;B48,B48&amp;"/"&amp;(B48+1))</f>
        <v>4063/4064</v>
      </c>
      <c r="L48" s="245" t="str">
        <f>VLOOKUP(A48,'Trips&amp;Operators'!$C$1:$G$99911,5,FALSE)</f>
        <v>GEBRETEKLE DAGNEW</v>
      </c>
      <c r="M48" s="224">
        <f>I48-F48</f>
        <v>2.5474537033005618E-2</v>
      </c>
      <c r="N48" s="225">
        <f>24*60*SUM($M48:$M48)</f>
        <v>36.683333327528089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-04T07:36:29-0700',mode:absolute,to:'2018-01-04T10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23.2971</v>
      </c>
      <c r="Z48" s="247">
        <f>RIGHT(H48,LEN(H48)-4)/10000</f>
        <v>1.34E-2</v>
      </c>
      <c r="AA48" s="247">
        <f>ABS(Z48-Y48)</f>
        <v>23.2837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136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/stypes="app*4063*20180104*"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136-04 --locoid 4063 --swversion DE.1.0.9.0 --startMP 204:232971 --initTime 2018-01-04T08:36:29 --startdatetime 2018-01-04T08:57:14 --delay 49 --endMP 204:134 --enddatetime 2018-01-04T09:33:55 --enforcementcount 0 &gt;&gt;%USERPROFILE%\Documents\GitHub\eaglep3-reporting\EC\2018-01-04-refined-times.txt</v>
      </c>
      <c r="AI48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{"issue":{"subject":"","project_id":79,"tracker_id":40,"status_id":1,"priority_id":2,"assigned_to_id":338,"start_date":"2018-01-04","description":"","custom_fields":[{"id":1,"name":"Subdivision","value":"EC"},{"id":4,"name":"Milepost","value":"0.0134"},{"id":17,"name":"Train ID","value":"136-04"},{"id":16,"name":"Locomotive ID","value":"4063"},{"id":130,"name":"Impact","value":""},{"id":150,"name":"Time of Event (Mountain Time)","value":"09:33:55"},{"id":151,"name":"Denver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4063 --day 2018-01-04</v>
      </c>
      <c r="AN48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-04T07:36:29-0700',mode:absolute,to:'2018-01-04T10:33:55-0700'))&amp;_a=(columns:!('Message%20ID',Summary),filters:!(),index:'emp_*',interval:auto,query:(query_string:(analyze_wildcard:!t,query:'%22rtdc.l.rtdc.4063%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750</v>
      </c>
      <c r="B49" s="225">
        <v>4052</v>
      </c>
      <c r="C49" s="227" t="s">
        <v>192</v>
      </c>
      <c r="D49" s="227" t="s">
        <v>927</v>
      </c>
      <c r="E49" s="226">
        <v>43104.33898148148</v>
      </c>
      <c r="F49" s="226">
        <v>43104.343935185185</v>
      </c>
      <c r="G49" s="225">
        <v>78</v>
      </c>
      <c r="H49" s="227" t="s">
        <v>942</v>
      </c>
      <c r="I49" s="226">
        <v>43104.368726851855</v>
      </c>
      <c r="J49" s="225">
        <v>0</v>
      </c>
      <c r="K49" s="237" t="str">
        <f>IF(ISEVEN(B49),(B49-1)&amp;"/"&amp;B49,B49&amp;"/"&amp;(B49+1))</f>
        <v>4051/4052</v>
      </c>
      <c r="L49" s="245" t="str">
        <f>VLOOKUP(A49,'Trips&amp;Operators'!$C$1:$G$99911,5,FALSE)</f>
        <v>WILLIAMS DONTE</v>
      </c>
      <c r="M49" s="224">
        <f>I49-F49</f>
        <v>2.4791666670353152E-2</v>
      </c>
      <c r="N49" s="225">
        <f>24*60*SUM($M49:$M49)</f>
        <v>35.700000005308539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-04T07:08:08-0700',mode:absolute,to:'2018-01-04T09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5.0599999999999999E-2</v>
      </c>
      <c r="Z49" s="247">
        <f>RIGHT(H49,LEN(H49)-4)/10000</f>
        <v>23.3232</v>
      </c>
      <c r="AA49" s="247">
        <f>ABS(Z49-Y49)</f>
        <v>23.272600000000001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137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s3://rtdc.mdm.uploadarchive.raw/RTDC4052/ "%USERPROFILE%\AppData\Local\Temp\OnboardLogs"\RTDC4052\2018-01-04 --exclude "*" --recursive --include "*20180104*" &amp; "%USERPROFILE%\Documents\GitHub\mrs-test-scripts\Headless Mode &amp; Sideloading\WalkAndUnGZ.bat" "%USERPROFILE%\AppData\Local\Temp\OnboardLogs"\RTDC4052\2018-01-04 &amp; 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/stypes="app*4052*20180104*"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137-04 --locoid 4052 --swversion DE.1.0.9.0 --startMP 204:506 --initTime 2018-01-04T08:08:08 --startdatetime 2018-01-04T08:15:16 --delay 78 --endMP 204:233232 --enddatetime 2018-01-04T08:50:58 --enforcementcount 0 &gt;&gt;%USERPROFILE%\Documents\GitHub\eaglep3-reporting\EC\2018-01-04-refined-times.txt</v>
      </c>
      <c r="AI49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{"issue":{"subject":"","project_id":79,"tracker_id":40,"status_id":1,"priority_id":2,"assigned_to_id":338,"start_date":"2018-01-04","description":"","custom_fields":[{"id":1,"name":"Subdivision","value":"EC"},{"id":4,"name":"Milepost","value":"23.3232"},{"id":17,"name":"Train ID","value":"137-04"},{"id":16,"name":"Locomotive ID","value":"4052"},{"id":130,"name":"Impact","value":""},{"id":150,"name":"Time of Event (Mountain Time)","value":"08:50:58"},{"id":151,"name":"Denver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4052 --day 2018-01-04</v>
      </c>
      <c r="AN49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-04T07:08:08-0700',mode:absolute,to:'2018-01-04T09:50:58-0700'))&amp;_a=(columns:!('Message%20ID',Summary),filters:!(),index:'emp_*',interval:auto,query:(query_string:(analyze_wildcard:!t,query:'%22rtdc.l.rtdc.4052%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662</v>
      </c>
      <c r="B50" s="225">
        <v>4051</v>
      </c>
      <c r="C50" s="227" t="s">
        <v>192</v>
      </c>
      <c r="D50" s="227" t="s">
        <v>943</v>
      </c>
      <c r="E50" s="226">
        <v>43104.377164351848</v>
      </c>
      <c r="F50" s="226">
        <v>43104.383576388886</v>
      </c>
      <c r="G50" s="225">
        <v>150</v>
      </c>
      <c r="H50" s="227" t="s">
        <v>481</v>
      </c>
      <c r="I50" s="226">
        <v>43104.413460648146</v>
      </c>
      <c r="J50" s="225">
        <v>0</v>
      </c>
      <c r="K50" s="237" t="str">
        <f>IF(ISEVEN(B50),(B50-1)&amp;"/"&amp;B50,B50&amp;"/"&amp;(B50+1))</f>
        <v>4051/4052</v>
      </c>
      <c r="L50" s="245" t="str">
        <f>VLOOKUP(A50,'Trips&amp;Operators'!$C$1:$G$99911,5,FALSE)</f>
        <v>WILLIAMS DONTE</v>
      </c>
      <c r="M50" s="224">
        <f>I50-F50</f>
        <v>2.9884259260143153E-2</v>
      </c>
      <c r="N50" s="225">
        <f>24*60*SUM($M50:$M50)</f>
        <v>43.033333334606141</v>
      </c>
      <c r="O50" s="225"/>
      <c r="P50" s="225"/>
      <c r="Q50" s="228"/>
      <c r="R50" s="242" t="s">
        <v>1120</v>
      </c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-04T08:03:07-0700',mode:absolute,to:'2018-01-04T10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23.294499999999999</v>
      </c>
      <c r="Z50" s="247">
        <f>RIGHT(H50,LEN(H50)-4)/10000</f>
        <v>1.9400000000000001E-2</v>
      </c>
      <c r="AA50" s="247">
        <f>ABS(Z50-Y50)</f>
        <v>23.275099999999998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138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/stypes="app*4051*20180104*"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138-04 --locoid 4051 --swversion DE.1.0.9.0 --startMP 204:232945 --initTime 2018-01-04T09:03:07 --startdatetime 2018-01-04T09:12:21 --delay 150 --endMP 204:194 --enddatetime 2018-01-04T09:55:23 --enforcementcount 0 &gt;&gt;%USERPROFILE%\Documents\GitHub\eaglep3-reporting\EC\2018-01-04-refined-times.txt</v>
      </c>
      <c r="AI50" s="238" t="str">
        <f t="shared" si="6"/>
        <v>echo {"issue":{"subject":"Observed unhealthy xing for Chambers and Sable due to Wi-MAX data drop","project_id":79,"tracker_id":40,"status_id":1,"priority_id":2,"assigned_to_id":338,"start_date":"2018-01-04","description":"","custom_fields":[{"id":1,"name":"Subdivision","value":"EC"},{"id":4,"name":"Milepost","value":"0.0194"},{"id":17,"name":"Train ID","value":"138-04"},{"id":16,"name":"Locomotive ID","value":"4051"},{"id":130,"name":"Impact","value":""},{"id":150,"name":"Time of Event (Mountain Time)","value":"09:55:23"},{"id":151,"name":"Denver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4051 --day 2018-01-04</v>
      </c>
      <c r="AN50" s="241" t="str">
        <f t="shared" si="8"/>
        <v>echo {"issue":{"subject":"Observed unhealthy xing for Chambers and Sable due to Wi-MAX data drop","project_id":30,"tracker_id":4,"status_id":1,"priority_id":1,"assigned_to_id":10,"start_date":"2018-01-04","description":"","custom_fields":[{"id":30,"name":"Category","value":"Issue"},{"id":3,"name":"Functional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-04T08:03:07-0700',mode:absolute,to:'2018-01-04T10:55:23-0700'))&amp;_a=(columns:!('Message%20ID',Summary),filters:!(),index:'emp_*',interval:auto,query:(query_string:(analyze_wildcard:!t,query:'%22rtdc.l.rtdc.4051%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752</v>
      </c>
      <c r="B51" s="225">
        <v>4034</v>
      </c>
      <c r="C51" s="227" t="s">
        <v>192</v>
      </c>
      <c r="D51" s="227" t="s">
        <v>607</v>
      </c>
      <c r="E51" s="226">
        <v>43104.35193287037</v>
      </c>
      <c r="F51" s="226">
        <v>43104.354375000003</v>
      </c>
      <c r="G51" s="225">
        <v>53</v>
      </c>
      <c r="H51" s="227" t="s">
        <v>605</v>
      </c>
      <c r="I51" s="226">
        <v>43104.377962962964</v>
      </c>
      <c r="J51" s="225">
        <v>0</v>
      </c>
      <c r="K51" s="237" t="str">
        <f>IF(ISEVEN(B51),(B51-1)&amp;"/"&amp;B51,B51&amp;"/"&amp;(B51+1))</f>
        <v>4033/4034</v>
      </c>
      <c r="L51" s="245" t="str">
        <f>VLOOKUP(A51,'Trips&amp;Operators'!$C$1:$G$99911,5,FALSE)</f>
        <v>ROCHA YAOTL</v>
      </c>
      <c r="M51" s="224">
        <f>I51-F51</f>
        <v>2.3587962961755693E-2</v>
      </c>
      <c r="N51" s="225">
        <f>24*60*SUM($M51:$M51)</f>
        <v>33.966666664928198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-04T07:26:47-0700',mode:absolute,to:'2018-01-04T10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4.5699999999999998E-2</v>
      </c>
      <c r="Z51" s="247">
        <f>RIGHT(H51,LEN(H51)-4)/10000</f>
        <v>23.328399999999998</v>
      </c>
      <c r="AA51" s="247">
        <f>ABS(Z51-Y51)</f>
        <v>23.282699999999998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139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/stypes="app*4034*20180104*"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139-04 --locoid 4034 --swversion DE.1.0.9.0 --startMP 204:457 --initTime 2018-01-04T08:26:47 --startdatetime 2018-01-04T08:30:18 --delay 53 --endMP 204:233284 --enddatetime 2018-01-04T09:04:16 --enforcementcount 0 &gt;&gt;%USERPROFILE%\Documents\GitHub\eaglep3-reporting\EC\2018-01-04-refined-times.txt</v>
      </c>
      <c r="AI51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{"issue":{"subject":"","project_id":79,"tracker_id":40,"status_id":1,"priority_id":2,"assigned_to_id":338,"start_date":"2018-01-04","description":"","custom_fields":[{"id":1,"name":"Subdivision","value":"EC"},{"id":4,"name":"Milepost","value":"23.3284"},{"id":17,"name":"Train ID","value":"139-04"},{"id":16,"name":"Locomotive ID","value":"4034"},{"id":130,"name":"Impact","value":""},{"id":150,"name":"Time of Event (Mountain Time)","value":"09:04:16"},{"id":151,"name":"Denver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4034 --day 2018-01-04</v>
      </c>
      <c r="AN51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-04T07:26:47-0700',mode:absolute,to:'2018-01-04T10:04:16-0700'))&amp;_a=(columns:!('Message%20ID',Summary),filters:!(),index:'emp_*',interval:auto,query:(query_string:(analyze_wildcard:!t,query:'%22rtdc.l.rtdc.4034%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762</v>
      </c>
      <c r="B52" s="225">
        <v>4033</v>
      </c>
      <c r="C52" s="227" t="s">
        <v>192</v>
      </c>
      <c r="D52" s="227" t="s">
        <v>944</v>
      </c>
      <c r="E52" s="226">
        <v>43104.390243055554</v>
      </c>
      <c r="F52" s="226">
        <v>43104.39398148148</v>
      </c>
      <c r="G52" s="225">
        <v>149</v>
      </c>
      <c r="H52" s="227" t="s">
        <v>514</v>
      </c>
      <c r="I52" s="226">
        <v>43104.419652777775</v>
      </c>
      <c r="J52" s="225">
        <v>0</v>
      </c>
      <c r="K52" s="237" t="str">
        <f>IF(ISEVEN(B52),(B52-1)&amp;"/"&amp;B52,B52&amp;"/"&amp;(B52+1))</f>
        <v>4033/4034</v>
      </c>
      <c r="L52" s="245" t="str">
        <f>VLOOKUP(A52,'Trips&amp;Operators'!$C$1:$G$99911,5,FALSE)</f>
        <v>ROCHA YAOTL</v>
      </c>
      <c r="M52" s="224">
        <f>I52-F52</f>
        <v>2.5671296294603962E-2</v>
      </c>
      <c r="N52" s="225">
        <f>24*60*SUM($M52:$M52)</f>
        <v>36.966666664229706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-04T08:21:57-0700',mode:absolute,to:'2018-01-04T11:04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23.2986</v>
      </c>
      <c r="Z52" s="247">
        <f>RIGHT(H52,LEN(H52)-4)/10000</f>
        <v>1.4999999999999999E-2</v>
      </c>
      <c r="AA52" s="247">
        <f>ABS(Z52-Y52)</f>
        <v>23.2836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140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/stypes="app*4033*20180104*" /stext=" 17:.+((SYSTEM_STATE.+slice.+state.+changed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140-04 --locoid 4033 --swversion DE.1.0.9.0 --startMP 204:232986 --initTime 2018-01-04T09:21:57 --startdatetime 2018-01-04T09:27:20 --delay 149 --endMP 204:150 --enddatetime 2018-01-04T10:04:18 --enforcementcount 0 &gt;&gt;%USERPROFILE%\Documents\GitHub\eaglep3-reporting\EC\2018-01-04-refined-times.txt</v>
      </c>
      <c r="AI52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{"issue":{"subject":"","project_id":79,"tracker_id":40,"status_id":1,"priority_id":2,"assigned_to_id":338,"start_date":"2018-01-04","description":"","custom_fields":[{"id":1,"name":"Subdivision","value":"EC"},{"id":4,"name":"Milepost","value":"0.015"},{"id":17,"name":"Train ID","value":"140-04"},{"id":16,"name":"Locomotive ID","value":"4033"},{"id":130,"name":"Impact","value":""},{"id":150,"name":"Time of Event (Mountain Time)","value":"10:04:18"},{"id":151,"name":"Denver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4033 --day 2018-01-04</v>
      </c>
      <c r="AN52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-04T08:21:57-0700',mode:absolute,to:'2018-01-04T11:04:18-0700'))&amp;_a=(columns:!('Message%20ID',Summary),filters:!(),index:'emp_*',interval:auto,query:(query_string:(analyze_wildcard:!t,query:'%22rtdc.l.rtdc.4033%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756</v>
      </c>
      <c r="B53" s="225">
        <v>4032</v>
      </c>
      <c r="C53" s="227" t="s">
        <v>192</v>
      </c>
      <c r="D53" s="227" t="s">
        <v>617</v>
      </c>
      <c r="E53" s="226">
        <v>43104.361238425925</v>
      </c>
      <c r="F53" s="226">
        <v>43104.364942129629</v>
      </c>
      <c r="G53" s="225">
        <v>67</v>
      </c>
      <c r="H53" s="227" t="s">
        <v>932</v>
      </c>
      <c r="I53" s="226">
        <v>43104.389305555553</v>
      </c>
      <c r="J53" s="225">
        <v>0</v>
      </c>
      <c r="K53" s="237" t="str">
        <f>IF(ISEVEN(B53),(B53-1)&amp;"/"&amp;B53,B53&amp;"/"&amp;(B53+1))</f>
        <v>4031/4032</v>
      </c>
      <c r="L53" s="245" t="str">
        <f>VLOOKUP(A53,'Trips&amp;Operators'!$C$1:$G$99911,5,FALSE)</f>
        <v>BEAM ROSS</v>
      </c>
      <c r="M53" s="224">
        <f>I53-F53</f>
        <v>2.4363425924093463E-2</v>
      </c>
      <c r="N53" s="225">
        <f>24*60*SUM($M53:$M53)</f>
        <v>35.083333330694586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-04T07:40:11-0700',mode:absolute,to:'2018-01-04T10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5.04E-2</v>
      </c>
      <c r="Z53" s="247">
        <f>RIGHT(H53,LEN(H53)-4)/10000</f>
        <v>23.329699999999999</v>
      </c>
      <c r="AA53" s="247">
        <f>ABS(Z53-Y53)</f>
        <v>23.279299999999999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141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/stypes="app*4032*20180104*"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141-04 --locoid 4032 --swversion DE.1.0.9.0 --startMP 204:504 --initTime 2018-01-04T08:40:11 --startdatetime 2018-01-04T08:45:31 --delay 67 --endMP 204:233297 --enddatetime 2018-01-04T09:20:36 --enforcementcount 0 &gt;&gt;%USERPROFILE%\Documents\GitHub\eaglep3-reporting\EC\2018-01-04-refined-times.txt</v>
      </c>
      <c r="AI53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{"issue":{"subject":"","project_id":79,"tracker_id":40,"status_id":1,"priority_id":2,"assigned_to_id":338,"start_date":"2018-01-04","description":"","custom_fields":[{"id":1,"name":"Subdivision","value":"EC"},{"id":4,"name":"Milepost","value":"23.3297"},{"id":17,"name":"Train ID","value":"141-04"},{"id":16,"name":"Locomotive ID","value":"4032"},{"id":130,"name":"Impact","value":""},{"id":150,"name":"Time of Event (Mountain Time)","value":"09:20:36"},{"id":151,"name":"Denver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4032 --day 2018-01-04</v>
      </c>
      <c r="AN53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-04T07:40:11-0700',mode:absolute,to:'2018-01-04T10:20:36-0700'))&amp;_a=(columns:!('Message%20ID',Summary),filters:!(),index:'emp_*',interval:auto,query:(query_string:(analyze_wildcard:!t,query:'%22rtdc.l.rtdc.4032%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761</v>
      </c>
      <c r="B54" s="225">
        <v>4031</v>
      </c>
      <c r="C54" s="227" t="s">
        <v>192</v>
      </c>
      <c r="D54" s="227" t="s">
        <v>559</v>
      </c>
      <c r="E54" s="226">
        <v>43104.390763888892</v>
      </c>
      <c r="F54" s="226">
        <v>43104.404444444444</v>
      </c>
      <c r="G54" s="225">
        <v>47</v>
      </c>
      <c r="H54" s="227" t="s">
        <v>945</v>
      </c>
      <c r="I54" s="226">
        <v>43104.429861111108</v>
      </c>
      <c r="J54" s="225">
        <v>0</v>
      </c>
      <c r="K54" s="237" t="str">
        <f>IF(ISEVEN(B54),(B54-1)&amp;"/"&amp;B54,B54&amp;"/"&amp;(B54+1))</f>
        <v>4031/4032</v>
      </c>
      <c r="L54" s="245" t="str">
        <f>VLOOKUP(A54,'Trips&amp;Operators'!$C$1:$G$99911,5,FALSE)</f>
        <v>BEAM ROSS</v>
      </c>
      <c r="M54" s="224">
        <f>I54-F54</f>
        <v>2.5416666663659271E-2</v>
      </c>
      <c r="N54" s="225">
        <f>24*60*SUM($M54:$M54)</f>
        <v>36.59999999566935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-04T08:22:42-0700',mode:absolute,to:'2018-01-04T11:19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23.298300000000001</v>
      </c>
      <c r="Z54" s="247">
        <f>RIGHT(H54,LEN(H54)-4)/10000</f>
        <v>2.0299999999999999E-2</v>
      </c>
      <c r="AA54" s="247">
        <f>ABS(Z54-Y54)</f>
        <v>23.278000000000002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142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s3://rtdc.mdm.uploadarchive.raw/RTDC4031/ "%USERPROFILE%\AppData\Local\Temp\OnboardLogs"\RTDC4031\2018-01-04 --exclude "*" --recursive --include "*20180104*" &amp; "%USERPROFILE%\Documents\GitHub\mrs-test-scripts\Headless Mode &amp; Sideloading\WalkAndUnGZ.bat" "%USERPROFILE%\AppData\Local\Temp\OnboardLogs"\RTDC4031\2018-01-04 &amp; aws s3 cp s3://rtdc.mdm.uploadarchive.raw/RTDC4031/ "%USERPROFILE%\AppData\Local\Temp\OnboardLogs"\RTDC4031\2018-01-05 --exclude "*" --recursive --include "*20180105*" &amp; "%USERPROFILE%\Documents\GitHub\mrs-test-scripts\Headless Mode &amp; Sideloading\WalkAndUnGZ.bat" "%USERPROFILE%\AppData\Local\Temp\OnboardLogs"\RTDC4031\2018-01-05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/stypes="app*4031*20180104*"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142-04 --locoid 4031 --swversion DE.1.0.9.0 --startMP 204:232983 --initTime 2018-01-04T09:22:42 --startdatetime 2018-01-04T09:42:24 --delay 47 --endMP 204:203 --enddatetime 2018-01-04T10:19:00 --enforcementcount 0 &gt;&gt;%USERPROFILE%\Documents\GitHub\eaglep3-reporting\EC\2018-01-04-refined-times.txt</v>
      </c>
      <c r="AI54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{"issue":{"subject":"","project_id":79,"tracker_id":40,"status_id":1,"priority_id":2,"assigned_to_id":338,"start_date":"2018-01-04","description":"","custom_fields":[{"id":1,"name":"Subdivision","value":"EC"},{"id":4,"name":"Milepost","value":"0.0203"},{"id":17,"name":"Train ID","value":"142-04"},{"id":16,"name":"Locomotive ID","value":"4031"},{"id":130,"name":"Impact","value":""},{"id":150,"name":"Time of Event (Mountain Time)","value":"10:19:00"},{"id":151,"name":"Denver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4031 --day 2018-01-04</v>
      </c>
      <c r="AN54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-04T08:22:42-0700',mode:absolute,to:'2018-01-04T11:19:00-0700'))&amp;_a=(columns:!('Message%20ID',Summary),filters:!(),index:'emp_*',interval:auto,query:(query_string:(analyze_wildcard:!t,query:'%22rtdc.l.rtdc.4031%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757</v>
      </c>
      <c r="B55" s="225">
        <v>4018</v>
      </c>
      <c r="C55" s="227" t="s">
        <v>192</v>
      </c>
      <c r="D55" s="227" t="s">
        <v>614</v>
      </c>
      <c r="E55" s="226">
        <v>43104.373807870368</v>
      </c>
      <c r="F55" s="226">
        <v>43104.375590277778</v>
      </c>
      <c r="G55" s="225">
        <v>52</v>
      </c>
      <c r="H55" s="227" t="s">
        <v>946</v>
      </c>
      <c r="I55" s="226">
        <v>43104.400949074072</v>
      </c>
      <c r="J55" s="225">
        <v>0</v>
      </c>
      <c r="K55" s="237" t="str">
        <f>IF(ISEVEN(B55),(B55-1)&amp;"/"&amp;B55,B55&amp;"/"&amp;(B55+1))</f>
        <v>4017/4018</v>
      </c>
      <c r="L55" s="245" t="str">
        <f>VLOOKUP(A55,'Trips&amp;Operators'!$C$1:$G$99911,5,FALSE)</f>
        <v>STARKS ANGELINA</v>
      </c>
      <c r="M55" s="224">
        <f>I55-F55</f>
        <v>2.5358796294312924E-2</v>
      </c>
      <c r="N55" s="225">
        <f>24*60*SUM($M55:$M55)</f>
        <v>36.516666663810611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-04T07:58:17-0700',mode:absolute,to:'2018-01-04T10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4.3799999999999999E-2</v>
      </c>
      <c r="Z55" s="247">
        <f>RIGHT(H55,LEN(H55)-4)/10000</f>
        <v>23.330500000000001</v>
      </c>
      <c r="AA55" s="247">
        <f>ABS(Z55-Y55)</f>
        <v>23.2867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143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/stypes="app*4018*20180104*"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143-04 --locoid 4018 --swversion DE.1.0.9.0 --startMP 204:438 --initTime 2018-01-04T08:58:17 --startdatetime 2018-01-04T09:00:51 --delay 52 --endMP 204:233305 --enddatetime 2018-01-04T09:37:22 --enforcementcount 0 &gt;&gt;%USERPROFILE%\Documents\GitHub\eaglep3-reporting\EC\2018-01-04-refined-times.txt</v>
      </c>
      <c r="AI55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{"issue":{"subject":"","project_id":79,"tracker_id":40,"status_id":1,"priority_id":2,"assigned_to_id":338,"start_date":"2018-01-04","description":"","custom_fields":[{"id":1,"name":"Subdivision","value":"EC"},{"id":4,"name":"Milepost","value":"23.3305"},{"id":17,"name":"Train ID","value":"143-04"},{"id":16,"name":"Locomotive ID","value":"4018"},{"id":130,"name":"Impact","value":""},{"id":150,"name":"Time of Event (Mountain Time)","value":"09:37:22"},{"id":151,"name":"Denver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4018 --day 2018-01-04</v>
      </c>
      <c r="AN55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-04T07:58:17-0700',mode:absolute,to:'2018-01-04T10:37:22-0700'))&amp;_a=(columns:!('Message%20ID',Summary),filters:!(),index:'emp_*',interval:auto,query:(query_string:(analyze_wildcard:!t,query:'%22rtdc.l.rtdc.4018%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766</v>
      </c>
      <c r="B56" s="225">
        <v>4017</v>
      </c>
      <c r="C56" s="227" t="s">
        <v>192</v>
      </c>
      <c r="D56" s="227" t="s">
        <v>944</v>
      </c>
      <c r="E56" s="226">
        <v>43104.41337962963</v>
      </c>
      <c r="F56" s="226">
        <v>43104.415000000001</v>
      </c>
      <c r="G56" s="225">
        <v>70</v>
      </c>
      <c r="H56" s="227" t="s">
        <v>947</v>
      </c>
      <c r="I56" s="226">
        <v>43104.442418981482</v>
      </c>
      <c r="J56" s="225">
        <v>0</v>
      </c>
      <c r="K56" s="237" t="str">
        <f>IF(ISEVEN(B56),(B56-1)&amp;"/"&amp;B56,B56&amp;"/"&amp;(B56+1))</f>
        <v>4017/4018</v>
      </c>
      <c r="L56" s="245" t="str">
        <f>VLOOKUP(A56,'Trips&amp;Operators'!$C$1:$G$99911,5,FALSE)</f>
        <v>STARKS ANGELINA</v>
      </c>
      <c r="M56" s="224">
        <f>I56-F56</f>
        <v>2.7418981480877846E-2</v>
      </c>
      <c r="N56" s="225">
        <f>24*60*SUM($M56:$M56)</f>
        <v>39.483333332464099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-04T08:55:16-0700',mode:absolute,to:'2018-01-04T11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6" s="247" t="str">
        <f>IF(AA56&lt;VLOOKUP(AG56,Variables!$AC$3:$AD$8,2,FALSE),"Y","N")</f>
        <v>N</v>
      </c>
      <c r="X56" s="247">
        <f t="shared" ref="X56:X57" si="10">VALUE(LEFT(AD56,4))-VALUE(LEFT(AD55,4))</f>
        <v>1</v>
      </c>
      <c r="Y56" s="247">
        <f>RIGHT(D56,LEN(D56)-4)/10000</f>
        <v>23.2986</v>
      </c>
      <c r="Z56" s="247">
        <f>RIGHT(H56,LEN(H56)-4)/10000</f>
        <v>1.83E-2</v>
      </c>
      <c r="AA56" s="247">
        <f>ABS(Z56-Y56)</f>
        <v>23.2803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144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/stypes="app*4017*20180104*"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144-04 --locoid 4017 --swversion DE.1.0.9.0 --startMP 204:232986 --initTime 2018-01-04T09:55:16 --startdatetime 2018-01-04T09:57:36 --delay 70 --endMP 204:183 --enddatetime 2018-01-04T10:37:05 --enforcementcount 0 &gt;&gt;%USERPROFILE%\Documents\GitHub\eaglep3-reporting\EC\2018-01-04-refined-times.txt</v>
      </c>
      <c r="AI56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{"issue":{"subject":"","project_id":79,"tracker_id":40,"status_id":1,"priority_id":2,"assigned_to_id":338,"start_date":"2018-01-04","description":"","custom_fields":[{"id":1,"name":"Subdivision","value":"EC"},{"id":4,"name":"Milepost","value":"0.0183"},{"id":17,"name":"Train ID","value":"144-04"},{"id":16,"name":"Locomotive ID","value":"4017"},{"id":130,"name":"Impact","value":""},{"id":150,"name":"Time of Event (Mountain Time)","value":"10:37:05"},{"id":151,"name":"Denver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4017 --day 2018-01-04</v>
      </c>
      <c r="AN56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-04T08:55:16-0700',mode:absolute,to:'2018-01-04T11:37:05-0700'))&amp;_a=(columns:!('Message%20ID',Summary),filters:!(),index:'emp_*',interval:auto,query:(query_string:(analyze_wildcard:!t,query:'%22rtdc.l.rtdc.4017%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760</v>
      </c>
      <c r="B57" s="225">
        <v>4044</v>
      </c>
      <c r="C57" s="227" t="s">
        <v>192</v>
      </c>
      <c r="D57" s="227" t="s">
        <v>563</v>
      </c>
      <c r="E57" s="226">
        <v>43104.381319444445</v>
      </c>
      <c r="F57" s="226">
        <v>43104.385717592595</v>
      </c>
      <c r="G57" s="225">
        <v>51</v>
      </c>
      <c r="H57" s="227" t="s">
        <v>484</v>
      </c>
      <c r="I57" s="226">
        <v>43104.410694444443</v>
      </c>
      <c r="J57" s="225">
        <v>0</v>
      </c>
      <c r="K57" s="237" t="str">
        <f>IF(ISEVEN(B57),(B57-1)&amp;"/"&amp;B57,B57&amp;"/"&amp;(B57+1))</f>
        <v>4043/4044</v>
      </c>
      <c r="L57" s="245" t="str">
        <f>VLOOKUP(A57,'Trips&amp;Operators'!$C$1:$G$99911,5,FALSE)</f>
        <v>DAVIDSON DAVID</v>
      </c>
      <c r="M57" s="224">
        <f>I57-F57</f>
        <v>2.4976851847895887E-2</v>
      </c>
      <c r="N57" s="225">
        <f>24*60*SUM($M57:$M57)</f>
        <v>35.966666660970077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-04T08:09:06-0700',mode:absolute,to:'2018-01-04T10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7" s="247" t="str">
        <f>IF(AA57&lt;VLOOKUP(AG57,Variables!$AC$3:$AD$8,2,FALSE),"Y","N")</f>
        <v>N</v>
      </c>
      <c r="X57" s="247">
        <f t="shared" si="10"/>
        <v>1</v>
      </c>
      <c r="Y57" s="247">
        <f>RIGHT(D57,LEN(D57)-4)/10000</f>
        <v>5.3699999999999998E-2</v>
      </c>
      <c r="Z57" s="247">
        <f>RIGHT(H57,LEN(H57)-4)/10000</f>
        <v>23.329499999999999</v>
      </c>
      <c r="AA57" s="247">
        <f>ABS(Z57-Y57)</f>
        <v>23.2758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145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/stypes="app*4044*20180104*"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145-04 --locoid 4044 --swversion DE.1.0.9.0 --startMP 204:537 --initTime 2018-01-04T09:09:06 --startdatetime 2018-01-04T09:15:26 --delay 51 --endMP 204:233295 --enddatetime 2018-01-04T09:51:24 --enforcementcount 0 &gt;&gt;%USERPROFILE%\Documents\GitHub\eaglep3-reporting\EC\2018-01-04-refined-times.txt</v>
      </c>
      <c r="AI57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{"issue":{"subject":"","project_id":79,"tracker_id":40,"status_id":1,"priority_id":2,"assigned_to_id":338,"start_date":"2018-01-04","description":"","custom_fields":[{"id":1,"name":"Subdivision","value":"EC"},{"id":4,"name":"Milepost","value":"23.3295"},{"id":17,"name":"Train ID","value":"145-04"},{"id":16,"name":"Locomotive ID","value":"4044"},{"id":130,"name":"Impact","value":""},{"id":150,"name":"Time of Event (Mountain Time)","value":"09:51:24"},{"id":151,"name":"Denver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4044 --day 2018-01-04</v>
      </c>
      <c r="AN57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-04T08:09:06-0700',mode:absolute,to:'2018-01-04T10:51:24-0700'))&amp;_a=(columns:!('Message%20ID',Summary),filters:!(),index:'emp_*',interval:auto,query:(query_string:(analyze_wildcard:!t,query:'%22rtdc.l.rtdc.4044%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765</v>
      </c>
      <c r="B58" s="225">
        <v>4043</v>
      </c>
      <c r="C58" s="227" t="s">
        <v>192</v>
      </c>
      <c r="D58" s="227" t="s">
        <v>559</v>
      </c>
      <c r="E58" s="226">
        <v>43104.411909722221</v>
      </c>
      <c r="F58" s="226">
        <v>43104.425208333334</v>
      </c>
      <c r="G58" s="225">
        <v>52</v>
      </c>
      <c r="H58" s="227" t="s">
        <v>558</v>
      </c>
      <c r="I58" s="226">
        <v>43104.452025462961</v>
      </c>
      <c r="J58" s="225">
        <v>0</v>
      </c>
      <c r="K58" s="237" t="str">
        <f>IF(ISEVEN(B58),(B58-1)&amp;"/"&amp;B58,B58&amp;"/"&amp;(B58+1))</f>
        <v>4043/4044</v>
      </c>
      <c r="L58" s="245" t="str">
        <f>VLOOKUP(A58,'Trips&amp;Operators'!$C$1:$G$99911,5,FALSE)</f>
        <v>DAVIDSON DAVID</v>
      </c>
      <c r="M58" s="224">
        <f>I58-F58</f>
        <v>2.6817129626579117E-2</v>
      </c>
      <c r="N58" s="225">
        <f>24*60*SUM($M58:$M58)</f>
        <v>38.616666662273929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-04T08:53:09-0700',mode:absolute,to:'2018-01-04T11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23.298300000000001</v>
      </c>
      <c r="Z58" s="247">
        <f>RIGHT(H58,LEN(H58)-4)/10000</f>
        <v>2.23E-2</v>
      </c>
      <c r="AA58" s="247">
        <f>ABS(Z58-Y58)</f>
        <v>23.276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146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/stypes="app*4043*20180104*"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146-04 --locoid 4043 --swversion DE.1.0.9.0 --startMP 204:232983 --initTime 2018-01-04T09:53:09 --startdatetime 2018-01-04T10:12:18 --delay 52 --endMP 204:223 --enddatetime 2018-01-04T10:50:55 --enforcementcount 0 &gt;&gt;%USERPROFILE%\Documents\GitHub\eaglep3-reporting\EC\2018-01-04-refined-times.txt</v>
      </c>
      <c r="AI58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{"issue":{"subject":"","project_id":79,"tracker_id":40,"status_id":1,"priority_id":2,"assigned_to_id":338,"start_date":"2018-01-04","description":"","custom_fields":[{"id":1,"name":"Subdivision","value":"EC"},{"id":4,"name":"Milepost","value":"0.0223"},{"id":17,"name":"Train ID","value":"146-04"},{"id":16,"name":"Locomotive ID","value":"4043"},{"id":130,"name":"Impact","value":""},{"id":150,"name":"Time of Event (Mountain Time)","value":"10:50:55"},{"id":151,"name":"Denver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4043 --day 2018-01-04</v>
      </c>
      <c r="AN58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-04T08:53:09-0700',mode:absolute,to:'2018-01-04T11:50:55-0700'))&amp;_a=(columns:!('Message%20ID',Summary),filters:!(),index:'emp_*',interval:auto,query:(query_string:(analyze_wildcard:!t,query:'%22rtdc.l.rtdc.4043%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664</v>
      </c>
      <c r="B59" s="225">
        <v>4046</v>
      </c>
      <c r="C59" s="227" t="s">
        <v>192</v>
      </c>
      <c r="D59" s="227" t="s">
        <v>513</v>
      </c>
      <c r="E59" s="226">
        <v>43104.390833333331</v>
      </c>
      <c r="F59" s="226">
        <v>43104.396111111113</v>
      </c>
      <c r="G59" s="225">
        <v>63</v>
      </c>
      <c r="H59" s="227" t="s">
        <v>594</v>
      </c>
      <c r="I59" s="226">
        <v>43104.421990740739</v>
      </c>
      <c r="J59" s="225">
        <v>0</v>
      </c>
      <c r="K59" s="237" t="str">
        <f>IF(ISEVEN(B59),(B59-1)&amp;"/"&amp;B59,B59&amp;"/"&amp;(B59+1))</f>
        <v>4045/4046</v>
      </c>
      <c r="L59" s="245" t="str">
        <f>VLOOKUP(A59,'Trips&amp;Operators'!$C$1:$G$99911,5,FALSE)</f>
        <v>LONG FULLER</v>
      </c>
      <c r="M59" s="224">
        <f>I59-F59</f>
        <v>2.5879629625706002E-2</v>
      </c>
      <c r="N59" s="225">
        <f>24*60*SUM($M59:$M59)</f>
        <v>37.266666661016643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-04T08:22:48-0700',mode:absolute,to:'2018-01-04T11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5.1499999999999997E-2</v>
      </c>
      <c r="Z59" s="247">
        <f>RIGHT(H59,LEN(H59)-4)/10000</f>
        <v>23.3322</v>
      </c>
      <c r="AA59" s="247">
        <f>ABS(Z59-Y59)</f>
        <v>23.2807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147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/stypes="app*4046*20180104*"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147-04 --locoid 4046 --swversion DE.1.0.9.0 --startMP 204:515 --initTime 2018-01-04T09:22:48 --startdatetime 2018-01-04T09:30:24 --delay 63 --endMP 204:233322 --enddatetime 2018-01-04T10:07:40 --enforcementcount 0 &gt;&gt;%USERPROFILE%\Documents\GitHub\eaglep3-reporting\EC\2018-01-04-refined-times.txt</v>
      </c>
      <c r="AI59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{"issue":{"subject":"","project_id":79,"tracker_id":40,"status_id":1,"priority_id":2,"assigned_to_id":338,"start_date":"2018-01-04","description":"","custom_fields":[{"id":1,"name":"Subdivision","value":"EC"},{"id":4,"name":"Milepost","value":"23.3322"},{"id":17,"name":"Train ID","value":"147-04"},{"id":16,"name":"Locomotive ID","value":"4046"},{"id":130,"name":"Impact","value":""},{"id":150,"name":"Time of Event (Mountain Time)","value":"10:07:40"},{"id":151,"name":"Denver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4046 --day 2018-01-04</v>
      </c>
      <c r="AN59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-04T08:22:48-0700',mode:absolute,to:'2018-01-04T11:07:40-0700'))&amp;_a=(columns:!('Message%20ID',Summary),filters:!(),index:'emp_*',interval:auto,query:(query_string:(analyze_wildcard:!t,query:'%22rtdc.l.rtdc.4046%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772</v>
      </c>
      <c r="B60" s="225">
        <v>4045</v>
      </c>
      <c r="C60" s="227" t="s">
        <v>192</v>
      </c>
      <c r="D60" s="227" t="s">
        <v>497</v>
      </c>
      <c r="E60" s="226">
        <v>43104.426840277774</v>
      </c>
      <c r="F60" s="226">
        <v>43104.435706018521</v>
      </c>
      <c r="G60" s="225">
        <v>66</v>
      </c>
      <c r="H60" s="227" t="s">
        <v>524</v>
      </c>
      <c r="I60" s="226">
        <v>43104.464004629626</v>
      </c>
      <c r="J60" s="225">
        <v>0</v>
      </c>
      <c r="K60" s="237" t="str">
        <f>IF(ISEVEN(B60),(B60-1)&amp;"/"&amp;B60,B60&amp;"/"&amp;(B60+1))</f>
        <v>4045/4046</v>
      </c>
      <c r="L60" s="245" t="str">
        <f>VLOOKUP(A60,'Trips&amp;Operators'!$C$1:$G$99911,5,FALSE)</f>
        <v>LONG FULLER</v>
      </c>
      <c r="M60" s="224">
        <f>I60-F60</f>
        <v>2.8298611105128657E-2</v>
      </c>
      <c r="N60" s="225">
        <f>24*60*SUM($M60:$M60)</f>
        <v>40.749999991385266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-04T09:14:39-0700',mode:absolute,to:'2018-01-04T12:08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23.299800000000001</v>
      </c>
      <c r="Z60" s="247">
        <f>RIGHT(H60,LEN(H60)-4)/10000</f>
        <v>2.1100000000000001E-2</v>
      </c>
      <c r="AA60" s="247">
        <f>ABS(Z60-Y60)</f>
        <v>23.278700000000001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148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/stypes="app*4045*20180104*" /stext=" 18:.+((SYSTEM_STATE.+slice.+state.+changed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148-04 --locoid 4045 --swversion DE.1.0.9.0 --startMP 204:232998 --initTime 2018-01-04T10:14:39 --startdatetime 2018-01-04T10:27:25 --delay 66 --endMP 204:211 --enddatetime 2018-01-04T11:08:10 --enforcementcount 0 &gt;&gt;%USERPROFILE%\Documents\GitHub\eaglep3-reporting\EC\2018-01-04-refined-times.txt</v>
      </c>
      <c r="AI60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{"issue":{"subject":"","project_id":79,"tracker_id":40,"status_id":1,"priority_id":2,"assigned_to_id":338,"start_date":"2018-01-04","description":"","custom_fields":[{"id":1,"name":"Subdivision","value":"EC"},{"id":4,"name":"Milepost","value":"0.0211"},{"id":17,"name":"Train ID","value":"148-04"},{"id":16,"name":"Locomotive ID","value":"4045"},{"id":130,"name":"Impact","value":""},{"id":150,"name":"Time of Event (Mountain Time)","value":"11:08:10"},{"id":151,"name":"Denver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4045 --day 2018-01-04</v>
      </c>
      <c r="AN60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-04T09:14:39-0700',mode:absolute,to:'2018-01-04T12:08:10-0700'))&amp;_a=(columns:!('Message%20ID',Summary),filters:!(),index:'emp_*',interval:auto,query:(query_string:(analyze_wildcard:!t,query:'%22rtdc.l.rtdc.4045%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764</v>
      </c>
      <c r="B61" s="225">
        <v>4064</v>
      </c>
      <c r="C61" s="227" t="s">
        <v>192</v>
      </c>
      <c r="D61" s="227" t="s">
        <v>948</v>
      </c>
      <c r="E61" s="226">
        <v>43104.40115740741</v>
      </c>
      <c r="F61" s="226">
        <v>43104.406446759262</v>
      </c>
      <c r="G61" s="225">
        <v>59</v>
      </c>
      <c r="H61" s="227" t="s">
        <v>561</v>
      </c>
      <c r="I61" s="226">
        <v>43104.430833333332</v>
      </c>
      <c r="J61" s="225">
        <v>0</v>
      </c>
      <c r="K61" s="237" t="str">
        <f>IF(ISEVEN(B61),(B61-1)&amp;"/"&amp;B61,B61&amp;"/"&amp;(B61+1))</f>
        <v>4063/4064</v>
      </c>
      <c r="L61" s="245" t="str">
        <f>VLOOKUP(A61,'Trips&amp;Operators'!$C$1:$G$99911,5,FALSE)</f>
        <v>GEBRETEKLE DAGNEW</v>
      </c>
      <c r="M61" s="224">
        <f>I61-F61</f>
        <v>2.438657407037681E-2</v>
      </c>
      <c r="N61" s="225">
        <f>24*60*SUM($M61:$M61)</f>
        <v>35.116666661342606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-04T08:37:40-0700',mode:absolute,to:'2018-01-04T11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4.4699999999999997E-2</v>
      </c>
      <c r="Z61" s="247">
        <f>RIGHT(H61,LEN(H61)-4)/10000</f>
        <v>23.3308</v>
      </c>
      <c r="AA61" s="247">
        <f>ABS(Z61-Y61)</f>
        <v>23.286100000000001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149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/stypes="app*4064*20180104*"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149-04 --locoid 4064 --swversion DE.1.0.9.0 --startMP 204:447 --initTime 2018-01-04T09:37:40 --startdatetime 2018-01-04T09:45:17 --delay 59 --endMP 204:233308 --enddatetime 2018-01-04T10:20:24 --enforcementcount 0 &gt;&gt;%USERPROFILE%\Documents\GitHub\eaglep3-reporting\EC\2018-01-04-refined-times.txt</v>
      </c>
      <c r="AI61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{"issue":{"subject":"","project_id":79,"tracker_id":40,"status_id":1,"priority_id":2,"assigned_to_id":338,"start_date":"2018-01-04","description":"","custom_fields":[{"id":1,"name":"Subdivision","value":"EC"},{"id":4,"name":"Milepost","value":"23.3308"},{"id":17,"name":"Train ID","value":"149-04"},{"id":16,"name":"Locomotive ID","value":"4064"},{"id":130,"name":"Impact","value":""},{"id":150,"name":"Time of Event (Mountain Time)","value":"10:20:24"},{"id":151,"name":"Denver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4064 --day 2018-01-04</v>
      </c>
      <c r="AN61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-04T08:37:40-0700',mode:absolute,to:'2018-01-04T11:20:24-0700'))&amp;_a=(columns:!('Message%20ID',Summary),filters:!(),index:'emp_*',interval:auto,query:(query_string:(analyze_wildcard:!t,query:'%22rtdc.l.rtdc.4064%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773</v>
      </c>
      <c r="B62" s="225">
        <v>4063</v>
      </c>
      <c r="C62" s="227" t="s">
        <v>192</v>
      </c>
      <c r="D62" s="227" t="s">
        <v>949</v>
      </c>
      <c r="E62" s="226">
        <v>43104.43204861111</v>
      </c>
      <c r="F62" s="226">
        <v>43104.446006944447</v>
      </c>
      <c r="G62" s="225">
        <v>62</v>
      </c>
      <c r="H62" s="227" t="s">
        <v>616</v>
      </c>
      <c r="I62" s="226">
        <v>43104.471979166665</v>
      </c>
      <c r="J62" s="225">
        <v>0</v>
      </c>
      <c r="K62" s="237" t="str">
        <f>IF(ISEVEN(B62),(B62-1)&amp;"/"&amp;B62,B62&amp;"/"&amp;(B62+1))</f>
        <v>4063/4064</v>
      </c>
      <c r="L62" s="245" t="str">
        <f>VLOOKUP(A62,'Trips&amp;Operators'!$C$1:$G$99911,5,FALSE)</f>
        <v>GEBRETEKLE DAGNEW</v>
      </c>
      <c r="M62" s="224">
        <f>I62-F62</f>
        <v>2.5972222218115348E-2</v>
      </c>
      <c r="N62" s="225">
        <f>24*60*SUM($M62:$M62)</f>
        <v>37.399999994086102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-04T09:22:09-0700',mode:absolute,to:'2018-01-04T12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23.3002</v>
      </c>
      <c r="Z62" s="247">
        <f>RIGHT(H62,LEN(H62)-4)/10000</f>
        <v>1.61E-2</v>
      </c>
      <c r="AA62" s="247">
        <f>ABS(Z62-Y62)</f>
        <v>23.284099999999999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150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/stypes="app*4063*20180104*"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150-04 --locoid 4063 --swversion DE.1.0.9.0 --startMP 204:233002 --initTime 2018-01-04T10:22:09 --startdatetime 2018-01-04T10:42:15 --delay 62 --endMP 204:161 --enddatetime 2018-01-04T11:19:39 --enforcementcount 0 &gt;&gt;%USERPROFILE%\Documents\GitHub\eaglep3-reporting\EC\2018-01-04-refined-times.txt</v>
      </c>
      <c r="AI62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{"issue":{"subject":"","project_id":79,"tracker_id":40,"status_id":1,"priority_id":2,"assigned_to_id":338,"start_date":"2018-01-04","description":"","custom_fields":[{"id":1,"name":"Subdivision","value":"EC"},{"id":4,"name":"Milepost","value":"0.0161"},{"id":17,"name":"Train ID","value":"150-04"},{"id":16,"name":"Locomotive ID","value":"4063"},{"id":130,"name":"Impact","value":""},{"id":150,"name":"Time of Event (Mountain Time)","value":"11:19:39"},{"id":151,"name":"Denver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4063 --day 2018-01-04</v>
      </c>
      <c r="AN62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-04T09:22:09-0700',mode:absolute,to:'2018-01-04T12:19:39-0700'))&amp;_a=(columns:!('Message%20ID',Summary),filters:!(),index:'emp_*',interval:auto,query:(query_string:(analyze_wildcard:!t,query:'%22rtdc.l.rtdc.4063%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767</v>
      </c>
      <c r="B63" s="225">
        <v>4052</v>
      </c>
      <c r="C63" s="227" t="s">
        <v>192</v>
      </c>
      <c r="D63" s="227" t="s">
        <v>488</v>
      </c>
      <c r="E63" s="226">
        <v>43104.414421296293</v>
      </c>
      <c r="F63" s="226">
        <v>43104.416608796295</v>
      </c>
      <c r="G63" s="225">
        <v>79</v>
      </c>
      <c r="H63" s="227" t="s">
        <v>950</v>
      </c>
      <c r="I63" s="226">
        <v>43104.441250000003</v>
      </c>
      <c r="J63" s="225">
        <v>0</v>
      </c>
      <c r="K63" s="237" t="str">
        <f>IF(ISEVEN(B63),(B63-1)&amp;"/"&amp;B63,B63&amp;"/"&amp;(B63+1))</f>
        <v>4051/4052</v>
      </c>
      <c r="L63" s="245" t="str">
        <f>VLOOKUP(A63,'Trips&amp;Operators'!$C$1:$G$99911,5,FALSE)</f>
        <v>WILLIAMS DONTE</v>
      </c>
      <c r="M63" s="224">
        <f>I63-F63</f>
        <v>2.4641203708597459E-2</v>
      </c>
      <c r="N63" s="225">
        <f>24*60*SUM($M63:$M63)</f>
        <v>35.483333340380341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-04T08:56:46-0700',mode:absolute,to:'2018-01-04T11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4.9700000000000001E-2</v>
      </c>
      <c r="Z63" s="247">
        <f>RIGHT(H63,LEN(H63)-4)/10000</f>
        <v>23.324300000000001</v>
      </c>
      <c r="AA63" s="247">
        <f>ABS(Z63-Y63)</f>
        <v>23.2746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151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s3://rtdc.mdm.uploadarchive.raw/RTDC4052/ "%USERPROFILE%\AppData\Local\Temp\OnboardLogs"\RTDC4052\2018-01-04 --exclude "*" --recursive --include "*20180104*" &amp; "%USERPROFILE%\Documents\GitHub\mrs-test-scripts\Headless Mode &amp; Sideloading\WalkAndUnGZ.bat" "%USERPROFILE%\AppData\Local\Temp\OnboardLogs"\RTDC4052\2018-01-04 &amp; 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/stypes="app*4052*20180104*"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151-04 --locoid 4052 --swversion DE.1.0.9.0 --startMP 204:497 --initTime 2018-01-04T09:56:46 --startdatetime 2018-01-04T09:59:55 --delay 79 --endMP 204:233243 --enddatetime 2018-01-04T10:35:24 --enforcementcount 0 &gt;&gt;%USERPROFILE%\Documents\GitHub\eaglep3-reporting\EC\2018-01-04-refined-times.txt</v>
      </c>
      <c r="AI63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{"issue":{"subject":"","project_id":79,"tracker_id":40,"status_id":1,"priority_id":2,"assigned_to_id":338,"start_date":"2018-01-04","description":"","custom_fields":[{"id":1,"name":"Subdivision","value":"EC"},{"id":4,"name":"Milepost","value":"23.3243"},{"id":17,"name":"Train ID","value":"151-04"},{"id":16,"name":"Locomotive ID","value":"4052"},{"id":130,"name":"Impact","value":""},{"id":150,"name":"Time of Event (Mountain Time)","value":"10:35:24"},{"id":151,"name":"Denver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4052 --day 2018-01-04</v>
      </c>
      <c r="AN63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-04T08:56:46-0700',mode:absolute,to:'2018-01-04T11:35:24-0700'))&amp;_a=(columns:!('Message%20ID',Summary),filters:!(),index:'emp_*',interval:auto,query:(query_string:(analyze_wildcard:!t,query:'%22rtdc.l.rtdc.4052%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779</v>
      </c>
      <c r="B64" s="225">
        <v>4051</v>
      </c>
      <c r="C64" s="227" t="s">
        <v>192</v>
      </c>
      <c r="D64" s="227" t="s">
        <v>951</v>
      </c>
      <c r="E64" s="226">
        <v>43104.45113425926</v>
      </c>
      <c r="F64" s="226">
        <v>43104.456446759257</v>
      </c>
      <c r="G64" s="225">
        <v>95</v>
      </c>
      <c r="H64" s="227" t="s">
        <v>952</v>
      </c>
      <c r="I64" s="226">
        <v>43104.485254629632</v>
      </c>
      <c r="J64" s="225">
        <v>0</v>
      </c>
      <c r="K64" s="237" t="str">
        <f>IF(ISEVEN(B64),(B64-1)&amp;"/"&amp;B64,B64&amp;"/"&amp;(B64+1))</f>
        <v>4051/4052</v>
      </c>
      <c r="L64" s="245" t="str">
        <f>VLOOKUP(A64,'Trips&amp;Operators'!$C$1:$G$99911,5,FALSE)</f>
        <v>WILLIAMS DONTE</v>
      </c>
      <c r="M64" s="224">
        <f>I64-F64</f>
        <v>2.8807870374293998E-2</v>
      </c>
      <c r="N64" s="225">
        <f>24*60*SUM($M64:$M64)</f>
        <v>41.483333338983357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-04T09:49:38-0700',mode:absolute,to:'2018-01-04T12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23.2944</v>
      </c>
      <c r="Z64" s="247">
        <f>RIGHT(H64,LEN(H64)-4)/10000</f>
        <v>1.9800000000000002E-2</v>
      </c>
      <c r="AA64" s="247">
        <f>ABS(Z64-Y64)</f>
        <v>23.2746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152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/stypes="app*4051*20180104*"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152-04 --locoid 4051 --swversion DE.1.0.9.0 --startMP 204:232944 --initTime 2018-01-04T10:49:38 --startdatetime 2018-01-04T10:57:17 --delay 95 --endMP 204:198 --enddatetime 2018-01-04T11:38:46 --enforcementcount 0 &gt;&gt;%USERPROFILE%\Documents\GitHub\eaglep3-reporting\EC\2018-01-04-refined-times.txt</v>
      </c>
      <c r="AI64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{"issue":{"subject":"","project_id":79,"tracker_id":40,"status_id":1,"priority_id":2,"assigned_to_id":338,"start_date":"2018-01-04","description":"","custom_fields":[{"id":1,"name":"Subdivision","value":"EC"},{"id":4,"name":"Milepost","value":"0.0198"},{"id":17,"name":"Train ID","value":"152-04"},{"id":16,"name":"Locomotive ID","value":"4051"},{"id":130,"name":"Impact","value":""},{"id":150,"name":"Time of Event (Mountain Time)","value":"11:38:46"},{"id":151,"name":"Denver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4051 --day 2018-01-04</v>
      </c>
      <c r="AN64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-04T09:49:38-0700',mode:absolute,to:'2018-01-04T12:38:46-0700'))&amp;_a=(columns:!('Message%20ID',Summary),filters:!(),index:'emp_*',interval:auto,query:(query_string:(analyze_wildcard:!t,query:'%22rtdc.l.rtdc.4051%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769</v>
      </c>
      <c r="B65" s="225">
        <v>4034</v>
      </c>
      <c r="C65" s="227" t="s">
        <v>192</v>
      </c>
      <c r="D65" s="227" t="s">
        <v>643</v>
      </c>
      <c r="E65" s="226">
        <v>43104.420659722222</v>
      </c>
      <c r="F65" s="226">
        <v>43104.427291666667</v>
      </c>
      <c r="G65" s="225">
        <v>126</v>
      </c>
      <c r="H65" s="227" t="s">
        <v>953</v>
      </c>
      <c r="I65" s="226">
        <v>43104.45207175926</v>
      </c>
      <c r="J65" s="225">
        <v>0</v>
      </c>
      <c r="K65" s="237" t="str">
        <f>IF(ISEVEN(B65),(B65-1)&amp;"/"&amp;B65,B65&amp;"/"&amp;(B65+1))</f>
        <v>4033/4034</v>
      </c>
      <c r="L65" s="245" t="str">
        <f>VLOOKUP(A65,'Trips&amp;Operators'!$C$1:$G$99911,5,FALSE)</f>
        <v>STRICKLAND EVAN</v>
      </c>
      <c r="M65" s="224">
        <f>I65-F65</f>
        <v>2.4780092593573499E-2</v>
      </c>
      <c r="N65" s="225">
        <f>24*60*SUM($M65:$M65)</f>
        <v>35.683333334745839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-04T09:05:45-0700',mode:absolute,to:'2018-01-04T11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4.4600000000000001E-2</v>
      </c>
      <c r="Z65" s="247">
        <f>RIGHT(H65,LEN(H65)-4)/10000</f>
        <v>23.322700000000001</v>
      </c>
      <c r="AA65" s="247">
        <f>ABS(Z65-Y65)</f>
        <v>23.278100000000002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153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/stypes="app*4034*20180104*"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153-04 --locoid 4034 --swversion DE.1.0.9.0 --startMP 204:446 --initTime 2018-01-04T10:05:45 --startdatetime 2018-01-04T10:15:18 --delay 126 --endMP 204:233227 --enddatetime 2018-01-04T10:50:59 --enforcementcount 0 &gt;&gt;%USERPROFILE%\Documents\GitHub\eaglep3-reporting\EC\2018-01-04-refined-times.txt</v>
      </c>
      <c r="AI65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{"issue":{"subject":"","project_id":79,"tracker_id":40,"status_id":1,"priority_id":2,"assigned_to_id":338,"start_date":"2018-01-04","description":"","custom_fields":[{"id":1,"name":"Subdivision","value":"EC"},{"id":4,"name":"Milepost","value":"23.3227"},{"id":17,"name":"Train ID","value":"153-04"},{"id":16,"name":"Locomotive ID","value":"4034"},{"id":130,"name":"Impact","value":""},{"id":150,"name":"Time of Event (Mountain Time)","value":"10:50:59"},{"id":151,"name":"Denver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4034 --day 2018-01-04</v>
      </c>
      <c r="AN65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-04T09:05:45-0700',mode:absolute,to:'2018-01-04T11:50:59-0700'))&amp;_a=(columns:!('Message%20ID',Summary),filters:!(),index:'emp_*',interval:auto,query:(query_string:(analyze_wildcard:!t,query:'%22rtdc.l.rtdc.4034%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781</v>
      </c>
      <c r="B66" s="225">
        <v>4033</v>
      </c>
      <c r="C66" s="227" t="s">
        <v>192</v>
      </c>
      <c r="D66" s="227" t="s">
        <v>954</v>
      </c>
      <c r="E66" s="226">
        <v>43104.45385416667</v>
      </c>
      <c r="F66" s="226">
        <v>43104.467037037037</v>
      </c>
      <c r="G66" s="225">
        <v>85</v>
      </c>
      <c r="H66" s="227" t="s">
        <v>955</v>
      </c>
      <c r="I66" s="226">
        <v>43104.493738425925</v>
      </c>
      <c r="J66" s="225">
        <v>0</v>
      </c>
      <c r="K66" s="237" t="str">
        <f>IF(ISEVEN(B66),(B66-1)&amp;"/"&amp;B66,B66&amp;"/"&amp;(B66+1))</f>
        <v>4033/4034</v>
      </c>
      <c r="L66" s="245" t="str">
        <f>VLOOKUP(A66,'Trips&amp;Operators'!$C$1:$G$99911,5,FALSE)</f>
        <v>STRICKLAND EVAN</v>
      </c>
      <c r="M66" s="224">
        <f>I66-F66</f>
        <v>2.6701388887886424E-2</v>
      </c>
      <c r="N66" s="225">
        <f>24*60*SUM($M66:$M66)</f>
        <v>38.44999999855645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-04T09:53:33-0700',mode:absolute,to:'2018-01-04T12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23.290199999999999</v>
      </c>
      <c r="Z66" s="247">
        <f>RIGHT(H66,LEN(H66)-4)/10000</f>
        <v>1.8700000000000001E-2</v>
      </c>
      <c r="AA66" s="247">
        <f>ABS(Z66-Y66)</f>
        <v>23.2715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154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/stypes="app*4033*20180104*"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154-04 --locoid 4033 --swversion DE.1.0.9.0 --startMP 204:232902 --initTime 2018-01-04T10:53:33 --startdatetime 2018-01-04T11:12:32 --delay 85 --endMP 204:187 --enddatetime 2018-01-04T11:50:59 --enforcementcount 0 &gt;&gt;%USERPROFILE%\Documents\GitHub\eaglep3-reporting\EC\2018-01-04-refined-times.txt</v>
      </c>
      <c r="AI66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{"issue":{"subject":"","project_id":79,"tracker_id":40,"status_id":1,"priority_id":2,"assigned_to_id":338,"start_date":"2018-01-04","description":"","custom_fields":[{"id":1,"name":"Subdivision","value":"EC"},{"id":4,"name":"Milepost","value":"0.0187"},{"id":17,"name":"Train ID","value":"154-04"},{"id":16,"name":"Locomotive ID","value":"4033"},{"id":130,"name":"Impact","value":""},{"id":150,"name":"Time of Event (Mountain Time)","value":"11:50:59"},{"id":151,"name":"Denver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4033 --day 2018-01-04</v>
      </c>
      <c r="AN66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-04T09:53:33-0700',mode:absolute,to:'2018-01-04T12:50:59-0700'))&amp;_a=(columns:!('Message%20ID',Summary),filters:!(),index:'emp_*',interval:auto,query:(query_string:(analyze_wildcard:!t,query:'%22rtdc.l.rtdc.4033%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775</v>
      </c>
      <c r="B67" s="225">
        <v>4032</v>
      </c>
      <c r="C67" s="227" t="s">
        <v>192</v>
      </c>
      <c r="D67" s="227" t="s">
        <v>606</v>
      </c>
      <c r="E67" s="226">
        <v>43104.435266203705</v>
      </c>
      <c r="F67" s="226">
        <v>43104.437835648147</v>
      </c>
      <c r="G67" s="225">
        <v>53</v>
      </c>
      <c r="H67" s="227" t="s">
        <v>939</v>
      </c>
      <c r="I67" s="226">
        <v>43104.461504629631</v>
      </c>
      <c r="J67" s="225">
        <v>0</v>
      </c>
      <c r="K67" s="237" t="str">
        <f>IF(ISEVEN(B67),(B67-1)&amp;"/"&amp;B67,B67&amp;"/"&amp;(B67+1))</f>
        <v>4031/4032</v>
      </c>
      <c r="L67" s="245" t="str">
        <f>VLOOKUP(A67,'Trips&amp;Operators'!$C$1:$G$99911,5,FALSE)</f>
        <v>BEAM ROSS</v>
      </c>
      <c r="M67" s="224">
        <f>I67-F67</f>
        <v>2.3668981484661344E-2</v>
      </c>
      <c r="N67" s="225">
        <f>24*60*SUM($M67:$M67)</f>
        <v>34.083333337912336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-04T09:26:47-0700',mode:absolute,to:'2018-01-04T12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4.8599999999999997E-2</v>
      </c>
      <c r="Z67" s="247">
        <f>RIGHT(H67,LEN(H67)-4)/10000</f>
        <v>23.328800000000001</v>
      </c>
      <c r="AA67" s="247">
        <f>ABS(Z67-Y67)</f>
        <v>23.280200000000001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155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/stypes="app*4032*20180104*"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155-04 --locoid 4032 --swversion DE.1.0.9.0 --startMP 204:486 --initTime 2018-01-04T10:26:47 --startdatetime 2018-01-04T10:30:29 --delay 53 --endMP 204:233288 --enddatetime 2018-01-04T11:04:34 --enforcementcount 0 &gt;&gt;%USERPROFILE%\Documents\GitHub\eaglep3-reporting\EC\2018-01-04-refined-times.txt</v>
      </c>
      <c r="AI67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{"issue":{"subject":"","project_id":79,"tracker_id":40,"status_id":1,"priority_id":2,"assigned_to_id":338,"start_date":"2018-01-04","description":"","custom_fields":[{"id":1,"name":"Subdivision","value":"EC"},{"id":4,"name":"Milepost","value":"23.3288"},{"id":17,"name":"Train ID","value":"155-04"},{"id":16,"name":"Locomotive ID","value":"4032"},{"id":130,"name":"Impact","value":""},{"id":150,"name":"Time of Event (Mountain Time)","value":"11:04:34"},{"id":151,"name":"Denver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4032 --day 2018-01-04</v>
      </c>
      <c r="AN67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-04T09:26:47-0700',mode:absolute,to:'2018-01-04T12:04:34-0700'))&amp;_a=(columns:!('Message%20ID',Summary),filters:!(),index:'emp_*',interval:auto,query:(query_string:(analyze_wildcard:!t,query:'%22rtdc.l.rtdc.4032%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783</v>
      </c>
      <c r="B68" s="225">
        <v>4031</v>
      </c>
      <c r="C68" s="227" t="s">
        <v>192</v>
      </c>
      <c r="D68" s="227" t="s">
        <v>600</v>
      </c>
      <c r="E68" s="226">
        <v>43104.462407407409</v>
      </c>
      <c r="F68" s="226">
        <v>43104.47724537037</v>
      </c>
      <c r="G68" s="225">
        <v>47</v>
      </c>
      <c r="H68" s="227" t="s">
        <v>945</v>
      </c>
      <c r="I68" s="226">
        <v>43104.502928240741</v>
      </c>
      <c r="J68" s="225">
        <v>0</v>
      </c>
      <c r="K68" s="237" t="str">
        <f>IF(ISEVEN(B68),(B68-1)&amp;"/"&amp;B68,B68&amp;"/"&amp;(B68+1))</f>
        <v>4031/4032</v>
      </c>
      <c r="L68" s="245" t="str">
        <f>VLOOKUP(A68,'Trips&amp;Operators'!$C$1:$G$99911,5,FALSE)</f>
        <v>BEAM ROSS</v>
      </c>
      <c r="M68" s="224">
        <f>I68-F68</f>
        <v>2.5682870371383615E-2</v>
      </c>
      <c r="N68" s="225">
        <f>24*60*SUM($M68:$M68)</f>
        <v>36.983333334792405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-04T10:05:52-0700',mode:absolute,to:'2018-01-04T13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23.296900000000001</v>
      </c>
      <c r="Z68" s="247">
        <f>RIGHT(H68,LEN(H68)-4)/10000</f>
        <v>2.0299999999999999E-2</v>
      </c>
      <c r="AA68" s="247">
        <f>ABS(Z68-Y68)</f>
        <v>23.276600000000002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156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s3://rtdc.mdm.uploadarchive.raw/RTDC4031/ "%USERPROFILE%\AppData\Local\Temp\OnboardLogs"\RTDC4031\2018-01-04 --exclude "*" --recursive --include "*20180104*" &amp; "%USERPROFILE%\Documents\GitHub\mrs-test-scripts\Headless Mode &amp; Sideloading\WalkAndUnGZ.bat" "%USERPROFILE%\AppData\Local\Temp\OnboardLogs"\RTDC4031\2018-01-04 &amp; aws s3 cp s3://rtdc.mdm.uploadarchive.raw/RTDC4031/ "%USERPROFILE%\AppData\Local\Temp\OnboardLogs"\RTDC4031\2018-01-05 --exclude "*" --recursive --include "*20180105*" &amp; "%USERPROFILE%\Documents\GitHub\mrs-test-scripts\Headless Mode &amp; Sideloading\WalkAndUnGZ.bat" "%USERPROFILE%\AppData\Local\Temp\OnboardLogs"\RTDC4031\2018-01-05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/stypes="app*4031*20180104*" /stext=" 19:.+((SYSTEM_STATE.+slice.+state.+changed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156-04 --locoid 4031 --swversion DE.1.0.9.0 --startMP 204:232969 --initTime 2018-01-04T11:05:52 --startdatetime 2018-01-04T11:27:14 --delay 47 --endMP 204:203 --enddatetime 2018-01-04T12:04:13 --enforcementcount 0 &gt;&gt;%USERPROFILE%\Documents\GitHub\eaglep3-reporting\EC\2018-01-04-refined-times.txt</v>
      </c>
      <c r="AI68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{"issue":{"subject":"","project_id":79,"tracker_id":40,"status_id":1,"priority_id":2,"assigned_to_id":338,"start_date":"2018-01-04","description":"","custom_fields":[{"id":1,"name":"Subdivision","value":"EC"},{"id":4,"name":"Milepost","value":"0.0203"},{"id":17,"name":"Train ID","value":"156-04"},{"id":16,"name":"Locomotive ID","value":"4031"},{"id":130,"name":"Impact","value":""},{"id":150,"name":"Time of Event (Mountain Time)","value":"12:04:13"},{"id":151,"name":"Denver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4031 --day 2018-01-04</v>
      </c>
      <c r="AN68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-04T10:05:52-0700',mode:absolute,to:'2018-01-04T13:04:13-0700'))&amp;_a=(columns:!('Message%20ID',Summary),filters:!(),index:'emp_*',interval:auto,query:(query_string:(analyze_wildcard:!t,query:'%22rtdc.l.rtdc.4031%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776</v>
      </c>
      <c r="B69" s="225">
        <v>4018</v>
      </c>
      <c r="C69" s="227" t="s">
        <v>192</v>
      </c>
      <c r="D69" s="227" t="s">
        <v>956</v>
      </c>
      <c r="E69" s="226">
        <v>43104.446377314816</v>
      </c>
      <c r="F69" s="226">
        <v>43104.448310185187</v>
      </c>
      <c r="G69" s="225">
        <v>94</v>
      </c>
      <c r="H69" s="227" t="s">
        <v>621</v>
      </c>
      <c r="I69" s="226">
        <v>43104.473622685182</v>
      </c>
      <c r="J69" s="225">
        <v>0</v>
      </c>
      <c r="K69" s="237" t="str">
        <f>IF(ISEVEN(B69),(B69-1)&amp;"/"&amp;B69,B69&amp;"/"&amp;(B69+1))</f>
        <v>4017/4018</v>
      </c>
      <c r="L69" s="245" t="str">
        <f>VLOOKUP(A69,'Trips&amp;Operators'!$C$1:$G$99911,5,FALSE)</f>
        <v>BADERTSCHER DIANE</v>
      </c>
      <c r="M69" s="224">
        <f>I69-F69</f>
        <v>2.5312499994470272E-2</v>
      </c>
      <c r="N69" s="225">
        <f>24*60*SUM($M69:$M69)</f>
        <v>36.449999992037192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-04T09:42:47-0700',mode:absolute,to:'2018-01-04T12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4.2700000000000002E-2</v>
      </c>
      <c r="Z69" s="247">
        <f>RIGHT(H69,LEN(H69)-4)/10000</f>
        <v>23.323799999999999</v>
      </c>
      <c r="AA69" s="247">
        <f>ABS(Z69-Y69)</f>
        <v>23.281099999999999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157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/stypes="app*4018*20180104*"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157-04 --locoid 4018 --swversion DE.1.0.9.0 --startMP 204:427 --initTime 2018-01-04T10:42:47 --startdatetime 2018-01-04T10:45:34 --delay 94 --endMP 204:233238 --enddatetime 2018-01-04T11:22:01 --enforcementcount 0 &gt;&gt;%USERPROFILE%\Documents\GitHub\eaglep3-reporting\EC\2018-01-04-refined-times.txt</v>
      </c>
      <c r="AI69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{"issue":{"subject":"","project_id":79,"tracker_id":40,"status_id":1,"priority_id":2,"assigned_to_id":338,"start_date":"2018-01-04","description":"","custom_fields":[{"id":1,"name":"Subdivision","value":"EC"},{"id":4,"name":"Milepost","value":"23.3238"},{"id":17,"name":"Train ID","value":"157-04"},{"id":16,"name":"Locomotive ID","value":"4018"},{"id":130,"name":"Impact","value":""},{"id":150,"name":"Time of Event (Mountain Time)","value":"11:22:01"},{"id":151,"name":"Denver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4018 --day 2018-01-04</v>
      </c>
      <c r="AN69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-04T09:42:47-0700',mode:absolute,to:'2018-01-04T12:22:01-0700'))&amp;_a=(columns:!('Message%20ID',Summary),filters:!(),index:'emp_*',interval:auto,query:(query_string:(analyze_wildcard:!t,query:'%22rtdc.l.rtdc.4018%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788</v>
      </c>
      <c r="B70" s="225">
        <v>4017</v>
      </c>
      <c r="C70" s="227" t="s">
        <v>192</v>
      </c>
      <c r="D70" s="227" t="s">
        <v>957</v>
      </c>
      <c r="E70" s="226">
        <v>43104.485694444447</v>
      </c>
      <c r="F70" s="226">
        <v>43104.487824074073</v>
      </c>
      <c r="G70" s="225">
        <v>82</v>
      </c>
      <c r="H70" s="227" t="s">
        <v>549</v>
      </c>
      <c r="I70" s="226">
        <v>43104.514861111114</v>
      </c>
      <c r="J70" s="225">
        <v>0</v>
      </c>
      <c r="K70" s="237" t="str">
        <f>IF(ISEVEN(B70),(B70-1)&amp;"/"&amp;B70,B70&amp;"/"&amp;(B70+1))</f>
        <v>4017/4018</v>
      </c>
      <c r="L70" s="245" t="str">
        <f>VLOOKUP(A70,'Trips&amp;Operators'!$C$1:$G$99911,5,FALSE)</f>
        <v>BADERTSCHER DIANE</v>
      </c>
      <c r="M70" s="224">
        <f>I70-F70</f>
        <v>2.7037037041736767E-2</v>
      </c>
      <c r="N70" s="225">
        <f>24*60*SUM($M70:$M70)</f>
        <v>38.933333340100944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-04T10:39:24-0700',mode:absolute,to:'2018-01-04T13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23.2926</v>
      </c>
      <c r="Z70" s="247">
        <f>RIGHT(H70,LEN(H70)-4)/10000</f>
        <v>2.1600000000000001E-2</v>
      </c>
      <c r="AA70" s="247">
        <f>ABS(Z70-Y70)</f>
        <v>23.271000000000001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158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/stypes="app*4017*20180104*"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158-04 --locoid 4017 --swversion DE.1.0.9.0 --startMP 204:232926 --initTime 2018-01-04T11:39:24 --startdatetime 2018-01-04T11:42:28 --delay 82 --endMP 204:216 --enddatetime 2018-01-04T12:21:24 --enforcementcount 0 &gt;&gt;%USERPROFILE%\Documents\GitHub\eaglep3-reporting\EC\2018-01-04-refined-times.txt</v>
      </c>
      <c r="AI70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{"issue":{"subject":"","project_id":79,"tracker_id":40,"status_id":1,"priority_id":2,"assigned_to_id":338,"start_date":"2018-01-04","description":"","custom_fields":[{"id":1,"name":"Subdivision","value":"EC"},{"id":4,"name":"Milepost","value":"0.0216"},{"id":17,"name":"Train ID","value":"158-04"},{"id":16,"name":"Locomotive ID","value":"4017"},{"id":130,"name":"Impact","value":""},{"id":150,"name":"Time of Event (Mountain Time)","value":"12:21:24"},{"id":151,"name":"Denver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4017 --day 2018-01-04</v>
      </c>
      <c r="AN70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-04T10:39:24-0700',mode:absolute,to:'2018-01-04T13:21:24-0700'))&amp;_a=(columns:!('Message%20ID',Summary),filters:!(),index:'emp_*',interval:auto,query:(query_string:(analyze_wildcard:!t,query:'%22rtdc.l.rtdc.4017%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780</v>
      </c>
      <c r="B71" s="225">
        <v>4044</v>
      </c>
      <c r="C71" s="227" t="s">
        <v>192</v>
      </c>
      <c r="D71" s="227" t="s">
        <v>563</v>
      </c>
      <c r="E71" s="226">
        <v>43104.453599537039</v>
      </c>
      <c r="F71" s="226">
        <v>43104.458553240744</v>
      </c>
      <c r="G71" s="225">
        <v>61</v>
      </c>
      <c r="H71" s="227" t="s">
        <v>611</v>
      </c>
      <c r="I71" s="226">
        <v>43104.483344907407</v>
      </c>
      <c r="J71" s="225">
        <v>0</v>
      </c>
      <c r="K71" s="237" t="str">
        <f>IF(ISEVEN(B71),(B71-1)&amp;"/"&amp;B71,B71&amp;"/"&amp;(B71+1))</f>
        <v>4043/4044</v>
      </c>
      <c r="L71" s="245" t="str">
        <f>VLOOKUP(A71,'Trips&amp;Operators'!$C$1:$G$99911,5,FALSE)</f>
        <v>DAVIDSON DAVID</v>
      </c>
      <c r="M71" s="224">
        <f>I71-F71</f>
        <v>2.4791666663077194E-2</v>
      </c>
      <c r="N71" s="225">
        <f>24*60*SUM($M71:$M71)</f>
        <v>35.69999999483116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-04T09:53:11-0700',mode:absolute,to:'2018-01-04T12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5.3699999999999998E-2</v>
      </c>
      <c r="Z71" s="247">
        <f>RIGHT(H71,LEN(H71)-4)/10000</f>
        <v>23.3276</v>
      </c>
      <c r="AA71" s="247">
        <f>ABS(Z71-Y71)</f>
        <v>23.273900000000001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159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/stypes="app*4044*20180104*"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159-04 --locoid 4044 --swversion DE.1.0.9.0 --startMP 204:537 --initTime 2018-01-04T10:53:11 --startdatetime 2018-01-04T11:00:19 --delay 61 --endMP 204:233276 --enddatetime 2018-01-04T11:36:01 --enforcementcount 0 &gt;&gt;%USERPROFILE%\Documents\GitHub\eaglep3-reporting\EC\2018-01-04-refined-times.txt</v>
      </c>
      <c r="AI71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{"issue":{"subject":"","project_id":79,"tracker_id":40,"status_id":1,"priority_id":2,"assigned_to_id":338,"start_date":"2018-01-04","description":"","custom_fields":[{"id":1,"name":"Subdivision","value":"EC"},{"id":4,"name":"Milepost","value":"23.3276"},{"id":17,"name":"Train ID","value":"159-04"},{"id":16,"name":"Locomotive ID","value":"4044"},{"id":130,"name":"Impact","value":""},{"id":150,"name":"Time of Event (Mountain Time)","value":"11:36:01"},{"id":151,"name":"Denver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4044 --day 2018-01-04</v>
      </c>
      <c r="AN71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-04T09:53:11-0700',mode:absolute,to:'2018-01-04T12:36:01-0700'))&amp;_a=(columns:!('Message%20ID',Summary),filters:!(),index:'emp_*',interval:auto,query:(query_string:(analyze_wildcard:!t,query:'%22rtdc.l.rtdc.4044%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789</v>
      </c>
      <c r="B72" s="225">
        <v>4043</v>
      </c>
      <c r="C72" s="227" t="s">
        <v>192</v>
      </c>
      <c r="D72" s="227" t="s">
        <v>618</v>
      </c>
      <c r="E72" s="226">
        <v>43104.486064814817</v>
      </c>
      <c r="F72" s="226">
        <v>43104.498171296298</v>
      </c>
      <c r="G72" s="225">
        <v>55</v>
      </c>
      <c r="H72" s="227" t="s">
        <v>469</v>
      </c>
      <c r="I72" s="226">
        <v>43104.524629629632</v>
      </c>
      <c r="J72" s="225">
        <v>0</v>
      </c>
      <c r="K72" s="237" t="str">
        <f>IF(ISEVEN(B72),(B72-1)&amp;"/"&amp;B72,B72&amp;"/"&amp;(B72+1))</f>
        <v>4043/4044</v>
      </c>
      <c r="L72" s="245" t="str">
        <f>VLOOKUP(A72,'Trips&amp;Operators'!$C$1:$G$99911,5,FALSE)</f>
        <v>DAVIDSON DAVID</v>
      </c>
      <c r="M72" s="224">
        <f>I72-F72</f>
        <v>2.6458333333721384E-2</v>
      </c>
      <c r="N72" s="225">
        <f>24*60*SUM($M72:$M72)</f>
        <v>38.100000000558794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-04T10:39:56-0700',mode:absolute,to:'2018-01-04T13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23.295200000000001</v>
      </c>
      <c r="Z72" s="247">
        <f>RIGHT(H72,LEN(H72)-4)/10000</f>
        <v>2.2499999999999999E-2</v>
      </c>
      <c r="AA72" s="247">
        <f>ABS(Z72-Y72)</f>
        <v>23.2727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160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/stypes="app*4043*20180104*"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160-04 --locoid 4043 --swversion DE.1.0.9.0 --startMP 204:232952 --initTime 2018-01-04T11:39:56 --startdatetime 2018-01-04T11:57:22 --delay 55 --endMP 204:225 --enddatetime 2018-01-04T12:35:28 --enforcementcount 0 &gt;&gt;%USERPROFILE%\Documents\GitHub\eaglep3-reporting\EC\2018-01-04-refined-times.txt</v>
      </c>
      <c r="AI72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{"issue":{"subject":"","project_id":79,"tracker_id":40,"status_id":1,"priority_id":2,"assigned_to_id":338,"start_date":"2018-01-04","description":"","custom_fields":[{"id":1,"name":"Subdivision","value":"EC"},{"id":4,"name":"Milepost","value":"0.0225"},{"id":17,"name":"Train ID","value":"160-04"},{"id":16,"name":"Locomotive ID","value":"4043"},{"id":130,"name":"Impact","value":""},{"id":150,"name":"Time of Event (Mountain Time)","value":"12:35:28"},{"id":151,"name":"Denver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4043 --day 2018-01-04</v>
      </c>
      <c r="AN72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-04T10:39:56-0700',mode:absolute,to:'2018-01-04T13:35:28-0700'))&amp;_a=(columns:!('Message%20ID',Summary),filters:!(),index:'emp_*',interval:auto,query:(query_string:(analyze_wildcard:!t,query:'%22rtdc.l.rtdc.4043%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784</v>
      </c>
      <c r="B73" s="225">
        <v>4046</v>
      </c>
      <c r="C73" s="227" t="s">
        <v>192</v>
      </c>
      <c r="D73" s="227" t="s">
        <v>606</v>
      </c>
      <c r="E73" s="226">
        <v>43104.466215277775</v>
      </c>
      <c r="F73" s="226">
        <v>43104.469074074077</v>
      </c>
      <c r="G73" s="225">
        <v>87</v>
      </c>
      <c r="H73" s="227" t="s">
        <v>953</v>
      </c>
      <c r="I73" s="226">
        <v>43104.493692129632</v>
      </c>
      <c r="J73" s="225">
        <v>0</v>
      </c>
      <c r="K73" s="237" t="str">
        <f>IF(ISEVEN(B73),(B73-1)&amp;"/"&amp;B73,B73&amp;"/"&amp;(B73+1))</f>
        <v>4045/4046</v>
      </c>
      <c r="L73" s="245" t="str">
        <f>VLOOKUP(A73,'Trips&amp;Operators'!$C$1:$G$99911,5,FALSE)</f>
        <v>BRUDER RICHARD</v>
      </c>
      <c r="M73" s="224">
        <f>I73-F73</f>
        <v>2.4618055555038154E-2</v>
      </c>
      <c r="N73" s="225">
        <f>24*60*SUM($M73:$M73)</f>
        <v>35.449999999254942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-04T10:11:21-0700',mode:absolute,to:'2018-01-04T12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4.8599999999999997E-2</v>
      </c>
      <c r="Z73" s="247">
        <f>RIGHT(H73,LEN(H73)-4)/10000</f>
        <v>23.322700000000001</v>
      </c>
      <c r="AA73" s="247">
        <f>ABS(Z73-Y73)</f>
        <v>23.274100000000001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161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/stypes="app*4046*20180104*"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161-04 --locoid 4046 --swversion DE.1.0.9.0 --startMP 204:486 --initTime 2018-01-04T11:11:21 --startdatetime 2018-01-04T11:15:28 --delay 87 --endMP 204:233227 --enddatetime 2018-01-04T11:50:55 --enforcementcount 0 &gt;&gt;%USERPROFILE%\Documents\GitHub\eaglep3-reporting\EC\2018-01-04-refined-times.txt</v>
      </c>
      <c r="AI73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{"issue":{"subject":"","project_id":79,"tracker_id":40,"status_id":1,"priority_id":2,"assigned_to_id":338,"start_date":"2018-01-04","description":"","custom_fields":[{"id":1,"name":"Subdivision","value":"EC"},{"id":4,"name":"Milepost","value":"23.3227"},{"id":17,"name":"Train ID","value":"161-04"},{"id":16,"name":"Locomotive ID","value":"4046"},{"id":130,"name":"Impact","value":""},{"id":150,"name":"Time of Event (Mountain Time)","value":"11:50:55"},{"id":151,"name":"Denver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4046 --day 2018-01-04</v>
      </c>
      <c r="AN73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-04T10:11:21-0700',mode:absolute,to:'2018-01-04T12:50:55-0700'))&amp;_a=(columns:!('Message%20ID',Summary),filters:!(),index:'emp_*',interval:auto,query:(query_string:(analyze_wildcard:!t,query:'%22rtdc.l.rtdc.4046%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797</v>
      </c>
      <c r="B74" s="225">
        <v>4045</v>
      </c>
      <c r="C74" s="227" t="s">
        <v>192</v>
      </c>
      <c r="D74" s="227" t="s">
        <v>958</v>
      </c>
      <c r="E74" s="226">
        <v>43104.50503472222</v>
      </c>
      <c r="F74" s="226">
        <v>43104.50854166667</v>
      </c>
      <c r="G74" s="225">
        <v>148</v>
      </c>
      <c r="H74" s="227" t="s">
        <v>626</v>
      </c>
      <c r="I74" s="226">
        <v>43104.534305555557</v>
      </c>
      <c r="J74" s="225">
        <v>0</v>
      </c>
      <c r="K74" s="237" t="str">
        <f>IF(ISEVEN(B74),(B74-1)&amp;"/"&amp;B74,B74&amp;"/"&amp;(B74+1))</f>
        <v>4045/4046</v>
      </c>
      <c r="L74" s="245" t="str">
        <f>VLOOKUP(A74,'Trips&amp;Operators'!$C$1:$G$99911,5,FALSE)</f>
        <v>BRUDER RICHARD</v>
      </c>
      <c r="M74" s="224">
        <f>I74-F74</f>
        <v>2.5763888887013309E-2</v>
      </c>
      <c r="N74" s="225">
        <f>24*60*SUM($M74:$M74)</f>
        <v>37.099999997299165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-04T11:07:15-0700',mode:absolute,to:'2018-01-04T13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23.2896</v>
      </c>
      <c r="Z74" s="247">
        <f>RIGHT(H74,LEN(H74)-4)/10000</f>
        <v>2.29E-2</v>
      </c>
      <c r="AA74" s="247">
        <f>ABS(Z74-Y74)</f>
        <v>23.2667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162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/stypes="app*4045*20180104*"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162-04 --locoid 4045 --swversion DE.1.0.9.0 --startMP 204:232896 --initTime 2018-01-04T12:07:15 --startdatetime 2018-01-04T12:12:18 --delay 148 --endMP 204:229 --enddatetime 2018-01-04T12:49:24 --enforcementcount 0 &gt;&gt;%USERPROFILE%\Documents\GitHub\eaglep3-reporting\EC\2018-01-04-refined-times.txt</v>
      </c>
      <c r="AI74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{"issue":{"subject":"","project_id":79,"tracker_id":40,"status_id":1,"priority_id":2,"assigned_to_id":338,"start_date":"2018-01-04","description":"","custom_fields":[{"id":1,"name":"Subdivision","value":"EC"},{"id":4,"name":"Milepost","value":"0.0229"},{"id":17,"name":"Train ID","value":"162-04"},{"id":16,"name":"Locomotive ID","value":"4045"},{"id":130,"name":"Impact","value":""},{"id":150,"name":"Time of Event (Mountain Time)","value":"12:49:24"},{"id":151,"name":"Denver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4045 --day 2018-01-04</v>
      </c>
      <c r="AN74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-04T11:07:15-0700',mode:absolute,to:'2018-01-04T13:49:24-0700'))&amp;_a=(columns:!('Message%20ID',Summary),filters:!(),index:'emp_*',interval:auto,query:(query_string:(analyze_wildcard:!t,query:'%22rtdc.l.rtdc.4045%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786</v>
      </c>
      <c r="B75" s="225">
        <v>4064</v>
      </c>
      <c r="C75" s="227" t="s">
        <v>192</v>
      </c>
      <c r="D75" s="227" t="s">
        <v>959</v>
      </c>
      <c r="E75" s="226">
        <v>43104.474548611113</v>
      </c>
      <c r="F75" s="226">
        <v>43104.479444444441</v>
      </c>
      <c r="G75" s="225">
        <v>126</v>
      </c>
      <c r="H75" s="227" t="s">
        <v>599</v>
      </c>
      <c r="I75" s="226">
        <v>43104.503784722219</v>
      </c>
      <c r="J75" s="225">
        <v>0</v>
      </c>
      <c r="K75" s="237" t="str">
        <f>IF(ISEVEN(B75),(B75-1)&amp;"/"&amp;B75,B75&amp;"/"&amp;(B75+1))</f>
        <v>4063/4064</v>
      </c>
      <c r="L75" s="245" t="str">
        <f>VLOOKUP(A75,'Trips&amp;Operators'!$C$1:$G$99911,5,FALSE)</f>
        <v>STEWART MICHAEL</v>
      </c>
      <c r="M75" s="224">
        <f>I75-F75</f>
        <v>2.4340277777810115E-2</v>
      </c>
      <c r="N75" s="225">
        <f>24*60*SUM($M75:$M75)</f>
        <v>35.050000000046566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-04T10:23:21-0700',mode:absolute,to:'2018-01-04T13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4.5499999999999999E-2</v>
      </c>
      <c r="Z75" s="247">
        <f>RIGHT(H75,LEN(H75)-4)/10000</f>
        <v>23.328199999999999</v>
      </c>
      <c r="AA75" s="247">
        <f>ABS(Z75-Y75)</f>
        <v>23.282699999999998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163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/stypes="app*4064*20180104*"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163-04 --locoid 4064 --swversion DE.1.0.9.0 --startMP 204:455 --initTime 2018-01-04T11:23:21 --startdatetime 2018-01-04T11:30:24 --delay 126 --endMP 204:233282 --enddatetime 2018-01-04T12:05:27 --enforcementcount 0 &gt;&gt;%USERPROFILE%\Documents\GitHub\eaglep3-reporting\EC\2018-01-04-refined-times.txt</v>
      </c>
      <c r="AI75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{"issue":{"subject":"","project_id":79,"tracker_id":40,"status_id":1,"priority_id":2,"assigned_to_id":338,"start_date":"2018-01-04","description":"","custom_fields":[{"id":1,"name":"Subdivision","value":"EC"},{"id":4,"name":"Milepost","value":"23.3282"},{"id":17,"name":"Train ID","value":"163-04"},{"id":16,"name":"Locomotive ID","value":"4064"},{"id":130,"name":"Impact","value":""},{"id":150,"name":"Time of Event (Mountain Time)","value":"12:05:27"},{"id":151,"name":"Denver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4064 --day 2018-01-04</v>
      </c>
      <c r="AN75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-04T10:23:21-0700',mode:absolute,to:'2018-01-04T13:05:27-0700'))&amp;_a=(columns:!('Message%20ID',Summary),filters:!(),index:'emp_*',interval:auto,query:(query_string:(analyze_wildcard:!t,query:'%22rtdc.l.rtdc.4064%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667</v>
      </c>
      <c r="B76" s="225">
        <v>4063</v>
      </c>
      <c r="C76" s="227" t="s">
        <v>192</v>
      </c>
      <c r="D76" s="227" t="s">
        <v>924</v>
      </c>
      <c r="E76" s="226">
        <v>43104.514085648145</v>
      </c>
      <c r="F76" s="226">
        <v>43104.518969907411</v>
      </c>
      <c r="G76" s="225">
        <v>112</v>
      </c>
      <c r="H76" s="227" t="s">
        <v>960</v>
      </c>
      <c r="I76" s="226">
        <v>43104.543090277781</v>
      </c>
      <c r="J76" s="225">
        <v>0</v>
      </c>
      <c r="K76" s="237" t="str">
        <f>IF(ISEVEN(B76),(B76-1)&amp;"/"&amp;B76,B76&amp;"/"&amp;(B76+1))</f>
        <v>4063/4064</v>
      </c>
      <c r="L76" s="245" t="str">
        <f>VLOOKUP(A76,'Trips&amp;Operators'!$C$1:$G$99911,5,FALSE)</f>
        <v>STEWART MICHAEL</v>
      </c>
      <c r="M76" s="224">
        <f>I76-F76</f>
        <v>2.4120370369928423E-2</v>
      </c>
      <c r="N76" s="225">
        <f>24*60*SUM($M76:$M76)</f>
        <v>34.73333333269693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-04T11:20:17-0700',mode:absolute,to:'2018-01-04T14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23.295500000000001</v>
      </c>
      <c r="Z76" s="247">
        <f>RIGHT(H76,LEN(H76)-4)/10000</f>
        <v>1.7000000000000001E-2</v>
      </c>
      <c r="AA76" s="247">
        <f>ABS(Z76-Y76)</f>
        <v>23.278500000000001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164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/stypes="app*4063*20180104*" /stext=" 20:.+((SYSTEM_STATE.+slice.+state.+changed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164-04 --locoid 4063 --swversion DE.1.0.9.0 --startMP 204:232955 --initTime 2018-01-04T12:20:17 --startdatetime 2018-01-04T12:27:19 --delay 112 --endMP 204:170 --enddatetime 2018-01-04T13:02:03 --enforcementcount 0 &gt;&gt;%USERPROFILE%\Documents\GitHub\eaglep3-reporting\EC\2018-01-04-refined-times.txt</v>
      </c>
      <c r="AI76" s="238" t="str">
        <f t="shared" si="6"/>
        <v>echo {"issue":{"subject":"","project_id":79,"tracker_id":40,"status_id":1,"priority_id":2,"assigned_to_id":338,"start_date":"2018-01-04","description":"","custom_fields":[{"id":1,"name":"Subdivision","value":"EC"},{"id":4,"name":"Milepost","value":"0.017"},{"id":17,"name":"Train ID","value":"164-04"},{"id":16,"name":"Locomotive ID","value":"4063"},{"id":130,"name":"Impact","value":""},{"id":150,"name":"Time of Event (Mountain Time)","value":"13:02:03"},{"id":151,"name":"Denver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4063 --day 2018-01-04</v>
      </c>
      <c r="AN76" s="241" t="str">
        <f t="shared" si="8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20:02:03"},{"id":29,"name":"Sharepoint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-04T11:20:17-0700',mode:absolute,to:'2018-01-04T14:02:03-0700'))&amp;_a=(columns:!('Message%20ID',Summary),filters:!(),index:'emp_*',interval:auto,query:(query_string:(analyze_wildcard:!t,query:'%22rtdc.l.rtdc.4063%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790</v>
      </c>
      <c r="B77" s="225">
        <v>4052</v>
      </c>
      <c r="C77" s="227" t="s">
        <v>192</v>
      </c>
      <c r="D77" s="227" t="s">
        <v>961</v>
      </c>
      <c r="E77" s="226">
        <v>43104.486990740741</v>
      </c>
      <c r="F77" s="226">
        <v>43104.489756944444</v>
      </c>
      <c r="G77" s="225">
        <v>73</v>
      </c>
      <c r="H77" s="227" t="s">
        <v>962</v>
      </c>
      <c r="I77" s="226">
        <v>43104.514328703706</v>
      </c>
      <c r="J77" s="225">
        <v>0</v>
      </c>
      <c r="K77" s="237" t="str">
        <f>IF(ISEVEN(B77),(B77-1)&amp;"/"&amp;B77,B77&amp;"/"&amp;(B77+1))</f>
        <v>4051/4052</v>
      </c>
      <c r="L77" s="245" t="str">
        <f>VLOOKUP(A77,'Trips&amp;Operators'!$C$1:$G$99911,5,FALSE)</f>
        <v>LEVIN SCOTT</v>
      </c>
      <c r="M77" s="224">
        <f>I77-F77</f>
        <v>2.457175926247146E-2</v>
      </c>
      <c r="N77" s="225">
        <f>24*60*SUM($M77:$M77)</f>
        <v>35.383333337958902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-04T10:41:16-0700',mode:absolute,to:'2018-01-04T13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5.0900000000000001E-2</v>
      </c>
      <c r="Z77" s="247">
        <f>RIGHT(H77,LEN(H77)-4)/10000</f>
        <v>23.333600000000001</v>
      </c>
      <c r="AA77" s="247">
        <f>ABS(Z77-Y77)</f>
        <v>23.282700000000002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165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s3://rtdc.mdm.uploadarchive.raw/RTDC4052/ "%USERPROFILE%\AppData\Local\Temp\OnboardLogs"\RTDC4052\2018-01-04 --exclude "*" --recursive --include "*20180104*" &amp; "%USERPROFILE%\Documents\GitHub\mrs-test-scripts\Headless Mode &amp; Sideloading\WalkAndUnGZ.bat" "%USERPROFILE%\AppData\Local\Temp\OnboardLogs"\RTDC4052\2018-01-04 &amp; 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/stypes="app*4052*20180104*"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ref="AH77:AH142" si="1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165-04 --locoid 4052 --swversion DE.1.0.9.0 --startMP 204:509 --initTime 2018-01-04T11:41:16 --startdatetime 2018-01-04T11:45:15 --delay 73 --endMP 204:233336 --enddatetime 2018-01-04T12:20:38 --enforcementcount 0 &gt;&gt;%USERPROFILE%\Documents\GitHub\eaglep3-reporting\EC\2018-01-04-refined-times.txt</v>
      </c>
      <c r="AI77" s="238" t="str">
        <f t="shared" ref="AI77:AI142" si="1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{"issue":{"subject":"","project_id":79,"tracker_id":40,"status_id":1,"priority_id":2,"assigned_to_id":338,"start_date":"2018-01-04","description":"","custom_fields":[{"id":1,"name":"Subdivision","value":"EC"},{"id":4,"name":"Milepost","value":"23.3336"},{"id":17,"name":"Train ID","value":"165-04"},{"id":16,"name":"Locomotive ID","value":"4052"},{"id":130,"name":"Impact","value":""},{"id":150,"name":"Time of Event (Mountain Time)","value":"12:20:38"},{"id":151,"name":"Denver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ref="AM77:AM142" si="13">"start /low /b "&amp;dls3logs&amp;" --loco "&amp;B77&amp;" --day "&amp;TEXT(F77,"YYYY-MM-DD")</f>
        <v>start /low /b %USERPROFILE%\Documents\GitHub\eaglep3\Utilities\DownloadLogsFromS3.py --loco 4052 --day 2018-01-04</v>
      </c>
      <c r="AN77" s="241" t="str">
        <f t="shared" ref="AN77:AN142" si="1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ref="AO77:AO142" si="1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-04T10:41:16-0700',mode:absolute,to:'2018-01-04T13:20:38-0700'))&amp;_a=(columns:!('Message%20ID',Summary),filters:!(),index:'emp_*',interval:auto,query:(query_string:(analyze_wildcard:!t,query:'%22rtdc.l.rtdc.4052%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799</v>
      </c>
      <c r="B78" s="225">
        <v>4051</v>
      </c>
      <c r="C78" s="227" t="s">
        <v>192</v>
      </c>
      <c r="D78" s="227" t="s">
        <v>963</v>
      </c>
      <c r="E78" s="226">
        <v>43104.518414351849</v>
      </c>
      <c r="F78" s="226">
        <v>43104.529374999998</v>
      </c>
      <c r="G78" s="225">
        <v>77</v>
      </c>
      <c r="H78" s="227" t="s">
        <v>531</v>
      </c>
      <c r="I78" s="226">
        <v>43104.555081018516</v>
      </c>
      <c r="J78" s="225">
        <v>0</v>
      </c>
      <c r="K78" s="237" t="str">
        <f>IF(ISEVEN(B78),(B78-1)&amp;"/"&amp;B78,B78&amp;"/"&amp;(B78+1))</f>
        <v>4051/4052</v>
      </c>
      <c r="L78" s="245" t="str">
        <f>VLOOKUP(A78,'Trips&amp;Operators'!$C$1:$G$99911,5,FALSE)</f>
        <v>LEVIN SCOTT</v>
      </c>
      <c r="M78" s="224">
        <f>I78-F78</f>
        <v>2.5706018517666962E-2</v>
      </c>
      <c r="N78" s="225">
        <f>24*60*SUM($M78:$M78)</f>
        <v>37.016666665440425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-04T11:26:31-0700',mode:absolute,to:'2018-01-04T14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23.300999999999998</v>
      </c>
      <c r="Z78" s="247">
        <f>RIGHT(H78,LEN(H78)-4)/10000</f>
        <v>1.4500000000000001E-2</v>
      </c>
      <c r="AA78" s="247">
        <f>ABS(Z78-Y78)</f>
        <v>23.286499999999997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166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/stypes="app*4051*20180104*"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si="11"/>
        <v>"%USERPROFILE%\Documents\GitHub\eaglep3\Utilities\RefineRTDCRunTimes.py" --tripid 166-04 --locoid 4051 --swversion DE.1.0.9.0 --startMP 204:233010 --initTime 2018-01-04T12:26:31 --startdatetime 2018-01-04T12:42:18 --delay 77 --endMP 204:145 --enddatetime 2018-01-04T13:19:19 --enforcementcount 0 &gt;&gt;%USERPROFILE%\Documents\GitHub\eaglep3-reporting\EC\2018-01-04-refined-times.txt</v>
      </c>
      <c r="AI78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{"issue":{"subject":"","project_id":79,"tracker_id":40,"status_id":1,"priority_id":2,"assigned_to_id":338,"start_date":"2018-01-04","description":"","custom_fields":[{"id":1,"name":"Subdivision","value":"EC"},{"id":4,"name":"Milepost","value":"0.0145"},{"id":17,"name":"Train ID","value":"166-04"},{"id":16,"name":"Locomotive ID","value":"4051"},{"id":130,"name":"Impact","value":""},{"id":150,"name":"Time of Event (Mountain Time)","value":"13:19:19"},{"id":151,"name":"Denver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13"/>
        <v>start /low /b %USERPROFILE%\Documents\GitHub\eaglep3\Utilities\DownloadLogsFromS3.py --loco 4051 --day 2018-01-04</v>
      </c>
      <c r="AN7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15"/>
        <v>https://d0f6bd738d7f1b3e5a7ca70fe4ff75f0.us-east-1.aws.found.io/app/kibana#/discover/Steve-Slow-Train-Analysis-(2080s-and-2083s)?_g=(refreshInterval:(display:Off,pause:!f,section:0,value:0),time:(from:'2018-01-04T11:26:31-0700',mode:absolute,to:'2018-01-04T14:19:19-0700'))&amp;_a=(columns:!('Message%20ID',Summary),filters:!(),index:'emp_*',interval:auto,query:(query_string:(analyze_wildcard:!t,query:'%22rtdc.l.rtdc.4051%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793</v>
      </c>
      <c r="B79" s="225">
        <v>4034</v>
      </c>
      <c r="C79" s="227" t="s">
        <v>192</v>
      </c>
      <c r="D79" s="227" t="s">
        <v>505</v>
      </c>
      <c r="E79" s="226">
        <v>43104.495763888888</v>
      </c>
      <c r="F79" s="226">
        <v>43104.500150462962</v>
      </c>
      <c r="G79" s="225">
        <v>64</v>
      </c>
      <c r="H79" s="227" t="s">
        <v>964</v>
      </c>
      <c r="I79" s="226">
        <v>43104.524699074071</v>
      </c>
      <c r="J79" s="225">
        <v>0</v>
      </c>
      <c r="K79" s="237" t="str">
        <f>IF(ISEVEN(B79),(B79-1)&amp;"/"&amp;B79,B79&amp;"/"&amp;(B79+1))</f>
        <v>4033/4034</v>
      </c>
      <c r="L79" s="245" t="str">
        <f>VLOOKUP(A79,'Trips&amp;Operators'!$C$1:$G$99911,5,FALSE)</f>
        <v>ROBINSON KADDIBA</v>
      </c>
      <c r="M79" s="224">
        <f>I79-F79</f>
        <v>2.4548611108912155E-2</v>
      </c>
      <c r="N79" s="225">
        <f>24*60*SUM($M79:$M79)</f>
        <v>35.349999996833503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-04T10:53:54-0700',mode:absolute,to:'2018-01-04T13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5.0799999999999998E-2</v>
      </c>
      <c r="Z79" s="247">
        <f>RIGHT(H79,LEN(H79)-4)/10000</f>
        <v>23.331199999999999</v>
      </c>
      <c r="AA79" s="247">
        <f>ABS(Z79-Y79)</f>
        <v>23.2804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167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/stypes="app*4034*20180104*"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1"/>
        <v>"%USERPROFILE%\Documents\GitHub\eaglep3\Utilities\RefineRTDCRunTimes.py" --tripid 167-04 --locoid 4034 --swversion DE.1.0.9.0 --startMP 204:508 --initTime 2018-01-04T11:53:54 --startdatetime 2018-01-04T12:00:13 --delay 64 --endMP 204:233312 --enddatetime 2018-01-04T12:35:34 --enforcementcount 0 &gt;&gt;%USERPROFILE%\Documents\GitHub\eaglep3-reporting\EC\2018-01-04-refined-times.txt</v>
      </c>
      <c r="AI79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{"issue":{"subject":"","project_id":79,"tracker_id":40,"status_id":1,"priority_id":2,"assigned_to_id":338,"start_date":"2018-01-04","description":"","custom_fields":[{"id":1,"name":"Subdivision","value":"EC"},{"id":4,"name":"Milepost","value":"23.3312"},{"id":17,"name":"Train ID","value":"167-04"},{"id":16,"name":"Locomotive ID","value":"4034"},{"id":130,"name":"Impact","value":""},{"id":150,"name":"Time of Event (Mountain Time)","value":"12:35:34"},{"id":151,"name":"Denver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3"/>
        <v>start /low /b %USERPROFILE%\Documents\GitHub\eaglep3\Utilities\DownloadLogsFromS3.py --loco 4034 --day 2018-01-04</v>
      </c>
      <c r="AN79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5"/>
        <v>https://d0f6bd738d7f1b3e5a7ca70fe4ff75f0.us-east-1.aws.found.io/app/kibana#/discover/Steve-Slow-Train-Analysis-(2080s-and-2083s)?_g=(refreshInterval:(display:Off,pause:!f,section:0,value:0),time:(from:'2018-01-04T10:53:54-0700',mode:absolute,to:'2018-01-04T13:35:34-0700'))&amp;_a=(columns:!('Message%20ID',Summary),filters:!(),index:'emp_*',interval:auto,query:(query_string:(analyze_wildcard:!t,query:'%22rtdc.l.rtdc.4034%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668</v>
      </c>
      <c r="B80" s="225">
        <v>4033</v>
      </c>
      <c r="C80" s="227" t="s">
        <v>192</v>
      </c>
      <c r="D80" s="227" t="s">
        <v>944</v>
      </c>
      <c r="E80" s="226">
        <v>43104.535740740743</v>
      </c>
      <c r="F80" s="226">
        <v>43104.53979166667</v>
      </c>
      <c r="G80" s="225">
        <v>78</v>
      </c>
      <c r="H80" s="227" t="s">
        <v>503</v>
      </c>
      <c r="I80" s="226">
        <v>43104.56689814815</v>
      </c>
      <c r="J80" s="225">
        <v>0</v>
      </c>
      <c r="K80" s="237" t="str">
        <f>IF(ISEVEN(B80),(B80-1)&amp;"/"&amp;B80,B80&amp;"/"&amp;(B80+1))</f>
        <v>4033/4034</v>
      </c>
      <c r="L80" s="245" t="str">
        <f>VLOOKUP(A80,'Trips&amp;Operators'!$C$1:$G$99911,5,FALSE)</f>
        <v>ROBINSON KADDIBA</v>
      </c>
      <c r="M80" s="224">
        <f>I80-F80</f>
        <v>2.7106481480586808E-2</v>
      </c>
      <c r="N80" s="225">
        <f>24*60*SUM($M80:$M80)</f>
        <v>39.033333332045004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-04T11:51:28-0700',mode:absolute,to:'2018-01-04T14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23.2986</v>
      </c>
      <c r="Z80" s="247">
        <f>RIGHT(H80,LEN(H80)-4)/10000</f>
        <v>2.0899999999999998E-2</v>
      </c>
      <c r="AA80" s="247">
        <f>ABS(Z80-Y80)</f>
        <v>23.277699999999999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168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/stypes="app*4033*20180104*"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1"/>
        <v>"%USERPROFILE%\Documents\GitHub\eaglep3\Utilities\RefineRTDCRunTimes.py" --tripid 168-04 --locoid 4033 --swversion DE.1.0.9.0 --startMP 204:232986 --initTime 2018-01-04T12:51:28 --startdatetime 2018-01-04T12:57:18 --delay 78 --endMP 204:209 --enddatetime 2018-01-04T13:36:20 --enforcementcount 0 &gt;&gt;%USERPROFILE%\Documents\GitHub\eaglep3-reporting\EC\2018-01-04-refined-times.txt</v>
      </c>
      <c r="AI80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{"issue":{"subject":"","project_id":79,"tracker_id":40,"status_id":1,"priority_id":2,"assigned_to_id":338,"start_date":"2018-01-04","description":"","custom_fields":[{"id":1,"name":"Subdivision","value":"EC"},{"id":4,"name":"Milepost","value":"0.0209"},{"id":17,"name":"Train ID","value":"168-04"},{"id":16,"name":"Locomotive ID","value":"4033"},{"id":130,"name":"Impact","value":""},{"id":150,"name":"Time of Event (Mountain Time)","value":"13:36:20"},{"id":151,"name":"Denver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3"/>
        <v>start /low /b %USERPROFILE%\Documents\GitHub\eaglep3\Utilities\DownloadLogsFromS3.py --loco 4033 --day 2018-01-04</v>
      </c>
      <c r="AN80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5"/>
        <v>https://d0f6bd738d7f1b3e5a7ca70fe4ff75f0.us-east-1.aws.found.io/app/kibana#/discover/Steve-Slow-Train-Analysis-(2080s-and-2083s)?_g=(refreshInterval:(display:Off,pause:!f,section:0,value:0),time:(from:'2018-01-04T11:51:28-0700',mode:absolute,to:'2018-01-04T14:36:20-0700'))&amp;_a=(columns:!('Message%20ID',Summary),filters:!(),index:'emp_*',interval:auto,query:(query_string:(analyze_wildcard:!t,query:'%22rtdc.l.rtdc.4033%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796</v>
      </c>
      <c r="B81" s="225">
        <v>4032</v>
      </c>
      <c r="C81" s="227" t="s">
        <v>192</v>
      </c>
      <c r="D81" s="227" t="s">
        <v>504</v>
      </c>
      <c r="E81" s="226">
        <v>43104.50545138889</v>
      </c>
      <c r="F81" s="226">
        <v>43104.510601851849</v>
      </c>
      <c r="G81" s="225">
        <v>99</v>
      </c>
      <c r="H81" s="227" t="s">
        <v>608</v>
      </c>
      <c r="I81" s="226">
        <v>43104.535891203705</v>
      </c>
      <c r="J81" s="225">
        <v>0</v>
      </c>
      <c r="K81" s="237" t="str">
        <f>IF(ISEVEN(B81),(B81-1)&amp;"/"&amp;B81,B81&amp;"/"&amp;(B81+1))</f>
        <v>4031/4032</v>
      </c>
      <c r="L81" s="245" t="str">
        <f>VLOOKUP(A81,'Trips&amp;Operators'!$C$1:$G$99911,5,FALSE)</f>
        <v>LEVERE CRAIG</v>
      </c>
      <c r="M81" s="224">
        <f>I81-F81</f>
        <v>2.5289351855462883E-2</v>
      </c>
      <c r="N81" s="225">
        <f>24*60*SUM($M81:$M81)</f>
        <v>36.416666671866551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-04T11:07:51-0700',mode:absolute,to:'2018-01-04T13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4.8000000000000001E-2</v>
      </c>
      <c r="Z81" s="247">
        <f>RIGHT(H81,LEN(H81)-4)/10000</f>
        <v>23.331499999999998</v>
      </c>
      <c r="AA81" s="247">
        <f>ABS(Z81-Y81)</f>
        <v>23.2835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169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/stypes="app*4032*20180104*"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1"/>
        <v>"%USERPROFILE%\Documents\GitHub\eaglep3\Utilities\RefineRTDCRunTimes.py" --tripid 169-04 --locoid 4032 --swversion DE.1.0.9.0 --startMP 204:480 --initTime 2018-01-04T12:07:51 --startdatetime 2018-01-04T12:15:16 --delay 99 --endMP 204:233315 --enddatetime 2018-01-04T12:51:41 --enforcementcount 0 &gt;&gt;%USERPROFILE%\Documents\GitHub\eaglep3-reporting\EC\2018-01-04-refined-times.txt</v>
      </c>
      <c r="AI81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{"issue":{"subject":"","project_id":79,"tracker_id":40,"status_id":1,"priority_id":2,"assigned_to_id":338,"start_date":"2018-01-04","description":"","custom_fields":[{"id":1,"name":"Subdivision","value":"EC"},{"id":4,"name":"Milepost","value":"23.3315"},{"id":17,"name":"Train ID","value":"169-04"},{"id":16,"name":"Locomotive ID","value":"4032"},{"id":130,"name":"Impact","value":""},{"id":150,"name":"Time of Event (Mountain Time)","value":"12:51:41"},{"id":151,"name":"Denver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3"/>
        <v>start /low /b %USERPROFILE%\Documents\GitHub\eaglep3\Utilities\DownloadLogsFromS3.py --loco 4032 --day 2018-01-04</v>
      </c>
      <c r="AN81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5"/>
        <v>https://d0f6bd738d7f1b3e5a7ca70fe4ff75f0.us-east-1.aws.found.io/app/kibana#/discover/Steve-Slow-Train-Analysis-(2080s-and-2083s)?_g=(refreshInterval:(display:Off,pause:!f,section:0,value:0),time:(from:'2018-01-04T11:07:51-0700',mode:absolute,to:'2018-01-04T13:51:41-0700'))&amp;_a=(columns:!('Message%20ID',Summary),filters:!(),index:'emp_*',interval:auto,query:(query_string:(analyze_wildcard:!t,query:'%22rtdc.l.rtdc.4032%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803</v>
      </c>
      <c r="B82" s="225">
        <v>4031</v>
      </c>
      <c r="C82" s="227" t="s">
        <v>192</v>
      </c>
      <c r="D82" s="227" t="s">
        <v>610</v>
      </c>
      <c r="E82" s="226">
        <v>43104.542118055557</v>
      </c>
      <c r="F82" s="226">
        <v>43104.550243055557</v>
      </c>
      <c r="G82" s="225">
        <v>84</v>
      </c>
      <c r="H82" s="227" t="s">
        <v>965</v>
      </c>
      <c r="I82" s="226">
        <v>43104.576412037037</v>
      </c>
      <c r="J82" s="225">
        <v>0</v>
      </c>
      <c r="K82" s="237" t="str">
        <f>IF(ISEVEN(B82),(B82-1)&amp;"/"&amp;B82,B82&amp;"/"&amp;(B82+1))</f>
        <v>4031/4032</v>
      </c>
      <c r="L82" s="245" t="str">
        <f>VLOOKUP(A82,'Trips&amp;Operators'!$C$1:$G$99911,5,FALSE)</f>
        <v>LEVERE CRAIG</v>
      </c>
      <c r="M82" s="224">
        <f>I82-F82</f>
        <v>2.6168981479713693E-2</v>
      </c>
      <c r="N82" s="225">
        <f>24*60*SUM($M82:$M82)</f>
        <v>37.683333330787718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-04T12:00:39-0700',mode:absolute,to:'2018-01-04T14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23.2972</v>
      </c>
      <c r="Z82" s="247">
        <f>RIGHT(H82,LEN(H82)-4)/10000</f>
        <v>2.4899999999999999E-2</v>
      </c>
      <c r="AA82" s="247">
        <f>ABS(Z82-Y82)</f>
        <v>23.272300000000001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170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s3://rtdc.mdm.uploadarchive.raw/RTDC4031/ "%USERPROFILE%\AppData\Local\Temp\OnboardLogs"\RTDC4031\2018-01-04 --exclude "*" --recursive --include "*20180104*" &amp; "%USERPROFILE%\Documents\GitHub\mrs-test-scripts\Headless Mode &amp; Sideloading\WalkAndUnGZ.bat" "%USERPROFILE%\AppData\Local\Temp\OnboardLogs"\RTDC4031\2018-01-04 &amp; aws s3 cp s3://rtdc.mdm.uploadarchive.raw/RTDC4031/ "%USERPROFILE%\AppData\Local\Temp\OnboardLogs"\RTDC4031\2018-01-05 --exclude "*" --recursive --include "*20180105*" &amp; "%USERPROFILE%\Documents\GitHub\mrs-test-scripts\Headless Mode &amp; Sideloading\WalkAndUnGZ.bat" "%USERPROFILE%\AppData\Local\Temp\OnboardLogs"\RTDC4031\2018-01-05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/stypes="app*4031*20180104*"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1"/>
        <v>"%USERPROFILE%\Documents\GitHub\eaglep3\Utilities\RefineRTDCRunTimes.py" --tripid 170-04 --locoid 4031 --swversion DE.1.0.9.0 --startMP 204:232972 --initTime 2018-01-04T13:00:39 --startdatetime 2018-01-04T13:12:21 --delay 84 --endMP 204:249 --enddatetime 2018-01-04T13:50:02 --enforcementcount 0 &gt;&gt;%USERPROFILE%\Documents\GitHub\eaglep3-reporting\EC\2018-01-04-refined-times.txt</v>
      </c>
      <c r="AI82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{"issue":{"subject":"","project_id":79,"tracker_id":40,"status_id":1,"priority_id":2,"assigned_to_id":338,"start_date":"2018-01-04","description":"","custom_fields":[{"id":1,"name":"Subdivision","value":"EC"},{"id":4,"name":"Milepost","value":"0.0249"},{"id":17,"name":"Train ID","value":"170-04"},{"id":16,"name":"Locomotive ID","value":"4031"},{"id":130,"name":"Impact","value":""},{"id":150,"name":"Time of Event (Mountain Time)","value":"13:50:02"},{"id":151,"name":"Denver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3"/>
        <v>start /low /b %USERPROFILE%\Documents\GitHub\eaglep3\Utilities\DownloadLogsFromS3.py --loco 4031 --day 2018-01-04</v>
      </c>
      <c r="AN8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5"/>
        <v>https://d0f6bd738d7f1b3e5a7ca70fe4ff75f0.us-east-1.aws.found.io/app/kibana#/discover/Steve-Slow-Train-Analysis-(2080s-and-2083s)?_g=(refreshInterval:(display:Off,pause:!f,section:0,value:0),time:(from:'2018-01-04T12:00:39-0700',mode:absolute,to:'2018-01-04T14:50:02-0700'))&amp;_a=(columns:!('Message%20ID',Summary),filters:!(),index:'emp_*',interval:auto,query:(query_string:(analyze_wildcard:!t,query:'%22rtdc.l.rtdc.4031%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800</v>
      </c>
      <c r="B83" s="225">
        <v>4018</v>
      </c>
      <c r="C83" s="227" t="s">
        <v>192</v>
      </c>
      <c r="D83" s="227" t="s">
        <v>617</v>
      </c>
      <c r="E83" s="226">
        <v>43104.51766203704</v>
      </c>
      <c r="F83" s="226">
        <v>43104.521018518521</v>
      </c>
      <c r="G83" s="225">
        <v>150</v>
      </c>
      <c r="H83" s="227" t="s">
        <v>620</v>
      </c>
      <c r="I83" s="226">
        <v>43104.5465625</v>
      </c>
      <c r="J83" s="225">
        <v>0</v>
      </c>
      <c r="K83" s="237" t="str">
        <f>IF(ISEVEN(B83),(B83-1)&amp;"/"&amp;B83,B83&amp;"/"&amp;(B83+1))</f>
        <v>4017/4018</v>
      </c>
      <c r="L83" s="245" t="str">
        <f>VLOOKUP(A83,'Trips&amp;Operators'!$C$1:$G$99911,5,FALSE)</f>
        <v>BADERTSCHER DIANE</v>
      </c>
      <c r="M83" s="224">
        <f>I83-F83</f>
        <v>2.5543981479131617E-2</v>
      </c>
      <c r="N83" s="225">
        <f>24*60*SUM($M83:$M83)</f>
        <v>36.783333329949528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-04T11:25:26-0700',mode:absolute,to:'2018-01-04T14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5.04E-2</v>
      </c>
      <c r="Z83" s="247">
        <f>RIGHT(H83,LEN(H83)-4)/10000</f>
        <v>23.3245</v>
      </c>
      <c r="AA83" s="247">
        <f>ABS(Z83-Y83)</f>
        <v>23.274100000000001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171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/stypes="app*4018*20180104*"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1"/>
        <v>"%USERPROFILE%\Documents\GitHub\eaglep3\Utilities\RefineRTDCRunTimes.py" --tripid 171-04 --locoid 4018 --swversion DE.1.0.9.0 --startMP 204:504 --initTime 2018-01-04T12:25:26 --startdatetime 2018-01-04T12:30:16 --delay 150 --endMP 204:233245 --enddatetime 2018-01-04T13:07:03 --enforcementcount 0 &gt;&gt;%USERPROFILE%\Documents\GitHub\eaglep3-reporting\EC\2018-01-04-refined-times.txt</v>
      </c>
      <c r="AI83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{"issue":{"subject":"","project_id":79,"tracker_id":40,"status_id":1,"priority_id":2,"assigned_to_id":338,"start_date":"2018-01-04","description":"","custom_fields":[{"id":1,"name":"Subdivision","value":"EC"},{"id":4,"name":"Milepost","value":"23.3245"},{"id":17,"name":"Train ID","value":"171-04"},{"id":16,"name":"Locomotive ID","value":"4018"},{"id":130,"name":"Impact","value":""},{"id":150,"name":"Time of Event (Mountain Time)","value":"13:07:03"},{"id":151,"name":"Denver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3"/>
        <v>start /low /b %USERPROFILE%\Documents\GitHub\eaglep3\Utilities\DownloadLogsFromS3.py --loco 4018 --day 2018-01-04</v>
      </c>
      <c r="AN83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5"/>
        <v>https://d0f6bd738d7f1b3e5a7ca70fe4ff75f0.us-east-1.aws.found.io/app/kibana#/discover/Steve-Slow-Train-Analysis-(2080s-and-2083s)?_g=(refreshInterval:(display:Off,pause:!f,section:0,value:0),time:(from:'2018-01-04T11:25:26-0700',mode:absolute,to:'2018-01-04T14:07:03-0700'))&amp;_a=(columns:!('Message%20ID',Summary),filters:!(),index:'emp_*',interval:auto,query:(query_string:(analyze_wildcard:!t,query:'%22rtdc.l.rtdc.4018%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806</v>
      </c>
      <c r="B84" s="225">
        <v>4017</v>
      </c>
      <c r="C84" s="227" t="s">
        <v>192</v>
      </c>
      <c r="D84" s="227" t="s">
        <v>966</v>
      </c>
      <c r="E84" s="226">
        <v>43104.556550925925</v>
      </c>
      <c r="F84" s="226">
        <v>43104.560659722221</v>
      </c>
      <c r="G84" s="225">
        <v>96</v>
      </c>
      <c r="H84" s="227" t="s">
        <v>503</v>
      </c>
      <c r="I84" s="226">
        <v>43104.588368055556</v>
      </c>
      <c r="J84" s="225">
        <v>0</v>
      </c>
      <c r="K84" s="237" t="str">
        <f>IF(ISEVEN(B84),(B84-1)&amp;"/"&amp;B84,B84&amp;"/"&amp;(B84+1))</f>
        <v>4017/4018</v>
      </c>
      <c r="L84" s="245" t="str">
        <f>VLOOKUP(A84,'Trips&amp;Operators'!$C$1:$G$99911,5,FALSE)</f>
        <v>BADERTSCHER DIANE</v>
      </c>
      <c r="M84" s="224">
        <f>I84-F84</f>
        <v>2.7708333334885538E-2</v>
      </c>
      <c r="N84" s="225">
        <f>24*60*SUM($M84:$M84)</f>
        <v>39.900000002235174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-04T12:21:26-0700',mode:absolute,to:'2018-01-04T15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23.291499999999999</v>
      </c>
      <c r="Z84" s="247">
        <f>RIGHT(H84,LEN(H84)-4)/10000</f>
        <v>2.0899999999999998E-2</v>
      </c>
      <c r="AA84" s="247">
        <f>ABS(Z84-Y84)</f>
        <v>23.270599999999998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172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/stypes="app*4017*20180104*" /stext=" 21:.+((SYSTEM_STATE.+slice.+state.+changed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1"/>
        <v>"%USERPROFILE%\Documents\GitHub\eaglep3\Utilities\RefineRTDCRunTimes.py" --tripid 172-04 --locoid 4017 --swversion DE.1.0.9.0 --startMP 204:232915 --initTime 2018-01-04T13:21:26 --startdatetime 2018-01-04T13:27:21 --delay 96 --endMP 204:209 --enddatetime 2018-01-04T14:07:15 --enforcementcount 0 &gt;&gt;%USERPROFILE%\Documents\GitHub\eaglep3-reporting\EC\2018-01-04-refined-times.txt</v>
      </c>
      <c r="AI84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{"issue":{"subject":"","project_id":79,"tracker_id":40,"status_id":1,"priority_id":2,"assigned_to_id":338,"start_date":"2018-01-04","description":"","custom_fields":[{"id":1,"name":"Subdivision","value":"EC"},{"id":4,"name":"Milepost","value":"0.0209"},{"id":17,"name":"Train ID","value":"172-04"},{"id":16,"name":"Locomotive ID","value":"4017"},{"id":130,"name":"Impact","value":""},{"id":150,"name":"Time of Event (Mountain Time)","value":"14:07:15"},{"id":151,"name":"Denver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3"/>
        <v>start /low /b %USERPROFILE%\Documents\GitHub\eaglep3\Utilities\DownloadLogsFromS3.py --loco 4017 --day 2018-01-04</v>
      </c>
      <c r="AN84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5"/>
        <v>https://d0f6bd738d7f1b3e5a7ca70fe4ff75f0.us-east-1.aws.found.io/app/kibana#/discover/Steve-Slow-Train-Analysis-(2080s-and-2083s)?_g=(refreshInterval:(display:Off,pause:!f,section:0,value:0),time:(from:'2018-01-04T12:21:26-0700',mode:absolute,to:'2018-01-04T15:07:15-0700'))&amp;_a=(columns:!('Message%20ID',Summary),filters:!(),index:'emp_*',interval:auto,query:(query_string:(analyze_wildcard:!t,query:'%22rtdc.l.rtdc.4017%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801</v>
      </c>
      <c r="B85" s="225">
        <v>4044</v>
      </c>
      <c r="C85" s="227" t="s">
        <v>192</v>
      </c>
      <c r="D85" s="227" t="s">
        <v>617</v>
      </c>
      <c r="E85" s="226">
        <v>43104.527858796297</v>
      </c>
      <c r="F85" s="226">
        <v>43104.531493055554</v>
      </c>
      <c r="G85" s="225">
        <v>58</v>
      </c>
      <c r="H85" s="227" t="s">
        <v>621</v>
      </c>
      <c r="I85" s="226">
        <v>43104.556076388886</v>
      </c>
      <c r="J85" s="225">
        <v>0</v>
      </c>
      <c r="K85" s="237" t="str">
        <f>IF(ISEVEN(B85),(B85-1)&amp;"/"&amp;B85,B85&amp;"/"&amp;(B85+1))</f>
        <v>4043/4044</v>
      </c>
      <c r="L85" s="245" t="str">
        <f>VLOOKUP(A85,'Trips&amp;Operators'!$C$1:$G$99911,5,FALSE)</f>
        <v>HOLCOMB KAMDEN</v>
      </c>
      <c r="M85" s="224">
        <f>I85-F85</f>
        <v>2.4583333331975155E-2</v>
      </c>
      <c r="N85" s="225">
        <f>24*60*SUM($M85:$M85)</f>
        <v>35.399999998044223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-04T11:40:07-0700',mode:absolute,to:'2018-01-04T14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5.04E-2</v>
      </c>
      <c r="Z85" s="247">
        <f>RIGHT(H85,LEN(H85)-4)/10000</f>
        <v>23.323799999999999</v>
      </c>
      <c r="AA85" s="247">
        <f>ABS(Z85-Y85)</f>
        <v>23.273399999999999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173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/stypes="app*4044*20180104*"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1"/>
        <v>"%USERPROFILE%\Documents\GitHub\eaglep3\Utilities\RefineRTDCRunTimes.py" --tripid 173-04 --locoid 4044 --swversion DE.1.0.9.0 --startMP 204:504 --initTime 2018-01-04T12:40:07 --startdatetime 2018-01-04T12:45:21 --delay 58 --endMP 204:233238 --enddatetime 2018-01-04T13:20:45 --enforcementcount 0 &gt;&gt;%USERPROFILE%\Documents\GitHub\eaglep3-reporting\EC\2018-01-04-refined-times.txt</v>
      </c>
      <c r="AI85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{"issue":{"subject":"","project_id":79,"tracker_id":40,"status_id":1,"priority_id":2,"assigned_to_id":338,"start_date":"2018-01-04","description":"","custom_fields":[{"id":1,"name":"Subdivision","value":"EC"},{"id":4,"name":"Milepost","value":"23.3238"},{"id":17,"name":"Train ID","value":"173-04"},{"id":16,"name":"Locomotive ID","value":"4044"},{"id":130,"name":"Impact","value":""},{"id":150,"name":"Time of Event (Mountain Time)","value":"13:20:45"},{"id":151,"name":"Denver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3"/>
        <v>start /low /b %USERPROFILE%\Documents\GitHub\eaglep3\Utilities\DownloadLogsFromS3.py --loco 4044 --day 2018-01-04</v>
      </c>
      <c r="AN85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5"/>
        <v>https://d0f6bd738d7f1b3e5a7ca70fe4ff75f0.us-east-1.aws.found.io/app/kibana#/discover/Steve-Slow-Train-Analysis-(2080s-and-2083s)?_g=(refreshInterval:(display:Off,pause:!f,section:0,value:0),time:(from:'2018-01-04T11:40:07-0700',mode:absolute,to:'2018-01-04T14:20:45-0700'))&amp;_a=(columns:!('Message%20ID',Summary),filters:!(),index:'emp_*',interval:auto,query:(query_string:(analyze_wildcard:!t,query:'%22rtdc.l.rtdc.4044%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809</v>
      </c>
      <c r="B86" s="225">
        <v>4043</v>
      </c>
      <c r="C86" s="227" t="s">
        <v>192</v>
      </c>
      <c r="D86" s="227" t="s">
        <v>967</v>
      </c>
      <c r="E86" s="226">
        <v>43104.567546296297</v>
      </c>
      <c r="F86" s="226">
        <v>43104.571284722224</v>
      </c>
      <c r="G86" s="225">
        <v>57</v>
      </c>
      <c r="H86" s="227" t="s">
        <v>469</v>
      </c>
      <c r="I86" s="226">
        <v>43104.598622685182</v>
      </c>
      <c r="J86" s="225">
        <v>0</v>
      </c>
      <c r="K86" s="237" t="str">
        <f>IF(ISEVEN(B86),(B86-1)&amp;"/"&amp;B86,B86&amp;"/"&amp;(B86+1))</f>
        <v>4043/4044</v>
      </c>
      <c r="L86" s="245" t="str">
        <f>VLOOKUP(A86,'Trips&amp;Operators'!$C$1:$G$99911,5,FALSE)</f>
        <v>HOLCOMB KAMDEN</v>
      </c>
      <c r="M86" s="224">
        <f>I86-F86</f>
        <v>2.7337962957972195E-2</v>
      </c>
      <c r="N86" s="225">
        <f>24*60*SUM($M86:$M86)</f>
        <v>39.366666659479961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-04T12:37:16-0700',mode:absolute,to:'2018-01-04T15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23.2928</v>
      </c>
      <c r="Z86" s="247">
        <f>RIGHT(H86,LEN(H86)-4)/10000</f>
        <v>2.2499999999999999E-2</v>
      </c>
      <c r="AA86" s="247">
        <f>ABS(Z86-Y86)</f>
        <v>23.270299999999999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174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/stypes="app*4043*20180104*"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1"/>
        <v>"%USERPROFILE%\Documents\GitHub\eaglep3\Utilities\RefineRTDCRunTimes.py" --tripid 174-04 --locoid 4043 --swversion DE.1.0.9.0 --startMP 204:232928 --initTime 2018-01-04T13:37:16 --startdatetime 2018-01-04T13:42:39 --delay 57 --endMP 204:225 --enddatetime 2018-01-04T14:22:01 --enforcementcount 0 &gt;&gt;%USERPROFILE%\Documents\GitHub\eaglep3-reporting\EC\2018-01-04-refined-times.txt</v>
      </c>
      <c r="AI86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{"issue":{"subject":"","project_id":79,"tracker_id":40,"status_id":1,"priority_id":2,"assigned_to_id":338,"start_date":"2018-01-04","description":"","custom_fields":[{"id":1,"name":"Subdivision","value":"EC"},{"id":4,"name":"Milepost","value":"0.0225"},{"id":17,"name":"Train ID","value":"174-04"},{"id":16,"name":"Locomotive ID","value":"4043"},{"id":130,"name":"Impact","value":""},{"id":150,"name":"Time of Event (Mountain Time)","value":"14:22:01"},{"id":151,"name":"Denver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3"/>
        <v>start /low /b %USERPROFILE%\Documents\GitHub\eaglep3\Utilities\DownloadLogsFromS3.py --loco 4043 --day 2018-01-04</v>
      </c>
      <c r="AN86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5"/>
        <v>https://d0f6bd738d7f1b3e5a7ca70fe4ff75f0.us-east-1.aws.found.io/app/kibana#/discover/Steve-Slow-Train-Analysis-(2080s-and-2083s)?_g=(refreshInterval:(display:Off,pause:!f,section:0,value:0),time:(from:'2018-01-04T12:37:16-0700',mode:absolute,to:'2018-01-04T15:22:01-0700'))&amp;_a=(columns:!('Message%20ID',Summary),filters:!(),index:'emp_*',interval:auto,query:(query_string:(analyze_wildcard:!t,query:'%22rtdc.l.rtdc.4043%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802</v>
      </c>
      <c r="B87" s="225">
        <v>4046</v>
      </c>
      <c r="C87" s="227" t="s">
        <v>192</v>
      </c>
      <c r="D87" s="227" t="s">
        <v>623</v>
      </c>
      <c r="E87" s="226">
        <v>43104.538310185184</v>
      </c>
      <c r="F87" s="226">
        <v>43104.541851851849</v>
      </c>
      <c r="G87" s="225">
        <v>82</v>
      </c>
      <c r="H87" s="227" t="s">
        <v>968</v>
      </c>
      <c r="I87" s="226">
        <v>43104.56722222222</v>
      </c>
      <c r="J87" s="225">
        <v>0</v>
      </c>
      <c r="K87" s="237" t="str">
        <f>IF(ISEVEN(B87),(B87-1)&amp;"/"&amp;B87,B87&amp;"/"&amp;(B87+1))</f>
        <v>4045/4046</v>
      </c>
      <c r="L87" s="245" t="str">
        <f>VLOOKUP(A87,'Trips&amp;Operators'!$C$1:$G$99911,5,FALSE)</f>
        <v>BRUDER RICHARD</v>
      </c>
      <c r="M87" s="224">
        <f>I87-F87</f>
        <v>2.5370370371092577E-2</v>
      </c>
      <c r="N87" s="225">
        <f>24*60*SUM($M87:$M87)</f>
        <v>36.53333333437331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-04T11:55:10-0700',mode:absolute,to:'2018-01-04T14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5.3900000000000003E-2</v>
      </c>
      <c r="Z87" s="247">
        <f>RIGHT(H87,LEN(H87)-4)/10000</f>
        <v>23.322199999999999</v>
      </c>
      <c r="AA87" s="247">
        <f>ABS(Z87-Y87)</f>
        <v>23.2683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175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/stypes="app*4046*20180104*"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1"/>
        <v>"%USERPROFILE%\Documents\GitHub\eaglep3\Utilities\RefineRTDCRunTimes.py" --tripid 175-04 --locoid 4046 --swversion DE.1.0.9.0 --startMP 204:539 --initTime 2018-01-04T12:55:10 --startdatetime 2018-01-04T13:00:16 --delay 82 --endMP 204:233222 --enddatetime 2018-01-04T13:36:48 --enforcementcount 0 &gt;&gt;%USERPROFILE%\Documents\GitHub\eaglep3-reporting\EC\2018-01-04-refined-times.txt</v>
      </c>
      <c r="AI87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{"issue":{"subject":"","project_id":79,"tracker_id":40,"status_id":1,"priority_id":2,"assigned_to_id":338,"start_date":"2018-01-04","description":"","custom_fields":[{"id":1,"name":"Subdivision","value":"EC"},{"id":4,"name":"Milepost","value":"23.3222"},{"id":17,"name":"Train ID","value":"175-04"},{"id":16,"name":"Locomotive ID","value":"4046"},{"id":130,"name":"Impact","value":""},{"id":150,"name":"Time of Event (Mountain Time)","value":"13:36:48"},{"id":151,"name":"Denver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3"/>
        <v>start /low /b %USERPROFILE%\Documents\GitHub\eaglep3\Utilities\DownloadLogsFromS3.py --loco 4046 --day 2018-01-04</v>
      </c>
      <c r="AN87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5"/>
        <v>https://d0f6bd738d7f1b3e5a7ca70fe4ff75f0.us-east-1.aws.found.io/app/kibana#/discover/Steve-Slow-Train-Analysis-(2080s-and-2083s)?_g=(refreshInterval:(display:Off,pause:!f,section:0,value:0),time:(from:'2018-01-04T11:55:10-0700',mode:absolute,to:'2018-01-04T14:36:48-0700'))&amp;_a=(columns:!('Message%20ID',Summary),filters:!(),index:'emp_*',interval:auto,query:(query_string:(analyze_wildcard:!t,query:'%22rtdc.l.rtdc.4046%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811</v>
      </c>
      <c r="B88" s="225">
        <v>4045</v>
      </c>
      <c r="C88" s="227" t="s">
        <v>192</v>
      </c>
      <c r="D88" s="227" t="s">
        <v>969</v>
      </c>
      <c r="E88" s="226">
        <v>43104.578275462962</v>
      </c>
      <c r="F88" s="226">
        <v>43104.581585648149</v>
      </c>
      <c r="G88" s="225">
        <v>72</v>
      </c>
      <c r="H88" s="227" t="s">
        <v>562</v>
      </c>
      <c r="I88" s="226">
        <v>43104.609247685185</v>
      </c>
      <c r="J88" s="225">
        <v>0</v>
      </c>
      <c r="K88" s="237" t="str">
        <f>IF(ISEVEN(B88),(B88-1)&amp;"/"&amp;B88,B88&amp;"/"&amp;(B88+1))</f>
        <v>4045/4046</v>
      </c>
      <c r="L88" s="245" t="str">
        <f>VLOOKUP(A88,'Trips&amp;Operators'!$C$1:$G$99911,5,FALSE)</f>
        <v>BRUDER RICHARD</v>
      </c>
      <c r="M88" s="224">
        <f>I88-F88</f>
        <v>2.7662037035042886E-2</v>
      </c>
      <c r="N88" s="225">
        <f>24*60*SUM($M88:$M88)</f>
        <v>39.833333330461755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-04T12:52:43-0700',mode:absolute,to:'2018-01-04T15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23.2879</v>
      </c>
      <c r="Z88" s="247">
        <f>RIGHT(H88,LEN(H88)-4)/10000</f>
        <v>2.2100000000000002E-2</v>
      </c>
      <c r="AA88" s="247">
        <f>ABS(Z88-Y88)</f>
        <v>23.265800000000002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176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/stypes="app*4045*20180104*"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1"/>
        <v>"%USERPROFILE%\Documents\GitHub\eaglep3\Utilities\RefineRTDCRunTimes.py" --tripid 176-04 --locoid 4045 --swversion DE.1.0.9.0 --startMP 204:232879 --initTime 2018-01-04T13:52:43 --startdatetime 2018-01-04T13:57:29 --delay 72 --endMP 204:221 --enddatetime 2018-01-04T14:37:19 --enforcementcount 0 &gt;&gt;%USERPROFILE%\Documents\GitHub\eaglep3-reporting\EC\2018-01-04-refined-times.txt</v>
      </c>
      <c r="AI88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{"issue":{"subject":"","project_id":79,"tracker_id":40,"status_id":1,"priority_id":2,"assigned_to_id":338,"start_date":"2018-01-04","description":"","custom_fields":[{"id":1,"name":"Subdivision","value":"EC"},{"id":4,"name":"Milepost","value":"0.0221"},{"id":17,"name":"Train ID","value":"176-04"},{"id":16,"name":"Locomotive ID","value":"4045"},{"id":130,"name":"Impact","value":""},{"id":150,"name":"Time of Event (Mountain Time)","value":"14:37:19"},{"id":151,"name":"Denver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3"/>
        <v>start /low /b %USERPROFILE%\Documents\GitHub\eaglep3\Utilities\DownloadLogsFromS3.py --loco 4045 --day 2018-01-04</v>
      </c>
      <c r="AN8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5"/>
        <v>https://d0f6bd738d7f1b3e5a7ca70fe4ff75f0.us-east-1.aws.found.io/app/kibana#/discover/Steve-Slow-Train-Analysis-(2080s-and-2083s)?_g=(refreshInterval:(display:Off,pause:!f,section:0,value:0),time:(from:'2018-01-04T12:52:43-0700',mode:absolute,to:'2018-01-04T15:37:19-0700'))&amp;_a=(columns:!('Message%20ID',Summary),filters:!(),index:'emp_*',interval:auto,query:(query_string:(analyze_wildcard:!t,query:'%22rtdc.l.rtdc.4045%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805</v>
      </c>
      <c r="B89" s="225">
        <v>4064</v>
      </c>
      <c r="C89" s="227" t="s">
        <v>192</v>
      </c>
      <c r="D89" s="227" t="s">
        <v>622</v>
      </c>
      <c r="E89" s="226">
        <v>43104.54886574074</v>
      </c>
      <c r="F89" s="226">
        <v>43104.552395833336</v>
      </c>
      <c r="G89" s="225">
        <v>55</v>
      </c>
      <c r="H89" s="227" t="s">
        <v>490</v>
      </c>
      <c r="I89" s="226">
        <v>43104.577256944445</v>
      </c>
      <c r="J89" s="225">
        <v>0</v>
      </c>
      <c r="K89" s="237" t="str">
        <f>IF(ISEVEN(B89),(B89-1)&amp;"/"&amp;B89,B89&amp;"/"&amp;(B89+1))</f>
        <v>4063/4064</v>
      </c>
      <c r="L89" s="245" t="str">
        <f>VLOOKUP(A89,'Trips&amp;Operators'!$C$1:$G$99911,5,FALSE)</f>
        <v>STEWART MICHAEL</v>
      </c>
      <c r="M89" s="224">
        <f>I89-F89</f>
        <v>2.4861111109203193E-2</v>
      </c>
      <c r="N89" s="225">
        <f>24*60*SUM($M89:$M89)</f>
        <v>35.799999997252598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-04T12:10:22-0700',mode:absolute,to:'2018-01-04T14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4.82E-2</v>
      </c>
      <c r="Z89" s="247">
        <f>RIGHT(H89,LEN(H89)-4)/10000</f>
        <v>23.3278</v>
      </c>
      <c r="AA89" s="247">
        <f>ABS(Z89-Y89)</f>
        <v>23.279599999999999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177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/stypes="app*4064*20180104*"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1"/>
        <v>"%USERPROFILE%\Documents\GitHub\eaglep3\Utilities\RefineRTDCRunTimes.py" --tripid 177-04 --locoid 4064 --swversion DE.1.0.9.0 --startMP 204:482 --initTime 2018-01-04T13:10:22 --startdatetime 2018-01-04T13:15:27 --delay 55 --endMP 204:233278 --enddatetime 2018-01-04T13:51:15 --enforcementcount 0 &gt;&gt;%USERPROFILE%\Documents\GitHub\eaglep3-reporting\EC\2018-01-04-refined-times.txt</v>
      </c>
      <c r="AI89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{"issue":{"subject":"","project_id":79,"tracker_id":40,"status_id":1,"priority_id":2,"assigned_to_id":338,"start_date":"2018-01-04","description":"","custom_fields":[{"id":1,"name":"Subdivision","value":"EC"},{"id":4,"name":"Milepost","value":"23.3278"},{"id":17,"name":"Train ID","value":"177-04"},{"id":16,"name":"Locomotive ID","value":"4064"},{"id":130,"name":"Impact","value":""},{"id":150,"name":"Time of Event (Mountain Time)","value":"13:51:15"},{"id":151,"name":"Denver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3"/>
        <v>start /low /b %USERPROFILE%\Documents\GitHub\eaglep3\Utilities\DownloadLogsFromS3.py --loco 4064 --day 2018-01-04</v>
      </c>
      <c r="AN89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5"/>
        <v>https://d0f6bd738d7f1b3e5a7ca70fe4ff75f0.us-east-1.aws.found.io/app/kibana#/discover/Steve-Slow-Train-Analysis-(2080s-and-2083s)?_g=(refreshInterval:(display:Off,pause:!f,section:0,value:0),time:(from:'2018-01-04T12:10:22-0700',mode:absolute,to:'2018-01-04T14:51:15-0700'))&amp;_a=(columns:!('Message%20ID',Summary),filters:!(),index:'emp_*',interval:auto,query:(query_string:(analyze_wildcard:!t,query:'%22rtdc.l.rtdc.4064%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670</v>
      </c>
      <c r="B90" s="225">
        <v>4063</v>
      </c>
      <c r="C90" s="227" t="s">
        <v>192</v>
      </c>
      <c r="D90" s="227" t="s">
        <v>636</v>
      </c>
      <c r="E90" s="226">
        <v>43104.589224537034</v>
      </c>
      <c r="F90" s="226">
        <v>43104.591886574075</v>
      </c>
      <c r="G90" s="225">
        <v>52</v>
      </c>
      <c r="H90" s="227" t="s">
        <v>970</v>
      </c>
      <c r="I90" s="226">
        <v>43104.620949074073</v>
      </c>
      <c r="J90" s="225">
        <v>0</v>
      </c>
      <c r="K90" s="237" t="str">
        <f>IF(ISEVEN(B90),(B90-1)&amp;"/"&amp;B90,B90&amp;"/"&amp;(B90+1))</f>
        <v>4063/4064</v>
      </c>
      <c r="L90" s="245" t="str">
        <f>VLOOKUP(A90,'Trips&amp;Operators'!$C$1:$G$99911,5,FALSE)</f>
        <v>STEWART MICHAEL</v>
      </c>
      <c r="M90" s="224">
        <f>I90-F90</f>
        <v>2.9062499997962732E-2</v>
      </c>
      <c r="N90" s="225">
        <f>24*60*SUM($M90:$M90)</f>
        <v>41.849999997066334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-04T13:08:29-0700',mode:absolute,to:'2018-01-04T15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23.295999999999999</v>
      </c>
      <c r="Z90" s="247">
        <f>RIGHT(H90,LEN(H90)-4)/10000</f>
        <v>1.8100000000000002E-2</v>
      </c>
      <c r="AA90" s="247">
        <f>ABS(Z90-Y90)</f>
        <v>23.277899999999999</v>
      </c>
      <c r="AB90" s="233" t="str">
        <f>VLOOKUP(A90,Enforcements!$C$7:$K$9,8,0)</f>
        <v>Bulletin (2)</v>
      </c>
      <c r="AC90" s="232" t="str">
        <f>VLOOKUP(A90,Enforcements!$C$7:$E$9,3,0)</f>
        <v>GRADE CROSSING</v>
      </c>
      <c r="AD90" s="243">
        <f>VALUE(LEFT(A90,LEN(A90)-3))</f>
        <v>178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/stypes="app*4063*20180104*"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1"/>
        <v>"%USERPROFILE%\Documents\GitHub\eaglep3\Utilities\RefineRTDCRunTimes.py" --tripid 178-04 --locoid 4063 --swversion DE.1.0.9.0 --startMP 204:232960 --initTime 2018-01-04T14:08:29 --startdatetime 2018-01-04T14:12:19 --delay 52 --endMP 204:181 --enddatetime 2018-01-04T14:54:10 --enforcementcount 0 &gt;&gt;%USERPROFILE%\Documents\GitHub\eaglep3-reporting\EC\2018-01-04-refined-times.txt</v>
      </c>
      <c r="AI90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{"issue":{"subject":"","project_id":79,"tracker_id":40,"status_id":1,"priority_id":2,"assigned_to_id":338,"start_date":"2018-01-04","description":"","custom_fields":[{"id":1,"name":"Subdivision","value":"EC"},{"id":4,"name":"Milepost","value":"0.0181"},{"id":17,"name":"Train ID","value":"178-04"},{"id":16,"name":"Locomotive ID","value":"4063"},{"id":130,"name":"Impact","value":""},{"id":150,"name":"Time of Event (Mountain Time)","value":"14:54:10"},{"id":151,"name":"Denver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3"/>
        <v>start /low /b %USERPROFILE%\Documents\GitHub\eaglep3\Utilities\DownloadLogsFromS3.py --loco 4063 --day 2018-01-04</v>
      </c>
      <c r="AN90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5"/>
        <v>https://d0f6bd738d7f1b3e5a7ca70fe4ff75f0.us-east-1.aws.found.io/app/kibana#/discover/Steve-Slow-Train-Analysis-(2080s-and-2083s)?_g=(refreshInterval:(display:Off,pause:!f,section:0,value:0),time:(from:'2018-01-04T13:08:29-0700',mode:absolute,to:'2018-01-04T15:54:10-0700'))&amp;_a=(columns:!('Message%20ID',Summary),filters:!(),index:'emp_*',interval:auto,query:(query_string:(analyze_wildcard:!t,query:'%22rtdc.l.rtdc.4063%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807</v>
      </c>
      <c r="B91" s="225">
        <v>4052</v>
      </c>
      <c r="C91" s="227" t="s">
        <v>192</v>
      </c>
      <c r="D91" s="227" t="s">
        <v>614</v>
      </c>
      <c r="E91" s="226">
        <v>43104.559803240743</v>
      </c>
      <c r="F91" s="226">
        <v>43104.562754629631</v>
      </c>
      <c r="G91" s="225">
        <v>57</v>
      </c>
      <c r="H91" s="227" t="s">
        <v>916</v>
      </c>
      <c r="I91" s="226">
        <v>43104.586967592593</v>
      </c>
      <c r="J91" s="225">
        <v>0</v>
      </c>
      <c r="K91" s="237" t="str">
        <f>IF(ISEVEN(B91),(B91-1)&amp;"/"&amp;B91,B91&amp;"/"&amp;(B91+1))</f>
        <v>4051/4052</v>
      </c>
      <c r="L91" s="245" t="str">
        <f>VLOOKUP(A91,'Trips&amp;Operators'!$C$1:$G$99911,5,FALSE)</f>
        <v>LEVIN SCOTT</v>
      </c>
      <c r="M91" s="224">
        <f>I91-F91</f>
        <v>2.421296296233777E-2</v>
      </c>
      <c r="N91" s="225">
        <f>24*60*SUM($M91:$M91)</f>
        <v>34.866666665766388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-04T12:26:07-0700',mode:absolute,to:'2018-01-04T15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4.3799999999999999E-2</v>
      </c>
      <c r="Z91" s="247">
        <f>RIGHT(H91,LEN(H91)-4)/10000</f>
        <v>23.3355</v>
      </c>
      <c r="AA91" s="247">
        <f>ABS(Z91-Y91)</f>
        <v>23.291699999999999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179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s3://rtdc.mdm.uploadarchive.raw/RTDC4052/ "%USERPROFILE%\AppData\Local\Temp\OnboardLogs"\RTDC4052\2018-01-04 --exclude "*" --recursive --include "*20180104*" &amp; "%USERPROFILE%\Documents\GitHub\mrs-test-scripts\Headless Mode &amp; Sideloading\WalkAndUnGZ.bat" "%USERPROFILE%\AppData\Local\Temp\OnboardLogs"\RTDC4052\2018-01-04 &amp; 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/stypes="app*4052*20180104*"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1"/>
        <v>"%USERPROFILE%\Documents\GitHub\eaglep3\Utilities\RefineRTDCRunTimes.py" --tripid 179-04 --locoid 4052 --swversion DE.1.0.9.0 --startMP 204:438 --initTime 2018-01-04T13:26:07 --startdatetime 2018-01-04T13:30:22 --delay 57 --endMP 204:233355 --enddatetime 2018-01-04T14:05:14 --enforcementcount 0 &gt;&gt;%USERPROFILE%\Documents\GitHub\eaglep3-reporting\EC\2018-01-04-refined-times.txt</v>
      </c>
      <c r="AI91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{"issue":{"subject":"","project_id":79,"tracker_id":40,"status_id":1,"priority_id":2,"assigned_to_id":338,"start_date":"2018-01-04","description":"","custom_fields":[{"id":1,"name":"Subdivision","value":"EC"},{"id":4,"name":"Milepost","value":"23.3355"},{"id":17,"name":"Train ID","value":"179-04"},{"id":16,"name":"Locomotive ID","value":"4052"},{"id":130,"name":"Impact","value":""},{"id":150,"name":"Time of Event (Mountain Time)","value":"14:05:14"},{"id":151,"name":"Denver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3"/>
        <v>start /low /b %USERPROFILE%\Documents\GitHub\eaglep3\Utilities\DownloadLogsFromS3.py --loco 4052 --day 2018-01-04</v>
      </c>
      <c r="AN91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5"/>
        <v>https://d0f6bd738d7f1b3e5a7ca70fe4ff75f0.us-east-1.aws.found.io/app/kibana#/discover/Steve-Slow-Train-Analysis-(2080s-and-2083s)?_g=(refreshInterval:(display:Off,pause:!f,section:0,value:0),time:(from:'2018-01-04T12:26:07-0700',mode:absolute,to:'2018-01-04T15:05:14-0700'))&amp;_a=(columns:!('Message%20ID',Summary),filters:!(),index:'emp_*',interval:auto,query:(query_string:(analyze_wildcard:!t,query:'%22rtdc.l.rtdc.4052%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815</v>
      </c>
      <c r="B92" s="225">
        <v>4051</v>
      </c>
      <c r="C92" s="227" t="s">
        <v>192</v>
      </c>
      <c r="D92" s="227" t="s">
        <v>597</v>
      </c>
      <c r="E92" s="226">
        <v>43104.595266203702</v>
      </c>
      <c r="F92" s="226">
        <v>43104.603738425925</v>
      </c>
      <c r="G92" s="225">
        <v>76</v>
      </c>
      <c r="H92" s="227" t="s">
        <v>485</v>
      </c>
      <c r="I92" s="226">
        <v>43104.630706018521</v>
      </c>
      <c r="J92" s="225">
        <v>0</v>
      </c>
      <c r="K92" s="237" t="str">
        <f>IF(ISEVEN(B92),(B92-1)&amp;"/"&amp;B92,B92&amp;"/"&amp;(B92+1))</f>
        <v>4051/4052</v>
      </c>
      <c r="L92" s="245" t="str">
        <f>VLOOKUP(A92,'Trips&amp;Operators'!$C$1:$G$99911,5,FALSE)</f>
        <v>LEVIN SCOTT</v>
      </c>
      <c r="M92" s="224">
        <f>I92-F92</f>
        <v>2.6967592595610768E-2</v>
      </c>
      <c r="N92" s="225">
        <f>24*60*SUM($M92:$M92)</f>
        <v>38.833333337679505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-04T13:17:11-0700',mode:absolute,to:'2018-01-04T16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23.298400000000001</v>
      </c>
      <c r="Z92" s="247">
        <f>RIGHT(H92,LEN(H92)-4)/10000</f>
        <v>1.5599999999999999E-2</v>
      </c>
      <c r="AA92" s="247">
        <f>ABS(Z92-Y92)</f>
        <v>23.282800000000002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180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/stypes="app*4051*20180104*" /stext=" 22:.+((SYSTEM_STATE.+slice.+state.+changed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1"/>
        <v>"%USERPROFILE%\Documents\GitHub\eaglep3\Utilities\RefineRTDCRunTimes.py" --tripid 180-04 --locoid 4051 --swversion DE.1.0.9.0 --startMP 204:232984 --initTime 2018-01-04T14:17:11 --startdatetime 2018-01-04T14:29:23 --delay 76 --endMP 204:156 --enddatetime 2018-01-04T15:08:13 --enforcementcount 0 &gt;&gt;%USERPROFILE%\Documents\GitHub\eaglep3-reporting\EC\2018-01-04-refined-times.txt</v>
      </c>
      <c r="AI92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{"issue":{"subject":"","project_id":79,"tracker_id":40,"status_id":1,"priority_id":2,"assigned_to_id":338,"start_date":"2018-01-04","description":"","custom_fields":[{"id":1,"name":"Subdivision","value":"EC"},{"id":4,"name":"Milepost","value":"0.0156"},{"id":17,"name":"Train ID","value":"180-04"},{"id":16,"name":"Locomotive ID","value":"4051"},{"id":130,"name":"Impact","value":""},{"id":150,"name":"Time of Event (Mountain Time)","value":"15:08:13"},{"id":151,"name":"Denver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3"/>
        <v>start /low /b %USERPROFILE%\Documents\GitHub\eaglep3\Utilities\DownloadLogsFromS3.py --loco 4051 --day 2018-01-04</v>
      </c>
      <c r="AN9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5"/>
        <v>https://d0f6bd738d7f1b3e5a7ca70fe4ff75f0.us-east-1.aws.found.io/app/kibana#/discover/Steve-Slow-Train-Analysis-(2080s-and-2083s)?_g=(refreshInterval:(display:Off,pause:!f,section:0,value:0),time:(from:'2018-01-04T13:17:11-0700',mode:absolute,to:'2018-01-04T16:08:13-0700'))&amp;_a=(columns:!('Message%20ID',Summary),filters:!(),index:'emp_*',interval:auto,query:(query_string:(analyze_wildcard:!t,query:'%22rtdc.l.rtdc.4051%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810</v>
      </c>
      <c r="B93" s="225">
        <v>4034</v>
      </c>
      <c r="C93" s="227" t="s">
        <v>192</v>
      </c>
      <c r="D93" s="227" t="s">
        <v>601</v>
      </c>
      <c r="E93" s="226">
        <v>43104.569641203707</v>
      </c>
      <c r="F93" s="226">
        <v>43104.573101851849</v>
      </c>
      <c r="G93" s="225">
        <v>52</v>
      </c>
      <c r="H93" s="227" t="s">
        <v>971</v>
      </c>
      <c r="I93" s="226">
        <v>43104.598055555558</v>
      </c>
      <c r="J93" s="225">
        <v>0</v>
      </c>
      <c r="K93" s="237" t="str">
        <f>IF(ISEVEN(B93),(B93-1)&amp;"/"&amp;B93,B93&amp;"/"&amp;(B93+1))</f>
        <v>4033/4034</v>
      </c>
      <c r="L93" s="245" t="str">
        <f>VLOOKUP(A93,'Trips&amp;Operators'!$C$1:$G$99911,5,FALSE)</f>
        <v>ROBINSON KADDIBA</v>
      </c>
      <c r="M93" s="224">
        <f>I93-F93</f>
        <v>2.4953703708888497E-2</v>
      </c>
      <c r="N93" s="225">
        <f>24*60*SUM($M93:$M93)</f>
        <v>35.933333340799436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-04T12:40:17-0700',mode:absolute,to:'2018-01-04T15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5.33E-2</v>
      </c>
      <c r="Z93" s="247">
        <f>RIGHT(H93,LEN(H93)-4)/10000</f>
        <v>23.331700000000001</v>
      </c>
      <c r="AA93" s="247">
        <f>ABS(Z93-Y93)</f>
        <v>23.278400000000001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181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/stypes="app*4034*20180104*"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1"/>
        <v>"%USERPROFILE%\Documents\GitHub\eaglep3\Utilities\RefineRTDCRunTimes.py" --tripid 181-04 --locoid 4034 --swversion DE.1.0.9.0 --startMP 204:533 --initTime 2018-01-04T13:40:17 --startdatetime 2018-01-04T13:45:16 --delay 52 --endMP 204:233317 --enddatetime 2018-01-04T14:21:12 --enforcementcount 0 &gt;&gt;%USERPROFILE%\Documents\GitHub\eaglep3-reporting\EC\2018-01-04-refined-times.txt</v>
      </c>
      <c r="AI93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{"issue":{"subject":"","project_id":79,"tracker_id":40,"status_id":1,"priority_id":2,"assigned_to_id":338,"start_date":"2018-01-04","description":"","custom_fields":[{"id":1,"name":"Subdivision","value":"EC"},{"id":4,"name":"Milepost","value":"23.3317"},{"id":17,"name":"Train ID","value":"181-04"},{"id":16,"name":"Locomotive ID","value":"4034"},{"id":130,"name":"Impact","value":""},{"id":150,"name":"Time of Event (Mountain Time)","value":"14:21:12"},{"id":151,"name":"Denver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3"/>
        <v>start /low /b %USERPROFILE%\Documents\GitHub\eaglep3\Utilities\DownloadLogsFromS3.py --loco 4034 --day 2018-01-04</v>
      </c>
      <c r="AN93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5"/>
        <v>https://d0f6bd738d7f1b3e5a7ca70fe4ff75f0.us-east-1.aws.found.io/app/kibana#/discover/Steve-Slow-Train-Analysis-(2080s-and-2083s)?_g=(refreshInterval:(display:Off,pause:!f,section:0,value:0),time:(from:'2018-01-04T12:40:17-0700',mode:absolute,to:'2018-01-04T15:21:12-0700'))&amp;_a=(columns:!('Message%20ID',Summary),filters:!(),index:'emp_*',interval:auto,query:(query_string:(analyze_wildcard:!t,query:'%22rtdc.l.rtdc.4034%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818</v>
      </c>
      <c r="B94" s="225">
        <v>4033</v>
      </c>
      <c r="C94" s="227" t="s">
        <v>192</v>
      </c>
      <c r="D94" s="227" t="s">
        <v>972</v>
      </c>
      <c r="E94" s="226">
        <v>43104.608819444446</v>
      </c>
      <c r="F94" s="226">
        <v>43104.612673611111</v>
      </c>
      <c r="G94" s="225">
        <v>99</v>
      </c>
      <c r="H94" s="227" t="s">
        <v>624</v>
      </c>
      <c r="I94" s="226">
        <v>43104.641377314816</v>
      </c>
      <c r="J94" s="225">
        <v>0</v>
      </c>
      <c r="K94" s="237" t="str">
        <f>IF(ISEVEN(B94),(B94-1)&amp;"/"&amp;B94,B94&amp;"/"&amp;(B94+1))</f>
        <v>4033/4034</v>
      </c>
      <c r="L94" s="245" t="str">
        <f>VLOOKUP(A94,'Trips&amp;Operators'!$C$1:$G$99911,5,FALSE)</f>
        <v>ROBINSON KADDIBA</v>
      </c>
      <c r="M94" s="224">
        <f>I94-F94</f>
        <v>2.8703703705104999E-2</v>
      </c>
      <c r="N94" s="225">
        <f>24*60*SUM($M94:$M94)</f>
        <v>41.333333335351199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-04T13:36:42-0700',mode:absolute,to:'2018-01-04T16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23.300799999999999</v>
      </c>
      <c r="Z94" s="247">
        <f>RIGHT(H94,LEN(H94)-4)/10000</f>
        <v>1.89E-2</v>
      </c>
      <c r="AA94" s="247">
        <f>ABS(Z94-Y94)</f>
        <v>23.2819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182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/stypes="app*4033*20180104*"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1"/>
        <v>"%USERPROFILE%\Documents\GitHub\eaglep3\Utilities\RefineRTDCRunTimes.py" --tripid 182-04 --locoid 4033 --swversion DE.1.0.9.0 --startMP 204:233008 --initTime 2018-01-04T14:36:42 --startdatetime 2018-01-04T14:42:15 --delay 99 --endMP 204:189 --enddatetime 2018-01-04T15:23:35 --enforcementcount 0 &gt;&gt;%USERPROFILE%\Documents\GitHub\eaglep3-reporting\EC\2018-01-04-refined-times.txt</v>
      </c>
      <c r="AI94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{"issue":{"subject":"","project_id":79,"tracker_id":40,"status_id":1,"priority_id":2,"assigned_to_id":338,"start_date":"2018-01-04","description":"","custom_fields":[{"id":1,"name":"Subdivision","value":"EC"},{"id":4,"name":"Milepost","value":"0.0189"},{"id":17,"name":"Train ID","value":"182-04"},{"id":16,"name":"Locomotive ID","value":"4033"},{"id":130,"name":"Impact","value":""},{"id":150,"name":"Time of Event (Mountain Time)","value":"15:23:35"},{"id":151,"name":"Denver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3"/>
        <v>start /low /b %USERPROFILE%\Documents\GitHub\eaglep3\Utilities\DownloadLogsFromS3.py --loco 4033 --day 2018-01-04</v>
      </c>
      <c r="AN94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5"/>
        <v>https://d0f6bd738d7f1b3e5a7ca70fe4ff75f0.us-east-1.aws.found.io/app/kibana#/discover/Steve-Slow-Train-Analysis-(2080s-and-2083s)?_g=(refreshInterval:(display:Off,pause:!f,section:0,value:0),time:(from:'2018-01-04T13:36:42-0700',mode:absolute,to:'2018-01-04T16:23:35-0700'))&amp;_a=(columns:!('Message%20ID',Summary),filters:!(),index:'emp_*',interval:auto,query:(query_string:(analyze_wildcard:!t,query:'%22rtdc.l.rtdc.4033%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812</v>
      </c>
      <c r="B95" s="225">
        <v>4032</v>
      </c>
      <c r="C95" s="227" t="s">
        <v>192</v>
      </c>
      <c r="D95" s="227" t="s">
        <v>632</v>
      </c>
      <c r="E95" s="226">
        <v>43104.578321759262</v>
      </c>
      <c r="F95" s="226">
        <v>43104.583518518521</v>
      </c>
      <c r="G95" s="225">
        <v>67</v>
      </c>
      <c r="H95" s="227" t="s">
        <v>520</v>
      </c>
      <c r="I95" s="226">
        <v>43104.610844907409</v>
      </c>
      <c r="J95" s="225">
        <v>0</v>
      </c>
      <c r="K95" s="237" t="str">
        <f>IF(ISEVEN(B95),(B95-1)&amp;"/"&amp;B95,B95&amp;"/"&amp;(B95+1))</f>
        <v>4031/4032</v>
      </c>
      <c r="L95" s="245" t="str">
        <f>VLOOKUP(A95,'Trips&amp;Operators'!$C$1:$G$99911,5,FALSE)</f>
        <v>LEVERE CRAIG</v>
      </c>
      <c r="M95" s="224">
        <f>I95-F95</f>
        <v>2.73263888884685E-2</v>
      </c>
      <c r="N95" s="225">
        <f>24*60*SUM($M95:$M95)</f>
        <v>39.34999999939464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-04T12:52:47-0700',mode:absolute,to:'2018-01-04T15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5.4399999999999997E-2</v>
      </c>
      <c r="Z95" s="247">
        <f>RIGHT(H95,LEN(H95)-4)/10000</f>
        <v>23.329899999999999</v>
      </c>
      <c r="AA95" s="247">
        <f>ABS(Z95-Y95)</f>
        <v>23.275499999999997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183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/stypes="app*4032*20180104*"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1"/>
        <v>"%USERPROFILE%\Documents\GitHub\eaglep3\Utilities\RefineRTDCRunTimes.py" --tripid 183-04 --locoid 4032 --swversion DE.1.0.9.0 --startMP 204:544 --initTime 2018-01-04T13:52:47 --startdatetime 2018-01-04T14:00:16 --delay 67 --endMP 204:233299 --enddatetime 2018-01-04T14:39:37 --enforcementcount 0 &gt;&gt;%USERPROFILE%\Documents\GitHub\eaglep3-reporting\EC\2018-01-04-refined-times.txt</v>
      </c>
      <c r="AI95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{"issue":{"subject":"","project_id":79,"tracker_id":40,"status_id":1,"priority_id":2,"assigned_to_id":338,"start_date":"2018-01-04","description":"","custom_fields":[{"id":1,"name":"Subdivision","value":"EC"},{"id":4,"name":"Milepost","value":"23.3299"},{"id":17,"name":"Train ID","value":"183-04"},{"id":16,"name":"Locomotive ID","value":"4032"},{"id":130,"name":"Impact","value":""},{"id":150,"name":"Time of Event (Mountain Time)","value":"14:39:37"},{"id":151,"name":"Denver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3"/>
        <v>start /low /b %USERPROFILE%\Documents\GitHub\eaglep3\Utilities\DownloadLogsFromS3.py --loco 4032 --day 2018-01-04</v>
      </c>
      <c r="AN95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5"/>
        <v>https://d0f6bd738d7f1b3e5a7ca70fe4ff75f0.us-east-1.aws.found.io/app/kibana#/discover/Steve-Slow-Train-Analysis-(2080s-and-2083s)?_g=(refreshInterval:(display:Off,pause:!f,section:0,value:0),time:(from:'2018-01-04T12:52:47-0700',mode:absolute,to:'2018-01-04T15:39:37-0700'))&amp;_a=(columns:!('Message%20ID',Summary),filters:!(),index:'emp_*',interval:auto,query:(query_string:(analyze_wildcard:!t,query:'%22rtdc.l.rtdc.4032%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820</v>
      </c>
      <c r="B96" s="225">
        <v>4031</v>
      </c>
      <c r="C96" s="227" t="s">
        <v>192</v>
      </c>
      <c r="D96" s="227" t="s">
        <v>936</v>
      </c>
      <c r="E96" s="226">
        <v>43104.617407407408</v>
      </c>
      <c r="F96" s="226">
        <v>43104.623101851852</v>
      </c>
      <c r="G96" s="225">
        <v>65</v>
      </c>
      <c r="H96" s="227" t="s">
        <v>973</v>
      </c>
      <c r="I96" s="226">
        <v>43104.650335648148</v>
      </c>
      <c r="J96" s="225">
        <v>0</v>
      </c>
      <c r="K96" s="237" t="str">
        <f>IF(ISEVEN(B96),(B96-1)&amp;"/"&amp;B96,B96&amp;"/"&amp;(B96+1))</f>
        <v>4031/4032</v>
      </c>
      <c r="L96" s="245" t="str">
        <f>VLOOKUP(A96,'Trips&amp;Operators'!$C$1:$G$99911,5,FALSE)</f>
        <v>LEVERE CRAIG</v>
      </c>
      <c r="M96" s="224">
        <f>I96-F96</f>
        <v>2.7233796296059154E-2</v>
      </c>
      <c r="N96" s="225">
        <f>24*60*SUM($M96:$M96)</f>
        <v>39.216666666325182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-04T13:49:04-0700',mode:absolute,to:'2018-01-04T16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23.2973</v>
      </c>
      <c r="Z96" s="247">
        <f>RIGHT(H96,LEN(H96)-4)/10000</f>
        <v>2.3400000000000001E-2</v>
      </c>
      <c r="AA96" s="247">
        <f>ABS(Z96-Y96)</f>
        <v>23.273900000000001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184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s3://rtdc.mdm.uploadarchive.raw/RTDC4031/ "%USERPROFILE%\AppData\Local\Temp\OnboardLogs"\RTDC4031\2018-01-04 --exclude "*" --recursive --include "*20180104*" &amp; "%USERPROFILE%\Documents\GitHub\mrs-test-scripts\Headless Mode &amp; Sideloading\WalkAndUnGZ.bat" "%USERPROFILE%\AppData\Local\Temp\OnboardLogs"\RTDC4031\2018-01-04 &amp; aws s3 cp s3://rtdc.mdm.uploadarchive.raw/RTDC4031/ "%USERPROFILE%\AppData\Local\Temp\OnboardLogs"\RTDC4031\2018-01-05 --exclude "*" --recursive --include "*20180105*" &amp; "%USERPROFILE%\Documents\GitHub\mrs-test-scripts\Headless Mode &amp; Sideloading\WalkAndUnGZ.bat" "%USERPROFILE%\AppData\Local\Temp\OnboardLogs"\RTDC4031\2018-01-05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/stypes="app*4031*20180104*"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1"/>
        <v>"%USERPROFILE%\Documents\GitHub\eaglep3\Utilities\RefineRTDCRunTimes.py" --tripid 184-04 --locoid 4031 --swversion DE.1.0.9.0 --startMP 204:232973 --initTime 2018-01-04T14:49:04 --startdatetime 2018-01-04T14:57:16 --delay 65 --endMP 204:234 --enddatetime 2018-01-04T15:36:29 --enforcementcount 0 &gt;&gt;%USERPROFILE%\Documents\GitHub\eaglep3-reporting\EC\2018-01-04-refined-times.txt</v>
      </c>
      <c r="AI96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{"issue":{"subject":"","project_id":79,"tracker_id":40,"status_id":1,"priority_id":2,"assigned_to_id":338,"start_date":"2018-01-04","description":"","custom_fields":[{"id":1,"name":"Subdivision","value":"EC"},{"id":4,"name":"Milepost","value":"0.0234"},{"id":17,"name":"Train ID","value":"184-04"},{"id":16,"name":"Locomotive ID","value":"4031"},{"id":130,"name":"Impact","value":""},{"id":150,"name":"Time of Event (Mountain Time)","value":"15:36:29"},{"id":151,"name":"Denver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3"/>
        <v>start /low /b %USERPROFILE%\Documents\GitHub\eaglep3\Utilities\DownloadLogsFromS3.py --loco 4031 --day 2018-01-04</v>
      </c>
      <c r="AN96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5"/>
        <v>https://d0f6bd738d7f1b3e5a7ca70fe4ff75f0.us-east-1.aws.found.io/app/kibana#/discover/Steve-Slow-Train-Analysis-(2080s-and-2083s)?_g=(refreshInterval:(display:Off,pause:!f,section:0,value:0),time:(from:'2018-01-04T13:49:04-0700',mode:absolute,to:'2018-01-04T16:36:29-0700'))&amp;_a=(columns:!('Message%20ID',Summary),filters:!(),index:'emp_*',interval:auto,query:(query_string:(analyze_wildcard:!t,query:'%22rtdc.l.rtdc.4031%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814</v>
      </c>
      <c r="B97" s="225">
        <v>4018</v>
      </c>
      <c r="C97" s="227" t="s">
        <v>192</v>
      </c>
      <c r="D97" s="227" t="s">
        <v>974</v>
      </c>
      <c r="E97" s="226">
        <v>43104.590891203705</v>
      </c>
      <c r="F97" s="226">
        <v>43104.593912037039</v>
      </c>
      <c r="G97" s="225">
        <v>82</v>
      </c>
      <c r="H97" s="227" t="s">
        <v>975</v>
      </c>
      <c r="I97" s="226">
        <v>43104.621076388888</v>
      </c>
      <c r="J97" s="225">
        <v>0</v>
      </c>
      <c r="K97" s="237" t="str">
        <f>IF(ISEVEN(B97),(B97-1)&amp;"/"&amp;B97,B97&amp;"/"&amp;(B97+1))</f>
        <v>4017/4018</v>
      </c>
      <c r="L97" s="245" t="str">
        <f>VLOOKUP(A97,'Trips&amp;Operators'!$C$1:$G$99911,5,FALSE)</f>
        <v>BADERTSCHER DIANE</v>
      </c>
      <c r="M97" s="224">
        <f>I97-F97</f>
        <v>2.7164351849933155E-2</v>
      </c>
      <c r="N97" s="225">
        <f>24*60*SUM($M97:$M97)</f>
        <v>39.116666663903743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-04T13:10:53-0700',mode:absolute,to:'2018-01-04T15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5.1999999999999998E-2</v>
      </c>
      <c r="Z97" s="247">
        <f>RIGHT(H97,LEN(H97)-4)/10000</f>
        <v>23.323</v>
      </c>
      <c r="AA97" s="247">
        <f>ABS(Z97-Y97)</f>
        <v>23.271000000000001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185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/stypes="app*4018*20180104*"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1"/>
        <v>"%USERPROFILE%\Documents\GitHub\eaglep3\Utilities\RefineRTDCRunTimes.py" --tripid 185-04 --locoid 4018 --swversion DE.1.0.9.0 --startMP 204:520 --initTime 2018-01-04T14:10:53 --startdatetime 2018-01-04T14:15:14 --delay 82 --endMP 204:233230 --enddatetime 2018-01-04T14:54:21 --enforcementcount 0 &gt;&gt;%USERPROFILE%\Documents\GitHub\eaglep3-reporting\EC\2018-01-04-refined-times.txt</v>
      </c>
      <c r="AI97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{"issue":{"subject":"","project_id":79,"tracker_id":40,"status_id":1,"priority_id":2,"assigned_to_id":338,"start_date":"2018-01-04","description":"","custom_fields":[{"id":1,"name":"Subdivision","value":"EC"},{"id":4,"name":"Milepost","value":"23.323"},{"id":17,"name":"Train ID","value":"185-04"},{"id":16,"name":"Locomotive ID","value":"4018"},{"id":130,"name":"Impact","value":""},{"id":150,"name":"Time of Event (Mountain Time)","value":"14:54:21"},{"id":151,"name":"Denver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3"/>
        <v>start /low /b %USERPROFILE%\Documents\GitHub\eaglep3\Utilities\DownloadLogsFromS3.py --loco 4018 --day 2018-01-04</v>
      </c>
      <c r="AN97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5"/>
        <v>https://d0f6bd738d7f1b3e5a7ca70fe4ff75f0.us-east-1.aws.found.io/app/kibana#/discover/Steve-Slow-Train-Analysis-(2080s-and-2083s)?_g=(refreshInterval:(display:Off,pause:!f,section:0,value:0),time:(from:'2018-01-04T13:10:53-0700',mode:absolute,to:'2018-01-04T15:54:21-0700'))&amp;_a=(columns:!('Message%20ID',Summary),filters:!(),index:'emp_*',interval:auto,query:(query_string:(analyze_wildcard:!t,query:'%22rtdc.l.rtdc.4018%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823</v>
      </c>
      <c r="B98" s="225">
        <v>4017</v>
      </c>
      <c r="C98" s="227" t="s">
        <v>192</v>
      </c>
      <c r="D98" s="227" t="s">
        <v>966</v>
      </c>
      <c r="E98" s="226">
        <v>43104.631944444445</v>
      </c>
      <c r="F98" s="226">
        <v>43104.633506944447</v>
      </c>
      <c r="G98" s="225">
        <v>59</v>
      </c>
      <c r="H98" s="227" t="s">
        <v>529</v>
      </c>
      <c r="I98" s="226">
        <v>43104.663645833331</v>
      </c>
      <c r="J98" s="225">
        <v>0</v>
      </c>
      <c r="K98" s="237" t="str">
        <f>IF(ISEVEN(B98),(B98-1)&amp;"/"&amp;B98,B98&amp;"/"&amp;(B98+1))</f>
        <v>4017/4018</v>
      </c>
      <c r="L98" s="245" t="str">
        <f>VLOOKUP(A98,'Trips&amp;Operators'!$C$1:$G$99911,5,FALSE)</f>
        <v>BADERTSCHER DIANE</v>
      </c>
      <c r="M98" s="224">
        <f>I98-F98</f>
        <v>3.0138888883811887E-2</v>
      </c>
      <c r="N98" s="225">
        <f>24*60*SUM($M98:$M98)</f>
        <v>43.399999992689118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-04T14:10:00-0700',mode:absolute,to:'2018-01-04T16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23.291499999999999</v>
      </c>
      <c r="Z98" s="247">
        <f>RIGHT(H98,LEN(H98)-4)/10000</f>
        <v>2.18E-2</v>
      </c>
      <c r="AA98" s="247">
        <f>ABS(Z98-Y98)</f>
        <v>23.2697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186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/stypes="app*4017*20180104*"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1"/>
        <v>"%USERPROFILE%\Documents\GitHub\eaglep3\Utilities\RefineRTDCRunTimes.py" --tripid 186-04 --locoid 4017 --swversion DE.1.0.9.0 --startMP 204:232915 --initTime 2018-01-04T15:10:00 --startdatetime 2018-01-04T15:12:15 --delay 59 --endMP 204:218 --enddatetime 2018-01-04T15:55:39 --enforcementcount 0 &gt;&gt;%USERPROFILE%\Documents\GitHub\eaglep3-reporting\EC\2018-01-04-refined-times.txt</v>
      </c>
      <c r="AI98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{"issue":{"subject":"","project_id":79,"tracker_id":40,"status_id":1,"priority_id":2,"assigned_to_id":338,"start_date":"2018-01-04","description":"","custom_fields":[{"id":1,"name":"Subdivision","value":"EC"},{"id":4,"name":"Milepost","value":"0.0218"},{"id":17,"name":"Train ID","value":"186-04"},{"id":16,"name":"Locomotive ID","value":"4017"},{"id":130,"name":"Impact","value":""},{"id":150,"name":"Time of Event (Mountain Time)","value":"15:55:39"},{"id":151,"name":"Denver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3"/>
        <v>start /low /b %USERPROFILE%\Documents\GitHub\eaglep3\Utilities\DownloadLogsFromS3.py --loco 4017 --day 2018-01-04</v>
      </c>
      <c r="AN9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5"/>
        <v>https://d0f6bd738d7f1b3e5a7ca70fe4ff75f0.us-east-1.aws.found.io/app/kibana#/discover/Steve-Slow-Train-Analysis-(2080s-and-2083s)?_g=(refreshInterval:(display:Off,pause:!f,section:0,value:0),time:(from:'2018-01-04T14:10:00-0700',mode:absolute,to:'2018-01-04T16:55:39-0700'))&amp;_a=(columns:!('Message%20ID',Summary),filters:!(),index:'emp_*',interval:auto,query:(query_string:(analyze_wildcard:!t,query:'%22rtdc.l.rtdc.4017%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817</v>
      </c>
      <c r="B99" s="225">
        <v>4044</v>
      </c>
      <c r="C99" s="227" t="s">
        <v>192</v>
      </c>
      <c r="D99" s="227" t="s">
        <v>563</v>
      </c>
      <c r="E99" s="226">
        <v>43104.6018287037</v>
      </c>
      <c r="F99" s="226">
        <v>43104.604386574072</v>
      </c>
      <c r="G99" s="225">
        <v>50</v>
      </c>
      <c r="H99" s="227" t="s">
        <v>976</v>
      </c>
      <c r="I99" s="226">
        <v>43104.628946759258</v>
      </c>
      <c r="J99" s="225">
        <v>0</v>
      </c>
      <c r="K99" s="237" t="str">
        <f>IF(ISEVEN(B99),(B99-1)&amp;"/"&amp;B99,B99&amp;"/"&amp;(B99+1))</f>
        <v>4043/4044</v>
      </c>
      <c r="L99" s="245" t="str">
        <f>VLOOKUP(A99,'Trips&amp;Operators'!$C$1:$G$99911,5,FALSE)</f>
        <v>HOLCOMB KAMDEN</v>
      </c>
      <c r="M99" s="224">
        <f>I99-F99</f>
        <v>2.4560185185691807E-2</v>
      </c>
      <c r="N99" s="225">
        <f>24*60*SUM($M99:$M99)</f>
        <v>35.366666667396203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-04T13:26:38-0700',mode:absolute,to:'2018-01-04T16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5.3699999999999998E-2</v>
      </c>
      <c r="Z99" s="247">
        <f>RIGHT(H99,LEN(H99)-4)/10000</f>
        <v>23.322800000000001</v>
      </c>
      <c r="AA99" s="247">
        <f>ABS(Z99-Y99)</f>
        <v>23.269100000000002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187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/stypes="app*4044*20180104*"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1"/>
        <v>"%USERPROFILE%\Documents\GitHub\eaglep3\Utilities\RefineRTDCRunTimes.py" --tripid 187-04 --locoid 4044 --swversion DE.1.0.9.0 --startMP 204:537 --initTime 2018-01-04T14:26:38 --startdatetime 2018-01-04T14:30:19 --delay 50 --endMP 204:233228 --enddatetime 2018-01-04T15:05:41 --enforcementcount 0 &gt;&gt;%USERPROFILE%\Documents\GitHub\eaglep3-reporting\EC\2018-01-04-refined-times.txt</v>
      </c>
      <c r="AI99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{"issue":{"subject":"","project_id":79,"tracker_id":40,"status_id":1,"priority_id":2,"assigned_to_id":338,"start_date":"2018-01-04","description":"","custom_fields":[{"id":1,"name":"Subdivision","value":"EC"},{"id":4,"name":"Milepost","value":"23.3228"},{"id":17,"name":"Train ID","value":"187-04"},{"id":16,"name":"Locomotive ID","value":"4044"},{"id":130,"name":"Impact","value":""},{"id":150,"name":"Time of Event (Mountain Time)","value":"15:05:41"},{"id":151,"name":"Denver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3"/>
        <v>start /low /b %USERPROFILE%\Documents\GitHub\eaglep3\Utilities\DownloadLogsFromS3.py --loco 4044 --day 2018-01-04</v>
      </c>
      <c r="AN99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5"/>
        <v>https://d0f6bd738d7f1b3e5a7ca70fe4ff75f0.us-east-1.aws.found.io/app/kibana#/discover/Steve-Slow-Train-Analysis-(2080s-and-2083s)?_g=(refreshInterval:(display:Off,pause:!f,section:0,value:0),time:(from:'2018-01-04T13:26:38-0700',mode:absolute,to:'2018-01-04T16:05:41-0700'))&amp;_a=(columns:!('Message%20ID',Summary),filters:!(),index:'emp_*',interval:auto,query:(query_string:(analyze_wildcard:!t,query:'%22rtdc.l.rtdc.4044%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677</v>
      </c>
      <c r="B100" s="225">
        <v>4043</v>
      </c>
      <c r="C100" s="227" t="s">
        <v>192</v>
      </c>
      <c r="D100" s="227" t="s">
        <v>920</v>
      </c>
      <c r="E100" s="226">
        <v>43104.640416666669</v>
      </c>
      <c r="F100" s="226">
        <v>43104.644131944442</v>
      </c>
      <c r="G100" s="225">
        <v>71</v>
      </c>
      <c r="H100" s="227" t="s">
        <v>977</v>
      </c>
      <c r="I100" s="226">
        <v>43104.670763888891</v>
      </c>
      <c r="J100" s="225">
        <v>0</v>
      </c>
      <c r="K100" s="237" t="str">
        <f>IF(ISEVEN(B100),(B100-1)&amp;"/"&amp;B100,B100&amp;"/"&amp;(B100+1))</f>
        <v>4043/4044</v>
      </c>
      <c r="L100" s="245" t="str">
        <f>VLOOKUP(A100,'Trips&amp;Operators'!$C$1:$G$99911,5,FALSE)</f>
        <v>HOLCOMB KAMDEN</v>
      </c>
      <c r="M100" s="224">
        <f>I100-F100</f>
        <v>2.6631944449036382E-2</v>
      </c>
      <c r="N100" s="225">
        <f>24*60*SUM($M100:$M100)</f>
        <v>38.35000000661239</v>
      </c>
      <c r="O100" s="225"/>
      <c r="P100" s="225"/>
      <c r="Q100" s="228"/>
      <c r="R100" s="242" t="s">
        <v>1122</v>
      </c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-04T14:22:12-0700',mode:absolute,to:'2018-01-04T17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23.290700000000001</v>
      </c>
      <c r="Z100" s="247">
        <f>RIGHT(H100,LEN(H100)-4)/10000</f>
        <v>2.12E-2</v>
      </c>
      <c r="AA100" s="247">
        <f>ABS(Z100-Y100)</f>
        <v>23.269500000000001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188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/stypes="app*4043*20180104*" /stext=" 23:.+((SYSTEM_STATE.+slice.+state.+changed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1"/>
        <v>"%USERPROFILE%\Documents\GitHub\eaglep3\Utilities\RefineRTDCRunTimes.py" --tripid 188-04 --locoid 4043 --swversion DE.1.0.9.0 --startMP 204:232907 --initTime 2018-01-04T15:22:12 --startdatetime 2018-01-04T15:27:33 --delay 71 --endMP 204:212 --enddatetime 2018-01-04T16:05:54 --enforcementcount 0 &gt;&gt;%USERPROFILE%\Documents\GitHub\eaglep3-reporting\EC\2018-01-04-refined-times.txt</v>
      </c>
      <c r="AI100" s="238" t="str">
        <f t="shared" si="12"/>
        <v>echo {"issue":{"subject":"Observed unhealthy xing for Chambers due to station stop","project_id":79,"tracker_id":40,"status_id":1,"priority_id":2,"assigned_to_id":338,"start_date":"2018-01-04","description":"","custom_fields":[{"id":1,"name":"Subdivision","value":"EC"},{"id":4,"name":"Milepost","value":"0.0212"},{"id":17,"name":"Train ID","value":"188-04"},{"id":16,"name":"Locomotive ID","value":"4043"},{"id":130,"name":"Impact","value":""},{"id":150,"name":"Time of Event (Mountain Time)","value":"16:05:54"},{"id":151,"name":"Denver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3"/>
        <v>start /low /b %USERPROFILE%\Documents\GitHub\eaglep3\Utilities\DownloadLogsFromS3.py --loco 4043 --day 2018-01-04</v>
      </c>
      <c r="AN100" s="241" t="str">
        <f t="shared" si="14"/>
        <v>echo {"issue":{"subject":"Observed unhealthy xing for Chambers due to station stop","project_id":30,"tracker_id":4,"status_id":1,"priority_id":1,"assigned_to_id":10,"start_date":"2018-01-04","description":"","custom_fields":[{"id":30,"name":"Category","value":"Issue"},{"id":3,"name":"Functional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5"/>
        <v>https://d0f6bd738d7f1b3e5a7ca70fe4ff75f0.us-east-1.aws.found.io/app/kibana#/discover/Steve-Slow-Train-Analysis-(2080s-and-2083s)?_g=(refreshInterval:(display:Off,pause:!f,section:0,value:0),time:(from:'2018-01-04T14:22:12-0700',mode:absolute,to:'2018-01-04T17:05:54-0700'))&amp;_a=(columns:!('Message%20ID',Summary),filters:!(),index:'emp_*',interval:auto,query:(query_string:(analyze_wildcard:!t,query:'%22rtdc.l.rtdc.4043%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819</v>
      </c>
      <c r="B101" s="225">
        <v>4046</v>
      </c>
      <c r="C101" s="227" t="s">
        <v>192</v>
      </c>
      <c r="D101" s="227" t="s">
        <v>617</v>
      </c>
      <c r="E101" s="226">
        <v>43104.611574074072</v>
      </c>
      <c r="F101" s="226">
        <v>43104.614872685182</v>
      </c>
      <c r="G101" s="225">
        <v>85</v>
      </c>
      <c r="H101" s="227" t="s">
        <v>978</v>
      </c>
      <c r="I101" s="226">
        <v>43104.640104166669</v>
      </c>
      <c r="J101" s="225">
        <v>0</v>
      </c>
      <c r="K101" s="237" t="str">
        <f>IF(ISEVEN(B101),(B101-1)&amp;"/"&amp;B101,B101&amp;"/"&amp;(B101+1))</f>
        <v>4045/4046</v>
      </c>
      <c r="L101" s="245" t="str">
        <f>VLOOKUP(A101,'Trips&amp;Operators'!$C$1:$G$99911,5,FALSE)</f>
        <v>BRUDER RICHARD</v>
      </c>
      <c r="M101" s="224">
        <f>I101-F101</f>
        <v>2.5231481486116536E-2</v>
      </c>
      <c r="N101" s="225">
        <f>24*60*SUM($M101:$M101)</f>
        <v>36.333333340007812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-04T13:40:40-0700',mode:absolute,to:'2018-01-04T16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5.04E-2</v>
      </c>
      <c r="Z101" s="247">
        <f>RIGHT(H101,LEN(H101)-4)/10000</f>
        <v>23.321899999999999</v>
      </c>
      <c r="AA101" s="247">
        <f>ABS(Z101-Y101)</f>
        <v>23.2715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189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/stypes="app*4046*20180104*"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1"/>
        <v>"%USERPROFILE%\Documents\GitHub\eaglep3\Utilities\RefineRTDCRunTimes.py" --tripid 189-04 --locoid 4046 --swversion DE.1.0.9.0 --startMP 204:504 --initTime 2018-01-04T14:40:40 --startdatetime 2018-01-04T14:45:25 --delay 85 --endMP 204:233219 --enddatetime 2018-01-04T15:21:45 --enforcementcount 0 &gt;&gt;%USERPROFILE%\Documents\GitHub\eaglep3-reporting\EC\2018-01-04-refined-times.txt</v>
      </c>
      <c r="AI101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{"issue":{"subject":"","project_id":79,"tracker_id":40,"status_id":1,"priority_id":2,"assigned_to_id":338,"start_date":"2018-01-04","description":"","custom_fields":[{"id":1,"name":"Subdivision","value":"EC"},{"id":4,"name":"Milepost","value":"23.3219"},{"id":17,"name":"Train ID","value":"189-04"},{"id":16,"name":"Locomotive ID","value":"4046"},{"id":130,"name":"Impact","value":""},{"id":150,"name":"Time of Event (Mountain Time)","value":"15:21:45"},{"id":151,"name":"Denver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3"/>
        <v>start /low /b %USERPROFILE%\Documents\GitHub\eaglep3\Utilities\DownloadLogsFromS3.py --loco 4046 --day 2018-01-04</v>
      </c>
      <c r="AN101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5"/>
        <v>https://d0f6bd738d7f1b3e5a7ca70fe4ff75f0.us-east-1.aws.found.io/app/kibana#/discover/Steve-Slow-Train-Analysis-(2080s-and-2083s)?_g=(refreshInterval:(display:Off,pause:!f,section:0,value:0),time:(from:'2018-01-04T13:40:40-0700',mode:absolute,to:'2018-01-04T16:21:45-0700'))&amp;_a=(columns:!('Message%20ID',Summary),filters:!(),index:'emp_*',interval:auto,query:(query_string:(analyze_wildcard:!t,query:'%22rtdc.l.rtdc.4046%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229" t="s">
        <v>829</v>
      </c>
      <c r="B102" s="225">
        <v>4045</v>
      </c>
      <c r="C102" s="227" t="s">
        <v>192</v>
      </c>
      <c r="D102" s="227" t="s">
        <v>954</v>
      </c>
      <c r="E102" s="226">
        <v>43104.650810185187</v>
      </c>
      <c r="F102" s="226">
        <v>43104.654351851852</v>
      </c>
      <c r="G102" s="225">
        <v>71</v>
      </c>
      <c r="H102" s="227" t="s">
        <v>626</v>
      </c>
      <c r="I102" s="226">
        <v>43104.680960648147</v>
      </c>
      <c r="J102" s="225">
        <v>0</v>
      </c>
      <c r="K102" s="237" t="str">
        <f>IF(ISEVEN(B102),(B102-1)&amp;"/"&amp;B102,B102&amp;"/"&amp;(B102+1))</f>
        <v>4045/4046</v>
      </c>
      <c r="L102" s="245" t="str">
        <f>VLOOKUP(A102,'Trips&amp;Operators'!$C$1:$G$99911,5,FALSE)</f>
        <v>BRUDER RICHARD</v>
      </c>
      <c r="M102" s="224">
        <f>I102-F102</f>
        <v>2.6608796295477077E-2</v>
      </c>
      <c r="N102" s="225">
        <f>24*60*SUM($M102:$M102)</f>
        <v>38.316666665486991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-04T14:37:10-0700',mode:absolute,to:'2018-01-04T17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23.290199999999999</v>
      </c>
      <c r="Z102" s="247">
        <f>RIGHT(H102,LEN(H102)-4)/10000</f>
        <v>2.29E-2</v>
      </c>
      <c r="AA102" s="247">
        <f>ABS(Z102-Y102)</f>
        <v>23.267299999999999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190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/stypes="app*4045*20180104*"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1"/>
        <v>"%USERPROFILE%\Documents\GitHub\eaglep3\Utilities\RefineRTDCRunTimes.py" --tripid 190-04 --locoid 4045 --swversion DE.1.0.9.0 --startMP 204:232902 --initTime 2018-01-04T15:37:10 --startdatetime 2018-01-04T15:42:16 --delay 71 --endMP 204:229 --enddatetime 2018-01-04T16:20:35 --enforcementcount 0 &gt;&gt;%USERPROFILE%\Documents\GitHub\eaglep3-reporting\EC\2018-01-04-refined-times.txt</v>
      </c>
      <c r="AI102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{"issue":{"subject":"","project_id":79,"tracker_id":40,"status_id":1,"priority_id":2,"assigned_to_id":338,"start_date":"2018-01-04","description":"","custom_fields":[{"id":1,"name":"Subdivision","value":"EC"},{"id":4,"name":"Milepost","value":"0.0229"},{"id":17,"name":"Train ID","value":"190-04"},{"id":16,"name":"Locomotive ID","value":"4045"},{"id":130,"name":"Impact","value":""},{"id":150,"name":"Time of Event (Mountain Time)","value":"16:20:35"},{"id":151,"name":"Denver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3"/>
        <v>start /low /b %USERPROFILE%\Documents\GitHub\eaglep3\Utilities\DownloadLogsFromS3.py --loco 4045 --day 2018-01-04</v>
      </c>
      <c r="AN10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5"/>
        <v>https://d0f6bd738d7f1b3e5a7ca70fe4ff75f0.us-east-1.aws.found.io/app/kibana#/discover/Steve-Slow-Train-Analysis-(2080s-and-2083s)?_g=(refreshInterval:(display:Off,pause:!f,section:0,value:0),time:(from:'2018-01-04T14:37:10-0700',mode:absolute,to:'2018-01-04T17:20:35-0700'))&amp;_a=(columns:!('Message%20ID',Summary),filters:!(),index:'emp_*',interval:auto,query:(query_string:(analyze_wildcard:!t,query:'%22rtdc.l.rtdc.4045%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821</v>
      </c>
      <c r="B103" s="225">
        <v>4064</v>
      </c>
      <c r="C103" s="227" t="s">
        <v>192</v>
      </c>
      <c r="D103" s="227" t="s">
        <v>979</v>
      </c>
      <c r="E103" s="226">
        <v>43104.638495370367</v>
      </c>
      <c r="F103" s="226">
        <v>43104.63989583333</v>
      </c>
      <c r="G103" s="225">
        <v>52</v>
      </c>
      <c r="H103" s="227" t="s">
        <v>625</v>
      </c>
      <c r="I103" s="226">
        <v>43104.657951388886</v>
      </c>
      <c r="J103" s="225">
        <v>0</v>
      </c>
      <c r="K103" s="237" t="str">
        <f>IF(ISEVEN(B103),(B103-1)&amp;"/"&amp;B103,B103&amp;"/"&amp;(B103+1))</f>
        <v>4063/4064</v>
      </c>
      <c r="L103" s="245" t="str">
        <f>VLOOKUP(A103,'Trips&amp;Operators'!$C$1:$G$99911,5,FALSE)</f>
        <v>STEWART MICHAEL</v>
      </c>
      <c r="M103" s="224">
        <f>I103-F103</f>
        <v>1.8055555556202307E-2</v>
      </c>
      <c r="N103" s="225"/>
      <c r="O103" s="225"/>
      <c r="P103" s="225">
        <f>24*60*SUM($M103:$M103)</f>
        <v>26.000000000931323</v>
      </c>
      <c r="Q103" s="228"/>
      <c r="R103" s="242" t="s">
        <v>1119</v>
      </c>
      <c r="S103" s="249">
        <f>1/IF(AG103="EC",12,1)*SUM(U103:U103+U104)</f>
        <v>0.5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3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-04T14:19:26-0700',mode:absolute,to:'2018-01-04T16:47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3" s="247" t="str">
        <f>IF(AA103&lt;VLOOKUP(AG103,Variables!$AC$3:$AD$8,2,FALSE),"Y","N")</f>
        <v>Y</v>
      </c>
      <c r="X103" s="247">
        <f>VALUE(LEFT(AD103,4))-VALUE(LEFT(AD102,4))</f>
        <v>1</v>
      </c>
      <c r="Y103" s="247">
        <f>RIGHT(D103,LEN(D103)-4)/10000</f>
        <v>6.4710000000000001</v>
      </c>
      <c r="Z103" s="247">
        <f>RIGHT(H103,LEN(H103)-4)/10000</f>
        <v>23.328600000000002</v>
      </c>
      <c r="AA103" s="247">
        <f>ABS(Z103-Y103)</f>
        <v>16.857600000000001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191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/stypes="app*4064*20180104*"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1"/>
        <v>"%USERPROFILE%\Documents\GitHub\eaglep3\Utilities\RefineRTDCRunTimes.py" --tripid 191-04 --locoid 4064 --swversion DE.1.0.9.0 --startMP 204:64710 --initTime 2018-01-04T15:19:26 --startdatetime 2018-01-04T15:21:27 --delay 52 --endMP 204:233286 --enddatetime 2018-01-04T15:47:27 --enforcementcount 0 &gt;&gt;%USERPROFILE%\Documents\GitHub\eaglep3-reporting\EC\2018-01-04-refined-times.txt</v>
      </c>
      <c r="AI103" s="238" t="str">
        <f t="shared" si="12"/>
        <v>echo {"issue":{"subject":"Onboard en route failure","project_id":79,"tracker_id":40,"status_id":1,"priority_id":2,"assigned_to_id":338,"start_date":"2018-01-04","description":"","custom_fields":[{"id":1,"name":"Subdivision","value":"EC"},{"id":4,"name":"Milepost","value":"23.3286"},{"id":17,"name":"Train ID","value":"191-04"},{"id":16,"name":"Locomotive ID","value":"4064"},{"id":130,"name":"Impact","value":""},{"id":150,"name":"Time of Event (Mountain Time)","value":"15:47:27"},{"id":151,"name":"Denver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3"/>
        <v>start /low /b %USERPROFILE%\Documents\GitHub\eaglep3\Utilities\DownloadLogsFromS3.py --loco 4064 --day 2018-01-04</v>
      </c>
      <c r="AN103" s="241" t="str">
        <f t="shared" si="14"/>
        <v>echo {"issue":{"subject":"Onboard en route failure","project_id":30,"tracker_id":4,"status_id":1,"priority_id":1,"assigned_to_id":10,"start_date":"2018-01-04","description":"","custom_fields":[{"id":30,"name":"Category","value":"Issue"},{"id":3,"name":"Functional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22:47:27"},{"id":29,"name":"Sharepoint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5"/>
        <v>https://d0f6bd738d7f1b3e5a7ca70fe4ff75f0.us-east-1.aws.found.io/app/kibana#/discover/Steve-Slow-Train-Analysis-(2080s-and-2083s)?_g=(refreshInterval:(display:Off,pause:!f,section:0,value:0),time:(from:'2018-01-04T14:19:26-0700',mode:absolute,to:'2018-01-04T16:47:27-0700'))&amp;_a=(columns:!('Message%20ID',Summary),filters:!(),index:'emp_*',interval:auto,query:(query_string:(analyze_wildcard:!t,query:'%22rtdc.l.rtdc.4064%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821</v>
      </c>
      <c r="B104" s="225">
        <v>4064</v>
      </c>
      <c r="C104" s="227" t="s">
        <v>192</v>
      </c>
      <c r="D104" s="227" t="s">
        <v>937</v>
      </c>
      <c r="E104" s="226">
        <v>43104.622997685183</v>
      </c>
      <c r="F104" s="226">
        <v>43104.63989583333</v>
      </c>
      <c r="G104" s="225">
        <v>52</v>
      </c>
      <c r="H104" s="227" t="s">
        <v>980</v>
      </c>
      <c r="I104" s="226">
        <v>43104.657951388886</v>
      </c>
      <c r="J104" s="225">
        <v>0</v>
      </c>
      <c r="K104" s="237" t="str">
        <f>IF(ISEVEN(B104),(B104-1)&amp;"/"&amp;B104,B104&amp;"/"&amp;(B104+1))</f>
        <v>4063/4064</v>
      </c>
      <c r="L104" s="245" t="str">
        <f>VLOOKUP(A104,'Trips&amp;Operators'!$C$1:$G$99911,5,FALSE)</f>
        <v>STEWART MICHAEL</v>
      </c>
      <c r="M104" s="224">
        <f>I104-F104</f>
        <v>1.8055555556202307E-2</v>
      </c>
      <c r="N104" s="225"/>
      <c r="O104" s="225"/>
      <c r="P104" s="225"/>
      <c r="Q104" s="228"/>
      <c r="R104" s="242"/>
      <c r="S104" s="249"/>
      <c r="T104" s="242" t="str">
        <f>IF(ISEVEN(LEFT(AD104,4)),"Southbound","NorthBound")</f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3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-04T13:57:07-0700',mode:absolute,to:'2018-01-04T16:47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4" s="247" t="str">
        <f>IF(AA104&lt;VLOOKUP(AG104,Variables!$AC$3:$AD$8,2,FALSE),"Y","N")</f>
        <v>Y</v>
      </c>
      <c r="X104" s="247">
        <f>VALUE(LEFT(AD104,4))-VALUE(LEFT(AD103,4))</f>
        <v>0</v>
      </c>
      <c r="Y104" s="247">
        <f>RIGHT(D104,LEN(D104)-4)/10000</f>
        <v>4.8800000000000003E-2</v>
      </c>
      <c r="Z104" s="247">
        <f>RIGHT(H104,LEN(H104)-4)/10000</f>
        <v>3.6797</v>
      </c>
      <c r="AA104" s="247">
        <f>ABS(Z104-Y104)</f>
        <v>3.6309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191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/stypes="app*4064*20180104*" /stext=" 22:.+((SYSTEM_STATE.+slice.+state.+changed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1"/>
        <v>"%USERPROFILE%\Documents\GitHub\eaglep3\Utilities\RefineRTDCRunTimes.py" --tripid 191-04 --locoid 4064 --swversion DE.1.0.9.0 --startMP 204:488 --initTime 2018-01-04T14:57:07 --startdatetime 2018-01-04T15:21:27 --delay 52 --endMP 204:36797 --enddatetime 2018-01-04T15:47:27 --enforcementcount 0 &gt;&gt;%USERPROFILE%\Documents\GitHub\eaglep3-reporting\EC\2018-01-04-refined-times.txt</v>
      </c>
      <c r="AI104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{"issue":{"subject":"","project_id":79,"tracker_id":40,"status_id":1,"priority_id":2,"assigned_to_id":338,"start_date":"2018-01-04","description":"","custom_fields":[{"id":1,"name":"Subdivision","value":"EC"},{"id":4,"name":"Milepost","value":"3.6797"},{"id":17,"name":"Train ID","value":"191-04"},{"id":16,"name":"Locomotive ID","value":"4064"},{"id":130,"name":"Impact","value":""},{"id":150,"name":"Time of Event (Mountain Time)","value":"15:47:27"},{"id":151,"name":"Denver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3"/>
        <v>start /low /b %USERPROFILE%\Documents\GitHub\eaglep3\Utilities\DownloadLogsFromS3.py --loco 4064 --day 2018-01-04</v>
      </c>
      <c r="AN104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22:47:27"},{"id":29,"name":"Sharepoint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5"/>
        <v>https://d0f6bd738d7f1b3e5a7ca70fe4ff75f0.us-east-1.aws.found.io/app/kibana#/discover/Steve-Slow-Train-Analysis-(2080s-and-2083s)?_g=(refreshInterval:(display:Off,pause:!f,section:0,value:0),time:(from:'2018-01-04T13:57:07-0700',mode:absolute,to:'2018-01-04T16:47:27-0700'))&amp;_a=(columns:!('Message%20ID',Summary),filters:!(),index:'emp_*',interval:auto,query:(query_string:(analyze_wildcard:!t,query:'%22rtdc.l.rtdc.4064%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23" customFormat="1" x14ac:dyDescent="0.3">
      <c r="A105" s="229" t="s">
        <v>830</v>
      </c>
      <c r="B105" s="225">
        <v>4063</v>
      </c>
      <c r="C105" s="227" t="s">
        <v>192</v>
      </c>
      <c r="D105" s="227" t="s">
        <v>600</v>
      </c>
      <c r="E105" s="226">
        <v>43104.66034722222</v>
      </c>
      <c r="F105" s="226">
        <v>43104.664907407408</v>
      </c>
      <c r="G105" s="225">
        <v>54</v>
      </c>
      <c r="H105" s="227" t="s">
        <v>981</v>
      </c>
      <c r="I105" s="226">
        <v>43104.691944444443</v>
      </c>
      <c r="J105" s="225">
        <v>0</v>
      </c>
      <c r="K105" s="237" t="str">
        <f>IF(ISEVEN(B105),(B105-1)&amp;"/"&amp;B105,B105&amp;"/"&amp;(B105+1))</f>
        <v>4063/4064</v>
      </c>
      <c r="L105" s="245" t="str">
        <f>VLOOKUP(A105,'Trips&amp;Operators'!$C$1:$G$99911,5,FALSE)</f>
        <v>STEWART MICHAEL</v>
      </c>
      <c r="M105" s="224">
        <f>I105-F105</f>
        <v>2.7037037034460809E-2</v>
      </c>
      <c r="N105" s="225">
        <f>24*60*SUM($M105:$M105)</f>
        <v>38.933333329623565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-04T14:50:54-0700',mode:absolute,to:'2018-01-04T17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23.296900000000001</v>
      </c>
      <c r="Z105" s="247">
        <f>RIGHT(H105,LEN(H105)-4)/10000</f>
        <v>1.8499999999999999E-2</v>
      </c>
      <c r="AA105" s="247">
        <f>ABS(Z105-Y105)</f>
        <v>23.278400000000001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192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/stypes="app*4063*20180104*" /stext=" 23:.+((SYSTEM_STATE.+slice.+state.+changed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1"/>
        <v>"%USERPROFILE%\Documents\GitHub\eaglep3\Utilities\RefineRTDCRunTimes.py" --tripid 192-04 --locoid 4063 --swversion DE.1.0.9.0 --startMP 204:232969 --initTime 2018-01-04T15:50:54 --startdatetime 2018-01-04T15:57:28 --delay 54 --endMP 204:185 --enddatetime 2018-01-04T16:36:24 --enforcementcount 0 &gt;&gt;%USERPROFILE%\Documents\GitHub\eaglep3-reporting\EC\2018-01-04-refined-times.txt</v>
      </c>
      <c r="AI105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{"issue":{"subject":"","project_id":79,"tracker_id":40,"status_id":1,"priority_id":2,"assigned_to_id":338,"start_date":"2018-01-04","description":"","custom_fields":[{"id":1,"name":"Subdivision","value":"EC"},{"id":4,"name":"Milepost","value":"0.0185"},{"id":17,"name":"Train ID","value":"192-04"},{"id":16,"name":"Locomotive ID","value":"4063"},{"id":130,"name":"Impact","value":""},{"id":150,"name":"Time of Event (Mountain Time)","value":"16:36:24"},{"id":151,"name":"Denver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231"/>
      <c r="AL105" s="231"/>
      <c r="AM105" s="240" t="str">
        <f t="shared" si="13"/>
        <v>start /low /b %USERPROFILE%\Documents\GitHub\eaglep3\Utilities\DownloadLogsFromS3.py --loco 4063 --day 2018-01-04</v>
      </c>
      <c r="AN105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5"/>
        <v>https://d0f6bd738d7f1b3e5a7ca70fe4ff75f0.us-east-1.aws.found.io/app/kibana#/discover/Steve-Slow-Train-Analysis-(2080s-and-2083s)?_g=(refreshInterval:(display:Off,pause:!f,section:0,value:0),time:(from:'2018-01-04T14:50:54-0700',mode:absolute,to:'2018-01-04T17:36:24-0700'))&amp;_a=(columns:!('Message%20ID',Summary),filters:!(),index:'emp_*',interval:auto,query:(query_string:(analyze_wildcard:!t,query:'%22rtdc.l.rtdc.4063%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824</v>
      </c>
      <c r="B106" s="225">
        <v>4052</v>
      </c>
      <c r="C106" s="227" t="s">
        <v>192</v>
      </c>
      <c r="D106" s="227" t="s">
        <v>607</v>
      </c>
      <c r="E106" s="226">
        <v>43104.63422453704</v>
      </c>
      <c r="F106" s="226">
        <v>43104.635601851849</v>
      </c>
      <c r="G106" s="225">
        <v>59</v>
      </c>
      <c r="H106" s="227" t="s">
        <v>982</v>
      </c>
      <c r="I106" s="226">
        <v>43104.661793981482</v>
      </c>
      <c r="J106" s="225">
        <v>0</v>
      </c>
      <c r="K106" s="237" t="str">
        <f>IF(ISEVEN(B106),(B106-1)&amp;"/"&amp;B106,B106&amp;"/"&amp;(B106+1))</f>
        <v>4051/4052</v>
      </c>
      <c r="L106" s="245" t="str">
        <f>VLOOKUP(A106,'Trips&amp;Operators'!$C$1:$G$99911,5,FALSE)</f>
        <v>LEVIN SCOTT</v>
      </c>
      <c r="M106" s="224">
        <f>I106-F106</f>
        <v>2.6192129633272998E-2</v>
      </c>
      <c r="N106" s="225">
        <f>24*60*SUM($M106:$M106)</f>
        <v>37.716666671913117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-04T14:13:17-0700',mode:absolute,to:'2018-01-04T16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4.5699999999999998E-2</v>
      </c>
      <c r="Z106" s="247">
        <f>RIGHT(H106,LEN(H106)-4)/10000</f>
        <v>23.3338</v>
      </c>
      <c r="AA106" s="247">
        <f>ABS(Z106-Y106)</f>
        <v>23.2881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193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s3://rtdc.mdm.uploadarchive.raw/RTDC4052/ "%USERPROFILE%\AppData\Local\Temp\OnboardLogs"\RTDC4052\2018-01-04 --exclude "*" --recursive --include "*20180104*" &amp; "%USERPROFILE%\Documents\GitHub\mrs-test-scripts\Headless Mode &amp; Sideloading\WalkAndUnGZ.bat" "%USERPROFILE%\AppData\Local\Temp\OnboardLogs"\RTDC4052\2018-01-04 &amp; 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/stypes="app*4052*20180104*"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1"/>
        <v>"%USERPROFILE%\Documents\GitHub\eaglep3\Utilities\RefineRTDCRunTimes.py" --tripid 193-04 --locoid 4052 --swversion DE.1.0.9.0 --startMP 204:457 --initTime 2018-01-04T15:13:17 --startdatetime 2018-01-04T15:15:16 --delay 59 --endMP 204:233338 --enddatetime 2018-01-04T15:52:59 --enforcementcount 0 &gt;&gt;%USERPROFILE%\Documents\GitHub\eaglep3-reporting\EC\2018-01-04-refined-times.txt</v>
      </c>
      <c r="AI106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{"issue":{"subject":"","project_id":79,"tracker_id":40,"status_id":1,"priority_id":2,"assigned_to_id":338,"start_date":"2018-01-04","description":"","custom_fields":[{"id":1,"name":"Subdivision","value":"EC"},{"id":4,"name":"Milepost","value":"23.3338"},{"id":17,"name":"Train ID","value":"193-04"},{"id":16,"name":"Locomotive ID","value":"4052"},{"id":130,"name":"Impact","value":""},{"id":150,"name":"Time of Event (Mountain Time)","value":"15:52:59"},{"id":151,"name":"Denver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3"/>
        <v>start /low /b %USERPROFILE%\Documents\GitHub\eaglep3\Utilities\DownloadLogsFromS3.py --loco 4052 --day 2018-01-04</v>
      </c>
      <c r="AN106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5"/>
        <v>https://d0f6bd738d7f1b3e5a7ca70fe4ff75f0.us-east-1.aws.found.io/app/kibana#/discover/Steve-Slow-Train-Analysis-(2080s-and-2083s)?_g=(refreshInterval:(display:Off,pause:!f,section:0,value:0),time:(from:'2018-01-04T14:13:17-0700',mode:absolute,to:'2018-01-04T16:52:59-0700'))&amp;_a=(columns:!('Message%20ID',Summary),filters:!(),index:'emp_*',interval:auto,query:(query_string:(analyze_wildcard:!t,query:'%22rtdc.l.rtdc.4052%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833</v>
      </c>
      <c r="B107" s="225">
        <v>4051</v>
      </c>
      <c r="C107" s="227" t="s">
        <v>192</v>
      </c>
      <c r="D107" s="227" t="s">
        <v>603</v>
      </c>
      <c r="E107" s="226">
        <v>43104.668530092589</v>
      </c>
      <c r="F107" s="226">
        <v>43104.67528935185</v>
      </c>
      <c r="G107" s="225">
        <v>58</v>
      </c>
      <c r="H107" s="227" t="s">
        <v>522</v>
      </c>
      <c r="I107" s="226">
        <v>43104.701516203706</v>
      </c>
      <c r="J107" s="225">
        <v>0</v>
      </c>
      <c r="K107" s="237" t="str">
        <f>IF(ISEVEN(B107),(B107-1)&amp;"/"&amp;B107,B107&amp;"/"&amp;(B107+1))</f>
        <v>4051/4052</v>
      </c>
      <c r="L107" s="245" t="str">
        <f>VLOOKUP(A107,'Trips&amp;Operators'!$C$1:$G$99911,5,FALSE)</f>
        <v>LEVIN SCOTT</v>
      </c>
      <c r="M107" s="224">
        <f>I107-F107</f>
        <v>2.6226851856335998E-2</v>
      </c>
      <c r="N107" s="225">
        <f>24*60*SUM($M107:$M107)</f>
        <v>37.766666673123837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-04T15:02:41-0700',mode:absolute,to:'2018-01-04T17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23.302099999999999</v>
      </c>
      <c r="Z107" s="247">
        <f>RIGHT(H107,LEN(H107)-4)/10000</f>
        <v>1.72E-2</v>
      </c>
      <c r="AA107" s="247">
        <f>ABS(Z107-Y107)</f>
        <v>23.2849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194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/stypes="app*4051*20180104*"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1"/>
        <v>"%USERPROFILE%\Documents\GitHub\eaglep3\Utilities\RefineRTDCRunTimes.py" --tripid 194-04 --locoid 4051 --swversion DE.1.0.9.0 --startMP 204:233021 --initTime 2018-01-04T16:02:41 --startdatetime 2018-01-04T16:12:25 --delay 58 --endMP 204:172 --enddatetime 2018-01-04T16:50:11 --enforcementcount 0 &gt;&gt;%USERPROFILE%\Documents\GitHub\eaglep3-reporting\EC\2018-01-04-refined-times.txt</v>
      </c>
      <c r="AI107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{"issue":{"subject":"","project_id":79,"tracker_id":40,"status_id":1,"priority_id":2,"assigned_to_id":338,"start_date":"2018-01-04","description":"","custom_fields":[{"id":1,"name":"Subdivision","value":"EC"},{"id":4,"name":"Milepost","value":"0.0172"},{"id":17,"name":"Train ID","value":"194-04"},{"id":16,"name":"Locomotive ID","value":"4051"},{"id":130,"name":"Impact","value":""},{"id":150,"name":"Time of Event (Mountain Time)","value":"16:50:11"},{"id":151,"name":"Denver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3"/>
        <v>start /low /b %USERPROFILE%\Documents\GitHub\eaglep3\Utilities\DownloadLogsFromS3.py --loco 4051 --day 2018-01-04</v>
      </c>
      <c r="AN107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5"/>
        <v>https://d0f6bd738d7f1b3e5a7ca70fe4ff75f0.us-east-1.aws.found.io/app/kibana#/discover/Steve-Slow-Train-Analysis-(2080s-and-2083s)?_g=(refreshInterval:(display:Off,pause:!f,section:0,value:0),time:(from:'2018-01-04T15:02:41-0700',mode:absolute,to:'2018-01-04T17:50:11-0700'))&amp;_a=(columns:!('Message%20ID',Summary),filters:!(),index:'emp_*',interval:auto,query:(query_string:(analyze_wildcard:!t,query:'%22rtdc.l.rtdc.4051%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23" customFormat="1" x14ac:dyDescent="0.3">
      <c r="A108" s="229" t="s">
        <v>828</v>
      </c>
      <c r="B108" s="225">
        <v>4034</v>
      </c>
      <c r="C108" s="227" t="s">
        <v>192</v>
      </c>
      <c r="D108" s="227" t="s">
        <v>499</v>
      </c>
      <c r="E108" s="226">
        <v>43104.642928240741</v>
      </c>
      <c r="F108" s="226">
        <v>43104.645983796298</v>
      </c>
      <c r="G108" s="225">
        <v>67</v>
      </c>
      <c r="H108" s="227" t="s">
        <v>484</v>
      </c>
      <c r="I108" s="226">
        <v>43104.670208333337</v>
      </c>
      <c r="J108" s="225">
        <v>0</v>
      </c>
      <c r="K108" s="237" t="str">
        <f>IF(ISEVEN(B108),(B108-1)&amp;"/"&amp;B108,B108&amp;"/"&amp;(B108+1))</f>
        <v>4033/4034</v>
      </c>
      <c r="L108" s="245" t="str">
        <f>VLOOKUP(A108,'Trips&amp;Operators'!$C$1:$G$99911,5,FALSE)</f>
        <v>ROBINSON KADDIBA</v>
      </c>
      <c r="M108" s="224">
        <f>I108-F108</f>
        <v>2.4224537039117422E-2</v>
      </c>
      <c r="N108" s="225">
        <f>24*60*SUM($M108:$M108)</f>
        <v>34.883333336329088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-04T14:25:49-0700',mode:absolute,to:'2018-01-04T17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4.8899999999999999E-2</v>
      </c>
      <c r="Z108" s="247">
        <f>RIGHT(H108,LEN(H108)-4)/10000</f>
        <v>23.329499999999999</v>
      </c>
      <c r="AA108" s="247">
        <f>ABS(Z108-Y108)</f>
        <v>23.2806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195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/stypes="app*4034*20180104*"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1"/>
        <v>"%USERPROFILE%\Documents\GitHub\eaglep3\Utilities\RefineRTDCRunTimes.py" --tripid 195-04 --locoid 4034 --swversion DE.1.0.9.0 --startMP 204:489 --initTime 2018-01-04T15:25:49 --startdatetime 2018-01-04T15:30:13 --delay 67 --endMP 204:233295 --enddatetime 2018-01-04T16:05:06 --enforcementcount 0 &gt;&gt;%USERPROFILE%\Documents\GitHub\eaglep3-reporting\EC\2018-01-04-refined-times.txt</v>
      </c>
      <c r="AI108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{"issue":{"subject":"","project_id":79,"tracker_id":40,"status_id":1,"priority_id":2,"assigned_to_id":338,"start_date":"2018-01-04","description":"","custom_fields":[{"id":1,"name":"Subdivision","value":"EC"},{"id":4,"name":"Milepost","value":"23.3295"},{"id":17,"name":"Train ID","value":"195-04"},{"id":16,"name":"Locomotive ID","value":"4034"},{"id":130,"name":"Impact","value":""},{"id":150,"name":"Time of Event (Mountain Time)","value":"16:05:06"},{"id":151,"name":"Denver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231"/>
      <c r="AL108" s="231"/>
      <c r="AM108" s="240" t="str">
        <f t="shared" si="13"/>
        <v>start /low /b %USERPROFILE%\Documents\GitHub\eaglep3\Utilities\DownloadLogsFromS3.py --loco 4034 --day 2018-01-04</v>
      </c>
      <c r="AN10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5"/>
        <v>https://d0f6bd738d7f1b3e5a7ca70fe4ff75f0.us-east-1.aws.found.io/app/kibana#/discover/Steve-Slow-Train-Analysis-(2080s-and-2083s)?_g=(refreshInterval:(display:Off,pause:!f,section:0,value:0),time:(from:'2018-01-04T14:25:49-0700',mode:absolute,to:'2018-01-04T17:05:06-0700'))&amp;_a=(columns:!('Message%20ID',Summary),filters:!(),index:'emp_*',interval:auto,query:(query_string:(analyze_wildcard:!t,query:'%22rtdc.l.rtdc.4034%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836</v>
      </c>
      <c r="B109" s="225">
        <v>4033</v>
      </c>
      <c r="C109" s="227" t="s">
        <v>192</v>
      </c>
      <c r="D109" s="227" t="s">
        <v>498</v>
      </c>
      <c r="E109" s="226">
        <v>43104.681886574072</v>
      </c>
      <c r="F109" s="226">
        <v>43104.684930555559</v>
      </c>
      <c r="G109" s="225">
        <v>52</v>
      </c>
      <c r="H109" s="227" t="s">
        <v>609</v>
      </c>
      <c r="I109" s="226">
        <v>43104.712939814817</v>
      </c>
      <c r="J109" s="225">
        <v>0</v>
      </c>
      <c r="K109" s="237" t="str">
        <f>IF(ISEVEN(B109),(B109-1)&amp;"/"&amp;B109,B109&amp;"/"&amp;(B109+1))</f>
        <v>4033/4034</v>
      </c>
      <c r="L109" s="245" t="str">
        <f>VLOOKUP(A109,'Trips&amp;Operators'!$C$1:$G$99911,5,FALSE)</f>
        <v>ROBINSON KADDIBA</v>
      </c>
      <c r="M109" s="224">
        <f>I109-F109</f>
        <v>2.8009259258396924E-2</v>
      </c>
      <c r="N109" s="225">
        <f>24*60*SUM($M109:$M109)</f>
        <v>40.33333333209157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-04T15:21:55-0700',mode:absolute,to:'2018-01-04T18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23.297699999999999</v>
      </c>
      <c r="Z109" s="247">
        <f>RIGHT(H109,LEN(H109)-4)/10000</f>
        <v>2.07E-2</v>
      </c>
      <c r="AA109" s="247">
        <f>ABS(Z109-Y109)</f>
        <v>23.276999999999997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196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/stypes="app*4033*20180105*" /stext=" 00:.+((SYSTEM_STATE.+slice.+state.+changed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1"/>
        <v>"%USERPROFILE%\Documents\GitHub\eaglep3\Utilities\RefineRTDCRunTimes.py" --tripid 196-04 --locoid 4033 --swversion DE.1.0.9.0 --startMP 204:232977 --initTime 2018-01-04T16:21:55 --startdatetime 2018-01-04T16:26:18 --delay 52 --endMP 204:207 --enddatetime 2018-01-04T17:06:38 --enforcementcount 0 &gt;&gt;%USERPROFILE%\Documents\GitHub\eaglep3-reporting\EC\2018-01-04-refined-times.txt</v>
      </c>
      <c r="AI109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{"issue":{"subject":"","project_id":79,"tracker_id":40,"status_id":1,"priority_id":2,"assigned_to_id":338,"start_date":"2018-01-04","description":"","custom_fields":[{"id":1,"name":"Subdivision","value":"EC"},{"id":4,"name":"Milepost","value":"0.0207"},{"id":17,"name":"Train ID","value":"196-04"},{"id":16,"name":"Locomotive ID","value":"4033"},{"id":130,"name":"Impact","value":""},{"id":150,"name":"Time of Event (Mountain Time)","value":"17:06:38"},{"id":151,"name":"Denver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13"/>
        <v>start /low /b %USERPROFILE%\Documents\GitHub\eaglep3\Utilities\DownloadLogsFromS3.py --loco 4033 --day 2018-01-04</v>
      </c>
      <c r="AN109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5"/>
        <v>https://d0f6bd738d7f1b3e5a7ca70fe4ff75f0.us-east-1.aws.found.io/app/kibana#/discover/Steve-Slow-Train-Analysis-(2080s-and-2083s)?_g=(refreshInterval:(display:Off,pause:!f,section:0,value:0),time:(from:'2018-01-04T15:21:55-0700',mode:absolute,to:'2018-01-04T18:06:38-0700'))&amp;_a=(columns:!('Message%20ID',Summary),filters:!(),index:'emp_*',interval:auto,query:(query_string:(analyze_wildcard:!t,query:'%22rtdc.l.rtdc.4033%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675</v>
      </c>
      <c r="B110" s="225">
        <v>4032</v>
      </c>
      <c r="C110" s="227" t="s">
        <v>192</v>
      </c>
      <c r="D110" s="227" t="s">
        <v>551</v>
      </c>
      <c r="E110" s="226">
        <v>43104.651689814818</v>
      </c>
      <c r="F110" s="226">
        <v>43104.656446759262</v>
      </c>
      <c r="G110" s="225">
        <v>69</v>
      </c>
      <c r="H110" s="227" t="s">
        <v>923</v>
      </c>
      <c r="I110" s="226">
        <v>43104.683993055558</v>
      </c>
      <c r="J110" s="225">
        <v>0</v>
      </c>
      <c r="K110" s="237" t="str">
        <f>IF(ISEVEN(B110),(B110-1)&amp;"/"&amp;B110,B110&amp;"/"&amp;(B110+1))</f>
        <v>4031/4032</v>
      </c>
      <c r="L110" s="245" t="str">
        <f>VLOOKUP(A110,'Trips&amp;Operators'!$C$1:$G$99911,5,FALSE)</f>
        <v>LEVERE CRAIG</v>
      </c>
      <c r="M110" s="224">
        <f>I110-F110</f>
        <v>2.7546296296350192E-2</v>
      </c>
      <c r="N110" s="225">
        <f>24*60*SUM($M110:$M110)</f>
        <v>39.666666666744277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-04T14:38:26-0700',mode:absolute,to:'2018-01-04T17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5.2400000000000002E-2</v>
      </c>
      <c r="Z110" s="247">
        <f>RIGHT(H110,LEN(H110)-4)/10000</f>
        <v>23.328900000000001</v>
      </c>
      <c r="AA110" s="247">
        <f>ABS(Z110-Y110)</f>
        <v>23.276500000000002</v>
      </c>
      <c r="AB110" s="233" t="str">
        <f>VLOOKUP(A110,Enforcements!$C$7:$K$9,8,0)</f>
        <v>Bulletin (2)</v>
      </c>
      <c r="AC110" s="232" t="str">
        <f>VLOOKUP(A110,Enforcements!$C$7:$E$9,3,0)</f>
        <v>GRADE CROSSING</v>
      </c>
      <c r="AD110" s="243">
        <f>VALUE(LEFT(A110,LEN(A110)-3))</f>
        <v>197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/stypes="app*4032*20180104*" /stext=" 23:.+((SYSTEM_STATE.+slice.+state.+changed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1"/>
        <v>"%USERPROFILE%\Documents\GitHub\eaglep3\Utilities\RefineRTDCRunTimes.py" --tripid 197-04 --locoid 4032 --swversion DE.1.0.9.0 --startMP 204:524 --initTime 2018-01-04T15:38:26 --startdatetime 2018-01-04T15:45:17 --delay 69 --endMP 204:233289 --enddatetime 2018-01-04T16:24:57 --enforcementcount 0 &gt;&gt;%USERPROFILE%\Documents\GitHub\eaglep3-reporting\EC\2018-01-04-refined-times.txt</v>
      </c>
      <c r="AI110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{"issue":{"subject":"","project_id":79,"tracker_id":40,"status_id":1,"priority_id":2,"assigned_to_id":338,"start_date":"2018-01-04","description":"","custom_fields":[{"id":1,"name":"Subdivision","value":"EC"},{"id":4,"name":"Milepost","value":"23.3289"},{"id":17,"name":"Train ID","value":"197-04"},{"id":16,"name":"Locomotive ID","value":"4032"},{"id":130,"name":"Impact","value":""},{"id":150,"name":"Time of Event (Mountain Time)","value":"16:24:57"},{"id":151,"name":"Denver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3"/>
        <v>start /low /b %USERPROFILE%\Documents\GitHub\eaglep3\Utilities\DownloadLogsFromS3.py --loco 4032 --day 2018-01-04</v>
      </c>
      <c r="AN110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5"/>
        <v>https://d0f6bd738d7f1b3e5a7ca70fe4ff75f0.us-east-1.aws.found.io/app/kibana#/discover/Steve-Slow-Train-Analysis-(2080s-and-2083s)?_g=(refreshInterval:(display:Off,pause:!f,section:0,value:0),time:(from:'2018-01-04T14:38:26-0700',mode:absolute,to:'2018-01-04T17:24:57-0700'))&amp;_a=(columns:!('Message%20ID',Summary),filters:!(),index:'emp_*',interval:auto,query:(query_string:(analyze_wildcard:!t,query:'%22rtdc.l.rtdc.4032%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840</v>
      </c>
      <c r="B111" s="225">
        <v>4031</v>
      </c>
      <c r="C111" s="227" t="s">
        <v>192</v>
      </c>
      <c r="D111" s="227" t="s">
        <v>604</v>
      </c>
      <c r="E111" s="226">
        <v>43104.689965277779</v>
      </c>
      <c r="F111" s="226">
        <v>43104.696122685185</v>
      </c>
      <c r="G111" s="225">
        <v>69</v>
      </c>
      <c r="H111" s="227" t="s">
        <v>983</v>
      </c>
      <c r="I111" s="226">
        <v>43104.722615740742</v>
      </c>
      <c r="J111" s="225">
        <v>0</v>
      </c>
      <c r="K111" s="237" t="str">
        <f>IF(ISEVEN(B111),(B111-1)&amp;"/"&amp;B111,B111&amp;"/"&amp;(B111+1))</f>
        <v>4031/4032</v>
      </c>
      <c r="L111" s="245" t="str">
        <f>VLOOKUP(A111,'Trips&amp;Operators'!$C$1:$G$99911,5,FALSE)</f>
        <v>LEVERE CRAIG</v>
      </c>
      <c r="M111" s="224">
        <f>I111-F111</f>
        <v>2.6493055556784384E-2</v>
      </c>
      <c r="N111" s="225">
        <f>24*60*SUM($M111:$M111)</f>
        <v>38.150000001769513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-04T15:33:33-0700',mode:absolute,to:'2018-01-04T18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23.296399999999998</v>
      </c>
      <c r="Z111" s="247">
        <f>RIGHT(H111,LEN(H111)-4)/10000</f>
        <v>2.4299999999999999E-2</v>
      </c>
      <c r="AA111" s="247">
        <f>ABS(Z111-Y111)</f>
        <v>23.272099999999998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198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s3://rtdc.mdm.uploadarchive.raw/RTDC4031/ "%USERPROFILE%\AppData\Local\Temp\OnboardLogs"\RTDC4031\2018-01-04 --exclude "*" --recursive --include "*20180104*" &amp; "%USERPROFILE%\Documents\GitHub\mrs-test-scripts\Headless Mode &amp; Sideloading\WalkAndUnGZ.bat" "%USERPROFILE%\AppData\Local\Temp\OnboardLogs"\RTDC4031\2018-01-04 &amp; aws s3 cp s3://rtdc.mdm.uploadarchive.raw/RTDC4031/ "%USERPROFILE%\AppData\Local\Temp\OnboardLogs"\RTDC4031\2018-01-05 --exclude "*" --recursive --include "*20180105*" &amp; "%USERPROFILE%\Documents\GitHub\mrs-test-scripts\Headless Mode &amp; Sideloading\WalkAndUnGZ.bat" "%USERPROFILE%\AppData\Local\Temp\OnboardLogs"\RTDC4031\2018-01-05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/stypes="app*4031*20180105*" /stext=" 00:.+((SYSTEM_STATE.+slice.+state.+changed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1"/>
        <v>"%USERPROFILE%\Documents\GitHub\eaglep3\Utilities\RefineRTDCRunTimes.py" --tripid 198-04 --locoid 4031 --swversion DE.1.0.9.0 --startMP 204:232964 --initTime 2018-01-04T16:33:33 --startdatetime 2018-01-04T16:42:25 --delay 69 --endMP 204:243 --enddatetime 2018-01-04T17:20:34 --enforcementcount 0 &gt;&gt;%USERPROFILE%\Documents\GitHub\eaglep3-reporting\EC\2018-01-04-refined-times.txt</v>
      </c>
      <c r="AI111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{"issue":{"subject":"","project_id":79,"tracker_id":40,"status_id":1,"priority_id":2,"assigned_to_id":338,"start_date":"2018-01-04","description":"","custom_fields":[{"id":1,"name":"Subdivision","value":"EC"},{"id":4,"name":"Milepost","value":"0.0243"},{"id":17,"name":"Train ID","value":"198-04"},{"id":16,"name":"Locomotive ID","value":"4031"},{"id":130,"name":"Impact","value":""},{"id":150,"name":"Time of Event (Mountain Time)","value":"17:20:34"},{"id":151,"name":"Denver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3"/>
        <v>start /low /b %USERPROFILE%\Documents\GitHub\eaglep3\Utilities\DownloadLogsFromS3.py --loco 4031 --day 2018-01-04</v>
      </c>
      <c r="AN111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5"/>
        <v>https://d0f6bd738d7f1b3e5a7ca70fe4ff75f0.us-east-1.aws.found.io/app/kibana#/discover/Steve-Slow-Train-Analysis-(2080s-and-2083s)?_g=(refreshInterval:(display:Off,pause:!f,section:0,value:0),time:(from:'2018-01-04T15:33:33-0700',mode:absolute,to:'2018-01-04T18:20:34-0700'))&amp;_a=(columns:!('Message%20ID',Summary),filters:!(),index:'emp_*',interval:auto,query:(query_string:(analyze_wildcard:!t,query:'%22rtdc.l.rtdc.4031%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832</v>
      </c>
      <c r="B112" s="225">
        <v>4018</v>
      </c>
      <c r="C112" s="227" t="s">
        <v>192</v>
      </c>
      <c r="D112" s="227" t="s">
        <v>617</v>
      </c>
      <c r="E112" s="226">
        <v>43104.665254629632</v>
      </c>
      <c r="F112" s="226">
        <v>43104.666886574072</v>
      </c>
      <c r="G112" s="225">
        <v>69</v>
      </c>
      <c r="H112" s="227" t="s">
        <v>548</v>
      </c>
      <c r="I112" s="226">
        <v>43104.692326388889</v>
      </c>
      <c r="J112" s="225">
        <v>0</v>
      </c>
      <c r="K112" s="237" t="str">
        <f>IF(ISEVEN(B112),(B112-1)&amp;"/"&amp;B112,B112&amp;"/"&amp;(B112+1))</f>
        <v>4017/4018</v>
      </c>
      <c r="L112" s="245" t="str">
        <f>VLOOKUP(A112,'Trips&amp;Operators'!$C$1:$G$99911,5,FALSE)</f>
        <v>BADERTSCHER DIANE</v>
      </c>
      <c r="M112" s="224">
        <f>I112-F112</f>
        <v>2.5439814817218576E-2</v>
      </c>
      <c r="N112" s="225">
        <f>24*60*SUM($M112:$M112)</f>
        <v>36.633333336794749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-04T14:57:58-0700',mode:absolute,to:'2018-01-04T17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5.04E-2</v>
      </c>
      <c r="Z112" s="247">
        <f>RIGHT(H112,LEN(H112)-4)/10000</f>
        <v>23.3247</v>
      </c>
      <c r="AA112" s="247">
        <f>ABS(Z112-Y112)</f>
        <v>23.2743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199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/stypes="app*4018*20180104*" /stext=" 23:.+((SYSTEM_STATE.+slice.+state.+changed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1"/>
        <v>"%USERPROFILE%\Documents\GitHub\eaglep3\Utilities\RefineRTDCRunTimes.py" --tripid 199-04 --locoid 4018 --swversion DE.1.0.9.0 --startMP 204:504 --initTime 2018-01-04T15:57:58 --startdatetime 2018-01-04T16:00:19 --delay 69 --endMP 204:233247 --enddatetime 2018-01-04T16:36:57 --enforcementcount 0 &gt;&gt;%USERPROFILE%\Documents\GitHub\eaglep3-reporting\EC\2018-01-04-refined-times.txt</v>
      </c>
      <c r="AI112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{"issue":{"subject":"","project_id":79,"tracker_id":40,"status_id":1,"priority_id":2,"assigned_to_id":338,"start_date":"2018-01-04","description":"","custom_fields":[{"id":1,"name":"Subdivision","value":"EC"},{"id":4,"name":"Milepost","value":"23.3247"},{"id":17,"name":"Train ID","value":"199-04"},{"id":16,"name":"Locomotive ID","value":"4018"},{"id":130,"name":"Impact","value":""},{"id":150,"name":"Time of Event (Mountain Time)","value":"16:36:57"},{"id":151,"name":"Denver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3"/>
        <v>start /low /b %USERPROFILE%\Documents\GitHub\eaglep3\Utilities\DownloadLogsFromS3.py --loco 4018 --day 2018-01-04</v>
      </c>
      <c r="AN11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5"/>
        <v>https://d0f6bd738d7f1b3e5a7ca70fe4ff75f0.us-east-1.aws.found.io/app/kibana#/discover/Steve-Slow-Train-Analysis-(2080s-and-2083s)?_g=(refreshInterval:(display:Off,pause:!f,section:0,value:0),time:(from:'2018-01-04T14:57:58-0700',mode:absolute,to:'2018-01-04T17:36:57-0700'))&amp;_a=(columns:!('Message%20ID',Summary),filters:!(),index:'emp_*',interval:auto,query:(query_string:(analyze_wildcard:!t,query:'%22rtdc.l.rtdc.4018%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842</v>
      </c>
      <c r="B113" s="225">
        <v>4017</v>
      </c>
      <c r="C113" s="227" t="s">
        <v>192</v>
      </c>
      <c r="D113" s="227" t="s">
        <v>630</v>
      </c>
      <c r="E113" s="226">
        <v>43104.702731481484</v>
      </c>
      <c r="F113" s="226">
        <v>43104.706458333334</v>
      </c>
      <c r="G113" s="225">
        <v>54</v>
      </c>
      <c r="H113" s="227" t="s">
        <v>547</v>
      </c>
      <c r="I113" s="226">
        <v>43104.7346875</v>
      </c>
      <c r="J113" s="225">
        <v>0</v>
      </c>
      <c r="K113" s="237" t="str">
        <f>IF(ISEVEN(B113),(B113-1)&amp;"/"&amp;B113,B113&amp;"/"&amp;(B113+1))</f>
        <v>4017/4018</v>
      </c>
      <c r="L113" s="245" t="str">
        <f>VLOOKUP(A113,'Trips&amp;Operators'!$C$1:$G$99911,5,FALSE)</f>
        <v>BADERTSCHER DIANE</v>
      </c>
      <c r="M113" s="224">
        <f>I113-F113</f>
        <v>2.8229166666278616E-2</v>
      </c>
      <c r="N113" s="225">
        <f>24*60*SUM($M113:$M113)</f>
        <v>40.649999999441206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-04T15:51:56-0700',mode:absolute,to:'2018-01-04T18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23.293399999999998</v>
      </c>
      <c r="Z113" s="247">
        <f>RIGHT(H113,LEN(H113)-4)/10000</f>
        <v>2.2700000000000001E-2</v>
      </c>
      <c r="AA113" s="247">
        <f>ABS(Z113-Y113)</f>
        <v>23.270699999999998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200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/stypes="app*4017*20180105*" /stext=" 00:.+((SYSTEM_STATE.+slice.+state.+changed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1"/>
        <v>"%USERPROFILE%\Documents\GitHub\eaglep3\Utilities\RefineRTDCRunTimes.py" --tripid 200-04 --locoid 4017 --swversion DE.1.0.9.0 --startMP 204:232934 --initTime 2018-01-04T16:51:56 --startdatetime 2018-01-04T16:57:18 --delay 54 --endMP 204:227 --enddatetime 2018-01-04T17:37:57 --enforcementcount 0 &gt;&gt;%USERPROFILE%\Documents\GitHub\eaglep3-reporting\EC\2018-01-04-refined-times.txt</v>
      </c>
      <c r="AI113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{"issue":{"subject":"","project_id":79,"tracker_id":40,"status_id":1,"priority_id":2,"assigned_to_id":338,"start_date":"2018-01-04","description":"","custom_fields":[{"id":1,"name":"Subdivision","value":"EC"},{"id":4,"name":"Milepost","value":"0.0227"},{"id":17,"name":"Train ID","value":"200-04"},{"id":16,"name":"Locomotive ID","value":"4017"},{"id":130,"name":"Impact","value":""},{"id":150,"name":"Time of Event (Mountain Time)","value":"17:37:57"},{"id":151,"name":"Denver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3"/>
        <v>start /low /b %USERPROFILE%\Documents\GitHub\eaglep3\Utilities\DownloadLogsFromS3.py --loco 4017 --day 2018-01-04</v>
      </c>
      <c r="AN113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5"/>
        <v>https://d0f6bd738d7f1b3e5a7ca70fe4ff75f0.us-east-1.aws.found.io/app/kibana#/discover/Steve-Slow-Train-Analysis-(2080s-and-2083s)?_g=(refreshInterval:(display:Off,pause:!f,section:0,value:0),time:(from:'2018-01-04T15:51:56-0700',mode:absolute,to:'2018-01-04T18:37:57-0700'))&amp;_a=(columns:!('Message%20ID',Summary),filters:!(),index:'emp_*',interval:auto,query:(query_string:(analyze_wildcard:!t,query:'%22rtdc.l.rtdc.4017%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835</v>
      </c>
      <c r="B114" s="225">
        <v>4044</v>
      </c>
      <c r="C114" s="227" t="s">
        <v>192</v>
      </c>
      <c r="D114" s="227" t="s">
        <v>617</v>
      </c>
      <c r="E114" s="226">
        <v>43104.675069444442</v>
      </c>
      <c r="F114" s="226">
        <v>43104.677337962959</v>
      </c>
      <c r="G114" s="225">
        <v>55</v>
      </c>
      <c r="H114" s="227" t="s">
        <v>984</v>
      </c>
      <c r="I114" s="226">
        <v>43104.701747685183</v>
      </c>
      <c r="J114" s="225">
        <v>0</v>
      </c>
      <c r="K114" s="237" t="str">
        <f>IF(ISEVEN(B114),(B114-1)&amp;"/"&amp;B114,B114&amp;"/"&amp;(B114+1))</f>
        <v>4043/4044</v>
      </c>
      <c r="L114" s="245" t="str">
        <f>VLOOKUP(A114,'Trips&amp;Operators'!$C$1:$G$99911,5,FALSE)</f>
        <v>HOLCOMB KAMDEN</v>
      </c>
      <c r="M114" s="224">
        <f>I114-F114</f>
        <v>2.4409722223936114E-2</v>
      </c>
      <c r="N114" s="225">
        <f>24*60*SUM($M114:$M114)</f>
        <v>35.150000002468005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-04T15:12:06-0700',mode:absolute,to:'2018-01-04T17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5.04E-2</v>
      </c>
      <c r="Z114" s="247">
        <f>RIGHT(H114,LEN(H114)-4)/10000</f>
        <v>23.3217</v>
      </c>
      <c r="AA114" s="247">
        <f>ABS(Z114-Y114)</f>
        <v>23.2713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201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/stypes="app*4044*20180104*" /stext=" 23:.+((SYSTEM_STATE.+slice.+state.+changed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1"/>
        <v>"%USERPROFILE%\Documents\GitHub\eaglep3\Utilities\RefineRTDCRunTimes.py" --tripid 201-04 --locoid 4044 --swversion DE.1.0.9.0 --startMP 204:504 --initTime 2018-01-04T16:12:06 --startdatetime 2018-01-04T16:15:22 --delay 55 --endMP 204:233217 --enddatetime 2018-01-04T16:50:31 --enforcementcount 0 &gt;&gt;%USERPROFILE%\Documents\GitHub\eaglep3-reporting\EC\2018-01-04-refined-times.txt</v>
      </c>
      <c r="AI114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{"issue":{"subject":"","project_id":79,"tracker_id":40,"status_id":1,"priority_id":2,"assigned_to_id":338,"start_date":"2018-01-04","description":"","custom_fields":[{"id":1,"name":"Subdivision","value":"EC"},{"id":4,"name":"Milepost","value":"23.3217"},{"id":17,"name":"Train ID","value":"201-04"},{"id":16,"name":"Locomotive ID","value":"4044"},{"id":130,"name":"Impact","value":""},{"id":150,"name":"Time of Event (Mountain Time)","value":"16:50:31"},{"id":151,"name":"Denver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3"/>
        <v>start /low /b %USERPROFILE%\Documents\GitHub\eaglep3\Utilities\DownloadLogsFromS3.py --loco 4044 --day 2018-01-04</v>
      </c>
      <c r="AN114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5"/>
        <v>https://d0f6bd738d7f1b3e5a7ca70fe4ff75f0.us-east-1.aws.found.io/app/kibana#/discover/Steve-Slow-Train-Analysis-(2080s-and-2083s)?_g=(refreshInterval:(display:Off,pause:!f,section:0,value:0),time:(from:'2018-01-04T15:12:06-0700',mode:absolute,to:'2018-01-04T17:50:31-0700'))&amp;_a=(columns:!('Message%20ID',Summary),filters:!(),index:'emp_*',interval:auto,query:(query_string:(analyze_wildcard:!t,query:'%22rtdc.l.rtdc.4044%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3" customFormat="1" x14ac:dyDescent="0.3">
      <c r="A115" s="229" t="s">
        <v>847</v>
      </c>
      <c r="B115" s="225">
        <v>4043</v>
      </c>
      <c r="C115" s="227" t="s">
        <v>192</v>
      </c>
      <c r="D115" s="227" t="s">
        <v>627</v>
      </c>
      <c r="E115" s="226">
        <v>43104.713842592595</v>
      </c>
      <c r="F115" s="226">
        <v>43104.716898148145</v>
      </c>
      <c r="G115" s="225">
        <v>55</v>
      </c>
      <c r="H115" s="227" t="s">
        <v>550</v>
      </c>
      <c r="I115" s="226">
        <v>43104.741840277777</v>
      </c>
      <c r="J115" s="225">
        <v>0</v>
      </c>
      <c r="K115" s="237" t="str">
        <f>IF(ISEVEN(B115),(B115-1)&amp;"/"&amp;B115,B115&amp;"/"&amp;(B115+1))</f>
        <v>4043/4044</v>
      </c>
      <c r="L115" s="245" t="str">
        <f>VLOOKUP(A115,'Trips&amp;Operators'!$C$1:$G$99911,5,FALSE)</f>
        <v>HOLCOMB KAMDEN</v>
      </c>
      <c r="M115" s="224">
        <f>I115-F115</f>
        <v>2.4942129632108845E-2</v>
      </c>
      <c r="N115" s="225">
        <f>24*60*SUM($M115:$M115)</f>
        <v>35.916666670236737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-04T16:07:56-0700',mode:absolute,to:'2018-01-04T18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23.29</v>
      </c>
      <c r="Z115" s="247">
        <f>RIGHT(H115,LEN(H115)-4)/10000</f>
        <v>2.3800000000000002E-2</v>
      </c>
      <c r="AA115" s="247">
        <f>ABS(Z115-Y115)</f>
        <v>23.266199999999998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202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/stypes="app*4043*20180105*" /stext=" 00:.+((SYSTEM_STATE.+slice.+state.+changed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1"/>
        <v>"%USERPROFILE%\Documents\GitHub\eaglep3\Utilities\RefineRTDCRunTimes.py" --tripid 202-04 --locoid 4043 --swversion DE.1.0.9.0 --startMP 204:232900 --initTime 2018-01-04T17:07:56 --startdatetime 2018-01-04T17:12:20 --delay 55 --endMP 204:238 --enddatetime 2018-01-04T17:48:15 --enforcementcount 0 &gt;&gt;%USERPROFILE%\Documents\GitHub\eaglep3-reporting\EC\2018-01-04-refined-times.txt</v>
      </c>
      <c r="AI115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{"issue":{"subject":"","project_id":79,"tracker_id":40,"status_id":1,"priority_id":2,"assigned_to_id":338,"start_date":"2018-01-04","description":"","custom_fields":[{"id":1,"name":"Subdivision","value":"EC"},{"id":4,"name":"Milepost","value":"0.0238"},{"id":17,"name":"Train ID","value":"202-04"},{"id":16,"name":"Locomotive ID","value":"4043"},{"id":130,"name":"Impact","value":""},{"id":150,"name":"Time of Event (Mountain Time)","value":"17:48:15"},{"id":151,"name":"Denver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1"/>
      <c r="AL115" s="231"/>
      <c r="AM115" s="240" t="str">
        <f t="shared" si="13"/>
        <v>start /low /b %USERPROFILE%\Documents\GitHub\eaglep3\Utilities\DownloadLogsFromS3.py --loco 4043 --day 2018-01-04</v>
      </c>
      <c r="AN115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5"/>
        <v>https://d0f6bd738d7f1b3e5a7ca70fe4ff75f0.us-east-1.aws.found.io/app/kibana#/discover/Steve-Slow-Train-Analysis-(2080s-and-2083s)?_g=(refreshInterval:(display:Off,pause:!f,section:0,value:0),time:(from:'2018-01-04T16:07:56-0700',mode:absolute,to:'2018-01-04T18:48:15-0700'))&amp;_a=(columns:!('Message%20ID',Summary),filters:!(),index:'emp_*',interval:auto,query:(query_string:(analyze_wildcard:!t,query:'%22rtdc.l.rtdc.4043%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837</v>
      </c>
      <c r="B116" s="225">
        <v>4046</v>
      </c>
      <c r="C116" s="227" t="s">
        <v>192</v>
      </c>
      <c r="D116" s="227" t="s">
        <v>985</v>
      </c>
      <c r="E116" s="226">
        <v>43104.684432870374</v>
      </c>
      <c r="F116" s="226">
        <v>43104.687662037039</v>
      </c>
      <c r="G116" s="225">
        <v>96</v>
      </c>
      <c r="H116" s="227" t="s">
        <v>986</v>
      </c>
      <c r="I116" s="226">
        <v>43104.711921296293</v>
      </c>
      <c r="J116" s="225">
        <v>0</v>
      </c>
      <c r="K116" s="237" t="str">
        <f>IF(ISEVEN(B116),(B116-1)&amp;"/"&amp;B116,B116&amp;"/"&amp;(B116+1))</f>
        <v>4045/4046</v>
      </c>
      <c r="L116" s="245" t="str">
        <f>VLOOKUP(A116,'Trips&amp;Operators'!$C$1:$G$99911,5,FALSE)</f>
        <v>BRUDER RICHARD</v>
      </c>
      <c r="M116" s="224">
        <f>I116-F116</f>
        <v>2.4259259254904464E-2</v>
      </c>
      <c r="N116" s="225">
        <f>24*60*SUM($M116:$M116)</f>
        <v>34.933333327062428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-04T15:25:35-0700',mode:absolute,to:'2018-01-04T18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5.4199999999999998E-2</v>
      </c>
      <c r="Z116" s="247">
        <f>RIGHT(H116,LEN(H116)-4)/10000</f>
        <v>23.3201</v>
      </c>
      <c r="AA116" s="247">
        <f>ABS(Z116-Y116)</f>
        <v>23.265899999999998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203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/stypes="app*4046*20180105*"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1"/>
        <v>"%USERPROFILE%\Documents\GitHub\eaglep3\Utilities\RefineRTDCRunTimes.py" --tripid 203-04 --locoid 4046 --swversion DE.1.0.9.0 --startMP 204:542 --initTime 2018-01-04T16:25:35 --startdatetime 2018-01-04T16:30:14 --delay 96 --endMP 204:233201 --enddatetime 2018-01-04T17:05:10 --enforcementcount 0 &gt;&gt;%USERPROFILE%\Documents\GitHub\eaglep3-reporting\EC\2018-01-04-refined-times.txt</v>
      </c>
      <c r="AI116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{"issue":{"subject":"","project_id":79,"tracker_id":40,"status_id":1,"priority_id":2,"assigned_to_id":338,"start_date":"2018-01-04","description":"","custom_fields":[{"id":1,"name":"Subdivision","value":"EC"},{"id":4,"name":"Milepost","value":"23.3201"},{"id":17,"name":"Train ID","value":"203-04"},{"id":16,"name":"Locomotive ID","value":"4046"},{"id":130,"name":"Impact","value":""},{"id":150,"name":"Time of Event (Mountain Time)","value":"17:05:10"},{"id":151,"name":"Denver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13"/>
        <v>start /low /b %USERPROFILE%\Documents\GitHub\eaglep3\Utilities\DownloadLogsFromS3.py --loco 4046 --day 2018-01-04</v>
      </c>
      <c r="AN116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5"/>
        <v>https://d0f6bd738d7f1b3e5a7ca70fe4ff75f0.us-east-1.aws.found.io/app/kibana#/discover/Steve-Slow-Train-Analysis-(2080s-and-2083s)?_g=(refreshInterval:(display:Off,pause:!f,section:0,value:0),time:(from:'2018-01-04T15:25:35-0700',mode:absolute,to:'2018-01-04T18:05:10-0700'))&amp;_a=(columns:!('Message%20ID',Summary),filters:!(),index:'emp_*',interval:auto,query:(query_string:(analyze_wildcard:!t,query:'%22rtdc.l.rtdc.4046%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29" t="s">
        <v>848</v>
      </c>
      <c r="B117" s="225">
        <v>4045</v>
      </c>
      <c r="C117" s="227" t="s">
        <v>192</v>
      </c>
      <c r="D117" s="227" t="s">
        <v>987</v>
      </c>
      <c r="E117" s="226">
        <v>43104.723715277774</v>
      </c>
      <c r="F117" s="226">
        <v>43104.727280092593</v>
      </c>
      <c r="G117" s="225">
        <v>58</v>
      </c>
      <c r="H117" s="227" t="s">
        <v>558</v>
      </c>
      <c r="I117" s="226">
        <v>43104.753263888888</v>
      </c>
      <c r="J117" s="225">
        <v>0</v>
      </c>
      <c r="K117" s="237" t="str">
        <f>IF(ISEVEN(B117),(B117-1)&amp;"/"&amp;B117,B117&amp;"/"&amp;(B117+1))</f>
        <v>4045/4046</v>
      </c>
      <c r="L117" s="245" t="str">
        <f>VLOOKUP(A117,'Trips&amp;Operators'!$C$1:$G$99911,5,FALSE)</f>
        <v>BRUDER RICHARD</v>
      </c>
      <c r="M117" s="224">
        <f>I117-F117</f>
        <v>2.5983796294895001E-2</v>
      </c>
      <c r="N117" s="225">
        <f>24*60*SUM($M117:$M117)</f>
        <v>37.416666664648801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-04T16:22:09-0700',mode:absolute,to:'2018-01-04T19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23.287099999999999</v>
      </c>
      <c r="Z117" s="247">
        <f>RIGHT(H117,LEN(H117)-4)/10000</f>
        <v>2.23E-2</v>
      </c>
      <c r="AA117" s="247">
        <f>ABS(Z117-Y117)</f>
        <v>23.264799999999997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204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/stypes="app*4045*20180105*" /stext=" 01:.+((SYSTEM_STATE.+slice.+state.+changed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1"/>
        <v>"%USERPROFILE%\Documents\GitHub\eaglep3\Utilities\RefineRTDCRunTimes.py" --tripid 204-04 --locoid 4045 --swversion DE.1.0.9.0 --startMP 204:232871 --initTime 2018-01-04T17:22:09 --startdatetime 2018-01-04T17:27:17 --delay 58 --endMP 204:223 --enddatetime 2018-01-04T18:04:42 --enforcementcount 0 &gt;&gt;%USERPROFILE%\Documents\GitHub\eaglep3-reporting\EC\2018-01-04-refined-times.txt</v>
      </c>
      <c r="AI117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{"issue":{"subject":"","project_id":79,"tracker_id":40,"status_id":1,"priority_id":2,"assigned_to_id":338,"start_date":"2018-01-04","description":"","custom_fields":[{"id":1,"name":"Subdivision","value":"EC"},{"id":4,"name":"Milepost","value":"0.0223"},{"id":17,"name":"Train ID","value":"204-04"},{"id":16,"name":"Locomotive ID","value":"4045"},{"id":130,"name":"Impact","value":""},{"id":150,"name":"Time of Event (Mountain Time)","value":"18:04:42"},{"id":151,"name":"Denver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13"/>
        <v>start /low /b %USERPROFILE%\Documents\GitHub\eaglep3\Utilities\DownloadLogsFromS3.py --loco 4045 --day 2018-01-04</v>
      </c>
      <c r="AN117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5"/>
        <v>https://d0f6bd738d7f1b3e5a7ca70fe4ff75f0.us-east-1.aws.found.io/app/kibana#/discover/Steve-Slow-Train-Analysis-(2080s-and-2083s)?_g=(refreshInterval:(display:Off,pause:!f,section:0,value:0),time:(from:'2018-01-04T16:22:09-0700',mode:absolute,to:'2018-01-04T19:04:42-0700'))&amp;_a=(columns:!('Message%20ID',Summary),filters:!(),index:'emp_*',interval:auto,query:(query_string:(analyze_wildcard:!t,query:'%22rtdc.l.rtdc.4045%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841</v>
      </c>
      <c r="B118" s="225">
        <v>4064</v>
      </c>
      <c r="C118" s="227" t="s">
        <v>192</v>
      </c>
      <c r="D118" s="227" t="s">
        <v>987</v>
      </c>
      <c r="E118" s="226">
        <v>43104.723715277774</v>
      </c>
      <c r="F118" s="226">
        <v>43104.698113425926</v>
      </c>
      <c r="G118" s="225">
        <v>58</v>
      </c>
      <c r="H118" s="227" t="s">
        <v>558</v>
      </c>
      <c r="I118" s="226">
        <v>43104.723865740743</v>
      </c>
      <c r="J118" s="225">
        <v>0</v>
      </c>
      <c r="K118" s="237" t="str">
        <f>IF(ISEVEN(B118),(B118-1)&amp;"/"&amp;B118,B118&amp;"/"&amp;(B118+1))</f>
        <v>4063/4064</v>
      </c>
      <c r="L118" s="245" t="str">
        <f>VLOOKUP(A118,'Trips&amp;Operators'!$C$1:$G$99911,5,FALSE)</f>
        <v>STEWART MICHAEL</v>
      </c>
      <c r="M118" s="224">
        <f>I118-F118</f>
        <v>2.5752314817509614E-2</v>
      </c>
      <c r="N118" s="225">
        <f>24*60*SUM($M118:$M118)</f>
        <v>37.083333337213844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-04T16:22:09-0700',mode:absolute,to:'2018-01-04T18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v>7.2300000000000003E-2</v>
      </c>
      <c r="Z118" s="247">
        <v>23.331499999999998</v>
      </c>
      <c r="AA118" s="247">
        <f>ABS(Z118-Y118)</f>
        <v>23.2592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205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/stypes="app*4064*20180105*" /stext=" 00:.+((SYSTEM_STATE.+slice.+state.+changed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ref="AH118" si="16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205-04 --locoid 4064 --swversion DE.1.0.9.0 --startMP 204:232871 --initTime 2018-01-04T17:22:09 --startdatetime 2018-01-04T16:45:17 --delay 58 --endMP 204:223 --enddatetime 2018-01-04T17:22:22 --enforcementcount 0 &gt;&gt;%USERPROFILE%\Documents\GitHub\eaglep3-reporting\EC\2018-01-04-refined-times.txt</v>
      </c>
      <c r="AI118" s="238" t="str">
        <f t="shared" ref="AI118" si="17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{"issue":{"subject":"","project_id":79,"tracker_id":40,"status_id":1,"priority_id":2,"assigned_to_id":338,"start_date":"2018-01-04","description":"","custom_fields":[{"id":1,"name":"Subdivision","value":"EC"},{"id":4,"name":"Milepost","value":"23.3315"},{"id":17,"name":"Train ID","value":"205-04"},{"id":16,"name":"Locomotive ID","value":"4064"},{"id":130,"name":"Impact","value":""},{"id":150,"name":"Time of Event (Mountain Time)","value":"17:22:22"},{"id":151,"name":"Denver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ref="AM118" si="18">"start /low /b "&amp;dls3logs&amp;" --loco "&amp;B118&amp;" --day "&amp;TEXT(F118,"YYYY-MM-DD")</f>
        <v>start /low /b %USERPROFILE%\Documents\GitHub\eaglep3\Utilities\DownloadLogsFromS3.py --loco 4064 --day 2018-01-04</v>
      </c>
      <c r="AN118" s="241" t="str">
        <f t="shared" ref="AN118" si="19"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ref="AO118" si="20"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-04T16:22:09-0700',mode:absolute,to:'2018-01-04T18:22:22-0700'))&amp;_a=(columns:!('Message%20ID',Summary),filters:!(),index:'emp_*',interval:auto,query:(query_string:(analyze_wildcard:!t,query:'%22rtdc.l.rtdc.4064%22')),sort:!(Time.ISO8601,asc))</v>
      </c>
    </row>
    <row r="119" spans="1:91" s="223" customFormat="1" x14ac:dyDescent="0.3">
      <c r="A119" s="229" t="s">
        <v>851</v>
      </c>
      <c r="B119" s="225">
        <v>4063</v>
      </c>
      <c r="C119" s="227" t="s">
        <v>192</v>
      </c>
      <c r="D119" s="227" t="s">
        <v>914</v>
      </c>
      <c r="E119" s="226">
        <v>43104.734652777777</v>
      </c>
      <c r="F119" s="226">
        <v>43104.737928240742</v>
      </c>
      <c r="G119" s="225">
        <v>56</v>
      </c>
      <c r="H119" s="227" t="s">
        <v>945</v>
      </c>
      <c r="I119" s="226">
        <v>43104.764675925922</v>
      </c>
      <c r="J119" s="225">
        <v>0</v>
      </c>
      <c r="K119" s="237" t="str">
        <f>IF(ISEVEN(B119),(B119-1)&amp;"/"&amp;B119,B119&amp;"/"&amp;(B119+1))</f>
        <v>4063/4064</v>
      </c>
      <c r="L119" s="245" t="str">
        <f>VLOOKUP(A119,'Trips&amp;Operators'!$C$1:$G$99911,5,FALSE)</f>
        <v>STEWART MICHAEL</v>
      </c>
      <c r="M119" s="224">
        <f>I119-F119</f>
        <v>2.6747685180453118E-2</v>
      </c>
      <c r="N119" s="225">
        <f>24*60*SUM($M119:$M119)</f>
        <v>38.51666665985249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-04T16:37:54-0700',mode:absolute,to:'2018-01-04T19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9" s="247" t="str">
        <f>IF(AA119&lt;VLOOKUP(AG119,Variables!$AC$3:$AD$8,2,FALSE),"Y","N")</f>
        <v>N</v>
      </c>
      <c r="X119" s="247">
        <f t="shared" ref="X119:X120" si="21">VALUE(LEFT(AD119,4))-VALUE(LEFT(AD118,4))</f>
        <v>1</v>
      </c>
      <c r="Y119" s="247">
        <f>RIGHT(D119,LEN(D119)-4)/10000</f>
        <v>23.297000000000001</v>
      </c>
      <c r="Z119" s="247">
        <f>RIGHT(H119,LEN(H119)-4)/10000</f>
        <v>2.0299999999999999E-2</v>
      </c>
      <c r="AA119" s="247">
        <f>ABS(Z119-Y119)</f>
        <v>23.276700000000002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206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/stypes="app*4063*20180105*" /stext=" 01:.+((SYSTEM_STATE.+slice.+state.+changed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1"/>
        <v>"%USERPROFILE%\Documents\GitHub\eaglep3\Utilities\RefineRTDCRunTimes.py" --tripid 206-04 --locoid 4063 --swversion DE.1.0.9.0 --startMP 204:232970 --initTime 2018-01-04T17:37:54 --startdatetime 2018-01-04T17:42:37 --delay 56 --endMP 204:203 --enddatetime 2018-01-04T18:21:08 --enforcementcount 0 &gt;&gt;%USERPROFILE%\Documents\GitHub\eaglep3-reporting\EC\2018-01-04-refined-times.txt</v>
      </c>
      <c r="AI119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{"issue":{"subject":"","project_id":79,"tracker_id":40,"status_id":1,"priority_id":2,"assigned_to_id":338,"start_date":"2018-01-04","description":"","custom_fields":[{"id":1,"name":"Subdivision","value":"EC"},{"id":4,"name":"Milepost","value":"0.0203"},{"id":17,"name":"Train ID","value":"206-04"},{"id":16,"name":"Locomotive ID","value":"4063"},{"id":130,"name":"Impact","value":""},{"id":150,"name":"Time of Event (Mountain Time)","value":"18:21:08"},{"id":151,"name":"Denver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3"/>
        <v>start /low /b %USERPROFILE%\Documents\GitHub\eaglep3\Utilities\DownloadLogsFromS3.py --loco 4063 --day 2018-01-04</v>
      </c>
      <c r="AN119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5"/>
        <v>https://d0f6bd738d7f1b3e5a7ca70fe4ff75f0.us-east-1.aws.found.io/app/kibana#/discover/Steve-Slow-Train-Analysis-(2080s-and-2083s)?_g=(refreshInterval:(display:Off,pause:!f,section:0,value:0),time:(from:'2018-01-04T16:37:54-0700',mode:absolute,to:'2018-01-04T19:21:08-0700'))&amp;_a=(columns:!('Message%20ID',Summary),filters:!(),index:'emp_*',interval:auto,query:(query_string:(analyze_wildcard:!t,query:'%22rtdc.l.rtdc.4063%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843</v>
      </c>
      <c r="B120" s="225">
        <v>4052</v>
      </c>
      <c r="C120" s="227" t="s">
        <v>192</v>
      </c>
      <c r="D120" s="227" t="s">
        <v>606</v>
      </c>
      <c r="E120" s="226">
        <v>43104.703946759262</v>
      </c>
      <c r="F120" s="226">
        <v>43104.708773148152</v>
      </c>
      <c r="G120" s="225">
        <v>56</v>
      </c>
      <c r="H120" s="227" t="s">
        <v>964</v>
      </c>
      <c r="I120" s="226">
        <v>43104.733229166668</v>
      </c>
      <c r="J120" s="225">
        <v>0</v>
      </c>
      <c r="K120" s="237" t="str">
        <f>IF(ISEVEN(B120),(B120-1)&amp;"/"&amp;B120,B120&amp;"/"&amp;(B120+1))</f>
        <v>4051/4052</v>
      </c>
      <c r="L120" s="245" t="str">
        <f>VLOOKUP(A120,'Trips&amp;Operators'!$C$1:$G$99911,5,FALSE)</f>
        <v>LEVIN SCOTT</v>
      </c>
      <c r="M120" s="224">
        <f>I120-F120</f>
        <v>2.4456018516502809E-2</v>
      </c>
      <c r="N120" s="225">
        <f>24*60*SUM($M120:$M120)</f>
        <v>35.216666663764045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-04T15:53:41-0700',mode:absolute,to:'2018-01-04T18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0" s="247" t="str">
        <f>IF(AA120&lt;VLOOKUP(AG120,Variables!$AC$3:$AD$8,2,FALSE),"Y","N")</f>
        <v>N</v>
      </c>
      <c r="X120" s="247">
        <f t="shared" si="21"/>
        <v>1</v>
      </c>
      <c r="Y120" s="247">
        <f>RIGHT(D120,LEN(D120)-4)/10000</f>
        <v>4.8599999999999997E-2</v>
      </c>
      <c r="Z120" s="247">
        <f>RIGHT(H120,LEN(H120)-4)/10000</f>
        <v>23.331199999999999</v>
      </c>
      <c r="AA120" s="247">
        <f>ABS(Z120-Y120)</f>
        <v>23.282599999999999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207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s3://rtdc.mdm.uploadarchive.raw/RTDC4052/ "%USERPROFILE%\AppData\Local\Temp\OnboardLogs"\RTDC4052\2018-01-04 --exclude "*" --recursive --include "*20180104*" &amp; "%USERPROFILE%\Documents\GitHub\mrs-test-scripts\Headless Mode &amp; Sideloading\WalkAndUnGZ.bat" "%USERPROFILE%\AppData\Local\Temp\OnboardLogs"\RTDC4052\2018-01-04 &amp; 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/stypes="app*4052*20180105*" /stext=" 00:.+((SYSTEM_STATE.+slice.+state.+changed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1"/>
        <v>"%USERPROFILE%\Documents\GitHub\eaglep3\Utilities\RefineRTDCRunTimes.py" --tripid 207-04 --locoid 4052 --swversion DE.1.0.9.0 --startMP 204:486 --initTime 2018-01-04T16:53:41 --startdatetime 2018-01-04T17:00:38 --delay 56 --endMP 204:233312 --enddatetime 2018-01-04T17:35:51 --enforcementcount 0 &gt;&gt;%USERPROFILE%\Documents\GitHub\eaglep3-reporting\EC\2018-01-04-refined-times.txt</v>
      </c>
      <c r="AI120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{"issue":{"subject":"","project_id":79,"tracker_id":40,"status_id":1,"priority_id":2,"assigned_to_id":338,"start_date":"2018-01-04","description":"","custom_fields":[{"id":1,"name":"Subdivision","value":"EC"},{"id":4,"name":"Milepost","value":"23.3312"},{"id":17,"name":"Train ID","value":"207-04"},{"id":16,"name":"Locomotive ID","value":"4052"},{"id":130,"name":"Impact","value":""},{"id":150,"name":"Time of Event (Mountain Time)","value":"17:35:51"},{"id":151,"name":"Denver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3"/>
        <v>start /low /b %USERPROFILE%\Documents\GitHub\eaglep3\Utilities\DownloadLogsFromS3.py --loco 4052 --day 2018-01-04</v>
      </c>
      <c r="AN120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5"/>
        <v>https://d0f6bd738d7f1b3e5a7ca70fe4ff75f0.us-east-1.aws.found.io/app/kibana#/discover/Steve-Slow-Train-Analysis-(2080s-and-2083s)?_g=(refreshInterval:(display:Off,pause:!f,section:0,value:0),time:(from:'2018-01-04T15:53:41-0700',mode:absolute,to:'2018-01-04T18:35:51-0700'))&amp;_a=(columns:!('Message%20ID',Summary),filters:!(),index:'emp_*',interval:auto,query:(query_string:(analyze_wildcard:!t,query:'%22rtdc.l.rtdc.4052%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853</v>
      </c>
      <c r="B121" s="225">
        <v>4051</v>
      </c>
      <c r="C121" s="227" t="s">
        <v>192</v>
      </c>
      <c r="D121" s="227" t="s">
        <v>512</v>
      </c>
      <c r="E121" s="226">
        <v>43104.73773148148</v>
      </c>
      <c r="F121" s="226">
        <v>43104.748101851852</v>
      </c>
      <c r="G121" s="225">
        <v>58</v>
      </c>
      <c r="H121" s="227" t="s">
        <v>918</v>
      </c>
      <c r="I121" s="226">
        <v>43104.774363425924</v>
      </c>
      <c r="J121" s="225">
        <v>0</v>
      </c>
      <c r="K121" s="237" t="str">
        <f>IF(ISEVEN(B121),(B121-1)&amp;"/"&amp;B121,B121&amp;"/"&amp;(B121+1))</f>
        <v>4051/4052</v>
      </c>
      <c r="L121" s="245" t="str">
        <f>VLOOKUP(A121,'Trips&amp;Operators'!$C$1:$G$99911,5,FALSE)</f>
        <v>LEVIN SCOTT</v>
      </c>
      <c r="M121" s="224">
        <f>I121-F121</f>
        <v>2.626157407212304E-2</v>
      </c>
      <c r="N121" s="225">
        <f>24*60*SUM($M121:$M121)</f>
        <v>37.816666663857177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-04T16:42:20-0700',mode:absolute,to:'2018-01-04T19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23.299399999999999</v>
      </c>
      <c r="Z121" s="247">
        <f>RIGHT(H121,LEN(H121)-4)/10000</f>
        <v>1.49E-2</v>
      </c>
      <c r="AA121" s="247">
        <f>ABS(Z121-Y121)</f>
        <v>23.284499999999998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208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/stypes="app*4051*20180105*" /stext=" 01:.+((SYSTEM_STATE.+slice.+state.+changed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1"/>
        <v>"%USERPROFILE%\Documents\GitHub\eaglep3\Utilities\RefineRTDCRunTimes.py" --tripid 208-04 --locoid 4051 --swversion DE.1.0.9.0 --startMP 204:232994 --initTime 2018-01-04T17:42:20 --startdatetime 2018-01-04T17:57:16 --delay 58 --endMP 204:149 --enddatetime 2018-01-04T18:35:05 --enforcementcount 0 &gt;&gt;%USERPROFILE%\Documents\GitHub\eaglep3-reporting\EC\2018-01-04-refined-times.txt</v>
      </c>
      <c r="AI121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{"issue":{"subject":"","project_id":79,"tracker_id":40,"status_id":1,"priority_id":2,"assigned_to_id":338,"start_date":"2018-01-04","description":"","custom_fields":[{"id":1,"name":"Subdivision","value":"EC"},{"id":4,"name":"Milepost","value":"0.0149"},{"id":17,"name":"Train ID","value":"208-04"},{"id":16,"name":"Locomotive ID","value":"4051"},{"id":130,"name":"Impact","value":""},{"id":150,"name":"Time of Event (Mountain Time)","value":"18:35:05"},{"id":151,"name":"Denver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3"/>
        <v>start /low /b %USERPROFILE%\Documents\GitHub\eaglep3\Utilities\DownloadLogsFromS3.py --loco 4051 --day 2018-01-04</v>
      </c>
      <c r="AN121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5"/>
        <v>https://d0f6bd738d7f1b3e5a7ca70fe4ff75f0.us-east-1.aws.found.io/app/kibana#/discover/Steve-Slow-Train-Analysis-(2080s-and-2083s)?_g=(refreshInterval:(display:Off,pause:!f,section:0,value:0),time:(from:'2018-01-04T16:42:20-0700',mode:absolute,to:'2018-01-04T19:35:05-0700'))&amp;_a=(columns:!('Message%20ID',Summary),filters:!(),index:'emp_*',interval:auto,query:(query_string:(analyze_wildcard:!t,query:'%22rtdc.l.rtdc.4051%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678</v>
      </c>
      <c r="B122" s="225">
        <v>4034</v>
      </c>
      <c r="C122" s="227" t="s">
        <v>192</v>
      </c>
      <c r="D122" s="227" t="s">
        <v>488</v>
      </c>
      <c r="E122" s="226">
        <v>43104.715856481482</v>
      </c>
      <c r="F122" s="226">
        <v>43104.718912037039</v>
      </c>
      <c r="G122" s="225">
        <v>56</v>
      </c>
      <c r="H122" s="227" t="s">
        <v>932</v>
      </c>
      <c r="I122" s="226">
        <v>43104.744097222225</v>
      </c>
      <c r="J122" s="225">
        <v>0</v>
      </c>
      <c r="K122" s="237" t="str">
        <f>IF(ISEVEN(B122),(B122-1)&amp;"/"&amp;B122,B122&amp;"/"&amp;(B122+1))</f>
        <v>4033/4034</v>
      </c>
      <c r="L122" s="245" t="str">
        <f>VLOOKUP(A122,'Trips&amp;Operators'!$C$1:$G$99911,5,FALSE)</f>
        <v>ROBINSON KADDIBA</v>
      </c>
      <c r="M122" s="224">
        <f>I122-F122</f>
        <v>2.5185185186273884E-2</v>
      </c>
      <c r="N122" s="225">
        <f>24*60*SUM($M122:$M122)</f>
        <v>36.266666668234393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-04T16:10:50-0700',mode:absolute,to:'2018-01-04T18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4.9700000000000001E-2</v>
      </c>
      <c r="Z122" s="247">
        <f>RIGHT(H122,LEN(H122)-4)/10000</f>
        <v>23.329699999999999</v>
      </c>
      <c r="AA122" s="247">
        <f>ABS(Z122-Y122)</f>
        <v>23.279999999999998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209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/stypes="app*4034*20180105*" /stext=" 00:.+((SYSTEM_STATE.+slice.+state.+changed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1"/>
        <v>"%USERPROFILE%\Documents\GitHub\eaglep3\Utilities\RefineRTDCRunTimes.py" --tripid 209-04 --locoid 4034 --swversion DE.1.0.9.0 --startMP 204:497 --initTime 2018-01-04T17:10:50 --startdatetime 2018-01-04T17:15:14 --delay 56 --endMP 204:233297 --enddatetime 2018-01-04T17:51:30 --enforcementcount 0 &gt;&gt;%USERPROFILE%\Documents\GitHub\eaglep3-reporting\EC\2018-01-04-refined-times.txt</v>
      </c>
      <c r="AI122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{"issue":{"subject":"","project_id":79,"tracker_id":40,"status_id":1,"priority_id":2,"assigned_to_id":338,"start_date":"2018-01-04","description":"","custom_fields":[{"id":1,"name":"Subdivision","value":"EC"},{"id":4,"name":"Milepost","value":"23.3297"},{"id":17,"name":"Train ID","value":"209-04"},{"id":16,"name":"Locomotive ID","value":"4034"},{"id":130,"name":"Impact","value":""},{"id":150,"name":"Time of Event (Mountain Time)","value":"17:51:30"},{"id":151,"name":"Denver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3"/>
        <v>start /low /b %USERPROFILE%\Documents\GitHub\eaglep3\Utilities\DownloadLogsFromS3.py --loco 4034 --day 2018-01-04</v>
      </c>
      <c r="AN122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5"/>
        <v>https://d0f6bd738d7f1b3e5a7ca70fe4ff75f0.us-east-1.aws.found.io/app/kibana#/discover/Steve-Slow-Train-Analysis-(2080s-and-2083s)?_g=(refreshInterval:(display:Off,pause:!f,section:0,value:0),time:(from:'2018-01-04T16:10:50-0700',mode:absolute,to:'2018-01-04T18:51:30-0700'))&amp;_a=(columns:!('Message%20ID',Summary),filters:!(),index:'emp_*',interval:auto,query:(query_string:(analyze_wildcard:!t,query:'%22rtdc.l.rtdc.4034%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29" t="s">
        <v>859</v>
      </c>
      <c r="B123" s="225">
        <v>4033</v>
      </c>
      <c r="C123" s="227" t="s">
        <v>192</v>
      </c>
      <c r="D123" s="227" t="s">
        <v>498</v>
      </c>
      <c r="E123" s="226">
        <v>43104.75577546296</v>
      </c>
      <c r="F123" s="226">
        <v>43104.758518518516</v>
      </c>
      <c r="G123" s="225">
        <v>50</v>
      </c>
      <c r="H123" s="227" t="s">
        <v>489</v>
      </c>
      <c r="I123" s="226">
        <v>43104.785555555558</v>
      </c>
      <c r="J123" s="225">
        <v>0</v>
      </c>
      <c r="K123" s="237" t="str">
        <f>IF(ISEVEN(B123),(B123-1)&amp;"/"&amp;B123,B123&amp;"/"&amp;(B123+1))</f>
        <v>4033/4034</v>
      </c>
      <c r="L123" s="245" t="str">
        <f>VLOOKUP(A123,'Trips&amp;Operators'!$C$1:$G$99911,5,FALSE)</f>
        <v>ROBINSON KADDIBA</v>
      </c>
      <c r="M123" s="224">
        <f>I123-F123</f>
        <v>2.7037037041736767E-2</v>
      </c>
      <c r="N123" s="225">
        <f>24*60*SUM($M123:$M123)</f>
        <v>38.933333340100944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-04T17:08:19-0700',mode:absolute,to:'2018-01-04T19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23.297699999999999</v>
      </c>
      <c r="Z123" s="247">
        <f>RIGHT(H123,LEN(H123)-4)/10000</f>
        <v>0.02</v>
      </c>
      <c r="AA123" s="247">
        <f>ABS(Z123-Y123)</f>
        <v>23.277699999999999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210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/stypes="app*4033*20180105*" /stext=" 01:.+((SYSTEM_STATE.+slice.+state.+changed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1"/>
        <v>"%USERPROFILE%\Documents\GitHub\eaglep3\Utilities\RefineRTDCRunTimes.py" --tripid 210-04 --locoid 4033 --swversion DE.1.0.9.0 --startMP 204:232977 --initTime 2018-01-04T18:08:19 --startdatetime 2018-01-04T18:12:16 --delay 50 --endMP 204:200 --enddatetime 2018-01-04T18:51:12 --enforcementcount 0 &gt;&gt;%USERPROFILE%\Documents\GitHub\eaglep3-reporting\EC\2018-01-04-refined-times.txt</v>
      </c>
      <c r="AI123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{"issue":{"subject":"","project_id":79,"tracker_id":40,"status_id":1,"priority_id":2,"assigned_to_id":338,"start_date":"2018-01-04","description":"","custom_fields":[{"id":1,"name":"Subdivision","value":"EC"},{"id":4,"name":"Milepost","value":"0.02"},{"id":17,"name":"Train ID","value":"210-04"},{"id":16,"name":"Locomotive ID","value":"4033"},{"id":130,"name":"Impact","value":""},{"id":150,"name":"Time of Event (Mountain Time)","value":"18:51:12"},{"id":151,"name":"Denver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13"/>
        <v>start /low /b %USERPROFILE%\Documents\GitHub\eaglep3\Utilities\DownloadLogsFromS3.py --loco 4033 --day 2018-01-04</v>
      </c>
      <c r="AN123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5"/>
        <v>https://d0f6bd738d7f1b3e5a7ca70fe4ff75f0.us-east-1.aws.found.io/app/kibana#/discover/Steve-Slow-Train-Analysis-(2080s-and-2083s)?_g=(refreshInterval:(display:Off,pause:!f,section:0,value:0),time:(from:'2018-01-04T17:08:19-0700',mode:absolute,to:'2018-01-04T19:51:12-0700'))&amp;_a=(columns:!('Message%20ID',Summary),filters:!(),index:'emp_*',interval:auto,query:(query_string:(analyze_wildcard:!t,query:'%22rtdc.l.rtdc.4033%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849</v>
      </c>
      <c r="B124" s="225">
        <v>4032</v>
      </c>
      <c r="C124" s="227" t="s">
        <v>192</v>
      </c>
      <c r="D124" s="227" t="s">
        <v>985</v>
      </c>
      <c r="E124" s="226">
        <v>43104.725590277776</v>
      </c>
      <c r="F124" s="226">
        <v>43104.729351851849</v>
      </c>
      <c r="G124" s="225">
        <v>106</v>
      </c>
      <c r="H124" s="227" t="s">
        <v>939</v>
      </c>
      <c r="I124" s="226">
        <v>43104.753564814811</v>
      </c>
      <c r="J124" s="225">
        <v>0</v>
      </c>
      <c r="K124" s="237" t="str">
        <f>IF(ISEVEN(B124),(B124-1)&amp;"/"&amp;B124,B124&amp;"/"&amp;(B124+1))</f>
        <v>4031/4032</v>
      </c>
      <c r="L124" s="245" t="str">
        <f>VLOOKUP(A124,'Trips&amp;Operators'!$C$1:$G$99911,5,FALSE)</f>
        <v>ZEWDU DEREJE</v>
      </c>
      <c r="M124" s="224">
        <f>I124-F124</f>
        <v>2.421296296233777E-2</v>
      </c>
      <c r="N124" s="225">
        <f>24*60*SUM($M124:$M124)</f>
        <v>34.866666665766388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-04T16:24:51-0700',mode:absolute,to:'2018-01-04T19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5.4199999999999998E-2</v>
      </c>
      <c r="Z124" s="247">
        <f>RIGHT(H124,LEN(H124)-4)/10000</f>
        <v>23.328800000000001</v>
      </c>
      <c r="AA124" s="247">
        <f>ABS(Z124-Y124)</f>
        <v>23.2746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211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/stypes="app*4032*20180105*"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1"/>
        <v>"%USERPROFILE%\Documents\GitHub\eaglep3\Utilities\RefineRTDCRunTimes.py" --tripid 211-04 --locoid 4032 --swversion DE.1.0.9.0 --startMP 204:542 --initTime 2018-01-04T17:24:51 --startdatetime 2018-01-04T17:30:16 --delay 106 --endMP 204:233288 --enddatetime 2018-01-04T18:05:08 --enforcementcount 0 &gt;&gt;%USERPROFILE%\Documents\GitHub\eaglep3-reporting\EC\2018-01-04-refined-times.txt</v>
      </c>
      <c r="AI124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{"issue":{"subject":"","project_id":79,"tracker_id":40,"status_id":1,"priority_id":2,"assigned_to_id":338,"start_date":"2018-01-04","description":"","custom_fields":[{"id":1,"name":"Subdivision","value":"EC"},{"id":4,"name":"Milepost","value":"23.3288"},{"id":17,"name":"Train ID","value":"211-04"},{"id":16,"name":"Locomotive ID","value":"4032"},{"id":130,"name":"Impact","value":""},{"id":150,"name":"Time of Event (Mountain Time)","value":"18:05:08"},{"id":151,"name":"Denver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3"/>
        <v>start /low /b %USERPROFILE%\Documents\GitHub\eaglep3\Utilities\DownloadLogsFromS3.py --loco 4032 --day 2018-01-04</v>
      </c>
      <c r="AN124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5"/>
        <v>https://d0f6bd738d7f1b3e5a7ca70fe4ff75f0.us-east-1.aws.found.io/app/kibana#/discover/Steve-Slow-Train-Analysis-(2080s-and-2083s)?_g=(refreshInterval:(display:Off,pause:!f,section:0,value:0),time:(from:'2018-01-04T16:24:51-0700',mode:absolute,to:'2018-01-04T19:05:08-0700'))&amp;_a=(columns:!('Message%20ID',Summary),filters:!(),index:'emp_*',interval:auto,query:(query_string:(analyze_wildcard:!t,query:'%22rtdc.l.rtdc.4032%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860</v>
      </c>
      <c r="B125" s="225">
        <v>4031</v>
      </c>
      <c r="C125" s="227" t="s">
        <v>192</v>
      </c>
      <c r="D125" s="227" t="s">
        <v>936</v>
      </c>
      <c r="E125" s="226">
        <v>43104.756284722222</v>
      </c>
      <c r="F125" s="226">
        <v>43104.768923611111</v>
      </c>
      <c r="G125" s="225">
        <v>78</v>
      </c>
      <c r="H125" s="227" t="s">
        <v>639</v>
      </c>
      <c r="I125" s="226">
        <v>43104.795092592591</v>
      </c>
      <c r="J125" s="225">
        <v>0</v>
      </c>
      <c r="K125" s="237" t="str">
        <f>IF(ISEVEN(B125),(B125-1)&amp;"/"&amp;B125,B125&amp;"/"&amp;(B125+1))</f>
        <v>4031/4032</v>
      </c>
      <c r="L125" s="245" t="str">
        <f>VLOOKUP(A125,'Trips&amp;Operators'!$C$1:$G$99911,5,FALSE)</f>
        <v>ZEWDU DEREJE</v>
      </c>
      <c r="M125" s="224">
        <f>I125-F125</f>
        <v>2.6168981479713693E-2</v>
      </c>
      <c r="N125" s="225">
        <f>24*60*SUM($M125:$M125)</f>
        <v>37.683333330787718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-04T17:09:03-0700',mode:absolute,to:'2018-01-04T20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23.2973</v>
      </c>
      <c r="Z125" s="247">
        <f>RIGHT(H125,LEN(H125)-4)/10000</f>
        <v>2.5399999999999999E-2</v>
      </c>
      <c r="AA125" s="247">
        <f>ABS(Z125-Y125)</f>
        <v>23.271899999999999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212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s3://rtdc.mdm.uploadarchive.raw/RTDC4031/ "%USERPROFILE%\AppData\Local\Temp\OnboardLogs"\RTDC4031\2018-01-04 --exclude "*" --recursive --include "*20180104*" &amp; "%USERPROFILE%\Documents\GitHub\mrs-test-scripts\Headless Mode &amp; Sideloading\WalkAndUnGZ.bat" "%USERPROFILE%\AppData\Local\Temp\OnboardLogs"\RTDC4031\2018-01-04 &amp; aws s3 cp s3://rtdc.mdm.uploadarchive.raw/RTDC4031/ "%USERPROFILE%\AppData\Local\Temp\OnboardLogs"\RTDC4031\2018-01-05 --exclude "*" --recursive --include "*20180105*" &amp; "%USERPROFILE%\Documents\GitHub\mrs-test-scripts\Headless Mode &amp; Sideloading\WalkAndUnGZ.bat" "%USERPROFILE%\AppData\Local\Temp\OnboardLogs"\RTDC4031\2018-01-05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/stypes="app*4031*20180105*" /stext=" 02:.+((SYSTEM_STATE.+slice.+state.+changed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1"/>
        <v>"%USERPROFILE%\Documents\GitHub\eaglep3\Utilities\RefineRTDCRunTimes.py" --tripid 212-04 --locoid 4031 --swversion DE.1.0.9.0 --startMP 204:232973 --initTime 2018-01-04T18:09:03 --startdatetime 2018-01-04T18:27:15 --delay 78 --endMP 204:254 --enddatetime 2018-01-04T19:04:56 --enforcementcount 0 &gt;&gt;%USERPROFILE%\Documents\GitHub\eaglep3-reporting\EC\2018-01-04-refined-times.txt</v>
      </c>
      <c r="AI125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{"issue":{"subject":"","project_id":79,"tracker_id":40,"status_id":1,"priority_id":2,"assigned_to_id":338,"start_date":"2018-01-04","description":"","custom_fields":[{"id":1,"name":"Subdivision","value":"EC"},{"id":4,"name":"Milepost","value":"0.0254"},{"id":17,"name":"Train ID","value":"212-04"},{"id":16,"name":"Locomotive ID","value":"4031"},{"id":130,"name":"Impact","value":""},{"id":150,"name":"Time of Event (Mountain Time)","value":"19:04:56"},{"id":151,"name":"Denver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3"/>
        <v>start /low /b %USERPROFILE%\Documents\GitHub\eaglep3\Utilities\DownloadLogsFromS3.py --loco 4031 --day 2018-01-04</v>
      </c>
      <c r="AN125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5"/>
        <v>https://d0f6bd738d7f1b3e5a7ca70fe4ff75f0.us-east-1.aws.found.io/app/kibana#/discover/Steve-Slow-Train-Analysis-(2080s-and-2083s)?_g=(refreshInterval:(display:Off,pause:!f,section:0,value:0),time:(from:'2018-01-04T17:09:03-0700',mode:absolute,to:'2018-01-04T20:04:56-0700'))&amp;_a=(columns:!('Message%20ID',Summary),filters:!(),index:'emp_*',interval:auto,query:(query_string:(analyze_wildcard:!t,query:'%22rtdc.l.rtdc.4031%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854</v>
      </c>
      <c r="B126" s="225">
        <v>4018</v>
      </c>
      <c r="C126" s="227" t="s">
        <v>192</v>
      </c>
      <c r="D126" s="227" t="s">
        <v>961</v>
      </c>
      <c r="E126" s="226">
        <v>43104.737592592595</v>
      </c>
      <c r="F126" s="226">
        <v>43104.739768518521</v>
      </c>
      <c r="G126" s="225">
        <v>109</v>
      </c>
      <c r="H126" s="227" t="s">
        <v>913</v>
      </c>
      <c r="I126" s="226">
        <v>43104.765011574076</v>
      </c>
      <c r="J126" s="225">
        <v>0</v>
      </c>
      <c r="K126" s="237" t="str">
        <f>IF(ISEVEN(B126),(B126-1)&amp;"/"&amp;B126,B126&amp;"/"&amp;(B126+1))</f>
        <v>4017/4018</v>
      </c>
      <c r="L126" s="245" t="str">
        <f>VLOOKUP(A126,'Trips&amp;Operators'!$C$1:$G$99911,5,FALSE)</f>
        <v>LOZA FIDEL</v>
      </c>
      <c r="M126" s="224">
        <f>I126-F126</f>
        <v>2.5243055555620231E-2</v>
      </c>
      <c r="N126" s="225">
        <f>24*60*SUM($M126:$M126)</f>
        <v>36.350000000093132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-04T16:42:08-0700',mode:absolute,to:'2018-01-04T19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5.0900000000000001E-2</v>
      </c>
      <c r="Z126" s="247">
        <f>RIGHT(H126,LEN(H126)-4)/10000</f>
        <v>23.328099999999999</v>
      </c>
      <c r="AA126" s="247">
        <f>ABS(Z126-Y126)</f>
        <v>23.277200000000001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213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/stypes="app*4018*20180105*" /stext=" 01:.+((SYSTEM_STATE.+slice.+state.+changed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1"/>
        <v>"%USERPROFILE%\Documents\GitHub\eaglep3\Utilities\RefineRTDCRunTimes.py" --tripid 213-04 --locoid 4018 --swversion DE.1.0.9.0 --startMP 204:509 --initTime 2018-01-04T17:42:08 --startdatetime 2018-01-04T17:45:16 --delay 109 --endMP 204:233281 --enddatetime 2018-01-04T18:21:37 --enforcementcount 0 &gt;&gt;%USERPROFILE%\Documents\GitHub\eaglep3-reporting\EC\2018-01-04-refined-times.txt</v>
      </c>
      <c r="AI126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{"issue":{"subject":"","project_id":79,"tracker_id":40,"status_id":1,"priority_id":2,"assigned_to_id":338,"start_date":"2018-01-04","description":"","custom_fields":[{"id":1,"name":"Subdivision","value":"EC"},{"id":4,"name":"Milepost","value":"23.3281"},{"id":17,"name":"Train ID","value":"213-04"},{"id":16,"name":"Locomotive ID","value":"4018"},{"id":130,"name":"Impact","value":""},{"id":150,"name":"Time of Event (Mountain Time)","value":"18:21:37"},{"id":151,"name":"Denver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13"/>
        <v>start /low /b %USERPROFILE%\Documents\GitHub\eaglep3\Utilities\DownloadLogsFromS3.py --loco 4018 --day 2018-01-04</v>
      </c>
      <c r="AN126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5"/>
        <v>https://d0f6bd738d7f1b3e5a7ca70fe4ff75f0.us-east-1.aws.found.io/app/kibana#/discover/Steve-Slow-Train-Analysis-(2080s-and-2083s)?_g=(refreshInterval:(display:Off,pause:!f,section:0,value:0),time:(from:'2018-01-04T16:42:08-0700',mode:absolute,to:'2018-01-04T19:21:37-0700'))&amp;_a=(columns:!('Message%20ID',Summary),filters:!(),index:'emp_*',interval:auto,query:(query_string:(analyze_wildcard:!t,query:'%22rtdc.l.rtdc.4018%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865</v>
      </c>
      <c r="B127" s="225">
        <v>4017</v>
      </c>
      <c r="C127" s="227" t="s">
        <v>192</v>
      </c>
      <c r="D127" s="227" t="s">
        <v>636</v>
      </c>
      <c r="E127" s="226">
        <v>43104.776689814818</v>
      </c>
      <c r="F127" s="226">
        <v>43104.779398148145</v>
      </c>
      <c r="G127" s="225">
        <v>101</v>
      </c>
      <c r="H127" s="227" t="s">
        <v>479</v>
      </c>
      <c r="I127" s="226">
        <v>43104.804756944446</v>
      </c>
      <c r="J127" s="225">
        <v>0</v>
      </c>
      <c r="K127" s="237" t="str">
        <f>IF(ISEVEN(B127),(B127-1)&amp;"/"&amp;B127,B127&amp;"/"&amp;(B127+1))</f>
        <v>4017/4018</v>
      </c>
      <c r="L127" s="245" t="str">
        <f>VLOOKUP(A127,'Trips&amp;Operators'!$C$1:$G$99911,5,FALSE)</f>
        <v>LOZA FIDEL</v>
      </c>
      <c r="M127" s="224">
        <f>I127-F127</f>
        <v>2.5358796301588882E-2</v>
      </c>
      <c r="N127" s="225">
        <f>24*60*SUM($M127:$M127)</f>
        <v>36.51666667428799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-04T17:38:26-0700',mode:absolute,to:'2018-01-04T20:18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23.295999999999999</v>
      </c>
      <c r="Z127" s="247">
        <f>RIGHT(H127,LEN(H127)-4)/10000</f>
        <v>2.0500000000000001E-2</v>
      </c>
      <c r="AA127" s="247">
        <f>ABS(Z127-Y127)</f>
        <v>23.275500000000001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214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/stypes="app*4017*20180105*" /stext=" 02:.+((SYSTEM_STATE.+slice.+state.+changed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1"/>
        <v>"%USERPROFILE%\Documents\GitHub\eaglep3\Utilities\RefineRTDCRunTimes.py" --tripid 214-04 --locoid 4017 --swversion DE.1.0.9.0 --startMP 204:232960 --initTime 2018-01-04T18:38:26 --startdatetime 2018-01-04T18:42:20 --delay 101 --endMP 204:205 --enddatetime 2018-01-04T19:18:51 --enforcementcount 0 &gt;&gt;%USERPROFILE%\Documents\GitHub\eaglep3-reporting\EC\2018-01-04-refined-times.txt</v>
      </c>
      <c r="AI127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{"issue":{"subject":"","project_id":79,"tracker_id":40,"status_id":1,"priority_id":2,"assigned_to_id":338,"start_date":"2018-01-04","description":"","custom_fields":[{"id":1,"name":"Subdivision","value":"EC"},{"id":4,"name":"Milepost","value":"0.0205"},{"id":17,"name":"Train ID","value":"214-04"},{"id":16,"name":"Locomotive ID","value":"4017"},{"id":130,"name":"Impact","value":""},{"id":150,"name":"Time of Event (Mountain Time)","value":"19:18:51"},{"id":151,"name":"Denver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3"/>
        <v>start /low /b %USERPROFILE%\Documents\GitHub\eaglep3\Utilities\DownloadLogsFromS3.py --loco 4017 --day 2018-01-04</v>
      </c>
      <c r="AN127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5"/>
        <v>https://d0f6bd738d7f1b3e5a7ca70fe4ff75f0.us-east-1.aws.found.io/app/kibana#/discover/Steve-Slow-Train-Analysis-(2080s-and-2083s)?_g=(refreshInterval:(display:Off,pause:!f,section:0,value:0),time:(from:'2018-01-04T17:38:26-0700',mode:absolute,to:'2018-01-04T20:18:51-0700'))&amp;_a=(columns:!('Message%20ID',Summary),filters:!(),index:'emp_*',interval:auto,query:(query_string:(analyze_wildcard:!t,query:'%22rtdc.l.rtdc.4017%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855</v>
      </c>
      <c r="B128" s="225">
        <v>4044</v>
      </c>
      <c r="C128" s="227" t="s">
        <v>192</v>
      </c>
      <c r="D128" s="227" t="s">
        <v>637</v>
      </c>
      <c r="E128" s="226">
        <v>43104.747523148151</v>
      </c>
      <c r="F128" s="226">
        <v>43104.750405092593</v>
      </c>
      <c r="G128" s="225">
        <v>52</v>
      </c>
      <c r="H128" s="227" t="s">
        <v>988</v>
      </c>
      <c r="I128" s="226">
        <v>43104.773993055554</v>
      </c>
      <c r="J128" s="225">
        <v>0</v>
      </c>
      <c r="K128" s="237" t="str">
        <f>IF(ISEVEN(B128),(B128-1)&amp;"/"&amp;B128,B128&amp;"/"&amp;(B128+1))</f>
        <v>4043/4044</v>
      </c>
      <c r="L128" s="245" t="str">
        <f>VLOOKUP(A128,'Trips&amp;Operators'!$C$1:$G$99911,5,FALSE)</f>
        <v>HOLCOMB KAMDEN</v>
      </c>
      <c r="M128" s="224">
        <f>I128-F128</f>
        <v>2.3587962961755693E-2</v>
      </c>
      <c r="N128" s="225">
        <f>24*60*SUM($M128:$M128)</f>
        <v>33.966666664928198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-04T16:56:26-0700',mode:absolute,to:'2018-01-04T19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5.1299999999999998E-2</v>
      </c>
      <c r="Z128" s="247">
        <f>RIGHT(H128,LEN(H128)-4)/10000</f>
        <v>23.320900000000002</v>
      </c>
      <c r="AA128" s="247">
        <f>ABS(Z128-Y128)</f>
        <v>23.269600000000001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215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/stypes="app*4044*20180105*" /stext=" 01:.+((SYSTEM_STATE.+slice.+state.+changed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1"/>
        <v>"%USERPROFILE%\Documents\GitHub\eaglep3\Utilities\RefineRTDCRunTimes.py" --tripid 215-04 --locoid 4044 --swversion DE.1.0.9.0 --startMP 204:513 --initTime 2018-01-04T17:56:26 --startdatetime 2018-01-04T18:00:35 --delay 52 --endMP 204:233209 --enddatetime 2018-01-04T18:34:33 --enforcementcount 0 &gt;&gt;%USERPROFILE%\Documents\GitHub\eaglep3-reporting\EC\2018-01-04-refined-times.txt</v>
      </c>
      <c r="AI128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{"issue":{"subject":"","project_id":79,"tracker_id":40,"status_id":1,"priority_id":2,"assigned_to_id":338,"start_date":"2018-01-04","description":"","custom_fields":[{"id":1,"name":"Subdivision","value":"EC"},{"id":4,"name":"Milepost","value":"23.3209"},{"id":17,"name":"Train ID","value":"215-04"},{"id":16,"name":"Locomotive ID","value":"4044"},{"id":130,"name":"Impact","value":""},{"id":150,"name":"Time of Event (Mountain Time)","value":"18:34:33"},{"id":151,"name":"Denver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13"/>
        <v>start /low /b %USERPROFILE%\Documents\GitHub\eaglep3\Utilities\DownloadLogsFromS3.py --loco 4044 --day 2018-01-04</v>
      </c>
      <c r="AN128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5"/>
        <v>https://d0f6bd738d7f1b3e5a7ca70fe4ff75f0.us-east-1.aws.found.io/app/kibana#/discover/Steve-Slow-Train-Analysis-(2080s-and-2083s)?_g=(refreshInterval:(display:Off,pause:!f,section:0,value:0),time:(from:'2018-01-04T16:56:26-0700',mode:absolute,to:'2018-01-04T19:34:33-0700'))&amp;_a=(columns:!('Message%20ID',Summary),filters:!(),index:'emp_*',interval:auto,query:(query_string:(analyze_wildcard:!t,query:'%22rtdc.l.rtdc.4044%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866</v>
      </c>
      <c r="B129" s="225">
        <v>4043</v>
      </c>
      <c r="C129" s="227" t="s">
        <v>192</v>
      </c>
      <c r="D129" s="227" t="s">
        <v>958</v>
      </c>
      <c r="E129" s="226">
        <v>43104.783634259256</v>
      </c>
      <c r="F129" s="226">
        <v>43104.789872685185</v>
      </c>
      <c r="G129" s="225">
        <v>69</v>
      </c>
      <c r="H129" s="227" t="s">
        <v>524</v>
      </c>
      <c r="I129" s="226">
        <v>43104.81559027778</v>
      </c>
      <c r="J129" s="225">
        <v>0</v>
      </c>
      <c r="K129" s="237" t="str">
        <f>IF(ISEVEN(B129),(B129-1)&amp;"/"&amp;B129,B129&amp;"/"&amp;(B129+1))</f>
        <v>4043/4044</v>
      </c>
      <c r="L129" s="245" t="str">
        <f>VLOOKUP(A129,'Trips&amp;Operators'!$C$1:$G$99911,5,FALSE)</f>
        <v>HOLCOMB KAMDEN</v>
      </c>
      <c r="M129" s="224">
        <f>I129-F129</f>
        <v>2.5717592594446614E-2</v>
      </c>
      <c r="N129" s="225">
        <f>24*60*SUM($M129:$M129)</f>
        <v>37.033333336003125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-04T17:48:26-0700',mode:absolute,to:'2018-01-04T20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23.2896</v>
      </c>
      <c r="Z129" s="247">
        <f>RIGHT(H129,LEN(H129)-4)/10000</f>
        <v>2.1100000000000001E-2</v>
      </c>
      <c r="AA129" s="247">
        <f>ABS(Z129-Y129)</f>
        <v>23.2685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216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/stypes="app*4043*20180105*" /stext=" 02:.+((SYSTEM_STATE.+slice.+state.+changed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1"/>
        <v>"%USERPROFILE%\Documents\GitHub\eaglep3\Utilities\RefineRTDCRunTimes.py" --tripid 216-04 --locoid 4043 --swversion DE.1.0.9.0 --startMP 204:232896 --initTime 2018-01-04T18:48:26 --startdatetime 2018-01-04T18:57:25 --delay 69 --endMP 204:211 --enddatetime 2018-01-04T19:34:27 --enforcementcount 0 &gt;&gt;%USERPROFILE%\Documents\GitHub\eaglep3-reporting\EC\2018-01-04-refined-times.txt</v>
      </c>
      <c r="AI129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{"issue":{"subject":"","project_id":79,"tracker_id":40,"status_id":1,"priority_id":2,"assigned_to_id":338,"start_date":"2018-01-04","description":"","custom_fields":[{"id":1,"name":"Subdivision","value":"EC"},{"id":4,"name":"Milepost","value":"0.0211"},{"id":17,"name":"Train ID","value":"216-04"},{"id":16,"name":"Locomotive ID","value":"4043"},{"id":130,"name":"Impact","value":""},{"id":150,"name":"Time of Event (Mountain Time)","value":"19:34:27"},{"id":151,"name":"Denver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3"/>
        <v>start /low /b %USERPROFILE%\Documents\GitHub\eaglep3\Utilities\DownloadLogsFromS3.py --loco 4043 --day 2018-01-04</v>
      </c>
      <c r="AN129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5"/>
        <v>https://d0f6bd738d7f1b3e5a7ca70fe4ff75f0.us-east-1.aws.found.io/app/kibana#/discover/Steve-Slow-Train-Analysis-(2080s-and-2083s)?_g=(refreshInterval:(display:Off,pause:!f,section:0,value:0),time:(from:'2018-01-04T17:48:26-0700',mode:absolute,to:'2018-01-04T20:34:27-0700'))&amp;_a=(columns:!('Message%20ID',Summary),filters:!(),index:'emp_*',interval:auto,query:(query_string:(analyze_wildcard:!t,query:'%22rtdc.l.rtdc.4043%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858</v>
      </c>
      <c r="B130" s="225">
        <v>4046</v>
      </c>
      <c r="C130" s="227" t="s">
        <v>192</v>
      </c>
      <c r="D130" s="227" t="s">
        <v>985</v>
      </c>
      <c r="E130" s="226">
        <v>43104.754872685182</v>
      </c>
      <c r="F130" s="226">
        <v>43104.760578703703</v>
      </c>
      <c r="G130" s="225">
        <v>83</v>
      </c>
      <c r="H130" s="227" t="s">
        <v>507</v>
      </c>
      <c r="I130" s="226">
        <v>43104.785173611112</v>
      </c>
      <c r="J130" s="225">
        <v>0</v>
      </c>
      <c r="K130" s="237" t="str">
        <f>IF(ISEVEN(B130),(B130-1)&amp;"/"&amp;B130,B130&amp;"/"&amp;(B130+1))</f>
        <v>4045/4046</v>
      </c>
      <c r="L130" s="245" t="str">
        <f>VLOOKUP(A130,'Trips&amp;Operators'!$C$1:$G$99911,5,FALSE)</f>
        <v>ELBAUM MIKE</v>
      </c>
      <c r="M130" s="224">
        <f>I130-F130</f>
        <v>2.4594907408754807E-2</v>
      </c>
      <c r="N130" s="225">
        <f>24*60*SUM($M130:$M130)</f>
        <v>35.416666668606922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-04T17:07:01-0700',mode:absolute,to:'2018-01-04T19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5.4199999999999998E-2</v>
      </c>
      <c r="Z130" s="247">
        <f>RIGHT(H130,LEN(H130)-4)/10000</f>
        <v>23.331</v>
      </c>
      <c r="AA130" s="247">
        <f>ABS(Z130-Y130)</f>
        <v>23.276799999999998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217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/stypes="app*4046*20180105*" /stext=" 01:.+((SYSTEM_STATE.+slice.+state.+changed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1"/>
        <v>"%USERPROFILE%\Documents\GitHub\eaglep3\Utilities\RefineRTDCRunTimes.py" --tripid 217-04 --locoid 4046 --swversion DE.1.0.9.0 --startMP 204:542 --initTime 2018-01-04T18:07:01 --startdatetime 2018-01-04T18:15:14 --delay 83 --endMP 204:233310 --enddatetime 2018-01-04T18:50:39 --enforcementcount 0 &gt;&gt;%USERPROFILE%\Documents\GitHub\eaglep3-reporting\EC\2018-01-04-refined-times.txt</v>
      </c>
      <c r="AI130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{"issue":{"subject":"","project_id":79,"tracker_id":40,"status_id":1,"priority_id":2,"assigned_to_id":338,"start_date":"2018-01-04","description":"","custom_fields":[{"id":1,"name":"Subdivision","value":"EC"},{"id":4,"name":"Milepost","value":"23.331"},{"id":17,"name":"Train ID","value":"217-04"},{"id":16,"name":"Locomotive ID","value":"4046"},{"id":130,"name":"Impact","value":""},{"id":150,"name":"Time of Event (Mountain Time)","value":"18:50:39"},{"id":151,"name":"Denver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3"/>
        <v>start /low /b %USERPROFILE%\Documents\GitHub\eaglep3\Utilities\DownloadLogsFromS3.py --loco 4046 --day 2018-01-04</v>
      </c>
      <c r="AN130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5"/>
        <v>https://d0f6bd738d7f1b3e5a7ca70fe4ff75f0.us-east-1.aws.found.io/app/kibana#/discover/Steve-Slow-Train-Analysis-(2080s-and-2083s)?_g=(refreshInterval:(display:Off,pause:!f,section:0,value:0),time:(from:'2018-01-04T17:07:01-0700',mode:absolute,to:'2018-01-04T19:50:39-0700'))&amp;_a=(columns:!('Message%20ID',Summary),filters:!(),index:'emp_*',interval:auto,query:(query_string:(analyze_wildcard:!t,query:'%22rtdc.l.rtdc.4046%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867</v>
      </c>
      <c r="B131" s="225">
        <v>4045</v>
      </c>
      <c r="C131" s="227" t="s">
        <v>192</v>
      </c>
      <c r="D131" s="227" t="s">
        <v>512</v>
      </c>
      <c r="E131" s="226">
        <v>43104.78638888889</v>
      </c>
      <c r="F131" s="226">
        <v>43104.800150462965</v>
      </c>
      <c r="G131" s="225">
        <v>61</v>
      </c>
      <c r="H131" s="227" t="s">
        <v>634</v>
      </c>
      <c r="I131" s="226">
        <v>43104.825069444443</v>
      </c>
      <c r="J131" s="225">
        <v>0</v>
      </c>
      <c r="K131" s="237" t="str">
        <f>IF(ISEVEN(B131),(B131-1)&amp;"/"&amp;B131,B131&amp;"/"&amp;(B131+1))</f>
        <v>4045/4046</v>
      </c>
      <c r="L131" s="245" t="str">
        <f>VLOOKUP(A131,'Trips&amp;Operators'!$C$1:$G$99911,5,FALSE)</f>
        <v>ELBAUM MIKE</v>
      </c>
      <c r="M131" s="224">
        <f>I131-F131</f>
        <v>2.491898147854954E-2</v>
      </c>
      <c r="N131" s="225">
        <f>24*60*SUM($M131:$M131)</f>
        <v>35.883333329111338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-04T17:52:24-0700',mode:absolute,to:'2018-01-04T20:48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23.299399999999999</v>
      </c>
      <c r="Z131" s="247">
        <f>RIGHT(H131,LEN(H131)-4)/10000</f>
        <v>2.6200000000000001E-2</v>
      </c>
      <c r="AA131" s="247">
        <f>ABS(Z131-Y131)</f>
        <v>23.273199999999999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218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/stypes="app*4045*20180105*"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1"/>
        <v>"%USERPROFILE%\Documents\GitHub\eaglep3\Utilities\RefineRTDCRunTimes.py" --tripid 218-04 --locoid 4045 --swversion DE.1.0.9.0 --startMP 204:232994 --initTime 2018-01-04T18:52:24 --startdatetime 2018-01-04T19:12:13 --delay 61 --endMP 204:262 --enddatetime 2018-01-04T19:48:06 --enforcementcount 0 &gt;&gt;%USERPROFILE%\Documents\GitHub\eaglep3-reporting\EC\2018-01-04-refined-times.txt</v>
      </c>
      <c r="AI131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{"issue":{"subject":"","project_id":79,"tracker_id":40,"status_id":1,"priority_id":2,"assigned_to_id":338,"start_date":"2018-01-04","description":"","custom_fields":[{"id":1,"name":"Subdivision","value":"EC"},{"id":4,"name":"Milepost","value":"0.0262"},{"id":17,"name":"Train ID","value":"218-04"},{"id":16,"name":"Locomotive ID","value":"4045"},{"id":130,"name":"Impact","value":""},{"id":150,"name":"Time of Event (Mountain Time)","value":"19:48:06"},{"id":151,"name":"Denver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3"/>
        <v>start /low /b %USERPROFILE%\Documents\GitHub\eaglep3\Utilities\DownloadLogsFromS3.py --loco 4045 --day 2018-01-04</v>
      </c>
      <c r="AN131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02:48:06"},{"id":29,"name":"Sharepoint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5"/>
        <v>https://d0f6bd738d7f1b3e5a7ca70fe4ff75f0.us-east-1.aws.found.io/app/kibana#/discover/Steve-Slow-Train-Analysis-(2080s-and-2083s)?_g=(refreshInterval:(display:Off,pause:!f,section:0,value:0),time:(from:'2018-01-04T17:52:24-0700',mode:absolute,to:'2018-01-04T20:48:06-0700'))&amp;_a=(columns:!('Message%20ID',Summary),filters:!(),index:'emp_*',interval:auto,query:(query_string:(analyze_wildcard:!t,query:'%22rtdc.l.rtdc.4045%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861</v>
      </c>
      <c r="B132" s="225">
        <v>4064</v>
      </c>
      <c r="C132" s="227" t="s">
        <v>192</v>
      </c>
      <c r="D132" s="227" t="s">
        <v>557</v>
      </c>
      <c r="E132" s="226">
        <v>43104.767500000002</v>
      </c>
      <c r="F132" s="226">
        <v>43104.77103009259</v>
      </c>
      <c r="G132" s="225">
        <v>84</v>
      </c>
      <c r="H132" s="227" t="s">
        <v>989</v>
      </c>
      <c r="I132" s="226">
        <v>43104.795682870368</v>
      </c>
      <c r="J132" s="225">
        <v>0</v>
      </c>
      <c r="K132" s="237" t="str">
        <f>IF(ISEVEN(B132),(B132-1)&amp;"/"&amp;B132,B132&amp;"/"&amp;(B132+1))</f>
        <v>4063/4064</v>
      </c>
      <c r="L132" s="245" t="str">
        <f>VLOOKUP(A132,'Trips&amp;Operators'!$C$1:$G$99911,5,FALSE)</f>
        <v>NICHOLSON WESLEY</v>
      </c>
      <c r="M132" s="224">
        <f>I132-F132</f>
        <v>2.4652777778101154E-2</v>
      </c>
      <c r="N132" s="225">
        <f>24*60*SUM($M132:$M132)</f>
        <v>35.500000000465661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-04T17:25:12-0700',mode:absolute,to:'2018-01-04T20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5.11E-2</v>
      </c>
      <c r="Z132" s="247">
        <f>RIGHT(H132,LEN(H132)-4)/10000</f>
        <v>23.3184</v>
      </c>
      <c r="AA132" s="247">
        <f>ABS(Z132-Y132)</f>
        <v>23.267299999999999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219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/stypes="app*4064*20180105*"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1"/>
        <v>"%USERPROFILE%\Documents\GitHub\eaglep3\Utilities\RefineRTDCRunTimes.py" --tripid 219-04 --locoid 4064 --swversion DE.1.0.9.0 --startMP 204:511 --initTime 2018-01-04T18:25:12 --startdatetime 2018-01-04T18:30:17 --delay 84 --endMP 204:233184 --enddatetime 2018-01-04T19:05:47 --enforcementcount 0 &gt;&gt;%USERPROFILE%\Documents\GitHub\eaglep3-reporting\EC\2018-01-04-refined-times.txt</v>
      </c>
      <c r="AI132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{"issue":{"subject":"","project_id":79,"tracker_id":40,"status_id":1,"priority_id":2,"assigned_to_id":338,"start_date":"2018-01-04","description":"","custom_fields":[{"id":1,"name":"Subdivision","value":"EC"},{"id":4,"name":"Milepost","value":"23.3184"},{"id":17,"name":"Train ID","value":"219-04"},{"id":16,"name":"Locomotive ID","value":"4064"},{"id":130,"name":"Impact","value":""},{"id":150,"name":"Time of Event (Mountain Time)","value":"19:05:47"},{"id":151,"name":"Denver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3"/>
        <v>start /low /b %USERPROFILE%\Documents\GitHub\eaglep3\Utilities\DownloadLogsFromS3.py --loco 4064 --day 2018-01-04</v>
      </c>
      <c r="AN132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5"/>
        <v>https://d0f6bd738d7f1b3e5a7ca70fe4ff75f0.us-east-1.aws.found.io/app/kibana#/discover/Steve-Slow-Train-Analysis-(2080s-and-2083s)?_g=(refreshInterval:(display:Off,pause:!f,section:0,value:0),time:(from:'2018-01-04T17:25:12-0700',mode:absolute,to:'2018-01-04T20:05:47-0700'))&amp;_a=(columns:!('Message%20ID',Summary),filters:!(),index:'emp_*',interval:auto,query:(query_string:(analyze_wildcard:!t,query:'%22rtdc.l.rtdc.4064%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871</v>
      </c>
      <c r="B133" s="225">
        <v>4063</v>
      </c>
      <c r="C133" s="227" t="s">
        <v>192</v>
      </c>
      <c r="D133" s="227" t="s">
        <v>629</v>
      </c>
      <c r="E133" s="226">
        <v>43104.800509259258</v>
      </c>
      <c r="F133" s="226">
        <v>43104.811261574076</v>
      </c>
      <c r="G133" s="225">
        <v>119</v>
      </c>
      <c r="H133" s="227" t="s">
        <v>633</v>
      </c>
      <c r="I133" s="226">
        <v>43104.837824074071</v>
      </c>
      <c r="J133" s="225">
        <v>0</v>
      </c>
      <c r="K133" s="237" t="str">
        <f>IF(ISEVEN(B133),(B133-1)&amp;"/"&amp;B133,B133&amp;"/"&amp;(B133+1))</f>
        <v>4063/4064</v>
      </c>
      <c r="L133" s="245" t="str">
        <f>VLOOKUP(A133,'Trips&amp;Operators'!$C$1:$G$99911,5,FALSE)</f>
        <v>NICHOLSON WESLEY</v>
      </c>
      <c r="M133" s="224">
        <f>I133-F133</f>
        <v>2.6562499995634425E-2</v>
      </c>
      <c r="N133" s="225">
        <f>24*60*SUM($M133:$M133)</f>
        <v>38.249999993713573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-04T18:12:44-0700',mode:absolute,to:'2018-01-04T21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23.286899999999999</v>
      </c>
      <c r="Z133" s="247">
        <f>RIGHT(H133,LEN(H133)-4)/10000</f>
        <v>2.3599999999999999E-2</v>
      </c>
      <c r="AA133" s="247">
        <f>ABS(Z133-Y133)</f>
        <v>23.263300000000001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220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/stypes="app*4063*20180105*" /stext=" 03:.+((SYSTEM_STATE.+slice.+state.+changed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1"/>
        <v>"%USERPROFILE%\Documents\GitHub\eaglep3\Utilities\RefineRTDCRunTimes.py" --tripid 220-04 --locoid 4063 --swversion DE.1.0.9.0 --startMP 204:232869 --initTime 2018-01-04T19:12:44 --startdatetime 2018-01-04T19:28:13 --delay 119 --endMP 204:236 --enddatetime 2018-01-04T20:06:28 --enforcementcount 0 &gt;&gt;%USERPROFILE%\Documents\GitHub\eaglep3-reporting\EC\2018-01-04-refined-times.txt</v>
      </c>
      <c r="AI133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{"issue":{"subject":"","project_id":79,"tracker_id":40,"status_id":1,"priority_id":2,"assigned_to_id":338,"start_date":"2018-01-04","description":"","custom_fields":[{"id":1,"name":"Subdivision","value":"EC"},{"id":4,"name":"Milepost","value":"0.0236"},{"id":17,"name":"Train ID","value":"220-04"},{"id":16,"name":"Locomotive ID","value":"4063"},{"id":130,"name":"Impact","value":""},{"id":150,"name":"Time of Event (Mountain Time)","value":"20:06:28"},{"id":151,"name":"Denver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13"/>
        <v>start /low /b %USERPROFILE%\Documents\GitHub\eaglep3\Utilities\DownloadLogsFromS3.py --loco 4063 --day 2018-01-04</v>
      </c>
      <c r="AN133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03:06:28"},{"id":29,"name":"Sharepoint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5"/>
        <v>https://d0f6bd738d7f1b3e5a7ca70fe4ff75f0.us-east-1.aws.found.io/app/kibana#/discover/Steve-Slow-Train-Analysis-(2080s-and-2083s)?_g=(refreshInterval:(display:Off,pause:!f,section:0,value:0),time:(from:'2018-01-04T18:12:44-0700',mode:absolute,to:'2018-01-04T21:06:28-0700'))&amp;_a=(columns:!('Message%20ID',Summary),filters:!(),index:'emp_*',interval:auto,query:(query_string:(analyze_wildcard:!t,query:'%22rtdc.l.rtdc.4063%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3">
      <c r="A134" s="229" t="s">
        <v>681</v>
      </c>
      <c r="B134" s="225">
        <v>4034</v>
      </c>
      <c r="C134" s="227" t="s">
        <v>192</v>
      </c>
      <c r="D134" s="227" t="s">
        <v>617</v>
      </c>
      <c r="E134" s="226">
        <v>43104.788090277776</v>
      </c>
      <c r="F134" s="226">
        <v>43104.791944444441</v>
      </c>
      <c r="G134" s="225">
        <v>72</v>
      </c>
      <c r="H134" s="227" t="s">
        <v>913</v>
      </c>
      <c r="I134" s="226">
        <v>43104.817106481481</v>
      </c>
      <c r="J134" s="225">
        <v>0</v>
      </c>
      <c r="K134" s="237" t="str">
        <f>IF(ISEVEN(B134),(B134-1)&amp;"/"&amp;B134,B134&amp;"/"&amp;(B134+1))</f>
        <v>4033/4034</v>
      </c>
      <c r="L134" s="245" t="str">
        <f>VLOOKUP(A134,'Trips&amp;Operators'!$C$1:$G$99911,5,FALSE)</f>
        <v>ANDERS STEVEN</v>
      </c>
      <c r="M134" s="224">
        <f>I134-F134</f>
        <v>2.5162037039990537E-2</v>
      </c>
      <c r="N134" s="225">
        <f>24*60*SUM($M134:$M134)</f>
        <v>36.233333337586373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-04T17:54:51-0700',mode:absolute,to:'2018-01-04T20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5.04E-2</v>
      </c>
      <c r="Z134" s="247">
        <f>RIGHT(H134,LEN(H134)-4)/10000</f>
        <v>23.328099999999999</v>
      </c>
      <c r="AA134" s="247">
        <f>ABS(Z134-Y134)</f>
        <v>23.277699999999999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221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/stypes="app*4034*20180105*"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1"/>
        <v>"%USERPROFILE%\Documents\GitHub\eaglep3\Utilities\RefineRTDCRunTimes.py" --tripid 221-04 --locoid 4034 --swversion DE.1.0.9.0 --startMP 204:504 --initTime 2018-01-04T18:54:51 --startdatetime 2018-01-04T19:00:24 --delay 72 --endMP 204:233281 --enddatetime 2018-01-04T19:36:38 --enforcementcount 0 &gt;&gt;%USERPROFILE%\Documents\GitHub\eaglep3-reporting\EC\2018-01-04-refined-times.txt</v>
      </c>
      <c r="AI134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{"issue":{"subject":"","project_id":79,"tracker_id":40,"status_id":1,"priority_id":2,"assigned_to_id":338,"start_date":"2018-01-04","description":"","custom_fields":[{"id":1,"name":"Subdivision","value":"EC"},{"id":4,"name":"Milepost","value":"23.3281"},{"id":17,"name":"Train ID","value":"221-04"},{"id":16,"name":"Locomotive ID","value":"4034"},{"id":130,"name":"Impact","value":""},{"id":150,"name":"Time of Event (Mountain Time)","value":"19:36:38"},{"id":151,"name":"Denver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13"/>
        <v>start /low /b %USERPROFILE%\Documents\GitHub\eaglep3\Utilities\DownloadLogsFromS3.py --loco 4034 --day 2018-01-04</v>
      </c>
      <c r="AN134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5"/>
        <v>https://d0f6bd738d7f1b3e5a7ca70fe4ff75f0.us-east-1.aws.found.io/app/kibana#/discover/Steve-Slow-Train-Analysis-(2080s-and-2083s)?_g=(refreshInterval:(display:Off,pause:!f,section:0,value:0),time:(from:'2018-01-04T17:54:51-0700',mode:absolute,to:'2018-01-04T20:36:38-0700'))&amp;_a=(columns:!('Message%20ID',Summary),filters:!(),index:'emp_*',interval:auto,query:(query_string:(analyze_wildcard:!t,query:'%22rtdc.l.rtdc.4034%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875</v>
      </c>
      <c r="B135" s="225">
        <v>4033</v>
      </c>
      <c r="C135" s="227" t="s">
        <v>192</v>
      </c>
      <c r="D135" s="227" t="s">
        <v>990</v>
      </c>
      <c r="E135" s="226">
        <v>43104.829212962963</v>
      </c>
      <c r="F135" s="226">
        <v>43104.831493055557</v>
      </c>
      <c r="G135" s="225">
        <v>86</v>
      </c>
      <c r="H135" s="227" t="s">
        <v>615</v>
      </c>
      <c r="I135" s="226">
        <v>43104.857847222222</v>
      </c>
      <c r="J135" s="225">
        <v>0</v>
      </c>
      <c r="K135" s="237" t="str">
        <f>IF(ISEVEN(B135),(B135-1)&amp;"/"&amp;B135,B135&amp;"/"&amp;(B135+1))</f>
        <v>4033/4034</v>
      </c>
      <c r="L135" s="245" t="str">
        <f>VLOOKUP(A135,'Trips&amp;Operators'!$C$1:$G$99911,5,FALSE)</f>
        <v>ANDERS STEVEN</v>
      </c>
      <c r="M135" s="224">
        <f>I135-F135</f>
        <v>2.6354166664532386E-2</v>
      </c>
      <c r="N135" s="225">
        <f>24*60*SUM($M135:$M135)</f>
        <v>37.949999996926636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-04T18:54:04-0700',mode:absolute,to:'2018-01-04T21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23.296800000000001</v>
      </c>
      <c r="Z135" s="247">
        <f>RIGHT(H135,LEN(H135)-4)/10000</f>
        <v>2.3099999999999999E-2</v>
      </c>
      <c r="AA135" s="247">
        <f>ABS(Z135-Y135)</f>
        <v>23.273700000000002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222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/stypes="app*4033*20180105*"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1"/>
        <v>"%USERPROFILE%\Documents\GitHub\eaglep3\Utilities\RefineRTDCRunTimes.py" --tripid 222-04 --locoid 4033 --swversion DE.1.0.9.0 --startMP 204:232968 --initTime 2018-01-04T19:54:04 --startdatetime 2018-01-04T19:57:21 --delay 86 --endMP 204:231 --enddatetime 2018-01-04T20:35:18 --enforcementcount 0 &gt;&gt;%USERPROFILE%\Documents\GitHub\eaglep3-reporting\EC\2018-01-04-refined-times.txt</v>
      </c>
      <c r="AI135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{"issue":{"subject":"","project_id":79,"tracker_id":40,"status_id":1,"priority_id":2,"assigned_to_id":338,"start_date":"2018-01-04","description":"","custom_fields":[{"id":1,"name":"Subdivision","value":"EC"},{"id":4,"name":"Milepost","value":"0.0231"},{"id":17,"name":"Train ID","value":"222-04"},{"id":16,"name":"Locomotive ID","value":"4033"},{"id":130,"name":"Impact","value":""},{"id":150,"name":"Time of Event (Mountain Time)","value":"20:35:18"},{"id":151,"name":"Denver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13"/>
        <v>start /low /b %USERPROFILE%\Documents\GitHub\eaglep3\Utilities\DownloadLogsFromS3.py --loco 4033 --day 2018-01-04</v>
      </c>
      <c r="AN135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5"/>
        <v>https://d0f6bd738d7f1b3e5a7ca70fe4ff75f0.us-east-1.aws.found.io/app/kibana#/discover/Steve-Slow-Train-Analysis-(2080s-and-2083s)?_g=(refreshInterval:(display:Off,pause:!f,section:0,value:0),time:(from:'2018-01-04T18:54:04-0700',mode:absolute,to:'2018-01-04T21:35:18-0700'))&amp;_a=(columns:!('Message%20ID',Summary),filters:!(),index:'emp_*',interval:auto,query:(query_string:(analyze_wildcard:!t,query:'%22rtdc.l.rtdc.4033%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873</v>
      </c>
      <c r="B136" s="225">
        <v>4018</v>
      </c>
      <c r="C136" s="227" t="s">
        <v>192</v>
      </c>
      <c r="D136" s="227" t="s">
        <v>483</v>
      </c>
      <c r="E136" s="226">
        <v>43104.809652777774</v>
      </c>
      <c r="F136" s="226">
        <v>43104.812696759262</v>
      </c>
      <c r="G136" s="225">
        <v>71</v>
      </c>
      <c r="H136" s="227" t="s">
        <v>991</v>
      </c>
      <c r="I136" s="226">
        <v>43104.836817129632</v>
      </c>
      <c r="J136" s="225">
        <v>0</v>
      </c>
      <c r="K136" s="237" t="str">
        <f>IF(ISEVEN(B136),(B136-1)&amp;"/"&amp;B136,B136&amp;"/"&amp;(B136+1))</f>
        <v>4017/4018</v>
      </c>
      <c r="L136" s="245" t="str">
        <f>VLOOKUP(A136,'Trips&amp;Operators'!$C$1:$G$99911,5,FALSE)</f>
        <v>LOZA FIDEL</v>
      </c>
      <c r="M136" s="224">
        <f>I136-F136</f>
        <v>2.4120370369928423E-2</v>
      </c>
      <c r="N136" s="225">
        <f>24*60*SUM($M136:$M136)</f>
        <v>34.73333333269693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-04T18:25:54-0700',mode:absolute,to:'2018-01-04T21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5.1700000000000003E-2</v>
      </c>
      <c r="Z136" s="247">
        <f>RIGHT(H136,LEN(H136)-4)/10000</f>
        <v>23.324000000000002</v>
      </c>
      <c r="AA136" s="247">
        <f>ABS(Z136-Y136)</f>
        <v>23.272300000000001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223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/stypes="app*4018*20180105*"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1"/>
        <v>"%USERPROFILE%\Documents\GitHub\eaglep3\Utilities\RefineRTDCRunTimes.py" --tripid 223-04 --locoid 4018 --swversion DE.1.0.9.0 --startMP 204:517 --initTime 2018-01-04T19:25:54 --startdatetime 2018-01-04T19:30:17 --delay 71 --endMP 204:233240 --enddatetime 2018-01-04T20:05:01 --enforcementcount 0 &gt;&gt;%USERPROFILE%\Documents\GitHub\eaglep3-reporting\EC\2018-01-04-refined-times.txt</v>
      </c>
      <c r="AI136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{"issue":{"subject":"","project_id":79,"tracker_id":40,"status_id":1,"priority_id":2,"assigned_to_id":338,"start_date":"2018-01-04","description":"","custom_fields":[{"id":1,"name":"Subdivision","value":"EC"},{"id":4,"name":"Milepost","value":"23.324"},{"id":17,"name":"Train ID","value":"223-04"},{"id":16,"name":"Locomotive ID","value":"4018"},{"id":130,"name":"Impact","value":""},{"id":150,"name":"Time of Event (Mountain Time)","value":"20:05:01"},{"id":151,"name":"Denver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3"/>
        <v>start /low /b %USERPROFILE%\Documents\GitHub\eaglep3\Utilities\DownloadLogsFromS3.py --loco 4018 --day 2018-01-04</v>
      </c>
      <c r="AN136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03:05:01"},{"id":29,"name":"Sharepoint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5"/>
        <v>https://d0f6bd738d7f1b3e5a7ca70fe4ff75f0.us-east-1.aws.found.io/app/kibana#/discover/Steve-Slow-Train-Analysis-(2080s-and-2083s)?_g=(refreshInterval:(display:Off,pause:!f,section:0,value:0),time:(from:'2018-01-04T18:25:54-0700',mode:absolute,to:'2018-01-04T21:05:01-0700'))&amp;_a=(columns:!('Message%20ID',Summary),filters:!(),index:'emp_*',interval:auto,query:(query_string:(analyze_wildcard:!t,query:'%22rtdc.l.rtdc.4018%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879</v>
      </c>
      <c r="B137" s="225">
        <v>4017</v>
      </c>
      <c r="C137" s="227" t="s">
        <v>192</v>
      </c>
      <c r="D137" s="227" t="s">
        <v>566</v>
      </c>
      <c r="E137" s="226">
        <v>43104.850671296299</v>
      </c>
      <c r="F137" s="226">
        <v>43104.852372685185</v>
      </c>
      <c r="G137" s="225">
        <v>66</v>
      </c>
      <c r="H137" s="227" t="s">
        <v>945</v>
      </c>
      <c r="I137" s="226">
        <v>43104.877430555556</v>
      </c>
      <c r="J137" s="225">
        <v>0</v>
      </c>
      <c r="K137" s="237" t="str">
        <f>IF(ISEVEN(B137),(B137-1)&amp;"/"&amp;B137,B137&amp;"/"&amp;(B137+1))</f>
        <v>4017/4018</v>
      </c>
      <c r="L137" s="245" t="str">
        <f>VLOOKUP(A137,'Trips&amp;Operators'!$C$1:$G$99911,5,FALSE)</f>
        <v>LOZA FIDEL</v>
      </c>
      <c r="M137" s="224">
        <f>I137-F137</f>
        <v>2.5057870370801538E-2</v>
      </c>
      <c r="N137" s="225">
        <f>24*60*SUM($M137:$M137)</f>
        <v>36.083333333954215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-04T19:24:58-0700',mode:absolute,to:'2018-01-04T22:03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23.2942</v>
      </c>
      <c r="Z137" s="247">
        <f>RIGHT(H137,LEN(H137)-4)/10000</f>
        <v>2.0299999999999999E-2</v>
      </c>
      <c r="AA137" s="247">
        <f>ABS(Z137-Y137)</f>
        <v>23.273900000000001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224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/stypes="app*4017*20180105*" /stext=" 04:.+((SYSTEM_STATE.+slice.+state.+changed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1"/>
        <v>"%USERPROFILE%\Documents\GitHub\eaglep3\Utilities\RefineRTDCRunTimes.py" --tripid 224-04 --locoid 4017 --swversion DE.1.0.9.0 --startMP 204:232942 --initTime 2018-01-04T20:24:58 --startdatetime 2018-01-04T20:27:25 --delay 66 --endMP 204:203 --enddatetime 2018-01-04T21:03:30 --enforcementcount 0 &gt;&gt;%USERPROFILE%\Documents\GitHub\eaglep3-reporting\EC\2018-01-04-refined-times.txt</v>
      </c>
      <c r="AI137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{"issue":{"subject":"","project_id":79,"tracker_id":40,"status_id":1,"priority_id":2,"assigned_to_id":338,"start_date":"2018-01-04","description":"","custom_fields":[{"id":1,"name":"Subdivision","value":"EC"},{"id":4,"name":"Milepost","value":"0.0203"},{"id":17,"name":"Train ID","value":"224-04"},{"id":16,"name":"Locomotive ID","value":"4017"},{"id":130,"name":"Impact","value":""},{"id":150,"name":"Time of Event (Mountain Time)","value":"21:03:30"},{"id":151,"name":"Denver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3"/>
        <v>start /low /b %USERPROFILE%\Documents\GitHub\eaglep3\Utilities\DownloadLogsFromS3.py --loco 4017 --day 2018-01-04</v>
      </c>
      <c r="AN137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04:03:30"},{"id":29,"name":"Sharepoint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5"/>
        <v>https://d0f6bd738d7f1b3e5a7ca70fe4ff75f0.us-east-1.aws.found.io/app/kibana#/discover/Steve-Slow-Train-Analysis-(2080s-and-2083s)?_g=(refreshInterval:(display:Off,pause:!f,section:0,value:0),time:(from:'2018-01-04T19:24:58-0700',mode:absolute,to:'2018-01-04T22:03:30-0700'))&amp;_a=(columns:!('Message%20ID',Summary),filters:!(),index:'emp_*',interval:auto,query:(query_string:(analyze_wildcard:!t,query:'%22rtdc.l.rtdc.4017%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874</v>
      </c>
      <c r="B138" s="225">
        <v>4046</v>
      </c>
      <c r="C138" s="227" t="s">
        <v>192</v>
      </c>
      <c r="D138" s="227" t="s">
        <v>992</v>
      </c>
      <c r="E138" s="226">
        <v>43104.826365740744</v>
      </c>
      <c r="F138" s="226">
        <v>43104.833483796298</v>
      </c>
      <c r="G138" s="225">
        <v>49</v>
      </c>
      <c r="H138" s="227" t="s">
        <v>946</v>
      </c>
      <c r="I138" s="226">
        <v>43104.857442129629</v>
      </c>
      <c r="J138" s="225">
        <v>0</v>
      </c>
      <c r="K138" s="237" t="str">
        <f>IF(ISEVEN(B138),(B138-1)&amp;"/"&amp;B138,B138&amp;"/"&amp;(B138+1))</f>
        <v>4045/4046</v>
      </c>
      <c r="L138" s="245" t="str">
        <f>VLOOKUP(A138,'Trips&amp;Operators'!$C$1:$G$99911,5,FALSE)</f>
        <v>ELBAUM MIKE</v>
      </c>
      <c r="M138" s="224">
        <f>I138-F138</f>
        <v>2.3958333331393078E-2</v>
      </c>
      <c r="N138" s="225">
        <f>24*60*SUM($M138:$M138)</f>
        <v>34.499999997206032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-04T18:49:58-0700',mode:absolute,to:'2018-01-04T21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5.8599999999999999E-2</v>
      </c>
      <c r="Z138" s="247">
        <f>RIGHT(H138,LEN(H138)-4)/10000</f>
        <v>23.330500000000001</v>
      </c>
      <c r="AA138" s="247">
        <f>ABS(Z138-Y138)</f>
        <v>23.271900000000002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225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/stypes="app*4046*20180105*"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1"/>
        <v>"%USERPROFILE%\Documents\GitHub\eaglep3\Utilities\RefineRTDCRunTimes.py" --tripid 225-04 --locoid 4046 --swversion DE.1.0.9.0 --startMP 204:586 --initTime 2018-01-04T19:49:58 --startdatetime 2018-01-04T20:00:13 --delay 49 --endMP 204:233305 --enddatetime 2018-01-04T20:34:43 --enforcementcount 0 &gt;&gt;%USERPROFILE%\Documents\GitHub\eaglep3-reporting\EC\2018-01-04-refined-times.txt</v>
      </c>
      <c r="AI138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{"issue":{"subject":"","project_id":79,"tracker_id":40,"status_id":1,"priority_id":2,"assigned_to_id":338,"start_date":"2018-01-04","description":"","custom_fields":[{"id":1,"name":"Subdivision","value":"EC"},{"id":4,"name":"Milepost","value":"23.3305"},{"id":17,"name":"Train ID","value":"225-04"},{"id":16,"name":"Locomotive ID","value":"4046"},{"id":130,"name":"Impact","value":""},{"id":150,"name":"Time of Event (Mountain Time)","value":"20:34:43"},{"id":151,"name":"Denver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13"/>
        <v>start /low /b %USERPROFILE%\Documents\GitHub\eaglep3\Utilities\DownloadLogsFromS3.py --loco 4046 --day 2018-01-04</v>
      </c>
      <c r="AN138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03:34:43"},{"id":29,"name":"Sharepoint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5"/>
        <v>https://d0f6bd738d7f1b3e5a7ca70fe4ff75f0.us-east-1.aws.found.io/app/kibana#/discover/Steve-Slow-Train-Analysis-(2080s-and-2083s)?_g=(refreshInterval:(display:Off,pause:!f,section:0,value:0),time:(from:'2018-01-04T18:49:58-0700',mode:absolute,to:'2018-01-04T21:34:43-0700'))&amp;_a=(columns:!('Message%20ID',Summary),filters:!(),index:'emp_*',interval:auto,query:(query_string:(analyze_wildcard:!t,query:'%22rtdc.l.rtdc.4046%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880</v>
      </c>
      <c r="B139" s="225">
        <v>4045</v>
      </c>
      <c r="C139" s="227" t="s">
        <v>192</v>
      </c>
      <c r="D139" s="227" t="s">
        <v>944</v>
      </c>
      <c r="E139" s="226">
        <v>43104.858564814815</v>
      </c>
      <c r="F139" s="226">
        <v>43104.873078703706</v>
      </c>
      <c r="G139" s="225">
        <v>50</v>
      </c>
      <c r="H139" s="227" t="s">
        <v>993</v>
      </c>
      <c r="I139" s="226">
        <v>43104.898078703707</v>
      </c>
      <c r="J139" s="225">
        <v>0</v>
      </c>
      <c r="K139" s="237" t="str">
        <f>IF(ISEVEN(B139),(B139-1)&amp;"/"&amp;B139,B139&amp;"/"&amp;(B139+1))</f>
        <v>4045/4046</v>
      </c>
      <c r="L139" s="245" t="str">
        <f>VLOOKUP(A139,'Trips&amp;Operators'!$C$1:$G$99911,5,FALSE)</f>
        <v>ELBAUM MIKE</v>
      </c>
      <c r="M139" s="224">
        <f>I139-F139</f>
        <v>2.5000000001455192E-2</v>
      </c>
      <c r="N139" s="225">
        <f>24*60*SUM($M139:$M139)</f>
        <v>36.000000002095476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-04T19:36:20-0700',mode:absolute,to:'2018-01-04T22:33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23.2986</v>
      </c>
      <c r="Z139" s="247">
        <f>RIGHT(H139,LEN(H139)-4)/10000</f>
        <v>2.6700000000000002E-2</v>
      </c>
      <c r="AA139" s="247">
        <f>ABS(Z139-Y139)</f>
        <v>23.271899999999999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226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/stypes="app*4045*20180105*"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1"/>
        <v>"%USERPROFILE%\Documents\GitHub\eaglep3\Utilities\RefineRTDCRunTimes.py" --tripid 226-04 --locoid 4045 --swversion DE.1.0.9.0 --startMP 204:232986 --initTime 2018-01-04T20:36:20 --startdatetime 2018-01-04T20:57:14 --delay 50 --endMP 204:267 --enddatetime 2018-01-04T21:33:14 --enforcementcount 0 &gt;&gt;%USERPROFILE%\Documents\GitHub\eaglep3-reporting\EC\2018-01-04-refined-times.txt</v>
      </c>
      <c r="AI139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{"issue":{"subject":"","project_id":79,"tracker_id":40,"status_id":1,"priority_id":2,"assigned_to_id":338,"start_date":"2018-01-04","description":"","custom_fields":[{"id":1,"name":"Subdivision","value":"EC"},{"id":4,"name":"Milepost","value":"0.0267"},{"id":17,"name":"Train ID","value":"226-04"},{"id":16,"name":"Locomotive ID","value":"4045"},{"id":130,"name":"Impact","value":""},{"id":150,"name":"Time of Event (Mountain Time)","value":"21:33:14"},{"id":151,"name":"Denver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13"/>
        <v>start /low /b %USERPROFILE%\Documents\GitHub\eaglep3\Utilities\DownloadLogsFromS3.py --loco 4045 --day 2018-01-04</v>
      </c>
      <c r="AN139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04:33:14"},{"id":29,"name":"Sharepoint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5"/>
        <v>https://d0f6bd738d7f1b3e5a7ca70fe4ff75f0.us-east-1.aws.found.io/app/kibana#/discover/Steve-Slow-Train-Analysis-(2080s-and-2083s)?_g=(refreshInterval:(display:Off,pause:!f,section:0,value:0),time:(from:'2018-01-04T19:36:20-0700',mode:absolute,to:'2018-01-04T22:33:14-0700'))&amp;_a=(columns:!('Message%20ID',Summary),filters:!(),index:'emp_*',interval:auto,query:(query_string:(analyze_wildcard:!t,query:'%22rtdc.l.rtdc.4045%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877</v>
      </c>
      <c r="B140" s="225">
        <v>4064</v>
      </c>
      <c r="C140" s="227" t="s">
        <v>192</v>
      </c>
      <c r="D140" s="227" t="s">
        <v>944</v>
      </c>
      <c r="E140" s="226">
        <v>43104.858564814815</v>
      </c>
      <c r="F140" s="226">
        <v>43104.854386574072</v>
      </c>
      <c r="G140" s="225">
        <v>50</v>
      </c>
      <c r="H140" s="227" t="s">
        <v>993</v>
      </c>
      <c r="I140" s="226">
        <v>43104.879756944443</v>
      </c>
      <c r="J140" s="225">
        <v>0</v>
      </c>
      <c r="K140" s="237" t="str">
        <f>IF(ISEVEN(B140),(B140-1)&amp;"/"&amp;B140,B140&amp;"/"&amp;(B140+1))</f>
        <v>4063/4064</v>
      </c>
      <c r="L140" s="245" t="str">
        <f>VLOOKUP(A140,'Trips&amp;Operators'!$C$1:$G$99911,5,FALSE)</f>
        <v>NICHOLSON WESLEY</v>
      </c>
      <c r="M140" s="224">
        <f>I140-F140</f>
        <v>2.5370370371092577E-2</v>
      </c>
      <c r="N140" s="225">
        <f>24*60*SUM($M140:$M140)</f>
        <v>36.53333333437331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-04T19:36:20-0700',mode:absolute,to:'2018-01-04T22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v>7.7399999999999997E-2</v>
      </c>
      <c r="Z140" s="247">
        <v>23.320599999999999</v>
      </c>
      <c r="AA140" s="247">
        <f>ABS(Z140-Y140)</f>
        <v>23.243199999999998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227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/stypes="app*4064*20180105*"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ref="AH140" si="2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227-04 --locoid 4064 --swversion DE.1.0.9.0 --startMP 204:232986 --initTime 2018-01-04T20:36:20 --startdatetime 2018-01-04T20:30:19 --delay 50 --endMP 204:267 --enddatetime 2018-01-04T21:06:51 --enforcementcount 0 &gt;&gt;%USERPROFILE%\Documents\GitHub\eaglep3-reporting\EC\2018-01-04-refined-times.txt</v>
      </c>
      <c r="AI140" s="238" t="str">
        <f t="shared" ref="AI140" si="2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{"issue":{"subject":"","project_id":79,"tracker_id":40,"status_id":1,"priority_id":2,"assigned_to_id":338,"start_date":"2018-01-04","description":"","custom_fields":[{"id":1,"name":"Subdivision","value":"EC"},{"id":4,"name":"Milepost","value":"23.3206"},{"id":17,"name":"Train ID","value":"227-04"},{"id":16,"name":"Locomotive ID","value":"4064"},{"id":130,"name":"Impact","value":""},{"id":150,"name":"Time of Event (Mountain Time)","value":"21:06:51"},{"id":151,"name":"Denver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ref="AM140" si="24">"start /low /b "&amp;dls3logs&amp;" --loco "&amp;B140&amp;" --day "&amp;TEXT(F140,"YYYY-MM-DD")</f>
        <v>start /low /b %USERPROFILE%\Documents\GitHub\eaglep3\Utilities\DownloadLogsFromS3.py --loco 4064 --day 2018-01-04</v>
      </c>
      <c r="AN140" s="241" t="str">
        <f t="shared" ref="AN140" si="25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04:06:51"},{"id":29,"name":"Sharepoint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ref="AO140" si="26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-04T19:36:20-0700',mode:absolute,to:'2018-01-04T22:06:51-0700'))&amp;_a=(columns:!('Message%20ID',Summary),filters:!(),index:'emp_*',interval:auto,query:(query_string:(analyze_wildcard:!t,query:'%22rtdc.l.rtdc.4064%22')),sort:!(Time.ISO8601,asc))</v>
      </c>
    </row>
    <row r="141" spans="1:91" s="223" customFormat="1" x14ac:dyDescent="0.3">
      <c r="A141" s="229" t="s">
        <v>884</v>
      </c>
      <c r="B141" s="225">
        <v>4063</v>
      </c>
      <c r="C141" s="227" t="s">
        <v>192</v>
      </c>
      <c r="D141" s="227" t="s">
        <v>969</v>
      </c>
      <c r="E141" s="226">
        <v>43104.883622685185</v>
      </c>
      <c r="F141" s="226">
        <v>43104.893993055557</v>
      </c>
      <c r="G141" s="225">
        <v>53</v>
      </c>
      <c r="H141" s="227" t="s">
        <v>540</v>
      </c>
      <c r="I141" s="226">
        <v>43104.921273148146</v>
      </c>
      <c r="J141" s="225">
        <v>0</v>
      </c>
      <c r="K141" s="237" t="str">
        <f>IF(ISEVEN(B141),(B141-1)&amp;"/"&amp;B141,B141&amp;"/"&amp;(B141+1))</f>
        <v>4063/4064</v>
      </c>
      <c r="L141" s="245" t="str">
        <f>VLOOKUP(A141,'Trips&amp;Operators'!$C$1:$G$99911,5,FALSE)</f>
        <v>NICHOLSON WESLEY</v>
      </c>
      <c r="M141" s="224">
        <f>I141-F141</f>
        <v>2.7280092588625848E-2</v>
      </c>
      <c r="N141" s="225">
        <f>24*60*SUM($M141:$M141)</f>
        <v>39.283333327621222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-04T20:12:25-0700',mode:absolute,to:'2018-01-04T23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23.2879</v>
      </c>
      <c r="Z141" s="247">
        <f>RIGHT(H141,LEN(H141)-4)/10000</f>
        <v>2.4199999999999999E-2</v>
      </c>
      <c r="AA141" s="247">
        <f>ABS(Z141-Y141)</f>
        <v>23.2637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228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/stypes="app*4063*20180105*" /stext=" 05:.+((SYSTEM_STATE.+slice.+state.+changed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1"/>
        <v>"%USERPROFILE%\Documents\GitHub\eaglep3\Utilities\RefineRTDCRunTimes.py" --tripid 228-04 --locoid 4063 --swversion DE.1.0.9.0 --startMP 204:232879 --initTime 2018-01-04T21:12:25 --startdatetime 2018-01-04T21:27:21 --delay 53 --endMP 204:242 --enddatetime 2018-01-04T22:06:38 --enforcementcount 0 &gt;&gt;%USERPROFILE%\Documents\GitHub\eaglep3-reporting\EC\2018-01-04-refined-times.txt</v>
      </c>
      <c r="AI141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{"issue":{"subject":"","project_id":79,"tracker_id":40,"status_id":1,"priority_id":2,"assigned_to_id":338,"start_date":"2018-01-04","description":"","custom_fields":[{"id":1,"name":"Subdivision","value":"EC"},{"id":4,"name":"Milepost","value":"0.0242"},{"id":17,"name":"Train ID","value":"228-04"},{"id":16,"name":"Locomotive ID","value":"4063"},{"id":130,"name":"Impact","value":""},{"id":150,"name":"Time of Event (Mountain Time)","value":"22:06:38"},{"id":151,"name":"Denver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3"/>
        <v>start /low /b %USERPROFILE%\Documents\GitHub\eaglep3\Utilities\DownloadLogsFromS3.py --loco 4063 --day 2018-01-04</v>
      </c>
      <c r="AN141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05:06:38"},{"id":29,"name":"Sharepoint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5"/>
        <v>https://d0f6bd738d7f1b3e5a7ca70fe4ff75f0.us-east-1.aws.found.io/app/kibana#/discover/Steve-Slow-Train-Analysis-(2080s-and-2083s)?_g=(refreshInterval:(display:Off,pause:!f,section:0,value:0),time:(from:'2018-01-04T20:12:25-0700',mode:absolute,to:'2018-01-04T23:06:38-0700'))&amp;_a=(columns:!('Message%20ID',Summary),filters:!(),index:'emp_*',interval:auto,query:(query_string:(analyze_wildcard:!t,query:'%22rtdc.l.rtdc.4063%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881</v>
      </c>
      <c r="B142" s="225">
        <v>4034</v>
      </c>
      <c r="C142" s="227" t="s">
        <v>192</v>
      </c>
      <c r="D142" s="227" t="s">
        <v>994</v>
      </c>
      <c r="E142" s="226">
        <v>43104.859571759262</v>
      </c>
      <c r="F142" s="226">
        <v>43104.875347222223</v>
      </c>
      <c r="G142" s="225">
        <v>49</v>
      </c>
      <c r="H142" s="227" t="s">
        <v>546</v>
      </c>
      <c r="I142" s="226">
        <v>43104.899629629632</v>
      </c>
      <c r="J142" s="225">
        <v>0</v>
      </c>
      <c r="K142" s="237" t="str">
        <f>IF(ISEVEN(B142),(B142-1)&amp;"/"&amp;B142,B142&amp;"/"&amp;(B142+1))</f>
        <v>4033/4034</v>
      </c>
      <c r="L142" s="245" t="str">
        <f>VLOOKUP(A142,'Trips&amp;Operators'!$C$1:$G$99911,5,FALSE)</f>
        <v>ANDERS STEVEN</v>
      </c>
      <c r="M142" s="224">
        <f>I142-F142</f>
        <v>2.4282407408463769E-2</v>
      </c>
      <c r="N142" s="225">
        <f>24*60*SUM($M142:$M142)</f>
        <v>34.966666668187827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-04T19:37:47-0700',mode:absolute,to:'2018-01-04T22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5.57E-2</v>
      </c>
      <c r="Z142" s="247">
        <f>RIGHT(H142,LEN(H142)-4)/10000</f>
        <v>23.326799999999999</v>
      </c>
      <c r="AA142" s="247">
        <f>ABS(Z142-Y142)</f>
        <v>23.271099999999997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229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/stypes="app*4034*20180105*"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1"/>
        <v>"%USERPROFILE%\Documents\GitHub\eaglep3\Utilities\RefineRTDCRunTimes.py" --tripid 229-04 --locoid 4034 --swversion DE.1.0.9.0 --startMP 204:557 --initTime 2018-01-04T20:37:47 --startdatetime 2018-01-04T21:00:30 --delay 49 --endMP 204:233268 --enddatetime 2018-01-04T21:35:28 --enforcementcount 0 &gt;&gt;%USERPROFILE%\Documents\GitHub\eaglep3-reporting\EC\2018-01-04-refined-times.txt</v>
      </c>
      <c r="AI142" s="238" t="str">
        <f t="shared" si="12"/>
        <v>echo {"issue":{"subject":"","project_id":79,"tracker_id":40,"status_id":1,"priority_id":2,"assigned_to_id":338,"start_date":"2018-01-04","description":"","custom_fields":[{"id":1,"name":"Subdivision","value":"EC"},{"id":4,"name":"Milepost","value":"23.3268"},{"id":17,"name":"Train ID","value":"229-04"},{"id":16,"name":"Locomotive ID","value":"4034"},{"id":130,"name":"Impact","value":""},{"id":150,"name":"Time of Event (Mountain Time)","value":"21:35:28"},{"id":151,"name":"Denver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13"/>
        <v>start /low /b %USERPROFILE%\Documents\GitHub\eaglep3\Utilities\DownloadLogsFromS3.py --loco 4034 --day 2018-01-04</v>
      </c>
      <c r="AN142" s="241" t="str">
        <f t="shared" si="14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04:35:28"},{"id":29,"name":"Sharepoint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15"/>
        <v>https://d0f6bd738d7f1b3e5a7ca70fe4ff75f0.us-east-1.aws.found.io/app/kibana#/discover/Steve-Slow-Train-Analysis-(2080s-and-2083s)?_g=(refreshInterval:(display:Off,pause:!f,section:0,value:0),time:(from:'2018-01-04T19:37:47-0700',mode:absolute,to:'2018-01-04T22:35:28-0700'))&amp;_a=(columns:!('Message%20ID',Summary),filters:!(),index:'emp_*',interval:auto,query:(query_string:(analyze_wildcard:!t,query:'%22rtdc.l.rtdc.4034%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887</v>
      </c>
      <c r="B143" s="225">
        <v>4033</v>
      </c>
      <c r="C143" s="227" t="s">
        <v>192</v>
      </c>
      <c r="D143" s="227" t="s">
        <v>618</v>
      </c>
      <c r="E143" s="226">
        <v>43104.912569444445</v>
      </c>
      <c r="F143" s="226">
        <v>43104.914907407408</v>
      </c>
      <c r="G143" s="225">
        <v>47</v>
      </c>
      <c r="H143" s="227" t="s">
        <v>995</v>
      </c>
      <c r="I143" s="226">
        <v>43104.941041666665</v>
      </c>
      <c r="J143" s="225">
        <v>0</v>
      </c>
      <c r="K143" s="237" t="str">
        <f>IF(ISEVEN(B143),(B143-1)&amp;"/"&amp;B143,B143&amp;"/"&amp;(B143+1))</f>
        <v>4033/4034</v>
      </c>
      <c r="L143" s="245" t="str">
        <f>VLOOKUP(A143,'Trips&amp;Operators'!$C$1:$G$99911,5,FALSE)</f>
        <v>ANDERS STEVEN</v>
      </c>
      <c r="M143" s="224">
        <f>I143-F143</f>
        <v>2.6134259256650694E-2</v>
      </c>
      <c r="N143" s="225">
        <f>24*60*SUM($M143:$M143)</f>
        <v>37.633333329576999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-04T20:54:06-0700',mode:absolute,to:'2018-01-04T23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23.295200000000001</v>
      </c>
      <c r="Z143" s="247">
        <f>RIGHT(H143,LEN(H143)-4)/10000</f>
        <v>2.4E-2</v>
      </c>
      <c r="AA143" s="247">
        <f>ABS(Z143-Y143)</f>
        <v>23.2712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230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/stypes="app*4033*20180105*"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ref="AH143:AH210" si="2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230-04 --locoid 4033 --swversion DE.1.0.9.0 --startMP 204:232952 --initTime 2018-01-04T21:54:06 --startdatetime 2018-01-04T21:57:28 --delay 47 --endMP 204:240 --enddatetime 2018-01-04T22:35:06 --enforcementcount 0 &gt;&gt;%USERPROFILE%\Documents\GitHub\eaglep3-reporting\EC\2018-01-04-refined-times.txt</v>
      </c>
      <c r="AI143" s="238" t="str">
        <f t="shared" ref="AI143:AI210" si="2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{"issue":{"subject":"","project_id":79,"tracker_id":40,"status_id":1,"priority_id":2,"assigned_to_id":338,"start_date":"2018-01-04","description":"","custom_fields":[{"id":1,"name":"Subdivision","value":"EC"},{"id":4,"name":"Milepost","value":"0.024"},{"id":17,"name":"Train ID","value":"230-04"},{"id":16,"name":"Locomotive ID","value":"4033"},{"id":130,"name":"Impact","value":""},{"id":150,"name":"Time of Event (Mountain Time)","value":"22:35:06"},{"id":151,"name":"Denver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ref="AM143:AM210" si="29">"start /low /b "&amp;dls3logs&amp;" --loco "&amp;B143&amp;" --day "&amp;TEXT(F143,"YYYY-MM-DD")</f>
        <v>start /low /b %USERPROFILE%\Documents\GitHub\eaglep3\Utilities\DownloadLogsFromS3.py --loco 4033 --day 2018-01-04</v>
      </c>
      <c r="AN143" s="241" t="str">
        <f t="shared" ref="AN143:AN210" si="3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05:35:06"},{"id":29,"name":"Sharepoint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10" si="31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-04T20:54:06-0700',mode:absolute,to:'2018-01-04T23:35:06-0700'))&amp;_a=(columns:!('Message%20ID',Summary),filters:!(),index:'emp_*',interval:auto,query:(query_string:(analyze_wildcard:!t,query:'%22rtdc.l.rtdc.4033%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883</v>
      </c>
      <c r="B144" s="225">
        <v>4018</v>
      </c>
      <c r="C144" s="227" t="s">
        <v>192</v>
      </c>
      <c r="D144" s="227" t="s">
        <v>505</v>
      </c>
      <c r="E144" s="226">
        <v>43104.880902777775</v>
      </c>
      <c r="F144" s="226">
        <v>43104.896006944444</v>
      </c>
      <c r="G144" s="225">
        <v>57</v>
      </c>
      <c r="H144" s="227" t="s">
        <v>598</v>
      </c>
      <c r="I144" s="226">
        <v>43104.920277777775</v>
      </c>
      <c r="J144" s="225">
        <v>0</v>
      </c>
      <c r="K144" s="237" t="str">
        <f>IF(ISEVEN(B144),(B144-1)&amp;"/"&amp;B144,B144&amp;"/"&amp;(B144+1))</f>
        <v>4017/4018</v>
      </c>
      <c r="L144" s="245" t="str">
        <f>VLOOKUP(A144,'Trips&amp;Operators'!$C$1:$G$99911,5,FALSE)</f>
        <v>LOZA FIDEL</v>
      </c>
      <c r="M144" s="224">
        <f>I144-F144</f>
        <v>2.4270833331684116E-2</v>
      </c>
      <c r="N144" s="225">
        <f>24*60*SUM($M144:$M144)</f>
        <v>34.949999997625127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-04T20:08:30-0700',mode:absolute,to:'2018-01-04T23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5.0799999999999998E-2</v>
      </c>
      <c r="Z144" s="247">
        <f>RIGHT(H144,LEN(H144)-4)/10000</f>
        <v>23.325099999999999</v>
      </c>
      <c r="AA144" s="247">
        <f>ABS(Z144-Y144)</f>
        <v>23.2743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231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/stypes="app*4018*20180105*"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27"/>
        <v>"%USERPROFILE%\Documents\GitHub\eaglep3\Utilities\RefineRTDCRunTimes.py" --tripid 231-04 --locoid 4018 --swversion DE.1.0.9.0 --startMP 204:508 --initTime 2018-01-04T21:08:30 --startdatetime 2018-01-04T21:30:15 --delay 57 --endMP 204:233251 --enddatetime 2018-01-04T22:05:12 --enforcementcount 0 &gt;&gt;%USERPROFILE%\Documents\GitHub\eaglep3-reporting\EC\2018-01-04-refined-times.txt</v>
      </c>
      <c r="AI144" s="238" t="str">
        <f t="shared" si="28"/>
        <v>echo {"issue":{"subject":"","project_id":79,"tracker_id":40,"status_id":1,"priority_id":2,"assigned_to_id":338,"start_date":"2018-01-04","description":"","custom_fields":[{"id":1,"name":"Subdivision","value":"EC"},{"id":4,"name":"Milepost","value":"23.3251"},{"id":17,"name":"Train ID","value":"231-04"},{"id":16,"name":"Locomotive ID","value":"4018"},{"id":130,"name":"Impact","value":""},{"id":150,"name":"Time of Event (Mountain Time)","value":"22:05:12"},{"id":151,"name":"Denver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29"/>
        <v>start /low /b %USERPROFILE%\Documents\GitHub\eaglep3\Utilities\DownloadLogsFromS3.py --loco 4018 --day 2018-01-04</v>
      </c>
      <c r="AN144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05:05:12"},{"id":29,"name":"Sharepoint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31"/>
        <v>https://d0f6bd738d7f1b3e5a7ca70fe4ff75f0.us-east-1.aws.found.io/app/kibana#/discover/Steve-Slow-Train-Analysis-(2080s-and-2083s)?_g=(refreshInterval:(display:Off,pause:!f,section:0,value:0),time:(from:'2018-01-04T20:08:30-0700',mode:absolute,to:'2018-01-04T23:05:12-0700'))&amp;_a=(columns:!('Message%20ID',Summary),filters:!(),index:'emp_*',interval:auto,query:(query_string:(analyze_wildcard:!t,query:'%22rtdc.l.rtdc.4018%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889</v>
      </c>
      <c r="B145" s="225">
        <v>4017</v>
      </c>
      <c r="C145" s="227" t="s">
        <v>192</v>
      </c>
      <c r="D145" s="227" t="s">
        <v>566</v>
      </c>
      <c r="E145" s="226">
        <v>43104.932430555556</v>
      </c>
      <c r="F145" s="226">
        <v>43104.935613425929</v>
      </c>
      <c r="G145" s="225">
        <v>82</v>
      </c>
      <c r="H145" s="227" t="s">
        <v>500</v>
      </c>
      <c r="I145" s="226">
        <v>43104.961354166669</v>
      </c>
      <c r="J145" s="225">
        <v>0</v>
      </c>
      <c r="K145" s="237" t="str">
        <f>IF(ISEVEN(B145),(B145-1)&amp;"/"&amp;B145,B145&amp;"/"&amp;(B145+1))</f>
        <v>4017/4018</v>
      </c>
      <c r="L145" s="245" t="str">
        <f>VLOOKUP(A145,'Trips&amp;Operators'!$C$1:$G$99911,5,FALSE)</f>
        <v>LOZA FIDEL</v>
      </c>
      <c r="M145" s="224">
        <f>I145-F145</f>
        <v>2.5740740740729962E-2</v>
      </c>
      <c r="N145" s="225">
        <f>24*60*SUM($M145:$M145)</f>
        <v>37.066666666651145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-04T21:22:42-0700',mode:absolute,to:'2018-01-05T00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23.2942</v>
      </c>
      <c r="Z145" s="247">
        <f>RIGHT(H145,LEN(H145)-4)/10000</f>
        <v>2.1399999999999999E-2</v>
      </c>
      <c r="AA145" s="247">
        <f>ABS(Z145-Y145)</f>
        <v>23.2728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232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/stypes="app*4017*20180105*" /stext=" 06:.+((SYSTEM_STATE.+slice.+state.+changed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27"/>
        <v>"%USERPROFILE%\Documents\GitHub\eaglep3\Utilities\RefineRTDCRunTimes.py" --tripid 232-04 --locoid 4017 --swversion DE.1.0.9.0 --startMP 204:232942 --initTime 2018-01-04T22:22:42 --startdatetime 2018-01-04T22:27:17 --delay 82 --endMP 204:214 --enddatetime 2018-01-04T23:04:21 --enforcementcount 0 &gt;&gt;%USERPROFILE%\Documents\GitHub\eaglep3-reporting\EC\2018-01-04-refined-times.txt</v>
      </c>
      <c r="AI145" s="238" t="str">
        <f t="shared" si="28"/>
        <v>echo {"issue":{"subject":"","project_id":79,"tracker_id":40,"status_id":1,"priority_id":2,"assigned_to_id":338,"start_date":"2018-01-04","description":"","custom_fields":[{"id":1,"name":"Subdivision","value":"EC"},{"id":4,"name":"Milepost","value":"0.0214"},{"id":17,"name":"Train ID","value":"232-04"},{"id":16,"name":"Locomotive ID","value":"4017"},{"id":130,"name":"Impact","value":""},{"id":150,"name":"Time of Event (Mountain Time)","value":"23:04:21"},{"id":151,"name":"Denver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29"/>
        <v>start /low /b %USERPROFILE%\Documents\GitHub\eaglep3\Utilities\DownloadLogsFromS3.py --loco 4017 --day 2018-01-04</v>
      </c>
      <c r="AN145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06:04:21"},{"id":29,"name":"Sharepoint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31"/>
        <v>https://d0f6bd738d7f1b3e5a7ca70fe4ff75f0.us-east-1.aws.found.io/app/kibana#/discover/Steve-Slow-Train-Analysis-(2080s-and-2083s)?_g=(refreshInterval:(display:Off,pause:!f,section:0,value:0),time:(from:'2018-01-04T21:22:42-0700',mode:absolute,to:'2018-01-05T00:04:21-0700'))&amp;_a=(columns:!('Message%20ID',Summary),filters:!(),index:'emp_*',interval:auto,query:(query_string:(analyze_wildcard:!t,query:'%22rtdc.l.rtdc.4017%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886</v>
      </c>
      <c r="B146" s="225">
        <v>4046</v>
      </c>
      <c r="C146" s="227" t="s">
        <v>192</v>
      </c>
      <c r="D146" s="227" t="s">
        <v>996</v>
      </c>
      <c r="E146" s="226">
        <v>43104.899282407408</v>
      </c>
      <c r="F146" s="226">
        <v>43104.916817129626</v>
      </c>
      <c r="G146" s="225">
        <v>55</v>
      </c>
      <c r="H146" s="227" t="s">
        <v>997</v>
      </c>
      <c r="I146" s="226">
        <v>43104.940601851849</v>
      </c>
      <c r="J146" s="225">
        <v>0</v>
      </c>
      <c r="K146" s="237" t="str">
        <f>IF(ISEVEN(B146),(B146-1)&amp;"/"&amp;B146,B146&amp;"/"&amp;(B146+1))</f>
        <v>4045/4046</v>
      </c>
      <c r="L146" s="245" t="str">
        <f>VLOOKUP(A146,'Trips&amp;Operators'!$C$1:$G$99911,5,FALSE)</f>
        <v>ELBAUM MIKE</v>
      </c>
      <c r="M146" s="224">
        <f>I146-F146</f>
        <v>2.3784722223354038E-2</v>
      </c>
      <c r="N146" s="225">
        <f>24*60*SUM($M146:$M146)</f>
        <v>34.250000001629815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-04T20:34:58-0700',mode:absolute,to:'2018-01-04T23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5.6800000000000003E-2</v>
      </c>
      <c r="Z146" s="247">
        <f>RIGHT(H146,LEN(H146)-4)/10000</f>
        <v>23.3293</v>
      </c>
      <c r="AA146" s="247">
        <f>ABS(Z146-Y146)</f>
        <v>23.272500000000001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233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s3://rtdc.mdm.uploadarchive.raw/RTDC4046/ "%USERPROFILE%\AppData\Local\Temp\OnboardLogs"\RTDC4046\2018-01-04 --exclude "*" --recursive --include "*20180104*" &amp; "%USERPROFILE%\Documents\GitHub\mrs-test-scripts\Headless Mode &amp; Sideloading\WalkAndUnGZ.bat" "%USERPROFILE%\AppData\Local\Temp\OnboardLogs"\RTDC4046\2018-01-04 &amp; 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/stypes="app*4046*20180105*"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27"/>
        <v>"%USERPROFILE%\Documents\GitHub\eaglep3\Utilities\RefineRTDCRunTimes.py" --tripid 233-04 --locoid 4046 --swversion DE.1.0.9.0 --startMP 204:568 --initTime 2018-01-04T21:34:58 --startdatetime 2018-01-04T22:00:13 --delay 55 --endMP 204:233293 --enddatetime 2018-01-04T22:34:28 --enforcementcount 0 &gt;&gt;%USERPROFILE%\Documents\GitHub\eaglep3-reporting\EC\2018-01-04-refined-times.txt</v>
      </c>
      <c r="AI146" s="238" t="str">
        <f t="shared" si="28"/>
        <v>echo {"issue":{"subject":"","project_id":79,"tracker_id":40,"status_id":1,"priority_id":2,"assigned_to_id":338,"start_date":"2018-01-04","description":"","custom_fields":[{"id":1,"name":"Subdivision","value":"EC"},{"id":4,"name":"Milepost","value":"23.3293"},{"id":17,"name":"Train ID","value":"233-04"},{"id":16,"name":"Locomotive ID","value":"4046"},{"id":130,"name":"Impact","value":""},{"id":150,"name":"Time of Event (Mountain Time)","value":"22:34:28"},{"id":151,"name":"Denver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29"/>
        <v>start /low /b %USERPROFILE%\Documents\GitHub\eaglep3\Utilities\DownloadLogsFromS3.py --loco 4046 --day 2018-01-04</v>
      </c>
      <c r="AN146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31"/>
        <v>https://d0f6bd738d7f1b3e5a7ca70fe4ff75f0.us-east-1.aws.found.io/app/kibana#/discover/Steve-Slow-Train-Analysis-(2080s-and-2083s)?_g=(refreshInterval:(display:Off,pause:!f,section:0,value:0),time:(from:'2018-01-04T20:34:58-0700',mode:absolute,to:'2018-01-04T23:34:28-0700'))&amp;_a=(columns:!('Message%20ID',Summary),filters:!(),index:'emp_*',interval:auto,query:(query_string:(analyze_wildcard:!t,query:'%22rtdc.l.rtdc.4046%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683</v>
      </c>
      <c r="B147" s="225">
        <v>4045</v>
      </c>
      <c r="C147" s="227" t="s">
        <v>192</v>
      </c>
      <c r="D147" s="227" t="s">
        <v>933</v>
      </c>
      <c r="E147" s="226">
        <v>43104.944664351853</v>
      </c>
      <c r="F147" s="226">
        <v>43104.956400462965</v>
      </c>
      <c r="G147" s="225">
        <v>48</v>
      </c>
      <c r="H147" s="227" t="s">
        <v>634</v>
      </c>
      <c r="I147" s="226">
        <v>43104.982627314814</v>
      </c>
      <c r="J147" s="225">
        <v>0</v>
      </c>
      <c r="K147" s="237" t="str">
        <f>IF(ISEVEN(B147),(B147-1)&amp;"/"&amp;B147,B147&amp;"/"&amp;(B147+1))</f>
        <v>4045/4046</v>
      </c>
      <c r="L147" s="245" t="str">
        <f>VLOOKUP(A147,'Trips&amp;Operators'!$C$1:$G$99911,5,FALSE)</f>
        <v>ELBAUM MIKE</v>
      </c>
      <c r="M147" s="224">
        <f>I147-F147</f>
        <v>2.622685184906004E-2</v>
      </c>
      <c r="N147" s="225">
        <f>24*60*SUM($M147:$M147)</f>
        <v>37.766666662646458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-04T21:40:19-0700',mode:absolute,to:'2018-01-05T00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23.297999999999998</v>
      </c>
      <c r="Z147" s="247">
        <f>RIGHT(H147,LEN(H147)-4)/10000</f>
        <v>2.6200000000000001E-2</v>
      </c>
      <c r="AA147" s="247">
        <f>ABS(Z147-Y147)</f>
        <v>23.271799999999999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234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/stypes="app*4045*20180105*"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27"/>
        <v>"%USERPROFILE%\Documents\GitHub\eaglep3\Utilities\RefineRTDCRunTimes.py" --tripid 234-04 --locoid 4045 --swversion DE.1.0.9.0 --startMP 204:232980 --initTime 2018-01-04T22:40:19 --startdatetime 2018-01-04T22:57:13 --delay 48 --endMP 204:262 --enddatetime 2018-01-04T23:34:59 --enforcementcount 0 &gt;&gt;%USERPROFILE%\Documents\GitHub\eaglep3-reporting\EC\2018-01-04-refined-times.txt</v>
      </c>
      <c r="AI147" s="238" t="str">
        <f t="shared" si="28"/>
        <v>echo {"issue":{"subject":"","project_id":79,"tracker_id":40,"status_id":1,"priority_id":2,"assigned_to_id":338,"start_date":"2018-01-04","description":"","custom_fields":[{"id":1,"name":"Subdivision","value":"EC"},{"id":4,"name":"Milepost","value":"0.0262"},{"id":17,"name":"Train ID","value":"234-04"},{"id":16,"name":"Locomotive ID","value":"4045"},{"id":130,"name":"Impact","value":""},{"id":150,"name":"Time of Event (Mountain Time)","value":"23:34:59"},{"id":151,"name":"Denver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29"/>
        <v>start /low /b %USERPROFILE%\Documents\GitHub\eaglep3\Utilities\DownloadLogsFromS3.py --loco 4045 --day 2018-01-04</v>
      </c>
      <c r="AN147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06:34:59"},{"id":29,"name":"Sharepoint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31"/>
        <v>https://d0f6bd738d7f1b3e5a7ca70fe4ff75f0.us-east-1.aws.found.io/app/kibana#/discover/Steve-Slow-Train-Analysis-(2080s-and-2083s)?_g=(refreshInterval:(display:Off,pause:!f,section:0,value:0),time:(from:'2018-01-04T21:40:19-0700',mode:absolute,to:'2018-01-05T00:34:59-0700'))&amp;_a=(columns:!('Message%20ID',Summary),filters:!(),index:'emp_*',interval:auto,query:(query_string:(analyze_wildcard:!t,query:'%22rtdc.l.rtdc.4045%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890</v>
      </c>
      <c r="B148" s="225">
        <v>4064</v>
      </c>
      <c r="C148" s="227" t="s">
        <v>192</v>
      </c>
      <c r="D148" s="227" t="s">
        <v>628</v>
      </c>
      <c r="E148" s="226">
        <v>43104.93277777778</v>
      </c>
      <c r="F148" s="226">
        <v>43104.9377662037</v>
      </c>
      <c r="G148" s="225">
        <v>82</v>
      </c>
      <c r="H148" s="227" t="s">
        <v>998</v>
      </c>
      <c r="I148" s="226">
        <v>43104.962534722225</v>
      </c>
      <c r="J148" s="225">
        <v>0</v>
      </c>
      <c r="K148" s="237" t="str">
        <f>IF(ISEVEN(B148),(B148-1)&amp;"/"&amp;B148,B148&amp;"/"&amp;(B148+1))</f>
        <v>4063/4064</v>
      </c>
      <c r="L148" s="245" t="str">
        <f>VLOOKUP(A148,'Trips&amp;Operators'!$C$1:$G$99911,5,FALSE)</f>
        <v>NICHOLSON WESLEY</v>
      </c>
      <c r="M148" s="224">
        <f>I148-F148</f>
        <v>2.4768518524069805E-2</v>
      </c>
      <c r="N148" s="225">
        <f>24*60*SUM($M148:$M148)</f>
        <v>35.666666674660519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-04T21:23:12-0700',mode:absolute,to:'2018-01-05T00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5.4600000000000003E-2</v>
      </c>
      <c r="Z148" s="247">
        <f>RIGHT(H148,LEN(H148)-4)/10000</f>
        <v>23.316800000000001</v>
      </c>
      <c r="AA148" s="247">
        <f>ABS(Z148-Y148)</f>
        <v>23.2622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235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 &amp; 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/stypes="app*4064*20180105*"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27"/>
        <v>"%USERPROFILE%\Documents\GitHub\eaglep3\Utilities\RefineRTDCRunTimes.py" --tripid 235-04 --locoid 4064 --swversion DE.1.0.9.0 --startMP 204:546 --initTime 2018-01-04T22:23:12 --startdatetime 2018-01-04T22:30:23 --delay 82 --endMP 204:233168 --enddatetime 2018-01-04T23:06:03 --enforcementcount 0 &gt;&gt;%USERPROFILE%\Documents\GitHub\eaglep3-reporting\EC\2018-01-04-refined-times.txt</v>
      </c>
      <c r="AI148" s="238" t="str">
        <f t="shared" si="28"/>
        <v>echo {"issue":{"subject":"","project_id":79,"tracker_id":40,"status_id":1,"priority_id":2,"assigned_to_id":338,"start_date":"2018-01-04","description":"","custom_fields":[{"id":1,"name":"Subdivision","value":"EC"},{"id":4,"name":"Milepost","value":"23.3168"},{"id":17,"name":"Train ID","value":"235-04"},{"id":16,"name":"Locomotive ID","value":"4064"},{"id":130,"name":"Impact","value":""},{"id":150,"name":"Time of Event (Mountain Time)","value":"23:06:03"},{"id":151,"name":"Denver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29"/>
        <v>start /low /b %USERPROFILE%\Documents\GitHub\eaglep3\Utilities\DownloadLogsFromS3.py --loco 4064 --day 2018-01-04</v>
      </c>
      <c r="AN148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06:06:03"},{"id":29,"name":"Sharepoint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31"/>
        <v>https://d0f6bd738d7f1b3e5a7ca70fe4ff75f0.us-east-1.aws.found.io/app/kibana#/discover/Steve-Slow-Train-Analysis-(2080s-and-2083s)?_g=(refreshInterval:(display:Off,pause:!f,section:0,value:0),time:(from:'2018-01-04T21:23:12-0700',mode:absolute,to:'2018-01-05T00:06:03-0700'))&amp;_a=(columns:!('Message%20ID',Summary),filters:!(),index:'emp_*',interval:auto,query:(query_string:(analyze_wildcard:!t,query:'%22rtdc.l.rtdc.4064%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29" t="s">
        <v>894</v>
      </c>
      <c r="B149" s="225">
        <v>4063</v>
      </c>
      <c r="C149" s="227" t="s">
        <v>192</v>
      </c>
      <c r="D149" s="227" t="s">
        <v>999</v>
      </c>
      <c r="E149" s="226">
        <v>43104.972199074073</v>
      </c>
      <c r="F149" s="226">
        <v>43104.977534722224</v>
      </c>
      <c r="G149" s="225">
        <v>80</v>
      </c>
      <c r="H149" s="227" t="s">
        <v>550</v>
      </c>
      <c r="I149" s="226">
        <v>43105.006192129629</v>
      </c>
      <c r="J149" s="225">
        <v>0</v>
      </c>
      <c r="K149" s="237" t="str">
        <f>IF(ISEVEN(B149),(B149-1)&amp;"/"&amp;B149,B149&amp;"/"&amp;(B149+1))</f>
        <v>4063/4064</v>
      </c>
      <c r="L149" s="245" t="str">
        <f>VLOOKUP(A149,'Trips&amp;Operators'!$C$1:$G$99911,5,FALSE)</f>
        <v>NICHOLSON WESLEY</v>
      </c>
      <c r="M149" s="224">
        <f>I149-F149</f>
        <v>2.8657407405262347E-2</v>
      </c>
      <c r="N149" s="225">
        <f>24*60*SUM($M149:$M149)</f>
        <v>41.26666666357778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-04T22:19:58-0700',mode:absolute,to:'2018-01-05T01:08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23.286300000000001</v>
      </c>
      <c r="Z149" s="247">
        <f>RIGHT(H149,LEN(H149)-4)/10000</f>
        <v>2.3800000000000002E-2</v>
      </c>
      <c r="AA149" s="247">
        <f>ABS(Z149-Y149)</f>
        <v>23.262499999999999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236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/stypes="app*4063*20180105*" /stext=" 07:.+((SYSTEM_STATE.+slice.+state.+changed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27"/>
        <v>"%USERPROFILE%\Documents\GitHub\eaglep3\Utilities\RefineRTDCRunTimes.py" --tripid 236-04 --locoid 4063 --swversion DE.1.0.9.0 --startMP 204:232863 --initTime 2018-01-04T23:19:58 --startdatetime 2018-01-04T23:27:39 --delay 80 --endMP 204:238 --enddatetime 2018-01-05T00:08:55 --enforcementcount 0 &gt;&gt;%USERPROFILE%\Documents\GitHub\eaglep3-reporting\EC\2018-01-04-refined-times.txt</v>
      </c>
      <c r="AI149" s="238" t="str">
        <f t="shared" si="28"/>
        <v>echo {"issue":{"subject":"","project_id":79,"tracker_id":40,"status_id":1,"priority_id":2,"assigned_to_id":338,"start_date":"2018-01-05","description":"","custom_fields":[{"id":1,"name":"Subdivision","value":"EC"},{"id":4,"name":"Milepost","value":"0.0238"},{"id":17,"name":"Train ID","value":"236-04"},{"id":16,"name":"Locomotive ID","value":"4063"},{"id":130,"name":"Impact","value":""},{"id":150,"name":"Time of Event (Mountain Time)","value":"00:08:55"},{"id":151,"name":"Denver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29"/>
        <v>start /low /b %USERPROFILE%\Documents\GitHub\eaglep3\Utilities\DownloadLogsFromS3.py --loco 4063 --day 2018-01-04</v>
      </c>
      <c r="AN149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07:08:55"},{"id":29,"name":"Sharepoint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31"/>
        <v>https://d0f6bd738d7f1b3e5a7ca70fe4ff75f0.us-east-1.aws.found.io/app/kibana#/discover/Steve-Slow-Train-Analysis-(2080s-and-2083s)?_g=(refreshInterval:(display:Off,pause:!f,section:0,value:0),time:(from:'2018-01-04T22:19:58-0700',mode:absolute,to:'2018-01-05T01:08:55-0700'))&amp;_a=(columns:!('Message%20ID',Summary),filters:!(),index:'emp_*',interval:auto,query:(query_string:(analyze_wildcard:!t,query:'%22rtdc.l.rtdc.4063%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3">
      <c r="A150" s="229" t="s">
        <v>892</v>
      </c>
      <c r="B150" s="225">
        <v>4034</v>
      </c>
      <c r="C150" s="227" t="s">
        <v>192</v>
      </c>
      <c r="D150" s="227" t="s">
        <v>557</v>
      </c>
      <c r="E150" s="226">
        <v>43104.956319444442</v>
      </c>
      <c r="F150" s="226">
        <v>43104.958738425928</v>
      </c>
      <c r="G150" s="225">
        <v>88</v>
      </c>
      <c r="H150" s="227" t="s">
        <v>1000</v>
      </c>
      <c r="I150" s="226">
        <v>43104.983425925922</v>
      </c>
      <c r="J150" s="225">
        <v>0</v>
      </c>
      <c r="K150" s="237" t="str">
        <f>IF(ISEVEN(B150),(B150-1)&amp;"/"&amp;B150,B150&amp;"/"&amp;(B150+1))</f>
        <v>4033/4034</v>
      </c>
      <c r="L150" s="245" t="str">
        <f>VLOOKUP(A150,'Trips&amp;Operators'!$C$1:$G$99911,5,FALSE)</f>
        <v>ANDERS STEVEN</v>
      </c>
      <c r="M150" s="224">
        <f>I150-F150</f>
        <v>2.4687499993888196E-2</v>
      </c>
      <c r="N150" s="225">
        <f>24*60*SUM($M150:$M150)</f>
        <v>35.549999991199002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-04T21:57:06-0700',mode:absolute,to:'2018-01-05T00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5.11E-2</v>
      </c>
      <c r="Z150" s="247">
        <f>RIGHT(H150,LEN(H150)-4)/10000</f>
        <v>23.3261</v>
      </c>
      <c r="AA150" s="247">
        <f>ABS(Z150-Y150)</f>
        <v>23.274999999999999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237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/stypes="app*4034*20180105*"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27"/>
        <v>"%USERPROFILE%\Documents\GitHub\eaglep3\Utilities\RefineRTDCRunTimes.py" --tripid 237-04 --locoid 4034 --swversion DE.1.0.9.0 --startMP 204:511 --initTime 2018-01-04T22:57:06 --startdatetime 2018-01-04T23:00:35 --delay 88 --endMP 204:233261 --enddatetime 2018-01-04T23:36:08 --enforcementcount 0 &gt;&gt;%USERPROFILE%\Documents\GitHub\eaglep3-reporting\EC\2018-01-04-refined-times.txt</v>
      </c>
      <c r="AI150" s="238" t="str">
        <f t="shared" si="28"/>
        <v>echo {"issue":{"subject":"","project_id":79,"tracker_id":40,"status_id":1,"priority_id":2,"assigned_to_id":338,"start_date":"2018-01-04","description":"","custom_fields":[{"id":1,"name":"Subdivision","value":"EC"},{"id":4,"name":"Milepost","value":"23.3261"},{"id":17,"name":"Train ID","value":"237-04"},{"id":16,"name":"Locomotive ID","value":"4034"},{"id":130,"name":"Impact","value":""},{"id":150,"name":"Time of Event (Mountain Time)","value":"23:36:08"},{"id":151,"name":"Denver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29"/>
        <v>start /low /b %USERPROFILE%\Documents\GitHub\eaglep3\Utilities\DownloadLogsFromS3.py --loco 4034 --day 2018-01-04</v>
      </c>
      <c r="AN150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31"/>
        <v>https://d0f6bd738d7f1b3e5a7ca70fe4ff75f0.us-east-1.aws.found.io/app/kibana#/discover/Steve-Slow-Train-Analysis-(2080s-and-2083s)?_g=(refreshInterval:(display:Off,pause:!f,section:0,value:0),time:(from:'2018-01-04T21:57:06-0700',mode:absolute,to:'2018-01-05T00:36:08-0700'))&amp;_a=(columns:!('Message%20ID',Summary),filters:!(),index:'emp_*',interval:auto,query:(query_string:(analyze_wildcard:!t,query:'%22rtdc.l.rtdc.4034%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898</v>
      </c>
      <c r="B151" s="225">
        <v>4033</v>
      </c>
      <c r="C151" s="227" t="s">
        <v>192</v>
      </c>
      <c r="D151" s="227" t="s">
        <v>528</v>
      </c>
      <c r="E151" s="226">
        <v>43104.98809027778</v>
      </c>
      <c r="F151" s="226">
        <v>43104.998171296298</v>
      </c>
      <c r="G151" s="225">
        <v>53</v>
      </c>
      <c r="H151" s="227" t="s">
        <v>544</v>
      </c>
      <c r="I151" s="226">
        <v>43105.025185185186</v>
      </c>
      <c r="J151" s="225">
        <v>0</v>
      </c>
      <c r="K151" s="237" t="str">
        <f>IF(ISEVEN(B151),(B151-1)&amp;"/"&amp;B151,B151&amp;"/"&amp;(B151+1))</f>
        <v>4033/4034</v>
      </c>
      <c r="L151" s="245" t="str">
        <f>VLOOKUP(A151,'Trips&amp;Operators'!$C$1:$G$99911,5,FALSE)</f>
        <v>ANDERS STEVEN</v>
      </c>
      <c r="M151" s="224">
        <f>I151-F151</f>
        <v>2.7013888888177462E-2</v>
      </c>
      <c r="N151" s="225">
        <f>24*60*SUM($M151:$M151)</f>
        <v>38.899999998975545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-04T22:42:51-0700',mode:absolute,to:'2018-01-05T01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23.293600000000001</v>
      </c>
      <c r="Z151" s="247">
        <f>RIGHT(H151,LEN(H151)-4)/10000</f>
        <v>2.3199999999999998E-2</v>
      </c>
      <c r="AA151" s="247">
        <f>ABS(Z151-Y151)</f>
        <v>23.270400000000002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238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/stypes="app*4033*20180105*"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27"/>
        <v>"%USERPROFILE%\Documents\GitHub\eaglep3\Utilities\RefineRTDCRunTimes.py" --tripid 238-04 --locoid 4033 --swversion DE.1.0.9.0 --startMP 204:232936 --initTime 2018-01-04T23:42:51 --startdatetime 2018-01-04T23:57:22 --delay 53 --endMP 204:232 --enddatetime 2018-01-05T00:36:16 --enforcementcount 0 &gt;&gt;%USERPROFILE%\Documents\GitHub\eaglep3-reporting\EC\2018-01-04-refined-times.txt</v>
      </c>
      <c r="AI151" s="238" t="str">
        <f t="shared" si="28"/>
        <v>echo {"issue":{"subject":"","project_id":79,"tracker_id":40,"status_id":1,"priority_id":2,"assigned_to_id":338,"start_date":"2018-01-05","description":"","custom_fields":[{"id":1,"name":"Subdivision","value":"EC"},{"id":4,"name":"Milepost","value":"0.0232"},{"id":17,"name":"Train ID","value":"238-04"},{"id":16,"name":"Locomotive ID","value":"4033"},{"id":130,"name":"Impact","value":""},{"id":150,"name":"Time of Event (Mountain Time)","value":"00:36:16"},{"id":151,"name":"Denver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29"/>
        <v>start /low /b %USERPROFILE%\Documents\GitHub\eaglep3\Utilities\DownloadLogsFromS3.py --loco 4033 --day 2018-01-04</v>
      </c>
      <c r="AN151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07:36:16"},{"id":29,"name":"Sharepoint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31"/>
        <v>https://d0f6bd738d7f1b3e5a7ca70fe4ff75f0.us-east-1.aws.found.io/app/kibana#/discover/Steve-Slow-Train-Analysis-(2080s-and-2083s)?_g=(refreshInterval:(display:Off,pause:!f,section:0,value:0),time:(from:'2018-01-04T22:42:51-0700',mode:absolute,to:'2018-01-05T01:36:16-0700'))&amp;_a=(columns:!('Message%20ID',Summary),filters:!(),index:'emp_*',interval:auto,query:(query_string:(analyze_wildcard:!t,query:'%22rtdc.l.rtdc.4033%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895</v>
      </c>
      <c r="B152" s="225">
        <v>4018</v>
      </c>
      <c r="C152" s="227" t="s">
        <v>192</v>
      </c>
      <c r="D152" s="227" t="s">
        <v>560</v>
      </c>
      <c r="E152" s="226">
        <v>43104.977025462962</v>
      </c>
      <c r="F152" s="226">
        <v>43104.97934027778</v>
      </c>
      <c r="G152" s="225">
        <v>58</v>
      </c>
      <c r="H152" s="227" t="s">
        <v>1000</v>
      </c>
      <c r="I152" s="226">
        <v>43105.003275462965</v>
      </c>
      <c r="J152" s="225">
        <v>0</v>
      </c>
      <c r="K152" s="237" t="str">
        <f>IF(ISEVEN(B152),(B152-1)&amp;"/"&amp;B152,B152&amp;"/"&amp;(B152+1))</f>
        <v>4017/4018</v>
      </c>
      <c r="L152" s="245" t="str">
        <f>VLOOKUP(A152,'Trips&amp;Operators'!$C$1:$G$99911,5,FALSE)</f>
        <v>LOZA FIDEL</v>
      </c>
      <c r="M152" s="224">
        <f>I152-F152</f>
        <v>2.3935185185109731E-2</v>
      </c>
      <c r="N152" s="225">
        <f>24*60*SUM($M152:$M152)</f>
        <v>34.466666666558012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-04T22:26:55-0700',mode:absolute,to:'2018-01-05T01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5.3999999999999999E-2</v>
      </c>
      <c r="Z152" s="247">
        <f>RIGHT(H152,LEN(H152)-4)/10000</f>
        <v>23.3261</v>
      </c>
      <c r="AA152" s="247">
        <f>ABS(Z152-Y152)</f>
        <v>23.272100000000002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239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s3://rtdc.mdm.uploadarchive.raw/RTDC4018/ "%USERPROFILE%\AppData\Local\Temp\OnboardLogs"\RTDC4018\2018-01-04 --exclude "*" --recursive --include "*20180104*" &amp; "%USERPROFILE%\Documents\GitHub\mrs-test-scripts\Headless Mode &amp; Sideloading\WalkAndUnGZ.bat" "%USERPROFILE%\AppData\Local\Temp\OnboardLogs"\RTDC4018\2018-01-04 &amp; 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/stypes="app*4018*20180105*"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27"/>
        <v>"%USERPROFILE%\Documents\GitHub\eaglep3\Utilities\RefineRTDCRunTimes.py" --tripid 239-04 --locoid 4018 --swversion DE.1.0.9.0 --startMP 204:540 --initTime 2018-01-04T23:26:55 --startdatetime 2018-01-04T23:30:15 --delay 58 --endMP 204:233261 --enddatetime 2018-01-05T00:04:43 --enforcementcount 0 &gt;&gt;%USERPROFILE%\Documents\GitHub\eaglep3-reporting\EC\2018-01-04-refined-times.txt</v>
      </c>
      <c r="AI152" s="238" t="str">
        <f t="shared" si="28"/>
        <v>echo {"issue":{"subject":"","project_id":79,"tracker_id":40,"status_id":1,"priority_id":2,"assigned_to_id":338,"start_date":"2018-01-05","description":"","custom_fields":[{"id":1,"name":"Subdivision","value":"EC"},{"id":4,"name":"Milepost","value":"23.3261"},{"id":17,"name":"Train ID","value":"239-04"},{"id":16,"name":"Locomotive ID","value":"4018"},{"id":130,"name":"Impact","value":""},{"id":150,"name":"Time of Event (Mountain Time)","value":"00:04:43"},{"id":151,"name":"Denver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29"/>
        <v>start /low /b %USERPROFILE%\Documents\GitHub\eaglep3\Utilities\DownloadLogsFromS3.py --loco 4018 --day 2018-01-04</v>
      </c>
      <c r="AN152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07:04:43"},{"id":29,"name":"Sharepoint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31"/>
        <v>https://d0f6bd738d7f1b3e5a7ca70fe4ff75f0.us-east-1.aws.found.io/app/kibana#/discover/Steve-Slow-Train-Analysis-(2080s-and-2083s)?_g=(refreshInterval:(display:Off,pause:!f,section:0,value:0),time:(from:'2018-01-04T22:26:55-0700',mode:absolute,to:'2018-01-05T01:04:43-0700'))&amp;_a=(columns:!('Message%20ID',Summary),filters:!(),index:'emp_*',interval:auto,query:(query_string:(analyze_wildcard:!t,query:'%22rtdc.l.rtdc.4018%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900</v>
      </c>
      <c r="B153" s="225">
        <v>4017</v>
      </c>
      <c r="C153" s="227" t="s">
        <v>192</v>
      </c>
      <c r="D153" s="227" t="s">
        <v>1001</v>
      </c>
      <c r="E153" s="226">
        <v>43105.015393518515</v>
      </c>
      <c r="F153" s="226">
        <v>43105.01939814815</v>
      </c>
      <c r="G153" s="225">
        <v>86</v>
      </c>
      <c r="H153" s="227" t="s">
        <v>945</v>
      </c>
      <c r="I153" s="226">
        <v>43105.044918981483</v>
      </c>
      <c r="J153" s="225">
        <v>0</v>
      </c>
      <c r="K153" s="237" t="str">
        <f>IF(ISEVEN(B153),(B153-1)&amp;"/"&amp;B153,B153&amp;"/"&amp;(B153+1))</f>
        <v>4017/4018</v>
      </c>
      <c r="L153" s="245" t="str">
        <f>VLOOKUP(A153,'Trips&amp;Operators'!$C$1:$G$99911,5,FALSE)</f>
        <v>LOZA FIDEL</v>
      </c>
      <c r="M153" s="224">
        <f>I153-F153</f>
        <v>2.5520833332848269E-2</v>
      </c>
      <c r="N153" s="225">
        <f>24*60*SUM($M153:$M153)</f>
        <v>36.749999999301508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-04T23:22:10-0700',mode:absolute,to:'2018-01-05T02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23.294599999999999</v>
      </c>
      <c r="Z153" s="247">
        <f>RIGHT(H153,LEN(H153)-4)/10000</f>
        <v>2.0299999999999999E-2</v>
      </c>
      <c r="AA153" s="247">
        <f>ABS(Z153-Y153)</f>
        <v>23.2743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240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 &amp; aws s3 cp s3://rtdc.mdm.uploadarchive.raw/RTDC4017/ "%USERPROFILE%\AppData\Local\Temp\OnboardLogs"\RTDC4017\2018-01-06 --exclude "*" --recursive --include "*20180106*" &amp; "%USERPROFILE%\Documents\GitHub\mrs-test-scripts\Headless Mode &amp; Sideloading\WalkAndUnGZ.bat" "%USERPROFILE%\AppData\Local\Temp\OnboardLogs"\RTDC4017\2018-01-06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/stypes="app*4017*20180105*" /stext=" 08:.+((SYSTEM_STATE.+slice.+state.+changed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27"/>
        <v>"%USERPROFILE%\Documents\GitHub\eaglep3\Utilities\RefineRTDCRunTimes.py" --tripid 240-04 --locoid 4017 --swversion DE.1.0.9.0 --startMP 204:232946 --initTime 2018-01-05T00:22:10 --startdatetime 2018-01-05T00:27:56 --delay 86 --endMP 204:203 --enddatetime 2018-01-05T01:04:41 --enforcementcount 0 &gt;&gt;%USERPROFILE%\Documents\GitHub\eaglep3-reporting\EC\2018-01-04-refined-times.txt</v>
      </c>
      <c r="AI153" s="238" t="str">
        <f t="shared" si="28"/>
        <v>echo {"issue":{"subject":"","project_id":79,"tracker_id":40,"status_id":1,"priority_id":2,"assigned_to_id":338,"start_date":"2018-01-05","description":"","custom_fields":[{"id":1,"name":"Subdivision","value":"EC"},{"id":4,"name":"Milepost","value":"0.0203"},{"id":17,"name":"Train ID","value":"240-04"},{"id":16,"name":"Locomotive ID","value":"4017"},{"id":130,"name":"Impact","value":""},{"id":150,"name":"Time of Event (Mountain Time)","value":"01:04:41"},{"id":151,"name":"Denver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29"/>
        <v>start /low /b %USERPROFILE%\Documents\GitHub\eaglep3\Utilities\DownloadLogsFromS3.py --loco 4017 --day 2018-01-05</v>
      </c>
      <c r="AN153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08:04:41"},{"id":29,"name":"Sharepoint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31"/>
        <v>https://d0f6bd738d7f1b3e5a7ca70fe4ff75f0.us-east-1.aws.found.io/app/kibana#/discover/Steve-Slow-Train-Analysis-(2080s-and-2083s)?_g=(refreshInterval:(display:Off,pause:!f,section:0,value:0),time:(from:'2018-01-04T23:22:10-0700',mode:absolute,to:'2018-01-05T02:04:41-0700'))&amp;_a=(columns:!('Message%20ID',Summary),filters:!(),index:'emp_*',interval:auto,query:(query_string:(analyze_wildcard:!t,query:'%22rtdc.l.rtdc.4017%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897</v>
      </c>
      <c r="B154" s="225">
        <v>4046</v>
      </c>
      <c r="C154" s="227" t="s">
        <v>192</v>
      </c>
      <c r="D154" s="227" t="s">
        <v>565</v>
      </c>
      <c r="E154" s="226">
        <v>43104.98673611111</v>
      </c>
      <c r="F154" s="226">
        <v>43105.000150462962</v>
      </c>
      <c r="G154" s="225">
        <v>51</v>
      </c>
      <c r="H154" s="227" t="s">
        <v>997</v>
      </c>
      <c r="I154" s="226">
        <v>43105.024097222224</v>
      </c>
      <c r="J154" s="225">
        <v>0</v>
      </c>
      <c r="K154" s="237" t="str">
        <f>IF(ISEVEN(B154),(B154-1)&amp;"/"&amp;B154,B154&amp;"/"&amp;(B154+1))</f>
        <v>4045/4046</v>
      </c>
      <c r="L154" s="245" t="str">
        <f>VLOOKUP(A154,'Trips&amp;Operators'!$C$1:$G$99911,5,FALSE)</f>
        <v>ELBAUM MIKE</v>
      </c>
      <c r="M154" s="224">
        <f>I154-F154</f>
        <v>2.3946759261889383E-2</v>
      </c>
      <c r="N154" s="225">
        <f>24*60*SUM($M154:$M154)</f>
        <v>34.483333337120712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-04T22:40:54-0700',mode:absolute,to:'2018-01-05T01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5.5100000000000003E-2</v>
      </c>
      <c r="Z154" s="247">
        <f>RIGHT(H154,LEN(H154)-4)/10000</f>
        <v>23.3293</v>
      </c>
      <c r="AA154" s="247">
        <f>ABS(Z154-Y154)</f>
        <v>23.2742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241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 &amp; aws s3 cp s3://rtdc.mdm.uploadarchive.raw/RTDC4046/ "%USERPROFILE%\AppData\Local\Temp\OnboardLogs"\RTDC4046\2018-01-06 --exclude "*" --recursive --include "*20180106*" &amp; "%USERPROFILE%\Documents\GitHub\mrs-test-scripts\Headless Mode &amp; Sideloading\WalkAndUnGZ.bat" "%USERPROFILE%\AppData\Local\Temp\OnboardLogs"\RTDC4046\2018-01-06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/stypes="app*4046*20180105*"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27"/>
        <v>"%USERPROFILE%\Documents\GitHub\eaglep3\Utilities\RefineRTDCRunTimes.py" --tripid 241-04 --locoid 4046 --swversion DE.1.0.9.0 --startMP 204:551 --initTime 2018-01-04T23:40:54 --startdatetime 2018-01-05T00:00:13 --delay 51 --endMP 204:233293 --enddatetime 2018-01-05T00:34:42 --enforcementcount 0 &gt;&gt;%USERPROFILE%\Documents\GitHub\eaglep3-reporting\EC\2018-01-04-refined-times.txt</v>
      </c>
      <c r="AI154" s="238" t="str">
        <f t="shared" si="28"/>
        <v>echo {"issue":{"subject":"","project_id":79,"tracker_id":40,"status_id":1,"priority_id":2,"assigned_to_id":338,"start_date":"2018-01-05","description":"","custom_fields":[{"id":1,"name":"Subdivision","value":"EC"},{"id":4,"name":"Milepost","value":"23.3293"},{"id":17,"name":"Train ID","value":"241-04"},{"id":16,"name":"Locomotive ID","value":"4046"},{"id":130,"name":"Impact","value":""},{"id":150,"name":"Time of Event (Mountain Time)","value":"00:34:42"},{"id":151,"name":"Denver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29"/>
        <v>start /low /b %USERPROFILE%\Documents\GitHub\eaglep3\Utilities\DownloadLogsFromS3.py --loco 4046 --day 2018-01-05</v>
      </c>
      <c r="AN154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07:34:42"},{"id":29,"name":"Sharepoint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31"/>
        <v>https://d0f6bd738d7f1b3e5a7ca70fe4ff75f0.us-east-1.aws.found.io/app/kibana#/discover/Steve-Slow-Train-Analysis-(2080s-and-2083s)?_g=(refreshInterval:(display:Off,pause:!f,section:0,value:0),time:(from:'2018-01-04T22:40:54-0700',mode:absolute,to:'2018-01-05T01:34:42-0700'))&amp;_a=(columns:!('Message%20ID',Summary),filters:!(),index:'emp_*',interval:auto,query:(query_string:(analyze_wildcard:!t,query:'%22rtdc.l.rtdc.4046%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684</v>
      </c>
      <c r="B155" s="225">
        <v>4045</v>
      </c>
      <c r="C155" s="227" t="s">
        <v>192</v>
      </c>
      <c r="D155" s="227" t="s">
        <v>940</v>
      </c>
      <c r="E155" s="226">
        <v>43105.02547453704</v>
      </c>
      <c r="F155" s="226">
        <v>43105.039733796293</v>
      </c>
      <c r="G155" s="225">
        <v>57</v>
      </c>
      <c r="H155" s="227" t="s">
        <v>631</v>
      </c>
      <c r="I155" s="226">
        <v>43105.065023148149</v>
      </c>
      <c r="J155" s="225">
        <v>0</v>
      </c>
      <c r="K155" s="237" t="str">
        <f>IF(ISEVEN(B155),(B155-1)&amp;"/"&amp;B155,B155&amp;"/"&amp;(B155+1))</f>
        <v>4045/4046</v>
      </c>
      <c r="L155" s="245" t="str">
        <f>VLOOKUP(A155,'Trips&amp;Operators'!$C$1:$G$99911,5,FALSE)</f>
        <v>ELBAUM MIKE</v>
      </c>
      <c r="M155" s="224">
        <f>I155-F155</f>
        <v>2.5289351855462883E-2</v>
      </c>
      <c r="N155" s="225">
        <f>24*60*SUM($M155:$M155)</f>
        <v>36.416666671866551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-04T23:36:41-0700',mode:absolute,to:'2018-01-05T02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23.2971</v>
      </c>
      <c r="Z155" s="247">
        <f>RIGHT(H155,LEN(H155)-4)/10000</f>
        <v>2.5999999999999999E-2</v>
      </c>
      <c r="AA155" s="247">
        <f>ABS(Z155-Y155)</f>
        <v>23.271100000000001</v>
      </c>
      <c r="AB155" s="233" t="str">
        <f>VLOOKUP(A155,Enforcements!$C$7:$K$9,8,0)</f>
        <v>Bulletin (2)</v>
      </c>
      <c r="AC155" s="232" t="str">
        <f>VLOOKUP(A155,Enforcements!$C$7:$E$9,3,0)</f>
        <v>GRADE CROSSING</v>
      </c>
      <c r="AD155" s="243">
        <f>VALUE(LEFT(A155,LEN(A155)-3))</f>
        <v>242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 &amp; aws s3 cp s3://rtdc.mdm.uploadarchive.raw/RTDC4045/ "%USERPROFILE%\AppData\Local\Temp\OnboardLogs"\RTDC4045\2018-01-06 --exclude "*" --recursive --include "*20180106*" &amp; "%USERPROFILE%\Documents\GitHub\mrs-test-scripts\Headless Mode &amp; Sideloading\WalkAndUnGZ.bat" "%USERPROFILE%\AppData\Local\Temp\OnboardLogs"\RTDC4045\2018-01-06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/stypes="app*4045*20180105*"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27"/>
        <v>"%USERPROFILE%\Documents\GitHub\eaglep3\Utilities\RefineRTDCRunTimes.py" --tripid 242-04 --locoid 4045 --swversion DE.1.0.9.0 --startMP 204:232971 --initTime 2018-01-05T00:36:41 --startdatetime 2018-01-05T00:57:13 --delay 57 --endMP 204:260 --enddatetime 2018-01-05T01:33:38 --enforcementcount 0 &gt;&gt;%USERPROFILE%\Documents\GitHub\eaglep3-reporting\EC\2018-01-04-refined-times.txt</v>
      </c>
      <c r="AI155" s="238" t="str">
        <f t="shared" si="28"/>
        <v>echo {"issue":{"subject":"","project_id":79,"tracker_id":40,"status_id":1,"priority_id":2,"assigned_to_id":338,"start_date":"2018-01-05","description":"","custom_fields":[{"id":1,"name":"Subdivision","value":"EC"},{"id":4,"name":"Milepost","value":"0.026"},{"id":17,"name":"Train ID","value":"242-04"},{"id":16,"name":"Locomotive ID","value":"4045"},{"id":130,"name":"Impact","value":""},{"id":150,"name":"Time of Event (Mountain Time)","value":"01:33:38"},{"id":151,"name":"Denver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29"/>
        <v>start /low /b %USERPROFILE%\Documents\GitHub\eaglep3\Utilities\DownloadLogsFromS3.py --loco 4045 --day 2018-01-05</v>
      </c>
      <c r="AN155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08:33:38"},{"id":29,"name":"Sharepoint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31"/>
        <v>https://d0f6bd738d7f1b3e5a7ca70fe4ff75f0.us-east-1.aws.found.io/app/kibana#/discover/Steve-Slow-Train-Analysis-(2080s-and-2083s)?_g=(refreshInterval:(display:Off,pause:!f,section:0,value:0),time:(from:'2018-01-04T23:36:41-0700',mode:absolute,to:'2018-01-05T02:33:38-0700'))&amp;_a=(columns:!('Message%20ID',Summary),filters:!(),index:'emp_*',interval:auto,query:(query_string:(analyze_wildcard:!t,query:'%22rtdc.l.rtdc.4045%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899</v>
      </c>
      <c r="B156" s="225">
        <v>4064</v>
      </c>
      <c r="C156" s="227" t="s">
        <v>192</v>
      </c>
      <c r="D156" s="227" t="s">
        <v>940</v>
      </c>
      <c r="E156" s="226">
        <v>43105.02547453704</v>
      </c>
      <c r="F156" s="226">
        <v>43105.021064814813</v>
      </c>
      <c r="G156" s="225">
        <v>57</v>
      </c>
      <c r="H156" s="227" t="s">
        <v>631</v>
      </c>
      <c r="I156" s="226">
        <v>43105.046863425923</v>
      </c>
      <c r="J156" s="225">
        <v>0</v>
      </c>
      <c r="K156" s="237" t="str">
        <f>IF(ISEVEN(B156),(B156-1)&amp;"/"&amp;B156,B156&amp;"/"&amp;(B156+1))</f>
        <v>4063/4064</v>
      </c>
      <c r="L156" s="245" t="str">
        <f>VLOOKUP(A156,'Trips&amp;Operators'!$C$1:$G$99911,5,FALSE)</f>
        <v>NICHOLSON WESLEY</v>
      </c>
      <c r="M156" s="224">
        <f>I156-F156</f>
        <v>2.5798611110076308E-2</v>
      </c>
      <c r="N156" s="225">
        <f>24*60*SUM($M156:$M156)</f>
        <v>37.149999998509884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-04T23:36:41-0700',mode:absolute,to:'2018-01-05T02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v>7.1900000000000006E-2</v>
      </c>
      <c r="Z156" s="247">
        <v>23.3232</v>
      </c>
      <c r="AA156" s="247">
        <f>ABS(Z156-Y156)</f>
        <v>23.251300000000001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243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 &amp; 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/stypes="app*4064*20180105*"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ref="AH156" si="32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243-04 --locoid 4064 --swversion DE.1.0.9.0 --startMP 204:232971 --initTime 2018-01-05T00:36:41 --startdatetime 2018-01-05T00:30:20 --delay 57 --endMP 204:260 --enddatetime 2018-01-05T01:07:29 --enforcementcount 0 &gt;&gt;%USERPROFILE%\Documents\GitHub\eaglep3-reporting\EC\2018-01-04-refined-times.txt</v>
      </c>
      <c r="AI156" s="238" t="str">
        <f t="shared" ref="AI156" si="33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{"issue":{"subject":"","project_id":79,"tracker_id":40,"status_id":1,"priority_id":2,"assigned_to_id":338,"start_date":"2018-01-05","description":"","custom_fields":[{"id":1,"name":"Subdivision","value":"EC"},{"id":4,"name":"Milepost","value":"23.3232"},{"id":17,"name":"Train ID","value":"243-04"},{"id":16,"name":"Locomotive ID","value":"4064"},{"id":130,"name":"Impact","value":""},{"id":150,"name":"Time of Event (Mountain Time)","value":"01:07:29"},{"id":151,"name":"Denver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34">"start /low /b "&amp;dls3logs&amp;" --loco "&amp;B156&amp;" --day "&amp;TEXT(F156,"YYYY-MM-DD")</f>
        <v>start /low /b %USERPROFILE%\Documents\GitHub\eaglep3\Utilities\DownloadLogsFromS3.py --loco 4064 --day 2018-01-05</v>
      </c>
      <c r="AN156" s="241" t="str">
        <f t="shared" ref="AN156" si="35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08:07:29"},{"id":29,"name":"Sharepoint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36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-04T23:36:41-0700',mode:absolute,to:'2018-01-05T02:07:29-0700'))&amp;_a=(columns:!('Message%20ID',Summary),filters:!(),index:'emp_*',interval:auto,query:(query_string:(analyze_wildcard:!t,query:'%22rtdc.l.rtdc.4064%22')),sort:!(Time.ISO8601,asc))</v>
      </c>
    </row>
    <row r="157" spans="1:91" s="223" customFormat="1" x14ac:dyDescent="0.3">
      <c r="A157" s="229" t="s">
        <v>903</v>
      </c>
      <c r="B157" s="225">
        <v>4063</v>
      </c>
      <c r="C157" s="227" t="s">
        <v>192</v>
      </c>
      <c r="D157" s="227" t="s">
        <v>940</v>
      </c>
      <c r="E157" s="226">
        <v>43105.02547453704</v>
      </c>
      <c r="F157" s="226">
        <v>43105.060682870368</v>
      </c>
      <c r="G157" s="225">
        <v>57</v>
      </c>
      <c r="H157" s="227" t="s">
        <v>631</v>
      </c>
      <c r="I157" s="226">
        <v>43105.087719907409</v>
      </c>
      <c r="J157" s="225">
        <v>0</v>
      </c>
      <c r="K157" s="237" t="str">
        <f>IF(ISEVEN(B157),(B157-1)&amp;"/"&amp;B157,B157&amp;"/"&amp;(B157+1))</f>
        <v>4063/4064</v>
      </c>
      <c r="L157" s="245" t="str">
        <f>VLOOKUP(A157,'Trips&amp;Operators'!$C$1:$G$99911,5,FALSE)</f>
        <v>NICHOLSON WESLEY</v>
      </c>
      <c r="M157" s="224">
        <f>I157-F157</f>
        <v>2.7037037041736767E-2</v>
      </c>
      <c r="N157" s="225">
        <f>24*60*SUM($M157:$M157)</f>
        <v>38.933333340100944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-04T23:36:41-0700',mode:absolute,to:'2018-01-05T03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7" s="247" t="str">
        <f>IF(AA157&lt;VLOOKUP(AG157,Variables!$AC$3:$AD$8,2,FALSE),"Y","N")</f>
        <v>N</v>
      </c>
      <c r="X157" s="247">
        <f t="shared" ref="X157:X159" si="37">VALUE(LEFT(AD157,4))-VALUE(LEFT(AD156,4))</f>
        <v>1</v>
      </c>
      <c r="Y157" s="247">
        <v>23.269400000000001</v>
      </c>
      <c r="Z157" s="247">
        <v>2.29E-2</v>
      </c>
      <c r="AA157" s="247">
        <f>ABS(Z157-Y157)</f>
        <v>23.246500000000001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244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 &amp; 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/stypes="app*4063*20180105*" /stext=" 09:.+((SYSTEM_STATE.+slice.+state.+changed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ref="AH157" si="38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244-04 --locoid 4063 --swversion DE.1.0.9.0 --startMP 204:232971 --initTime 2018-01-05T00:36:41 --startdatetime 2018-01-05T01:27:23 --delay 57 --endMP 204:260 --enddatetime 2018-01-05T02:06:19 --enforcementcount 0 &gt;&gt;%USERPROFILE%\Documents\GitHub\eaglep3-reporting\EC\2018-01-04-refined-times.txt</v>
      </c>
      <c r="AI157" s="238" t="str">
        <f t="shared" ref="AI157" si="39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{"issue":{"subject":"","project_id":79,"tracker_id":40,"status_id":1,"priority_id":2,"assigned_to_id":338,"start_date":"2018-01-05","description":"","custom_fields":[{"id":1,"name":"Subdivision","value":"EC"},{"id":4,"name":"Milepost","value":"0.0229"},{"id":17,"name":"Train ID","value":"244-04"},{"id":16,"name":"Locomotive ID","value":"4063"},{"id":130,"name":"Impact","value":""},{"id":150,"name":"Time of Event (Mountain Time)","value":"02:06:19"},{"id":151,"name":"Denver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ref="AM157" si="40">"start /low /b "&amp;dls3logs&amp;" --loco "&amp;B157&amp;" --day "&amp;TEXT(F157,"YYYY-MM-DD")</f>
        <v>start /low /b %USERPROFILE%\Documents\GitHub\eaglep3\Utilities\DownloadLogsFromS3.py --loco 4063 --day 2018-01-05</v>
      </c>
      <c r="AN157" s="241" t="str">
        <f t="shared" ref="AN157" si="41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09:06:19"},{"id":29,"name":"Sharepoint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ref="AO157" si="42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-04T23:36:41-0700',mode:absolute,to:'2018-01-05T03:06:19-0700'))&amp;_a=(columns:!('Message%20ID',Summary),filters:!(),index:'emp_*',interval:auto,query:(query_string:(analyze_wildcard:!t,query:'%22rtdc.l.rtdc.4063%22')),sort:!(Time.ISO8601,asc))</v>
      </c>
    </row>
    <row r="158" spans="1:91" s="20" customFormat="1" x14ac:dyDescent="0.3">
      <c r="A158" s="229" t="s">
        <v>712</v>
      </c>
      <c r="B158" s="225">
        <v>4009</v>
      </c>
      <c r="C158" s="227" t="s">
        <v>192</v>
      </c>
      <c r="D158" s="227" t="s">
        <v>1058</v>
      </c>
      <c r="E158" s="226">
        <v>43104.20957175926</v>
      </c>
      <c r="F158" s="226">
        <v>43104.216064814813</v>
      </c>
      <c r="G158" s="225">
        <v>87</v>
      </c>
      <c r="H158" s="227" t="s">
        <v>541</v>
      </c>
      <c r="I158" s="226">
        <v>43104.226157407407</v>
      </c>
      <c r="J158" s="225">
        <v>0</v>
      </c>
      <c r="K158" s="237" t="str">
        <f>IF(ISEVEN(B158),(B158-1)&amp;"/"&amp;B158,B158&amp;"/"&amp;(B158+1))</f>
        <v>4009/4010</v>
      </c>
      <c r="L158" s="245" t="str">
        <f>VLOOKUP(A158,'Trips&amp;Operators'!$C$1:$G$99911,5,FALSE)</f>
        <v>LOPES KIMBERLY</v>
      </c>
      <c r="M158" s="224">
        <f>I158-F158</f>
        <v>1.0092592594446614E-2</v>
      </c>
      <c r="N158" s="225">
        <f>24*60*SUM($M158:$M158)</f>
        <v>14.533333336003125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-04T04:01:47-0700',mode:absolute,to:'2018-01-04T06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8" s="247" t="str">
        <f>IF(AA158&lt;VLOOKUP(AG158,Variables!$AC$3:$AD$8,2,FALSE),"Y","N")</f>
        <v>N</v>
      </c>
      <c r="X158" s="247">
        <f t="shared" si="37"/>
        <v>556</v>
      </c>
      <c r="Y158" s="247">
        <f>RIGHT(D158,LEN(D158)-4)/10000</f>
        <v>5.8635999999999999</v>
      </c>
      <c r="Z158" s="247">
        <f>RIGHT(H158,LEN(H158)-4)/10000</f>
        <v>1.38E-2</v>
      </c>
      <c r="AA158" s="247">
        <f>ABS(Z158-Y158)</f>
        <v>5.8498000000000001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800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/stypes="app*4009*20180104*" /stext=" 12:.+((SYSTEM_STATE.+slice.+state.+changed )|(ment ac)|(multiple cpu faults)|(system.+state.+changed )|(\[timeout)|(PRM\|1\|D)|(kpr)|(kdp)|(train st.+moving)|(\|lc)|(penalty))"</v>
      </c>
      <c r="AG158" s="244" t="str">
        <f>DetSubdiv(A158)</f>
        <v>NW</v>
      </c>
      <c r="AH158" s="236" t="str">
        <f t="shared" si="27"/>
        <v>"%USERPROFILE%\Documents\GitHub\eaglep3\Utilities\RefineRTDCRunTimes.py" --tripid 800-04 --locoid 4009 --swversion DE.1.0.9.0 --startMP 300:58636 --initTime 2018-01-04T05:01:47 --startdatetime 2018-01-04T05:11:08 --delay 87 --endMP 204:138 --enddatetime 2018-01-04T05:25:40 --enforcementcount 0 &gt;&gt;%USERPROFILE%\Documents\GitHub\eaglep3-reporting\EC\2018-01-04-refined-times.txt</v>
      </c>
      <c r="AI158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{"issue":{"subject":"","project_id":79,"tracker_id":40,"status_id":1,"priority_id":2,"assigned_to_id":338,"start_date":"2018-01-04","description":"","custom_fields":[{"id":1,"name":"Subdivision","value":"NW"},{"id":4,"name":"Milepost","value":"0.0138"},{"id":17,"name":"Train ID","value":"800-04"},{"id":16,"name":"Locomotive ID","value":"4009"},{"id":130,"name":"Impact","value":""},{"id":150,"name":"Time of Event (Mountain Time)","value":"05:25:40"},{"id":151,"name":"Denver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29"/>
        <v>start /low /b %USERPROFILE%\Documents\GitHub\eaglep3\Utilities\DownloadLogsFromS3.py --loco 4009 --day 2018-01-04</v>
      </c>
      <c r="AN158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31"/>
        <v>https://d0f6bd738d7f1b3e5a7ca70fe4ff75f0.us-east-1.aws.found.io/app/kibana#/discover/Steve-Slow-Train-Analysis-(2080s-and-2083s)?_g=(refreshInterval:(display:Off,pause:!f,section:0,value:0),time:(from:'2018-01-04T04:01:47-0700',mode:absolute,to:'2018-01-04T06:25:40-0700'))&amp;_a=(columns:!('Message%20ID',Summary),filters:!(),index:'emp_*',interval:auto,query:(query_string:(analyze_wildcard:!t,query:'%22rtdc.l.rtdc.4009%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229" t="s">
        <v>717</v>
      </c>
      <c r="B159" s="225">
        <v>4010</v>
      </c>
      <c r="C159" s="227" t="s">
        <v>192</v>
      </c>
      <c r="D159" s="227" t="s">
        <v>543</v>
      </c>
      <c r="E159" s="226">
        <v>43104.228981481479</v>
      </c>
      <c r="F159" s="226">
        <v>43104.235613425924</v>
      </c>
      <c r="G159" s="225">
        <v>56</v>
      </c>
      <c r="H159" s="227" t="s">
        <v>555</v>
      </c>
      <c r="I159" s="226">
        <v>43104.245671296296</v>
      </c>
      <c r="J159" s="225">
        <v>0</v>
      </c>
      <c r="K159" s="237" t="str">
        <f>IF(ISEVEN(B159),(B159-1)&amp;"/"&amp;B159,B159&amp;"/"&amp;(B159+1))</f>
        <v>4009/4010</v>
      </c>
      <c r="L159" s="245" t="str">
        <f>VLOOKUP(A159,'Trips&amp;Operators'!$C$1:$G$99911,5,FALSE)</f>
        <v>LOPES KIMBERLY</v>
      </c>
      <c r="M159" s="224">
        <f>I159-F159</f>
        <v>1.0057870371383615E-2</v>
      </c>
      <c r="N159" s="225">
        <f>24*60*SUM($M159:$M159)</f>
        <v>14.483333334792405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-04T04:29:44-0700',mode:absolute,to:'2018-01-04T06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9" s="247" t="str">
        <f>IF(AA159&lt;VLOOKUP(AG159,Variables!$AC$3:$AD$8,2,FALSE),"Y","N")</f>
        <v>N</v>
      </c>
      <c r="X159" s="247">
        <f t="shared" si="37"/>
        <v>1</v>
      </c>
      <c r="Y159" s="247">
        <f>RIGHT(D159,LEN(D159)-4)/10000</f>
        <v>4.4400000000000002E-2</v>
      </c>
      <c r="Z159" s="247">
        <f>RIGHT(H159,LEN(H159)-4)/10000</f>
        <v>5.8939000000000004</v>
      </c>
      <c r="AA159" s="247">
        <f>ABS(Z159-Y159)</f>
        <v>5.8494999999999999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801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/stypes="app*4010*20180104*" /stext=" 12:.+((SYSTEM_STATE.+slice.+state.+changed )|(ment ac)|(multiple cpu faults)|(system.+state.+changed )|(\[timeout)|(PRM\|1\|D)|(kpr)|(kdp)|(train st.+moving)|(\|lc)|(penalty))"</v>
      </c>
      <c r="AG159" s="244" t="str">
        <f>DetSubdiv(A159)</f>
        <v>NW</v>
      </c>
      <c r="AH159" s="236" t="str">
        <f t="shared" si="27"/>
        <v>"%USERPROFILE%\Documents\GitHub\eaglep3\Utilities\RefineRTDCRunTimes.py" --tripid 801-04 --locoid 4010 --swversion DE.1.0.9.0 --startMP 204:444 --initTime 2018-01-04T05:29:44 --startdatetime 2018-01-04T05:39:17 --delay 56 --endMP 300:58939 --enddatetime 2018-01-04T05:53:46 --enforcementcount 0 &gt;&gt;%USERPROFILE%\Documents\GitHub\eaglep3-reporting\EC\2018-01-04-refined-times.txt</v>
      </c>
      <c r="AI159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{"issue":{"subject":"","project_id":79,"tracker_id":40,"status_id":1,"priority_id":2,"assigned_to_id":338,"start_date":"2018-01-04","description":"","custom_fields":[{"id":1,"name":"Subdivision","value":"NW"},{"id":4,"name":"Milepost","value":"5.8939"},{"id":17,"name":"Train ID","value":"801-04"},{"id":16,"name":"Locomotive ID","value":"4010"},{"id":130,"name":"Impact","value":""},{"id":150,"name":"Time of Event (Mountain Time)","value":"05:53:46"},{"id":151,"name":"Denver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29"/>
        <v>start /low /b %USERPROFILE%\Documents\GitHub\eaglep3\Utilities\DownloadLogsFromS3.py --loco 4010 --day 2018-01-04</v>
      </c>
      <c r="AN159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31"/>
        <v>https://d0f6bd738d7f1b3e5a7ca70fe4ff75f0.us-east-1.aws.found.io/app/kibana#/discover/Steve-Slow-Train-Analysis-(2080s-and-2083s)?_g=(refreshInterval:(display:Off,pause:!f,section:0,value:0),time:(from:'2018-01-04T04:29:44-0700',mode:absolute,to:'2018-01-04T06:53:46-0700'))&amp;_a=(columns:!('Message%20ID',Summary),filters:!(),index:'emp_*',interval:auto,query:(query_string:(analyze_wildcard:!t,query:'%22rtdc.l.rtdc.4010%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724</v>
      </c>
      <c r="B160" s="225">
        <v>4009</v>
      </c>
      <c r="C160" s="227" t="s">
        <v>192</v>
      </c>
      <c r="D160" s="227" t="s">
        <v>652</v>
      </c>
      <c r="E160" s="226">
        <v>43104.246631944443</v>
      </c>
      <c r="F160" s="226">
        <v>43104.259097222224</v>
      </c>
      <c r="G160" s="225">
        <v>61</v>
      </c>
      <c r="H160" s="227" t="s">
        <v>650</v>
      </c>
      <c r="I160" s="226">
        <v>43104.267210648148</v>
      </c>
      <c r="J160" s="225">
        <v>0</v>
      </c>
      <c r="K160" s="237" t="str">
        <f>IF(ISEVEN(B160),(B160-1)&amp;"/"&amp;B160,B160&amp;"/"&amp;(B160+1))</f>
        <v>4009/4010</v>
      </c>
      <c r="L160" s="245" t="str">
        <f>VLOOKUP(A160,'Trips&amp;Operators'!$C$1:$G$99911,5,FALSE)</f>
        <v>LOPES KIMBERLY</v>
      </c>
      <c r="M160" s="224">
        <f>I160-F160</f>
        <v>8.1134259235113859E-3</v>
      </c>
      <c r="N160" s="225">
        <f>24*60*SUM($M160:$M160)</f>
        <v>11.683333329856396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-04T04:55:09-0700',mode:absolute,to:'2018-01-04T07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</v>
      </c>
      <c r="Y160" s="247">
        <f>RIGHT(D160,LEN(D160)-4)/10000</f>
        <v>5.8634000000000004</v>
      </c>
      <c r="Z160" s="247">
        <f>RIGHT(H160,LEN(H160)-4)/10000</f>
        <v>1.5299999999999999E-2</v>
      </c>
      <c r="AA160" s="247">
        <f>ABS(Z160-Y160)</f>
        <v>5.8481000000000005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802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/stypes="app*4009*20180104*" /stext=" 13:.+((SYSTEM_STATE.+slice.+state.+changed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27"/>
        <v>"%USERPROFILE%\Documents\GitHub\eaglep3\Utilities\RefineRTDCRunTimes.py" --tripid 802-04 --locoid 4009 --swversion DE.1.0.9.0 --startMP 300:58634 --initTime 2018-01-04T05:55:09 --startdatetime 2018-01-04T06:13:06 --delay 61 --endMP 204:153 --enddatetime 2018-01-04T06:24:47 --enforcementcount 0 &gt;&gt;%USERPROFILE%\Documents\GitHub\eaglep3-reporting\EC\2018-01-04-refined-times.txt</v>
      </c>
      <c r="AI160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{"issue":{"subject":"","project_id":79,"tracker_id":40,"status_id":1,"priority_id":2,"assigned_to_id":338,"start_date":"2018-01-04","description":"","custom_fields":[{"id":1,"name":"Subdivision","value":"NW"},{"id":4,"name":"Milepost","value":"0.0153"},{"id":17,"name":"Train ID","value":"802-04"},{"id":16,"name":"Locomotive ID","value":"4009"},{"id":130,"name":"Impact","value":""},{"id":150,"name":"Time of Event (Mountain Time)","value":"06:24:47"},{"id":151,"name":"Denver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29"/>
        <v>start /low /b %USERPROFILE%\Documents\GitHub\eaglep3\Utilities\DownloadLogsFromS3.py --loco 4009 --day 2018-01-04</v>
      </c>
      <c r="AN160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31"/>
        <v>https://d0f6bd738d7f1b3e5a7ca70fe4ff75f0.us-east-1.aws.found.io/app/kibana#/discover/Steve-Slow-Train-Analysis-(2080s-and-2083s)?_g=(refreshInterval:(display:Off,pause:!f,section:0,value:0),time:(from:'2018-01-04T04:55:09-0700',mode:absolute,to:'2018-01-04T07:24:47-0700'))&amp;_a=(columns:!('Message%20ID',Summary),filters:!(),index:'emp_*',interval:auto,query:(query_string:(analyze_wildcard:!t,query:'%22rtdc.l.rtdc.4009%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726</v>
      </c>
      <c r="B161" s="225">
        <v>4016</v>
      </c>
      <c r="C161" s="227" t="s">
        <v>192</v>
      </c>
      <c r="D161" s="227" t="s">
        <v>596</v>
      </c>
      <c r="E161" s="226">
        <v>43104.250138888892</v>
      </c>
      <c r="F161" s="226">
        <v>43104.256412037037</v>
      </c>
      <c r="G161" s="225">
        <v>76</v>
      </c>
      <c r="H161" s="227" t="s">
        <v>1059</v>
      </c>
      <c r="I161" s="226">
        <v>43104.266770833332</v>
      </c>
      <c r="J161" s="225">
        <v>0</v>
      </c>
      <c r="K161" s="237" t="str">
        <f>IF(ISEVEN(B161),(B161-1)&amp;"/"&amp;B161,B161&amp;"/"&amp;(B161+1))</f>
        <v>4015/4016</v>
      </c>
      <c r="L161" s="245" t="str">
        <f>VLOOKUP(A161,'Trips&amp;Operators'!$C$1:$G$99911,5,FALSE)</f>
        <v>FORTUNATO FRANK</v>
      </c>
      <c r="M161" s="224">
        <f>I161-F161</f>
        <v>1.0358796294895001E-2</v>
      </c>
      <c r="N161" s="225">
        <f>24*60*SUM($M161:$M161)</f>
        <v>14.916666664648801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-04T05:00:12-0700',mode:absolute,to:'2018-01-04T07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4.7300000000000002E-2</v>
      </c>
      <c r="Z161" s="247">
        <f>RIGHT(H161,LEN(H161)-4)/10000</f>
        <v>5.8982000000000001</v>
      </c>
      <c r="AA161" s="247">
        <f>ABS(Z161-Y161)</f>
        <v>5.8509000000000002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803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/stypes="app*4016*20180104*"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27"/>
        <v>"%USERPROFILE%\Documents\GitHub\eaglep3\Utilities\RefineRTDCRunTimes.py" --tripid 803-04 --locoid 4016 --swversion DE.1.0.9.0 --startMP 204:473 --initTime 2018-01-04T06:00:12 --startdatetime 2018-01-04T06:09:14 --delay 76 --endMP 300:58982 --enddatetime 2018-01-04T06:24:09 --enforcementcount 0 &gt;&gt;%USERPROFILE%\Documents\GitHub\eaglep3-reporting\EC\2018-01-04-refined-times.txt</v>
      </c>
      <c r="AI161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{"issue":{"subject":"","project_id":79,"tracker_id":40,"status_id":1,"priority_id":2,"assigned_to_id":338,"start_date":"2018-01-04","description":"","custom_fields":[{"id":1,"name":"Subdivision","value":"NW"},{"id":4,"name":"Milepost","value":"5.8982"},{"id":17,"name":"Train ID","value":"803-04"},{"id":16,"name":"Locomotive ID","value":"4016"},{"id":130,"name":"Impact","value":""},{"id":150,"name":"Time of Event (Mountain Time)","value":"06:24:09"},{"id":151,"name":"Denver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29"/>
        <v>start /low /b %USERPROFILE%\Documents\GitHub\eaglep3\Utilities\DownloadLogsFromS3.py --loco 4016 --day 2018-01-04</v>
      </c>
      <c r="AN161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31"/>
        <v>https://d0f6bd738d7f1b3e5a7ca70fe4ff75f0.us-east-1.aws.found.io/app/kibana#/discover/Steve-Slow-Train-Analysis-(2080s-and-2083s)?_g=(refreshInterval:(display:Off,pause:!f,section:0,value:0),time:(from:'2018-01-04T05:00:12-0700',mode:absolute,to:'2018-01-04T07:24:09-0700'))&amp;_a=(columns:!('Message%20ID',Summary),filters:!(),index:'emp_*',interval:auto,query:(query_string:(analyze_wildcard:!t,query:'%22rtdc.l.rtdc.4016%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29" t="s">
        <v>730</v>
      </c>
      <c r="B162" s="225">
        <v>4015</v>
      </c>
      <c r="C162" s="227" t="s">
        <v>192</v>
      </c>
      <c r="D162" s="227" t="s">
        <v>1060</v>
      </c>
      <c r="E162" s="226">
        <v>43104.267870370371</v>
      </c>
      <c r="F162" s="226">
        <v>43104.27988425926</v>
      </c>
      <c r="G162" s="225">
        <v>88</v>
      </c>
      <c r="H162" s="227" t="s">
        <v>644</v>
      </c>
      <c r="I162" s="226">
        <v>43104.288344907407</v>
      </c>
      <c r="J162" s="225">
        <v>0</v>
      </c>
      <c r="K162" s="237" t="str">
        <f>IF(ISEVEN(B162),(B162-1)&amp;"/"&amp;B162,B162&amp;"/"&amp;(B162+1))</f>
        <v>4015/4016</v>
      </c>
      <c r="L162" s="245" t="str">
        <f>VLOOKUP(A162,'Trips&amp;Operators'!$C$1:$G$99911,5,FALSE)</f>
        <v>FORTUNATO FRANK</v>
      </c>
      <c r="M162" s="224">
        <f>I162-F162</f>
        <v>8.4606481468654238E-3</v>
      </c>
      <c r="N162" s="225">
        <f>24*60*SUM($M162:$M162)</f>
        <v>12.18333333148621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-04T05:25:44-0700',mode:absolute,to:'2018-01-04T07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5.8654999999999999</v>
      </c>
      <c r="Z162" s="247">
        <f>RIGHT(H162,LEN(H162)-4)/10000</f>
        <v>1.5699999999999999E-2</v>
      </c>
      <c r="AA162" s="247">
        <f>ABS(Z162-Y162)</f>
        <v>5.8498000000000001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804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/stypes="app*4015*20180104*"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27"/>
        <v>"%USERPROFILE%\Documents\GitHub\eaglep3\Utilities\RefineRTDCRunTimes.py" --tripid 804-04 --locoid 4015 --swversion DE.1.0.9.0 --startMP 300:58655 --initTime 2018-01-04T06:25:44 --startdatetime 2018-01-04T06:43:02 --delay 88 --endMP 204:157 --enddatetime 2018-01-04T06:55:13 --enforcementcount 0 &gt;&gt;%USERPROFILE%\Documents\GitHub\eaglep3-reporting\EC\2018-01-04-refined-times.txt</v>
      </c>
      <c r="AI162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{"issue":{"subject":"","project_id":79,"tracker_id":40,"status_id":1,"priority_id":2,"assigned_to_id":338,"start_date":"2018-01-04","description":"","custom_fields":[{"id":1,"name":"Subdivision","value":"NW"},{"id":4,"name":"Milepost","value":"0.0157"},{"id":17,"name":"Train ID","value":"804-04"},{"id":16,"name":"Locomotive ID","value":"4015"},{"id":130,"name":"Impact","value":""},{"id":150,"name":"Time of Event (Mountain Time)","value":"06:55:13"},{"id":151,"name":"Denver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29"/>
        <v>start /low /b %USERPROFILE%\Documents\GitHub\eaglep3\Utilities\DownloadLogsFromS3.py --loco 4015 --day 2018-01-04</v>
      </c>
      <c r="AN162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31"/>
        <v>https://d0f6bd738d7f1b3e5a7ca70fe4ff75f0.us-east-1.aws.found.io/app/kibana#/discover/Steve-Slow-Train-Analysis-(2080s-and-2083s)?_g=(refreshInterval:(display:Off,pause:!f,section:0,value:0),time:(from:'2018-01-04T05:25:44-0700',mode:absolute,to:'2018-01-04T07:55:13-0700'))&amp;_a=(columns:!('Message%20ID',Summary),filters:!(),index:'emp_*',interval:auto,query:(query_string:(analyze_wildcard:!t,query:'%22rtdc.l.rtdc.4015%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731</v>
      </c>
      <c r="B163" s="225">
        <v>4010</v>
      </c>
      <c r="C163" s="227" t="s">
        <v>192</v>
      </c>
      <c r="D163" s="227" t="s">
        <v>543</v>
      </c>
      <c r="E163" s="226">
        <v>43104.268796296295</v>
      </c>
      <c r="F163" s="226">
        <v>43104.277291666665</v>
      </c>
      <c r="G163" s="225">
        <v>55</v>
      </c>
      <c r="H163" s="227" t="s">
        <v>648</v>
      </c>
      <c r="I163" s="226">
        <v>43104.28800925926</v>
      </c>
      <c r="J163" s="225">
        <v>0</v>
      </c>
      <c r="K163" s="237" t="str">
        <f>IF(ISEVEN(B163),(B163-1)&amp;"/"&amp;B163,B163&amp;"/"&amp;(B163+1))</f>
        <v>4009/4010</v>
      </c>
      <c r="L163" s="245" t="str">
        <f>VLOOKUP(A163,'Trips&amp;Operators'!$C$1:$G$99911,5,FALSE)</f>
        <v>LOPES KIMBERLY</v>
      </c>
      <c r="M163" s="224">
        <f>I163-F163</f>
        <v>1.0717592595028691E-2</v>
      </c>
      <c r="N163" s="225">
        <f>24*60*SUM($M163:$M163)</f>
        <v>15.433333336841315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-04T05:27:04-0700',mode:absolute,to:'2018-01-04T07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4.4400000000000002E-2</v>
      </c>
      <c r="Z163" s="247">
        <f>RIGHT(H163,LEN(H163)-4)/10000</f>
        <v>5.8948</v>
      </c>
      <c r="AA163" s="247">
        <f>ABS(Z163-Y163)</f>
        <v>5.8503999999999996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805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/stypes="app*4010*20180104*"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27"/>
        <v>"%USERPROFILE%\Documents\GitHub\eaglep3\Utilities\RefineRTDCRunTimes.py" --tripid 805-04 --locoid 4010 --swversion DE.1.0.9.0 --startMP 204:444 --initTime 2018-01-04T06:27:04 --startdatetime 2018-01-04T06:39:18 --delay 55 --endMP 300:58948 --enddatetime 2018-01-04T06:54:44 --enforcementcount 0 &gt;&gt;%USERPROFILE%\Documents\GitHub\eaglep3-reporting\EC\2018-01-04-refined-times.txt</v>
      </c>
      <c r="AI163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{"issue":{"subject":"","project_id":79,"tracker_id":40,"status_id":1,"priority_id":2,"assigned_to_id":338,"start_date":"2018-01-04","description":"","custom_fields":[{"id":1,"name":"Subdivision","value":"NW"},{"id":4,"name":"Milepost","value":"5.8948"},{"id":17,"name":"Train ID","value":"805-04"},{"id":16,"name":"Locomotive ID","value":"4010"},{"id":130,"name":"Impact","value":""},{"id":150,"name":"Time of Event (Mountain Time)","value":"06:54:44"},{"id":151,"name":"Denver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29"/>
        <v>start /low /b %USERPROFILE%\Documents\GitHub\eaglep3\Utilities\DownloadLogsFromS3.py --loco 4010 --day 2018-01-04</v>
      </c>
      <c r="AN163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13:54:44"},{"id":29,"name":"Sharepoint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31"/>
        <v>https://d0f6bd738d7f1b3e5a7ca70fe4ff75f0.us-east-1.aws.found.io/app/kibana#/discover/Steve-Slow-Train-Analysis-(2080s-and-2083s)?_g=(refreshInterval:(display:Off,pause:!f,section:0,value:0),time:(from:'2018-01-04T05:27:04-0700',mode:absolute,to:'2018-01-04T07:54:44-0700'))&amp;_a=(columns:!('Message%20ID',Summary),filters:!(),index:'emp_*',interval:auto,query:(query_string:(analyze_wildcard:!t,query:'%22rtdc.l.rtdc.4010%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736</v>
      </c>
      <c r="B164" s="225">
        <v>4009</v>
      </c>
      <c r="C164" s="227" t="s">
        <v>192</v>
      </c>
      <c r="D164" s="227" t="s">
        <v>1058</v>
      </c>
      <c r="E164" s="226">
        <v>43104.288958333331</v>
      </c>
      <c r="F164" s="226">
        <v>43104.300092592595</v>
      </c>
      <c r="G164" s="225">
        <v>63</v>
      </c>
      <c r="H164" s="227" t="s">
        <v>1061</v>
      </c>
      <c r="I164" s="226">
        <v>43104.308796296296</v>
      </c>
      <c r="J164" s="225">
        <v>0</v>
      </c>
      <c r="K164" s="237" t="str">
        <f>IF(ISEVEN(B164),(B164-1)&amp;"/"&amp;B164,B164&amp;"/"&amp;(B164+1))</f>
        <v>4009/4010</v>
      </c>
      <c r="L164" s="245" t="str">
        <f>VLOOKUP(A164,'Trips&amp;Operators'!$C$1:$G$99911,5,FALSE)</f>
        <v>LOPES KIMBERLY</v>
      </c>
      <c r="M164" s="224">
        <f>I164-F164</f>
        <v>8.703703701030463E-3</v>
      </c>
      <c r="N164" s="225">
        <f>24*60*SUM($M164:$M164)</f>
        <v>12.533333329483867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-04T05:56:06-0700',mode:absolute,to:'2018-01-04T08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5.8635999999999999</v>
      </c>
      <c r="Z164" s="247">
        <f>RIGHT(H164,LEN(H164)-4)/10000</f>
        <v>1.17E-2</v>
      </c>
      <c r="AA164" s="247">
        <f>ABS(Z164-Y164)</f>
        <v>5.8518999999999997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806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/stypes="app*4009*20180104*" /stext=" 14:.+((SYSTEM_STATE.+slice.+state.+changed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27"/>
        <v>"%USERPROFILE%\Documents\GitHub\eaglep3\Utilities\RefineRTDCRunTimes.py" --tripid 806-04 --locoid 4009 --swversion DE.1.0.9.0 --startMP 300:58636 --initTime 2018-01-04T06:56:06 --startdatetime 2018-01-04T07:12:08 --delay 63 --endMP 204:117 --enddatetime 2018-01-04T07:24:40 --enforcementcount 0 &gt;&gt;%USERPROFILE%\Documents\GitHub\eaglep3-reporting\EC\2018-01-04-refined-times.txt</v>
      </c>
      <c r="AI164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{"issue":{"subject":"","project_id":79,"tracker_id":40,"status_id":1,"priority_id":2,"assigned_to_id":338,"start_date":"2018-01-04","description":"","custom_fields":[{"id":1,"name":"Subdivision","value":"NW"},{"id":4,"name":"Milepost","value":"0.0117"},{"id":17,"name":"Train ID","value":"806-04"},{"id":16,"name":"Locomotive ID","value":"4009"},{"id":130,"name":"Impact","value":""},{"id":150,"name":"Time of Event (Mountain Time)","value":"07:24:40"},{"id":151,"name":"Denver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29"/>
        <v>start /low /b %USERPROFILE%\Documents\GitHub\eaglep3\Utilities\DownloadLogsFromS3.py --loco 4009 --day 2018-01-04</v>
      </c>
      <c r="AN164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31"/>
        <v>https://d0f6bd738d7f1b3e5a7ca70fe4ff75f0.us-east-1.aws.found.io/app/kibana#/discover/Steve-Slow-Train-Analysis-(2080s-and-2083s)?_g=(refreshInterval:(display:Off,pause:!f,section:0,value:0),time:(from:'2018-01-04T05:56:06-0700',mode:absolute,to:'2018-01-04T08:24:40-0700'))&amp;_a=(columns:!('Message%20ID',Summary),filters:!(),index:'emp_*',interval:auto,query:(query_string:(analyze_wildcard:!t,query:'%22rtdc.l.rtdc.4009%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737</v>
      </c>
      <c r="B165" s="225">
        <v>4016</v>
      </c>
      <c r="C165" s="227" t="s">
        <v>192</v>
      </c>
      <c r="D165" s="227" t="s">
        <v>1062</v>
      </c>
      <c r="E165" s="226">
        <v>43104.29011574074</v>
      </c>
      <c r="F165" s="226">
        <v>43104.298113425924</v>
      </c>
      <c r="G165" s="225">
        <v>53</v>
      </c>
      <c r="H165" s="227" t="s">
        <v>1063</v>
      </c>
      <c r="I165" s="226">
        <v>43104.308437500003</v>
      </c>
      <c r="J165" s="225">
        <v>0</v>
      </c>
      <c r="K165" s="237" t="str">
        <f>IF(ISEVEN(B165),(B165-1)&amp;"/"&amp;B165,B165&amp;"/"&amp;(B165+1))</f>
        <v>4015/4016</v>
      </c>
      <c r="L165" s="245" t="str">
        <f>VLOOKUP(A165,'Trips&amp;Operators'!$C$1:$G$99911,5,FALSE)</f>
        <v>FORTUNATO FRANK</v>
      </c>
      <c r="M165" s="224">
        <f>I165-F165</f>
        <v>1.0324074079107959E-2</v>
      </c>
      <c r="N165" s="225">
        <f>24*60*SUM($M165:$M165)</f>
        <v>14.866666673915461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-04T05:57:46-0700',mode:absolute,to:'2018-01-04T08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4.4999999999999998E-2</v>
      </c>
      <c r="Z165" s="247">
        <f>RIGHT(H165,LEN(H165)-4)/10000</f>
        <v>5.8978000000000002</v>
      </c>
      <c r="AA165" s="247">
        <f>ABS(Z165-Y165)</f>
        <v>5.8528000000000002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807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/stypes="app*4016*20180104*" /stext=" 14:.+((SYSTEM_STATE.+slice.+state.+changed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27"/>
        <v>"%USERPROFILE%\Documents\GitHub\eaglep3\Utilities\RefineRTDCRunTimes.py" --tripid 807-04 --locoid 4016 --swversion DE.1.0.9.0 --startMP 204:450 --initTime 2018-01-04T06:57:46 --startdatetime 2018-01-04T07:09:17 --delay 53 --endMP 300:58978 --enddatetime 2018-01-04T07:24:09 --enforcementcount 0 &gt;&gt;%USERPROFILE%\Documents\GitHub\eaglep3-reporting\EC\2018-01-04-refined-times.txt</v>
      </c>
      <c r="AI165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{"issue":{"subject":"","project_id":79,"tracker_id":40,"status_id":1,"priority_id":2,"assigned_to_id":338,"start_date":"2018-01-04","description":"","custom_fields":[{"id":1,"name":"Subdivision","value":"NW"},{"id":4,"name":"Milepost","value":"5.8978"},{"id":17,"name":"Train ID","value":"807-04"},{"id":16,"name":"Locomotive ID","value":"4016"},{"id":130,"name":"Impact","value":""},{"id":150,"name":"Time of Event (Mountain Time)","value":"07:24:09"},{"id":151,"name":"Denver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29"/>
        <v>start /low /b %USERPROFILE%\Documents\GitHub\eaglep3\Utilities\DownloadLogsFromS3.py --loco 4016 --day 2018-01-04</v>
      </c>
      <c r="AN165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31"/>
        <v>https://d0f6bd738d7f1b3e5a7ca70fe4ff75f0.us-east-1.aws.found.io/app/kibana#/discover/Steve-Slow-Train-Analysis-(2080s-and-2083s)?_g=(refreshInterval:(display:Off,pause:!f,section:0,value:0),time:(from:'2018-01-04T05:57:46-0700',mode:absolute,to:'2018-01-04T08:24:09-0700'))&amp;_a=(columns:!('Message%20ID',Summary),filters:!(),index:'emp_*',interval:auto,query:(query_string:(analyze_wildcard:!t,query:'%22rtdc.l.rtdc.4016%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29" t="s">
        <v>741</v>
      </c>
      <c r="B166" s="225">
        <v>4015</v>
      </c>
      <c r="C166" s="227" t="s">
        <v>192</v>
      </c>
      <c r="D166" s="227" t="s">
        <v>1064</v>
      </c>
      <c r="E166" s="226">
        <v>43104.309652777774</v>
      </c>
      <c r="F166" s="226">
        <v>43104.321550925924</v>
      </c>
      <c r="G166" s="225">
        <v>64</v>
      </c>
      <c r="H166" s="227" t="s">
        <v>491</v>
      </c>
      <c r="I166" s="226">
        <v>43104.329861111109</v>
      </c>
      <c r="J166" s="225">
        <v>0</v>
      </c>
      <c r="K166" s="237" t="str">
        <f>IF(ISEVEN(B166),(B166-1)&amp;"/"&amp;B166,B166&amp;"/"&amp;(B166+1))</f>
        <v>4015/4016</v>
      </c>
      <c r="L166" s="245" t="str">
        <f>VLOOKUP(A166,'Trips&amp;Operators'!$C$1:$G$99911,5,FALSE)</f>
        <v>FORTUNATO FRANK</v>
      </c>
      <c r="M166" s="224">
        <f>I166-F166</f>
        <v>8.3101851851097308E-3</v>
      </c>
      <c r="N166" s="225">
        <f>24*60*SUM($M166:$M166)</f>
        <v>11.966666666558012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-04T06:25:54-0700',mode:absolute,to:'2018-01-04T08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5.8662000000000001</v>
      </c>
      <c r="Z166" s="247">
        <f>RIGHT(H166,LEN(H166)-4)/10000</f>
        <v>1.6899999999999998E-2</v>
      </c>
      <c r="AA166" s="247">
        <f>ABS(Z166-Y166)</f>
        <v>5.8493000000000004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808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/stypes="app*4015*20180104*" /stext=" 14:.+((SYSTEM_STATE.+slice.+state.+changed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27"/>
        <v>"%USERPROFILE%\Documents\GitHub\eaglep3\Utilities\RefineRTDCRunTimes.py" --tripid 808-04 --locoid 4015 --swversion DE.1.0.9.0 --startMP 300:58662 --initTime 2018-01-04T07:25:54 --startdatetime 2018-01-04T07:43:02 --delay 64 --endMP 204:169 --enddatetime 2018-01-04T07:55:00 --enforcementcount 0 &gt;&gt;%USERPROFILE%\Documents\GitHub\eaglep3-reporting\EC\2018-01-04-refined-times.txt</v>
      </c>
      <c r="AI166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{"issue":{"subject":"","project_id":79,"tracker_id":40,"status_id":1,"priority_id":2,"assigned_to_id":338,"start_date":"2018-01-04","description":"","custom_fields":[{"id":1,"name":"Subdivision","value":"NW"},{"id":4,"name":"Milepost","value":"0.0169"},{"id":17,"name":"Train ID","value":"808-04"},{"id":16,"name":"Locomotive ID","value":"4015"},{"id":130,"name":"Impact","value":""},{"id":150,"name":"Time of Event (Mountain Time)","value":"07:55:00"},{"id":151,"name":"Denver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29"/>
        <v>start /low /b %USERPROFILE%\Documents\GitHub\eaglep3\Utilities\DownloadLogsFromS3.py --loco 4015 --day 2018-01-04</v>
      </c>
      <c r="AN166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31"/>
        <v>https://d0f6bd738d7f1b3e5a7ca70fe4ff75f0.us-east-1.aws.found.io/app/kibana#/discover/Steve-Slow-Train-Analysis-(2080s-and-2083s)?_g=(refreshInterval:(display:Off,pause:!f,section:0,value:0),time:(from:'2018-01-04T06:25:54-0700',mode:absolute,to:'2018-01-04T08:55:00-0700'))&amp;_a=(columns:!('Message%20ID',Summary),filters:!(),index:'emp_*',interval:auto,query:(query_string:(analyze_wildcard:!t,query:'%22rtdc.l.rtdc.4015%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742</v>
      </c>
      <c r="B167" s="225">
        <v>4010</v>
      </c>
      <c r="C167" s="227" t="s">
        <v>192</v>
      </c>
      <c r="D167" s="227" t="s">
        <v>1065</v>
      </c>
      <c r="E167" s="226">
        <v>43104.314618055556</v>
      </c>
      <c r="F167" s="226">
        <v>43104.318969907406</v>
      </c>
      <c r="G167" s="225">
        <v>52</v>
      </c>
      <c r="H167" s="227" t="s">
        <v>1066</v>
      </c>
      <c r="I167" s="226">
        <v>43104.32949074074</v>
      </c>
      <c r="J167" s="225">
        <v>0</v>
      </c>
      <c r="K167" s="237" t="str">
        <f>IF(ISEVEN(B167),(B167-1)&amp;"/"&amp;B167,B167&amp;"/"&amp;(B167+1))</f>
        <v>4009/4010</v>
      </c>
      <c r="L167" s="245" t="str">
        <f>VLOOKUP(A167,'Trips&amp;Operators'!$C$1:$G$99911,5,FALSE)</f>
        <v>LOPES KIMBERLY</v>
      </c>
      <c r="M167" s="224">
        <f>I167-F167</f>
        <v>1.0520833333430346E-2</v>
      </c>
      <c r="N167" s="225">
        <f>24*60*SUM($M167:$M167)</f>
        <v>15.150000000139698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-04T06:33:03-0700',mode:absolute,to:'2018-01-04T08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4.24E-2</v>
      </c>
      <c r="Z167" s="247">
        <f>RIGHT(H167,LEN(H167)-4)/10000</f>
        <v>5.8936999999999999</v>
      </c>
      <c r="AA167" s="247">
        <f>ABS(Z167-Y167)</f>
        <v>5.8513000000000002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809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/stypes="app*4010*20180104*" /stext=" 14:.+((SYSTEM_STATE.+slice.+state.+changed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27"/>
        <v>"%USERPROFILE%\Documents\GitHub\eaglep3\Utilities\RefineRTDCRunTimes.py" --tripid 809-04 --locoid 4010 --swversion DE.1.0.9.0 --startMP 204:424 --initTime 2018-01-04T07:33:03 --startdatetime 2018-01-04T07:39:19 --delay 52 --endMP 300:58937 --enddatetime 2018-01-04T07:54:28 --enforcementcount 0 &gt;&gt;%USERPROFILE%\Documents\GitHub\eaglep3-reporting\EC\2018-01-04-refined-times.txt</v>
      </c>
      <c r="AI167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{"issue":{"subject":"","project_id":79,"tracker_id":40,"status_id":1,"priority_id":2,"assigned_to_id":338,"start_date":"2018-01-04","description":"","custom_fields":[{"id":1,"name":"Subdivision","value":"NW"},{"id":4,"name":"Milepost","value":"5.8937"},{"id":17,"name":"Train ID","value":"809-04"},{"id":16,"name":"Locomotive ID","value":"4010"},{"id":130,"name":"Impact","value":""},{"id":150,"name":"Time of Event (Mountain Time)","value":"07:54:28"},{"id":151,"name":"Denver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29"/>
        <v>start /low /b %USERPROFILE%\Documents\GitHub\eaglep3\Utilities\DownloadLogsFromS3.py --loco 4010 --day 2018-01-04</v>
      </c>
      <c r="AN167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14:54:28"},{"id":29,"name":"Sharepoint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31"/>
        <v>https://d0f6bd738d7f1b3e5a7ca70fe4ff75f0.us-east-1.aws.found.io/app/kibana#/discover/Steve-Slow-Train-Analysis-(2080s-and-2083s)?_g=(refreshInterval:(display:Off,pause:!f,section:0,value:0),time:(from:'2018-01-04T06:33:03-0700',mode:absolute,to:'2018-01-04T08:54:28-0700'))&amp;_a=(columns:!('Message%20ID',Summary),filters:!(),index:'emp_*',interval:auto,query:(query_string:(analyze_wildcard:!t,query:'%22rtdc.l.rtdc.4010%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660</v>
      </c>
      <c r="B168" s="225">
        <v>4009</v>
      </c>
      <c r="C168" s="227" t="s">
        <v>192</v>
      </c>
      <c r="D168" s="227" t="s">
        <v>1067</v>
      </c>
      <c r="E168" s="226">
        <v>43104.330706018518</v>
      </c>
      <c r="F168" s="226">
        <v>43104.341678240744</v>
      </c>
      <c r="G168" s="225">
        <v>49</v>
      </c>
      <c r="H168" s="227" t="s">
        <v>541</v>
      </c>
      <c r="I168" s="226">
        <v>43104.350381944445</v>
      </c>
      <c r="J168" s="225">
        <v>0</v>
      </c>
      <c r="K168" s="237" t="str">
        <f>IF(ISEVEN(B168),(B168-1)&amp;"/"&amp;B168,B168&amp;"/"&amp;(B168+1))</f>
        <v>4009/4010</v>
      </c>
      <c r="L168" s="245" t="str">
        <f>VLOOKUP(A168,'Trips&amp;Operators'!$C$1:$G$99911,5,FALSE)</f>
        <v>LOPES KIMBERLY</v>
      </c>
      <c r="M168" s="224">
        <f>I168-F168</f>
        <v>8.703703701030463E-3</v>
      </c>
      <c r="N168" s="225">
        <f>24*60*SUM($M168:$M168)</f>
        <v>12.533333329483867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-04T06:56:13-0700',mode:absolute,to:'2018-01-04T09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5.8628</v>
      </c>
      <c r="Z168" s="247">
        <f>RIGHT(H168,LEN(H168)-4)/10000</f>
        <v>1.38E-2</v>
      </c>
      <c r="AA168" s="247">
        <f>ABS(Z168-Y168)</f>
        <v>5.8490000000000002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810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/stypes="app*4009*20180104*" /stext=" 15:.+((SYSTEM_STATE.+slice.+state.+changed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27"/>
        <v>"%USERPROFILE%\Documents\GitHub\eaglep3\Utilities\RefineRTDCRunTimes.py" --tripid 810-04 --locoid 4009 --swversion DE.1.0.9.0 --startMP 300:58628 --initTime 2018-01-04T07:56:13 --startdatetime 2018-01-04T08:12:01 --delay 49 --endMP 204:138 --enddatetime 2018-01-04T08:24:33 --enforcementcount 0 &gt;&gt;%USERPROFILE%\Documents\GitHub\eaglep3-reporting\EC\2018-01-04-refined-times.txt</v>
      </c>
      <c r="AI168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{"issue":{"subject":"","project_id":79,"tracker_id":40,"status_id":1,"priority_id":2,"assigned_to_id":338,"start_date":"2018-01-04","description":"","custom_fields":[{"id":1,"name":"Subdivision","value":"NW"},{"id":4,"name":"Milepost","value":"0.0138"},{"id":17,"name":"Train ID","value":"810-04"},{"id":16,"name":"Locomotive ID","value":"4009"},{"id":130,"name":"Impact","value":""},{"id":150,"name":"Time of Event (Mountain Time)","value":"08:24:33"},{"id":151,"name":"Denver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29"/>
        <v>start /low /b %USERPROFILE%\Documents\GitHub\eaglep3\Utilities\DownloadLogsFromS3.py --loco 4009 --day 2018-01-04</v>
      </c>
      <c r="AN168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31"/>
        <v>https://d0f6bd738d7f1b3e5a7ca70fe4ff75f0.us-east-1.aws.found.io/app/kibana#/discover/Steve-Slow-Train-Analysis-(2080s-and-2083s)?_g=(refreshInterval:(display:Off,pause:!f,section:0,value:0),time:(from:'2018-01-04T06:56:13-0700',mode:absolute,to:'2018-01-04T09:24:33-0700'))&amp;_a=(columns:!('Message%20ID',Summary),filters:!(),index:'emp_*',interval:auto,query:(query_string:(analyze_wildcard:!t,query:'%22rtdc.l.rtdc.4009%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748</v>
      </c>
      <c r="B169" s="225">
        <v>4016</v>
      </c>
      <c r="C169" s="227" t="s">
        <v>192</v>
      </c>
      <c r="D169" s="227" t="s">
        <v>480</v>
      </c>
      <c r="E169" s="226">
        <v>43104.336435185185</v>
      </c>
      <c r="F169" s="226">
        <v>43104.339733796296</v>
      </c>
      <c r="G169" s="225">
        <v>54</v>
      </c>
      <c r="H169" s="227" t="s">
        <v>1068</v>
      </c>
      <c r="I169" s="226">
        <v>43104.350104166668</v>
      </c>
      <c r="J169" s="225">
        <v>0</v>
      </c>
      <c r="K169" s="237" t="str">
        <f>IF(ISEVEN(B169),(B169-1)&amp;"/"&amp;B169,B169&amp;"/"&amp;(B169+1))</f>
        <v>4015/4016</v>
      </c>
      <c r="L169" s="245" t="str">
        <f>VLOOKUP(A169,'Trips&amp;Operators'!$C$1:$G$99911,5,FALSE)</f>
        <v>FORTUNATO FRANK</v>
      </c>
      <c r="M169" s="224">
        <f>I169-F169</f>
        <v>1.0370370371674653E-2</v>
      </c>
      <c r="N169" s="225">
        <f>24*60*SUM($M169:$M169)</f>
        <v>14.933333335211501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-04T07:04:28-0700',mode:absolute,to:'2018-01-04T09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4.6600000000000003E-2</v>
      </c>
      <c r="Z169" s="247">
        <f>RIGHT(H169,LEN(H169)-4)/10000</f>
        <v>5.8992000000000004</v>
      </c>
      <c r="AA169" s="247">
        <f>ABS(Z169-Y169)</f>
        <v>5.8526000000000007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811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/stypes="app*4016*20180104*" /stext=" 15:.+((SYSTEM_STATE.+slice.+state.+changed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27"/>
        <v>"%USERPROFILE%\Documents\GitHub\eaglep3\Utilities\RefineRTDCRunTimes.py" --tripid 811-04 --locoid 4016 --swversion DE.1.0.9.0 --startMP 204:466 --initTime 2018-01-04T08:04:28 --startdatetime 2018-01-04T08:09:13 --delay 54 --endMP 300:58992 --enddatetime 2018-01-04T08:24:09 --enforcementcount 0 &gt;&gt;%USERPROFILE%\Documents\GitHub\eaglep3-reporting\EC\2018-01-04-refined-times.txt</v>
      </c>
      <c r="AI169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{"issue":{"subject":"","project_id":79,"tracker_id":40,"status_id":1,"priority_id":2,"assigned_to_id":338,"start_date":"2018-01-04","description":"","custom_fields":[{"id":1,"name":"Subdivision","value":"NW"},{"id":4,"name":"Milepost","value":"5.8992"},{"id":17,"name":"Train ID","value":"811-04"},{"id":16,"name":"Locomotive ID","value":"4016"},{"id":130,"name":"Impact","value":""},{"id":150,"name":"Time of Event (Mountain Time)","value":"08:24:09"},{"id":151,"name":"Denver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29"/>
        <v>start /low /b %USERPROFILE%\Documents\GitHub\eaglep3\Utilities\DownloadLogsFromS3.py --loco 4016 --day 2018-01-04</v>
      </c>
      <c r="AN169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31"/>
        <v>https://d0f6bd738d7f1b3e5a7ca70fe4ff75f0.us-east-1.aws.found.io/app/kibana#/discover/Steve-Slow-Train-Analysis-(2080s-and-2083s)?_g=(refreshInterval:(display:Off,pause:!f,section:0,value:0),time:(from:'2018-01-04T07:04:28-0700',mode:absolute,to:'2018-01-04T09:24:09-0700'))&amp;_a=(columns:!('Message%20ID',Summary),filters:!(),index:'emp_*',interval:auto,query:(query_string:(analyze_wildcard:!t,query:'%22rtdc.l.rtdc.4016%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3">
      <c r="A170" s="229" t="s">
        <v>751</v>
      </c>
      <c r="B170" s="225">
        <v>4015</v>
      </c>
      <c r="C170" s="227" t="s">
        <v>192</v>
      </c>
      <c r="D170" s="227" t="s">
        <v>1069</v>
      </c>
      <c r="E170" s="226">
        <v>43104.351354166669</v>
      </c>
      <c r="F170" s="226">
        <v>43104.363217592596</v>
      </c>
      <c r="G170" s="225">
        <v>51</v>
      </c>
      <c r="H170" s="227" t="s">
        <v>653</v>
      </c>
      <c r="I170" s="226">
        <v>43104.371446759258</v>
      </c>
      <c r="J170" s="225">
        <v>0</v>
      </c>
      <c r="K170" s="237" t="str">
        <f>IF(ISEVEN(B170),(B170-1)&amp;"/"&amp;B170,B170&amp;"/"&amp;(B170+1))</f>
        <v>4015/4016</v>
      </c>
      <c r="L170" s="245" t="str">
        <f>VLOOKUP(A170,'Trips&amp;Operators'!$C$1:$G$99911,5,FALSE)</f>
        <v>FORTUNATO FRANK</v>
      </c>
      <c r="M170" s="224">
        <f>I170-F170</f>
        <v>8.2291666622040793E-3</v>
      </c>
      <c r="N170" s="225">
        <f>24*60*SUM($M170:$M170)</f>
        <v>11.849999993573874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-04T07:25:57-0700',mode:absolute,to:'2018-01-04T09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5.8677000000000001</v>
      </c>
      <c r="Z170" s="247">
        <f>RIGHT(H170,LEN(H170)-4)/10000</f>
        <v>1.4E-2</v>
      </c>
      <c r="AA170" s="247">
        <f>ABS(Z170-Y170)</f>
        <v>5.8536999999999999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812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/stypes="app*4015*20180104*" /stext=" 15:.+((SYSTEM_STATE.+slice.+state.+changed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27"/>
        <v>"%USERPROFILE%\Documents\GitHub\eaglep3\Utilities\RefineRTDCRunTimes.py" --tripid 812-04 --locoid 4015 --swversion DE.1.0.9.0 --startMP 300:58677 --initTime 2018-01-04T08:25:57 --startdatetime 2018-01-04T08:43:02 --delay 51 --endMP 204:140 --enddatetime 2018-01-04T08:54:53 --enforcementcount 0 &gt;&gt;%USERPROFILE%\Documents\GitHub\eaglep3-reporting\EC\2018-01-04-refined-times.txt</v>
      </c>
      <c r="AI170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{"issue":{"subject":"","project_id":79,"tracker_id":40,"status_id":1,"priority_id":2,"assigned_to_id":338,"start_date":"2018-01-04","description":"","custom_fields":[{"id":1,"name":"Subdivision","value":"NW"},{"id":4,"name":"Milepost","value":"0.014"},{"id":17,"name":"Train ID","value":"812-04"},{"id":16,"name":"Locomotive ID","value":"4015"},{"id":130,"name":"Impact","value":""},{"id":150,"name":"Time of Event (Mountain Time)","value":"08:54:53"},{"id":151,"name":"Denver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29"/>
        <v>start /low /b %USERPROFILE%\Documents\GitHub\eaglep3\Utilities\DownloadLogsFromS3.py --loco 4015 --day 2018-01-04</v>
      </c>
      <c r="AN170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31"/>
        <v>https://d0f6bd738d7f1b3e5a7ca70fe4ff75f0.us-east-1.aws.found.io/app/kibana#/discover/Steve-Slow-Train-Analysis-(2080s-and-2083s)?_g=(refreshInterval:(display:Off,pause:!f,section:0,value:0),time:(from:'2018-01-04T07:25:57-0700',mode:absolute,to:'2018-01-04T09:54:53-0700'))&amp;_a=(columns:!('Message%20ID',Summary),filters:!(),index:'emp_*',interval:auto,query:(query_string:(analyze_wildcard:!t,query:'%22rtdc.l.rtdc.4015%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758</v>
      </c>
      <c r="B171" s="225">
        <v>4016</v>
      </c>
      <c r="C171" s="227" t="s">
        <v>192</v>
      </c>
      <c r="D171" s="227" t="s">
        <v>651</v>
      </c>
      <c r="E171" s="226">
        <v>43104.373414351852</v>
      </c>
      <c r="F171" s="226">
        <v>43104.381388888891</v>
      </c>
      <c r="G171" s="225">
        <v>55</v>
      </c>
      <c r="H171" s="227" t="s">
        <v>1033</v>
      </c>
      <c r="I171" s="226">
        <v>43104.391840277778</v>
      </c>
      <c r="J171" s="225">
        <v>0</v>
      </c>
      <c r="K171" s="237" t="str">
        <f>IF(ISEVEN(B171),(B171-1)&amp;"/"&amp;B171,B171&amp;"/"&amp;(B171+1))</f>
        <v>4015/4016</v>
      </c>
      <c r="L171" s="245" t="str">
        <f>VLOOKUP(A171,'Trips&amp;Operators'!$C$1:$G$99911,5,FALSE)</f>
        <v>FORTUNATO FRANK</v>
      </c>
      <c r="M171" s="224">
        <f>I171-F171</f>
        <v>1.0451388887304347E-2</v>
      </c>
      <c r="N171" s="225">
        <f>24*60*SUM($M171:$M171)</f>
        <v>15.04999999771826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-04T07:57:43-0700',mode:absolute,to:'2018-01-04T10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4.48E-2</v>
      </c>
      <c r="Z171" s="247">
        <f>RIGHT(H171,LEN(H171)-4)/10000</f>
        <v>5.8987999999999996</v>
      </c>
      <c r="AA171" s="247">
        <f>ABS(Z171-Y171)</f>
        <v>5.8539999999999992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813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/stypes="app*4016*20180104*" /stext=" 16:.+((SYSTEM_STATE.+slice.+state.+changed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27"/>
        <v>"%USERPROFILE%\Documents\GitHub\eaglep3\Utilities\RefineRTDCRunTimes.py" --tripid 813-04 --locoid 4016 --swversion DE.1.0.9.0 --startMP 204:448 --initTime 2018-01-04T08:57:43 --startdatetime 2018-01-04T09:09:12 --delay 55 --endMP 300:58988 --enddatetime 2018-01-04T09:24:15 --enforcementcount 0 &gt;&gt;%USERPROFILE%\Documents\GitHub\eaglep3-reporting\EC\2018-01-04-refined-times.txt</v>
      </c>
      <c r="AI171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{"issue":{"subject":"","project_id":79,"tracker_id":40,"status_id":1,"priority_id":2,"assigned_to_id":338,"start_date":"2018-01-04","description":"","custom_fields":[{"id":1,"name":"Subdivision","value":"NW"},{"id":4,"name":"Milepost","value":"5.8988"},{"id":17,"name":"Train ID","value":"813-04"},{"id":16,"name":"Locomotive ID","value":"4016"},{"id":130,"name":"Impact","value":""},{"id":150,"name":"Time of Event (Mountain Time)","value":"09:24:15"},{"id":151,"name":"Denver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29"/>
        <v>start /low /b %USERPROFILE%\Documents\GitHub\eaglep3\Utilities\DownloadLogsFromS3.py --loco 4016 --day 2018-01-04</v>
      </c>
      <c r="AN171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31"/>
        <v>https://d0f6bd738d7f1b3e5a7ca70fe4ff75f0.us-east-1.aws.found.io/app/kibana#/discover/Steve-Slow-Train-Analysis-(2080s-and-2083s)?_g=(refreshInterval:(display:Off,pause:!f,section:0,value:0),time:(from:'2018-01-04T07:57:43-0700',mode:absolute,to:'2018-01-04T10:24:15-0700'))&amp;_a=(columns:!('Message%20ID',Summary),filters:!(),index:'emp_*',interval:auto,query:(query_string:(analyze_wildcard:!t,query:'%22rtdc.l.rtdc.4016%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29" t="s">
        <v>763</v>
      </c>
      <c r="B172" s="225">
        <v>4015</v>
      </c>
      <c r="C172" s="227" t="s">
        <v>192</v>
      </c>
      <c r="D172" s="227" t="s">
        <v>1070</v>
      </c>
      <c r="E172" s="226">
        <v>43104.392928240741</v>
      </c>
      <c r="F172" s="226">
        <v>43104.404143518521</v>
      </c>
      <c r="G172" s="225">
        <v>70</v>
      </c>
      <c r="H172" s="227" t="s">
        <v>918</v>
      </c>
      <c r="I172" s="226">
        <v>43104.413437499999</v>
      </c>
      <c r="J172" s="225">
        <v>0</v>
      </c>
      <c r="K172" s="237" t="str">
        <f>IF(ISEVEN(B172),(B172-1)&amp;"/"&amp;B172,B172&amp;"/"&amp;(B172+1))</f>
        <v>4015/4016</v>
      </c>
      <c r="L172" s="245" t="str">
        <f>VLOOKUP(A172,'Trips&amp;Operators'!$C$1:$G$99911,5,FALSE)</f>
        <v>FORTUNATO FRANK</v>
      </c>
      <c r="M172" s="224">
        <f>I172-F172</f>
        <v>9.29398147854954E-3</v>
      </c>
      <c r="N172" s="225">
        <f>24*60*SUM($M172:$M172)</f>
        <v>13.383333329111338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-04T08:25:49-0700',mode:absolute,to:'2018-01-04T10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5.8673000000000002</v>
      </c>
      <c r="Z172" s="247">
        <f>RIGHT(H172,LEN(H172)-4)/10000</f>
        <v>1.49E-2</v>
      </c>
      <c r="AA172" s="247">
        <f>ABS(Z172-Y172)</f>
        <v>5.8524000000000003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814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/stypes="app*4015*20180104*" /stext=" 16:.+((SYSTEM_STATE.+slice.+state.+changed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27"/>
        <v>"%USERPROFILE%\Documents\GitHub\eaglep3\Utilities\RefineRTDCRunTimes.py" --tripid 814-04 --locoid 4015 --swversion DE.1.0.9.0 --startMP 300:58673 --initTime 2018-01-04T09:25:49 --startdatetime 2018-01-04T09:41:58 --delay 70 --endMP 204:149 --enddatetime 2018-01-04T09:55:21 --enforcementcount 0 &gt;&gt;%USERPROFILE%\Documents\GitHub\eaglep3-reporting\EC\2018-01-04-refined-times.txt</v>
      </c>
      <c r="AI172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{"issue":{"subject":"","project_id":79,"tracker_id":40,"status_id":1,"priority_id":2,"assigned_to_id":338,"start_date":"2018-01-04","description":"","custom_fields":[{"id":1,"name":"Subdivision","value":"NW"},{"id":4,"name":"Milepost","value":"0.0149"},{"id":17,"name":"Train ID","value":"814-04"},{"id":16,"name":"Locomotive ID","value":"4015"},{"id":130,"name":"Impact","value":""},{"id":150,"name":"Time of Event (Mountain Time)","value":"09:55:21"},{"id":151,"name":"Denver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29"/>
        <v>start /low /b %USERPROFILE%\Documents\GitHub\eaglep3\Utilities\DownloadLogsFromS3.py --loco 4015 --day 2018-01-04</v>
      </c>
      <c r="AN172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31"/>
        <v>https://d0f6bd738d7f1b3e5a7ca70fe4ff75f0.us-east-1.aws.found.io/app/kibana#/discover/Steve-Slow-Train-Analysis-(2080s-and-2083s)?_g=(refreshInterval:(display:Off,pause:!f,section:0,value:0),time:(from:'2018-01-04T08:25:49-0700',mode:absolute,to:'2018-01-04T10:55:21-0700'))&amp;_a=(columns:!('Message%20ID',Summary),filters:!(),index:'emp_*',interval:auto,query:(query_string:(analyze_wildcard:!t,query:'%22rtdc.l.rtdc.4015%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29" t="s">
        <v>768</v>
      </c>
      <c r="B173" s="225">
        <v>4016</v>
      </c>
      <c r="C173" s="227" t="s">
        <v>192</v>
      </c>
      <c r="D173" s="227" t="s">
        <v>480</v>
      </c>
      <c r="E173" s="226">
        <v>43104.416284722225</v>
      </c>
      <c r="F173" s="226">
        <v>43104.423078703701</v>
      </c>
      <c r="G173" s="225">
        <v>56</v>
      </c>
      <c r="H173" s="227" t="s">
        <v>1071</v>
      </c>
      <c r="I173" s="226">
        <v>43104.433611111112</v>
      </c>
      <c r="J173" s="225">
        <v>0</v>
      </c>
      <c r="K173" s="237" t="str">
        <f>IF(ISEVEN(B173),(B173-1)&amp;"/"&amp;B173,B173&amp;"/"&amp;(B173+1))</f>
        <v>4015/4016</v>
      </c>
      <c r="L173" s="245" t="str">
        <f>VLOOKUP(A173,'Trips&amp;Operators'!$C$1:$G$99911,5,FALSE)</f>
        <v>FORTUNATO FRANK</v>
      </c>
      <c r="M173" s="224">
        <f>I173-F173</f>
        <v>1.0532407410209998E-2</v>
      </c>
      <c r="N173" s="225">
        <f>24*60*SUM($M173:$M173)</f>
        <v>15.166666670702398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-04T08:59:27-0700',mode:absolute,to:'2018-01-04T11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4.6600000000000003E-2</v>
      </c>
      <c r="Z173" s="247">
        <f>RIGHT(H173,LEN(H173)-4)/10000</f>
        <v>5.8986000000000001</v>
      </c>
      <c r="AA173" s="247">
        <f>ABS(Z173-Y173)</f>
        <v>5.8520000000000003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815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/stypes="app*4016*20180104*" /stext=" 17:.+((SYSTEM_STATE.+slice.+state.+changed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27"/>
        <v>"%USERPROFILE%\Documents\GitHub\eaglep3\Utilities\RefineRTDCRunTimes.py" --tripid 815-04 --locoid 4016 --swversion DE.1.0.9.0 --startMP 204:466 --initTime 2018-01-04T09:59:27 --startdatetime 2018-01-04T10:09:14 --delay 56 --endMP 300:58986 --enddatetime 2018-01-04T10:24:24 --enforcementcount 0 &gt;&gt;%USERPROFILE%\Documents\GitHub\eaglep3-reporting\EC\2018-01-04-refined-times.txt</v>
      </c>
      <c r="AI173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{"issue":{"subject":"","project_id":79,"tracker_id":40,"status_id":1,"priority_id":2,"assigned_to_id":338,"start_date":"2018-01-04","description":"","custom_fields":[{"id":1,"name":"Subdivision","value":"NW"},{"id":4,"name":"Milepost","value":"5.8986"},{"id":17,"name":"Train ID","value":"815-04"},{"id":16,"name":"Locomotive ID","value":"4016"},{"id":130,"name":"Impact","value":""},{"id":150,"name":"Time of Event (Mountain Time)","value":"10:24:24"},{"id":151,"name":"Denver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29"/>
        <v>start /low /b %USERPROFILE%\Documents\GitHub\eaglep3\Utilities\DownloadLogsFromS3.py --loco 4016 --day 2018-01-04</v>
      </c>
      <c r="AN173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31"/>
        <v>https://d0f6bd738d7f1b3e5a7ca70fe4ff75f0.us-east-1.aws.found.io/app/kibana#/discover/Steve-Slow-Train-Analysis-(2080s-and-2083s)?_g=(refreshInterval:(display:Off,pause:!f,section:0,value:0),time:(from:'2018-01-04T08:59:27-0700',mode:absolute,to:'2018-01-04T11:24:24-0700'))&amp;_a=(columns:!('Message%20ID',Summary),filters:!(),index:'emp_*',interval:auto,query:(query_string:(analyze_wildcard:!t,query:'%22rtdc.l.rtdc.4016%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774</v>
      </c>
      <c r="B174" s="225">
        <v>4015</v>
      </c>
      <c r="C174" s="227" t="s">
        <v>192</v>
      </c>
      <c r="D174" s="227" t="s">
        <v>1069</v>
      </c>
      <c r="E174" s="226">
        <v>43104.434965277775</v>
      </c>
      <c r="F174" s="226">
        <v>43104.44971064815</v>
      </c>
      <c r="G174" s="225">
        <v>49</v>
      </c>
      <c r="H174" s="227" t="s">
        <v>1072</v>
      </c>
      <c r="I174" s="226">
        <v>43104.45784722222</v>
      </c>
      <c r="J174" s="225">
        <v>0</v>
      </c>
      <c r="K174" s="237" t="str">
        <f>IF(ISEVEN(B174),(B174-1)&amp;"/"&amp;B174,B174&amp;"/"&amp;(B174+1))</f>
        <v>4015/4016</v>
      </c>
      <c r="L174" s="245" t="str">
        <f>VLOOKUP(A174,'Trips&amp;Operators'!$C$1:$G$99911,5,FALSE)</f>
        <v>FORTUNATO FRANK</v>
      </c>
      <c r="M174" s="224">
        <f>I174-F174</f>
        <v>8.1365740697947331E-3</v>
      </c>
      <c r="N174" s="225">
        <f>24*60*SUM($M174:$M174)</f>
        <v>11.716666660504416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-04T09:26:21-0700',mode:absolute,to:'2018-01-04T11:59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5.8677000000000001</v>
      </c>
      <c r="Z174" s="247">
        <f>RIGHT(H174,LEN(H174)-4)/10000</f>
        <v>1.66E-2</v>
      </c>
      <c r="AA174" s="247">
        <f>ABS(Z174-Y174)</f>
        <v>5.8510999999999997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816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/stypes="app*4015*20180104*" /stext=" 17:.+((SYSTEM_STATE.+slice.+state.+changed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27"/>
        <v>"%USERPROFILE%\Documents\GitHub\eaglep3\Utilities\RefineRTDCRunTimes.py" --tripid 816-04 --locoid 4015 --swversion DE.1.0.9.0 --startMP 300:58677 --initTime 2018-01-04T10:26:21 --startdatetime 2018-01-04T10:47:35 --delay 49 --endMP 204:166 --enddatetime 2018-01-04T10:59:18 --enforcementcount 0 &gt;&gt;%USERPROFILE%\Documents\GitHub\eaglep3-reporting\EC\2018-01-04-refined-times.txt</v>
      </c>
      <c r="AI174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{"issue":{"subject":"","project_id":79,"tracker_id":40,"status_id":1,"priority_id":2,"assigned_to_id":338,"start_date":"2018-01-04","description":"","custom_fields":[{"id":1,"name":"Subdivision","value":"NW"},{"id":4,"name":"Milepost","value":"0.0166"},{"id":17,"name":"Train ID","value":"816-04"},{"id":16,"name":"Locomotive ID","value":"4015"},{"id":130,"name":"Impact","value":""},{"id":150,"name":"Time of Event (Mountain Time)","value":"10:59:18"},{"id":151,"name":"Denver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29"/>
        <v>start /low /b %USERPROFILE%\Documents\GitHub\eaglep3\Utilities\DownloadLogsFromS3.py --loco 4015 --day 2018-01-04</v>
      </c>
      <c r="AN174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17:59:18"},{"id":29,"name":"Sharepoint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31"/>
        <v>https://d0f6bd738d7f1b3e5a7ca70fe4ff75f0.us-east-1.aws.found.io/app/kibana#/discover/Steve-Slow-Train-Analysis-(2080s-and-2083s)?_g=(refreshInterval:(display:Off,pause:!f,section:0,value:0),time:(from:'2018-01-04T09:26:21-0700',mode:absolute,to:'2018-01-04T11:59:18-0700'))&amp;_a=(columns:!('Message%20ID',Summary),filters:!(),index:'emp_*',interval:auto,query:(query_string:(analyze_wildcard:!t,query:'%22rtdc.l.rtdc.4015%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782</v>
      </c>
      <c r="B175" s="225">
        <v>4016</v>
      </c>
      <c r="C175" s="227" t="s">
        <v>192</v>
      </c>
      <c r="D175" s="227" t="s">
        <v>643</v>
      </c>
      <c r="E175" s="226">
        <v>43104.459768518522</v>
      </c>
      <c r="F175" s="226">
        <v>43104.464722222219</v>
      </c>
      <c r="G175" s="225">
        <v>54</v>
      </c>
      <c r="H175" s="227" t="s">
        <v>1073</v>
      </c>
      <c r="I175" s="226">
        <v>43104.474444444444</v>
      </c>
      <c r="J175" s="225">
        <v>0</v>
      </c>
      <c r="K175" s="237" t="str">
        <f>IF(ISEVEN(B175),(B175-1)&amp;"/"&amp;B175,B175&amp;"/"&amp;(B175+1))</f>
        <v>4015/4016</v>
      </c>
      <c r="L175" s="245" t="str">
        <f>VLOOKUP(A175,'Trips&amp;Operators'!$C$1:$G$99911,5,FALSE)</f>
        <v>FORTUNATO FRANK</v>
      </c>
      <c r="M175" s="224">
        <f>I175-F175</f>
        <v>9.7222222248092294E-3</v>
      </c>
      <c r="N175" s="225">
        <f>24*60*SUM($M175:$M175)</f>
        <v>14.00000000372529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-04T10:02:04-0700',mode:absolute,to:'2018-01-04T12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4.4600000000000001E-2</v>
      </c>
      <c r="Z175" s="247">
        <f>RIGHT(H175,LEN(H175)-4)/10000</f>
        <v>5.7676999999999996</v>
      </c>
      <c r="AA175" s="247">
        <f>ABS(Z175-Y175)</f>
        <v>5.7230999999999996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817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/stypes="app*4016*20180104*" /stext=" 18:.+((SYSTEM_STATE.+slice.+state.+changed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27"/>
        <v>"%USERPROFILE%\Documents\GitHub\eaglep3\Utilities\RefineRTDCRunTimes.py" --tripid 817-04 --locoid 4016 --swversion DE.1.0.9.0 --startMP 204:446 --initTime 2018-01-04T11:02:04 --startdatetime 2018-01-04T11:09:12 --delay 54 --endMP 300:57677 --enddatetime 2018-01-04T11:23:12 --enforcementcount 0 &gt;&gt;%USERPROFILE%\Documents\GitHub\eaglep3-reporting\EC\2018-01-04-refined-times.txt</v>
      </c>
      <c r="AI175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{"issue":{"subject":"","project_id":79,"tracker_id":40,"status_id":1,"priority_id":2,"assigned_to_id":338,"start_date":"2018-01-04","description":"","custom_fields":[{"id":1,"name":"Subdivision","value":"NW"},{"id":4,"name":"Milepost","value":"5.7677"},{"id":17,"name":"Train ID","value":"817-04"},{"id":16,"name":"Locomotive ID","value":"4016"},{"id":130,"name":"Impact","value":""},{"id":150,"name":"Time of Event (Mountain Time)","value":"11:23:12"},{"id":151,"name":"Denver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29"/>
        <v>start /low /b %USERPROFILE%\Documents\GitHub\eaglep3\Utilities\DownloadLogsFromS3.py --loco 4016 --day 2018-01-04</v>
      </c>
      <c r="AN175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31"/>
        <v>https://d0f6bd738d7f1b3e5a7ca70fe4ff75f0.us-east-1.aws.found.io/app/kibana#/discover/Steve-Slow-Train-Analysis-(2080s-and-2083s)?_g=(refreshInterval:(display:Off,pause:!f,section:0,value:0),time:(from:'2018-01-04T10:02:04-0700',mode:absolute,to:'2018-01-04T12:23:12-0700'))&amp;_a=(columns:!('Message%20ID',Summary),filters:!(),index:'emp_*',interval:auto,query:(query_string:(analyze_wildcard:!t,query:'%22rtdc.l.rtdc.4016%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791</v>
      </c>
      <c r="B176" s="225">
        <v>4009</v>
      </c>
      <c r="C176" s="227" t="s">
        <v>192</v>
      </c>
      <c r="D176" s="227" t="s">
        <v>1074</v>
      </c>
      <c r="E176" s="226">
        <v>43104.488518518519</v>
      </c>
      <c r="F176" s="226">
        <v>43104.490381944444</v>
      </c>
      <c r="G176" s="225">
        <v>73</v>
      </c>
      <c r="H176" s="227" t="s">
        <v>1075</v>
      </c>
      <c r="I176" s="226">
        <v>43104.500625000001</v>
      </c>
      <c r="J176" s="225">
        <v>0</v>
      </c>
      <c r="K176" s="237" t="str">
        <f>IF(ISEVEN(B176),(B176-1)&amp;"/"&amp;B176,B176&amp;"/"&amp;(B176+1))</f>
        <v>4009/4010</v>
      </c>
      <c r="L176" s="245" t="str">
        <f>VLOOKUP(A176,'Trips&amp;Operators'!$C$1:$G$99911,5,FALSE)</f>
        <v>MOSES BRADLEY</v>
      </c>
      <c r="M176" s="224">
        <f>I176-F176</f>
        <v>1.0243055556202307E-2</v>
      </c>
      <c r="N176" s="225">
        <f>24*60*SUM($M176:$M176)</f>
        <v>14.750000000931323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-04T10:43:28-0700',mode:absolute,to:'2018-01-04T13:00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5.867</v>
      </c>
      <c r="Z176" s="247">
        <f>RIGHT(H176,LEN(H176)-4)/10000</f>
        <v>9.4899999999999998E-2</v>
      </c>
      <c r="AA176" s="247">
        <f>ABS(Z176-Y176)</f>
        <v>5.7721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818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/stypes="app*4009*20180104*" /stext=" 19:.+((SYSTEM_STATE.+slice.+state.+changed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27"/>
        <v>"%USERPROFILE%\Documents\GitHub\eaglep3\Utilities\RefineRTDCRunTimes.py" --tripid 818-04 --locoid 4009 --swversion DE.1.0.9.0 --startMP 300:58670 --initTime 2018-01-04T11:43:28 --startdatetime 2018-01-04T11:46:09 --delay 73 --endMP 204:949 --enddatetime 2018-01-04T12:00:54 --enforcementcount 0 &gt;&gt;%USERPROFILE%\Documents\GitHub\eaglep3-reporting\EC\2018-01-04-refined-times.txt</v>
      </c>
      <c r="AI176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{"issue":{"subject":"","project_id":79,"tracker_id":40,"status_id":1,"priority_id":2,"assigned_to_id":338,"start_date":"2018-01-04","description":"","custom_fields":[{"id":1,"name":"Subdivision","value":"NW"},{"id":4,"name":"Milepost","value":"0.0949"},{"id":17,"name":"Train ID","value":"818-04"},{"id":16,"name":"Locomotive ID","value":"4009"},{"id":130,"name":"Impact","value":""},{"id":150,"name":"Time of Event (Mountain Time)","value":"12:00:54"},{"id":151,"name":"Denver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29"/>
        <v>start /low /b %USERPROFILE%\Documents\GitHub\eaglep3\Utilities\DownloadLogsFromS3.py --loco 4009 --day 2018-01-04</v>
      </c>
      <c r="AN176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19:00:54"},{"id":29,"name":"Sharepoint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31"/>
        <v>https://d0f6bd738d7f1b3e5a7ca70fe4ff75f0.us-east-1.aws.found.io/app/kibana#/discover/Steve-Slow-Train-Analysis-(2080s-and-2083s)?_g=(refreshInterval:(display:Off,pause:!f,section:0,value:0),time:(from:'2018-01-04T10:43:28-0700',mode:absolute,to:'2018-01-04T13:00:54-0700'))&amp;_a=(columns:!('Message%20ID',Summary),filters:!(),index:'emp_*',interval:auto,query:(query_string:(analyze_wildcard:!t,query:'%22rtdc.l.rtdc.4009%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792</v>
      </c>
      <c r="B177" s="225">
        <v>4016</v>
      </c>
      <c r="C177" s="227" t="s">
        <v>192</v>
      </c>
      <c r="D177" s="227" t="s">
        <v>649</v>
      </c>
      <c r="E177" s="226">
        <v>43104.489976851852</v>
      </c>
      <c r="F177" s="226">
        <v>43104.50640046296</v>
      </c>
      <c r="G177" s="225">
        <v>52</v>
      </c>
      <c r="H177" s="227" t="s">
        <v>1063</v>
      </c>
      <c r="I177" s="226">
        <v>43104.516793981478</v>
      </c>
      <c r="J177" s="225">
        <v>0</v>
      </c>
      <c r="K177" s="237" t="str">
        <f>IF(ISEVEN(B177),(B177-1)&amp;"/"&amp;B177,B177&amp;"/"&amp;(B177+1))</f>
        <v>4015/4016</v>
      </c>
      <c r="L177" s="245" t="str">
        <f>VLOOKUP(A177,'Trips&amp;Operators'!$C$1:$G$99911,5,FALSE)</f>
        <v>FORTUNATO FRANK</v>
      </c>
      <c r="M177" s="224">
        <f>I177-F177</f>
        <v>1.0393518517958E-2</v>
      </c>
      <c r="N177" s="225">
        <f>24*60*SUM($M177:$M177)</f>
        <v>14.96666666585952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-04T10:45:34-0700',mode:absolute,to:'2018-01-04T13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4.6800000000000001E-2</v>
      </c>
      <c r="Z177" s="247">
        <f>RIGHT(H177,LEN(H177)-4)/10000</f>
        <v>5.8978000000000002</v>
      </c>
      <c r="AA177" s="247">
        <f>ABS(Z177-Y177)</f>
        <v>5.851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819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/stypes="app*4016*20180104*" /stext=" 19:.+((SYSTEM_STATE.+slice.+state.+changed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27"/>
        <v>"%USERPROFILE%\Documents\GitHub\eaglep3\Utilities\RefineRTDCRunTimes.py" --tripid 819-04 --locoid 4016 --swversion DE.1.0.9.0 --startMP 204:468 --initTime 2018-01-04T11:45:34 --startdatetime 2018-01-04T12:09:13 --delay 52 --endMP 300:58978 --enddatetime 2018-01-04T12:24:11 --enforcementcount 0 &gt;&gt;%USERPROFILE%\Documents\GitHub\eaglep3-reporting\EC\2018-01-04-refined-times.txt</v>
      </c>
      <c r="AI177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{"issue":{"subject":"","project_id":79,"tracker_id":40,"status_id":1,"priority_id":2,"assigned_to_id":338,"start_date":"2018-01-04","description":"","custom_fields":[{"id":1,"name":"Subdivision","value":"NW"},{"id":4,"name":"Milepost","value":"5.8978"},{"id":17,"name":"Train ID","value":"819-04"},{"id":16,"name":"Locomotive ID","value":"4016"},{"id":130,"name":"Impact","value":""},{"id":150,"name":"Time of Event (Mountain Time)","value":"12:24:11"},{"id":151,"name":"Denver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29"/>
        <v>start /low /b %USERPROFILE%\Documents\GitHub\eaglep3\Utilities\DownloadLogsFromS3.py --loco 4016 --day 2018-01-04</v>
      </c>
      <c r="AN177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31"/>
        <v>https://d0f6bd738d7f1b3e5a7ca70fe4ff75f0.us-east-1.aws.found.io/app/kibana#/discover/Steve-Slow-Train-Analysis-(2080s-and-2083s)?_g=(refreshInterval:(display:Off,pause:!f,section:0,value:0),time:(from:'2018-01-04T10:45:34-0700',mode:absolute,to:'2018-01-04T13:24:11-0700'))&amp;_a=(columns:!('Message%20ID',Summary),filters:!(),index:'emp_*',interval:auto,query:(query_string:(analyze_wildcard:!t,query:'%22rtdc.l.rtdc.4016%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3">
      <c r="A178" s="229" t="s">
        <v>798</v>
      </c>
      <c r="B178" s="225">
        <v>4015</v>
      </c>
      <c r="C178" s="227" t="s">
        <v>192</v>
      </c>
      <c r="D178" s="227" t="s">
        <v>1076</v>
      </c>
      <c r="E178" s="226">
        <v>43104.518148148149</v>
      </c>
      <c r="F178" s="226">
        <v>43104.52988425926</v>
      </c>
      <c r="G178" s="225">
        <v>115</v>
      </c>
      <c r="H178" s="227" t="s">
        <v>644</v>
      </c>
      <c r="I178" s="226">
        <v>43104.538171296299</v>
      </c>
      <c r="J178" s="225">
        <v>0</v>
      </c>
      <c r="K178" s="237" t="str">
        <f>IF(ISEVEN(B178),(B178-1)&amp;"/"&amp;B178,B178&amp;"/"&amp;(B178+1))</f>
        <v>4015/4016</v>
      </c>
      <c r="L178" s="245" t="str">
        <f>VLOOKUP(A178,'Trips&amp;Operators'!$C$1:$G$99911,5,FALSE)</f>
        <v>FORTUNATO FRANK</v>
      </c>
      <c r="M178" s="224">
        <f>I178-F178</f>
        <v>8.2870370388263837E-3</v>
      </c>
      <c r="N178" s="225">
        <f>24*60*SUM($M178:$M178)</f>
        <v>11.933333335909992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-04T11:26:08-0700',mode:absolute,to:'2018-01-04T13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5.8666</v>
      </c>
      <c r="Z178" s="247">
        <f>RIGHT(H178,LEN(H178)-4)/10000</f>
        <v>1.5699999999999999E-2</v>
      </c>
      <c r="AA178" s="247">
        <f>ABS(Z178-Y178)</f>
        <v>5.8509000000000002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820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/stypes="app*4015*20180104*" /stext=" 19:.+((SYSTEM_STATE.+slice.+state.+changed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27"/>
        <v>"%USERPROFILE%\Documents\GitHub\eaglep3\Utilities\RefineRTDCRunTimes.py" --tripid 820-04 --locoid 4015 --swversion DE.1.0.9.0 --startMP 300:58666 --initTime 2018-01-04T12:26:08 --startdatetime 2018-01-04T12:43:02 --delay 115 --endMP 204:157 --enddatetime 2018-01-04T12:54:58 --enforcementcount 0 &gt;&gt;%USERPROFILE%\Documents\GitHub\eaglep3-reporting\EC\2018-01-04-refined-times.txt</v>
      </c>
      <c r="AI178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{"issue":{"subject":"","project_id":79,"tracker_id":40,"status_id":1,"priority_id":2,"assigned_to_id":338,"start_date":"2018-01-04","description":"","custom_fields":[{"id":1,"name":"Subdivision","value":"NW"},{"id":4,"name":"Milepost","value":"0.0157"},{"id":17,"name":"Train ID","value":"820-04"},{"id":16,"name":"Locomotive ID","value":"4015"},{"id":130,"name":"Impact","value":""},{"id":150,"name":"Time of Event (Mountain Time)","value":"12:54:58"},{"id":151,"name":"Denver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29"/>
        <v>start /low /b %USERPROFILE%\Documents\GitHub\eaglep3\Utilities\DownloadLogsFromS3.py --loco 4015 --day 2018-01-04</v>
      </c>
      <c r="AN178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31"/>
        <v>https://d0f6bd738d7f1b3e5a7ca70fe4ff75f0.us-east-1.aws.found.io/app/kibana#/discover/Steve-Slow-Train-Analysis-(2080s-and-2083s)?_g=(refreshInterval:(display:Off,pause:!f,section:0,value:0),time:(from:'2018-01-04T11:26:08-0700',mode:absolute,to:'2018-01-04T13:54:58-0700'))&amp;_a=(columns:!('Message%20ID',Summary),filters:!(),index:'emp_*',interval:auto,query:(query_string:(analyze_wildcard:!t,query:'%22rtdc.l.rtdc.4015%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804</v>
      </c>
      <c r="B179" s="225">
        <v>4016</v>
      </c>
      <c r="C179" s="227" t="s">
        <v>192</v>
      </c>
      <c r="D179" s="227" t="s">
        <v>504</v>
      </c>
      <c r="E179" s="226">
        <v>43104.543229166666</v>
      </c>
      <c r="F179" s="226">
        <v>43104.548391203702</v>
      </c>
      <c r="G179" s="225">
        <v>81</v>
      </c>
      <c r="H179" s="227" t="s">
        <v>1077</v>
      </c>
      <c r="I179" s="226">
        <v>43104.558148148149</v>
      </c>
      <c r="J179" s="225">
        <v>0</v>
      </c>
      <c r="K179" s="237" t="str">
        <f>IF(ISEVEN(B179),(B179-1)&amp;"/"&amp;B179,B179&amp;"/"&amp;(B179+1))</f>
        <v>4015/4016</v>
      </c>
      <c r="L179" s="245" t="str">
        <f>VLOOKUP(A179,'Trips&amp;Operators'!$C$1:$G$99911,5,FALSE)</f>
        <v>STAMBAUGH JAMES</v>
      </c>
      <c r="M179" s="224">
        <f>I179-F179</f>
        <v>9.7569444478722289E-3</v>
      </c>
      <c r="N179" s="225">
        <f>24*60*SUM($M179:$M179)</f>
        <v>14.05000000493601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-04T12:02:15-0700',mode:absolute,to:'2018-01-04T14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4.8000000000000001E-2</v>
      </c>
      <c r="Z179" s="247">
        <f>RIGHT(H179,LEN(H179)-4)/10000</f>
        <v>5.8935000000000004</v>
      </c>
      <c r="AA179" s="247">
        <f>ABS(Z179-Y179)</f>
        <v>5.8455000000000004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821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/stypes="app*4016*20180104*" /stext=" 20:.+((SYSTEM_STATE.+slice.+state.+changed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27"/>
        <v>"%USERPROFILE%\Documents\GitHub\eaglep3\Utilities\RefineRTDCRunTimes.py" --tripid 821-04 --locoid 4016 --swversion DE.1.0.9.0 --startMP 204:480 --initTime 2018-01-04T13:02:15 --startdatetime 2018-01-04T13:09:41 --delay 81 --endMP 300:58935 --enddatetime 2018-01-04T13:23:44 --enforcementcount 0 &gt;&gt;%USERPROFILE%\Documents\GitHub\eaglep3-reporting\EC\2018-01-04-refined-times.txt</v>
      </c>
      <c r="AI179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{"issue":{"subject":"","project_id":79,"tracker_id":40,"status_id":1,"priority_id":2,"assigned_to_id":338,"start_date":"2018-01-04","description":"","custom_fields":[{"id":1,"name":"Subdivision","value":"NW"},{"id":4,"name":"Milepost","value":"5.8935"},{"id":17,"name":"Train ID","value":"821-04"},{"id":16,"name":"Locomotive ID","value":"4016"},{"id":130,"name":"Impact","value":""},{"id":150,"name":"Time of Event (Mountain Time)","value":"13:23:44"},{"id":151,"name":"Denver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29"/>
        <v>start /low /b %USERPROFILE%\Documents\GitHub\eaglep3\Utilities\DownloadLogsFromS3.py --loco 4016 --day 2018-01-04</v>
      </c>
      <c r="AN179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31"/>
        <v>https://d0f6bd738d7f1b3e5a7ca70fe4ff75f0.us-east-1.aws.found.io/app/kibana#/discover/Steve-Slow-Train-Analysis-(2080s-and-2083s)?_g=(refreshInterval:(display:Off,pause:!f,section:0,value:0),time:(from:'2018-01-04T12:02:15-0700',mode:absolute,to:'2018-01-04T14:23:44-0700'))&amp;_a=(columns:!('Message%20ID',Summary),filters:!(),index:'emp_*',interval:auto,query:(query_string:(analyze_wildcard:!t,query:'%22rtdc.l.rtdc.4016%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808</v>
      </c>
      <c r="B180" s="225">
        <v>4015</v>
      </c>
      <c r="C180" s="227" t="s">
        <v>192</v>
      </c>
      <c r="D180" s="227" t="s">
        <v>1078</v>
      </c>
      <c r="E180" s="226">
        <v>43104.560196759259</v>
      </c>
      <c r="F180" s="226">
        <v>43104.571550925924</v>
      </c>
      <c r="G180" s="225">
        <v>82</v>
      </c>
      <c r="H180" s="227" t="s">
        <v>1079</v>
      </c>
      <c r="I180" s="226">
        <v>43104.580023148148</v>
      </c>
      <c r="J180" s="225">
        <v>0</v>
      </c>
      <c r="K180" s="237" t="str">
        <f>IF(ISEVEN(B180),(B180-1)&amp;"/"&amp;B180,B180&amp;"/"&amp;(B180+1))</f>
        <v>4015/4016</v>
      </c>
      <c r="L180" s="245" t="str">
        <f>VLOOKUP(A180,'Trips&amp;Operators'!$C$1:$G$99911,5,FALSE)</f>
        <v>STAMBAUGH JAMES</v>
      </c>
      <c r="M180" s="224">
        <f>I180-F180</f>
        <v>8.4722222236450762E-3</v>
      </c>
      <c r="N180" s="225">
        <f>24*60*SUM($M180:$M180)</f>
        <v>12.20000000204891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-04T12:26:41-0700',mode:absolute,to:'2018-01-04T14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5.8620999999999999</v>
      </c>
      <c r="Z180" s="247">
        <f>RIGHT(H180,LEN(H180)-4)/10000</f>
        <v>1.46E-2</v>
      </c>
      <c r="AA180" s="247">
        <f>ABS(Z180-Y180)</f>
        <v>5.8475000000000001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822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/stypes="app*4015*20180104*" /stext=" 20:.+((SYSTEM_STATE.+slice.+state.+changed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27"/>
        <v>"%USERPROFILE%\Documents\GitHub\eaglep3\Utilities\RefineRTDCRunTimes.py" --tripid 822-04 --locoid 4015 --swversion DE.1.0.9.0 --startMP 300:58621 --initTime 2018-01-04T13:26:41 --startdatetime 2018-01-04T13:43:02 --delay 82 --endMP 204:146 --enddatetime 2018-01-04T13:55:14 --enforcementcount 0 &gt;&gt;%USERPROFILE%\Documents\GitHub\eaglep3-reporting\EC\2018-01-04-refined-times.txt</v>
      </c>
      <c r="AI180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{"issue":{"subject":"","project_id":79,"tracker_id":40,"status_id":1,"priority_id":2,"assigned_to_id":338,"start_date":"2018-01-04","description":"","custom_fields":[{"id":1,"name":"Subdivision","value":"NW"},{"id":4,"name":"Milepost","value":"0.0146"},{"id":17,"name":"Train ID","value":"822-04"},{"id":16,"name":"Locomotive ID","value":"4015"},{"id":130,"name":"Impact","value":""},{"id":150,"name":"Time of Event (Mountain Time)","value":"13:55:14"},{"id":151,"name":"Denver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29"/>
        <v>start /low /b %USERPROFILE%\Documents\GitHub\eaglep3\Utilities\DownloadLogsFromS3.py --loco 4015 --day 2018-01-04</v>
      </c>
      <c r="AN180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31"/>
        <v>https://d0f6bd738d7f1b3e5a7ca70fe4ff75f0.us-east-1.aws.found.io/app/kibana#/discover/Steve-Slow-Train-Analysis-(2080s-and-2083s)?_g=(refreshInterval:(display:Off,pause:!f,section:0,value:0),time:(from:'2018-01-04T12:26:41-0700',mode:absolute,to:'2018-01-04T14:55:14-0700'))&amp;_a=(columns:!('Message%20ID',Summary),filters:!(),index:'emp_*',interval:auto,query:(query_string:(analyze_wildcard:!t,query:'%22rtdc.l.rtdc.4015%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813</v>
      </c>
      <c r="B181" s="225">
        <v>4016</v>
      </c>
      <c r="C181" s="227" t="s">
        <v>192</v>
      </c>
      <c r="D181" s="227" t="s">
        <v>921</v>
      </c>
      <c r="E181" s="226">
        <v>43104.586689814816</v>
      </c>
      <c r="F181" s="226">
        <v>43104.589895833335</v>
      </c>
      <c r="G181" s="225">
        <v>59</v>
      </c>
      <c r="H181" s="227" t="s">
        <v>648</v>
      </c>
      <c r="I181" s="226">
        <v>43104.599594907406</v>
      </c>
      <c r="J181" s="225">
        <v>0</v>
      </c>
      <c r="K181" s="237" t="str">
        <f>IF(ISEVEN(B181),(B181-1)&amp;"/"&amp;B181,B181&amp;"/"&amp;(B181+1))</f>
        <v>4015/4016</v>
      </c>
      <c r="L181" s="245" t="str">
        <f>VLOOKUP(A181,'Trips&amp;Operators'!$C$1:$G$99911,5,FALSE)</f>
        <v>STAMBAUGH JAMES</v>
      </c>
      <c r="M181" s="224">
        <f>I181-F181</f>
        <v>9.6990740712499246E-3</v>
      </c>
      <c r="N181" s="225">
        <f>24*60*SUM($M181:$M181)</f>
        <v>13.966666662599891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-04T13:04:50-0700',mode:absolute,to:'2018-01-04T15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4.4200000000000003E-2</v>
      </c>
      <c r="Z181" s="247">
        <f>RIGHT(H181,LEN(H181)-4)/10000</f>
        <v>5.8948</v>
      </c>
      <c r="AA181" s="247">
        <f>ABS(Z181-Y181)</f>
        <v>5.8506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823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/stypes="app*4016*20180104*" /stext=" 21:.+((SYSTEM_STATE.+slice.+state.+changed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27"/>
        <v>"%USERPROFILE%\Documents\GitHub\eaglep3\Utilities\RefineRTDCRunTimes.py" --tripid 823-04 --locoid 4016 --swversion DE.1.0.9.0 --startMP 204:442 --initTime 2018-01-04T14:04:50 --startdatetime 2018-01-04T14:09:27 --delay 59 --endMP 300:58948 --enddatetime 2018-01-04T14:23:25 --enforcementcount 0 &gt;&gt;%USERPROFILE%\Documents\GitHub\eaglep3-reporting\EC\2018-01-04-refined-times.txt</v>
      </c>
      <c r="AI181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{"issue":{"subject":"","project_id":79,"tracker_id":40,"status_id":1,"priority_id":2,"assigned_to_id":338,"start_date":"2018-01-04","description":"","custom_fields":[{"id":1,"name":"Subdivision","value":"NW"},{"id":4,"name":"Milepost","value":"5.8948"},{"id":17,"name":"Train ID","value":"823-04"},{"id":16,"name":"Locomotive ID","value":"4016"},{"id":130,"name":"Impact","value":""},{"id":150,"name":"Time of Event (Mountain Time)","value":"14:23:25"},{"id":151,"name":"Denver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29"/>
        <v>start /low /b %USERPROFILE%\Documents\GitHub\eaglep3\Utilities\DownloadLogsFromS3.py --loco 4016 --day 2018-01-04</v>
      </c>
      <c r="AN181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31"/>
        <v>https://d0f6bd738d7f1b3e5a7ca70fe4ff75f0.us-east-1.aws.found.io/app/kibana#/discover/Steve-Slow-Train-Analysis-(2080s-and-2083s)?_g=(refreshInterval:(display:Off,pause:!f,section:0,value:0),time:(from:'2018-01-04T13:04:50-0700',mode:absolute,to:'2018-01-04T15:23:25-0700'))&amp;_a=(columns:!('Message%20ID',Summary),filters:!(),index:'emp_*',interval:auto,query:(query_string:(analyze_wildcard:!t,query:'%22rtdc.l.rtdc.4016%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816</v>
      </c>
      <c r="B182" s="225">
        <v>4015</v>
      </c>
      <c r="C182" s="227" t="s">
        <v>192</v>
      </c>
      <c r="D182" s="227" t="s">
        <v>556</v>
      </c>
      <c r="E182" s="226">
        <v>43104.600740740738</v>
      </c>
      <c r="F182" s="226">
        <v>43104.613240740742</v>
      </c>
      <c r="G182" s="225">
        <v>59</v>
      </c>
      <c r="H182" s="227" t="s">
        <v>1080</v>
      </c>
      <c r="I182" s="226">
        <v>43104.620775462965</v>
      </c>
      <c r="J182" s="225">
        <v>0</v>
      </c>
      <c r="K182" s="237" t="str">
        <f>IF(ISEVEN(B182),(B182-1)&amp;"/"&amp;B182,B182&amp;"/"&amp;(B182+1))</f>
        <v>4015/4016</v>
      </c>
      <c r="L182" s="245" t="str">
        <f>VLOOKUP(A182,'Trips&amp;Operators'!$C$1:$G$99911,5,FALSE)</f>
        <v>STAMBAUGH JAMES</v>
      </c>
      <c r="M182" s="224">
        <f>I182-F182</f>
        <v>7.5347222227719612E-3</v>
      </c>
      <c r="N182" s="225">
        <f>24*60*SUM($M182:$M182)</f>
        <v>10.850000000791624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-04T13:25:04-0700',mode:absolute,to:'2018-01-04T15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5.8630000000000004</v>
      </c>
      <c r="Z182" s="247">
        <f>RIGHT(H182,LEN(H182)-4)/10000</f>
        <v>1.35E-2</v>
      </c>
      <c r="AA182" s="247">
        <f>ABS(Z182-Y182)</f>
        <v>5.8495000000000008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824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/stypes="app*4015*20180104*" /stext=" 21:.+((SYSTEM_STATE.+slice.+state.+changed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27"/>
        <v>"%USERPROFILE%\Documents\GitHub\eaglep3\Utilities\RefineRTDCRunTimes.py" --tripid 824-04 --locoid 4015 --swversion DE.1.0.9.0 --startMP 300:58630 --initTime 2018-01-04T14:25:04 --startdatetime 2018-01-04T14:43:04 --delay 59 --endMP 204:135 --enddatetime 2018-01-04T14:53:55 --enforcementcount 0 &gt;&gt;%USERPROFILE%\Documents\GitHub\eaglep3-reporting\EC\2018-01-04-refined-times.txt</v>
      </c>
      <c r="AI182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{"issue":{"subject":"","project_id":79,"tracker_id":40,"status_id":1,"priority_id":2,"assigned_to_id":338,"start_date":"2018-01-04","description":"","custom_fields":[{"id":1,"name":"Subdivision","value":"NW"},{"id":4,"name":"Milepost","value":"0.0135"},{"id":17,"name":"Train ID","value":"824-04"},{"id":16,"name":"Locomotive ID","value":"4015"},{"id":130,"name":"Impact","value":""},{"id":150,"name":"Time of Event (Mountain Time)","value":"14:53:55"},{"id":151,"name":"Denver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29"/>
        <v>start /low /b %USERPROFILE%\Documents\GitHub\eaglep3\Utilities\DownloadLogsFromS3.py --loco 4015 --day 2018-01-04</v>
      </c>
      <c r="AN182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31"/>
        <v>https://d0f6bd738d7f1b3e5a7ca70fe4ff75f0.us-east-1.aws.found.io/app/kibana#/discover/Steve-Slow-Train-Analysis-(2080s-and-2083s)?_g=(refreshInterval:(display:Off,pause:!f,section:0,value:0),time:(from:'2018-01-04T13:25:04-0700',mode:absolute,to:'2018-01-04T15:53:55-0700'))&amp;_a=(columns:!('Message%20ID',Summary),filters:!(),index:'emp_*',interval:auto,query:(query_string:(analyze_wildcard:!t,query:'%22rtdc.l.rtdc.4015%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822</v>
      </c>
      <c r="B183" s="225">
        <v>4016</v>
      </c>
      <c r="C183" s="227" t="s">
        <v>192</v>
      </c>
      <c r="D183" s="227" t="s">
        <v>1081</v>
      </c>
      <c r="E183" s="226">
        <v>43104.62572916667</v>
      </c>
      <c r="F183" s="226">
        <v>43104.631608796299</v>
      </c>
      <c r="G183" s="225">
        <v>99</v>
      </c>
      <c r="H183" s="227" t="s">
        <v>1082</v>
      </c>
      <c r="I183" s="226">
        <v>43104.641226851854</v>
      </c>
      <c r="J183" s="225">
        <v>0</v>
      </c>
      <c r="K183" s="237" t="str">
        <f>IF(ISEVEN(B183),(B183-1)&amp;"/"&amp;B183,B183&amp;"/"&amp;(B183+1))</f>
        <v>4015/4016</v>
      </c>
      <c r="L183" s="245" t="str">
        <f>VLOOKUP(A183,'Trips&amp;Operators'!$C$1:$G$99911,5,FALSE)</f>
        <v>STAMBAUGH JAMES</v>
      </c>
      <c r="M183" s="224">
        <f>I183-F183</f>
        <v>9.6180555556202307E-3</v>
      </c>
      <c r="N183" s="225">
        <f>24*60*SUM($M183:$M183)</f>
        <v>13.850000000093132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-04T14:01:03-0700',mode:absolute,to:'2018-01-04T16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4.3299999999999998E-2</v>
      </c>
      <c r="Z183" s="247">
        <f>RIGHT(H183,LEN(H183)-4)/10000</f>
        <v>5.8943000000000003</v>
      </c>
      <c r="AA183" s="247">
        <f>ABS(Z183-Y183)</f>
        <v>5.851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825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/stypes="app*4016*20180104*" /stext=" 22:.+((SYSTEM_STATE.+slice.+state.+changed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27"/>
        <v>"%USERPROFILE%\Documents\GitHub\eaglep3\Utilities\RefineRTDCRunTimes.py" --tripid 825-04 --locoid 4016 --swversion DE.1.0.9.0 --startMP 204:433 --initTime 2018-01-04T15:01:03 --startdatetime 2018-01-04T15:09:31 --delay 99 --endMP 300:58943 --enddatetime 2018-01-04T15:23:22 --enforcementcount 0 &gt;&gt;%USERPROFILE%\Documents\GitHub\eaglep3-reporting\EC\2018-01-04-refined-times.txt</v>
      </c>
      <c r="AI183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{"issue":{"subject":"","project_id":79,"tracker_id":40,"status_id":1,"priority_id":2,"assigned_to_id":338,"start_date":"2018-01-04","description":"","custom_fields":[{"id":1,"name":"Subdivision","value":"NW"},{"id":4,"name":"Milepost","value":"5.8943"},{"id":17,"name":"Train ID","value":"825-04"},{"id":16,"name":"Locomotive ID","value":"4016"},{"id":130,"name":"Impact","value":""},{"id":150,"name":"Time of Event (Mountain Time)","value":"15:23:22"},{"id":151,"name":"Denver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29"/>
        <v>start /low /b %USERPROFILE%\Documents\GitHub\eaglep3\Utilities\DownloadLogsFromS3.py --loco 4016 --day 2018-01-04</v>
      </c>
      <c r="AN183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31"/>
        <v>https://d0f6bd738d7f1b3e5a7ca70fe4ff75f0.us-east-1.aws.found.io/app/kibana#/discover/Steve-Slow-Train-Analysis-(2080s-and-2083s)?_g=(refreshInterval:(display:Off,pause:!f,section:0,value:0),time:(from:'2018-01-04T14:01:03-0700',mode:absolute,to:'2018-01-04T16:23:22-0700'))&amp;_a=(columns:!('Message%20ID',Summary),filters:!(),index:'emp_*',interval:auto,query:(query_string:(analyze_wildcard:!t,query:'%22rtdc.l.rtdc.4016%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29" t="s">
        <v>673</v>
      </c>
      <c r="B184" s="225">
        <v>4015</v>
      </c>
      <c r="C184" s="227" t="s">
        <v>192</v>
      </c>
      <c r="D184" s="227" t="s">
        <v>1067</v>
      </c>
      <c r="E184" s="226">
        <v>43104.642384259256</v>
      </c>
      <c r="F184" s="226">
        <v>43104.653807870367</v>
      </c>
      <c r="G184" s="225">
        <v>56</v>
      </c>
      <c r="H184" s="227" t="s">
        <v>541</v>
      </c>
      <c r="I184" s="226">
        <v>43104.662581018521</v>
      </c>
      <c r="J184" s="225">
        <v>0</v>
      </c>
      <c r="K184" s="237" t="str">
        <f>IF(ISEVEN(B184),(B184-1)&amp;"/"&amp;B184,B184&amp;"/"&amp;(B184+1))</f>
        <v>4015/4016</v>
      </c>
      <c r="L184" s="245" t="str">
        <f>VLOOKUP(A184,'Trips&amp;Operators'!$C$1:$G$99911,5,FALSE)</f>
        <v>STAMBAUGH JAMES</v>
      </c>
      <c r="M184" s="224">
        <f>I184-F184</f>
        <v>8.7731481544324197E-3</v>
      </c>
      <c r="N184" s="225">
        <f>24*60*SUM($M184:$M184)</f>
        <v>12.633333342382684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-04T14:25:02-0700',mode:absolute,to:'2018-01-04T16:54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5.8628</v>
      </c>
      <c r="Z184" s="247">
        <f>RIGHT(H184,LEN(H184)-4)/10000</f>
        <v>1.38E-2</v>
      </c>
      <c r="AA184" s="247">
        <f>ABS(Z184-Y184)</f>
        <v>5.8490000000000002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826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/stypes="app*4015*20180104*" /stext=" 22:.+((SYSTEM_STATE.+slice.+state.+changed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27"/>
        <v>"%USERPROFILE%\Documents\GitHub\eaglep3\Utilities\RefineRTDCRunTimes.py" --tripid 826-04 --locoid 4015 --swversion DE.1.0.9.0 --startMP 300:58628 --initTime 2018-01-04T15:25:02 --startdatetime 2018-01-04T15:41:29 --delay 56 --endMP 204:138 --enddatetime 2018-01-04T15:54:07 --enforcementcount 0 &gt;&gt;%USERPROFILE%\Documents\GitHub\eaglep3-reporting\EC\2018-01-04-refined-times.txt</v>
      </c>
      <c r="AI184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{"issue":{"subject":"","project_id":79,"tracker_id":40,"status_id":1,"priority_id":2,"assigned_to_id":338,"start_date":"2018-01-04","description":"","custom_fields":[{"id":1,"name":"Subdivision","value":"NW"},{"id":4,"name":"Milepost","value":"0.0138"},{"id":17,"name":"Train ID","value":"826-04"},{"id":16,"name":"Locomotive ID","value":"4015"},{"id":130,"name":"Impact","value":""},{"id":150,"name":"Time of Event (Mountain Time)","value":"15:54:07"},{"id":151,"name":"Denver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29"/>
        <v>start /low /b %USERPROFILE%\Documents\GitHub\eaglep3\Utilities\DownloadLogsFromS3.py --loco 4015 --day 2018-01-04</v>
      </c>
      <c r="AN184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31"/>
        <v>https://d0f6bd738d7f1b3e5a7ca70fe4ff75f0.us-east-1.aws.found.io/app/kibana#/discover/Steve-Slow-Train-Analysis-(2080s-and-2083s)?_g=(refreshInterval:(display:Off,pause:!f,section:0,value:0),time:(from:'2018-01-04T14:25:02-0700',mode:absolute,to:'2018-01-04T16:54:07-0700'))&amp;_a=(columns:!('Message%20ID',Summary),filters:!(),index:'emp_*',interval:auto,query:(query_string:(analyze_wildcard:!t,query:'%22rtdc.l.rtdc.4015%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671</v>
      </c>
      <c r="B185" s="225">
        <v>4010</v>
      </c>
      <c r="C185" s="227" t="s">
        <v>192</v>
      </c>
      <c r="D185" s="227" t="s">
        <v>1062</v>
      </c>
      <c r="E185" s="226">
        <v>43104.650914351849</v>
      </c>
      <c r="F185" s="226">
        <v>43104.652766203704</v>
      </c>
      <c r="G185" s="225">
        <v>63</v>
      </c>
      <c r="H185" s="227" t="s">
        <v>1083</v>
      </c>
      <c r="I185" s="226">
        <v>43104.662523148145</v>
      </c>
      <c r="J185" s="225">
        <v>0</v>
      </c>
      <c r="K185" s="237" t="str">
        <f>IF(ISEVEN(B185),(B185-1)&amp;"/"&amp;B185,B185&amp;"/"&amp;(B185+1))</f>
        <v>4009/4010</v>
      </c>
      <c r="L185" s="245" t="str">
        <f>VLOOKUP(A185,'Trips&amp;Operators'!$C$1:$G$99911,5,FALSE)</f>
        <v>WEST BRYAN</v>
      </c>
      <c r="M185" s="224">
        <f>I185-F185</f>
        <v>9.7569444405962713E-3</v>
      </c>
      <c r="N185" s="225">
        <f>24*60*SUM($M185:$M185)</f>
        <v>14.049999994458631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-04T14:37:19-0700',mode:absolute,to:'2018-01-04T16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4.4999999999999998E-2</v>
      </c>
      <c r="Z185" s="247">
        <f>RIGHT(H185,LEN(H185)-4)/10000</f>
        <v>5.8925999999999998</v>
      </c>
      <c r="AA185" s="247">
        <f>ABS(Z185-Y185)</f>
        <v>5.8475999999999999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827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/stypes="app*4010*20180104*" /stext=" 22:.+((SYSTEM_STATE.+slice.+state.+changed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27"/>
        <v>"%USERPROFILE%\Documents\GitHub\eaglep3\Utilities\RefineRTDCRunTimes.py" --tripid 827-04 --locoid 4010 --swversion DE.1.0.9.0 --startMP 204:450 --initTime 2018-01-04T15:37:19 --startdatetime 2018-01-04T15:39:59 --delay 63 --endMP 300:58926 --enddatetime 2018-01-04T15:54:02 --enforcementcount 0 &gt;&gt;%USERPROFILE%\Documents\GitHub\eaglep3-reporting\EC\2018-01-04-refined-times.txt</v>
      </c>
      <c r="AI185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{"issue":{"subject":"","project_id":79,"tracker_id":40,"status_id":1,"priority_id":2,"assigned_to_id":338,"start_date":"2018-01-04","description":"","custom_fields":[{"id":1,"name":"Subdivision","value":"NW"},{"id":4,"name":"Milepost","value":"5.8926"},{"id":17,"name":"Train ID","value":"827-04"},{"id":16,"name":"Locomotive ID","value":"4010"},{"id":130,"name":"Impact","value":""},{"id":150,"name":"Time of Event (Mountain Time)","value":"15:54:02"},{"id":151,"name":"Denver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29"/>
        <v>start /low /b %USERPROFILE%\Documents\GitHub\eaglep3\Utilities\DownloadLogsFromS3.py --loco 4010 --day 2018-01-04</v>
      </c>
      <c r="AN185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31"/>
        <v>https://d0f6bd738d7f1b3e5a7ca70fe4ff75f0.us-east-1.aws.found.io/app/kibana#/discover/Steve-Slow-Train-Analysis-(2080s-and-2083s)?_g=(refreshInterval:(display:Off,pause:!f,section:0,value:0),time:(from:'2018-01-04T14:37:19-0700',mode:absolute,to:'2018-01-04T16:54:02-0700'))&amp;_a=(columns:!('Message%20ID',Summary),filters:!(),index:'emp_*',interval:auto,query:(query_string:(analyze_wildcard:!t,query:'%22rtdc.l.rtdc.4010%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831</v>
      </c>
      <c r="B186" s="225">
        <v>4009</v>
      </c>
      <c r="C186" s="227" t="s">
        <v>192</v>
      </c>
      <c r="D186" s="227" t="s">
        <v>1084</v>
      </c>
      <c r="E186" s="226">
        <v>43104.665069444447</v>
      </c>
      <c r="F186" s="226">
        <v>43104.675416666665</v>
      </c>
      <c r="G186" s="225">
        <v>54</v>
      </c>
      <c r="H186" s="227" t="s">
        <v>646</v>
      </c>
      <c r="I186" s="226">
        <v>43104.684733796297</v>
      </c>
      <c r="J186" s="225">
        <v>0</v>
      </c>
      <c r="K186" s="237" t="str">
        <f>IF(ISEVEN(B186),(B186-1)&amp;"/"&amp;B186,B186&amp;"/"&amp;(B186+1))</f>
        <v>4009/4010</v>
      </c>
      <c r="L186" s="245" t="str">
        <f>VLOOKUP(A186,'Trips&amp;Operators'!$C$1:$G$99911,5,FALSE)</f>
        <v>WEST BRYAN</v>
      </c>
      <c r="M186" s="224">
        <f>I186-F186</f>
        <v>9.3171296321088448E-3</v>
      </c>
      <c r="N186" s="225">
        <f>24*60*SUM($M186:$M186)</f>
        <v>13.416666670236737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-04T14:57:42-0700',mode:absolute,to:'2018-01-04T17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5.8616999999999999</v>
      </c>
      <c r="Z186" s="247">
        <f>RIGHT(H186,LEN(H186)-4)/10000</f>
        <v>1.6199999999999999E-2</v>
      </c>
      <c r="AA186" s="247">
        <f>ABS(Z186-Y186)</f>
        <v>5.8454999999999995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828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/stypes="app*4009*20180104*" /stext=" 23:.+((SYSTEM_STATE.+slice.+state.+changed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27"/>
        <v>"%USERPROFILE%\Documents\GitHub\eaglep3\Utilities\RefineRTDCRunTimes.py" --tripid 828-04 --locoid 4009 --swversion DE.1.0.9.0 --startMP 300:58617 --initTime 2018-01-04T15:57:42 --startdatetime 2018-01-04T16:12:36 --delay 54 --endMP 204:162 --enddatetime 2018-01-04T16:26:01 --enforcementcount 0 &gt;&gt;%USERPROFILE%\Documents\GitHub\eaglep3-reporting\EC\2018-01-04-refined-times.txt</v>
      </c>
      <c r="AI186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{"issue":{"subject":"","project_id":79,"tracker_id":40,"status_id":1,"priority_id":2,"assigned_to_id":338,"start_date":"2018-01-04","description":"","custom_fields":[{"id":1,"name":"Subdivision","value":"NW"},{"id":4,"name":"Milepost","value":"0.0162"},{"id":17,"name":"Train ID","value":"828-04"},{"id":16,"name":"Locomotive ID","value":"4009"},{"id":130,"name":"Impact","value":""},{"id":150,"name":"Time of Event (Mountain Time)","value":"16:26:01"},{"id":151,"name":"Denver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29"/>
        <v>start /low /b %USERPROFILE%\Documents\GitHub\eaglep3\Utilities\DownloadLogsFromS3.py --loco 4009 --day 2018-01-04</v>
      </c>
      <c r="AN186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31"/>
        <v>https://d0f6bd738d7f1b3e5a7ca70fe4ff75f0.us-east-1.aws.found.io/app/kibana#/discover/Steve-Slow-Train-Analysis-(2080s-and-2083s)?_g=(refreshInterval:(display:Off,pause:!f,section:0,value:0),time:(from:'2018-01-04T14:57:42-0700',mode:absolute,to:'2018-01-04T17:26:01-0700'))&amp;_a=(columns:!('Message%20ID',Summary),filters:!(),index:'emp_*',interval:auto,query:(query_string:(analyze_wildcard:!t,query:'%22rtdc.l.rtdc.4009%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834</v>
      </c>
      <c r="B187" s="225">
        <v>4016</v>
      </c>
      <c r="C187" s="227" t="s">
        <v>192</v>
      </c>
      <c r="D187" s="227" t="s">
        <v>645</v>
      </c>
      <c r="E187" s="226">
        <v>43104.66982638889</v>
      </c>
      <c r="F187" s="226">
        <v>43104.673217592594</v>
      </c>
      <c r="G187" s="225">
        <v>79</v>
      </c>
      <c r="H187" s="227" t="s">
        <v>1066</v>
      </c>
      <c r="I187" s="226">
        <v>43104.68378472222</v>
      </c>
      <c r="J187" s="225">
        <v>0</v>
      </c>
      <c r="K187" s="237" t="str">
        <f>IF(ISEVEN(B187),(B187-1)&amp;"/"&amp;B187,B187&amp;"/"&amp;(B187+1))</f>
        <v>4015/4016</v>
      </c>
      <c r="L187" s="245" t="str">
        <f>VLOOKUP(A187,'Trips&amp;Operators'!$C$1:$G$99911,5,FALSE)</f>
        <v>STAMBAUGH JAMES</v>
      </c>
      <c r="M187" s="224">
        <f>I187-F187</f>
        <v>1.056712962599704E-2</v>
      </c>
      <c r="N187" s="225">
        <f>24*60*SUM($M187:$M187)</f>
        <v>15.216666661435738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-04T15:04:33-0700',mode:absolute,to:'2018-01-04T17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4.2599999999999999E-2</v>
      </c>
      <c r="Z187" s="247">
        <f>RIGHT(H187,LEN(H187)-4)/10000</f>
        <v>5.8936999999999999</v>
      </c>
      <c r="AA187" s="247">
        <f>ABS(Z187-Y187)</f>
        <v>5.8510999999999997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829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/stypes="app*4016*20180104*" /stext=" 23:.+((SYSTEM_STATE.+slice.+state.+changed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27"/>
        <v>"%USERPROFILE%\Documents\GitHub\eaglep3\Utilities\RefineRTDCRunTimes.py" --tripid 829-04 --locoid 4016 --swversion DE.1.0.9.0 --startMP 204:426 --initTime 2018-01-04T16:04:33 --startdatetime 2018-01-04T16:09:26 --delay 79 --endMP 300:58937 --enddatetime 2018-01-04T16:24:39 --enforcementcount 0 &gt;&gt;%USERPROFILE%\Documents\GitHub\eaglep3-reporting\EC\2018-01-04-refined-times.txt</v>
      </c>
      <c r="AI187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{"issue":{"subject":"","project_id":79,"tracker_id":40,"status_id":1,"priority_id":2,"assigned_to_id":338,"start_date":"2018-01-04","description":"","custom_fields":[{"id":1,"name":"Subdivision","value":"NW"},{"id":4,"name":"Milepost","value":"5.8937"},{"id":17,"name":"Train ID","value":"829-04"},{"id":16,"name":"Locomotive ID","value":"4016"},{"id":130,"name":"Impact","value":""},{"id":150,"name":"Time of Event (Mountain Time)","value":"16:24:39"},{"id":151,"name":"Denver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29"/>
        <v>start /low /b %USERPROFILE%\Documents\GitHub\eaglep3\Utilities\DownloadLogsFromS3.py --loco 4016 --day 2018-01-04</v>
      </c>
      <c r="AN187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31"/>
        <v>https://d0f6bd738d7f1b3e5a7ca70fe4ff75f0.us-east-1.aws.found.io/app/kibana#/discover/Steve-Slow-Train-Analysis-(2080s-and-2083s)?_g=(refreshInterval:(display:Off,pause:!f,section:0,value:0),time:(from:'2018-01-04T15:04:33-0700',mode:absolute,to:'2018-01-04T17:24:39-0700'))&amp;_a=(columns:!('Message%20ID',Summary),filters:!(),index:'emp_*',interval:auto,query:(query_string:(analyze_wildcard:!t,query:'%22rtdc.l.rtdc.4016%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838</v>
      </c>
      <c r="B188" s="225">
        <v>4015</v>
      </c>
      <c r="C188" s="227" t="s">
        <v>192</v>
      </c>
      <c r="D188" s="227" t="s">
        <v>1084</v>
      </c>
      <c r="E188" s="226">
        <v>43104.685439814813</v>
      </c>
      <c r="F188" s="226">
        <v>43104.696805555555</v>
      </c>
      <c r="G188" s="225">
        <v>83</v>
      </c>
      <c r="H188" s="227" t="s">
        <v>1085</v>
      </c>
      <c r="I188" s="226">
        <v>43104.70548611111</v>
      </c>
      <c r="J188" s="225">
        <v>0</v>
      </c>
      <c r="K188" s="237" t="str">
        <f>IF(ISEVEN(B188),(B188-1)&amp;"/"&amp;B188,B188&amp;"/"&amp;(B188+1))</f>
        <v>4015/4016</v>
      </c>
      <c r="L188" s="245" t="str">
        <f>VLOOKUP(A188,'Trips&amp;Operators'!$C$1:$G$99911,5,FALSE)</f>
        <v>STAMBAUGH JAMES</v>
      </c>
      <c r="M188" s="224">
        <f>I188-F188</f>
        <v>8.6805555547471158E-3</v>
      </c>
      <c r="N188" s="225"/>
      <c r="O188" s="225"/>
      <c r="P188" s="225"/>
      <c r="Q188" s="228"/>
      <c r="R188" s="242"/>
      <c r="S188" s="249"/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0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-04T15:27:02-0700',mode:absolute,to:'2018-01-04T17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247" t="str">
        <f>IF(AA188&lt;VLOOKUP(AG188,Variables!$AC$3:$AD$8,2,FALSE),"Y","N")</f>
        <v>Y</v>
      </c>
      <c r="X188" s="247">
        <f>VALUE(LEFT(AD188,4))-VALUE(LEFT(AD187,4))</f>
        <v>1</v>
      </c>
      <c r="Y188" s="247">
        <f>RIGHT(D188,LEN(D188)-4)/10000</f>
        <v>5.8616999999999999</v>
      </c>
      <c r="Z188" s="247">
        <f>RIGHT(H188,LEN(H188)-4)/10000</f>
        <v>5.7248000000000001</v>
      </c>
      <c r="AA188" s="247">
        <f>ABS(Z188-Y188)</f>
        <v>0.1368999999999998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830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/stypes="app*4015*20180104*" /stext=" 23:.+((SYSTEM_STATE.+slice.+state.+changed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27"/>
        <v>"%USERPROFILE%\Documents\GitHub\eaglep3\Utilities\RefineRTDCRunTimes.py" --tripid 830-04 --locoid 4015 --swversion DE.1.0.9.0 --startMP 300:58617 --initTime 2018-01-04T16:27:02 --startdatetime 2018-01-04T16:43:24 --delay 83 --endMP 300:57248 --enddatetime 2018-01-04T16:55:54 --enforcementcount 0 &gt;&gt;%USERPROFILE%\Documents\GitHub\eaglep3-reporting\EC\2018-01-04-refined-times.txt</v>
      </c>
      <c r="AI188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{"issue":{"subject":"","project_id":79,"tracker_id":40,"status_id":1,"priority_id":2,"assigned_to_id":338,"start_date":"2018-01-04","description":"","custom_fields":[{"id":1,"name":"Subdivision","value":"NW"},{"id":4,"name":"Milepost","value":"5.7248"},{"id":17,"name":"Train ID","value":"830-04"},{"id":16,"name":"Locomotive ID","value":"4015"},{"id":130,"name":"Impact","value":""},{"id":150,"name":"Time of Event (Mountain Time)","value":"16:55:54"},{"id":151,"name":"Denver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29"/>
        <v>start /low /b %USERPROFILE%\Documents\GitHub\eaglep3\Utilities\DownloadLogsFromS3.py --loco 4015 --day 2018-01-04</v>
      </c>
      <c r="AN188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31"/>
        <v>https://d0f6bd738d7f1b3e5a7ca70fe4ff75f0.us-east-1.aws.found.io/app/kibana#/discover/Steve-Slow-Train-Analysis-(2080s-and-2083s)?_g=(refreshInterval:(display:Off,pause:!f,section:0,value:0),time:(from:'2018-01-04T15:27:02-0700',mode:absolute,to:'2018-01-04T17:55:54-0700'))&amp;_a=(columns:!('Message%20ID',Summary),filters:!(),index:'emp_*',interval:auto,query:(query_string:(analyze_wildcard:!t,query:'%22rtdc.l.rtdc.4015%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838</v>
      </c>
      <c r="B189" s="225">
        <v>4015</v>
      </c>
      <c r="C189" s="227" t="s">
        <v>192</v>
      </c>
      <c r="D189" s="227" t="s">
        <v>1086</v>
      </c>
      <c r="E189" s="226">
        <v>43104.694780092592</v>
      </c>
      <c r="F189" s="226">
        <v>43104.696805555555</v>
      </c>
      <c r="G189" s="225">
        <v>67</v>
      </c>
      <c r="H189" s="227" t="s">
        <v>554</v>
      </c>
      <c r="I189" s="226">
        <v>43104.70548611111</v>
      </c>
      <c r="J189" s="225">
        <v>0</v>
      </c>
      <c r="K189" s="237" t="str">
        <f>IF(ISEVEN(B189),(B189-1)&amp;"/"&amp;B189,B189&amp;"/"&amp;(B189+1))</f>
        <v>4015/4016</v>
      </c>
      <c r="L189" s="245" t="str">
        <f>VLOOKUP(A189,'Trips&amp;Operators'!$C$1:$G$99911,5,FALSE)</f>
        <v>STAMBAUGH JAMES</v>
      </c>
      <c r="M189" s="224">
        <f>I189-F189</f>
        <v>8.6805555547471158E-3</v>
      </c>
      <c r="N189" s="225">
        <f>24*60*SUM($M189:$M189)</f>
        <v>12.499999998835847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-04T15:40:29-0700',mode:absolute,to:'2018-01-04T17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0</v>
      </c>
      <c r="Y189" s="247">
        <f>RIGHT(D189,LEN(D189)-4)/10000</f>
        <v>5.7245999999999997</v>
      </c>
      <c r="Z189" s="247">
        <f>RIGHT(H189,LEN(H189)-4)/10000</f>
        <v>1.4800000000000001E-2</v>
      </c>
      <c r="AA189" s="247">
        <f>ABS(Z189-Y189)</f>
        <v>5.7097999999999995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830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/stypes="app*4015*20180104*" /stext=" 23:.+((SYSTEM_STATE.+slice.+state.+changed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27"/>
        <v>"%USERPROFILE%\Documents\GitHub\eaglep3\Utilities\RefineRTDCRunTimes.py" --tripid 830-04 --locoid 4015 --swversion DE.1.0.9.0 --startMP 300:57246 --initTime 2018-01-04T16:40:29 --startdatetime 2018-01-04T16:43:24 --delay 67 --endMP 204:148 --enddatetime 2018-01-04T16:55:54 --enforcementcount 0 &gt;&gt;%USERPROFILE%\Documents\GitHub\eaglep3-reporting\EC\2018-01-04-refined-times.txt</v>
      </c>
      <c r="AI189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{"issue":{"subject":"","project_id":79,"tracker_id":40,"status_id":1,"priority_id":2,"assigned_to_id":338,"start_date":"2018-01-04","description":"","custom_fields":[{"id":1,"name":"Subdivision","value":"NW"},{"id":4,"name":"Milepost","value":"0.0148"},{"id":17,"name":"Train ID","value":"830-04"},{"id":16,"name":"Locomotive ID","value":"4015"},{"id":130,"name":"Impact","value":""},{"id":150,"name":"Time of Event (Mountain Time)","value":"16:55:54"},{"id":151,"name":"Denver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29"/>
        <v>start /low /b %USERPROFILE%\Documents\GitHub\eaglep3\Utilities\DownloadLogsFromS3.py --loco 4015 --day 2018-01-04</v>
      </c>
      <c r="AN189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31"/>
        <v>https://d0f6bd738d7f1b3e5a7ca70fe4ff75f0.us-east-1.aws.found.io/app/kibana#/discover/Steve-Slow-Train-Analysis-(2080s-and-2083s)?_g=(refreshInterval:(display:Off,pause:!f,section:0,value:0),time:(from:'2018-01-04T15:40:29-0700',mode:absolute,to:'2018-01-04T17:55:54-0700'))&amp;_a=(columns:!('Message%20ID',Summary),filters:!(),index:'emp_*',interval:auto,query:(query_string:(analyze_wildcard:!t,query:'%22rtdc.l.rtdc.4015%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839</v>
      </c>
      <c r="B190" s="225">
        <v>4010</v>
      </c>
      <c r="C190" s="227" t="s">
        <v>192</v>
      </c>
      <c r="D190" s="227" t="s">
        <v>1062</v>
      </c>
      <c r="E190" s="226">
        <v>43104.688726851855</v>
      </c>
      <c r="F190" s="226">
        <v>43104.694097222222</v>
      </c>
      <c r="G190" s="225">
        <v>54</v>
      </c>
      <c r="H190" s="227" t="s">
        <v>1087</v>
      </c>
      <c r="I190" s="226">
        <v>43104.70584490741</v>
      </c>
      <c r="J190" s="225">
        <v>0</v>
      </c>
      <c r="K190" s="237" t="str">
        <f>IF(ISEVEN(B190),(B190-1)&amp;"/"&amp;B190,B190&amp;"/"&amp;(B190+1))</f>
        <v>4009/4010</v>
      </c>
      <c r="L190" s="245" t="str">
        <f>VLOOKUP(A190,'Trips&amp;Operators'!$C$1:$G$99911,5,FALSE)</f>
        <v>WEST BRYAN</v>
      </c>
      <c r="M190" s="224">
        <f>I190-F190</f>
        <v>1.1747685188311152E-2</v>
      </c>
      <c r="N190" s="225">
        <f>24*60*SUM($M190:$M190)</f>
        <v>16.916666671168059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-04T15:31:46-0700',mode:absolute,to:'2018-01-04T17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4.4999999999999998E-2</v>
      </c>
      <c r="Z190" s="247">
        <f>RIGHT(H190,LEN(H190)-4)/10000</f>
        <v>5.8917999999999999</v>
      </c>
      <c r="AA190" s="247">
        <f>ABS(Z190-Y190)</f>
        <v>5.8468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831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/stypes="app*4010*20180104*" /stext=" 23:.+((SYSTEM_STATE.+slice.+state.+changed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27"/>
        <v>"%USERPROFILE%\Documents\GitHub\eaglep3\Utilities\RefineRTDCRunTimes.py" --tripid 831-04 --locoid 4010 --swversion DE.1.0.9.0 --startMP 204:450 --initTime 2018-01-04T16:31:46 --startdatetime 2018-01-04T16:39:30 --delay 54 --endMP 300:58918 --enddatetime 2018-01-04T16:56:25 --enforcementcount 0 &gt;&gt;%USERPROFILE%\Documents\GitHub\eaglep3-reporting\EC\2018-01-04-refined-times.txt</v>
      </c>
      <c r="AI190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{"issue":{"subject":"","project_id":79,"tracker_id":40,"status_id":1,"priority_id":2,"assigned_to_id":338,"start_date":"2018-01-04","description":"","custom_fields":[{"id":1,"name":"Subdivision","value":"NW"},{"id":4,"name":"Milepost","value":"5.8918"},{"id":17,"name":"Train ID","value":"831-04"},{"id":16,"name":"Locomotive ID","value":"4010"},{"id":130,"name":"Impact","value":""},{"id":150,"name":"Time of Event (Mountain Time)","value":"16:56:25"},{"id":151,"name":"Denver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29"/>
        <v>start /low /b %USERPROFILE%\Documents\GitHub\eaglep3\Utilities\DownloadLogsFromS3.py --loco 4010 --day 2018-01-04</v>
      </c>
      <c r="AN190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31"/>
        <v>https://d0f6bd738d7f1b3e5a7ca70fe4ff75f0.us-east-1.aws.found.io/app/kibana#/discover/Steve-Slow-Train-Analysis-(2080s-and-2083s)?_g=(refreshInterval:(display:Off,pause:!f,section:0,value:0),time:(from:'2018-01-04T15:31:46-0700',mode:absolute,to:'2018-01-04T17:56:25-0700'))&amp;_a=(columns:!('Message%20ID',Summary),filters:!(),index:'emp_*',interval:auto,query:(query_string:(analyze_wildcard:!t,query:'%22rtdc.l.rtdc.4010%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29" t="s">
        <v>679</v>
      </c>
      <c r="B191" s="225">
        <v>4009</v>
      </c>
      <c r="C191" s="227" t="s">
        <v>192</v>
      </c>
      <c r="D191" s="227" t="s">
        <v>1088</v>
      </c>
      <c r="E191" s="226">
        <v>43104.707974537036</v>
      </c>
      <c r="F191" s="226">
        <v>43104.717546296299</v>
      </c>
      <c r="G191" s="225">
        <v>54</v>
      </c>
      <c r="H191" s="227" t="s">
        <v>517</v>
      </c>
      <c r="I191" s="226">
        <v>43104.725775462961</v>
      </c>
      <c r="J191" s="225">
        <v>0</v>
      </c>
      <c r="K191" s="237" t="str">
        <f>IF(ISEVEN(B191),(B191-1)&amp;"/"&amp;B191,B191&amp;"/"&amp;(B191+1))</f>
        <v>4009/4010</v>
      </c>
      <c r="L191" s="245" t="str">
        <f>VLOOKUP(A191,'Trips&amp;Operators'!$C$1:$G$99911,5,FALSE)</f>
        <v>WEST BRYAN</v>
      </c>
      <c r="M191" s="224">
        <f>I191-F191</f>
        <v>8.2291666622040793E-3</v>
      </c>
      <c r="N191" s="225">
        <f>24*60*SUM($M191:$M191)</f>
        <v>11.849999993573874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-04T15:59:29-0700',mode:absolute,to:'2018-01-04T18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5.8601999999999999</v>
      </c>
      <c r="Z191" s="247">
        <f>RIGHT(H191,LEN(H191)-4)/10000</f>
        <v>1.67E-2</v>
      </c>
      <c r="AA191" s="247">
        <f>ABS(Z191-Y191)</f>
        <v>5.8434999999999997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832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/stypes="app*4009*20180105*" /stext=" 00:.+((SYSTEM_STATE.+slice.+state.+changed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27"/>
        <v>"%USERPROFILE%\Documents\GitHub\eaglep3\Utilities\RefineRTDCRunTimes.py" --tripid 832-04 --locoid 4009 --swversion DE.1.0.9.0 --startMP 300:58602 --initTime 2018-01-04T16:59:29 --startdatetime 2018-01-04T17:13:16 --delay 54 --endMP 204:167 --enddatetime 2018-01-04T17:25:07 --enforcementcount 0 &gt;&gt;%USERPROFILE%\Documents\GitHub\eaglep3-reporting\EC\2018-01-04-refined-times.txt</v>
      </c>
      <c r="AI191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{"issue":{"subject":"","project_id":79,"tracker_id":40,"status_id":1,"priority_id":2,"assigned_to_id":338,"start_date":"2018-01-04","description":"","custom_fields":[{"id":1,"name":"Subdivision","value":"NW"},{"id":4,"name":"Milepost","value":"0.0167"},{"id":17,"name":"Train ID","value":"832-04"},{"id":16,"name":"Locomotive ID","value":"4009"},{"id":130,"name":"Impact","value":""},{"id":150,"name":"Time of Event (Mountain Time)","value":"17:25:07"},{"id":151,"name":"Denver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29"/>
        <v>start /low /b %USERPROFILE%\Documents\GitHub\eaglep3\Utilities\DownloadLogsFromS3.py --loco 4009 --day 2018-01-04</v>
      </c>
      <c r="AN191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31"/>
        <v>https://d0f6bd738d7f1b3e5a7ca70fe4ff75f0.us-east-1.aws.found.io/app/kibana#/discover/Steve-Slow-Train-Analysis-(2080s-and-2083s)?_g=(refreshInterval:(display:Off,pause:!f,section:0,value:0),time:(from:'2018-01-04T15:59:29-0700',mode:absolute,to:'2018-01-04T18:25:07-0700'))&amp;_a=(columns:!('Message%20ID',Summary),filters:!(),index:'emp_*',interval:auto,query:(query_string:(analyze_wildcard:!t,query:'%22rtdc.l.rtdc.4009%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846</v>
      </c>
      <c r="B192" s="225">
        <v>4016</v>
      </c>
      <c r="C192" s="227" t="s">
        <v>192</v>
      </c>
      <c r="D192" s="227" t="s">
        <v>643</v>
      </c>
      <c r="E192" s="226">
        <v>43104.710034722222</v>
      </c>
      <c r="F192" s="226">
        <v>43104.714907407404</v>
      </c>
      <c r="G192" s="225">
        <v>92</v>
      </c>
      <c r="H192" s="227" t="s">
        <v>1089</v>
      </c>
      <c r="I192" s="226">
        <v>43104.725289351853</v>
      </c>
      <c r="J192" s="225">
        <v>0</v>
      </c>
      <c r="K192" s="237" t="str">
        <f>IF(ISEVEN(B192),(B192-1)&amp;"/"&amp;B192,B192&amp;"/"&amp;(B192+1))</f>
        <v>4015/4016</v>
      </c>
      <c r="L192" s="245" t="str">
        <f>VLOOKUP(A192,'Trips&amp;Operators'!$C$1:$G$99911,5,FALSE)</f>
        <v>STAMBAUGH JAMES</v>
      </c>
      <c r="M192" s="224">
        <f>I192-F192</f>
        <v>1.0381944448454306E-2</v>
      </c>
      <c r="N192" s="225">
        <f>24*60*SUM($M192:$M192)</f>
        <v>14.9500000057742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-04T16:02:27-0700',mode:absolute,to:'2018-01-04T18:24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4.4600000000000001E-2</v>
      </c>
      <c r="Z192" s="247">
        <f>RIGHT(H192,LEN(H192)-4)/10000</f>
        <v>5.8940999999999999</v>
      </c>
      <c r="AA192" s="247">
        <f>ABS(Z192-Y192)</f>
        <v>5.8494999999999999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833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/stypes="app*4016*20180105*" /stext=" 00:.+((SYSTEM_STATE.+slice.+state.+changed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27"/>
        <v>"%USERPROFILE%\Documents\GitHub\eaglep3\Utilities\RefineRTDCRunTimes.py" --tripid 833-04 --locoid 4016 --swversion DE.1.0.9.0 --startMP 204:446 --initTime 2018-01-04T17:02:27 --startdatetime 2018-01-04T17:09:28 --delay 92 --endMP 300:58941 --enddatetime 2018-01-04T17:24:25 --enforcementcount 0 &gt;&gt;%USERPROFILE%\Documents\GitHub\eaglep3-reporting\EC\2018-01-04-refined-times.txt</v>
      </c>
      <c r="AI192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{"issue":{"subject":"","project_id":79,"tracker_id":40,"status_id":1,"priority_id":2,"assigned_to_id":338,"start_date":"2018-01-04","description":"","custom_fields":[{"id":1,"name":"Subdivision","value":"NW"},{"id":4,"name":"Milepost","value":"5.8941"},{"id":17,"name":"Train ID","value":"833-04"},{"id":16,"name":"Locomotive ID","value":"4016"},{"id":130,"name":"Impact","value":""},{"id":150,"name":"Time of Event (Mountain Time)","value":"17:24:25"},{"id":151,"name":"Denver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29"/>
        <v>start /low /b %USERPROFILE%\Documents\GitHub\eaglep3\Utilities\DownloadLogsFromS3.py --loco 4016 --day 2018-01-04</v>
      </c>
      <c r="AN192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31"/>
        <v>https://d0f6bd738d7f1b3e5a7ca70fe4ff75f0.us-east-1.aws.found.io/app/kibana#/discover/Steve-Slow-Train-Analysis-(2080s-and-2083s)?_g=(refreshInterval:(display:Off,pause:!f,section:0,value:0),time:(from:'2018-01-04T16:02:27-0700',mode:absolute,to:'2018-01-04T18:24:25-0700'))&amp;_a=(columns:!('Message%20ID',Summary),filters:!(),index:'emp_*',interval:auto,query:(query_string:(analyze_wildcard:!t,query:'%22rtdc.l.rtdc.4016%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680</v>
      </c>
      <c r="B193" s="225">
        <v>4015</v>
      </c>
      <c r="C193" s="227" t="s">
        <v>192</v>
      </c>
      <c r="D193" s="227" t="s">
        <v>1084</v>
      </c>
      <c r="E193" s="226">
        <v>43104.726168981484</v>
      </c>
      <c r="F193" s="226">
        <v>43104.737534722219</v>
      </c>
      <c r="G193" s="225">
        <v>52</v>
      </c>
      <c r="H193" s="227" t="s">
        <v>1090</v>
      </c>
      <c r="I193" s="226">
        <v>43104.746921296297</v>
      </c>
      <c r="J193" s="225">
        <v>0</v>
      </c>
      <c r="K193" s="237" t="str">
        <f>IF(ISEVEN(B193),(B193-1)&amp;"/"&amp;B193,B193&amp;"/"&amp;(B193+1))</f>
        <v>4015/4016</v>
      </c>
      <c r="L193" s="245" t="str">
        <f>VLOOKUP(A193,'Trips&amp;Operators'!$C$1:$G$99911,5,FALSE)</f>
        <v>STAMBAUGH JAMES</v>
      </c>
      <c r="M193" s="224">
        <f>I193-F193</f>
        <v>9.3865740782348439E-3</v>
      </c>
      <c r="N193" s="225">
        <f>24*60*SUM($M193:$M193)</f>
        <v>13.516666672658175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-04T16:25:41-0700',mode:absolute,to:'2018-01-04T18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5.8616999999999999</v>
      </c>
      <c r="Z193" s="247">
        <f>RIGHT(H193,LEN(H193)-4)/10000</f>
        <v>1.0800000000000001E-2</v>
      </c>
      <c r="AA193" s="247">
        <f>ABS(Z193-Y193)</f>
        <v>5.8509000000000002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834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/stypes="app*4015*20180105*" /stext=" 00:.+((SYSTEM_STATE.+slice.+state.+changed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27"/>
        <v>"%USERPROFILE%\Documents\GitHub\eaglep3\Utilities\RefineRTDCRunTimes.py" --tripid 834-04 --locoid 4015 --swversion DE.1.0.9.0 --startMP 300:58617 --initTime 2018-01-04T17:25:41 --startdatetime 2018-01-04T17:42:03 --delay 52 --endMP 204:108 --enddatetime 2018-01-04T17:55:34 --enforcementcount 0 &gt;&gt;%USERPROFILE%\Documents\GitHub\eaglep3-reporting\EC\2018-01-04-refined-times.txt</v>
      </c>
      <c r="AI193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{"issue":{"subject":"","project_id":79,"tracker_id":40,"status_id":1,"priority_id":2,"assigned_to_id":338,"start_date":"2018-01-04","description":"","custom_fields":[{"id":1,"name":"Subdivision","value":"NW"},{"id":4,"name":"Milepost","value":"0.0108"},{"id":17,"name":"Train ID","value":"834-04"},{"id":16,"name":"Locomotive ID","value":"4015"},{"id":130,"name":"Impact","value":""},{"id":150,"name":"Time of Event (Mountain Time)","value":"17:55:34"},{"id":151,"name":"Denver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29"/>
        <v>start /low /b %USERPROFILE%\Documents\GitHub\eaglep3\Utilities\DownloadLogsFromS3.py --loco 4015 --day 2018-01-04</v>
      </c>
      <c r="AN193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31"/>
        <v>https://d0f6bd738d7f1b3e5a7ca70fe4ff75f0.us-east-1.aws.found.io/app/kibana#/discover/Steve-Slow-Train-Analysis-(2080s-and-2083s)?_g=(refreshInterval:(display:Off,pause:!f,section:0,value:0),time:(from:'2018-01-04T16:25:41-0700',mode:absolute,to:'2018-01-04T18:55:34-0700'))&amp;_a=(columns:!('Message%20ID',Summary),filters:!(),index:'emp_*',interval:auto,query:(query_string:(analyze_wildcard:!t,query:'%22rtdc.l.rtdc.4015%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9" t="s">
        <v>850</v>
      </c>
      <c r="B194" s="225">
        <v>4010</v>
      </c>
      <c r="C194" s="227" t="s">
        <v>192</v>
      </c>
      <c r="D194" s="227" t="s">
        <v>480</v>
      </c>
      <c r="E194" s="226">
        <v>43104.731562499997</v>
      </c>
      <c r="F194" s="226">
        <v>43104.735706018517</v>
      </c>
      <c r="G194" s="225">
        <v>64</v>
      </c>
      <c r="H194" s="227" t="s">
        <v>1082</v>
      </c>
      <c r="I194" s="226">
        <v>43104.746307870373</v>
      </c>
      <c r="J194" s="225">
        <v>0</v>
      </c>
      <c r="K194" s="237" t="str">
        <f>IF(ISEVEN(B194),(B194-1)&amp;"/"&amp;B194,B194&amp;"/"&amp;(B194+1))</f>
        <v>4009/4010</v>
      </c>
      <c r="L194" s="245" t="str">
        <f>VLOOKUP(A194,'Trips&amp;Operators'!$C$1:$G$99911,5,FALSE)</f>
        <v>WEST BRYAN</v>
      </c>
      <c r="M194" s="224">
        <f>I194-F194</f>
        <v>1.0601851856335998E-2</v>
      </c>
      <c r="N194" s="225">
        <f>24*60*SUM($M194:$M194)</f>
        <v>15.266666673123837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-04T16:33:27-0700',mode:absolute,to:'2018-01-04T18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4.6600000000000003E-2</v>
      </c>
      <c r="Z194" s="247">
        <f>RIGHT(H194,LEN(H194)-4)/10000</f>
        <v>5.8943000000000003</v>
      </c>
      <c r="AA194" s="247">
        <f>ABS(Z194-Y194)</f>
        <v>5.8477000000000006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835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/stypes="app*4010*20180105*" /stext=" 00:.+((SYSTEM_STATE.+slice.+state.+changed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27"/>
        <v>"%USERPROFILE%\Documents\GitHub\eaglep3\Utilities\RefineRTDCRunTimes.py" --tripid 835-04 --locoid 4010 --swversion DE.1.0.9.0 --startMP 204:466 --initTime 2018-01-04T17:33:27 --startdatetime 2018-01-04T17:39:25 --delay 64 --endMP 300:58943 --enddatetime 2018-01-04T17:54:41 --enforcementcount 0 &gt;&gt;%USERPROFILE%\Documents\GitHub\eaglep3-reporting\EC\2018-01-04-refined-times.txt</v>
      </c>
      <c r="AI194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{"issue":{"subject":"","project_id":79,"tracker_id":40,"status_id":1,"priority_id":2,"assigned_to_id":338,"start_date":"2018-01-04","description":"","custom_fields":[{"id":1,"name":"Subdivision","value":"NW"},{"id":4,"name":"Milepost","value":"5.8943"},{"id":17,"name":"Train ID","value":"835-04"},{"id":16,"name":"Locomotive ID","value":"4010"},{"id":130,"name":"Impact","value":""},{"id":150,"name":"Time of Event (Mountain Time)","value":"17:54:41"},{"id":151,"name":"Denver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29"/>
        <v>start /low /b %USERPROFILE%\Documents\GitHub\eaglep3\Utilities\DownloadLogsFromS3.py --loco 4010 --day 2018-01-04</v>
      </c>
      <c r="AN194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31"/>
        <v>https://d0f6bd738d7f1b3e5a7ca70fe4ff75f0.us-east-1.aws.found.io/app/kibana#/discover/Steve-Slow-Train-Analysis-(2080s-and-2083s)?_g=(refreshInterval:(display:Off,pause:!f,section:0,value:0),time:(from:'2018-01-04T16:33:27-0700',mode:absolute,to:'2018-01-04T18:54:41-0700'))&amp;_a=(columns:!('Message%20ID',Summary),filters:!(),index:'emp_*',interval:auto,query:(query_string:(analyze_wildcard:!t,query:'%22rtdc.l.rtdc.4010%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856</v>
      </c>
      <c r="B195" s="225">
        <v>4009</v>
      </c>
      <c r="C195" s="227" t="s">
        <v>192</v>
      </c>
      <c r="D195" s="227" t="s">
        <v>1091</v>
      </c>
      <c r="E195" s="226">
        <v>43104.748344907406</v>
      </c>
      <c r="F195" s="226">
        <v>43104.759120370371</v>
      </c>
      <c r="G195" s="225">
        <v>61</v>
      </c>
      <c r="H195" s="227" t="s">
        <v>650</v>
      </c>
      <c r="I195" s="226">
        <v>43104.767511574071</v>
      </c>
      <c r="J195" s="225">
        <v>0</v>
      </c>
      <c r="K195" s="237" t="str">
        <f>IF(ISEVEN(B195),(B195-1)&amp;"/"&amp;B195,B195&amp;"/"&amp;(B195+1))</f>
        <v>4009/4010</v>
      </c>
      <c r="L195" s="245" t="str">
        <f>VLOOKUP(A195,'Trips&amp;Operators'!$C$1:$G$99911,5,FALSE)</f>
        <v>WEST BRYAN</v>
      </c>
      <c r="M195" s="224">
        <f>I195-F195</f>
        <v>8.3912037007394247E-3</v>
      </c>
      <c r="N195" s="225">
        <f>24*60*SUM($M195:$M195)</f>
        <v>12.083333329064772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-04T16:57:37-0700',mode:absolute,to:'2018-01-04T19:25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5.8624000000000001</v>
      </c>
      <c r="Z195" s="247">
        <f>RIGHT(H195,LEN(H195)-4)/10000</f>
        <v>1.5299999999999999E-2</v>
      </c>
      <c r="AA195" s="247">
        <f>ABS(Z195-Y195)</f>
        <v>5.8471000000000002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836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/stypes="app*4009*20180105*" /stext=" 01:.+((SYSTEM_STATE.+slice.+state.+changed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27"/>
        <v>"%USERPROFILE%\Documents\GitHub\eaglep3\Utilities\RefineRTDCRunTimes.py" --tripid 836-04 --locoid 4009 --swversion DE.1.0.9.0 --startMP 300:58624 --initTime 2018-01-04T17:57:37 --startdatetime 2018-01-04T18:13:08 --delay 61 --endMP 204:153 --enddatetime 2018-01-04T18:25:13 --enforcementcount 0 &gt;&gt;%USERPROFILE%\Documents\GitHub\eaglep3-reporting\EC\2018-01-04-refined-times.txt</v>
      </c>
      <c r="AI195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{"issue":{"subject":"","project_id":79,"tracker_id":40,"status_id":1,"priority_id":2,"assigned_to_id":338,"start_date":"2018-01-04","description":"","custom_fields":[{"id":1,"name":"Subdivision","value":"NW"},{"id":4,"name":"Milepost","value":"0.0153"},{"id":17,"name":"Train ID","value":"836-04"},{"id":16,"name":"Locomotive ID","value":"4009"},{"id":130,"name":"Impact","value":""},{"id":150,"name":"Time of Event (Mountain Time)","value":"18:25:13"},{"id":151,"name":"Denver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29"/>
        <v>start /low /b %USERPROFILE%\Documents\GitHub\eaglep3\Utilities\DownloadLogsFromS3.py --loco 4009 --day 2018-01-04</v>
      </c>
      <c r="AN195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31"/>
        <v>https://d0f6bd738d7f1b3e5a7ca70fe4ff75f0.us-east-1.aws.found.io/app/kibana#/discover/Steve-Slow-Train-Analysis-(2080s-and-2083s)?_g=(refreshInterval:(display:Off,pause:!f,section:0,value:0),time:(from:'2018-01-04T16:57:37-0700',mode:absolute,to:'2018-01-04T19:25:13-0700'))&amp;_a=(columns:!('Message%20ID',Summary),filters:!(),index:'emp_*',interval:auto,query:(query_string:(analyze_wildcard:!t,query:'%22rtdc.l.rtdc.4009%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857</v>
      </c>
      <c r="B196" s="225">
        <v>4016</v>
      </c>
      <c r="C196" s="227" t="s">
        <v>192</v>
      </c>
      <c r="D196" s="227" t="s">
        <v>1092</v>
      </c>
      <c r="E196" s="226">
        <v>43104.748460648145</v>
      </c>
      <c r="F196" s="226">
        <v>43104.75677083333</v>
      </c>
      <c r="G196" s="225">
        <v>54</v>
      </c>
      <c r="H196" s="227" t="s">
        <v>555</v>
      </c>
      <c r="I196" s="226">
        <v>43104.766631944447</v>
      </c>
      <c r="J196" s="225">
        <v>0</v>
      </c>
      <c r="K196" s="237" t="str">
        <f>IF(ISEVEN(B196),(B196-1)&amp;"/"&amp;B196,B196&amp;"/"&amp;(B196+1))</f>
        <v>4015/4016</v>
      </c>
      <c r="L196" s="245" t="str">
        <f>VLOOKUP(A196,'Trips&amp;Operators'!$C$1:$G$99911,5,FALSE)</f>
        <v>STAMBAUGH JAMES</v>
      </c>
      <c r="M196" s="224">
        <f>I196-F196</f>
        <v>9.8611111170612276E-3</v>
      </c>
      <c r="N196" s="225">
        <f>24*60*SUM($M196:$M196)</f>
        <v>14.200000008568168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-04T16:57:47-0700',mode:absolute,to:'2018-01-04T19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4.2299999999999997E-2</v>
      </c>
      <c r="Z196" s="247">
        <f>RIGHT(H196,LEN(H196)-4)/10000</f>
        <v>5.8939000000000004</v>
      </c>
      <c r="AA196" s="247">
        <f>ABS(Z196-Y196)</f>
        <v>5.8516000000000004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837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/stypes="app*4016*20180105*" /stext=" 01:.+((SYSTEM_STATE.+slice.+state.+changed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27"/>
        <v>"%USERPROFILE%\Documents\GitHub\eaglep3\Utilities\RefineRTDCRunTimes.py" --tripid 837-04 --locoid 4016 --swversion DE.1.0.9.0 --startMP 204:423 --initTime 2018-01-04T17:57:47 --startdatetime 2018-01-04T18:09:45 --delay 54 --endMP 300:58939 --enddatetime 2018-01-04T18:23:57 --enforcementcount 0 &gt;&gt;%USERPROFILE%\Documents\GitHub\eaglep3-reporting\EC\2018-01-04-refined-times.txt</v>
      </c>
      <c r="AI196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{"issue":{"subject":"","project_id":79,"tracker_id":40,"status_id":1,"priority_id":2,"assigned_to_id":338,"start_date":"2018-01-04","description":"","custom_fields":[{"id":1,"name":"Subdivision","value":"NW"},{"id":4,"name":"Milepost","value":"5.8939"},{"id":17,"name":"Train ID","value":"837-04"},{"id":16,"name":"Locomotive ID","value":"4016"},{"id":130,"name":"Impact","value":""},{"id":150,"name":"Time of Event (Mountain Time)","value":"18:23:57"},{"id":151,"name":"Denver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29"/>
        <v>start /low /b %USERPROFILE%\Documents\GitHub\eaglep3\Utilities\DownloadLogsFromS3.py --loco 4016 --day 2018-01-04</v>
      </c>
      <c r="AN196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31"/>
        <v>https://d0f6bd738d7f1b3e5a7ca70fe4ff75f0.us-east-1.aws.found.io/app/kibana#/discover/Steve-Slow-Train-Analysis-(2080s-and-2083s)?_g=(refreshInterval:(display:Off,pause:!f,section:0,value:0),time:(from:'2018-01-04T16:57:47-0700',mode:absolute,to:'2018-01-04T19:23:57-0700'))&amp;_a=(columns:!('Message%20ID',Summary),filters:!(),index:'emp_*',interval:auto,query:(query_string:(analyze_wildcard:!t,query:'%22rtdc.l.rtdc.4016%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862</v>
      </c>
      <c r="B197" s="225">
        <v>4015</v>
      </c>
      <c r="C197" s="227" t="s">
        <v>192</v>
      </c>
      <c r="D197" s="227" t="s">
        <v>1093</v>
      </c>
      <c r="E197" s="226">
        <v>43104.768576388888</v>
      </c>
      <c r="F197" s="226">
        <v>43104.779050925928</v>
      </c>
      <c r="G197" s="225">
        <v>86</v>
      </c>
      <c r="H197" s="227" t="s">
        <v>541</v>
      </c>
      <c r="I197" s="226">
        <v>43104.788090277776</v>
      </c>
      <c r="J197" s="225">
        <v>0</v>
      </c>
      <c r="K197" s="237" t="str">
        <f>IF(ISEVEN(B197),(B197-1)&amp;"/"&amp;B197,B197&amp;"/"&amp;(B197+1))</f>
        <v>4015/4016</v>
      </c>
      <c r="L197" s="245" t="str">
        <f>VLOOKUP(A197,'Trips&amp;Operators'!$C$1:$G$99911,5,FALSE)</f>
        <v>STAMBAUGH JAMES</v>
      </c>
      <c r="M197" s="224">
        <f>I197-F197</f>
        <v>9.0393518476048484E-3</v>
      </c>
      <c r="N197" s="225">
        <f>24*60*SUM($M197:$M197)</f>
        <v>13.016666660550982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-04T17:26:45-0700',mode:absolute,to:'2018-01-04T19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5.86</v>
      </c>
      <c r="Z197" s="247">
        <f>RIGHT(H197,LEN(H197)-4)/10000</f>
        <v>1.38E-2</v>
      </c>
      <c r="AA197" s="247">
        <f>ABS(Z197-Y197)</f>
        <v>5.8462000000000005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838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/stypes="app*4015*20180105*" /stext=" 01:.+((SYSTEM_STATE.+slice.+state.+changed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27"/>
        <v>"%USERPROFILE%\Documents\GitHub\eaglep3\Utilities\RefineRTDCRunTimes.py" --tripid 838-04 --locoid 4015 --swversion DE.1.0.9.0 --startMP 300:58600 --initTime 2018-01-04T18:26:45 --startdatetime 2018-01-04T18:41:50 --delay 86 --endMP 204:138 --enddatetime 2018-01-04T18:54:51 --enforcementcount 0 &gt;&gt;%USERPROFILE%\Documents\GitHub\eaglep3-reporting\EC\2018-01-04-refined-times.txt</v>
      </c>
      <c r="AI197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{"issue":{"subject":"","project_id":79,"tracker_id":40,"status_id":1,"priority_id":2,"assigned_to_id":338,"start_date":"2018-01-04","description":"","custom_fields":[{"id":1,"name":"Subdivision","value":"NW"},{"id":4,"name":"Milepost","value":"0.0138"},{"id":17,"name":"Train ID","value":"838-04"},{"id":16,"name":"Locomotive ID","value":"4015"},{"id":130,"name":"Impact","value":""},{"id":150,"name":"Time of Event (Mountain Time)","value":"18:54:51"},{"id":151,"name":"Denver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29"/>
        <v>start /low /b %USERPROFILE%\Documents\GitHub\eaglep3\Utilities\DownloadLogsFromS3.py --loco 4015 --day 2018-01-04</v>
      </c>
      <c r="AN197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31"/>
        <v>https://d0f6bd738d7f1b3e5a7ca70fe4ff75f0.us-east-1.aws.found.io/app/kibana#/discover/Steve-Slow-Train-Analysis-(2080s-and-2083s)?_g=(refreshInterval:(display:Off,pause:!f,section:0,value:0),time:(from:'2018-01-04T17:26:45-0700',mode:absolute,to:'2018-01-04T19:54:51-0700'))&amp;_a=(columns:!('Message%20ID',Summary),filters:!(),index:'emp_*',interval:auto,query:(query_string:(analyze_wildcard:!t,query:'%22rtdc.l.rtdc.4015%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863</v>
      </c>
      <c r="B198" s="225">
        <v>4010</v>
      </c>
      <c r="C198" s="227" t="s">
        <v>192</v>
      </c>
      <c r="D198" s="227" t="s">
        <v>553</v>
      </c>
      <c r="E198" s="226">
        <v>43104.769699074073</v>
      </c>
      <c r="F198" s="226">
        <v>43104.777372685188</v>
      </c>
      <c r="G198" s="225">
        <v>57</v>
      </c>
      <c r="H198" s="227" t="s">
        <v>1087</v>
      </c>
      <c r="I198" s="226">
        <v>43104.788831018515</v>
      </c>
      <c r="J198" s="225">
        <v>0</v>
      </c>
      <c r="K198" s="237" t="str">
        <f>IF(ISEVEN(B198),(B198-1)&amp;"/"&amp;B198,B198&amp;"/"&amp;(B198+1))</f>
        <v>4009/4010</v>
      </c>
      <c r="L198" s="245" t="str">
        <f>VLOOKUP(A198,'Trips&amp;Operators'!$C$1:$G$99911,5,FALSE)</f>
        <v>WEST BRYAN</v>
      </c>
      <c r="M198" s="224">
        <f>I198-F198</f>
        <v>1.1458333327027503E-2</v>
      </c>
      <c r="N198" s="225">
        <f>24*60*SUM($M198:$M198)</f>
        <v>16.499999990919605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-04T17:28:22-0700',mode:absolute,to:'2018-01-04T19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247" t="str">
        <f>IF(AA198&lt;VLOOKUP(AG198,Variables!$AC$3:$AD$8,2,FALSE),"Y","N")</f>
        <v>N</v>
      </c>
      <c r="X198" s="247">
        <f>VALUE(LEFT(AD198,4))-VALUE(LEFT(AD197,4))</f>
        <v>1</v>
      </c>
      <c r="Y198" s="247">
        <f>RIGHT(D198,LEN(D198)-4)/10000</f>
        <v>4.3900000000000002E-2</v>
      </c>
      <c r="Z198" s="247">
        <f>RIGHT(H198,LEN(H198)-4)/10000</f>
        <v>5.8917999999999999</v>
      </c>
      <c r="AA198" s="247">
        <f>ABS(Z198-Y198)</f>
        <v>5.8479000000000001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839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/stypes="app*4010*20180105*" /stext=" 01:.+((SYSTEM_STATE.+slice.+state.+changed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27"/>
        <v>"%USERPROFILE%\Documents\GitHub\eaglep3\Utilities\RefineRTDCRunTimes.py" --tripid 839-04 --locoid 4010 --swversion DE.1.0.9.0 --startMP 204:439 --initTime 2018-01-04T18:28:22 --startdatetime 2018-01-04T18:39:25 --delay 57 --endMP 300:58918 --enddatetime 2018-01-04T18:55:55 --enforcementcount 0 &gt;&gt;%USERPROFILE%\Documents\GitHub\eaglep3-reporting\EC\2018-01-04-refined-times.txt</v>
      </c>
      <c r="AI198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{"issue":{"subject":"","project_id":79,"tracker_id":40,"status_id":1,"priority_id":2,"assigned_to_id":338,"start_date":"2018-01-04","description":"","custom_fields":[{"id":1,"name":"Subdivision","value":"NW"},{"id":4,"name":"Milepost","value":"5.8918"},{"id":17,"name":"Train ID","value":"839-04"},{"id":16,"name":"Locomotive ID","value":"4010"},{"id":130,"name":"Impact","value":""},{"id":150,"name":"Time of Event (Mountain Time)","value":"18:55:55"},{"id":151,"name":"Denver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29"/>
        <v>start /low /b %USERPROFILE%\Documents\GitHub\eaglep3\Utilities\DownloadLogsFromS3.py --loco 4010 --day 2018-01-04</v>
      </c>
      <c r="AN198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31"/>
        <v>https://d0f6bd738d7f1b3e5a7ca70fe4ff75f0.us-east-1.aws.found.io/app/kibana#/discover/Steve-Slow-Train-Analysis-(2080s-and-2083s)?_g=(refreshInterval:(display:Off,pause:!f,section:0,value:0),time:(from:'2018-01-04T17:28:22-0700',mode:absolute,to:'2018-01-04T19:55:55-0700'))&amp;_a=(columns:!('Message%20ID',Summary),filters:!(),index:'emp_*',interval:auto,query:(query_string:(analyze_wildcard:!t,query:'%22rtdc.l.rtdc.4010%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872</v>
      </c>
      <c r="B199" s="225">
        <v>4015</v>
      </c>
      <c r="C199" s="227" t="s">
        <v>192</v>
      </c>
      <c r="D199" s="227" t="s">
        <v>654</v>
      </c>
      <c r="E199" s="226">
        <v>43104.808657407404</v>
      </c>
      <c r="F199" s="226">
        <v>43104.821574074071</v>
      </c>
      <c r="G199" s="225">
        <v>48</v>
      </c>
      <c r="H199" s="227" t="s">
        <v>646</v>
      </c>
      <c r="I199" s="226">
        <v>43104.829525462963</v>
      </c>
      <c r="J199" s="225">
        <v>0</v>
      </c>
      <c r="K199" s="237" t="str">
        <f>IF(ISEVEN(B199),(B199-1)&amp;"/"&amp;B199,B199&amp;"/"&amp;(B199+1))</f>
        <v>4015/4016</v>
      </c>
      <c r="L199" s="245" t="str">
        <f>VLOOKUP(A199,'Trips&amp;Operators'!$C$1:$G$99911,5,FALSE)</f>
        <v>STAMBAUGH JAMES</v>
      </c>
      <c r="M199" s="224">
        <f>I199-F199</f>
        <v>7.9513888922519982E-3</v>
      </c>
      <c r="N199" s="225">
        <f>24*60*SUM($M199:$M199)</f>
        <v>11.450000004842877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-04T18:24:28-0700',mode:absolute,to:'2018-01-04T20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247" t="str">
        <f>IF(AA199&lt;VLOOKUP(AG199,Variables!$AC$3:$AD$8,2,FALSE),"Y","N")</f>
        <v>N</v>
      </c>
      <c r="X199" s="247">
        <f>VALUE(LEFT(AD199,4))-VALUE(LEFT(AD198,4))</f>
        <v>1</v>
      </c>
      <c r="Y199" s="247">
        <f>RIGHT(D199,LEN(D199)-4)/10000</f>
        <v>5.8623000000000003</v>
      </c>
      <c r="Z199" s="247">
        <f>RIGHT(H199,LEN(H199)-4)/10000</f>
        <v>1.6199999999999999E-2</v>
      </c>
      <c r="AA199" s="247">
        <f>ABS(Z199-Y199)</f>
        <v>5.8460999999999999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840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/stypes="app*4015*20180105*" /stext=" 02:.+((SYSTEM_STATE.+slice.+state.+changed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27"/>
        <v>"%USERPROFILE%\Documents\GitHub\eaglep3\Utilities\RefineRTDCRunTimes.py" --tripid 840-04 --locoid 4015 --swversion DE.1.0.9.0 --startMP 300:58623 --initTime 2018-01-04T19:24:28 --startdatetime 2018-01-04T19:43:04 --delay 48 --endMP 204:162 --enddatetime 2018-01-04T19:54:31 --enforcementcount 0 &gt;&gt;%USERPROFILE%\Documents\GitHub\eaglep3-reporting\EC\2018-01-04-refined-times.txt</v>
      </c>
      <c r="AI199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{"issue":{"subject":"","project_id":79,"tracker_id":40,"status_id":1,"priority_id":2,"assigned_to_id":338,"start_date":"2018-01-04","description":"","custom_fields":[{"id":1,"name":"Subdivision","value":"NW"},{"id":4,"name":"Milepost","value":"0.0162"},{"id":17,"name":"Train ID","value":"840-04"},{"id":16,"name":"Locomotive ID","value":"4015"},{"id":130,"name":"Impact","value":""},{"id":150,"name":"Time of Event (Mountain Time)","value":"19:54:31"},{"id":151,"name":"Denver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29"/>
        <v>start /low /b %USERPROFILE%\Documents\GitHub\eaglep3\Utilities\DownloadLogsFromS3.py --loco 4015 --day 2018-01-04</v>
      </c>
      <c r="AN199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31"/>
        <v>https://d0f6bd738d7f1b3e5a7ca70fe4ff75f0.us-east-1.aws.found.io/app/kibana#/discover/Steve-Slow-Train-Analysis-(2080s-and-2083s)?_g=(refreshInterval:(display:Off,pause:!f,section:0,value:0),time:(from:'2018-01-04T18:24:28-0700',mode:absolute,to:'2018-01-04T20:54:31-0700'))&amp;_a=(columns:!('Message%20ID',Summary),filters:!(),index:'emp_*',interval:auto,query:(query_string:(analyze_wildcard:!t,query:'%22rtdc.l.rtdc.4015%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868</v>
      </c>
      <c r="B200" s="225">
        <v>4016</v>
      </c>
      <c r="C200" s="227" t="s">
        <v>192</v>
      </c>
      <c r="D200" s="227" t="s">
        <v>959</v>
      </c>
      <c r="E200" s="226">
        <v>43104.789479166669</v>
      </c>
      <c r="F200" s="226">
        <v>43104.798159722224</v>
      </c>
      <c r="G200" s="225">
        <v>65</v>
      </c>
      <c r="H200" s="227" t="s">
        <v>1066</v>
      </c>
      <c r="I200" s="226">
        <v>43104.807233796295</v>
      </c>
      <c r="J200" s="225">
        <v>0</v>
      </c>
      <c r="K200" s="237" t="str">
        <f>IF(ISEVEN(B200),(B200-1)&amp;"/"&amp;B200,B200&amp;"/"&amp;(B200+1))</f>
        <v>4015/4016</v>
      </c>
      <c r="L200" s="245" t="str">
        <f>VLOOKUP(A200,'Trips&amp;Operators'!$C$1:$G$99911,5,FALSE)</f>
        <v>STAMBAUGH JAMES</v>
      </c>
      <c r="M200" s="224">
        <f>I200-F200</f>
        <v>9.074074070667848E-3</v>
      </c>
      <c r="N200" s="225">
        <f>24*60*SUM($M200:$M200)</f>
        <v>13.066666661761701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-04T17:56:51-0700',mode:absolute,to:'2018-01-04T20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247" t="str">
        <f>IF(AA200&lt;VLOOKUP(AG200,Variables!$AC$3:$AD$8,2,FALSE),"Y","N")</f>
        <v>N</v>
      </c>
      <c r="X200" s="247">
        <f>VALUE(LEFT(AD200,4))-VALUE(LEFT(AD199,4))</f>
        <v>1</v>
      </c>
      <c r="Y200" s="247">
        <f>RIGHT(D200,LEN(D200)-4)/10000</f>
        <v>4.5499999999999999E-2</v>
      </c>
      <c r="Z200" s="247">
        <f>RIGHT(H200,LEN(H200)-4)/10000</f>
        <v>5.8936999999999999</v>
      </c>
      <c r="AA200" s="247">
        <f>ABS(Z200-Y200)</f>
        <v>5.8482000000000003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841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/stypes="app*4016*20180105*" /stext=" 02:.+((SYSTEM_STATE.+slice.+state.+changed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27"/>
        <v>"%USERPROFILE%\Documents\GitHub\eaglep3\Utilities\RefineRTDCRunTimes.py" --tripid 841-04 --locoid 4016 --swversion DE.1.0.9.0 --startMP 204:455 --initTime 2018-01-04T18:56:51 --startdatetime 2018-01-04T19:09:21 --delay 65 --endMP 300:58937 --enddatetime 2018-01-04T19:22:25 --enforcementcount 0 &gt;&gt;%USERPROFILE%\Documents\GitHub\eaglep3-reporting\EC\2018-01-04-refined-times.txt</v>
      </c>
      <c r="AI200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{"issue":{"subject":"","project_id":79,"tracker_id":40,"status_id":1,"priority_id":2,"assigned_to_id":338,"start_date":"2018-01-04","description":"","custom_fields":[{"id":1,"name":"Subdivision","value":"NW"},{"id":4,"name":"Milepost","value":"5.8937"},{"id":17,"name":"Train ID","value":"841-04"},{"id":16,"name":"Locomotive ID","value":"4016"},{"id":130,"name":"Impact","value":""},{"id":150,"name":"Time of Event (Mountain Time)","value":"19:22:25"},{"id":151,"name":"Denver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29"/>
        <v>start /low /b %USERPROFILE%\Documents\GitHub\eaglep3\Utilities\DownloadLogsFromS3.py --loco 4016 --day 2018-01-04</v>
      </c>
      <c r="AN200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31"/>
        <v>https://d0f6bd738d7f1b3e5a7ca70fe4ff75f0.us-east-1.aws.found.io/app/kibana#/discover/Steve-Slow-Train-Analysis-(2080s-and-2083s)?_g=(refreshInterval:(display:Off,pause:!f,section:0,value:0),time:(from:'2018-01-04T17:56:51-0700',mode:absolute,to:'2018-01-04T20:22:25-0700'))&amp;_a=(columns:!('Message%20ID',Summary),filters:!(),index:'emp_*',interval:auto,query:(query_string:(analyze_wildcard:!t,query:'%22rtdc.l.rtdc.4016%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878</v>
      </c>
      <c r="B201" s="225">
        <v>4015</v>
      </c>
      <c r="C201" s="227" t="s">
        <v>192</v>
      </c>
      <c r="D201" s="227" t="s">
        <v>959</v>
      </c>
      <c r="E201" s="226">
        <v>43104.789479166669</v>
      </c>
      <c r="F201" s="226">
        <v>43104.863159722219</v>
      </c>
      <c r="G201" s="225">
        <v>65</v>
      </c>
      <c r="H201" s="227" t="s">
        <v>1066</v>
      </c>
      <c r="I201" s="226">
        <v>43104.870844907404</v>
      </c>
      <c r="J201" s="225">
        <v>0</v>
      </c>
      <c r="K201" s="237" t="str">
        <f>IF(ISEVEN(B201),(B201-1)&amp;"/"&amp;B201,B201&amp;"/"&amp;(B201+1))</f>
        <v>4015/4016</v>
      </c>
      <c r="L201" s="245" t="str">
        <f>VLOOKUP(A201,'Trips&amp;Operators'!$C$1:$G$99911,5,FALSE)</f>
        <v>STAMBAUGH JAMES</v>
      </c>
      <c r="M201" s="224">
        <f>I201-F201</f>
        <v>7.6851851845276542E-3</v>
      </c>
      <c r="N201" s="225">
        <f>24*60*SUM($M201:$M201)</f>
        <v>11.066666665719822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-04T17:56:51-0700',mode:absolute,to:'2018-01-04T21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247" t="str">
        <f>IF(AA201&lt;VLOOKUP(AG201,Variables!$AC$3:$AD$8,2,FALSE),"Y","N")</f>
        <v>N</v>
      </c>
      <c r="X201" s="247">
        <f>VALUE(LEFT(AD201,4))-VALUE(LEFT(AD200,4))</f>
        <v>1</v>
      </c>
      <c r="Y201" s="247">
        <v>5.7251000000000003</v>
      </c>
      <c r="Z201" s="247">
        <v>1.35E-2</v>
      </c>
      <c r="AA201" s="247">
        <f>ABS(Z201-Y201)</f>
        <v>5.7116000000000007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842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/stypes="app*4015*20180105*" /stext=" 03:.+((SYSTEM_STATE.+slice.+state.+changed )|(ment ac)|(multiple cpu faults)|(system.+state.+changed )|(\[timeout)|(PRM\|1\|D)|(kpr)|(kdp)|(train st.+moving)|(\|lc)|(penalty))"</v>
      </c>
      <c r="AG201" s="244" t="str">
        <f>DetSubdiv(A201)</f>
        <v>NW</v>
      </c>
      <c r="AH201" s="236" t="str">
        <f t="shared" ref="AH201" si="43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842-04 --locoid 4015 --swversion DE.1.0.9.0 --startMP 204:455 --initTime 2018-01-04T18:56:51 --startdatetime 2018-01-04T20:42:57 --delay 65 --endMP 300:58937 --enddatetime 2018-01-04T20:54:01 --enforcementcount 0 &gt;&gt;%USERPROFILE%\Documents\GitHub\eaglep3-reporting\EC\2018-01-04-refined-times.txt</v>
      </c>
      <c r="AI201" s="238" t="str">
        <f t="shared" ref="AI201" si="44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{"issue":{"subject":"","project_id":79,"tracker_id":40,"status_id":1,"priority_id":2,"assigned_to_id":338,"start_date":"2018-01-04","description":"","custom_fields":[{"id":1,"name":"Subdivision","value":"NW"},{"id":4,"name":"Milepost","value":"0.0135"},{"id":17,"name":"Train ID","value":"842-04"},{"id":16,"name":"Locomotive ID","value":"4015"},{"id":130,"name":"Impact","value":""},{"id":150,"name":"Time of Event (Mountain Time)","value":"20:54:01"},{"id":151,"name":"Denver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ref="AM201" si="45">"start /low /b "&amp;dls3logs&amp;" --loco "&amp;B201&amp;" --day "&amp;TEXT(F201,"YYYY-MM-DD")</f>
        <v>start /low /b %USERPROFILE%\Documents\GitHub\eaglep3\Utilities\DownloadLogsFromS3.py --loco 4015 --day 2018-01-04</v>
      </c>
      <c r="AN201" s="241" t="str">
        <f t="shared" ref="AN201" si="46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ref="AO201" si="47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-04T17:56:51-0700',mode:absolute,to:'2018-01-04T21:54:01-0700'))&amp;_a=(columns:!('Message%20ID',Summary),filters:!(),index:'emp_*',interval:auto,query:(query_string:(analyze_wildcard:!t,query:'%22rtdc.l.rtdc.4015%22')),sort:!(Time.ISO8601,asc))</v>
      </c>
    </row>
    <row r="202" spans="1:91" s="223" customFormat="1" x14ac:dyDescent="0.3">
      <c r="A202" s="229" t="s">
        <v>876</v>
      </c>
      <c r="B202" s="225">
        <v>4016</v>
      </c>
      <c r="C202" s="227" t="s">
        <v>192</v>
      </c>
      <c r="D202" s="227" t="s">
        <v>1094</v>
      </c>
      <c r="E202" s="226">
        <v>43104.834108796298</v>
      </c>
      <c r="F202" s="226">
        <v>43104.840046296296</v>
      </c>
      <c r="G202" s="225">
        <v>53</v>
      </c>
      <c r="H202" s="227" t="s">
        <v>1089</v>
      </c>
      <c r="I202" s="226">
        <v>43104.849131944444</v>
      </c>
      <c r="J202" s="225">
        <v>0</v>
      </c>
      <c r="K202" s="237" t="str">
        <f>IF(ISEVEN(B202),(B202-1)&amp;"/"&amp;B202,B202&amp;"/"&amp;(B202+1))</f>
        <v>4015/4016</v>
      </c>
      <c r="L202" s="245" t="str">
        <f>VLOOKUP(A202,'Trips&amp;Operators'!$C$1:$G$99911,5,FALSE)</f>
        <v>STAMBAUGH JAMES</v>
      </c>
      <c r="M202" s="224">
        <f>I202-F202</f>
        <v>9.0856481474475004E-3</v>
      </c>
      <c r="N202" s="225">
        <f>24*60*SUM($M202:$M202)</f>
        <v>13.083333332324401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-04T19:01:07-0700',mode:absolute,to:'2018-01-04T21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47" t="str">
        <f>IF(AA202&lt;VLOOKUP(AG202,Variables!$AC$3:$AD$8,2,FALSE),"Y","N")</f>
        <v>N</v>
      </c>
      <c r="X202" s="247">
        <f>VALUE(LEFT(AD202,4))-VALUE(LEFT(AD201,4))</f>
        <v>1</v>
      </c>
      <c r="Y202" s="247">
        <f>RIGHT(D202,LEN(D202)-4)/10000</f>
        <v>4.5900000000000003E-2</v>
      </c>
      <c r="Z202" s="247">
        <f>RIGHT(H202,LEN(H202)-4)/10000</f>
        <v>5.8940999999999999</v>
      </c>
      <c r="AA202" s="247">
        <f>ABS(Z202-Y202)</f>
        <v>5.8482000000000003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843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/stypes="app*4016*20180105*" /stext=" 03:.+((SYSTEM_STATE.+slice.+state.+changed )|(ment ac)|(multiple cpu faults)|(system.+state.+changed )|(\[timeout)|(PRM\|1\|D)|(kpr)|(kdp)|(train st.+moving)|(\|lc)|(penalty))"</v>
      </c>
      <c r="AG202" s="244" t="str">
        <f>DetSubdiv(A202)</f>
        <v>NW</v>
      </c>
      <c r="AH202" s="236" t="str">
        <f t="shared" si="27"/>
        <v>"%USERPROFILE%\Documents\GitHub\eaglep3\Utilities\RefineRTDCRunTimes.py" --tripid 843-04 --locoid 4016 --swversion DE.1.0.9.0 --startMP 204:459 --initTime 2018-01-04T20:01:07 --startdatetime 2018-01-04T20:09:40 --delay 53 --endMP 300:58941 --enddatetime 2018-01-04T20:22:45 --enforcementcount 0 &gt;&gt;%USERPROFILE%\Documents\GitHub\eaglep3-reporting\EC\2018-01-04-refined-times.txt</v>
      </c>
      <c r="AI202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{"issue":{"subject":"","project_id":79,"tracker_id":40,"status_id":1,"priority_id":2,"assigned_to_id":338,"start_date":"2018-01-04","description":"","custom_fields":[{"id":1,"name":"Subdivision","value":"NW"},{"id":4,"name":"Milepost","value":"5.8941"},{"id":17,"name":"Train ID","value":"843-04"},{"id":16,"name":"Locomotive ID","value":"4016"},{"id":130,"name":"Impact","value":""},{"id":150,"name":"Time of Event (Mountain Time)","value":"20:22:45"},{"id":151,"name":"Denver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29"/>
        <v>start /low /b %USERPROFILE%\Documents\GitHub\eaglep3\Utilities\DownloadLogsFromS3.py --loco 4016 --day 2018-01-04</v>
      </c>
      <c r="AN202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03:22:45"},{"id":29,"name":"Sharepoint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31"/>
        <v>https://d0f6bd738d7f1b3e5a7ca70fe4ff75f0.us-east-1.aws.found.io/app/kibana#/discover/Steve-Slow-Train-Analysis-(2080s-and-2083s)?_g=(refreshInterval:(display:Off,pause:!f,section:0,value:0),time:(from:'2018-01-04T19:01:07-0700',mode:absolute,to:'2018-01-04T21:22:45-0700'))&amp;_a=(columns:!('Message%20ID',Summary),filters:!(),index:'emp_*',interval:auto,query:(query_string:(analyze_wildcard:!t,query:'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885</v>
      </c>
      <c r="B203" s="225">
        <v>4015</v>
      </c>
      <c r="C203" s="227" t="s">
        <v>192</v>
      </c>
      <c r="D203" s="227" t="s">
        <v>552</v>
      </c>
      <c r="E203" s="226">
        <v>43104.892511574071</v>
      </c>
      <c r="F203" s="226">
        <v>43104.90519675926</v>
      </c>
      <c r="G203" s="225">
        <v>73</v>
      </c>
      <c r="H203" s="227" t="s">
        <v>646</v>
      </c>
      <c r="I203" s="226">
        <v>43104.91375</v>
      </c>
      <c r="J203" s="225">
        <v>0</v>
      </c>
      <c r="K203" s="237" t="str">
        <f>IF(ISEVEN(B203),(B203-1)&amp;"/"&amp;B203,B203&amp;"/"&amp;(B203+1))</f>
        <v>4015/4016</v>
      </c>
      <c r="L203" s="245" t="str">
        <f>VLOOKUP(A203,'Trips&amp;Operators'!$C$1:$G$99911,5,FALSE)</f>
        <v>WEST BRYAN</v>
      </c>
      <c r="M203" s="224">
        <f>I203-F203</f>
        <v>8.55324073927477E-3</v>
      </c>
      <c r="N203" s="225">
        <f>24*60*SUM($M203:$M203)</f>
        <v>12.316666664555669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-04T20:25:13-0700',mode:absolute,to:'2018-01-04T22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5.8611000000000004</v>
      </c>
      <c r="Z203" s="247">
        <f>RIGHT(H203,LEN(H203)-4)/10000</f>
        <v>1.6199999999999999E-2</v>
      </c>
      <c r="AA203" s="247">
        <f>ABS(Z203-Y203)</f>
        <v>5.8449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844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/stypes="app*4015*20180105*" /stext=" 04:.+((SYSTEM_STATE.+slice.+state.+changed )|(ment ac)|(multiple cpu faults)|(system.+state.+changed )|(\[timeout)|(PRM\|1\|D)|(kpr)|(kdp)|(train st.+moving)|(\|lc)|(penalty))"</v>
      </c>
      <c r="AG203" s="244" t="str">
        <f>DetSubdiv(A203)</f>
        <v>NW</v>
      </c>
      <c r="AH203" s="236" t="str">
        <f t="shared" si="27"/>
        <v>"%USERPROFILE%\Documents\GitHub\eaglep3\Utilities\RefineRTDCRunTimes.py" --tripid 844-04 --locoid 4015 --swversion DE.1.0.9.0 --startMP 300:58611 --initTime 2018-01-04T21:25:13 --startdatetime 2018-01-04T21:43:29 --delay 73 --endMP 204:162 --enddatetime 2018-01-04T21:55:48 --enforcementcount 0 &gt;&gt;%USERPROFILE%\Documents\GitHub\eaglep3-reporting\EC\2018-01-04-refined-times.txt</v>
      </c>
      <c r="AI203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{"issue":{"subject":"","project_id":79,"tracker_id":40,"status_id":1,"priority_id":2,"assigned_to_id":338,"start_date":"2018-01-04","description":"","custom_fields":[{"id":1,"name":"Subdivision","value":"NW"},{"id":4,"name":"Milepost","value":"0.0162"},{"id":17,"name":"Train ID","value":"844-04"},{"id":16,"name":"Locomotive ID","value":"4015"},{"id":130,"name":"Impact","value":""},{"id":150,"name":"Time of Event (Mountain Time)","value":"21:55:48"},{"id":151,"name":"Denver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29"/>
        <v>start /low /b %USERPROFILE%\Documents\GitHub\eaglep3\Utilities\DownloadLogsFromS3.py --loco 4015 --day 2018-01-04</v>
      </c>
      <c r="AN203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04:55:48"},{"id":29,"name":"Sharepoint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31"/>
        <v>https://d0f6bd738d7f1b3e5a7ca70fe4ff75f0.us-east-1.aws.found.io/app/kibana#/discover/Steve-Slow-Train-Analysis-(2080s-and-2083s)?_g=(refreshInterval:(display:Off,pause:!f,section:0,value:0),time:(from:'2018-01-04T20:25:13-0700',mode:absolute,to:'2018-01-04T22:55:48-0700'))&amp;_a=(columns:!('Message%20ID',Summary),filters:!(),index:'emp_*',interval:auto,query:(query_string:(analyze_wildcard:!t,query:'%22rtdc.l.rtdc.4015%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882</v>
      </c>
      <c r="B204" s="225">
        <v>4016</v>
      </c>
      <c r="C204" s="227" t="s">
        <v>192</v>
      </c>
      <c r="D204" s="227" t="s">
        <v>619</v>
      </c>
      <c r="E204" s="226">
        <v>43104.875659722224</v>
      </c>
      <c r="F204" s="226">
        <v>43104.881597222222</v>
      </c>
      <c r="G204" s="225">
        <v>83</v>
      </c>
      <c r="H204" s="227" t="s">
        <v>1095</v>
      </c>
      <c r="I204" s="226">
        <v>43104.891157407408</v>
      </c>
      <c r="J204" s="225">
        <v>0</v>
      </c>
      <c r="K204" s="237" t="str">
        <f>IF(ISEVEN(B204),(B204-1)&amp;"/"&amp;B204,B204&amp;"/"&amp;(B204+1))</f>
        <v>4015/4016</v>
      </c>
      <c r="L204" s="245" t="str">
        <f>VLOOKUP(A204,'Trips&amp;Operators'!$C$1:$G$99911,5,FALSE)</f>
        <v>WEST BRYAN</v>
      </c>
      <c r="M204" s="224">
        <f>I204-F204</f>
        <v>9.560185186273884E-3</v>
      </c>
      <c r="N204" s="225">
        <f>24*60*SUM($M204:$M204)</f>
        <v>13.766666668234393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-04T20:00:57-0700',mode:absolute,to:'2018-01-04T22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247" t="str">
        <f>IF(AA204&lt;VLOOKUP(AG204,Variables!$AC$3:$AD$8,2,FALSE),"Y","N")</f>
        <v>N</v>
      </c>
      <c r="X204" s="247">
        <f>VALUE(LEFT(AD204,4))-VALUE(LEFT(AD203,4))</f>
        <v>1</v>
      </c>
      <c r="Y204" s="247">
        <f>RIGHT(D204,LEN(D204)-4)/10000</f>
        <v>4.3700000000000003E-2</v>
      </c>
      <c r="Z204" s="247">
        <f>RIGHT(H204,LEN(H204)-4)/10000</f>
        <v>5.8924000000000003</v>
      </c>
      <c r="AA204" s="247">
        <f>ABS(Z204-Y204)</f>
        <v>5.8487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845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/stypes="app*4016*20180105*" /stext=" 04:.+((SYSTEM_STATE.+slice.+state.+changed )|(ment ac)|(multiple cpu faults)|(system.+state.+changed )|(\[timeout)|(PRM\|1\|D)|(kpr)|(kdp)|(train st.+moving)|(\|lc)|(penalty))"</v>
      </c>
      <c r="AG204" s="244" t="str">
        <f>DetSubdiv(A204)</f>
        <v>NW</v>
      </c>
      <c r="AH204" s="236" t="str">
        <f t="shared" si="27"/>
        <v>"%USERPROFILE%\Documents\GitHub\eaglep3\Utilities\RefineRTDCRunTimes.py" --tripid 845-04 --locoid 4016 --swversion DE.1.0.9.0 --startMP 204:437 --initTime 2018-01-04T21:00:57 --startdatetime 2018-01-04T21:09:30 --delay 83 --endMP 300:58924 --enddatetime 2018-01-04T21:23:16 --enforcementcount 0 &gt;&gt;%USERPROFILE%\Documents\GitHub\eaglep3-reporting\EC\2018-01-04-refined-times.txt</v>
      </c>
      <c r="AI204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{"issue":{"subject":"","project_id":79,"tracker_id":40,"status_id":1,"priority_id":2,"assigned_to_id":338,"start_date":"2018-01-04","description":"","custom_fields":[{"id":1,"name":"Subdivision","value":"NW"},{"id":4,"name":"Milepost","value":"5.8924"},{"id":17,"name":"Train ID","value":"845-04"},{"id":16,"name":"Locomotive ID","value":"4016"},{"id":130,"name":"Impact","value":""},{"id":150,"name":"Time of Event (Mountain Time)","value":"21:23:16"},{"id":151,"name":"Denver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29"/>
        <v>start /low /b %USERPROFILE%\Documents\GitHub\eaglep3\Utilities\DownloadLogsFromS3.py --loco 4016 --day 2018-01-04</v>
      </c>
      <c r="AN204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04:23:16"},{"id":29,"name":"Sharepoint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31"/>
        <v>https://d0f6bd738d7f1b3e5a7ca70fe4ff75f0.us-east-1.aws.found.io/app/kibana#/discover/Steve-Slow-Train-Analysis-(2080s-and-2083s)?_g=(refreshInterval:(display:Off,pause:!f,section:0,value:0),time:(from:'2018-01-04T20:00:57-0700',mode:absolute,to:'2018-01-04T22:23:16-0700'))&amp;_a=(columns:!('Message%20ID',Summary),filters:!(),index:'emp_*',interval:auto,query:(query_string:(analyze_wildcard:!t,query:'%22rtdc.l.rtdc.4016%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891</v>
      </c>
      <c r="B205" s="225">
        <v>4015</v>
      </c>
      <c r="C205" s="227" t="s">
        <v>192</v>
      </c>
      <c r="D205" s="227" t="s">
        <v>619</v>
      </c>
      <c r="E205" s="226">
        <v>43104.875659722224</v>
      </c>
      <c r="F205" s="226">
        <v>43104.946770833332</v>
      </c>
      <c r="G205" s="225">
        <v>83</v>
      </c>
      <c r="H205" s="227" t="s">
        <v>1095</v>
      </c>
      <c r="I205" s="226">
        <v>43104.955092592594</v>
      </c>
      <c r="J205" s="225">
        <v>0</v>
      </c>
      <c r="K205" s="237" t="str">
        <f>IF(ISEVEN(B205),(B205-1)&amp;"/"&amp;B205,B205&amp;"/"&amp;(B205+1))</f>
        <v>4015/4016</v>
      </c>
      <c r="L205" s="245" t="str">
        <f>VLOOKUP(A205,'Trips&amp;Operators'!$C$1:$G$99911,5,FALSE)</f>
        <v>WEST BRYAN</v>
      </c>
      <c r="M205" s="224">
        <f>I205-F205</f>
        <v>8.3217592618893832E-3</v>
      </c>
      <c r="N205" s="225">
        <f>24*60*SUM($M205:$M205)</f>
        <v>11.983333337120712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-04T20:00:57-0700',mode:absolute,to:'2018-01-04T23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247" t="str">
        <f>IF(AA205&lt;VLOOKUP(AG205,Variables!$AC$3:$AD$8,2,FALSE),"Y","N")</f>
        <v>N</v>
      </c>
      <c r="X205" s="247">
        <f t="shared" ref="X205:X208" si="48">VALUE(LEFT(AD205,4))-VALUE(LEFT(AD204,4))</f>
        <v>1</v>
      </c>
      <c r="Y205" s="247">
        <v>5.7249999999999996</v>
      </c>
      <c r="Z205" s="247">
        <v>1.5699999999999999E-2</v>
      </c>
      <c r="AA205" s="247">
        <f>ABS(Z205-Y205)</f>
        <v>5.7092999999999998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846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/stypes="app*4015*20180105*" /stext=" 05:.+((SYSTEM_STATE.+slice.+state.+changed )|(ment ac)|(multiple cpu faults)|(system.+state.+changed )|(\[timeout)|(PRM\|1\|D)|(kpr)|(kdp)|(train st.+moving)|(\|lc)|(penalty))"</v>
      </c>
      <c r="AG205" s="244" t="str">
        <f>DetSubdiv(A205)</f>
        <v>NW</v>
      </c>
      <c r="AH205" s="236" t="str">
        <f t="shared" ref="AH205" si="4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846-04 --locoid 4015 --swversion DE.1.0.9.0 --startMP 204:437 --initTime 2018-01-04T21:00:57 --startdatetime 2018-01-04T22:43:21 --delay 83 --endMP 300:58924 --enddatetime 2018-01-04T22:55:20 --enforcementcount 0 &gt;&gt;%USERPROFILE%\Documents\GitHub\eaglep3-reporting\EC\2018-01-04-refined-times.txt</v>
      </c>
      <c r="AI205" s="238" t="str">
        <f t="shared" ref="AI205" si="5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{"issue":{"subject":"","project_id":79,"tracker_id":40,"status_id":1,"priority_id":2,"assigned_to_id":338,"start_date":"2018-01-04","description":"","custom_fields":[{"id":1,"name":"Subdivision","value":"NW"},{"id":4,"name":"Milepost","value":"0.0157"},{"id":17,"name":"Train ID","value":"846-04"},{"id":16,"name":"Locomotive ID","value":"4015"},{"id":130,"name":"Impact","value":""},{"id":150,"name":"Time of Event (Mountain Time)","value":"22:55:20"},{"id":151,"name":"Denver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ref="AM205" si="51">"start /low /b "&amp;dls3logs&amp;" --loco "&amp;B205&amp;" --day "&amp;TEXT(F205,"YYYY-MM-DD")</f>
        <v>start /low /b %USERPROFILE%\Documents\GitHub\eaglep3\Utilities\DownloadLogsFromS3.py --loco 4015 --day 2018-01-04</v>
      </c>
      <c r="AN205" s="241" t="str">
        <f t="shared" ref="AN205" si="52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05:55:20"},{"id":29,"name":"Sharepoint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ref="AO205" si="5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-04T20:00:57-0700',mode:absolute,to:'2018-01-04T23:55:20-0700'))&amp;_a=(columns:!('Message%20ID',Summary),filters:!(),index:'emp_*',interval:auto,query:(query_string:(analyze_wildcard:!t,query:'%22rtdc.l.rtdc.4015%22')),sort:!(Time.ISO8601,asc))</v>
      </c>
    </row>
    <row r="206" spans="1:91" s="223" customFormat="1" x14ac:dyDescent="0.3">
      <c r="A206" s="229" t="s">
        <v>888</v>
      </c>
      <c r="B206" s="225">
        <v>4016</v>
      </c>
      <c r="C206" s="227" t="s">
        <v>192</v>
      </c>
      <c r="D206" s="227" t="s">
        <v>1096</v>
      </c>
      <c r="E206" s="226">
        <v>43104.915914351855</v>
      </c>
      <c r="F206" s="226">
        <v>43104.923333333332</v>
      </c>
      <c r="G206" s="225">
        <v>61</v>
      </c>
      <c r="H206" s="227" t="s">
        <v>1097</v>
      </c>
      <c r="I206" s="226">
        <v>43104.933310185188</v>
      </c>
      <c r="J206" s="225">
        <v>0</v>
      </c>
      <c r="K206" s="237" t="str">
        <f>IF(ISEVEN(B206),(B206-1)&amp;"/"&amp;B206,B206&amp;"/"&amp;(B206+1))</f>
        <v>4015/4016</v>
      </c>
      <c r="L206" s="245" t="str">
        <f>VLOOKUP(A206,'Trips&amp;Operators'!$C$1:$G$99911,5,FALSE)</f>
        <v>WEST BRYAN</v>
      </c>
      <c r="M206" s="224">
        <f>I206-F206</f>
        <v>9.976851855753921E-3</v>
      </c>
      <c r="N206" s="225">
        <f>24*60*SUM($M206:$M206)</f>
        <v>14.366666672285646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-04T20:58:55-0700',mode:absolute,to:'2018-01-04T23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247" t="str">
        <f>IF(AA206&lt;VLOOKUP(AG206,Variables!$AC$3:$AD$8,2,FALSE),"Y","N")</f>
        <v>N</v>
      </c>
      <c r="X206" s="247">
        <f t="shared" si="48"/>
        <v>1</v>
      </c>
      <c r="Y206" s="247">
        <f>RIGHT(D206,LEN(D206)-4)/10000</f>
        <v>4.5999999999999999E-2</v>
      </c>
      <c r="Z206" s="247">
        <f>RIGHT(H206,LEN(H206)-4)/10000</f>
        <v>5.8914</v>
      </c>
      <c r="AA206" s="247">
        <f>ABS(Z206-Y206)</f>
        <v>5.8453999999999997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847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/stypes="app*4016*20180105*" /stext=" 05:.+((SYSTEM_STATE.+slice.+state.+changed )|(ment ac)|(multiple cpu faults)|(system.+state.+changed )|(\[timeout)|(PRM\|1\|D)|(kpr)|(kdp)|(train st.+moving)|(\|lc)|(penalty))"</v>
      </c>
      <c r="AG206" s="244" t="str">
        <f>DetSubdiv(A206)</f>
        <v>NW</v>
      </c>
      <c r="AH206" s="236" t="str">
        <f t="shared" si="27"/>
        <v>"%USERPROFILE%\Documents\GitHub\eaglep3\Utilities\RefineRTDCRunTimes.py" --tripid 847-04 --locoid 4016 --swversion DE.1.0.9.0 --startMP 204:460 --initTime 2018-01-04T21:58:55 --startdatetime 2018-01-04T22:09:36 --delay 61 --endMP 300:58914 --enddatetime 2018-01-04T22:23:58 --enforcementcount 0 &gt;&gt;%USERPROFILE%\Documents\GitHub\eaglep3-reporting\EC\2018-01-04-refined-times.txt</v>
      </c>
      <c r="AI206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{"issue":{"subject":"","project_id":79,"tracker_id":40,"status_id":1,"priority_id":2,"assigned_to_id":338,"start_date":"2018-01-04","description":"","custom_fields":[{"id":1,"name":"Subdivision","value":"NW"},{"id":4,"name":"Milepost","value":"5.8914"},{"id":17,"name":"Train ID","value":"847-04"},{"id":16,"name":"Locomotive ID","value":"4016"},{"id":130,"name":"Impact","value":""},{"id":150,"name":"Time of Event (Mountain Time)","value":"22:23:58"},{"id":151,"name":"Denver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29"/>
        <v>start /low /b %USERPROFILE%\Documents\GitHub\eaglep3\Utilities\DownloadLogsFromS3.py --loco 4016 --day 2018-01-04</v>
      </c>
      <c r="AN206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05:23:58"},{"id":29,"name":"Sharepoint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31"/>
        <v>https://d0f6bd738d7f1b3e5a7ca70fe4ff75f0.us-east-1.aws.found.io/app/kibana#/discover/Steve-Slow-Train-Analysis-(2080s-and-2083s)?_g=(refreshInterval:(display:Off,pause:!f,section:0,value:0),time:(from:'2018-01-04T20:58:55-0700',mode:absolute,to:'2018-01-04T23:23:58-0700'))&amp;_a=(columns:!('Message%20ID',Summary),filters:!(),index:'emp_*',interval:auto,query:(query_string:(analyze_wildcard:!t,query:'%22rtdc.l.rtdc.4016%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893</v>
      </c>
      <c r="B207" s="225">
        <v>4016</v>
      </c>
      <c r="C207" s="227" t="s">
        <v>192</v>
      </c>
      <c r="D207" s="227" t="s">
        <v>1094</v>
      </c>
      <c r="E207" s="226">
        <v>43104.960949074077</v>
      </c>
      <c r="F207" s="226">
        <v>43104.964965277781</v>
      </c>
      <c r="G207" s="225">
        <v>61</v>
      </c>
      <c r="H207" s="227" t="s">
        <v>642</v>
      </c>
      <c r="I207" s="226">
        <v>43104.974733796298</v>
      </c>
      <c r="J207" s="225">
        <v>0</v>
      </c>
      <c r="K207" s="237" t="str">
        <f>IF(ISEVEN(B207),(B207-1)&amp;"/"&amp;B207,B207&amp;"/"&amp;(B207+1))</f>
        <v>4015/4016</v>
      </c>
      <c r="L207" s="245" t="str">
        <f>VLOOKUP(A207,'Trips&amp;Operators'!$C$1:$G$99911,5,FALSE)</f>
        <v>WEST BRYAN</v>
      </c>
      <c r="M207" s="224">
        <f>I207-F207</f>
        <v>9.7685185173759237E-3</v>
      </c>
      <c r="N207" s="225">
        <f>24*60*SUM($M207:$M207)</f>
        <v>14.06666666502133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-04T22:03:46-0700',mode:absolute,to:'2018-01-05T00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247" t="str">
        <f>IF(AA207&lt;VLOOKUP(AG207,Variables!$AC$3:$AD$8,2,FALSE),"Y","N")</f>
        <v>N</v>
      </c>
      <c r="X207" s="247">
        <f t="shared" si="48"/>
        <v>2</v>
      </c>
      <c r="Y207" s="247">
        <f>RIGHT(D207,LEN(D207)-4)/10000</f>
        <v>4.5900000000000003E-2</v>
      </c>
      <c r="Z207" s="247">
        <f>RIGHT(H207,LEN(H207)-4)/10000</f>
        <v>5.8898999999999999</v>
      </c>
      <c r="AA207" s="247">
        <f>ABS(Z207-Y207)</f>
        <v>5.8440000000000003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849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s3://rtdc.mdm.uploadarchive.raw/RTDC4016/ "%USERPROFILE%\AppData\Local\Temp\OnboardLogs"\RTDC4016\2018-01-04 --exclude "*" --recursive --include "*20180104*" &amp; "%USERPROFILE%\Documents\GitHub\mrs-test-scripts\Headless Mode &amp; Sideloading\WalkAndUnGZ.bat" "%USERPROFILE%\AppData\Local\Temp\OnboardLogs"\RTDC4016\2018-01-04 &amp; aws s3 cp s3://rtdc.mdm.uploadarchive.raw/RTDC4016/ "%USERPROFILE%\AppData\Local\Temp\OnboardLogs"\RTDC4016\2018-01-05 --exclude "*" --recursive --include "*20180105*" &amp; "%USERPROFILE%\Documents\GitHub\mrs-test-scripts\Headless Mode &amp; Sideloading\WalkAndUnGZ.bat" "%USERPROFILE%\AppData\Local\Temp\OnboardLogs"\RTDC4016\2018-01-05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/stypes="app*4016*20180105*" /stext=" 06:.+((SYSTEM_STATE.+slice.+state.+changed )|(ment ac)|(multiple cpu faults)|(system.+state.+changed )|(\[timeout)|(PRM\|1\|D)|(kpr)|(kdp)|(train st.+moving)|(\|lc)|(penalty))"</v>
      </c>
      <c r="AG207" s="244" t="str">
        <f>DetSubdiv(A207)</f>
        <v>NW</v>
      </c>
      <c r="AH207" s="236" t="str">
        <f t="shared" si="27"/>
        <v>"%USERPROFILE%\Documents\GitHub\eaglep3\Utilities\RefineRTDCRunTimes.py" --tripid 849-04 --locoid 4016 --swversion DE.1.0.9.0 --startMP 204:459 --initTime 2018-01-04T23:03:46 --startdatetime 2018-01-04T23:09:33 --delay 61 --endMP 300:58899 --enddatetime 2018-01-04T23:23:37 --enforcementcount 0 &gt;&gt;%USERPROFILE%\Documents\GitHub\eaglep3-reporting\EC\2018-01-04-refined-times.txt</v>
      </c>
      <c r="AI207" s="238" t="str">
        <f t="shared" si="28"/>
        <v>echo {"issue":{"subject":"","project_id":79,"tracker_id":40,"status_id":1,"priority_id":2,"assigned_to_id":338,"start_date":"2018-01-04","description":"","custom_fields":[{"id":1,"name":"Subdivision","value":"NW"},{"id":4,"name":"Milepost","value":"5.8899"},{"id":17,"name":"Train ID","value":"849-04"},{"id":16,"name":"Locomotive ID","value":"4016"},{"id":130,"name":"Impact","value":""},{"id":150,"name":"Time of Event (Mountain Time)","value":"23:23:37"},{"id":151,"name":"Denver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29"/>
        <v>start /low /b %USERPROFILE%\Documents\GitHub\eaglep3\Utilities\DownloadLogsFromS3.py --loco 4016 --day 2018-01-04</v>
      </c>
      <c r="AN207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06:23:37"},{"id":29,"name":"Sharepoint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31"/>
        <v>https://d0f6bd738d7f1b3e5a7ca70fe4ff75f0.us-east-1.aws.found.io/app/kibana#/discover/Steve-Slow-Train-Analysis-(2080s-and-2083s)?_g=(refreshInterval:(display:Off,pause:!f,section:0,value:0),time:(from:'2018-01-04T22:03:46-0700',mode:absolute,to:'2018-01-05T00:23:37-0700'))&amp;_a=(columns:!('Message%20ID',Summary),filters:!(),index:'emp_*',interval:auto,query:(query_string:(analyze_wildcard:!t,query:'%22rtdc.l.rtdc.4016%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688</v>
      </c>
      <c r="B208" s="225">
        <v>4055</v>
      </c>
      <c r="C208" s="227" t="s">
        <v>192</v>
      </c>
      <c r="D208" s="227" t="s">
        <v>1002</v>
      </c>
      <c r="E208" s="226">
        <v>43104.120891203704</v>
      </c>
      <c r="F208" s="226">
        <v>43104.124525462961</v>
      </c>
      <c r="G208" s="225">
        <v>175</v>
      </c>
      <c r="H208" s="227" t="s">
        <v>616</v>
      </c>
      <c r="I208" s="226">
        <v>43104.129849537036</v>
      </c>
      <c r="J208" s="225">
        <v>0</v>
      </c>
      <c r="K208" s="237" t="str">
        <f>IF(ISEVEN(B208),(B208-1)&amp;"/"&amp;B208,B208&amp;"/"&amp;(B208+1))</f>
        <v>4055/4056</v>
      </c>
      <c r="L208" s="245" t="str">
        <f>VLOOKUP(A208,'Trips&amp;Operators'!$C$1:$G$99911,5,FALSE)</f>
        <v>ROCHA YAOTL</v>
      </c>
      <c r="M208" s="224">
        <f>I208-F208</f>
        <v>5.324074074451346E-3</v>
      </c>
      <c r="N208" s="225">
        <f>24*60*SUM($M208:$M208)</f>
        <v>7.6666666672099382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-04T01:54:05-0700',mode:absolute,to:'2018-01-04T04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8" s="247" t="str">
        <f>IF(AA208&lt;VLOOKUP(AG208,Variables!$AC$3:$AD$8,2,FALSE),"Y","N")</f>
        <v>Y</v>
      </c>
      <c r="X208" s="247">
        <f t="shared" si="48"/>
        <v>-549</v>
      </c>
      <c r="Y208" s="247">
        <f>RIGHT(D208,LEN(D208)-4)/10000</f>
        <v>2.3441999999999998</v>
      </c>
      <c r="Z208" s="247">
        <f>RIGHT(H208,LEN(H208)-4)/10000</f>
        <v>1.61E-2</v>
      </c>
      <c r="AA208" s="247">
        <f>ABS(Z208-Y208)</f>
        <v>2.3281000000000001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300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s3://rtdc.mdm.uploadarchive.raw/RTDC4055/ "%USERPROFILE%\AppData\Local\Temp\OnboardLogs"\RTDC4055\2018-01-04 --exclude "*" --recursive --include "*20180104*" &amp; "%USERPROFILE%\Documents\GitHub\mrs-test-scripts\Headless Mode &amp; Sideloading\WalkAndUnGZ.bat" "%USERPROFILE%\AppData\Local\Temp\OnboardLogs"\RTDC4055\2018-01-04 &amp; aws s3 cp s3://rtdc.mdm.uploadarchive.raw/RTDC4055/ "%USERPROFILE%\AppData\Local\Temp\OnboardLogs"\RTDC4055\2018-01-05 --exclude "*" --recursive --include "*20180105*" &amp; "%USERPROFILE%\Documents\GitHub\mrs-test-scripts\Headless Mode &amp; Sideloading\WalkAndUnGZ.bat" "%USERPROFILE%\AppData\Local\Temp\OnboardLogs"\RTDC4055\2018-01-05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/stypes="app*4055*20180104*" /stext=" 10:.+((SYSTEM_STATE.+slice.+state.+changed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27"/>
        <v>"%USERPROFILE%\Documents\GitHub\eaglep3\Utilities\RefineRTDCRunTimes.py" --tripid 300-04 --locoid 4055 --swversion DE.1.0.9.0 --startMP 300:23442 --initTime 2018-01-04T02:54:05 --startdatetime 2018-01-04T02:59:19 --delay 175 --endMP 204:161 --enddatetime 2018-01-04T03:06:59 --enforcementcount 0 &gt;&gt;%USERPROFILE%\Documents\GitHub\eaglep3-reporting\EC\2018-01-04-refined-times.txt</v>
      </c>
      <c r="AI208" s="238" t="str">
        <f t="shared" si="28"/>
        <v>echo {"issue":{"subject":"","project_id":79,"tracker_id":40,"status_id":1,"priority_id":2,"assigned_to_id":338,"start_date":"2018-01-04","description":"","custom_fields":[{"id":1,"name":"Subdivision","value":"Other"},{"id":4,"name":"Milepost","value":"0.0161"},{"id":17,"name":"Train ID","value":"300-04"},{"id":16,"name":"Locomotive ID","value":"4055"},{"id":130,"name":"Impact","value":""},{"id":150,"name":"Time of Event (Mountain Time)","value":"03:06:59"},{"id":151,"name":"Denver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29"/>
        <v>start /low /b %USERPROFILE%\Documents\GitHub\eaglep3\Utilities\DownloadLogsFromS3.py --loco 4055 --day 2018-01-04</v>
      </c>
      <c r="AN208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10:06:59"},{"id":29,"name":"Sharepoint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31"/>
        <v>https://d0f6bd738d7f1b3e5a7ca70fe4ff75f0.us-east-1.aws.found.io/app/kibana#/discover/Steve-Slow-Train-Analysis-(2080s-and-2083s)?_g=(refreshInterval:(display:Off,pause:!f,section:0,value:0),time:(from:'2018-01-04T01:54:05-0700',mode:absolute,to:'2018-01-04T04:06:59-0700'))&amp;_a=(columns:!('Message%20ID',Summary),filters:!(),index:'emp_*',interval:auto,query:(query_string:(analyze_wildcard:!t,query:'%22rtdc.l.rtdc.4055%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864</v>
      </c>
      <c r="B209" s="225">
        <v>4052</v>
      </c>
      <c r="C209" s="227" t="s">
        <v>192</v>
      </c>
      <c r="D209" s="227" t="s">
        <v>516</v>
      </c>
      <c r="E209" s="226">
        <v>43104.775810185187</v>
      </c>
      <c r="F209" s="226">
        <v>43104.777118055557</v>
      </c>
      <c r="G209" s="225">
        <v>60</v>
      </c>
      <c r="H209" s="227" t="s">
        <v>1003</v>
      </c>
      <c r="I209" s="226">
        <v>43104.78292824074</v>
      </c>
      <c r="J209" s="225">
        <v>0</v>
      </c>
      <c r="K209" s="237" t="str">
        <f>IF(ISEVEN(B209),(B209-1)&amp;"/"&amp;B209,B209&amp;"/"&amp;(B209+1))</f>
        <v>4051/4052</v>
      </c>
      <c r="L209" s="245" t="str">
        <f>VLOOKUP(A209,'Trips&amp;Operators'!$C$1:$G$99911,5,FALSE)</f>
        <v>LEVIN SCOTT</v>
      </c>
      <c r="M209" s="224">
        <f>I209-F209</f>
        <v>5.8101851827814244E-3</v>
      </c>
      <c r="N209" s="225">
        <f>24*60*SUM($M209:$M209)</f>
        <v>8.3666666632052511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-04T17:37:10-0700',mode:absolute,to:'2018-01-04T19:47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</v>
      </c>
      <c r="Y209" s="247">
        <f>RIGHT(D209,LEN(D209)-4)/10000</f>
        <v>4.8399999999999999E-2</v>
      </c>
      <c r="Z209" s="247">
        <f>RIGHT(H209,LEN(H209)-4)/10000</f>
        <v>2.3298999999999999</v>
      </c>
      <c r="AA209" s="247">
        <f>ABS(Z209-Y209)</f>
        <v>2.2814999999999999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301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s3://rtdc.mdm.uploadarchive.raw/RTDC4052/ "%USERPROFILE%\AppData\Local\Temp\OnboardLogs"\RTDC4052\2018-01-04 --exclude "*" --recursive --include "*20180104*" &amp; "%USERPROFILE%\Documents\GitHub\mrs-test-scripts\Headless Mode &amp; Sideloading\WalkAndUnGZ.bat" "%USERPROFILE%\AppData\Local\Temp\OnboardLogs"\RTDC4052\2018-01-04 &amp; aws s3 cp s3://rtdc.mdm.uploadarchive.raw/RTDC4052/ "%USERPROFILE%\AppData\Local\Temp\OnboardLogs"\RTDC4052\2018-01-05 --exclude "*" --recursive --include "*20180105*" &amp; "%USERPROFILE%\Documents\GitHub\mrs-test-scripts\Headless Mode &amp; Sideloading\WalkAndUnGZ.bat" "%USERPROFILE%\AppData\Local\Temp\OnboardLogs"\RTDC4052\2018-01-05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/stypes="app*4052*20180105*" /stext=" 01:.+((SYSTEM_STATE.+slice.+state.+changed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27"/>
        <v>"%USERPROFILE%\Documents\GitHub\eaglep3\Utilities\RefineRTDCRunTimes.py" --tripid 301-04 --locoid 4052 --swversion DE.1.0.9.0 --startMP 204:484 --initTime 2018-01-04T18:37:10 --startdatetime 2018-01-04T18:39:03 --delay 60 --endMP 300:23299 --enddatetime 2018-01-04T18:47:25 --enforcementcount 0 &gt;&gt;%USERPROFILE%\Documents\GitHub\eaglep3-reporting\EC\2018-01-04-refined-times.txt</v>
      </c>
      <c r="AI209" s="238" t="str">
        <f t="shared" si="28"/>
        <v>echo {"issue":{"subject":"","project_id":79,"tracker_id":40,"status_id":1,"priority_id":2,"assigned_to_id":338,"start_date":"2018-01-04","description":"","custom_fields":[{"id":1,"name":"Subdivision","value":"Other"},{"id":4,"name":"Milepost","value":"2.3299"},{"id":17,"name":"Train ID","value":"301-04"},{"id":16,"name":"Locomotive ID","value":"4052"},{"id":130,"name":"Impact","value":""},{"id":150,"name":"Time of Event (Mountain Time)","value":"18:47:25"},{"id":151,"name":"Denver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29"/>
        <v>start /low /b %USERPROFILE%\Documents\GitHub\eaglep3\Utilities\DownloadLogsFromS3.py --loco 4052 --day 2018-01-04</v>
      </c>
      <c r="AN209" s="241" t="str">
        <f t="shared" si="30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01:47:25"},{"id":29,"name":"Sharepoint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31"/>
        <v>https://d0f6bd738d7f1b3e5a7ca70fe4ff75f0.us-east-1.aws.found.io/app/kibana#/discover/Steve-Slow-Train-Analysis-(2080s-and-2083s)?_g=(refreshInterval:(display:Off,pause:!f,section:0,value:0),time:(from:'2018-01-04T17:37:10-0700',mode:absolute,to:'2018-01-04T19:47:25-0700'))&amp;_a=(columns:!('Message%20ID',Summary),filters:!(),index:'emp_*',interval:auto,query:(query_string:(analyze_wildcard:!t,query:'%22rtdc.l.rtdc.4052%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656</v>
      </c>
      <c r="B210" s="225">
        <v>4017</v>
      </c>
      <c r="C210" s="227" t="s">
        <v>192</v>
      </c>
      <c r="D210" s="227" t="s">
        <v>1004</v>
      </c>
      <c r="E210" s="226">
        <v>43104.140729166669</v>
      </c>
      <c r="F210" s="226">
        <v>43104.145092592589</v>
      </c>
      <c r="G210" s="225">
        <v>94</v>
      </c>
      <c r="H210" s="227" t="s">
        <v>1005</v>
      </c>
      <c r="I210" s="226">
        <v>43104.148368055554</v>
      </c>
      <c r="J210" s="225">
        <v>0</v>
      </c>
      <c r="K210" s="237" t="str">
        <f>IF(ISEVEN(B210),(B210-1)&amp;"/"&amp;B210,B210&amp;"/"&amp;(B210+1))</f>
        <v>4017/4018</v>
      </c>
      <c r="L210" s="245" t="str">
        <f>VLOOKUP(A210,'Trips&amp;Operators'!$C$1:$G$99911,5,FALSE)</f>
        <v>STARKS ANGELINA</v>
      </c>
      <c r="M210" s="224">
        <f>I210-F210</f>
        <v>3.275462964666076E-3</v>
      </c>
      <c r="N210" s="225">
        <f>24*60*SUM($M210:$M210)</f>
        <v>4.7166666691191494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-04T02:22:39-0700',mode:absolute,to:'2018-01-04T04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</v>
      </c>
      <c r="Y210" s="247">
        <f>RIGHT(D210,LEN(D210)-4)/10000</f>
        <v>2.1669999999999998</v>
      </c>
      <c r="Z210" s="247">
        <f>RIGHT(H210,LEN(H210)-4)/10000</f>
        <v>0.44979999999999998</v>
      </c>
      <c r="AA210" s="247">
        <f>ABS(Z210-Y210)</f>
        <v>1.7171999999999998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302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/stypes="app*4017*20180104*" /stext=" 10:.+((SYSTEM_STATE.+slice.+state.+changed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27"/>
        <v>"%USERPROFILE%\Documents\GitHub\eaglep3\Utilities\RefineRTDCRunTimes.py" --tripid 302-04 --locoid 4017 --swversion DE.1.0.9.0 --startMP 300:21670 --initTime 2018-01-04T03:22:39 --startdatetime 2018-01-04T03:28:56 --delay 94 --endMP 204:4498 --enddatetime 2018-01-04T03:33:39 --enforcementcount 0 &gt;&gt;%USERPROFILE%\Documents\GitHub\eaglep3-reporting\EC\2018-01-04-refined-times.txt</v>
      </c>
      <c r="AI210" s="238" t="str">
        <f t="shared" si="28"/>
        <v>echo {"issue":{"subject":"","project_id":79,"tracker_id":40,"status_id":1,"priority_id":2,"assigned_to_id":338,"start_date":"2018-01-04","description":"","custom_fields":[{"id":1,"name":"Subdivision","value":"Other"},{"id":4,"name":"Milepost","value":"0.4498"},{"id":17,"name":"Train ID","value":"302-04"},{"id":16,"name":"Locomotive ID","value":"4017"},{"id":130,"name":"Impact","value":""},{"id":150,"name":"Time of Event (Mountain Time)","value":"03:33:39"},{"id":151,"name":"Denver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29"/>
        <v>start /low /b %USERPROFILE%\Documents\GitHub\eaglep3\Utilities\DownloadLogsFromS3.py --loco 4017 --day 2018-01-04</v>
      </c>
      <c r="AN210" s="241" t="str">
        <f t="shared" si="30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10:33:39"},{"id":29,"name":"Sharepoint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31"/>
        <v>https://d0f6bd738d7f1b3e5a7ca70fe4ff75f0.us-east-1.aws.found.io/app/kibana#/discover/Steve-Slow-Train-Analysis-(2080s-and-2083s)?_g=(refreshInterval:(display:Off,pause:!f,section:0,value:0),time:(from:'2018-01-04T02:22:39-0700',mode:absolute,to:'2018-01-04T04:33:39-0700'))&amp;_a=(columns:!('Message%20ID',Summary),filters:!(),index:'emp_*',interval:auto,query:(query_string:(analyze_wildcard:!t,query:'%22rtdc.l.rtdc.4017%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870</v>
      </c>
      <c r="B211" s="225">
        <v>4032</v>
      </c>
      <c r="C211" s="227" t="s">
        <v>192</v>
      </c>
      <c r="D211" s="227" t="s">
        <v>1006</v>
      </c>
      <c r="E211" s="226">
        <v>43104.796724537038</v>
      </c>
      <c r="F211" s="226">
        <v>43104.798657407409</v>
      </c>
      <c r="G211" s="225">
        <v>68</v>
      </c>
      <c r="H211" s="227" t="s">
        <v>1007</v>
      </c>
      <c r="I211" s="226">
        <v>43104.806446759256</v>
      </c>
      <c r="J211" s="225">
        <v>0</v>
      </c>
      <c r="K211" s="237" t="str">
        <f>IF(ISEVEN(B211),(B211-1)&amp;"/"&amp;B211,B211&amp;"/"&amp;(B211+1))</f>
        <v>4031/4032</v>
      </c>
      <c r="L211" s="245" t="str">
        <f>VLOOKUP(A211,'Trips&amp;Operators'!$C$1:$G$99911,5,FALSE)</f>
        <v>LEVERE CRAIG</v>
      </c>
      <c r="M211" s="224">
        <f>I211-F211</f>
        <v>7.7893518464406952E-3</v>
      </c>
      <c r="N211" s="225">
        <f>24*60*SUM($M211:$M211)</f>
        <v>11.216666658874601</v>
      </c>
      <c r="O211" s="225"/>
      <c r="P211" s="225"/>
      <c r="Q211" s="228"/>
      <c r="R211" s="242"/>
      <c r="S211" s="249">
        <f>1/IF(AG211="EC",12,1)*SUM(U211:U211)</f>
        <v>1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-04T18:07:17-0700',mode:absolute,to:'2018-01-04T20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5.7099999999999998E-2</v>
      </c>
      <c r="Z211" s="247">
        <f>RIGHT(H211,LEN(H211)-4)/10000</f>
        <v>2.3302</v>
      </c>
      <c r="AA211" s="247">
        <f>ABS(Z211-Y211)</f>
        <v>2.2730999999999999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303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/stypes="app*4032*20180105*" /stext=" 02:.+((SYSTEM_STATE.+slice.+state.+changed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ref="AH211:AH252" si="54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303-04 --locoid 4032 --swversion DE.1.0.9.0 --startMP 204:571 --initTime 2018-01-04T19:07:17 --startdatetime 2018-01-04T19:10:04 --delay 68 --endMP 300:23302 --enddatetime 2018-01-04T19:21:17 --enforcementcount 0 &gt;&gt;%USERPROFILE%\Documents\GitHub\eaglep3-reporting\EC\2018-01-04-refined-times.txt</v>
      </c>
      <c r="AI211" s="238" t="str">
        <f t="shared" ref="AI211:AI252" si="55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{"issue":{"subject":"","project_id":79,"tracker_id":40,"status_id":1,"priority_id":2,"assigned_to_id":338,"start_date":"2018-01-04","description":"","custom_fields":[{"id":1,"name":"Subdivision","value":"Other"},{"id":4,"name":"Milepost","value":"2.3302"},{"id":17,"name":"Train ID","value":"303-04"},{"id":16,"name":"Locomotive ID","value":"4032"},{"id":130,"name":"Impact","value":""},{"id":150,"name":"Time of Event (Mountain Time)","value":"19:21:17"},{"id":151,"name":"Denver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ref="AM211:AM252" si="56">"start /low /b "&amp;dls3logs&amp;" --loco "&amp;B211&amp;" --day "&amp;TEXT(F211,"YYYY-MM-DD")</f>
        <v>start /low /b %USERPROFILE%\Documents\GitHub\eaglep3\Utilities\DownloadLogsFromS3.py --loco 4032 --day 2018-01-04</v>
      </c>
      <c r="AN211" s="241" t="str">
        <f t="shared" ref="AN211:AN252" si="57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ref="AO211:AO252" si="58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-04T18:07:17-0700',mode:absolute,to:'2018-01-04T20:21:17-0700'))&amp;_a=(columns:!('Message%20ID',Summary),filters:!(),index:'emp_*',interval:auto,query:(query_string:(analyze_wildcard:!t,query:'%22rtdc.l.rtdc.4032%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697</v>
      </c>
      <c r="B212" s="225">
        <v>4045</v>
      </c>
      <c r="C212" s="227" t="s">
        <v>192</v>
      </c>
      <c r="D212" s="227" t="s">
        <v>1008</v>
      </c>
      <c r="E212" s="226">
        <v>43104.161956018521</v>
      </c>
      <c r="F212" s="226">
        <v>43104.166562500002</v>
      </c>
      <c r="G212" s="225">
        <v>76</v>
      </c>
      <c r="H212" s="227" t="s">
        <v>609</v>
      </c>
      <c r="I212" s="226">
        <v>43104.171782407408</v>
      </c>
      <c r="J212" s="225">
        <v>0</v>
      </c>
      <c r="K212" s="237" t="str">
        <f>IF(ISEVEN(B212),(B212-1)&amp;"/"&amp;B212,B212&amp;"/"&amp;(B212+1))</f>
        <v>4045/4046</v>
      </c>
      <c r="L212" s="245" t="str">
        <f>VLOOKUP(A212,'Trips&amp;Operators'!$C$1:$G$99911,5,FALSE)</f>
        <v>LONG FULLER</v>
      </c>
      <c r="M212" s="224">
        <f>I212-F212</f>
        <v>5.2199074052623473E-3</v>
      </c>
      <c r="N212" s="225">
        <f>24*60*SUM($M212:$M212)</f>
        <v>7.5166666635777801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-04T02:53:13-0700',mode:absolute,to:'2018-01-04T05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2.3460999999999999</v>
      </c>
      <c r="Z212" s="247">
        <f>RIGHT(H212,LEN(H212)-4)/10000</f>
        <v>2.07E-2</v>
      </c>
      <c r="AA212" s="247">
        <f>ABS(Z212-Y212)</f>
        <v>2.3253999999999997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304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/stypes="app*4045*20180104*" /stext=" 11:.+((SYSTEM_STATE.+slice.+state.+changed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54"/>
        <v>"%USERPROFILE%\Documents\GitHub\eaglep3\Utilities\RefineRTDCRunTimes.py" --tripid 304-04 --locoid 4045 --swversion DE.1.0.9.0 --startMP 300:23461 --initTime 2018-01-04T03:53:13 --startdatetime 2018-01-04T03:59:51 --delay 76 --endMP 204:207 --enddatetime 2018-01-04T04:07:22 --enforcementcount 0 &gt;&gt;%USERPROFILE%\Documents\GitHub\eaglep3-reporting\EC\2018-01-04-refined-times.txt</v>
      </c>
      <c r="AI212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{"issue":{"subject":"","project_id":79,"tracker_id":40,"status_id":1,"priority_id":2,"assigned_to_id":338,"start_date":"2018-01-04","description":"","custom_fields":[{"id":1,"name":"Subdivision","value":"Other"},{"id":4,"name":"Milepost","value":"0.0207"},{"id":17,"name":"Train ID","value":"304-04"},{"id":16,"name":"Locomotive ID","value":"4045"},{"id":130,"name":"Impact","value":""},{"id":150,"name":"Time of Event (Mountain Time)","value":"04:07:22"},{"id":151,"name":"Denver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56"/>
        <v>start /low /b %USERPROFILE%\Documents\GitHub\eaglep3\Utilities\DownloadLogsFromS3.py --loco 4045 --day 2018-01-04</v>
      </c>
      <c r="AN212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11:07:22"},{"id":29,"name":"Sharepoint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58"/>
        <v>https://d0f6bd738d7f1b3e5a7ca70fe4ff75f0.us-east-1.aws.found.io/app/kibana#/discover/Steve-Slow-Train-Analysis-(2080s-and-2083s)?_g=(refreshInterval:(display:Off,pause:!f,section:0,value:0),time:(from:'2018-01-04T02:53:13-0700',mode:absolute,to:'2018-01-04T05:07:22-0700'))&amp;_a=(columns:!('Message%20ID',Summary),filters:!(),index:'emp_*',interval:auto,query:(query_string:(analyze_wildcard:!t,query:'%22rtdc.l.rtdc.4045%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682</v>
      </c>
      <c r="B213" s="225">
        <v>4044</v>
      </c>
      <c r="C213" s="227" t="s">
        <v>192</v>
      </c>
      <c r="D213" s="227" t="s">
        <v>521</v>
      </c>
      <c r="E213" s="226">
        <v>43104.817280092589</v>
      </c>
      <c r="F213" s="226">
        <v>43104.819224537037</v>
      </c>
      <c r="G213" s="225">
        <v>93</v>
      </c>
      <c r="H213" s="227" t="s">
        <v>1009</v>
      </c>
      <c r="I213" s="226">
        <v>43104.819710648146</v>
      </c>
      <c r="J213" s="225">
        <v>0</v>
      </c>
      <c r="K213" s="237" t="str">
        <f>IF(ISEVEN(B213),(B213-1)&amp;"/"&amp;B213,B213&amp;"/"&amp;(B213+1))</f>
        <v>4043/4044</v>
      </c>
      <c r="L213" s="245" t="str">
        <f>VLOOKUP(A213,'Trips&amp;Operators'!$C$1:$G$99911,5,FALSE)</f>
        <v>HOLCOMB KAMDEN</v>
      </c>
      <c r="M213" s="224">
        <f>I213-F213</f>
        <v>4.8611110833007842E-4</v>
      </c>
      <c r="N213" s="225">
        <f>24*60*SUM($M213:$M213)</f>
        <v>0.69999999599531293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-04T18:36:53-0700',mode:absolute,to:'2018-01-04T20:40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4.9799999999999997E-2</v>
      </c>
      <c r="Z213" s="247">
        <f>RIGHT(H213,LEN(H213)-4)/10000</f>
        <v>0.27289999999999998</v>
      </c>
      <c r="AA213" s="247">
        <f>ABS(Z213-Y213)</f>
        <v>0.22309999999999997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305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/stypes="app*4044*20180105*" /stext=" 02:.+((SYSTEM_STATE.+slice.+state.+changed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54"/>
        <v>"%USERPROFILE%\Documents\GitHub\eaglep3\Utilities\RefineRTDCRunTimes.py" --tripid 305-04 --locoid 4044 --swversion DE.1.0.9.0 --startMP 204:498 --initTime 2018-01-04T19:36:53 --startdatetime 2018-01-04T19:39:41 --delay 93 --endMP 204:2729 --enddatetime 2018-01-04T19:40:23 --enforcementcount 0 &gt;&gt;%USERPROFILE%\Documents\GitHub\eaglep3-reporting\EC\2018-01-04-refined-times.txt</v>
      </c>
      <c r="AI213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{"issue":{"subject":"","project_id":79,"tracker_id":40,"status_id":1,"priority_id":2,"assigned_to_id":338,"start_date":"2018-01-04","description":"","custom_fields":[{"id":1,"name":"Subdivision","value":"Other"},{"id":4,"name":"Milepost","value":"0.2729"},{"id":17,"name":"Train ID","value":"305-04"},{"id":16,"name":"Locomotive ID","value":"4044"},{"id":130,"name":"Impact","value":""},{"id":150,"name":"Time of Event (Mountain Time)","value":"19:40:23"},{"id":151,"name":"Denver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56"/>
        <v>start /low /b %USERPROFILE%\Documents\GitHub\eaglep3\Utilities\DownloadLogsFromS3.py --loco 4044 --day 2018-01-04</v>
      </c>
      <c r="AN213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58"/>
        <v>https://d0f6bd738d7f1b3e5a7ca70fe4ff75f0.us-east-1.aws.found.io/app/kibana#/discover/Steve-Slow-Train-Analysis-(2080s-and-2083s)?_g=(refreshInterval:(display:Off,pause:!f,section:0,value:0),time:(from:'2018-01-04T18:36:53-0700',mode:absolute,to:'2018-01-04T20:40:23-0700'))&amp;_a=(columns:!('Message%20ID',Summary),filters:!(),index:'emp_*',interval:auto,query:(query_string:(analyze_wildcard:!t,query:'%22rtdc.l.rtdc.4044%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29" t="s">
        <v>698</v>
      </c>
      <c r="B214" s="225">
        <v>4063</v>
      </c>
      <c r="C214" s="227" t="s">
        <v>192</v>
      </c>
      <c r="D214" s="227" t="s">
        <v>1010</v>
      </c>
      <c r="E214" s="226">
        <v>43104.169907407406</v>
      </c>
      <c r="F214" s="226">
        <v>43104.174305555556</v>
      </c>
      <c r="G214" s="225">
        <v>79</v>
      </c>
      <c r="H214" s="227" t="s">
        <v>613</v>
      </c>
      <c r="I214" s="226">
        <v>43104.179675925923</v>
      </c>
      <c r="J214" s="225">
        <v>0</v>
      </c>
      <c r="K214" s="237" t="str">
        <f>IF(ISEVEN(B214),(B214-1)&amp;"/"&amp;B214,B214&amp;"/"&amp;(B214+1))</f>
        <v>4063/4064</v>
      </c>
      <c r="L214" s="245" t="str">
        <f>VLOOKUP(A214,'Trips&amp;Operators'!$C$1:$G$99911,5,FALSE)</f>
        <v>GEBRETEKLE DAGNEW</v>
      </c>
      <c r="M214" s="224">
        <f>I214-F214</f>
        <v>5.3703703670180403E-3</v>
      </c>
      <c r="N214" s="225">
        <f>24*60*SUM($M214:$M214)</f>
        <v>7.733333328505978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-04T03:04:40-0700',mode:absolute,to:'2018-01-04T05:18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2.3626999999999998</v>
      </c>
      <c r="Z214" s="247">
        <f>RIGHT(H214,LEN(H214)-4)/10000</f>
        <v>1.41E-2</v>
      </c>
      <c r="AA214" s="247">
        <f>ABS(Z214-Y214)</f>
        <v>2.3485999999999998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306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/stypes="app*4063*20180104*" /stext=" 11:.+((SYSTEM_STATE.+slice.+state.+changed )|(ment ac)|(multiple cpu faults)|(system.+state.+changed )|(\[timeout)|(PRM\|1\|D)|(kpr)|(kdp)|(train st.+moving)|(\|lc)|(penalty))"</v>
      </c>
      <c r="AG214" s="244" t="str">
        <f>DetSubdiv(A214)</f>
        <v>Other</v>
      </c>
      <c r="AH214" s="236" t="str">
        <f t="shared" si="54"/>
        <v>"%USERPROFILE%\Documents\GitHub\eaglep3\Utilities\RefineRTDCRunTimes.py" --tripid 306-04 --locoid 4063 --swversion DE.1.0.9.0 --startMP 300:23627 --initTime 2018-01-04T04:04:40 --startdatetime 2018-01-04T04:11:00 --delay 79 --endMP 204:141 --enddatetime 2018-01-04T04:18:44 --enforcementcount 0 &gt;&gt;%USERPROFILE%\Documents\GitHub\eaglep3-reporting\EC\2018-01-04-refined-times.txt</v>
      </c>
      <c r="AI214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{"issue":{"subject":"","project_id":79,"tracker_id":40,"status_id":1,"priority_id":2,"assigned_to_id":338,"start_date":"2018-01-04","description":"","custom_fields":[{"id":1,"name":"Subdivision","value":"Other"},{"id":4,"name":"Milepost","value":"0.0141"},{"id":17,"name":"Train ID","value":"306-04"},{"id":16,"name":"Locomotive ID","value":"4063"},{"id":130,"name":"Impact","value":""},{"id":150,"name":"Time of Event (Mountain Time)","value":"04:18:44"},{"id":151,"name":"Denver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56"/>
        <v>start /low /b %USERPROFILE%\Documents\GitHub\eaglep3\Utilities\DownloadLogsFromS3.py --loco 4063 --day 2018-01-04</v>
      </c>
      <c r="AN214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11:18:44"},{"id":29,"name":"Sharepoint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58"/>
        <v>https://d0f6bd738d7f1b3e5a7ca70fe4ff75f0.us-east-1.aws.found.io/app/kibana#/discover/Steve-Slow-Train-Analysis-(2080s-and-2083s)?_g=(refreshInterval:(display:Off,pause:!f,section:0,value:0),time:(from:'2018-01-04T03:04:40-0700',mode:absolute,to:'2018-01-04T05:18:44-0700'))&amp;_a=(columns:!('Message%20ID',Summary),filters:!(),index:'emp_*',interval:auto,query:(query_string:(analyze_wildcard:!t,query:'%22rtdc.l.rtdc.4063%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902</v>
      </c>
      <c r="B215" s="225">
        <v>4018</v>
      </c>
      <c r="C215" s="227" t="s">
        <v>192</v>
      </c>
      <c r="D215" s="227" t="s">
        <v>487</v>
      </c>
      <c r="E215" s="226">
        <v>43105.047638888886</v>
      </c>
      <c r="F215" s="226">
        <v>43105.049201388887</v>
      </c>
      <c r="G215" s="225">
        <v>70</v>
      </c>
      <c r="H215" s="227" t="s">
        <v>638</v>
      </c>
      <c r="I215" s="226">
        <v>43105.058495370373</v>
      </c>
      <c r="J215" s="225">
        <v>0</v>
      </c>
      <c r="K215" s="237" t="str">
        <f>IF(ISEVEN(B215),(B215-1)&amp;"/"&amp;B215,B215&amp;"/"&amp;(B215+1))</f>
        <v>4017/4018</v>
      </c>
      <c r="L215" s="245" t="str">
        <f>VLOOKUP(A215,'Trips&amp;Operators'!$C$1:$G$99911,5,FALSE)</f>
        <v>LOZA FIDEL</v>
      </c>
      <c r="M215" s="224">
        <f>I215-F215</f>
        <v>9.2939814858254977E-3</v>
      </c>
      <c r="N215" s="225">
        <f>24*60*SUM($M215:$M215)</f>
        <v>13.383333339588717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-05T00:08:36-0700',mode:absolute,to:'2018-01-05T02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5.2200000000000003E-2</v>
      </c>
      <c r="Z215" s="247">
        <f>RIGHT(H215,LEN(H215)-4)/10000</f>
        <v>2.3306</v>
      </c>
      <c r="AA215" s="247">
        <f>ABS(Z215-Y215)</f>
        <v>2.2784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307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s3://rtdc.mdm.uploadarchive.raw/RTDC4018/ "%USERPROFILE%\AppData\Local\Temp\OnboardLogs"\RTDC4018\2018-01-05 --exclude "*" --recursive --include "*20180105*" &amp; "%USERPROFILE%\Documents\GitHub\mrs-test-scripts\Headless Mode &amp; Sideloading\WalkAndUnGZ.bat" "%USERPROFILE%\AppData\Local\Temp\OnboardLogs"\RTDC4018\2018-01-05 &amp; aws s3 cp s3://rtdc.mdm.uploadarchive.raw/RTDC4018/ "%USERPROFILE%\AppData\Local\Temp\OnboardLogs"\RTDC4018\2018-01-06 --exclude "*" --recursive --include "*20180106*" &amp; "%USERPROFILE%\Documents\GitHub\mrs-test-scripts\Headless Mode &amp; Sideloading\WalkAndUnGZ.bat" "%USERPROFILE%\AppData\Local\Temp\OnboardLogs"\RTDC4018\2018-01-06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/stypes="app*4018*20180105*" /stext=" 08:.+((SYSTEM_STATE.+slice.+state.+changed )|(ment ac)|(multiple cpu faults)|(system.+state.+changed )|(\[timeout)|(PRM\|1\|D)|(kpr)|(kdp)|(train st.+moving)|(\|lc)|(penalty))"</v>
      </c>
      <c r="AG215" s="244" t="str">
        <f>DetSubdiv(A215)</f>
        <v>Other</v>
      </c>
      <c r="AH215" s="236" t="str">
        <f t="shared" si="54"/>
        <v>"%USERPROFILE%\Documents\GitHub\eaglep3\Utilities\RefineRTDCRunTimes.py" --tripid 307-04 --locoid 4018 --swversion DE.1.0.9.0 --startMP 204:522 --initTime 2018-01-05T01:08:36 --startdatetime 2018-01-05T01:10:51 --delay 70 --endMP 300:23306 --enddatetime 2018-01-05T01:24:14 --enforcementcount 0 &gt;&gt;%USERPROFILE%\Documents\GitHub\eaglep3-reporting\EC\2018-01-04-refined-times.txt</v>
      </c>
      <c r="AI215" s="238" t="str">
        <f t="shared" si="55"/>
        <v>echo {"issue":{"subject":"","project_id":79,"tracker_id":40,"status_id":1,"priority_id":2,"assigned_to_id":338,"start_date":"2018-01-05","description":"","custom_fields":[{"id":1,"name":"Subdivision","value":"Other"},{"id":4,"name":"Milepost","value":"2.3306"},{"id":17,"name":"Train ID","value":"307-04"},{"id":16,"name":"Locomotive ID","value":"4018"},{"id":130,"name":"Impact","value":""},{"id":150,"name":"Time of Event (Mountain Time)","value":"01:24:14"},{"id":151,"name":"Denver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56"/>
        <v>start /low /b %USERPROFILE%\Documents\GitHub\eaglep3\Utilities\DownloadLogsFromS3.py --loco 4018 --day 2018-01-05</v>
      </c>
      <c r="AN215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08:24:14"},{"id":29,"name":"Sharepoint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58"/>
        <v>https://d0f6bd738d7f1b3e5a7ca70fe4ff75f0.us-east-1.aws.found.io/app/kibana#/discover/Steve-Slow-Train-Analysis-(2080s-and-2083s)?_g=(refreshInterval:(display:Off,pause:!f,section:0,value:0),time:(from:'2018-01-05T00:08:36-0700',mode:absolute,to:'2018-01-05T02:24:14-0700'))&amp;_a=(columns:!('Message%20ID',Summary),filters:!(),index:'emp_*',interval:auto,query:(query_string:(analyze_wildcard:!t,query:'%22rtdc.l.rtdc.4018%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3">
      <c r="A216" s="229" t="s">
        <v>701</v>
      </c>
      <c r="B216" s="225">
        <v>4051</v>
      </c>
      <c r="C216" s="227" t="s">
        <v>192</v>
      </c>
      <c r="D216" s="227" t="s">
        <v>1011</v>
      </c>
      <c r="E216" s="226">
        <v>43104.174259259256</v>
      </c>
      <c r="F216" s="226">
        <v>43104.179814814815</v>
      </c>
      <c r="G216" s="225">
        <v>197</v>
      </c>
      <c r="H216" s="227" t="s">
        <v>463</v>
      </c>
      <c r="I216" s="226">
        <v>43104.190821759257</v>
      </c>
      <c r="J216" s="225">
        <v>0</v>
      </c>
      <c r="K216" s="237" t="str">
        <f>IF(ISEVEN(B216),(B216-1)&amp;"/"&amp;B216,B216&amp;"/"&amp;(B216+1))</f>
        <v>4051/4052</v>
      </c>
      <c r="L216" s="245" t="str">
        <f>VLOOKUP(A216,'Trips&amp;Operators'!$C$1:$G$99911,5,FALSE)</f>
        <v>WILLIAMS DONTE</v>
      </c>
      <c r="M216" s="224">
        <f>I216-F216</f>
        <v>1.1006944441760425E-2</v>
      </c>
      <c r="N216" s="225">
        <f>24*60*SUM($M216:$M216)</f>
        <v>15.849999996135011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-04T03:10:56-0700',mode:absolute,to:'2018-01-04T05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2.3504</v>
      </c>
      <c r="Z216" s="247">
        <f>RIGHT(H216,LEN(H216)-4)/10000</f>
        <v>1.9599999999999999E-2</v>
      </c>
      <c r="AA216" s="247">
        <f>ABS(Z216-Y216)</f>
        <v>2.3308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308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/stypes="app*4051*20180104*" /stext=" 11:.+((SYSTEM_STATE.+slice.+state.+changed )|(ment ac)|(multiple cpu faults)|(system.+state.+changed )|(\[timeout)|(PRM\|1\|D)|(kpr)|(kdp)|(train st.+moving)|(\|lc)|(penalty))"</v>
      </c>
      <c r="AG216" s="244" t="str">
        <f>DetSubdiv(A216)</f>
        <v>Other</v>
      </c>
      <c r="AH216" s="236" t="str">
        <f t="shared" si="54"/>
        <v>"%USERPROFILE%\Documents\GitHub\eaglep3\Utilities\RefineRTDCRunTimes.py" --tripid 308-04 --locoid 4051 --swversion DE.1.0.9.0 --startMP 300:23504 --initTime 2018-01-04T04:10:56 --startdatetime 2018-01-04T04:18:56 --delay 197 --endMP 204:196 --enddatetime 2018-01-04T04:34:47 --enforcementcount 0 &gt;&gt;%USERPROFILE%\Documents\GitHub\eaglep3-reporting\EC\2018-01-04-refined-times.txt</v>
      </c>
      <c r="AI216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{"issue":{"subject":"","project_id":79,"tracker_id":40,"status_id":1,"priority_id":2,"assigned_to_id":338,"start_date":"2018-01-04","description":"","custom_fields":[{"id":1,"name":"Subdivision","value":"Other"},{"id":4,"name":"Milepost","value":"0.0196"},{"id":17,"name":"Train ID","value":"308-04"},{"id":16,"name":"Locomotive ID","value":"4051"},{"id":130,"name":"Impact","value":""},{"id":150,"name":"Time of Event (Mountain Time)","value":"04:34:47"},{"id":151,"name":"Denver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1"/>
      <c r="AL216" s="231"/>
      <c r="AM216" s="240" t="str">
        <f t="shared" si="56"/>
        <v>start /low /b %USERPROFILE%\Documents\GitHub\eaglep3\Utilities\DownloadLogsFromS3.py --loco 4051 --day 2018-01-04</v>
      </c>
      <c r="AN216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11:34:47"},{"id":29,"name":"Sharepoint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58"/>
        <v>https://d0f6bd738d7f1b3e5a7ca70fe4ff75f0.us-east-1.aws.found.io/app/kibana#/discover/Steve-Slow-Train-Analysis-(2080s-and-2083s)?_g=(refreshInterval:(display:Off,pause:!f,section:0,value:0),time:(from:'2018-01-04T03:10:56-0700',mode:absolute,to:'2018-01-04T05:34:47-0700'))&amp;_a=(columns:!('Message%20ID',Summary),filters:!(),index:'emp_*',interval:auto,query:(query_string:(analyze_wildcard:!t,query:'%22rtdc.l.rtdc.4051%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904</v>
      </c>
      <c r="B217" s="225">
        <v>4046</v>
      </c>
      <c r="C217" s="227" t="s">
        <v>192</v>
      </c>
      <c r="D217" s="227" t="s">
        <v>567</v>
      </c>
      <c r="E217" s="226">
        <v>43105.066435185188</v>
      </c>
      <c r="F217" s="226">
        <v>43105.067881944444</v>
      </c>
      <c r="G217" s="225">
        <v>66</v>
      </c>
      <c r="H217" s="227" t="s">
        <v>640</v>
      </c>
      <c r="I217" s="226">
        <v>43105.07545138889</v>
      </c>
      <c r="J217" s="225">
        <v>0</v>
      </c>
      <c r="K217" s="237" t="str">
        <f>IF(ISEVEN(B217),(B217-1)&amp;"/"&amp;B217,B217&amp;"/"&amp;(B217+1))</f>
        <v>4045/4046</v>
      </c>
      <c r="L217" s="245" t="str">
        <f>VLOOKUP(A217,'Trips&amp;Operators'!$C$1:$G$99911,5,FALSE)</f>
        <v>ELBAUM MIKE</v>
      </c>
      <c r="M217" s="224">
        <f>I217-F217</f>
        <v>7.5694444458349608E-3</v>
      </c>
      <c r="N217" s="225">
        <f>24*60*SUM($M217:$M217)</f>
        <v>10.900000002002344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-05T00:35:40-0700',mode:absolute,to:'2018-01-05T02:48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5.79E-2</v>
      </c>
      <c r="Z217" s="247">
        <f>RIGHT(H217,LEN(H217)-4)/10000</f>
        <v>2.331</v>
      </c>
      <c r="AA217" s="247">
        <f>ABS(Z217-Y217)</f>
        <v>2.2730999999999999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309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s3://rtdc.mdm.uploadarchive.raw/RTDC4046/ "%USERPROFILE%\AppData\Local\Temp\OnboardLogs"\RTDC4046\2018-01-05 --exclude "*" --recursive --include "*20180105*" &amp; "%USERPROFILE%\Documents\GitHub\mrs-test-scripts\Headless Mode &amp; Sideloading\WalkAndUnGZ.bat" "%USERPROFILE%\AppData\Local\Temp\OnboardLogs"\RTDC4046\2018-01-05 &amp; aws s3 cp s3://rtdc.mdm.uploadarchive.raw/RTDC4046/ "%USERPROFILE%\AppData\Local\Temp\OnboardLogs"\RTDC4046\2018-01-06 --exclude "*" --recursive --include "*20180106*" &amp; "%USERPROFILE%\Documents\GitHub\mrs-test-scripts\Headless Mode &amp; Sideloading\WalkAndUnGZ.bat" "%USERPROFILE%\AppData\Local\Temp\OnboardLogs"\RTDC4046\2018-01-06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/stypes="app*4046*20180105*" /stext=" 08:.+((SYSTEM_STATE.+slice.+state.+changed )|(ment ac)|(multiple cpu faults)|(system.+state.+changed )|(\[timeout)|(PRM\|1\|D)|(kpr)|(kdp)|(train st.+moving)|(\|lc)|(penalty))"</v>
      </c>
      <c r="AG217" s="244" t="str">
        <f>DetSubdiv(A217)</f>
        <v>Other</v>
      </c>
      <c r="AH217" s="236" t="str">
        <f t="shared" si="54"/>
        <v>"%USERPROFILE%\Documents\GitHub\eaglep3\Utilities\RefineRTDCRunTimes.py" --tripid 309-04 --locoid 4046 --swversion DE.1.0.9.0 --startMP 204:579 --initTime 2018-01-05T01:35:40 --startdatetime 2018-01-05T01:37:45 --delay 66 --endMP 300:23310 --enddatetime 2018-01-05T01:48:39 --enforcementcount 0 &gt;&gt;%USERPROFILE%\Documents\GitHub\eaglep3-reporting\EC\2018-01-04-refined-times.txt</v>
      </c>
      <c r="AI217" s="238" t="str">
        <f t="shared" si="55"/>
        <v>echo {"issue":{"subject":"","project_id":79,"tracker_id":40,"status_id":1,"priority_id":2,"assigned_to_id":338,"start_date":"2018-01-05","description":"","custom_fields":[{"id":1,"name":"Subdivision","value":"Other"},{"id":4,"name":"Milepost","value":"2.331"},{"id":17,"name":"Train ID","value":"309-04"},{"id":16,"name":"Locomotive ID","value":"4046"},{"id":130,"name":"Impact","value":""},{"id":150,"name":"Time of Event (Mountain Time)","value":"01:48:39"},{"id":151,"name":"Denver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56"/>
        <v>start /low /b %USERPROFILE%\Documents\GitHub\eaglep3\Utilities\DownloadLogsFromS3.py --loco 4046 --day 2018-01-05</v>
      </c>
      <c r="AN217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08:48:39"},{"id":29,"name":"Sharepoint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58"/>
        <v>https://d0f6bd738d7f1b3e5a7ca70fe4ff75f0.us-east-1.aws.found.io/app/kibana#/discover/Steve-Slow-Train-Analysis-(2080s-and-2083s)?_g=(refreshInterval:(display:Off,pause:!f,section:0,value:0),time:(from:'2018-01-05T00:35:40-0700',mode:absolute,to:'2018-01-05T02:48:39-0700'))&amp;_a=(columns:!('Message%20ID',Summary),filters:!(),index:'emp_*',interval:auto,query:(query_string:(analyze_wildcard:!t,query:'%22rtdc.l.rtdc.4046%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708</v>
      </c>
      <c r="B218" s="225">
        <v>4031</v>
      </c>
      <c r="C218" s="227" t="s">
        <v>192</v>
      </c>
      <c r="D218" s="227" t="s">
        <v>1012</v>
      </c>
      <c r="E218" s="226">
        <v>43104.199618055558</v>
      </c>
      <c r="F218" s="226">
        <v>43104.205462962964</v>
      </c>
      <c r="G218" s="225">
        <v>62</v>
      </c>
      <c r="H218" s="227" t="s">
        <v>489</v>
      </c>
      <c r="I218" s="226">
        <v>43104.2109837963</v>
      </c>
      <c r="J218" s="225">
        <v>0</v>
      </c>
      <c r="K218" s="237" t="str">
        <f>IF(ISEVEN(B218),(B218-1)&amp;"/"&amp;B218,B218&amp;"/"&amp;(B218+1))</f>
        <v>4031/4032</v>
      </c>
      <c r="L218" s="245" t="str">
        <f>VLOOKUP(A218,'Trips&amp;Operators'!$C$1:$G$99911,5,FALSE)</f>
        <v>BEAM ROSS</v>
      </c>
      <c r="M218" s="224">
        <f>I218-F218</f>
        <v>5.5208333360496908E-3</v>
      </c>
      <c r="N218" s="225">
        <f>24*60*SUM($M218:$M218)</f>
        <v>7.9500000039115548</v>
      </c>
      <c r="O218" s="225"/>
      <c r="P218" s="225"/>
      <c r="Q218" s="228"/>
      <c r="R218" s="242"/>
      <c r="S218" s="249">
        <f>1/IF(AG218="EC",12,1)*SUM(U218:U218)</f>
        <v>1</v>
      </c>
      <c r="T218" s="242" t="str">
        <f>IF(ISEVEN(LEFT(AD218,4)),"Southbound","NorthBound")</f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-04T03:47:27-0700',mode:absolute,to:'2018-01-04T06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</v>
      </c>
      <c r="Y218" s="247">
        <f>RIGHT(D218,LEN(D218)-4)/10000</f>
        <v>2.5444</v>
      </c>
      <c r="Z218" s="247">
        <f>RIGHT(H218,LEN(H218)-4)/10000</f>
        <v>0.02</v>
      </c>
      <c r="AA218" s="247">
        <f>ABS(Z218-Y218)</f>
        <v>2.5244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310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s3://rtdc.mdm.uploadarchive.raw/RTDC4031/ "%USERPROFILE%\AppData\Local\Temp\OnboardLogs"\RTDC4031\2018-01-04 --exclude "*" --recursive --include "*20180104*" &amp; "%USERPROFILE%\Documents\GitHub\mrs-test-scripts\Headless Mode &amp; Sideloading\WalkAndUnGZ.bat" "%USERPROFILE%\AppData\Local\Temp\OnboardLogs"\RTDC4031\2018-01-04 &amp; aws s3 cp s3://rtdc.mdm.uploadarchive.raw/RTDC4031/ "%USERPROFILE%\AppData\Local\Temp\OnboardLogs"\RTDC4031\2018-01-05 --exclude "*" --recursive --include "*20180105*" &amp; "%USERPROFILE%\Documents\GitHub\mrs-test-scripts\Headless Mode &amp; Sideloading\WalkAndUnGZ.bat" "%USERPROFILE%\AppData\Local\Temp\OnboardLogs"\RTDC4031\2018-01-05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/stypes="app*4031*20180104*" /stext=" 12:.+((SYSTEM_STATE.+slice.+state.+changed )|(ment ac)|(multiple cpu faults)|(system.+state.+changed )|(\[timeout)|(PRM\|1\|D)|(kpr)|(kdp)|(train st.+moving)|(\|lc)|(penalty))"</v>
      </c>
      <c r="AG218" s="244" t="str">
        <f>DetSubdiv(A218)</f>
        <v>Other</v>
      </c>
      <c r="AH218" s="236" t="str">
        <f t="shared" si="54"/>
        <v>"%USERPROFILE%\Documents\GitHub\eaglep3\Utilities\RefineRTDCRunTimes.py" --tripid 310-04 --locoid 4031 --swversion DE.1.0.9.0 --startMP 300:25444 --initTime 2018-01-04T04:47:27 --startdatetime 2018-01-04T04:55:52 --delay 62 --endMP 204:200 --enddatetime 2018-01-04T05:03:49 --enforcementcount 0 &gt;&gt;%USERPROFILE%\Documents\GitHub\eaglep3-reporting\EC\2018-01-04-refined-times.txt</v>
      </c>
      <c r="AI218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{"issue":{"subject":"","project_id":79,"tracker_id":40,"status_id":1,"priority_id":2,"assigned_to_id":338,"start_date":"2018-01-04","description":"","custom_fields":[{"id":1,"name":"Subdivision","value":"Other"},{"id":4,"name":"Milepost","value":"0.02"},{"id":17,"name":"Train ID","value":"310-04"},{"id":16,"name":"Locomotive ID","value":"4031"},{"id":130,"name":"Impact","value":""},{"id":150,"name":"Time of Event (Mountain Time)","value":"05:03:49"},{"id":151,"name":"Denver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56"/>
        <v>start /low /b %USERPROFILE%\Documents\GitHub\eaglep3\Utilities\DownloadLogsFromS3.py --loco 4031 --day 2018-01-04</v>
      </c>
      <c r="AN218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58"/>
        <v>https://d0f6bd738d7f1b3e5a7ca70fe4ff75f0.us-east-1.aws.found.io/app/kibana#/discover/Steve-Slow-Train-Analysis-(2080s-and-2083s)?_g=(refreshInterval:(display:Off,pause:!f,section:0,value:0),time:(from:'2018-01-04T03:47:27-0700',mode:absolute,to:'2018-01-04T06:03:49-0700'))&amp;_a=(columns:!('Message%20ID',Summary),filters:!(),index:'emp_*',interval:auto,query:(query_string:(analyze_wildcard:!t,query:'%22rtdc.l.rtdc.4031%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905</v>
      </c>
      <c r="B219" s="225">
        <v>4064</v>
      </c>
      <c r="C219" s="227" t="s">
        <v>192</v>
      </c>
      <c r="D219" s="227" t="s">
        <v>545</v>
      </c>
      <c r="E219" s="226">
        <v>43105.090891203705</v>
      </c>
      <c r="F219" s="226">
        <v>43105.092986111114</v>
      </c>
      <c r="G219" s="225">
        <v>72</v>
      </c>
      <c r="H219" s="227" t="s">
        <v>638</v>
      </c>
      <c r="I219" s="226">
        <v>43105.103738425925</v>
      </c>
      <c r="J219" s="225">
        <v>0</v>
      </c>
      <c r="K219" s="237" t="str">
        <f>IF(ISEVEN(B219),(B219-1)&amp;"/"&amp;B219,B219&amp;"/"&amp;(B219+1))</f>
        <v>4063/4064</v>
      </c>
      <c r="L219" s="245" t="str">
        <f>VLOOKUP(A219,'Trips&amp;Operators'!$C$1:$G$99911,5,FALSE)</f>
        <v>NICHOLSON WESLEY</v>
      </c>
      <c r="M219" s="224">
        <f>I219-F219</f>
        <v>1.0752314810815733E-2</v>
      </c>
      <c r="N219" s="225">
        <f>24*60*SUM($M219:$M219)</f>
        <v>15.483333327574655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-05T01:10:53-0700',mode:absolute,to:'2018-01-05T03:29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1</v>
      </c>
      <c r="Y219" s="247">
        <f>RIGHT(D219,LEN(D219)-4)/10000</f>
        <v>5.4800000000000001E-2</v>
      </c>
      <c r="Z219" s="247">
        <f>RIGHT(H219,LEN(H219)-4)/10000</f>
        <v>2.3306</v>
      </c>
      <c r="AA219" s="247">
        <f>ABS(Z219-Y219)</f>
        <v>2.2757999999999998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311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s3://rtdc.mdm.uploadarchive.raw/RTDC4064/ "%USERPROFILE%\AppData\Local\Temp\OnboardLogs"\RTDC4064\2018-01-05 --exclude "*" --recursive --include "*20180105*" &amp; "%USERPROFILE%\Documents\GitHub\mrs-test-scripts\Headless Mode &amp; Sideloading\WalkAndUnGZ.bat" "%USERPROFILE%\AppData\Local\Temp\OnboardLogs"\RTDC4064\2018-01-05 &amp; 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/stypes="app*4064*20180105*" /stext=" 09:.+((SYSTEM_STATE.+slice.+state.+changed )|(ment ac)|(multiple cpu faults)|(system.+state.+changed )|(\[timeout)|(PRM\|1\|D)|(kpr)|(kdp)|(train st.+moving)|(\|lc)|(penalty))"</v>
      </c>
      <c r="AG219" s="244" t="str">
        <f>DetSubdiv(A219)</f>
        <v>Other</v>
      </c>
      <c r="AH219" s="236" t="str">
        <f t="shared" si="54"/>
        <v>"%USERPROFILE%\Documents\GitHub\eaglep3\Utilities\RefineRTDCRunTimes.py" --tripid 311-04 --locoid 4064 --swversion DE.1.0.9.0 --startMP 204:548 --initTime 2018-01-05T02:10:53 --startdatetime 2018-01-05T02:13:54 --delay 72 --endMP 300:23306 --enddatetime 2018-01-05T02:29:23 --enforcementcount 0 &gt;&gt;%USERPROFILE%\Documents\GitHub\eaglep3-reporting\EC\2018-01-04-refined-times.txt</v>
      </c>
      <c r="AI219" s="238" t="str">
        <f t="shared" si="55"/>
        <v>echo {"issue":{"subject":"","project_id":79,"tracker_id":40,"status_id":1,"priority_id":2,"assigned_to_id":338,"start_date":"2018-01-05","description":"","custom_fields":[{"id":1,"name":"Subdivision","value":"Other"},{"id":4,"name":"Milepost","value":"2.3306"},{"id":17,"name":"Train ID","value":"311-04"},{"id":16,"name":"Locomotive ID","value":"4064"},{"id":130,"name":"Impact","value":""},{"id":150,"name":"Time of Event (Mountain Time)","value":"02:29:23"},{"id":151,"name":"Denver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56"/>
        <v>start /low /b %USERPROFILE%\Documents\GitHub\eaglep3\Utilities\DownloadLogsFromS3.py --loco 4064 --day 2018-01-05</v>
      </c>
      <c r="AN219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09:29:23"},{"id":29,"name":"Sharepoint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58"/>
        <v>https://d0f6bd738d7f1b3e5a7ca70fe4ff75f0.us-east-1.aws.found.io/app/kibana#/discover/Steve-Slow-Train-Analysis-(2080s-and-2083s)?_g=(refreshInterval:(display:Off,pause:!f,section:0,value:0),time:(from:'2018-01-05T01:10:53-0700',mode:absolute,to:'2018-01-05T03:29:23-0700'))&amp;_a=(columns:!('Message%20ID',Summary),filters:!(),index:'emp_*',interval:auto,query:(query_string:(analyze_wildcard:!t,query:'%22rtdc.l.rtdc.4064%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715</v>
      </c>
      <c r="B220" s="225">
        <v>4043</v>
      </c>
      <c r="C220" s="227" t="s">
        <v>192</v>
      </c>
      <c r="D220" s="227" t="s">
        <v>1013</v>
      </c>
      <c r="E220" s="226">
        <v>43104.222083333334</v>
      </c>
      <c r="F220" s="226">
        <v>43104.226030092592</v>
      </c>
      <c r="G220" s="225">
        <v>111</v>
      </c>
      <c r="H220" s="227" t="s">
        <v>558</v>
      </c>
      <c r="I220" s="226">
        <v>43104.232731481483</v>
      </c>
      <c r="J220" s="225">
        <v>0</v>
      </c>
      <c r="K220" s="237" t="str">
        <f>IF(ISEVEN(B220),(B220-1)&amp;"/"&amp;B220,B220&amp;"/"&amp;(B220+1))</f>
        <v>4043/4044</v>
      </c>
      <c r="L220" s="245" t="str">
        <f>VLOOKUP(A220,'Trips&amp;Operators'!$C$1:$G$99911,5,FALSE)</f>
        <v>DAVIDSON DAVID</v>
      </c>
      <c r="M220" s="224">
        <f>I220-F220</f>
        <v>6.701388891087845E-3</v>
      </c>
      <c r="N220" s="225">
        <f>24*60*SUM($M220:$M220)</f>
        <v>9.6500000031664968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-04T04:19:48-0700',mode:absolute,to:'2018-01-04T06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1</v>
      </c>
      <c r="Y220" s="247">
        <f>RIGHT(D220,LEN(D220)-4)/10000</f>
        <v>2.3342999999999998</v>
      </c>
      <c r="Z220" s="247">
        <f>RIGHT(H220,LEN(H220)-4)/10000</f>
        <v>2.23E-2</v>
      </c>
      <c r="AA220" s="247">
        <f>ABS(Z220-Y220)</f>
        <v>2.3119999999999998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312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/stypes="app*4043*20180104*" /stext=" 12:.+((SYSTEM_STATE.+slice.+state.+changed )|(ment ac)|(multiple cpu faults)|(system.+state.+changed )|(\[timeout)|(PRM\|1\|D)|(kpr)|(kdp)|(train st.+moving)|(\|lc)|(penalty))"</v>
      </c>
      <c r="AG220" s="244" t="str">
        <f>DetSubdiv(A220)</f>
        <v>Other</v>
      </c>
      <c r="AH220" s="236" t="str">
        <f t="shared" si="54"/>
        <v>"%USERPROFILE%\Documents\GitHub\eaglep3\Utilities\RefineRTDCRunTimes.py" --tripid 312-04 --locoid 4043 --swversion DE.1.0.9.0 --startMP 300:23343 --initTime 2018-01-04T05:19:48 --startdatetime 2018-01-04T05:25:29 --delay 111 --endMP 204:223 --enddatetime 2018-01-04T05:35:08 --enforcementcount 0 &gt;&gt;%USERPROFILE%\Documents\GitHub\eaglep3-reporting\EC\2018-01-04-refined-times.txt</v>
      </c>
      <c r="AI220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{"issue":{"subject":"","project_id":79,"tracker_id":40,"status_id":1,"priority_id":2,"assigned_to_id":338,"start_date":"2018-01-04","description":"","custom_fields":[{"id":1,"name":"Subdivision","value":"Other"},{"id":4,"name":"Milepost","value":"0.0223"},{"id":17,"name":"Train ID","value":"312-04"},{"id":16,"name":"Locomotive ID","value":"4043"},{"id":130,"name":"Impact","value":""},{"id":150,"name":"Time of Event (Mountain Time)","value":"05:35:08"},{"id":151,"name":"Denver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56"/>
        <v>start /low /b %USERPROFILE%\Documents\GitHub\eaglep3\Utilities\DownloadLogsFromS3.py --loco 4043 --day 2018-01-04</v>
      </c>
      <c r="AN220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58"/>
        <v>https://d0f6bd738d7f1b3e5a7ca70fe4ff75f0.us-east-1.aws.found.io/app/kibana#/discover/Steve-Slow-Train-Analysis-(2080s-and-2083s)?_g=(refreshInterval:(display:Off,pause:!f,section:0,value:0),time:(from:'2018-01-04T04:19:48-0700',mode:absolute,to:'2018-01-04T06:35:08-0700'))&amp;_a=(columns:!('Message%20ID',Summary),filters:!(),index:'emp_*',interval:auto,query:(query_string:(analyze_wildcard:!t,query:'%22rtdc.l.rtdc.4043%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9" t="s">
        <v>901</v>
      </c>
      <c r="B221" s="225">
        <v>4034</v>
      </c>
      <c r="C221" s="227" t="s">
        <v>192</v>
      </c>
      <c r="D221" s="227" t="s">
        <v>985</v>
      </c>
      <c r="E221" s="226">
        <v>43105.027280092596</v>
      </c>
      <c r="F221" s="226">
        <v>43105.028634259259</v>
      </c>
      <c r="G221" s="225">
        <v>51</v>
      </c>
      <c r="H221" s="227" t="s">
        <v>1007</v>
      </c>
      <c r="I221" s="226">
        <v>43105.036493055559</v>
      </c>
      <c r="J221" s="225">
        <v>0</v>
      </c>
      <c r="K221" s="237" t="str">
        <f>IF(ISEVEN(B221),(B221-1)&amp;"/"&amp;B221,B221&amp;"/"&amp;(B221+1))</f>
        <v>4033/4034</v>
      </c>
      <c r="L221" s="245" t="str">
        <f>VLOOKUP(A221,'Trips&amp;Operators'!$C$1:$G$99911,5,FALSE)</f>
        <v>ANDERS STEVEN</v>
      </c>
      <c r="M221" s="224">
        <f>I221-F221</f>
        <v>7.8587962998426519E-3</v>
      </c>
      <c r="N221" s="225">
        <f>24*60*SUM($M221:$M221)</f>
        <v>11.316666671773419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2018-01-04T23:39:17-0700',mode:absolute,to:'2018-01-05T01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1</v>
      </c>
      <c r="Y221" s="247">
        <f>RIGHT(D221,LEN(D221)-4)/10000</f>
        <v>5.4199999999999998E-2</v>
      </c>
      <c r="Z221" s="247">
        <f>RIGHT(H221,LEN(H221)-4)/10000</f>
        <v>2.3302</v>
      </c>
      <c r="AA221" s="247">
        <f>ABS(Z221-Y221)</f>
        <v>2.2760000000000002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313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 &amp; 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/stypes="app*4034*20180105*" /stext=" 07:.+((SYSTEM_STATE.+slice.+state.+changed )|(ment ac)|(multiple cpu faults)|(system.+state.+changed )|(\[timeout)|(PRM\|1\|D)|(kpr)|(kdp)|(train st.+moving)|(\|lc)|(penalty))"</v>
      </c>
      <c r="AG221" s="244" t="str">
        <f>DetSubdiv(A221)</f>
        <v>Other</v>
      </c>
      <c r="AH221" s="236" t="str">
        <f t="shared" si="54"/>
        <v>"%USERPROFILE%\Documents\GitHub\eaglep3\Utilities\RefineRTDCRunTimes.py" --tripid 313-04 --locoid 4034 --swversion DE.1.0.9.0 --startMP 204:542 --initTime 2018-01-05T00:39:17 --startdatetime 2018-01-05T00:41:14 --delay 51 --endMP 300:23302 --enddatetime 2018-01-05T00:52:33 --enforcementcount 0 &gt;&gt;%USERPROFILE%\Documents\GitHub\eaglep3-reporting\EC\2018-01-04-refined-times.txt</v>
      </c>
      <c r="AI221" s="238" t="str">
        <f t="shared" si="55"/>
        <v>echo {"issue":{"subject":"","project_id":79,"tracker_id":40,"status_id":1,"priority_id":2,"assigned_to_id":338,"start_date":"2018-01-05","description":"","custom_fields":[{"id":1,"name":"Subdivision","value":"Other"},{"id":4,"name":"Milepost","value":"2.3302"},{"id":17,"name":"Train ID","value":"313-04"},{"id":16,"name":"Locomotive ID","value":"4034"},{"id":130,"name":"Impact","value":""},{"id":150,"name":"Time of Event (Mountain Time)","value":"00:52:33"},{"id":151,"name":"Denver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56"/>
        <v>start /low /b %USERPROFILE%\Documents\GitHub\eaglep3\Utilities\DownloadLogsFromS3.py --loco 4034 --day 2018-01-05</v>
      </c>
      <c r="AN221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07:52:33"},{"id":29,"name":"Sharepoint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58"/>
        <v>https://d0f6bd738d7f1b3e5a7ca70fe4ff75f0.us-east-1.aws.found.io/app/kibana#/discover/Steve-Slow-Train-Analysis-(2080s-and-2083s)?_g=(refreshInterval:(display:Off,pause:!f,section:0,value:0),time:(from:'2018-01-04T23:39:17-0700',mode:absolute,to:'2018-01-05T01:52:33-0700'))&amp;_a=(columns:!('Message%20ID',Summary),filters:!(),index:'emp_*',interval:auto,query:(query_string:(analyze_wildcard:!t,query:'%22rtdc.l.rtdc.4034%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 s="229" t="s">
        <v>706</v>
      </c>
      <c r="B222" s="225">
        <v>4010</v>
      </c>
      <c r="C222" s="227" t="s">
        <v>192</v>
      </c>
      <c r="D222" s="227" t="s">
        <v>1098</v>
      </c>
      <c r="E222" s="226">
        <v>43104.196527777778</v>
      </c>
      <c r="F222" s="226">
        <v>43104.202743055554</v>
      </c>
      <c r="G222" s="225">
        <v>71</v>
      </c>
      <c r="H222" s="227" t="s">
        <v>647</v>
      </c>
      <c r="I222" s="226">
        <v>43104.208391203705</v>
      </c>
      <c r="J222" s="225">
        <v>0</v>
      </c>
      <c r="K222" s="237" t="str">
        <f>IF(ISEVEN(B222),(B222-1)&amp;"/"&amp;B222,B222&amp;"/"&amp;(B222+1))</f>
        <v>4009/4010</v>
      </c>
      <c r="L222" s="245" t="str">
        <f>VLOOKUP(A222,'Trips&amp;Operators'!$C$1:$G$99911,5,FALSE)</f>
        <v>LOPES KIMBERLY</v>
      </c>
      <c r="M222" s="224">
        <f>I222-F222</f>
        <v>5.6481481515220366E-3</v>
      </c>
      <c r="N222" s="225">
        <f>24*60*SUM($M222:$M222)</f>
        <v>8.1333333381917328</v>
      </c>
      <c r="O222" s="225"/>
      <c r="P222" s="225"/>
      <c r="Q222" s="228"/>
      <c r="R222" s="242"/>
      <c r="S222" s="249">
        <f>1/IF(AG222="EC",12,1)*SUM(U222:U222)</f>
        <v>0</v>
      </c>
      <c r="T222" s="242" t="str">
        <f>IF(ISEVEN(LEFT(AD222,4)),"Southbound","NorthBound")</f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2018-01-04T03:43:00-0700',mode:absolute,to:'2018-01-04T06:00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588</v>
      </c>
      <c r="Y222" s="247">
        <f>RIGHT(D222,LEN(D222)-4)/10000</f>
        <v>3.0310999999999999</v>
      </c>
      <c r="Z222" s="247">
        <f>RIGHT(H222,LEN(H222)-4)/10000</f>
        <v>5.8954000000000004</v>
      </c>
      <c r="AA222" s="247">
        <f>ABS(Z222-Y222)</f>
        <v>2.8643000000000005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901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/stypes="app*4010*20180104*" /stext=" 12:.+((SYSTEM_STATE.+slice.+state.+changed )|(ment ac)|(multiple cpu faults)|(system.+state.+changed )|(\[timeout)|(PRM\|1\|D)|(kpr)|(kdp)|(train st.+moving)|(\|lc)|(penalty))"</v>
      </c>
      <c r="AG222" s="244" t="str">
        <f>DetSubdiv(A222)</f>
        <v>Other</v>
      </c>
      <c r="AH222" s="236" t="str">
        <f t="shared" si="54"/>
        <v>"%USERPROFILE%\Documents\GitHub\eaglep3\Utilities\RefineRTDCRunTimes.py" --tripid 901-04 --locoid 4010 --swversion DE.1.0.9.0 --startMP 300:30311 --initTime 2018-01-04T04:43:00 --startdatetime 2018-01-04T04:51:57 --delay 71 --endMP 300:58954 --enddatetime 2018-01-04T05:00:05 --enforcementcount 0 &gt;&gt;%USERPROFILE%\Documents\GitHub\eaglep3-reporting\EC\2018-01-04-refined-times.txt</v>
      </c>
      <c r="AI222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{"issue":{"subject":"","project_id":79,"tracker_id":40,"status_id":1,"priority_id":2,"assigned_to_id":338,"start_date":"2018-01-04","description":"","custom_fields":[{"id":1,"name":"Subdivision","value":"Other"},{"id":4,"name":"Milepost","value":"5.8954"},{"id":17,"name":"Train ID","value":"901-04"},{"id":16,"name":"Locomotive ID","value":"4010"},{"id":130,"name":"Impact","value":""},{"id":150,"name":"Time of Event (Mountain Time)","value":"05:00:05"},{"id":151,"name":"Denver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56"/>
        <v>start /low /b %USERPROFILE%\Documents\GitHub\eaglep3\Utilities\DownloadLogsFromS3.py --loco 4010 --day 2018-01-04</v>
      </c>
      <c r="AN222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12:00:05"},{"id":29,"name":"Sharepoint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58"/>
        <v>https://d0f6bd738d7f1b3e5a7ca70fe4ff75f0.us-east-1.aws.found.io/app/kibana#/discover/Steve-Slow-Train-Analysis-(2080s-and-2083s)?_g=(refreshInterval:(display:Off,pause:!f,section:0,value:0),time:(from:'2018-01-04T03:43:00-0700',mode:absolute,to:'2018-01-04T06:00:05-0700'))&amp;_a=(columns:!('Message%20ID',Summary),filters:!(),index:'emp_*',interval:auto,query:(query_string:(analyze_wildcard:!t,query:'%22rtdc.l.rtdc.4010%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29" t="s">
        <v>720</v>
      </c>
      <c r="B223" s="225">
        <v>4015</v>
      </c>
      <c r="C223" s="227" t="s">
        <v>192</v>
      </c>
      <c r="D223" s="227" t="s">
        <v>1099</v>
      </c>
      <c r="E223" s="226">
        <v>43104.239629629628</v>
      </c>
      <c r="F223" s="226">
        <v>43104.242037037038</v>
      </c>
      <c r="G223" s="225">
        <v>82</v>
      </c>
      <c r="H223" s="227" t="s">
        <v>1100</v>
      </c>
      <c r="I223" s="226">
        <v>43104.248206018521</v>
      </c>
      <c r="J223" s="225">
        <v>0</v>
      </c>
      <c r="K223" s="237" t="str">
        <f>IF(ISEVEN(B223),(B223-1)&amp;"/"&amp;B223,B223&amp;"/"&amp;(B223+1))</f>
        <v>4015/4016</v>
      </c>
      <c r="L223" s="245" t="str">
        <f>VLOOKUP(A223,'Trips&amp;Operators'!$C$1:$G$99911,5,FALSE)</f>
        <v>FORTUNATO FRANK</v>
      </c>
      <c r="M223" s="224">
        <f>I223-F223</f>
        <v>6.1689814829151146E-3</v>
      </c>
      <c r="N223" s="225">
        <f>24*60*SUM($M223:$M223)</f>
        <v>8.883333335397765</v>
      </c>
      <c r="O223" s="225"/>
      <c r="P223" s="225"/>
      <c r="Q223" s="228"/>
      <c r="R223" s="242"/>
      <c r="S223" s="249">
        <f>1/IF(AG223="EC",12,1)*SUM(U223:U223)</f>
        <v>1</v>
      </c>
      <c r="T223" s="242" t="str">
        <f>IF(ISEVEN(LEFT(AD223,4)),"Southbound","NorthBound")</f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2018-01-04T04:45:04-0700',mode:absolute,to:'2018-01-04T06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247" t="str">
        <f>IF(AA223&lt;VLOOKUP(AG223,Variables!$AC$3:$AD$8,2,FALSE),"Y","N")</f>
        <v>Y</v>
      </c>
      <c r="X223" s="247">
        <f>VALUE(LEFT(AD223,4))-VALUE(LEFT(AD222,4))</f>
        <v>1</v>
      </c>
      <c r="Y223" s="247">
        <f>RIGHT(D223,LEN(D223)-4)/10000</f>
        <v>2.3679999999999999</v>
      </c>
      <c r="Z223" s="247">
        <f>RIGHT(H223,LEN(H223)-4)/10000</f>
        <v>1.55E-2</v>
      </c>
      <c r="AA223" s="247">
        <f>ABS(Z223-Y223)</f>
        <v>2.3525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902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/stypes="app*4015*20180104*" /stext=" 12:.+((SYSTEM_STATE.+slice.+state.+changed )|(ment ac)|(multiple cpu faults)|(system.+state.+changed )|(\[timeout)|(PRM\|1\|D)|(kpr)|(kdp)|(train st.+moving)|(\|lc)|(penalty))"</v>
      </c>
      <c r="AG223" s="244" t="str">
        <f>DetSubdiv(A223)</f>
        <v>Other</v>
      </c>
      <c r="AH223" s="236" t="str">
        <f t="shared" si="54"/>
        <v>"%USERPROFILE%\Documents\GitHub\eaglep3\Utilities\RefineRTDCRunTimes.py" --tripid 902-04 --locoid 4015 --swversion DE.1.0.9.0 --startMP 300:23680 --initTime 2018-01-04T05:45:04 --startdatetime 2018-01-04T05:48:32 --delay 82 --endMP 204:155 --enddatetime 2018-01-04T05:57:25 --enforcementcount 0 &gt;&gt;%USERPROFILE%\Documents\GitHub\eaglep3-reporting\EC\2018-01-04-refined-times.txt</v>
      </c>
      <c r="AI223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{"issue":{"subject":"","project_id":79,"tracker_id":40,"status_id":1,"priority_id":2,"assigned_to_id":338,"start_date":"2018-01-04","description":"","custom_fields":[{"id":1,"name":"Subdivision","value":"Other"},{"id":4,"name":"Milepost","value":"0.0155"},{"id":17,"name":"Train ID","value":"902-04"},{"id":16,"name":"Locomotive ID","value":"4015"},{"id":130,"name":"Impact","value":""},{"id":150,"name":"Time of Event (Mountain Time)","value":"05:57:25"},{"id":151,"name":"Denver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56"/>
        <v>start /low /b %USERPROFILE%\Documents\GitHub\eaglep3\Utilities\DownloadLogsFromS3.py --loco 4015 --day 2018-01-04</v>
      </c>
      <c r="AN223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12:57:25"},{"id":29,"name":"Sharepoint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58"/>
        <v>https://d0f6bd738d7f1b3e5a7ca70fe4ff75f0.us-east-1.aws.found.io/app/kibana#/discover/Steve-Slow-Train-Analysis-(2080s-and-2083s)?_g=(refreshInterval:(display:Off,pause:!f,section:0,value:0),time:(from:'2018-01-04T04:45:04-0700',mode:absolute,to:'2018-01-04T06:57:25-0700'))&amp;_a=(columns:!('Message%20ID',Summary),filters:!(),index:'emp_*',interval:auto,query:(query_string:(analyze_wildcard:!t,query:'%22rtdc.l.rtdc.4015%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 s="229" t="s">
        <v>754</v>
      </c>
      <c r="B224" s="225">
        <v>4010</v>
      </c>
      <c r="C224" s="227" t="s">
        <v>192</v>
      </c>
      <c r="D224" s="227" t="s">
        <v>543</v>
      </c>
      <c r="E224" s="226">
        <v>43104.352500000001</v>
      </c>
      <c r="F224" s="226">
        <v>43104.353796296295</v>
      </c>
      <c r="G224" s="225">
        <v>59</v>
      </c>
      <c r="H224" s="227" t="s">
        <v>1101</v>
      </c>
      <c r="I224" s="226">
        <v>43104.359282407408</v>
      </c>
      <c r="J224" s="225">
        <v>0</v>
      </c>
      <c r="K224" s="237" t="str">
        <f>IF(ISEVEN(B224),(B224-1)&amp;"/"&amp;B224,B224&amp;"/"&amp;(B224+1))</f>
        <v>4009/4010</v>
      </c>
      <c r="L224" s="245" t="str">
        <f>VLOOKUP(A224,'Trips&amp;Operators'!$C$1:$G$99911,5,FALSE)</f>
        <v>LOPES KIMBERLY</v>
      </c>
      <c r="M224" s="224">
        <f>I224-F224</f>
        <v>5.4861111129866913E-3</v>
      </c>
      <c r="N224" s="225">
        <f>24*60*SUM($M224:$M224)</f>
        <v>7.9000000027008355</v>
      </c>
      <c r="O224" s="225"/>
      <c r="P224" s="225"/>
      <c r="Q224" s="228"/>
      <c r="R224" s="242"/>
      <c r="S224" s="249">
        <f>1/IF(AG224="EC",12,1)*SUM(U224:U224)</f>
        <v>1</v>
      </c>
      <c r="T224" s="242" t="str">
        <f>IF(ISEVEN(LEFT(AD224,4)),"Southbound","NorthBound")</f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2018-01-04T07:27:36-0700',mode:absolute,to:'2018-01-04T09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4" s="247" t="str">
        <f>IF(AA224&lt;VLOOKUP(AG224,Variables!$AC$3:$AD$8,2,FALSE),"Y","N")</f>
        <v>Y</v>
      </c>
      <c r="X224" s="247">
        <f>VALUE(LEFT(AD224,4))-VALUE(LEFT(AD223,4))</f>
        <v>1</v>
      </c>
      <c r="Y224" s="247">
        <f>RIGHT(D224,LEN(D224)-4)/10000</f>
        <v>4.4400000000000002E-2</v>
      </c>
      <c r="Z224" s="247">
        <f>RIGHT(H224,LEN(H224)-4)/10000</f>
        <v>2.4247999999999998</v>
      </c>
      <c r="AA224" s="247">
        <f>ABS(Z224-Y224)</f>
        <v>2.3803999999999998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903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/stypes="app*4010*20180104*" /stext=" 15:.+((SYSTEM_STATE.+slice.+state.+changed )|(ment ac)|(multiple cpu faults)|(system.+state.+changed )|(\[timeout)|(PRM\|1\|D)|(kpr)|(kdp)|(train st.+moving)|(\|lc)|(penalty))"</v>
      </c>
      <c r="AG224" s="244" t="str">
        <f>DetSubdiv(A224)</f>
        <v>Other</v>
      </c>
      <c r="AH224" s="236" t="str">
        <f t="shared" si="54"/>
        <v>"%USERPROFILE%\Documents\GitHub\eaglep3\Utilities\RefineRTDCRunTimes.py" --tripid 903-04 --locoid 4010 --swversion DE.1.0.9.0 --startMP 204:444 --initTime 2018-01-04T08:27:36 --startdatetime 2018-01-04T08:29:28 --delay 59 --endMP 300:24248 --enddatetime 2018-01-04T08:37:22 --enforcementcount 0 &gt;&gt;%USERPROFILE%\Documents\GitHub\eaglep3-reporting\EC\2018-01-04-refined-times.txt</v>
      </c>
      <c r="AI224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{"issue":{"subject":"","project_id":79,"tracker_id":40,"status_id":1,"priority_id":2,"assigned_to_id":338,"start_date":"2018-01-04","description":"","custom_fields":[{"id":1,"name":"Subdivision","value":"Other"},{"id":4,"name":"Milepost","value":"2.4248"},{"id":17,"name":"Train ID","value":"903-04"},{"id":16,"name":"Locomotive ID","value":"4010"},{"id":130,"name":"Impact","value":""},{"id":150,"name":"Time of Event (Mountain Time)","value":"08:37:22"},{"id":151,"name":"Denver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231"/>
      <c r="AL224" s="231"/>
      <c r="AM224" s="240" t="str">
        <f t="shared" si="56"/>
        <v>start /low /b %USERPROFILE%\Documents\GitHub\eaglep3\Utilities\DownloadLogsFromS3.py --loco 4010 --day 2018-01-04</v>
      </c>
      <c r="AN224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15:37:22"},{"id":29,"name":"Sharepoint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58"/>
        <v>https://d0f6bd738d7f1b3e5a7ca70fe4ff75f0.us-east-1.aws.found.io/app/kibana#/discover/Steve-Slow-Train-Analysis-(2080s-and-2083s)?_g=(refreshInterval:(display:Off,pause:!f,section:0,value:0),time:(from:'2018-01-04T07:27:36-0700',mode:absolute,to:'2018-01-04T09:37:22-0700'))&amp;_a=(columns:!('Message%20ID',Summary),filters:!(),index:'emp_*',interval:auto,query:(query_string:(analyze_wildcard:!t,query:'%22rtdc.l.rtdc.4010%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29" t="s">
        <v>825</v>
      </c>
      <c r="B225" s="225">
        <v>4009</v>
      </c>
      <c r="C225" s="227" t="s">
        <v>192</v>
      </c>
      <c r="D225" s="227" t="s">
        <v>1102</v>
      </c>
      <c r="E225" s="226">
        <v>43104.64025462963</v>
      </c>
      <c r="F225" s="226">
        <v>43104.643993055557</v>
      </c>
      <c r="G225" s="225">
        <v>84</v>
      </c>
      <c r="H225" s="227" t="s">
        <v>1072</v>
      </c>
      <c r="I225" s="226">
        <v>43104.649421296293</v>
      </c>
      <c r="J225" s="225">
        <v>0</v>
      </c>
      <c r="K225" s="237" t="str">
        <f>IF(ISEVEN(B225),(B225-1)&amp;"/"&amp;B225,B225&amp;"/"&amp;(B225+1))</f>
        <v>4009/4010</v>
      </c>
      <c r="L225" s="245" t="str">
        <f>VLOOKUP(A225,'Trips&amp;Operators'!$C$1:$G$99911,5,FALSE)</f>
        <v>WEST BRYAN</v>
      </c>
      <c r="M225" s="224">
        <f>I225-F225</f>
        <v>5.428240736364387E-3</v>
      </c>
      <c r="N225" s="225">
        <f>24*60*SUM($M225:$M225)</f>
        <v>7.8166666603647172</v>
      </c>
      <c r="O225" s="225"/>
      <c r="P225" s="225"/>
      <c r="Q225" s="228"/>
      <c r="R225" s="242"/>
      <c r="S225" s="249">
        <f>1/IF(AG225="EC",12,1)*SUM(U225:U225)</f>
        <v>1</v>
      </c>
      <c r="T225" s="242" t="str">
        <f>IF(ISEVEN(LEFT(AD225,4)),"Southbound","NorthBound")</f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2018-01-04T14:21:58-0700',mode:absolute,to:'2018-01-04T16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5" s="247" t="str">
        <f>IF(AA225&lt;VLOOKUP(AG225,Variables!$AC$3:$AD$8,2,FALSE),"Y","N")</f>
        <v>Y</v>
      </c>
      <c r="X225" s="247">
        <f>VALUE(LEFT(AD225,4))-VALUE(LEFT(AD224,4))</f>
        <v>1</v>
      </c>
      <c r="Y225" s="247">
        <f>RIGHT(D225,LEN(D225)-4)/10000</f>
        <v>2.3477999999999999</v>
      </c>
      <c r="Z225" s="247">
        <f>RIGHT(H225,LEN(H225)-4)/10000</f>
        <v>1.66E-2</v>
      </c>
      <c r="AA225" s="247">
        <f>ABS(Z225-Y225)</f>
        <v>2.3311999999999999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904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/stypes="app*4009*20180104*" /stext=" 22:.+((SYSTEM_STATE.+slice.+state.+changed )|(ment ac)|(multiple cpu faults)|(system.+state.+changed )|(\[timeout)|(PRM\|1\|D)|(kpr)|(kdp)|(train st.+moving)|(\|lc)|(penalty))"</v>
      </c>
      <c r="AG225" s="244" t="str">
        <f>DetSubdiv(A225)</f>
        <v>Other</v>
      </c>
      <c r="AH225" s="236" t="str">
        <f t="shared" si="54"/>
        <v>"%USERPROFILE%\Documents\GitHub\eaglep3\Utilities\RefineRTDCRunTimes.py" --tripid 904-04 --locoid 4009 --swversion DE.1.0.9.0 --startMP 300:23478 --initTime 2018-01-04T15:21:58 --startdatetime 2018-01-04T15:27:21 --delay 84 --endMP 204:166 --enddatetime 2018-01-04T15:35:10 --enforcementcount 0 &gt;&gt;%USERPROFILE%\Documents\GitHub\eaglep3-reporting\EC\2018-01-04-refined-times.txt</v>
      </c>
      <c r="AI225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{"issue":{"subject":"","project_id":79,"tracker_id":40,"status_id":1,"priority_id":2,"assigned_to_id":338,"start_date":"2018-01-04","description":"","custom_fields":[{"id":1,"name":"Subdivision","value":"Other"},{"id":4,"name":"Milepost","value":"0.0166"},{"id":17,"name":"Train ID","value":"904-04"},{"id":16,"name":"Locomotive ID","value":"4009"},{"id":130,"name":"Impact","value":""},{"id":150,"name":"Time of Event (Mountain Time)","value":"15:35:10"},{"id":151,"name":"Denver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56"/>
        <v>start /low /b %USERPROFILE%\Documents\GitHub\eaglep3\Utilities\DownloadLogsFromS3.py --loco 4009 --day 2018-01-04</v>
      </c>
      <c r="AN225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58"/>
        <v>https://d0f6bd738d7f1b3e5a7ca70fe4ff75f0.us-east-1.aws.found.io/app/kibana#/discover/Steve-Slow-Train-Analysis-(2080s-and-2083s)?_g=(refreshInterval:(display:Off,pause:!f,section:0,value:0),time:(from:'2018-01-04T14:21:58-0700',mode:absolute,to:'2018-01-04T16:35:10-0700'))&amp;_a=(columns:!('Message%20ID',Summary),filters:!(),index:'emp_*',interval:auto,query:(query_string:(analyze_wildcard:!t,query:'%22rtdc.l.rtdc.4009%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29" t="s">
        <v>869</v>
      </c>
      <c r="B226" s="225">
        <v>4009</v>
      </c>
      <c r="C226" s="227" t="s">
        <v>192</v>
      </c>
      <c r="D226" s="227" t="s">
        <v>1093</v>
      </c>
      <c r="E226" s="226">
        <v>43104.789907407408</v>
      </c>
      <c r="F226" s="226">
        <v>43104.791481481479</v>
      </c>
      <c r="G226" s="225">
        <v>59</v>
      </c>
      <c r="H226" s="227" t="s">
        <v>1103</v>
      </c>
      <c r="I226" s="226">
        <v>43104.798877314817</v>
      </c>
      <c r="J226" s="225">
        <v>0</v>
      </c>
      <c r="K226" s="237" t="str">
        <f>IF(ISEVEN(B226),(B226-1)&amp;"/"&amp;B226,B226&amp;"/"&amp;(B226+1))</f>
        <v>4009/4010</v>
      </c>
      <c r="L226" s="245" t="str">
        <f>VLOOKUP(A226,'Trips&amp;Operators'!$C$1:$G$99911,5,FALSE)</f>
        <v>WEST BRYAN</v>
      </c>
      <c r="M226" s="224">
        <f>I226-F226</f>
        <v>7.3958333377959207E-3</v>
      </c>
      <c r="N226" s="225">
        <f>24*60*SUM($M226:$M226)</f>
        <v>10.650000006426126</v>
      </c>
      <c r="O226" s="225"/>
      <c r="P226" s="225"/>
      <c r="Q226" s="228"/>
      <c r="R226" s="242"/>
      <c r="S226" s="249">
        <f>1/IF(AG226="EC",12,1)*SUM(U226:U226)</f>
        <v>0</v>
      </c>
      <c r="T226" s="242" t="str">
        <f>IF(ISEVEN(LEFT(AD226,4)),"Southbound","NorthBound")</f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2018-01-04T17:57:28-0700',mode:absolute,to:'2018-01-04T20:10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6" s="247" t="str">
        <f>IF(AA226&lt;VLOOKUP(AG226,Variables!$AC$3:$AD$8,2,FALSE),"Y","N")</f>
        <v>Y</v>
      </c>
      <c r="X226" s="247">
        <f>VALUE(LEFT(AD226,4))-VALUE(LEFT(AD225,4))</f>
        <v>2</v>
      </c>
      <c r="Y226" s="247">
        <f>RIGHT(D226,LEN(D226)-4)/10000</f>
        <v>5.86</v>
      </c>
      <c r="Z226" s="247">
        <f>RIGHT(H226,LEN(H226)-4)/10000</f>
        <v>2.8786</v>
      </c>
      <c r="AA226" s="247">
        <f>ABS(Z226-Y226)</f>
        <v>2.9814000000000003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906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s3://rtdc.mdm.uploadarchive.raw/RTDC4009/ "%USERPROFILE%\AppData\Local\Temp\OnboardLogs"\RTDC4009\2018-01-04 --exclude "*" --recursive --include "*20180104*" &amp; "%USERPROFILE%\Documents\GitHub\mrs-test-scripts\Headless Mode &amp; Sideloading\WalkAndUnGZ.bat" "%USERPROFILE%\AppData\Local\Temp\OnboardLogs"\RTDC4009\2018-01-04 &amp; aws s3 cp s3://rtdc.mdm.uploadarchive.raw/RTDC4009/ "%USERPROFILE%\AppData\Local\Temp\OnboardLogs"\RTDC4009\2018-01-05 --exclude "*" --recursive --include "*20180105*" &amp; "%USERPROFILE%\Documents\GitHub\mrs-test-scripts\Headless Mode &amp; Sideloading\WalkAndUnGZ.bat" "%USERPROFILE%\AppData\Local\Temp\OnboardLogs"\RTDC4009\2018-01-05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/stypes="app*4009*20180105*" /stext=" 02:.+((SYSTEM_STATE.+slice.+state.+changed )|(ment ac)|(multiple cpu faults)|(system.+state.+changed )|(\[timeout)|(PRM\|1\|D)|(kpr)|(kdp)|(train st.+moving)|(\|lc)|(penalty))"</v>
      </c>
      <c r="AG226" s="244" t="str">
        <f>DetSubdiv(A226)</f>
        <v>Other</v>
      </c>
      <c r="AH226" s="236" t="str">
        <f t="shared" si="54"/>
        <v>"%USERPROFILE%\Documents\GitHub\eaglep3\Utilities\RefineRTDCRunTimes.py" --tripid 906-04 --locoid 4009 --swversion DE.1.0.9.0 --startMP 300:58600 --initTime 2018-01-04T18:57:28 --startdatetime 2018-01-04T18:59:44 --delay 59 --endMP 300:28786 --enddatetime 2018-01-04T19:10:23 --enforcementcount 0 &gt;&gt;%USERPROFILE%\Documents\GitHub\eaglep3-reporting\EC\2018-01-04-refined-times.txt</v>
      </c>
      <c r="AI226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{"issue":{"subject":"","project_id":79,"tracker_id":40,"status_id":1,"priority_id":2,"assigned_to_id":338,"start_date":"2018-01-04","description":"","custom_fields":[{"id":1,"name":"Subdivision","value":"Other"},{"id":4,"name":"Milepost","value":"2.8786"},{"id":17,"name":"Train ID","value":"906-04"},{"id":16,"name":"Locomotive ID","value":"4009"},{"id":130,"name":"Impact","value":""},{"id":150,"name":"Time of Event (Mountain Time)","value":"19:10:23"},{"id":151,"name":"Denver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56"/>
        <v>start /low /b %USERPROFILE%\Documents\GitHub\eaglep3\Utilities\DownloadLogsFromS3.py --loco 4009 --day 2018-01-04</v>
      </c>
      <c r="AN226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02:10:23"},{"id":29,"name":"Sharepoint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58"/>
        <v>https://d0f6bd738d7f1b3e5a7ca70fe4ff75f0.us-east-1.aws.found.io/app/kibana#/discover/Steve-Slow-Train-Analysis-(2080s-and-2083s)?_g=(refreshInterval:(display:Off,pause:!f,section:0,value:0),time:(from:'2018-01-04T17:57:28-0700',mode:absolute,to:'2018-01-04T20:10:23-0700'))&amp;_a=(columns:!('Message%20ID',Summary),filters:!(),index:'emp_*',interval:auto,query:(query_string:(analyze_wildcard:!t,query:'%22rtdc.l.rtdc.4009%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 s="229" t="s">
        <v>896</v>
      </c>
      <c r="B227" s="225">
        <v>4015</v>
      </c>
      <c r="C227" s="227" t="s">
        <v>192</v>
      </c>
      <c r="D227" s="227" t="s">
        <v>1104</v>
      </c>
      <c r="E227" s="226">
        <v>43104.977152777778</v>
      </c>
      <c r="F227" s="226">
        <v>43104.978472222225</v>
      </c>
      <c r="G227" s="225">
        <v>49</v>
      </c>
      <c r="H227" s="227" t="s">
        <v>1105</v>
      </c>
      <c r="I227" s="226">
        <v>43104.987905092596</v>
      </c>
      <c r="J227" s="225">
        <v>0</v>
      </c>
      <c r="K227" s="237" t="str">
        <f>IF(ISEVEN(B227),(B227-1)&amp;"/"&amp;B227,B227&amp;"/"&amp;(B227+1))</f>
        <v>4015/4016</v>
      </c>
      <c r="L227" s="245" t="str">
        <f>VLOOKUP(A227,'Trips&amp;Operators'!$C$1:$G$99911,5,FALSE)</f>
        <v>WEST BRYAN</v>
      </c>
      <c r="M227" s="224">
        <f>I227-F227</f>
        <v>9.4328703708015382E-3</v>
      </c>
      <c r="N227" s="225">
        <f>24*60*SUM($M227:$M227)</f>
        <v>13.583333333954215</v>
      </c>
      <c r="O227" s="225"/>
      <c r="P227" s="225"/>
      <c r="Q227" s="228"/>
      <c r="R227" s="242"/>
      <c r="S227" s="249">
        <f>1/IF(AG227="EC",12,1)*SUM(U227:U227)</f>
        <v>0</v>
      </c>
      <c r="T227" s="242" t="str">
        <f>IF(ISEVEN(LEFT(AD227,4)),"Southbound","NorthBound")</f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2018-01-04T22:27:06-0700',mode:absolute,to:'2018-01-05T00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247" t="str">
        <f>IF(AA227&lt;VLOOKUP(AG227,Variables!$AC$3:$AD$8,2,FALSE),"Y","N")</f>
        <v>Y</v>
      </c>
      <c r="X227" s="247">
        <f>VALUE(LEFT(AD227,4))-VALUE(LEFT(AD226,4))</f>
        <v>2</v>
      </c>
      <c r="Y227" s="247">
        <f>RIGHT(D227,LEN(D227)-4)/10000</f>
        <v>5.8581000000000003</v>
      </c>
      <c r="Z227" s="247">
        <f>RIGHT(H227,LEN(H227)-4)/10000</f>
        <v>2.8791000000000002</v>
      </c>
      <c r="AA227" s="247">
        <f>ABS(Z227-Y227)</f>
        <v>2.9790000000000001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>VALUE(LEFT(A227,LEN(A227)-3))</f>
        <v>908</v>
      </c>
      <c r="AE227" s="23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/stypes="app*4015*20180105*" /stext=" 06:.+((SYSTEM_STATE.+slice.+state.+changed )|(ment ac)|(multiple cpu faults)|(system.+state.+changed )|(\[timeout)|(PRM\|1\|D)|(kpr)|(kdp)|(train st.+moving)|(\|lc)|(penalty))"</v>
      </c>
      <c r="AG227" s="244" t="str">
        <f>DetSubdiv(A227)</f>
        <v>Other</v>
      </c>
      <c r="AH227" s="236" t="str">
        <f t="shared" si="54"/>
        <v>"%USERPROFILE%\Documents\GitHub\eaglep3\Utilities\RefineRTDCRunTimes.py" --tripid 908-04 --locoid 4015 --swversion DE.1.0.9.0 --startMP 300:58581 --initTime 2018-01-04T23:27:06 --startdatetime 2018-01-04T23:29:00 --delay 49 --endMP 300:28791 --enddatetime 2018-01-04T23:42:35 --enforcementcount 0 &gt;&gt;%USERPROFILE%\Documents\GitHub\eaglep3-reporting\EC\2018-01-04-refined-times.txt</v>
      </c>
      <c r="AI227" s="238" t="str">
        <f t="shared" si="55"/>
        <v>echo {"issue":{"subject":"","project_id":79,"tracker_id":40,"status_id":1,"priority_id":2,"assigned_to_id":338,"start_date":"2018-01-04","description":"","custom_fields":[{"id":1,"name":"Subdivision","value":"Other"},{"id":4,"name":"Milepost","value":"2.8791"},{"id":17,"name":"Train ID","value":"908-04"},{"id":16,"name":"Locomotive ID","value":"4015"},{"id":130,"name":"Impact","value":""},{"id":150,"name":"Time of Event (Mountain Time)","value":"23:42:35"},{"id":151,"name":"Denver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1"/>
      <c r="AL227" s="231"/>
      <c r="AM227" s="240" t="str">
        <f t="shared" si="56"/>
        <v>start /low /b %USERPROFILE%\Documents\GitHub\eaglep3\Utilities\DownloadLogsFromS3.py --loco 4015 --day 2018-01-04</v>
      </c>
      <c r="AN227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06:42:35"},{"id":29,"name":"Sharepoint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58"/>
        <v>https://d0f6bd738d7f1b3e5a7ca70fe4ff75f0.us-east-1.aws.found.io/app/kibana#/discover/Steve-Slow-Train-Analysis-(2080s-and-2083s)?_g=(refreshInterval:(display:Off,pause:!f,section:0,value:0),time:(from:'2018-01-04T22:27:06-0700',mode:absolute,to:'2018-01-05T00:42:35-0700'))&amp;_a=(columns:!('Message%20ID',Summary),filters:!(),index:'emp_*',interval:auto,query:(query_string:(analyze_wildcard:!t,query:'%22rtdc.l.rtdc.4015%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29" t="s">
        <v>759</v>
      </c>
      <c r="B228" s="225">
        <v>4059</v>
      </c>
      <c r="C228" s="227" t="s">
        <v>192</v>
      </c>
      <c r="D228" s="227" t="s">
        <v>1014</v>
      </c>
      <c r="E228" s="226">
        <v>43104.377384259256</v>
      </c>
      <c r="F228" s="226">
        <v>43104.381168981483</v>
      </c>
      <c r="G228" s="225">
        <v>96</v>
      </c>
      <c r="H228" s="227" t="s">
        <v>1015</v>
      </c>
      <c r="I228" s="226">
        <v>43104.396006944444</v>
      </c>
      <c r="J228" s="225">
        <v>0</v>
      </c>
      <c r="K228" s="237" t="str">
        <f>IF(ISEVEN(B228),(B228-1)&amp;"/"&amp;B228,B228&amp;"/"&amp;(B228+1))</f>
        <v>4059/4060</v>
      </c>
      <c r="L228" s="245" t="str">
        <f>VLOOKUP(A228,'Trips&amp;Operators'!$C$1:$G$99911,5,FALSE)</f>
        <v>HUFFSMITH MONTY</v>
      </c>
      <c r="M228" s="224">
        <f>I228-F228</f>
        <v>1.4837962960882578E-2</v>
      </c>
      <c r="N228" s="225">
        <f>24*60*SUM($M228:$M228)</f>
        <v>21.366666663670912</v>
      </c>
      <c r="O228" s="225"/>
      <c r="P228" s="225"/>
      <c r="Q228" s="228"/>
      <c r="R228" s="242"/>
      <c r="S228" s="249">
        <f>1/IF(AG228="EC",12,1)*SUM(U228:U228)</f>
        <v>0</v>
      </c>
      <c r="T228" s="242" t="str">
        <f>IF(ISEVEN(LEFT(AD228,4)),"Southbound","NorthBound")</f>
        <v>Southbound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2018-01-04T08:03:26-0700',mode:absolute,to:'2018-01-04T10:30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8" s="247" t="str">
        <f>IF(AA228&lt;VLOOKUP(AG228,Variables!$AC$3:$AD$8,2,FALSE),"Y","N")</f>
        <v>Y</v>
      </c>
      <c r="X228" s="247">
        <f>VALUE(LEFT(AD228,4))-VALUE(LEFT(AD227,4))</f>
        <v>-848</v>
      </c>
      <c r="Y228" s="247">
        <f>RIGHT(D228,LEN(D228)-4)/10000</f>
        <v>11.226000000000001</v>
      </c>
      <c r="Z228" s="247">
        <f>RIGHT(H228,LEN(H228)-4)/10000</f>
        <v>3.9211999999999998</v>
      </c>
      <c r="AA228" s="247">
        <f>ABS(Z228-Y228)</f>
        <v>7.3048000000000011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>VALUE(LEFT(A228,LEN(A228)-3))</f>
        <v>60</v>
      </c>
      <c r="AE228" s="23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 &amp; aws s3 cp s3://rtdc.mdm.uploadarchive.raw/RTDC4059/ "%USERPROFILE%\AppData\Local\Temp\OnboardLogs"\RTDC4059\2018-01-05 --exclude "*" --recursive --include "*20180105*" &amp; "%USERPROFILE%\Documents\GitHub\mrs-test-scripts\Headless Mode &amp; Sideloading\WalkAndUnGZ.bat" "%USERPROFILE%\AppData\Local\Temp\OnboardLogs"\RTDC4059\2018-01-05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/stypes="app*4059*20180104*" /stext=" 16:.+((SYSTEM_STATE.+slice.+state.+changed )|(ment ac)|(multiple cpu faults)|(system.+state.+changed )|(\[timeout)|(PRM\|1\|D)|(kpr)|(kdp)|(train st.+moving)|(\|lc)|(penalty))"</v>
      </c>
      <c r="AG228" s="244" t="str">
        <f>DetSubdiv(A228)</f>
        <v>Shuttle/Test</v>
      </c>
      <c r="AH228" s="236" t="str">
        <f t="shared" si="54"/>
        <v>"%USERPROFILE%\Documents\GitHub\eaglep3\Utilities\RefineRTDCRunTimes.py" --tripid 60-04 --locoid 4059 --swversion DE.1.0.9.0 --startMP 300:112260 --initTime 2018-01-04T09:03:26 --startdatetime 2018-01-04T09:08:53 --delay 96 --endMP 300:39212 --enddatetime 2018-01-04T09:30:15 --enforcementcount 0 &gt;&gt;%USERPROFILE%\Documents\GitHub\eaglep3-reporting\EC\2018-01-04-refined-times.txt</v>
      </c>
      <c r="AI228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3.9212"},{"id":17,"name":"Train ID","value":"60-04"},{"id":16,"name":"Locomotive ID","value":"4059"},{"id":130,"name":"Impact","value":""},{"id":150,"name":"Time of Event (Mountain Time)","value":"09:30:15"},{"id":151,"name":"Denver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56"/>
        <v>start /low /b %USERPROFILE%\Documents\GitHub\eaglep3\Utilities\DownloadLogsFromS3.py --loco 4059 --day 2018-01-04</v>
      </c>
      <c r="AN228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16:30:15"},{"id":29,"name":"Sharepoint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58"/>
        <v>https://d0f6bd738d7f1b3e5a7ca70fe4ff75f0.us-east-1.aws.found.io/app/kibana#/discover/Steve-Slow-Train-Analysis-(2080s-and-2083s)?_g=(refreshInterval:(display:Off,pause:!f,section:0,value:0),time:(from:'2018-01-04T08:03:26-0700',mode:absolute,to:'2018-01-04T10:30:15-0700'))&amp;_a=(columns:!('Message%20ID',Summary),filters:!(),index:'emp_*',interval:auto,query:(query_string:(analyze_wildcard:!t,query:'%22rtdc.l.rtdc.4059%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29" t="s">
        <v>661</v>
      </c>
      <c r="B229" s="225">
        <v>4060</v>
      </c>
      <c r="C229" s="227" t="s">
        <v>192</v>
      </c>
      <c r="D229" s="227" t="s">
        <v>1016</v>
      </c>
      <c r="E229" s="226">
        <v>43104.349143518521</v>
      </c>
      <c r="F229" s="226">
        <v>43104.359305555554</v>
      </c>
      <c r="G229" s="225">
        <v>78</v>
      </c>
      <c r="H229" s="227" t="s">
        <v>1017</v>
      </c>
      <c r="I229" s="226">
        <v>43104.376192129632</v>
      </c>
      <c r="J229" s="225">
        <v>0</v>
      </c>
      <c r="K229" s="237" t="str">
        <f>IF(ISEVEN(B229),(B229-1)&amp;"/"&amp;B229,B229&amp;"/"&amp;(B229+1))</f>
        <v>4059/4060</v>
      </c>
      <c r="L229" s="245" t="str">
        <f>VLOOKUP(A229,'Trips&amp;Operators'!$C$1:$G$99911,5,FALSE)</f>
        <v>HUFFSMITH MONTY</v>
      </c>
      <c r="M229" s="224">
        <f>I229-F229</f>
        <v>1.6886574077943806E-2</v>
      </c>
      <c r="N229" s="225">
        <f>24*60*SUM($M229:$M229)</f>
        <v>24.31666667223908</v>
      </c>
      <c r="O229" s="225"/>
      <c r="P229" s="225"/>
      <c r="Q229" s="228"/>
      <c r="R229" s="242"/>
      <c r="S229" s="249">
        <f>1/IF(AG229="EC",12,1)*SUM(U229:U229)</f>
        <v>0</v>
      </c>
      <c r="T229" s="242" t="str">
        <f>IF(ISEVEN(LEFT(AD229,4)),"Southbound","NorthBound")</f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2018-01-04T07:22:46-0700',mode:absolute,to:'2018-01-04T10:01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9" s="247" t="str">
        <f>IF(AA229&lt;VLOOKUP(AG229,Variables!$AC$3:$AD$8,2,FALSE),"Y","N")</f>
        <v>Y</v>
      </c>
      <c r="X229" s="247">
        <f>VALUE(LEFT(AD229,4))-VALUE(LEFT(AD228,4))</f>
        <v>1</v>
      </c>
      <c r="Y229" s="247">
        <f>RIGHT(D229,LEN(D229)-4)/10000</f>
        <v>3.0558999999999998</v>
      </c>
      <c r="Z229" s="247">
        <f>RIGHT(H229,LEN(H229)-4)/10000</f>
        <v>11.2584</v>
      </c>
      <c r="AA229" s="247">
        <f>ABS(Z229-Y229)</f>
        <v>8.2025000000000006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>VALUE(LEFT(A229,LEN(A229)-3))</f>
        <v>61</v>
      </c>
      <c r="AE229" s="23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/stypes="app*4060*20180104*" /stext=" 16:.+((SYSTEM_STATE.+slice.+state.+changed )|(ment ac)|(multiple cpu faults)|(system.+state.+changed )|(\[timeout)|(PRM\|1\|D)|(kpr)|(kdp)|(train st.+moving)|(\|lc)|(penalty))"</v>
      </c>
      <c r="AG229" s="244" t="str">
        <f>DetSubdiv(A229)</f>
        <v>Shuttle/Test</v>
      </c>
      <c r="AH229" s="236" t="str">
        <f t="shared" si="54"/>
        <v>"%USERPROFILE%\Documents\GitHub\eaglep3\Utilities\RefineRTDCRunTimes.py" --tripid 61-04 --locoid 4060 --swversion DE.1.0.9.0 --startMP 300:30559 --initTime 2018-01-04T08:22:46 --startdatetime 2018-01-04T08:37:24 --delay 78 --endMP 300:112584 --enddatetime 2018-01-04T09:01:43 --enforcementcount 0 &gt;&gt;%USERPROFILE%\Documents\GitHub\eaglep3-reporting\EC\2018-01-04-refined-times.txt</v>
      </c>
      <c r="AI229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11.2584"},{"id":17,"name":"Train ID","value":"61-04"},{"id":16,"name":"Locomotive ID","value":"4060"},{"id":130,"name":"Impact","value":""},{"id":150,"name":"Time of Event (Mountain Time)","value":"09:01:43"},{"id":151,"name":"Denver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56"/>
        <v>start /low /b %USERPROFILE%\Documents\GitHub\eaglep3\Utilities\DownloadLogsFromS3.py --loco 4060 --day 2018-01-04</v>
      </c>
      <c r="AN229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16:01:43"},{"id":29,"name":"Sharepoint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58"/>
        <v>https://d0f6bd738d7f1b3e5a7ca70fe4ff75f0.us-east-1.aws.found.io/app/kibana#/discover/Steve-Slow-Train-Analysis-(2080s-and-2083s)?_g=(refreshInterval:(display:Off,pause:!f,section:0,value:0),time:(from:'2018-01-04T07:22:46-0700',mode:absolute,to:'2018-01-04T10:01:43-0700'))&amp;_a=(columns:!('Message%20ID',Summary),filters:!(),index:'emp_*',interval:auto,query:(query_string:(analyze_wildcard:!t,query:'%22rtdc.l.rtdc.4060%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229" t="s">
        <v>661</v>
      </c>
      <c r="B230" s="225">
        <v>4060</v>
      </c>
      <c r="C230" s="227" t="s">
        <v>192</v>
      </c>
      <c r="D230" s="227" t="s">
        <v>1018</v>
      </c>
      <c r="E230" s="226">
        <v>43104.522488425922</v>
      </c>
      <c r="F230" s="226">
        <v>43104.532824074071</v>
      </c>
      <c r="G230" s="225">
        <v>74</v>
      </c>
      <c r="H230" s="227" t="s">
        <v>1019</v>
      </c>
      <c r="I230" s="226">
        <v>43104.552488425928</v>
      </c>
      <c r="J230" s="225">
        <v>0</v>
      </c>
      <c r="K230" s="237" t="str">
        <f>IF(ISEVEN(B230),(B230-1)&amp;"/"&amp;B230,B230&amp;"/"&amp;(B230+1))</f>
        <v>4059/4060</v>
      </c>
      <c r="L230" s="245" t="str">
        <f>VLOOKUP(A230,'Trips&amp;Operators'!$C$1:$G$99911,5,FALSE)</f>
        <v>HUFFSMITH MONTY</v>
      </c>
      <c r="M230" s="224">
        <f>I230-F230</f>
        <v>1.9664351857500151E-2</v>
      </c>
      <c r="N230" s="225">
        <f>24*60*SUM($M230:$M230)</f>
        <v>28.316666674800217</v>
      </c>
      <c r="O230" s="225"/>
      <c r="P230" s="225"/>
      <c r="Q230" s="228"/>
      <c r="R230" s="242"/>
      <c r="S230" s="249">
        <f>1/IF(AG230="EC",12,1)*SUM(U230:U230)</f>
        <v>0</v>
      </c>
      <c r="T230" s="242" t="str">
        <f>IF(ISEVEN(LEFT(AD230,4)),"Southbound","NorthBound")</f>
        <v>NorthBound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2018-01-04T11:32:23-0700',mode:absolute,to:'2018-01-04T14:15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0" s="247" t="str">
        <f>IF(AA230&lt;VLOOKUP(AG230,Variables!$AC$3:$AD$8,2,FALSE),"Y","N")</f>
        <v>Y</v>
      </c>
      <c r="X230" s="247">
        <f>VALUE(LEFT(AD230,4))-VALUE(LEFT(AD229,4))</f>
        <v>0</v>
      </c>
      <c r="Y230" s="247">
        <f>RIGHT(D230,LEN(D230)-4)/10000</f>
        <v>3.9540999999999999</v>
      </c>
      <c r="Z230" s="247">
        <f>RIGHT(H230,LEN(H230)-4)/10000</f>
        <v>11.2515</v>
      </c>
      <c r="AA230" s="247">
        <f>ABS(Z230-Y230)</f>
        <v>7.2973999999999997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>VALUE(LEFT(A230,LEN(A230)-3))</f>
        <v>61</v>
      </c>
      <c r="AE230" s="23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/stypes="app*4060*20180104*" /stext=" 20:.+((SYSTEM_STATE.+slice.+state.+changed )|(ment ac)|(multiple cpu faults)|(system.+state.+changed )|(\[timeout)|(PRM\|1\|D)|(kpr)|(kdp)|(train st.+moving)|(\|lc)|(penalty))"</v>
      </c>
      <c r="AG230" s="244" t="str">
        <f>DetSubdiv(A230)</f>
        <v>Shuttle/Test</v>
      </c>
      <c r="AH230" s="236" t="str">
        <f t="shared" si="54"/>
        <v>"%USERPROFILE%\Documents\GitHub\eaglep3\Utilities\RefineRTDCRunTimes.py" --tripid 61-04 --locoid 4060 --swversion DE.1.0.9.0 --startMP 300:39541 --initTime 2018-01-04T12:32:23 --startdatetime 2018-01-04T12:47:16 --delay 74 --endMP 300:112515 --enddatetime 2018-01-04T13:15:35 --enforcementcount 0 &gt;&gt;%USERPROFILE%\Documents\GitHub\eaglep3-reporting\EC\2018-01-04-refined-times.txt</v>
      </c>
      <c r="AI230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11.2515"},{"id":17,"name":"Train ID","value":"61-04"},{"id":16,"name":"Locomotive ID","value":"4060"},{"id":130,"name":"Impact","value":""},{"id":150,"name":"Time of Event (Mountain Time)","value":"13:15:35"},{"id":151,"name":"Denver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56"/>
        <v>start /low /b %USERPROFILE%\Documents\GitHub\eaglep3\Utilities\DownloadLogsFromS3.py --loco 4060 --day 2018-01-04</v>
      </c>
      <c r="AN230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20:15:35"},{"id":29,"name":"Sharepoint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58"/>
        <v>https://d0f6bd738d7f1b3e5a7ca70fe4ff75f0.us-east-1.aws.found.io/app/kibana#/discover/Steve-Slow-Train-Analysis-(2080s-and-2083s)?_g=(refreshInterval:(display:Off,pause:!f,section:0,value:0),time:(from:'2018-01-04T11:32:23-0700',mode:absolute,to:'2018-01-04T14:15:35-0700'))&amp;_a=(columns:!('Message%20ID',Summary),filters:!(),index:'emp_*',interval:auto,query:(query_string:(analyze_wildcard:!t,query:'%22rtdc.l.rtdc.4060%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229" t="s">
        <v>661</v>
      </c>
      <c r="B231" s="225">
        <v>4056</v>
      </c>
      <c r="C231" s="227" t="s">
        <v>192</v>
      </c>
      <c r="D231" s="227" t="s">
        <v>1020</v>
      </c>
      <c r="E231" s="226">
        <v>43104.671712962961</v>
      </c>
      <c r="F231" s="226">
        <v>43104.676365740743</v>
      </c>
      <c r="G231" s="225">
        <v>273</v>
      </c>
      <c r="H231" s="227" t="s">
        <v>638</v>
      </c>
      <c r="I231" s="226">
        <v>43104.683368055557</v>
      </c>
      <c r="J231" s="225">
        <v>0</v>
      </c>
      <c r="K231" s="237" t="str">
        <f>IF(ISEVEN(B231),(B231-1)&amp;"/"&amp;B231,B231&amp;"/"&amp;(B231+1))</f>
        <v>4055/4056</v>
      </c>
      <c r="L231" s="245" t="str">
        <f>VLOOKUP(A231,'Trips&amp;Operators'!$C$1:$G$99911,5,FALSE)</f>
        <v>HUFFSMITH MONTY</v>
      </c>
      <c r="M231" s="224">
        <f>I231-F231</f>
        <v>7.0023148145992309E-3</v>
      </c>
      <c r="N231" s="225">
        <f>24*60*SUM($M231:$M231)</f>
        <v>10.083333333022892</v>
      </c>
      <c r="O231" s="225"/>
      <c r="P231" s="225"/>
      <c r="Q231" s="228"/>
      <c r="R231" s="242"/>
      <c r="S231" s="249">
        <f>1/IF(AG231="EC",12,1)*SUM(U231:U231)</f>
        <v>1</v>
      </c>
      <c r="T231" s="242" t="str">
        <f>IF(ISEVEN(LEFT(AD231,4)),"Southbound","NorthBound")</f>
        <v>NorthBound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48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2018-01-04T15:07:16-0700',mode:absolute,to:'2018-01-04T17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1" s="247" t="str">
        <f>IF(AA231&lt;VLOOKUP(AG231,Variables!$AC$3:$AD$8,2,FALSE),"Y","N")</f>
        <v>Y</v>
      </c>
      <c r="X231" s="247">
        <f>VALUE(LEFT(AD231,4))-VALUE(LEFT(AD230,4))</f>
        <v>0</v>
      </c>
      <c r="Y231" s="247">
        <f>RIGHT(D231,LEN(D231)-4)/10000</f>
        <v>0.14979999999999999</v>
      </c>
      <c r="Z231" s="247">
        <f>RIGHT(H231,LEN(H231)-4)/10000</f>
        <v>2.3306</v>
      </c>
      <c r="AA231" s="247">
        <f>ABS(Z231-Y231)</f>
        <v>2.1808000000000001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>VALUE(LEFT(A231,LEN(A231)-3))</f>
        <v>61</v>
      </c>
      <c r="AE231" s="23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s3://rtdc.mdm.uploadarchive.raw/RTDC4056/ "%USERPROFILE%\AppData\Local\Temp\OnboardLogs"\RTDC4056\2018-01-04 --exclude "*" --recursive --include "*20180104*" &amp; "%USERPROFILE%\Documents\GitHub\mrs-test-scripts\Headless Mode &amp; Sideloading\WalkAndUnGZ.bat" "%USERPROFILE%\AppData\Local\Temp\OnboardLogs"\RTDC4056\2018-01-04 &amp; aws s3 cp s3://rtdc.mdm.uploadarchive.raw/RTDC4056/ "%USERPROFILE%\AppData\Local\Temp\OnboardLogs"\RTDC4056\2018-01-05 --exclude "*" --recursive --include "*20180105*" &amp; "%USERPROFILE%\Documents\GitHub\mrs-test-scripts\Headless Mode &amp; Sideloading\WalkAndUnGZ.bat" "%USERPROFILE%\AppData\Local\Temp\OnboardLogs"\RTDC4056\2018-01-05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/stypes="app*4056*20180104*" /stext=" 23:.+((SYSTEM_STATE.+slice.+state.+changed )|(ment ac)|(multiple cpu faults)|(system.+state.+changed )|(\[timeout)|(PRM\|1\|D)|(kpr)|(kdp)|(train st.+moving)|(\|lc)|(penalty))"</v>
      </c>
      <c r="AG231" s="244" t="str">
        <f>DetSubdiv(A231)</f>
        <v>Shuttle/Test</v>
      </c>
      <c r="AH231" s="236" t="str">
        <f t="shared" si="54"/>
        <v>"%USERPROFILE%\Documents\GitHub\eaglep3\Utilities\RefineRTDCRunTimes.py" --tripid 61-04 --locoid 4056 --swversion DE.1.0.9.0 --startMP 204:1498 --initTime 2018-01-04T16:07:16 --startdatetime 2018-01-04T16:13:58 --delay 273 --endMP 300:23306 --enddatetime 2018-01-04T16:24:03 --enforcementcount 0 &gt;&gt;%USERPROFILE%\Documents\GitHub\eaglep3-reporting\EC\2018-01-04-refined-times.txt</v>
      </c>
      <c r="AI231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2.3306"},{"id":17,"name":"Train ID","value":"61-04"},{"id":16,"name":"Locomotive ID","value":"4056"},{"id":130,"name":"Impact","value":""},{"id":150,"name":"Time of Event (Mountain Time)","value":"16:24:03"},{"id":151,"name":"Denver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3"/>
      <c r="AK231" s="231"/>
      <c r="AL231" s="231"/>
      <c r="AM231" s="240" t="str">
        <f t="shared" si="56"/>
        <v>start /low /b %USERPROFILE%\Documents\GitHub\eaglep3\Utilities\DownloadLogsFromS3.py --loco 4056 --day 2018-01-04</v>
      </c>
      <c r="AN231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58"/>
        <v>https://d0f6bd738d7f1b3e5a7ca70fe4ff75f0.us-east-1.aws.found.io/app/kibana#/discover/Steve-Slow-Train-Analysis-(2080s-and-2083s)?_g=(refreshInterval:(display:Off,pause:!f,section:0,value:0),time:(from:'2018-01-04T15:07:16-0700',mode:absolute,to:'2018-01-04T17:24:03-0700'))&amp;_a=(columns:!('Message%20ID',Summary),filters:!(),index:'emp_*',interval:auto,query:(query_string:(analyze_wildcard:!t,query:'%22rtdc.l.rtdc.4056%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 s="229" t="s">
        <v>666</v>
      </c>
      <c r="B232" s="225">
        <v>4059</v>
      </c>
      <c r="C232" s="227" t="s">
        <v>192</v>
      </c>
      <c r="D232" s="227" t="s">
        <v>1021</v>
      </c>
      <c r="E232" s="226">
        <v>43104.430763888886</v>
      </c>
      <c r="F232" s="226">
        <v>43104.434513888889</v>
      </c>
      <c r="G232" s="225">
        <v>72</v>
      </c>
      <c r="H232" s="227" t="s">
        <v>1022</v>
      </c>
      <c r="I232" s="226">
        <v>43104.455138888887</v>
      </c>
      <c r="J232" s="225">
        <v>0</v>
      </c>
      <c r="K232" s="237" t="str">
        <f>IF(ISEVEN(B232),(B232-1)&amp;"/"&amp;B232,B232&amp;"/"&amp;(B232+1))</f>
        <v>4059/4060</v>
      </c>
      <c r="L232" s="245" t="str">
        <f>VLOOKUP(A232,'Trips&amp;Operators'!$C$1:$G$99911,5,FALSE)</f>
        <v>GUNTHIER ERIC</v>
      </c>
      <c r="M232" s="224">
        <f>I232-F232</f>
        <v>2.0624999997380655E-2</v>
      </c>
      <c r="N232" s="225">
        <f>24*60*SUM($M232:$M232)</f>
        <v>29.699999996228144</v>
      </c>
      <c r="O232" s="225"/>
      <c r="P232" s="225"/>
      <c r="Q232" s="228"/>
      <c r="R232" s="242"/>
      <c r="S232" s="249">
        <f>1/IF(AG232="EC",12,1)*SUM(U232:U232)</f>
        <v>1</v>
      </c>
      <c r="T232" s="242" t="str">
        <f>IF(ISEVEN(LEFT(AD232,4)),"Southbound","NorthBound")</f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8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2018-01-04T09:20:18-0700',mode:absolute,to:'2018-01-04T11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2" s="247" t="str">
        <f>IF(AA232&lt;VLOOKUP(AG232,Variables!$AC$3:$AD$8,2,FALSE),"Y","N")</f>
        <v>Y</v>
      </c>
      <c r="X232" s="247">
        <f>VALUE(LEFT(AD232,4))-VALUE(LEFT(AD231,4))</f>
        <v>1</v>
      </c>
      <c r="Y232" s="247">
        <f>RIGHT(D232,LEN(D232)-4)/10000</f>
        <v>11.2187</v>
      </c>
      <c r="Z232" s="247">
        <f>RIGHT(H232,LEN(H232)-4)/10000</f>
        <v>6.6400000000000001E-2</v>
      </c>
      <c r="AA232" s="247">
        <f>ABS(Z232-Y232)</f>
        <v>11.1523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>VALUE(LEFT(A232,LEN(A232)-3))</f>
        <v>62</v>
      </c>
      <c r="AE232" s="23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 &amp; aws s3 cp s3://rtdc.mdm.uploadarchive.raw/RTDC4059/ "%USERPROFILE%\AppData\Local\Temp\OnboardLogs"\RTDC4059\2018-01-05 --exclude "*" --recursive --include "*20180105*" &amp; "%USERPROFILE%\Documents\GitHub\mrs-test-scripts\Headless Mode &amp; Sideloading\WalkAndUnGZ.bat" "%USERPROFILE%\AppData\Local\Temp\OnboardLogs"\RTDC4059\2018-01-05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/stypes="app*4059*20180104*" /stext=" 17:.+((SYSTEM_STATE.+slice.+state.+changed )|(ment ac)|(multiple cpu faults)|(system.+state.+changed )|(\[timeout)|(PRM\|1\|D)|(kpr)|(kdp)|(train st.+moving)|(\|lc)|(penalty))"</v>
      </c>
      <c r="AG232" s="244" t="str">
        <f>DetSubdiv(A232)</f>
        <v>Shuttle/Test</v>
      </c>
      <c r="AH232" s="236" t="str">
        <f t="shared" si="54"/>
        <v>"%USERPROFILE%\Documents\GitHub\eaglep3\Utilities\RefineRTDCRunTimes.py" --tripid 62-04 --locoid 4059 --swversion DE.1.0.9.0 --startMP 300:112187 --initTime 2018-01-04T10:20:18 --startdatetime 2018-01-04T10:25:42 --delay 72 --endMP 204:664 --enddatetime 2018-01-04T10:55:24 --enforcementcount 0 &gt;&gt;%USERPROFILE%\Documents\GitHub\eaglep3-reporting\EC\2018-01-04-refined-times.txt</v>
      </c>
      <c r="AI232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0.0664"},{"id":17,"name":"Train ID","value":"62-04"},{"id":16,"name":"Locomotive ID","value":"4059"},{"id":130,"name":"Impact","value":""},{"id":150,"name":"Time of Event (Mountain Time)","value":"10:55:24"},{"id":151,"name":"Denver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231"/>
      <c r="AL232" s="231"/>
      <c r="AM232" s="240" t="str">
        <f t="shared" si="56"/>
        <v>start /low /b %USERPROFILE%\Documents\GitHub\eaglep3\Utilities\DownloadLogsFromS3.py --loco 4059 --day 2018-01-04</v>
      </c>
      <c r="AN232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58"/>
        <v>https://d0f6bd738d7f1b3e5a7ca70fe4ff75f0.us-east-1.aws.found.io/app/kibana#/discover/Steve-Slow-Train-Analysis-(2080s-and-2083s)?_g=(refreshInterval:(display:Off,pause:!f,section:0,value:0),time:(from:'2018-01-04T09:20:18-0700',mode:absolute,to:'2018-01-04T11:55:24-0700'))&amp;_a=(columns:!('Message%20ID',Summary),filters:!(),index:'emp_*',interval:auto,query:(query_string:(analyze_wildcard:!t,query:'%22rtdc.l.rtdc.4059%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229" t="s">
        <v>666</v>
      </c>
      <c r="B233" s="225">
        <v>4059</v>
      </c>
      <c r="C233" s="227" t="s">
        <v>192</v>
      </c>
      <c r="D233" s="227" t="s">
        <v>1023</v>
      </c>
      <c r="E233" s="226">
        <v>43104.554166666669</v>
      </c>
      <c r="F233" s="226">
        <v>43104.556631944448</v>
      </c>
      <c r="G233" s="225">
        <v>69</v>
      </c>
      <c r="H233" s="227" t="s">
        <v>1024</v>
      </c>
      <c r="I233" s="226">
        <v>43104.57534722222</v>
      </c>
      <c r="J233" s="225">
        <v>0</v>
      </c>
      <c r="K233" s="237" t="str">
        <f>IF(ISEVEN(B233),(B233-1)&amp;"/"&amp;B233,B233&amp;"/"&amp;(B233+1))</f>
        <v>4059/4060</v>
      </c>
      <c r="L233" s="245" t="str">
        <f>VLOOKUP(A233,'Trips&amp;Operators'!$C$1:$G$99911,5,FALSE)</f>
        <v>GUNTHIER ERIC</v>
      </c>
      <c r="M233" s="224">
        <f>I233-F233</f>
        <v>1.8715277772571426E-2</v>
      </c>
      <c r="N233" s="225">
        <f>24*60*SUM($M233:$M233)</f>
        <v>26.949999992502853</v>
      </c>
      <c r="O233" s="225"/>
      <c r="P233" s="225"/>
      <c r="Q233" s="228"/>
      <c r="R233" s="242"/>
      <c r="S233" s="249">
        <f>1/IF(AG233="EC",12,1)*SUM(U233:U233)</f>
        <v>0</v>
      </c>
      <c r="T233" s="242" t="str">
        <f>IF(ISEVEN(LEFT(AD233,4)),"Southbound","NorthBound")</f>
        <v>Southbound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2018-01-04T12:18:00-0700',mode:absolute,to:'2018-01-04T14:48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3" s="247" t="str">
        <f>IF(AA233&lt;VLOOKUP(AG233,Variables!$AC$3:$AD$8,2,FALSE),"Y","N")</f>
        <v>Y</v>
      </c>
      <c r="X233" s="247">
        <f>VALUE(LEFT(AD233,4))-VALUE(LEFT(AD232,4))</f>
        <v>0</v>
      </c>
      <c r="Y233" s="247">
        <f>RIGHT(D233,LEN(D233)-4)/10000</f>
        <v>11.219099999999999</v>
      </c>
      <c r="Z233" s="247">
        <f>RIGHT(H233,LEN(H233)-4)/10000</f>
        <v>2.8780000000000001</v>
      </c>
      <c r="AA233" s="247">
        <f>ABS(Z233-Y233)</f>
        <v>8.3410999999999991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>VALUE(LEFT(A233,LEN(A233)-3))</f>
        <v>62</v>
      </c>
      <c r="AE233" s="23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 &amp; aws s3 cp s3://rtdc.mdm.uploadarchive.raw/RTDC4059/ "%USERPROFILE%\AppData\Local\Temp\OnboardLogs"\RTDC4059\2018-01-05 --exclude "*" --recursive --include "*20180105*" &amp; "%USERPROFILE%\Documents\GitHub\mrs-test-scripts\Headless Mode &amp; Sideloading\WalkAndUnGZ.bat" "%USERPROFILE%\AppData\Local\Temp\OnboardLogs"\RTDC4059\2018-01-05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/stypes="app*4059*20180104*" /stext=" 20:.+((SYSTEM_STATE.+slice.+state.+changed )|(ment ac)|(multiple cpu faults)|(system.+state.+changed )|(\[timeout)|(PRM\|1\|D)|(kpr)|(kdp)|(train st.+moving)|(\|lc)|(penalty))"</v>
      </c>
      <c r="AG233" s="244" t="str">
        <f>DetSubdiv(A233)</f>
        <v>Shuttle/Test</v>
      </c>
      <c r="AH233" s="236" t="str">
        <f t="shared" si="54"/>
        <v>"%USERPROFILE%\Documents\GitHub\eaglep3\Utilities\RefineRTDCRunTimes.py" --tripid 62-04 --locoid 4059 --swversion DE.1.0.9.0 --startMP 300:112191 --initTime 2018-01-04T13:18:00 --startdatetime 2018-01-04T13:21:33 --delay 69 --endMP 300:28780 --enddatetime 2018-01-04T13:48:30 --enforcementcount 0 &gt;&gt;%USERPROFILE%\Documents\GitHub\eaglep3-reporting\EC\2018-01-04-refined-times.txt</v>
      </c>
      <c r="AI233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2.878"},{"id":17,"name":"Train ID","value":"62-04"},{"id":16,"name":"Locomotive ID","value":"4059"},{"id":130,"name":"Impact","value":""},{"id":150,"name":"Time of Event (Mountain Time)","value":"13:48:30"},{"id":151,"name":"Denver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3"/>
      <c r="AK233" s="231"/>
      <c r="AL233" s="231"/>
      <c r="AM233" s="240" t="str">
        <f t="shared" si="56"/>
        <v>start /low /b %USERPROFILE%\Documents\GitHub\eaglep3\Utilities\DownloadLogsFromS3.py --loco 4059 --day 2018-01-04</v>
      </c>
      <c r="AN233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20:48:30"},{"id":29,"name":"Sharepoint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58"/>
        <v>https://d0f6bd738d7f1b3e5a7ca70fe4ff75f0.us-east-1.aws.found.io/app/kibana#/discover/Steve-Slow-Train-Analysis-(2080s-and-2083s)?_g=(refreshInterval:(display:Off,pause:!f,section:0,value:0),time:(from:'2018-01-04T12:18:00-0700',mode:absolute,to:'2018-01-04T14:48:30-0700'))&amp;_a=(columns:!('Message%20ID',Summary),filters:!(),index:'emp_*',interval:auto,query:(query_string:(analyze_wildcard:!t,query:'%22rtdc.l.rtdc.4059%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229" t="s">
        <v>666</v>
      </c>
      <c r="B234" s="225">
        <v>4059</v>
      </c>
      <c r="C234" s="227" t="s">
        <v>192</v>
      </c>
      <c r="D234" s="227" t="s">
        <v>1025</v>
      </c>
      <c r="E234" s="226">
        <v>43104.504050925927</v>
      </c>
      <c r="F234" s="226">
        <v>43104.506354166668</v>
      </c>
      <c r="G234" s="225">
        <v>65</v>
      </c>
      <c r="H234" s="227" t="s">
        <v>1026</v>
      </c>
      <c r="I234" s="226">
        <v>43104.521331018521</v>
      </c>
      <c r="J234" s="225">
        <v>0</v>
      </c>
      <c r="K234" s="237" t="str">
        <f>IF(ISEVEN(B234),(B234-1)&amp;"/"&amp;B234,B234&amp;"/"&amp;(B234+1))</f>
        <v>4059/4060</v>
      </c>
      <c r="L234" s="245" t="str">
        <f>VLOOKUP(A234,'Trips&amp;Operators'!$C$1:$G$99911,5,FALSE)</f>
        <v>GUNTHIER ERIC</v>
      </c>
      <c r="M234" s="224">
        <f>I234-F234</f>
        <v>1.4976851853134576E-2</v>
      </c>
      <c r="N234" s="225">
        <f>24*60*SUM($M234:$M234)</f>
        <v>21.56666666851379</v>
      </c>
      <c r="O234" s="225"/>
      <c r="P234" s="225"/>
      <c r="Q234" s="228"/>
      <c r="R234" s="242"/>
      <c r="S234" s="249">
        <f>1/IF(AG234="EC",12,1)*SUM(U234:U234)</f>
        <v>0</v>
      </c>
      <c r="T234" s="242" t="str">
        <f>IF(ISEVEN(LEFT(AD234,4)),"Southbound","NorthBound")</f>
        <v>Southbound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2018-01-04T11:05:50-0700',mode:absolute,to:'2018-01-04T13:30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4" s="247" t="str">
        <f>IF(AA234&lt;VLOOKUP(AG234,Variables!$AC$3:$AD$8,2,FALSE),"Y","N")</f>
        <v>Y</v>
      </c>
      <c r="X234" s="247">
        <f>VALUE(LEFT(AD234,4))-VALUE(LEFT(AD233,4))</f>
        <v>0</v>
      </c>
      <c r="Y234" s="247">
        <f>RIGHT(D234,LEN(D234)-4)/10000</f>
        <v>11.2193</v>
      </c>
      <c r="Z234" s="247">
        <f>RIGHT(H234,LEN(H234)-4)/10000</f>
        <v>3.9203999999999999</v>
      </c>
      <c r="AA234" s="247">
        <f>ABS(Z234-Y234)</f>
        <v>7.2989000000000006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>VALUE(LEFT(A234,LEN(A234)-3))</f>
        <v>62</v>
      </c>
      <c r="AE234" s="23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 &amp; aws s3 cp s3://rtdc.mdm.uploadarchive.raw/RTDC4059/ "%USERPROFILE%\AppData\Local\Temp\OnboardLogs"\RTDC4059\2018-01-05 --exclude "*" --recursive --include "*20180105*" &amp; "%USERPROFILE%\Documents\GitHub\mrs-test-scripts\Headless Mode &amp; Sideloading\WalkAndUnGZ.bat" "%USERPROFILE%\AppData\Local\Temp\OnboardLogs"\RTDC4059\2018-01-05</v>
      </c>
      <c r="AF234" s="23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/stypes="app*4059*20180104*" /stext=" 19:.+((SYSTEM_STATE.+slice.+state.+changed )|(ment ac)|(multiple cpu faults)|(system.+state.+changed )|(\[timeout)|(PRM\|1\|D)|(kpr)|(kdp)|(train st.+moving)|(\|lc)|(penalty))"</v>
      </c>
      <c r="AG234" s="244" t="str">
        <f>DetSubdiv(A234)</f>
        <v>Shuttle/Test</v>
      </c>
      <c r="AH234" s="236" t="str">
        <f t="shared" si="54"/>
        <v>"%USERPROFILE%\Documents\GitHub\eaglep3\Utilities\RefineRTDCRunTimes.py" --tripid 62-04 --locoid 4059 --swversion DE.1.0.9.0 --startMP 300:112193 --initTime 2018-01-04T12:05:50 --startdatetime 2018-01-04T12:09:09 --delay 65 --endMP 300:39204 --enddatetime 2018-01-04T12:30:43 --enforcementcount 0 &gt;&gt;%USERPROFILE%\Documents\GitHub\eaglep3-reporting\EC\2018-01-04-refined-times.txt</v>
      </c>
      <c r="AI234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3.9204"},{"id":17,"name":"Train ID","value":"62-04"},{"id":16,"name":"Locomotive ID","value":"4059"},{"id":130,"name":"Impact","value":""},{"id":150,"name":"Time of Event (Mountain Time)","value":"12:30:43"},{"id":151,"name":"Denver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3"/>
      <c r="AK234" s="231"/>
      <c r="AL234" s="231"/>
      <c r="AM234" s="240" t="str">
        <f t="shared" si="56"/>
        <v>start /low /b %USERPROFILE%\Documents\GitHub\eaglep3\Utilities\DownloadLogsFromS3.py --loco 4059 --day 2018-01-04</v>
      </c>
      <c r="AN234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58"/>
        <v>https://d0f6bd738d7f1b3e5a7ca70fe4ff75f0.us-east-1.aws.found.io/app/kibana#/discover/Steve-Slow-Train-Analysis-(2080s-and-2083s)?_g=(refreshInterval:(display:Off,pause:!f,section:0,value:0),time:(from:'2018-01-04T11:05:50-0700',mode:absolute,to:'2018-01-04T13:30:43-0700'))&amp;_a=(columns:!('Message%20ID',Summary),filters:!(),index:'emp_*',interval:auto,query:(query_string:(analyze_wildcard:!t,query:'%22rtdc.l.rtdc.4059%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229" t="s">
        <v>665</v>
      </c>
      <c r="B235" s="225">
        <v>4060</v>
      </c>
      <c r="C235" s="227" t="s">
        <v>192</v>
      </c>
      <c r="D235" s="227" t="s">
        <v>1027</v>
      </c>
      <c r="E235" s="226">
        <v>43104.397939814815</v>
      </c>
      <c r="F235" s="226">
        <v>43104.409560185188</v>
      </c>
      <c r="G235" s="225">
        <v>65</v>
      </c>
      <c r="H235" s="227" t="s">
        <v>1028</v>
      </c>
      <c r="I235" s="226">
        <v>43104.4294212963</v>
      </c>
      <c r="J235" s="225">
        <v>0</v>
      </c>
      <c r="K235" s="237" t="str">
        <f>IF(ISEVEN(B235),(B235-1)&amp;"/"&amp;B235,B235&amp;"/"&amp;(B235+1))</f>
        <v>4059/4060</v>
      </c>
      <c r="L235" s="245" t="str">
        <f>VLOOKUP(A235,'Trips&amp;Operators'!$C$1:$G$99911,5,FALSE)</f>
        <v>GUNTHIER ERIC</v>
      </c>
      <c r="M235" s="224">
        <f>I235-F235</f>
        <v>1.9861111111822538E-2</v>
      </c>
      <c r="N235" s="225">
        <f>24*60*SUM($M235:$M235)</f>
        <v>28.600000001024455</v>
      </c>
      <c r="O235" s="225"/>
      <c r="P235" s="225"/>
      <c r="Q235" s="228"/>
      <c r="R235" s="242"/>
      <c r="S235" s="249">
        <f>1/IF(AG235="EC",12,1)*SUM(U235:U235)</f>
        <v>0</v>
      </c>
      <c r="T235" s="242" t="str">
        <f>IF(ISEVEN(LEFT(AD235,4)),"Southbound","NorthBound")</f>
        <v>NorthBound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8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2018-01-04T08:33:02-0700',mode:absolute,to:'2018-01-04T11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5" s="247" t="str">
        <f>IF(AA235&lt;VLOOKUP(AG235,Variables!$AC$3:$AD$8,2,FALSE),"Y","N")</f>
        <v>Y</v>
      </c>
      <c r="X235" s="247">
        <f>VALUE(LEFT(AD235,4))-VALUE(LEFT(AD234,4))</f>
        <v>1</v>
      </c>
      <c r="Y235" s="247">
        <f>RIGHT(D235,LEN(D235)-4)/10000</f>
        <v>3.9531000000000001</v>
      </c>
      <c r="Z235" s="247">
        <f>RIGHT(H235,LEN(H235)-4)/10000</f>
        <v>3.9727999999999999</v>
      </c>
      <c r="AA235" s="247">
        <f>ABS(Z235-Y235)</f>
        <v>1.9699999999999829E-2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>VALUE(LEFT(A235,LEN(A235)-3))</f>
        <v>63</v>
      </c>
      <c r="AE235" s="23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AF235" s="23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/stypes="app*4060*20180104*" /stext=" 17:.+((SYSTEM_STATE.+slice.+state.+changed )|(ment ac)|(multiple cpu faults)|(system.+state.+changed )|(\[timeout)|(PRM\|1\|D)|(kpr)|(kdp)|(train st.+moving)|(\|lc)|(penalty))"</v>
      </c>
      <c r="AG235" s="244" t="str">
        <f>DetSubdiv(A235)</f>
        <v>Shuttle/Test</v>
      </c>
      <c r="AH235" s="236" t="str">
        <f t="shared" si="54"/>
        <v>"%USERPROFILE%\Documents\GitHub\eaglep3\Utilities\RefineRTDCRunTimes.py" --tripid 63-04 --locoid 4060 --swversion DE.1.0.9.0 --startMP 300:39531 --initTime 2018-01-04T09:33:02 --startdatetime 2018-01-04T09:49:46 --delay 65 --endMP 300:39728 --enddatetime 2018-01-04T10:18:22 --enforcementcount 0 &gt;&gt;%USERPROFILE%\Documents\GitHub\eaglep3-reporting\EC\2018-01-04-refined-times.txt</v>
      </c>
      <c r="AI235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3.9728"},{"id":17,"name":"Train ID","value":"63-04"},{"id":16,"name":"Locomotive ID","value":"4060"},{"id":130,"name":"Impact","value":""},{"id":150,"name":"Time of Event (Mountain Time)","value":"10:18:22"},{"id":151,"name":"Denver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3"/>
      <c r="AK235" s="231"/>
      <c r="AL235" s="231"/>
      <c r="AM235" s="240" t="str">
        <f t="shared" si="56"/>
        <v>start /low /b %USERPROFILE%\Documents\GitHub\eaglep3\Utilities\DownloadLogsFromS3.py --loco 4060 --day 2018-01-04</v>
      </c>
      <c r="AN235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58"/>
        <v>https://d0f6bd738d7f1b3e5a7ca70fe4ff75f0.us-east-1.aws.found.io/app/kibana#/discover/Steve-Slow-Train-Analysis-(2080s-and-2083s)?_g=(refreshInterval:(display:Off,pause:!f,section:0,value:0),time:(from:'2018-01-04T08:33:02-0700',mode:absolute,to:'2018-01-04T11:18:22-0700'))&amp;_a=(columns:!('Message%20ID',Summary),filters:!(),index:'emp_*',interval:auto,query:(query_string:(analyze_wildcard:!t,query:'%22rtdc.l.rtdc.4060%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3" customFormat="1" x14ac:dyDescent="0.3">
      <c r="A236" s="229" t="s">
        <v>665</v>
      </c>
      <c r="B236" s="225">
        <v>4060</v>
      </c>
      <c r="C236" s="227" t="s">
        <v>192</v>
      </c>
      <c r="D236" s="227" t="s">
        <v>1029</v>
      </c>
      <c r="E236" s="226">
        <v>43104.407824074071</v>
      </c>
      <c r="F236" s="226">
        <v>43104.409560185188</v>
      </c>
      <c r="G236" s="225">
        <v>67</v>
      </c>
      <c r="H236" s="227" t="s">
        <v>1019</v>
      </c>
      <c r="I236" s="226">
        <v>43104.4294212963</v>
      </c>
      <c r="J236" s="225">
        <v>0</v>
      </c>
      <c r="K236" s="237" t="str">
        <f>IF(ISEVEN(B236),(B236-1)&amp;"/"&amp;B236,B236&amp;"/"&amp;(B236+1))</f>
        <v>4059/4060</v>
      </c>
      <c r="L236" s="245" t="str">
        <f>VLOOKUP(A236,'Trips&amp;Operators'!$C$1:$G$99911,5,FALSE)</f>
        <v>GUNTHIER ERIC</v>
      </c>
      <c r="M236" s="224">
        <f>I236-F236</f>
        <v>1.9861111111822538E-2</v>
      </c>
      <c r="N236" s="225">
        <f>24*60*SUM($M236:$M236)</f>
        <v>28.600000001024455</v>
      </c>
      <c r="O236" s="225"/>
      <c r="P236" s="225"/>
      <c r="Q236" s="228"/>
      <c r="R236" s="242"/>
      <c r="S236" s="249">
        <f>1/IF(AG236="EC",12,1)*SUM(U236:U236)</f>
        <v>0</v>
      </c>
      <c r="T236" s="242" t="str">
        <f>IF(ISEVEN(LEFT(AD236,4)),"Southbound","NorthBound")</f>
        <v>NorthBound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8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2018-01-04T08:47:16-0700',mode:absolute,to:'2018-01-04T11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6" s="247" t="str">
        <f>IF(AA236&lt;VLOOKUP(AG236,Variables!$AC$3:$AD$8,2,FALSE),"Y","N")</f>
        <v>Y</v>
      </c>
      <c r="X236" s="247">
        <f>VALUE(LEFT(AD236,4))-VALUE(LEFT(AD235,4))</f>
        <v>0</v>
      </c>
      <c r="Y236" s="247">
        <f>RIGHT(D236,LEN(D236)-4)/10000</f>
        <v>5.0429000000000004</v>
      </c>
      <c r="Z236" s="247">
        <f>RIGHT(H236,LEN(H236)-4)/10000</f>
        <v>11.2515</v>
      </c>
      <c r="AA236" s="247">
        <f>ABS(Z236-Y236)</f>
        <v>6.2085999999999997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>VALUE(LEFT(A236,LEN(A236)-3))</f>
        <v>63</v>
      </c>
      <c r="AE236" s="23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AF236" s="23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/stypes="app*4060*20180104*" /stext=" 17:.+((SYSTEM_STATE.+slice.+state.+changed )|(ment ac)|(multiple cpu faults)|(system.+state.+changed )|(\[timeout)|(PRM\|1\|D)|(kpr)|(kdp)|(train st.+moving)|(\|lc)|(penalty))"</v>
      </c>
      <c r="AG236" s="244" t="str">
        <f>DetSubdiv(A236)</f>
        <v>Shuttle/Test</v>
      </c>
      <c r="AH236" s="236" t="str">
        <f t="shared" si="54"/>
        <v>"%USERPROFILE%\Documents\GitHub\eaglep3\Utilities\RefineRTDCRunTimes.py" --tripid 63-04 --locoid 4060 --swversion DE.1.0.9.0 --startMP 300:50429 --initTime 2018-01-04T09:47:16 --startdatetime 2018-01-04T09:49:46 --delay 67 --endMP 300:112515 --enddatetime 2018-01-04T10:18:22 --enforcementcount 0 &gt;&gt;%USERPROFILE%\Documents\GitHub\eaglep3-reporting\EC\2018-01-04-refined-times.txt</v>
      </c>
      <c r="AI236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11.2515"},{"id":17,"name":"Train ID","value":"63-04"},{"id":16,"name":"Locomotive ID","value":"4060"},{"id":130,"name":"Impact","value":""},{"id":150,"name":"Time of Event (Mountain Time)","value":"10:18:22"},{"id":151,"name":"Denver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1"/>
      <c r="AL236" s="231"/>
      <c r="AM236" s="240" t="str">
        <f t="shared" si="56"/>
        <v>start /low /b %USERPROFILE%\Documents\GitHub\eaglep3\Utilities\DownloadLogsFromS3.py --loco 4060 --day 2018-01-04</v>
      </c>
      <c r="AN236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58"/>
        <v>https://d0f6bd738d7f1b3e5a7ca70fe4ff75f0.us-east-1.aws.found.io/app/kibana#/discover/Steve-Slow-Train-Analysis-(2080s-and-2083s)?_g=(refreshInterval:(display:Off,pause:!f,section:0,value:0),time:(from:'2018-01-04T08:47:16-0700',mode:absolute,to:'2018-01-04T11:18:22-0700'))&amp;_a=(columns:!('Message%20ID',Summary),filters:!(),index:'emp_*',interval:auto,query:(query_string:(analyze_wildcard:!t,query:'%22rtdc.l.rtdc.4060%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229" t="s">
        <v>665</v>
      </c>
      <c r="B237" s="225">
        <v>4060</v>
      </c>
      <c r="C237" s="227" t="s">
        <v>192</v>
      </c>
      <c r="D237" s="227" t="s">
        <v>1030</v>
      </c>
      <c r="E237" s="226">
        <v>43104.400509259256</v>
      </c>
      <c r="F237" s="226">
        <v>43104.409560185188</v>
      </c>
      <c r="G237" s="225">
        <v>78</v>
      </c>
      <c r="H237" s="227" t="s">
        <v>1031</v>
      </c>
      <c r="I237" s="226">
        <v>43104.4294212963</v>
      </c>
      <c r="J237" s="225">
        <v>0</v>
      </c>
      <c r="K237" s="237" t="str">
        <f>IF(ISEVEN(B237),(B237-1)&amp;"/"&amp;B237,B237&amp;"/"&amp;(B237+1))</f>
        <v>4059/4060</v>
      </c>
      <c r="L237" s="245" t="str">
        <f>VLOOKUP(A237,'Trips&amp;Operators'!$C$1:$G$99911,5,FALSE)</f>
        <v>GUNTHIER ERIC</v>
      </c>
      <c r="M237" s="224">
        <f>I237-F237</f>
        <v>1.9861111111822538E-2</v>
      </c>
      <c r="N237" s="225">
        <f>24*60*SUM($M237:$M237)</f>
        <v>28.600000001024455</v>
      </c>
      <c r="O237" s="225"/>
      <c r="P237" s="225"/>
      <c r="Q237" s="228"/>
      <c r="R237" s="242"/>
      <c r="S237" s="249">
        <f>1/IF(AG237="EC",12,1)*SUM(U237:U237)</f>
        <v>0</v>
      </c>
      <c r="T237" s="242" t="str">
        <f>IF(ISEVEN(LEFT(AD237,4)),"Southbound","NorthBound")</f>
        <v>NorthBound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8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2018-01-04T08:36:44-0700',mode:absolute,to:'2018-01-04T11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7" s="247" t="str">
        <f>IF(AA237&lt;VLOOKUP(AG237,Variables!$AC$3:$AD$8,2,FALSE),"Y","N")</f>
        <v>Y</v>
      </c>
      <c r="X237" s="247">
        <f>VALUE(LEFT(AD237,4))-VALUE(LEFT(AD236,4))</f>
        <v>0</v>
      </c>
      <c r="Y237" s="247">
        <f>RIGHT(D237,LEN(D237)-4)/10000</f>
        <v>3.9887999999999999</v>
      </c>
      <c r="Z237" s="247">
        <f>RIGHT(H237,LEN(H237)-4)/10000</f>
        <v>5.0423999999999998</v>
      </c>
      <c r="AA237" s="247">
        <f>ABS(Z237-Y237)</f>
        <v>1.0535999999999999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>VALUE(LEFT(A237,LEN(A237)-3))</f>
        <v>63</v>
      </c>
      <c r="AE237" s="23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AF237" s="23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/stypes="app*4060*20180104*" /stext=" 17:.+((SYSTEM_STATE.+slice.+state.+changed )|(ment ac)|(multiple cpu faults)|(system.+state.+changed )|(\[timeout)|(PRM\|1\|D)|(kpr)|(kdp)|(train st.+moving)|(\|lc)|(penalty))"</v>
      </c>
      <c r="AG237" s="244" t="str">
        <f>DetSubdiv(A237)</f>
        <v>Shuttle/Test</v>
      </c>
      <c r="AH237" s="236" t="str">
        <f t="shared" si="54"/>
        <v>"%USERPROFILE%\Documents\GitHub\eaglep3\Utilities\RefineRTDCRunTimes.py" --tripid 63-04 --locoid 4060 --swversion DE.1.0.9.0 --startMP 300:39888 --initTime 2018-01-04T09:36:44 --startdatetime 2018-01-04T09:49:46 --delay 78 --endMP 300:50424 --enddatetime 2018-01-04T10:18:22 --enforcementcount 0 &gt;&gt;%USERPROFILE%\Documents\GitHub\eaglep3-reporting\EC\2018-01-04-refined-times.txt</v>
      </c>
      <c r="AI237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5.0424"},{"id":17,"name":"Train ID","value":"63-04"},{"id":16,"name":"Locomotive ID","value":"4060"},{"id":130,"name":"Impact","value":""},{"id":150,"name":"Time of Event (Mountain Time)","value":"10:18:22"},{"id":151,"name":"Denver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56"/>
        <v>start /low /b %USERPROFILE%\Documents\GitHub\eaglep3\Utilities\DownloadLogsFromS3.py --loco 4060 --day 2018-01-04</v>
      </c>
      <c r="AN237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17:18:22"},{"id":29,"name":"Sharepoint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58"/>
        <v>https://d0f6bd738d7f1b3e5a7ca70fe4ff75f0.us-east-1.aws.found.io/app/kibana#/discover/Steve-Slow-Train-Analysis-(2080s-and-2083s)?_g=(refreshInterval:(display:Off,pause:!f,section:0,value:0),time:(from:'2018-01-04T08:36:44-0700',mode:absolute,to:'2018-01-04T11:18:22-0700'))&amp;_a=(columns:!('Message%20ID',Summary),filters:!(),index:'emp_*',interval:auto,query:(query_string:(analyze_wildcard:!t,query:'%22rtdc.l.rtdc.4060%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 s="229" t="s">
        <v>785</v>
      </c>
      <c r="B238" s="225">
        <v>4010</v>
      </c>
      <c r="C238" s="227" t="s">
        <v>192</v>
      </c>
      <c r="D238" s="227" t="s">
        <v>1032</v>
      </c>
      <c r="E238" s="226">
        <v>43104.465578703705</v>
      </c>
      <c r="F238" s="226">
        <v>43104.470219907409</v>
      </c>
      <c r="G238" s="225">
        <v>156</v>
      </c>
      <c r="H238" s="227" t="s">
        <v>1033</v>
      </c>
      <c r="I238" s="226">
        <v>43104.487604166665</v>
      </c>
      <c r="J238" s="225">
        <v>0</v>
      </c>
      <c r="K238" s="237" t="str">
        <f>IF(ISEVEN(B238),(B238-1)&amp;"/"&amp;B238,B238&amp;"/"&amp;(B238+1))</f>
        <v>4009/4010</v>
      </c>
      <c r="L238" s="245" t="str">
        <f>VLOOKUP(A238,'Trips&amp;Operators'!$C$1:$G$99911,5,FALSE)</f>
        <v>MOSES BRADLEY</v>
      </c>
      <c r="M238" s="224">
        <f>I238-F238</f>
        <v>1.7384259255777579E-2</v>
      </c>
      <c r="N238" s="225">
        <f>24*60*SUM($M238:$M238)</f>
        <v>25.033333328319713</v>
      </c>
      <c r="O238" s="225"/>
      <c r="P238" s="225"/>
      <c r="Q238" s="228"/>
      <c r="R238" s="242"/>
      <c r="S238" s="249">
        <f>1/IF(AG238="EC",12,1)*SUM(U238:U238)</f>
        <v>0</v>
      </c>
      <c r="T238" s="242" t="str">
        <f>IF(ISEVEN(LEFT(AD238,4)),"Southbound","NorthBound")</f>
        <v>NorthBound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8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2018-01-04T10:10:26-0700',mode:absolute,to:'2018-01-04T12:42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8" s="247" t="str">
        <f>IF(AA238&lt;VLOOKUP(AG238,Variables!$AC$3:$AD$8,2,FALSE),"Y","N")</f>
        <v>Y</v>
      </c>
      <c r="X238" s="247">
        <f>VALUE(LEFT(AD238,4))-VALUE(LEFT(AD237,4))</f>
        <v>2</v>
      </c>
      <c r="Y238" s="247">
        <f>RIGHT(D238,LEN(D238)-4)/10000</f>
        <v>3.0678000000000001</v>
      </c>
      <c r="Z238" s="247">
        <f>RIGHT(H238,LEN(H238)-4)/10000</f>
        <v>5.8987999999999996</v>
      </c>
      <c r="AA238" s="247">
        <f>ABS(Z238-Y238)</f>
        <v>2.8309999999999995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>VALUE(LEFT(A238,LEN(A238)-3))</f>
        <v>65</v>
      </c>
      <c r="AE238" s="23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238" s="23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/stypes="app*4010*20180104*" /stext=" 18:.+((SYSTEM_STATE.+slice.+state.+changed )|(ment ac)|(multiple cpu faults)|(system.+state.+changed )|(\[timeout)|(PRM\|1\|D)|(kpr)|(kdp)|(train st.+moving)|(\|lc)|(penalty))"</v>
      </c>
      <c r="AG238" s="244" t="str">
        <f>DetSubdiv(A238)</f>
        <v>Shuttle/Test</v>
      </c>
      <c r="AH238" s="236" t="str">
        <f t="shared" si="54"/>
        <v>"%USERPROFILE%\Documents\GitHub\eaglep3\Utilities\RefineRTDCRunTimes.py" --tripid 65-04 --locoid 4010 --swversion DE.1.0.9.0 --startMP 300:30678 --initTime 2018-01-04T11:10:26 --startdatetime 2018-01-04T11:17:07 --delay 156 --endMP 300:58988 --enddatetime 2018-01-04T11:42:09 --enforcementcount 0 &gt;&gt;%USERPROFILE%\Documents\GitHub\eaglep3-reporting\EC\2018-01-04-refined-times.txt</v>
      </c>
      <c r="AI238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5.8988"},{"id":17,"name":"Train ID","value":"65-04"},{"id":16,"name":"Locomotive ID","value":"4010"},{"id":130,"name":"Impact","value":""},{"id":150,"name":"Time of Event (Mountain Time)","value":"11:42:09"},{"id":151,"name":"Denver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1"/>
      <c r="AL238" s="231"/>
      <c r="AM238" s="240" t="str">
        <f t="shared" si="56"/>
        <v>start /low /b %USERPROFILE%\Documents\GitHub\eaglep3\Utilities\DownloadLogsFromS3.py --loco 4010 --day 2018-01-04</v>
      </c>
      <c r="AN238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18:42:09"},{"id":29,"name":"Sharepoint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58"/>
        <v>https://d0f6bd738d7f1b3e5a7ca70fe4ff75f0.us-east-1.aws.found.io/app/kibana#/discover/Steve-Slow-Train-Analysis-(2080s-and-2083s)?_g=(refreshInterval:(display:Off,pause:!f,section:0,value:0),time:(from:'2018-01-04T10:10:26-0700',mode:absolute,to:'2018-01-04T12:42:09-0700'))&amp;_a=(columns:!('Message%20ID',Summary),filters:!(),index:'emp_*',interval:auto,query:(query_string:(analyze_wildcard:!t,query:'%22rtdc.l.rtdc.4010%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229" t="s">
        <v>787</v>
      </c>
      <c r="B239" s="225">
        <v>4059</v>
      </c>
      <c r="C239" s="227" t="s">
        <v>192</v>
      </c>
      <c r="D239" s="227" t="s">
        <v>1034</v>
      </c>
      <c r="E239" s="226">
        <v>43104.654699074075</v>
      </c>
      <c r="F239" s="226">
        <v>43104.691435185188</v>
      </c>
      <c r="G239" s="225">
        <v>66</v>
      </c>
      <c r="H239" s="227" t="s">
        <v>1035</v>
      </c>
      <c r="I239" s="226">
        <v>43104.709756944445</v>
      </c>
      <c r="J239" s="225">
        <v>0</v>
      </c>
      <c r="K239" s="237" t="str">
        <f>IF(ISEVEN(B239),(B239-1)&amp;"/"&amp;B239,B239&amp;"/"&amp;(B239+1))</f>
        <v>4059/4060</v>
      </c>
      <c r="L239" s="245" t="str">
        <f>VLOOKUP(A239,'Trips&amp;Operators'!$C$1:$G$99911,5,FALSE)</f>
        <v>FORTUNATO FRANK</v>
      </c>
      <c r="M239" s="224">
        <f>I239-F239</f>
        <v>1.8321759256650694E-2</v>
      </c>
      <c r="N239" s="225">
        <f>24*60*SUM($M239:$M239)</f>
        <v>26.383333329576999</v>
      </c>
      <c r="O239" s="225"/>
      <c r="P239" s="225"/>
      <c r="Q239" s="228"/>
      <c r="R239" s="242"/>
      <c r="S239" s="249">
        <f>1/IF(AG239="EC",12,1)*SUM(U239:U239)</f>
        <v>0</v>
      </c>
      <c r="T239" s="242" t="str">
        <f>IF(ISEVEN(LEFT(AD239,4)),"Southbound","NorthBound")</f>
        <v>Southbound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2018-01-04T14:42:46-0700',mode:absolute,to:'2018-01-04T18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9" s="247" t="str">
        <f>IF(AA239&lt;VLOOKUP(AG239,Variables!$AC$3:$AD$8,2,FALSE),"Y","N")</f>
        <v>Y</v>
      </c>
      <c r="X239" s="247">
        <f>VALUE(LEFT(AD239,4))-VALUE(LEFT(AD238,4))</f>
        <v>1</v>
      </c>
      <c r="Y239" s="247">
        <f>RIGHT(D239,LEN(D239)-4)/10000</f>
        <v>11.220800000000001</v>
      </c>
      <c r="Z239" s="247">
        <f>RIGHT(H239,LEN(H239)-4)/10000</f>
        <v>3.9228999999999998</v>
      </c>
      <c r="AA239" s="247">
        <f>ABS(Z239-Y239)</f>
        <v>7.2979000000000003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>VALUE(LEFT(A239,LEN(A239)-3))</f>
        <v>66</v>
      </c>
      <c r="AE239" s="23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 &amp; aws s3 cp s3://rtdc.mdm.uploadarchive.raw/RTDC4059/ "%USERPROFILE%\AppData\Local\Temp\OnboardLogs"\RTDC4059\2018-01-05 --exclude "*" --recursive --include "*20180105*" &amp; "%USERPROFILE%\Documents\GitHub\mrs-test-scripts\Headless Mode &amp; Sideloading\WalkAndUnGZ.bat" "%USERPROFILE%\AppData\Local\Temp\OnboardLogs"\RTDC4059\2018-01-05</v>
      </c>
      <c r="AF239" s="23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/stypes="app*4059*20180105*" /stext=" 00:.+((SYSTEM_STATE.+slice.+state.+changed )|(ment ac)|(multiple cpu faults)|(system.+state.+changed )|(\[timeout)|(PRM\|1\|D)|(kpr)|(kdp)|(train st.+moving)|(\|lc)|(penalty))"</v>
      </c>
      <c r="AG239" s="244" t="str">
        <f>DetSubdiv(A239)</f>
        <v>Shuttle/Test</v>
      </c>
      <c r="AH239" s="236" t="str">
        <f t="shared" si="54"/>
        <v>"%USERPROFILE%\Documents\GitHub\eaglep3\Utilities\RefineRTDCRunTimes.py" --tripid 66-04 --locoid 4059 --swversion DE.1.0.9.0 --startMP 300:112208 --initTime 2018-01-04T15:42:46 --startdatetime 2018-01-04T16:35:40 --delay 66 --endMP 300:39229 --enddatetime 2018-01-04T17:02:03 --enforcementcount 0 &gt;&gt;%USERPROFILE%\Documents\GitHub\eaglep3-reporting\EC\2018-01-04-refined-times.txt</v>
      </c>
      <c r="AI239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3.9229"},{"id":17,"name":"Train ID","value":"66-04"},{"id":16,"name":"Locomotive ID","value":"4059"},{"id":130,"name":"Impact","value":""},{"id":150,"name":"Time of Event (Mountain Time)","value":"17:02:03"},{"id":151,"name":"Denver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3"/>
      <c r="AK239" s="231"/>
      <c r="AL239" s="231"/>
      <c r="AM239" s="240" t="str">
        <f t="shared" si="56"/>
        <v>start /low /b %USERPROFILE%\Documents\GitHub\eaglep3\Utilities\DownloadLogsFromS3.py --loco 4059 --day 2018-01-04</v>
      </c>
      <c r="AN239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00:02:03"},{"id":29,"name":"Sharepoint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58"/>
        <v>https://d0f6bd738d7f1b3e5a7ca70fe4ff75f0.us-east-1.aws.found.io/app/kibana#/discover/Steve-Slow-Train-Analysis-(2080s-and-2083s)?_g=(refreshInterval:(display:Off,pause:!f,section:0,value:0),time:(from:'2018-01-04T14:42:46-0700',mode:absolute,to:'2018-01-04T18:02:03-0700'))&amp;_a=(columns:!('Message%20ID',Summary),filters:!(),index:'emp_*',interval:auto,query:(query_string:(analyze_wildcard:!t,query:'%22rtdc.l.rtdc.4059%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 s="229" t="s">
        <v>787</v>
      </c>
      <c r="B240" s="225">
        <v>4015</v>
      </c>
      <c r="C240" s="227" t="s">
        <v>192</v>
      </c>
      <c r="D240" s="227" t="s">
        <v>1036</v>
      </c>
      <c r="E240" s="226">
        <v>43104.475578703707</v>
      </c>
      <c r="F240" s="226">
        <v>43104.477094907408</v>
      </c>
      <c r="G240" s="225">
        <v>58</v>
      </c>
      <c r="H240" s="227" t="s">
        <v>1037</v>
      </c>
      <c r="I240" s="226">
        <v>43104.480532407404</v>
      </c>
      <c r="J240" s="225">
        <v>0</v>
      </c>
      <c r="K240" s="237" t="str">
        <f>IF(ISEVEN(B240),(B240-1)&amp;"/"&amp;B240,B240&amp;"/"&amp;(B240+1))</f>
        <v>4015/4016</v>
      </c>
      <c r="L240" s="245" t="str">
        <f>VLOOKUP(A240,'Trips&amp;Operators'!$C$1:$G$99911,5,FALSE)</f>
        <v>FORTUNATO FRANK</v>
      </c>
      <c r="M240" s="224">
        <f>I240-F240</f>
        <v>3.4374999959254637E-3</v>
      </c>
      <c r="N240" s="225">
        <f>24*60*SUM($M240:$M240)</f>
        <v>4.9499999941326678</v>
      </c>
      <c r="O240" s="225"/>
      <c r="P240" s="225"/>
      <c r="Q240" s="228"/>
      <c r="R240" s="242"/>
      <c r="S240" s="249">
        <f>1/IF(AG240="EC",12,1)*SUM(U240:U240)</f>
        <v>0</v>
      </c>
      <c r="T240" s="242" t="str">
        <f>IF(ISEVEN(LEFT(AD240,4)),"Southbound","NorthBound")</f>
        <v>Southbound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8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2018-01-04T10:24:50-0700',mode:absolute,to:'2018-01-04T12:31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0" s="247" t="str">
        <f>IF(AA240&lt;VLOOKUP(AG240,Variables!$AC$3:$AD$8,2,FALSE),"Y","N")</f>
        <v>Y</v>
      </c>
      <c r="X240" s="247">
        <f>VALUE(LEFT(AD240,4))-VALUE(LEFT(AD239,4))</f>
        <v>0</v>
      </c>
      <c r="Y240" s="247">
        <f>RIGHT(D240,LEN(D240)-4)/10000</f>
        <v>5.7355999999999998</v>
      </c>
      <c r="Z240" s="247">
        <f>RIGHT(H240,LEN(H240)-4)/10000</f>
        <v>4.7240000000000002</v>
      </c>
      <c r="AA240" s="247">
        <f>ABS(Z240-Y240)</f>
        <v>1.0115999999999996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>VALUE(LEFT(A240,LEN(A240)-3))</f>
        <v>66</v>
      </c>
      <c r="AE240" s="23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AF240" s="23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/stypes="app*4015*20180104*" /stext=" 18:.+((SYSTEM_STATE.+slice.+state.+changed )|(ment ac)|(multiple cpu faults)|(system.+state.+changed )|(\[timeout)|(PRM\|1\|D)|(kpr)|(kdp)|(train st.+moving)|(\|lc)|(penalty))"</v>
      </c>
      <c r="AG240" s="244" t="str">
        <f>DetSubdiv(A240)</f>
        <v>Shuttle/Test</v>
      </c>
      <c r="AH240" s="236" t="str">
        <f t="shared" si="54"/>
        <v>"%USERPROFILE%\Documents\GitHub\eaglep3\Utilities\RefineRTDCRunTimes.py" --tripid 66-04 --locoid 4015 --swversion DE.1.0.9.0 --startMP 300:57356 --initTime 2018-01-04T11:24:50 --startdatetime 2018-01-04T11:27:01 --delay 58 --endMP 300:47240 --enddatetime 2018-01-04T11:31:58 --enforcementcount 0 &gt;&gt;%USERPROFILE%\Documents\GitHub\eaglep3-reporting\EC\2018-01-04-refined-times.txt</v>
      </c>
      <c r="AI240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4.724"},{"id":17,"name":"Train ID","value":"66-04"},{"id":16,"name":"Locomotive ID","value":"4015"},{"id":130,"name":"Impact","value":""},{"id":150,"name":"Time of Event (Mountain Time)","value":"11:31:58"},{"id":151,"name":"Denver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231"/>
      <c r="AL240" s="231"/>
      <c r="AM240" s="240" t="str">
        <f t="shared" si="56"/>
        <v>start /low /b %USERPROFILE%\Documents\GitHub\eaglep3\Utilities\DownloadLogsFromS3.py --loco 4015 --day 2018-01-04</v>
      </c>
      <c r="AN240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18:31:58"},{"id":29,"name":"Sharepoint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58"/>
        <v>https://d0f6bd738d7f1b3e5a7ca70fe4ff75f0.us-east-1.aws.found.io/app/kibana#/discover/Steve-Slow-Train-Analysis-(2080s-and-2083s)?_g=(refreshInterval:(display:Off,pause:!f,section:0,value:0),time:(from:'2018-01-04T10:24:50-0700',mode:absolute,to:'2018-01-04T12:31:58-0700'))&amp;_a=(columns:!('Message%20ID',Summary),filters:!(),index:'emp_*',interval:auto,query:(query_string:(analyze_wildcard:!t,query:'%22rtdc.l.rtdc.4015%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229" t="s">
        <v>787</v>
      </c>
      <c r="B241" s="225">
        <v>4059</v>
      </c>
      <c r="C241" s="227" t="s">
        <v>192</v>
      </c>
      <c r="D241" s="227" t="s">
        <v>1038</v>
      </c>
      <c r="E241" s="226">
        <v>43104.616099537037</v>
      </c>
      <c r="F241" s="226">
        <v>43104.618333333332</v>
      </c>
      <c r="G241" s="225">
        <v>93</v>
      </c>
      <c r="H241" s="227" t="s">
        <v>1039</v>
      </c>
      <c r="I241" s="226">
        <v>43104.6330787037</v>
      </c>
      <c r="J241" s="225">
        <v>0</v>
      </c>
      <c r="K241" s="237" t="str">
        <f>IF(ISEVEN(B241),(B241-1)&amp;"/"&amp;B241,B241&amp;"/"&amp;(B241+1))</f>
        <v>4059/4060</v>
      </c>
      <c r="L241" s="245" t="str">
        <f>VLOOKUP(A241,'Trips&amp;Operators'!$C$1:$G$99911,5,FALSE)</f>
        <v>FORTUNATO FRANK</v>
      </c>
      <c r="M241" s="224">
        <f>I241-F241</f>
        <v>1.4745370368473232E-2</v>
      </c>
      <c r="N241" s="225">
        <f>24*60*SUM($M241:$M241)</f>
        <v>21.233333330601454</v>
      </c>
      <c r="O241" s="225"/>
      <c r="P241" s="225"/>
      <c r="Q241" s="228"/>
      <c r="R241" s="242"/>
      <c r="S241" s="249">
        <f>1/IF(AG241="EC",12,1)*SUM(U241:U241)</f>
        <v>0</v>
      </c>
      <c r="T241" s="242" t="str">
        <f>IF(ISEVEN(LEFT(AD241,4)),"Southbound","NorthBound")</f>
        <v>Southbound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48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2018-01-04T13:47:11-0700',mode:absolute,to:'2018-01-04T16:11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1" s="247" t="str">
        <f>IF(AA241&lt;VLOOKUP(AG241,Variables!$AC$3:$AD$8,2,FALSE),"Y","N")</f>
        <v>Y</v>
      </c>
      <c r="X241" s="247">
        <f>VALUE(LEFT(AD241,4))-VALUE(LEFT(AD240,4))</f>
        <v>0</v>
      </c>
      <c r="Y241" s="247">
        <f>RIGHT(D241,LEN(D241)-4)/10000</f>
        <v>11.218400000000001</v>
      </c>
      <c r="Z241" s="247">
        <f>RIGHT(H241,LEN(H241)-4)/10000</f>
        <v>3.9241000000000001</v>
      </c>
      <c r="AA241" s="247">
        <f>ABS(Z241-Y241)</f>
        <v>7.2943000000000007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>VALUE(LEFT(A241,LEN(A241)-3))</f>
        <v>66</v>
      </c>
      <c r="AE241" s="23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 &amp; aws s3 cp s3://rtdc.mdm.uploadarchive.raw/RTDC4059/ "%USERPROFILE%\AppData\Local\Temp\OnboardLogs"\RTDC4059\2018-01-05 --exclude "*" --recursive --include "*20180105*" &amp; "%USERPROFILE%\Documents\GitHub\mrs-test-scripts\Headless Mode &amp; Sideloading\WalkAndUnGZ.bat" "%USERPROFILE%\AppData\Local\Temp\OnboardLogs"\RTDC4059\2018-01-05</v>
      </c>
      <c r="AF241" s="23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/stypes="app*4059*20180104*" /stext=" 22:.+((SYSTEM_STATE.+slice.+state.+changed )|(ment ac)|(multiple cpu faults)|(system.+state.+changed )|(\[timeout)|(PRM\|1\|D)|(kpr)|(kdp)|(train st.+moving)|(\|lc)|(penalty))"</v>
      </c>
      <c r="AG241" s="244" t="str">
        <f>DetSubdiv(A241)</f>
        <v>Shuttle/Test</v>
      </c>
      <c r="AH241" s="236" t="str">
        <f t="shared" si="54"/>
        <v>"%USERPROFILE%\Documents\GitHub\eaglep3\Utilities\RefineRTDCRunTimes.py" --tripid 66-04 --locoid 4059 --swversion DE.1.0.9.0 --startMP 300:112184 --initTime 2018-01-04T14:47:11 --startdatetime 2018-01-04T14:50:24 --delay 93 --endMP 300:39241 --enddatetime 2018-01-04T15:11:38 --enforcementcount 0 &gt;&gt;%USERPROFILE%\Documents\GitHub\eaglep3-reporting\EC\2018-01-04-refined-times.txt</v>
      </c>
      <c r="AI241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3.9241"},{"id":17,"name":"Train ID","value":"66-04"},{"id":16,"name":"Locomotive ID","value":"4059"},{"id":130,"name":"Impact","value":""},{"id":150,"name":"Time of Event (Mountain Time)","value":"15:11:38"},{"id":151,"name":"Denver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3"/>
      <c r="AK241" s="231"/>
      <c r="AL241" s="231"/>
      <c r="AM241" s="240" t="str">
        <f t="shared" si="56"/>
        <v>start /low /b %USERPROFILE%\Documents\GitHub\eaglep3\Utilities\DownloadLogsFromS3.py --loco 4059 --day 2018-01-04</v>
      </c>
      <c r="AN241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22:11:38"},{"id":29,"name":"Sharepoint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58"/>
        <v>https://d0f6bd738d7f1b3e5a7ca70fe4ff75f0.us-east-1.aws.found.io/app/kibana#/discover/Steve-Slow-Train-Analysis-(2080s-and-2083s)?_g=(refreshInterval:(display:Off,pause:!f,section:0,value:0),time:(from:'2018-01-04T13:47:11-0700',mode:absolute,to:'2018-01-04T16:11:38-0700'))&amp;_a=(columns:!('Message%20ID',Summary),filters:!(),index:'emp_*',interval:auto,query:(query_string:(analyze_wildcard:!t,query:'%22rtdc.l.rtdc.4059%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229" t="s">
        <v>787</v>
      </c>
      <c r="B242" s="225">
        <v>4059</v>
      </c>
      <c r="C242" s="227" t="s">
        <v>192</v>
      </c>
      <c r="D242" s="227" t="s">
        <v>1021</v>
      </c>
      <c r="E242" s="226">
        <v>43104.689641203702</v>
      </c>
      <c r="F242" s="226">
        <v>43104.691435185188</v>
      </c>
      <c r="G242" s="225">
        <v>59</v>
      </c>
      <c r="H242" s="227" t="s">
        <v>655</v>
      </c>
      <c r="I242" s="226">
        <v>43104.709756944445</v>
      </c>
      <c r="J242" s="225">
        <v>0</v>
      </c>
      <c r="K242" s="237" t="str">
        <f>IF(ISEVEN(B242),(B242-1)&amp;"/"&amp;B242,B242&amp;"/"&amp;(B242+1))</f>
        <v>4059/4060</v>
      </c>
      <c r="L242" s="245" t="str">
        <f>VLOOKUP(A242,'Trips&amp;Operators'!$C$1:$G$99911,5,FALSE)</f>
        <v>FORTUNATO FRANK</v>
      </c>
      <c r="M242" s="224">
        <f>I242-F242</f>
        <v>1.8321759256650694E-2</v>
      </c>
      <c r="N242" s="225">
        <f>24*60*SUM($M242:$M242)</f>
        <v>26.383333329576999</v>
      </c>
      <c r="O242" s="225"/>
      <c r="P242" s="225"/>
      <c r="Q242" s="228"/>
      <c r="R242" s="242"/>
      <c r="S242" s="249">
        <f>1/IF(AG242="EC",12,1)*SUM(U242:U242)</f>
        <v>0</v>
      </c>
      <c r="T242" s="242" t="str">
        <f>IF(ISEVEN(LEFT(AD242,4)),"Southbound","NorthBound")</f>
        <v>Southbound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48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2018-01-04T15:33:05-0700',mode:absolute,to:'2018-01-04T18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2" s="247" t="str">
        <f>IF(AA242&lt;VLOOKUP(AG242,Variables!$AC$3:$AD$8,2,FALSE),"Y","N")</f>
        <v>Y</v>
      </c>
      <c r="X242" s="247">
        <f>VALUE(LEFT(AD242,4))-VALUE(LEFT(AD241,4))</f>
        <v>0</v>
      </c>
      <c r="Y242" s="247">
        <f>RIGHT(D242,LEN(D242)-4)/10000</f>
        <v>11.2187</v>
      </c>
      <c r="Z242" s="247">
        <f>RIGHT(H242,LEN(H242)-4)/10000</f>
        <v>2.8784000000000001</v>
      </c>
      <c r="AA242" s="247">
        <f>ABS(Z242-Y242)</f>
        <v>8.3402999999999992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>VALUE(LEFT(A242,LEN(A242)-3))</f>
        <v>66</v>
      </c>
      <c r="AE242" s="23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 &amp; aws s3 cp s3://rtdc.mdm.uploadarchive.raw/RTDC4059/ "%USERPROFILE%\AppData\Local\Temp\OnboardLogs"\RTDC4059\2018-01-05 --exclude "*" --recursive --include "*20180105*" &amp; "%USERPROFILE%\Documents\GitHub\mrs-test-scripts\Headless Mode &amp; Sideloading\WalkAndUnGZ.bat" "%USERPROFILE%\AppData\Local\Temp\OnboardLogs"\RTDC4059\2018-01-05</v>
      </c>
      <c r="AF242" s="23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/stypes="app*4059*20180105*" /stext=" 00:.+((SYSTEM_STATE.+slice.+state.+changed )|(ment ac)|(multiple cpu faults)|(system.+state.+changed )|(\[timeout)|(PRM\|1\|D)|(kpr)|(kdp)|(train st.+moving)|(\|lc)|(penalty))"</v>
      </c>
      <c r="AG242" s="244" t="str">
        <f>DetSubdiv(A242)</f>
        <v>Shuttle/Test</v>
      </c>
      <c r="AH242" s="236" t="str">
        <f t="shared" si="54"/>
        <v>"%USERPROFILE%\Documents\GitHub\eaglep3\Utilities\RefineRTDCRunTimes.py" --tripid 66-04 --locoid 4059 --swversion DE.1.0.9.0 --startMP 300:112187 --initTime 2018-01-04T16:33:05 --startdatetime 2018-01-04T16:35:40 --delay 59 --endMP 300:28784 --enddatetime 2018-01-04T17:02:03 --enforcementcount 0 &gt;&gt;%USERPROFILE%\Documents\GitHub\eaglep3-reporting\EC\2018-01-04-refined-times.txt</v>
      </c>
      <c r="AI242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2.8784"},{"id":17,"name":"Train ID","value":"66-04"},{"id":16,"name":"Locomotive ID","value":"4059"},{"id":130,"name":"Impact","value":""},{"id":150,"name":"Time of Event (Mountain Time)","value":"17:02:03"},{"id":151,"name":"Denver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3"/>
      <c r="AK242" s="231"/>
      <c r="AL242" s="231"/>
      <c r="AM242" s="240" t="str">
        <f t="shared" si="56"/>
        <v>start /low /b %USERPROFILE%\Documents\GitHub\eaglep3\Utilities\DownloadLogsFromS3.py --loco 4059 --day 2018-01-04</v>
      </c>
      <c r="AN242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00:02:03"},{"id":29,"name":"Sharepoint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58"/>
        <v>https://d0f6bd738d7f1b3e5a7ca70fe4ff75f0.us-east-1.aws.found.io/app/kibana#/discover/Steve-Slow-Train-Analysis-(2080s-and-2083s)?_g=(refreshInterval:(display:Off,pause:!f,section:0,value:0),time:(from:'2018-01-04T15:33:05-0700',mode:absolute,to:'2018-01-04T18:02:03-0700'))&amp;_a=(columns:!('Message%20ID',Summary),filters:!(),index:'emp_*',interval:auto,query:(query_string:(analyze_wildcard:!t,query:'%22rtdc.l.rtdc.4059%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 s="229" t="s">
        <v>669</v>
      </c>
      <c r="B243" s="225">
        <v>4010</v>
      </c>
      <c r="C243" s="227" t="s">
        <v>192</v>
      </c>
      <c r="D243" s="227" t="s">
        <v>1040</v>
      </c>
      <c r="E243" s="226">
        <v>43104.504143518519</v>
      </c>
      <c r="F243" s="226">
        <v>43104.508796296293</v>
      </c>
      <c r="G243" s="225">
        <v>113</v>
      </c>
      <c r="H243" s="227" t="s">
        <v>1041</v>
      </c>
      <c r="I243" s="226">
        <v>43104.514293981483</v>
      </c>
      <c r="J243" s="225">
        <v>0</v>
      </c>
      <c r="K243" s="237" t="str">
        <f>IF(ISEVEN(B243),(B243-1)&amp;"/"&amp;B243,B243&amp;"/"&amp;(B243+1))</f>
        <v>4009/4010</v>
      </c>
      <c r="L243" s="245" t="str">
        <f>VLOOKUP(A243,'Trips&amp;Operators'!$C$1:$G$99911,5,FALSE)</f>
        <v>MOSES BRADLEY</v>
      </c>
      <c r="M243" s="224">
        <f>I243-F243</f>
        <v>5.4976851897663437E-3</v>
      </c>
      <c r="N243" s="225">
        <f>24*60*SUM($M243:$M243)</f>
        <v>7.9166666732635349</v>
      </c>
      <c r="O243" s="225"/>
      <c r="P243" s="225"/>
      <c r="Q243" s="228"/>
      <c r="R243" s="242"/>
      <c r="S243" s="249">
        <f>1/IF(AG243="EC",12,1)*SUM(U243:U243)</f>
        <v>1</v>
      </c>
      <c r="T243" s="242" t="str">
        <f>IF(ISEVEN(LEFT(AD243,4)),"Southbound","NorthBound")</f>
        <v>NorthBound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8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2018-01-04T11:05:58-0700',mode:absolute,to:'2018-01-04T13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3" s="247" t="str">
        <f>IF(AA243&lt;VLOOKUP(AG243,Variables!$AC$3:$AD$8,2,FALSE),"Y","N")</f>
        <v>Y</v>
      </c>
      <c r="X243" s="247">
        <f>VALUE(LEFT(AD243,4))-VALUE(LEFT(AD242,4))</f>
        <v>1</v>
      </c>
      <c r="Y243" s="247">
        <f>RIGHT(D243,LEN(D243)-4)/10000</f>
        <v>0.12529999999999999</v>
      </c>
      <c r="Z243" s="247">
        <f>RIGHT(H243,LEN(H243)-4)/10000</f>
        <v>2.4224000000000001</v>
      </c>
      <c r="AA243" s="247">
        <f>ABS(Z243-Y243)</f>
        <v>2.2970999999999999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>VALUE(LEFT(A243,LEN(A243)-3))</f>
        <v>67</v>
      </c>
      <c r="AE243" s="23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AF243" s="23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/stypes="app*4010*20180104*" /stext=" 19:.+((SYSTEM_STATE.+slice.+state.+changed )|(ment ac)|(multiple cpu faults)|(system.+state.+changed )|(\[timeout)|(PRM\|1\|D)|(kpr)|(kdp)|(train st.+moving)|(\|lc)|(penalty))"</v>
      </c>
      <c r="AG243" s="244" t="str">
        <f>DetSubdiv(A243)</f>
        <v>Shuttle/Test</v>
      </c>
      <c r="AH243" s="236" t="str">
        <f t="shared" si="54"/>
        <v>"%USERPROFILE%\Documents\GitHub\eaglep3\Utilities\RefineRTDCRunTimes.py" --tripid 67-04 --locoid 4010 --swversion DE.1.0.9.0 --startMP 204:1253 --initTime 2018-01-04T12:05:58 --startdatetime 2018-01-04T12:12:40 --delay 113 --endMP 300:24224 --enddatetime 2018-01-04T12:20:35 --enforcementcount 0 &gt;&gt;%USERPROFILE%\Documents\GitHub\eaglep3-reporting\EC\2018-01-04-refined-times.txt</v>
      </c>
      <c r="AI243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2.4224"},{"id":17,"name":"Train ID","value":"67-04"},{"id":16,"name":"Locomotive ID","value":"4010"},{"id":130,"name":"Impact","value":""},{"id":150,"name":"Time of Event (Mountain Time)","value":"12:20:35"},{"id":151,"name":"Denver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231"/>
      <c r="AL243" s="231"/>
      <c r="AM243" s="240" t="str">
        <f t="shared" si="56"/>
        <v>start /low /b %USERPROFILE%\Documents\GitHub\eaglep3\Utilities\DownloadLogsFromS3.py --loco 4010 --day 2018-01-04</v>
      </c>
      <c r="AN243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19:20:35"},{"id":29,"name":"Sharepoint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58"/>
        <v>https://d0f6bd738d7f1b3e5a7ca70fe4ff75f0.us-east-1.aws.found.io/app/kibana#/discover/Steve-Slow-Train-Analysis-(2080s-and-2083s)?_g=(refreshInterval:(display:Off,pause:!f,section:0,value:0),time:(from:'2018-01-04T11:05:58-0700',mode:absolute,to:'2018-01-04T13:20:35-0700'))&amp;_a=(columns:!('Message%20ID',Summary),filters:!(),index:'emp_*',interval:auto,query:(query_string:(analyze_wildcard:!t,query:'%22rtdc.l.rtdc.4010%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229" t="s">
        <v>669</v>
      </c>
      <c r="B244" s="225">
        <v>4060</v>
      </c>
      <c r="C244" s="227" t="s">
        <v>192</v>
      </c>
      <c r="D244" s="227" t="s">
        <v>1042</v>
      </c>
      <c r="E244" s="226">
        <v>43104.598101851851</v>
      </c>
      <c r="F244" s="226">
        <v>43104.637928240743</v>
      </c>
      <c r="G244" s="225">
        <v>47</v>
      </c>
      <c r="H244" s="227" t="s">
        <v>1043</v>
      </c>
      <c r="I244" s="226">
        <v>43104.653599537036</v>
      </c>
      <c r="J244" s="225">
        <v>0</v>
      </c>
      <c r="K244" s="237" t="str">
        <f>IF(ISEVEN(B244),(B244-1)&amp;"/"&amp;B244,B244&amp;"/"&amp;(B244+1))</f>
        <v>4059/4060</v>
      </c>
      <c r="L244" s="245" t="str">
        <f>VLOOKUP(A244,'Trips&amp;Operators'!$C$1:$G$99911,5,FALSE)</f>
        <v>MOSES BRADLEY</v>
      </c>
      <c r="M244" s="224">
        <f>I244-F244</f>
        <v>1.5671296292566694E-2</v>
      </c>
      <c r="N244" s="225">
        <f>24*60*SUM($M244:$M244)</f>
        <v>22.56666666129604</v>
      </c>
      <c r="O244" s="225"/>
      <c r="P244" s="225"/>
      <c r="Q244" s="228"/>
      <c r="R244" s="242"/>
      <c r="S244" s="249">
        <f>1/IF(AG244="EC",12,1)*SUM(U244:U244)</f>
        <v>0</v>
      </c>
      <c r="T244" s="242" t="str">
        <f>IF(ISEVEN(LEFT(AD244,4)),"Southbound","NorthBound")</f>
        <v>NorthBound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8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2018-01-04T13:21:16-0700',mode:absolute,to:'2018-01-04T16:41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4" s="247" t="str">
        <f>IF(AA244&lt;VLOOKUP(AG244,Variables!$AC$3:$AD$8,2,FALSE),"Y","N")</f>
        <v>Y</v>
      </c>
      <c r="X244" s="247">
        <f>VALUE(LEFT(AD244,4))-VALUE(LEFT(AD243,4))</f>
        <v>0</v>
      </c>
      <c r="Y244" s="247">
        <f>RIGHT(D244,LEN(D244)-4)/10000</f>
        <v>3.0445000000000002</v>
      </c>
      <c r="Z244" s="247">
        <f>RIGHT(H244,LEN(H244)-4)/10000</f>
        <v>11.251300000000001</v>
      </c>
      <c r="AA244" s="247">
        <f>ABS(Z244-Y244)</f>
        <v>8.2068000000000012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>VALUE(LEFT(A244,LEN(A244)-3))</f>
        <v>67</v>
      </c>
      <c r="AE244" s="23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AF244" s="23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/stypes="app*4060*20180104*" /stext=" 22:.+((SYSTEM_STATE.+slice.+state.+changed )|(ment ac)|(multiple cpu faults)|(system.+state.+changed )|(\[timeout)|(PRM\|1\|D)|(kpr)|(kdp)|(train st.+moving)|(\|lc)|(penalty))"</v>
      </c>
      <c r="AG244" s="244" t="str">
        <f>DetSubdiv(A244)</f>
        <v>Shuttle/Test</v>
      </c>
      <c r="AH244" s="236" t="str">
        <f t="shared" si="54"/>
        <v>"%USERPROFILE%\Documents\GitHub\eaglep3\Utilities\RefineRTDCRunTimes.py" --tripid 67-04 --locoid 4060 --swversion DE.1.0.9.0 --startMP 300:30445 --initTime 2018-01-04T14:21:16 --startdatetime 2018-01-04T15:18:37 --delay 47 --endMP 300:112513 --enddatetime 2018-01-04T15:41:11 --enforcementcount 0 &gt;&gt;%USERPROFILE%\Documents\GitHub\eaglep3-reporting\EC\2018-01-04-refined-times.txt</v>
      </c>
      <c r="AI244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11.2513"},{"id":17,"name":"Train ID","value":"67-04"},{"id":16,"name":"Locomotive ID","value":"4060"},{"id":130,"name":"Impact","value":""},{"id":150,"name":"Time of Event (Mountain Time)","value":"15:41:11"},{"id":151,"name":"Denver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3"/>
      <c r="AK244" s="231"/>
      <c r="AL244" s="231"/>
      <c r="AM244" s="240" t="str">
        <f t="shared" si="56"/>
        <v>start /low /b %USERPROFILE%\Documents\GitHub\eaglep3\Utilities\DownloadLogsFromS3.py --loco 4060 --day 2018-01-04</v>
      </c>
      <c r="AN244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22:41:11"},{"id":29,"name":"Sharepoint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58"/>
        <v>https://d0f6bd738d7f1b3e5a7ca70fe4ff75f0.us-east-1.aws.found.io/app/kibana#/discover/Steve-Slow-Train-Analysis-(2080s-and-2083s)?_g=(refreshInterval:(display:Off,pause:!f,section:0,value:0),time:(from:'2018-01-04T13:21:16-0700',mode:absolute,to:'2018-01-04T16:41:11-0700'))&amp;_a=(columns:!('Message%20ID',Summary),filters:!(),index:'emp_*',interval:auto,query:(query_string:(analyze_wildcard:!t,query:'%22rtdc.l.rtdc.4060%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23" customFormat="1" x14ac:dyDescent="0.3">
      <c r="A245" s="229" t="s">
        <v>669</v>
      </c>
      <c r="B245" s="225">
        <v>4060</v>
      </c>
      <c r="C245" s="227" t="s">
        <v>192</v>
      </c>
      <c r="D245" s="227" t="s">
        <v>1044</v>
      </c>
      <c r="E245" s="226">
        <v>43104.671956018516</v>
      </c>
      <c r="F245" s="226">
        <v>43104.673518518517</v>
      </c>
      <c r="G245" s="225">
        <v>58</v>
      </c>
      <c r="H245" s="227" t="s">
        <v>641</v>
      </c>
      <c r="I245" s="226">
        <v>43104.688356481478</v>
      </c>
      <c r="J245" s="225">
        <v>0</v>
      </c>
      <c r="K245" s="237" t="str">
        <f>IF(ISEVEN(B245),(B245-1)&amp;"/"&amp;B245,B245&amp;"/"&amp;(B245+1))</f>
        <v>4059/4060</v>
      </c>
      <c r="L245" s="245" t="str">
        <f>VLOOKUP(A245,'Trips&amp;Operators'!$C$1:$G$99911,5,FALSE)</f>
        <v>MOSES BRADLEY</v>
      </c>
      <c r="M245" s="224">
        <f>I245-F245</f>
        <v>1.4837962960882578E-2</v>
      </c>
      <c r="N245" s="225">
        <f>24*60*SUM($M245:$M245)</f>
        <v>21.366666663670912</v>
      </c>
      <c r="O245" s="225"/>
      <c r="P245" s="225"/>
      <c r="Q245" s="228"/>
      <c r="R245" s="242"/>
      <c r="S245" s="249">
        <f>1/IF(AG245="EC",12,1)*SUM(U245:U245)</f>
        <v>0</v>
      </c>
      <c r="T245" s="242" t="str">
        <f>IF(ISEVEN(LEFT(AD245,4)),"Southbound","NorthBound")</f>
        <v>NorthBound</v>
      </c>
      <c r="U245" s="24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48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2018-01-04T15:07:37-0700',mode:absolute,to:'2018-01-04T17:31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5" s="247" t="str">
        <f>IF(AA245&lt;VLOOKUP(AG245,Variables!$AC$3:$AD$8,2,FALSE),"Y","N")</f>
        <v>Y</v>
      </c>
      <c r="X245" s="247">
        <f>VALUE(LEFT(AD245,4))-VALUE(LEFT(AD244,4))</f>
        <v>0</v>
      </c>
      <c r="Y245" s="247">
        <f>RIGHT(D245,LEN(D245)-4)/10000</f>
        <v>3.9569999999999999</v>
      </c>
      <c r="Z245" s="247">
        <f>RIGHT(H245,LEN(H245)-4)/10000</f>
        <v>11.251099999999999</v>
      </c>
      <c r="AA245" s="247">
        <f>ABS(Z245-Y245)</f>
        <v>7.2940999999999994</v>
      </c>
      <c r="AB245" s="233" t="e">
        <f>VLOOKUP(A245,Enforcements!$C$7:$K$9,8,0)</f>
        <v>#N/A</v>
      </c>
      <c r="AC245" s="232" t="e">
        <f>VLOOKUP(A245,Enforcements!$C$7:$E$9,3,0)</f>
        <v>#N/A</v>
      </c>
      <c r="AD245" s="243">
        <f>VALUE(LEFT(A245,LEN(A245)-3))</f>
        <v>67</v>
      </c>
      <c r="AE245" s="23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AF245" s="23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/stypes="app*4060*20180104*" /stext=" 23:.+((SYSTEM_STATE.+slice.+state.+changed )|(ment ac)|(multiple cpu faults)|(system.+state.+changed )|(\[timeout)|(PRM\|1\|D)|(kpr)|(kdp)|(train st.+moving)|(\|lc)|(penalty))"</v>
      </c>
      <c r="AG245" s="244" t="str">
        <f>DetSubdiv(A245)</f>
        <v>Shuttle/Test</v>
      </c>
      <c r="AH245" s="236" t="str">
        <f t="shared" si="54"/>
        <v>"%USERPROFILE%\Documents\GitHub\eaglep3\Utilities\RefineRTDCRunTimes.py" --tripid 67-04 --locoid 4060 --swversion DE.1.0.9.0 --startMP 300:39570 --initTime 2018-01-04T16:07:37 --startdatetime 2018-01-04T16:09:52 --delay 58 --endMP 300:112511 --enddatetime 2018-01-04T16:31:14 --enforcementcount 0 &gt;&gt;%USERPROFILE%\Documents\GitHub\eaglep3-reporting\EC\2018-01-04-refined-times.txt</v>
      </c>
      <c r="AI245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11.2511"},{"id":17,"name":"Train ID","value":"67-04"},{"id":16,"name":"Locomotive ID","value":"4060"},{"id":130,"name":"Impact","value":""},{"id":150,"name":"Time of Event (Mountain Time)","value":"16:31:14"},{"id":151,"name":"Denver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231"/>
      <c r="AL245" s="231"/>
      <c r="AM245" s="240" t="str">
        <f t="shared" si="56"/>
        <v>start /low /b %USERPROFILE%\Documents\GitHub\eaglep3\Utilities\DownloadLogsFromS3.py --loco 4060 --day 2018-01-04</v>
      </c>
      <c r="AN245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23:31:14"},{"id":29,"name":"Sharepoint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0" t="str">
        <f t="shared" si="58"/>
        <v>https://d0f6bd738d7f1b3e5a7ca70fe4ff75f0.us-east-1.aws.found.io/app/kibana#/discover/Steve-Slow-Train-Analysis-(2080s-and-2083s)?_g=(refreshInterval:(display:Off,pause:!f,section:0,value:0),time:(from:'2018-01-04T15:07:37-0700',mode:absolute,to:'2018-01-04T17:31:14-0700'))&amp;_a=(columns:!('Message%20ID',Summary),filters:!(),index:'emp_*',interval:auto,query:(query_string:(analyze_wildcard:!t,query:'%22rtdc.l.rtdc.4060%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229" t="s">
        <v>669</v>
      </c>
      <c r="B246" s="225">
        <v>4060</v>
      </c>
      <c r="C246" s="227" t="s">
        <v>192</v>
      </c>
      <c r="D246" s="227" t="s">
        <v>1045</v>
      </c>
      <c r="E246" s="226">
        <v>43104.590439814812</v>
      </c>
      <c r="F246" s="226">
        <v>43104.599050925928</v>
      </c>
      <c r="G246" s="225">
        <v>60</v>
      </c>
      <c r="H246" s="227" t="s">
        <v>1046</v>
      </c>
      <c r="I246" s="226">
        <v>43104.614374999997</v>
      </c>
      <c r="J246" s="225">
        <v>0</v>
      </c>
      <c r="K246" s="237" t="str">
        <f>IF(ISEVEN(B246),(B246-1)&amp;"/"&amp;B246,B246&amp;"/"&amp;(B246+1))</f>
        <v>4059/4060</v>
      </c>
      <c r="L246" s="245" t="str">
        <f>VLOOKUP(A246,'Trips&amp;Operators'!$C$1:$G$99911,5,FALSE)</f>
        <v>MOSES BRADLEY</v>
      </c>
      <c r="M246" s="224">
        <f>I246-F246</f>
        <v>1.5324074069212656E-2</v>
      </c>
      <c r="N246" s="225">
        <f>24*60*SUM($M246:$M246)</f>
        <v>22.066666659666225</v>
      </c>
      <c r="O246" s="225"/>
      <c r="P246" s="225"/>
      <c r="Q246" s="228"/>
      <c r="R246" s="242"/>
      <c r="S246" s="249">
        <f>1/IF(AG246="EC",12,1)*SUM(U246:U246)</f>
        <v>0</v>
      </c>
      <c r="T246" s="242" t="str">
        <f>IF(ISEVEN(LEFT(AD246,4)),"Southbound","NorthBound")</f>
        <v>NorthBound</v>
      </c>
      <c r="U246" s="246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8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2018-01-04T13:10:14-0700',mode:absolute,to:'2018-01-04T15:44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6" s="247" t="str">
        <f>IF(AA246&lt;VLOOKUP(AG246,Variables!$AC$3:$AD$8,2,FALSE),"Y","N")</f>
        <v>Y</v>
      </c>
      <c r="X246" s="247">
        <f>VALUE(LEFT(AD246,4))-VALUE(LEFT(AD245,4))</f>
        <v>0</v>
      </c>
      <c r="Y246" s="247">
        <f>RIGHT(D246,LEN(D246)-4)/10000</f>
        <v>2.6417000000000002</v>
      </c>
      <c r="Z246" s="247">
        <f>RIGHT(H246,LEN(H246)-4)/10000</f>
        <v>2.8651</v>
      </c>
      <c r="AA246" s="247">
        <f>ABS(Z246-Y246)</f>
        <v>0.22339999999999982</v>
      </c>
      <c r="AB246" s="233" t="e">
        <f>VLOOKUP(A246,Enforcements!$C$7:$K$9,8,0)</f>
        <v>#N/A</v>
      </c>
      <c r="AC246" s="232" t="e">
        <f>VLOOKUP(A246,Enforcements!$C$7:$E$9,3,0)</f>
        <v>#N/A</v>
      </c>
      <c r="AD246" s="243">
        <f>VALUE(LEFT(A246,LEN(A246)-3))</f>
        <v>67</v>
      </c>
      <c r="AE246" s="23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AF246" s="23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/stypes="app*4060*20180104*" /stext=" 21:.+((SYSTEM_STATE.+slice.+state.+changed )|(ment ac)|(multiple cpu faults)|(system.+state.+changed )|(\[timeout)|(PRM\|1\|D)|(kpr)|(kdp)|(train st.+moving)|(\|lc)|(penalty))"</v>
      </c>
      <c r="AG246" s="244" t="str">
        <f>DetSubdiv(A246)</f>
        <v>Shuttle/Test</v>
      </c>
      <c r="AH246" s="236" t="str">
        <f t="shared" si="54"/>
        <v>"%USERPROFILE%\Documents\GitHub\eaglep3\Utilities\RefineRTDCRunTimes.py" --tripid 67-04 --locoid 4060 --swversion DE.1.0.9.0 --startMP 300:26417 --initTime 2018-01-04T14:10:14 --startdatetime 2018-01-04T14:22:38 --delay 60 --endMP 300:28651 --enddatetime 2018-01-04T14:44:42 --enforcementcount 0 &gt;&gt;%USERPROFILE%\Documents\GitHub\eaglep3-reporting\EC\2018-01-04-refined-times.txt</v>
      </c>
      <c r="AI246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2.8651"},{"id":17,"name":"Train ID","value":"67-04"},{"id":16,"name":"Locomotive ID","value":"4060"},{"id":130,"name":"Impact","value":""},{"id":150,"name":"Time of Event (Mountain Time)","value":"14:44:42"},{"id":151,"name":"Denver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3"/>
      <c r="AK246" s="231"/>
      <c r="AL246" s="231"/>
      <c r="AM246" s="240" t="str">
        <f t="shared" si="56"/>
        <v>start /low /b %USERPROFILE%\Documents\GitHub\eaglep3\Utilities\DownloadLogsFromS3.py --loco 4060 --day 2018-01-04</v>
      </c>
      <c r="AN246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21:44:42"},{"id":29,"name":"Sharepoint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0" t="str">
        <f t="shared" si="58"/>
        <v>https://d0f6bd738d7f1b3e5a7ca70fe4ff75f0.us-east-1.aws.found.io/app/kibana#/discover/Steve-Slow-Train-Analysis-(2080s-and-2083s)?_g=(refreshInterval:(display:Off,pause:!f,section:0,value:0),time:(from:'2018-01-04T13:10:14-0700',mode:absolute,to:'2018-01-04T15:44:42-0700'))&amp;_a=(columns:!('Message%20ID',Summary),filters:!(),index:'emp_*',interval:auto,query:(query_string:(analyze_wildcard:!t,query:'%22rtdc.l.rtdc.4060%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3" customFormat="1" x14ac:dyDescent="0.3">
      <c r="A247" s="229" t="s">
        <v>669</v>
      </c>
      <c r="B247" s="225">
        <v>4060</v>
      </c>
      <c r="C247" s="227" t="s">
        <v>192</v>
      </c>
      <c r="D247" s="227" t="s">
        <v>1047</v>
      </c>
      <c r="E247" s="226">
        <v>43104.634236111109</v>
      </c>
      <c r="F247" s="226">
        <v>43104.673518518517</v>
      </c>
      <c r="G247" s="225">
        <v>126</v>
      </c>
      <c r="H247" s="227" t="s">
        <v>1048</v>
      </c>
      <c r="I247" s="226">
        <v>43104.688356481478</v>
      </c>
      <c r="J247" s="225">
        <v>0</v>
      </c>
      <c r="K247" s="237" t="str">
        <f>IF(ISEVEN(B247),(B247-1)&amp;"/"&amp;B247,B247&amp;"/"&amp;(B247+1))</f>
        <v>4059/4060</v>
      </c>
      <c r="L247" s="245" t="str">
        <f>VLOOKUP(A247,'Trips&amp;Operators'!$C$1:$G$99911,5,FALSE)</f>
        <v>MOSES BRADLEY</v>
      </c>
      <c r="M247" s="224">
        <f>I247-F247</f>
        <v>1.4837962960882578E-2</v>
      </c>
      <c r="N247" s="225">
        <f>24*60*SUM($M247:$M247)</f>
        <v>21.366666663670912</v>
      </c>
      <c r="O247" s="225"/>
      <c r="P247" s="225"/>
      <c r="Q247" s="228"/>
      <c r="R247" s="242"/>
      <c r="S247" s="249">
        <f>1/IF(AG247="EC",12,1)*SUM(U247:U247)</f>
        <v>0</v>
      </c>
      <c r="T247" s="242" t="str">
        <f>IF(ISEVEN(LEFT(AD247,4)),"Southbound","NorthBound")</f>
        <v>NorthBound</v>
      </c>
      <c r="U247" s="246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8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2018-01-04T14:13:18-0700',mode:absolute,to:'2018-01-04T17:31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7" s="247" t="str">
        <f>IF(AA247&lt;VLOOKUP(AG247,Variables!$AC$3:$AD$8,2,FALSE),"Y","N")</f>
        <v>Y</v>
      </c>
      <c r="X247" s="247">
        <f>VALUE(LEFT(AD247,4))-VALUE(LEFT(AD246,4))</f>
        <v>0</v>
      </c>
      <c r="Y247" s="247">
        <f>RIGHT(D247,LEN(D247)-4)/10000</f>
        <v>3.9557000000000002</v>
      </c>
      <c r="Z247" s="247">
        <f>RIGHT(H247,LEN(H247)-4)/10000</f>
        <v>11.251899999999999</v>
      </c>
      <c r="AA247" s="247">
        <f>ABS(Z247-Y247)</f>
        <v>7.2961999999999989</v>
      </c>
      <c r="AB247" s="233" t="e">
        <f>VLOOKUP(A247,Enforcements!$C$7:$K$9,8,0)</f>
        <v>#N/A</v>
      </c>
      <c r="AC247" s="232" t="e">
        <f>VLOOKUP(A247,Enforcements!$C$7:$E$9,3,0)</f>
        <v>#N/A</v>
      </c>
      <c r="AD247" s="243">
        <f>VALUE(LEFT(A247,LEN(A247)-3))</f>
        <v>67</v>
      </c>
      <c r="AE247" s="23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AF247" s="23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/stypes="app*4060*20180104*" /stext=" 23:.+((SYSTEM_STATE.+slice.+state.+changed )|(ment ac)|(multiple cpu faults)|(system.+state.+changed )|(\[timeout)|(PRM\|1\|D)|(kpr)|(kdp)|(train st.+moving)|(\|lc)|(penalty))"</v>
      </c>
      <c r="AG247" s="244" t="str">
        <f>DetSubdiv(A247)</f>
        <v>Shuttle/Test</v>
      </c>
      <c r="AH247" s="236" t="str">
        <f t="shared" si="54"/>
        <v>"%USERPROFILE%\Documents\GitHub\eaglep3\Utilities\RefineRTDCRunTimes.py" --tripid 67-04 --locoid 4060 --swversion DE.1.0.9.0 --startMP 300:39557 --initTime 2018-01-04T15:13:18 --startdatetime 2018-01-04T16:09:52 --delay 126 --endMP 300:112519 --enddatetime 2018-01-04T16:31:14 --enforcementcount 0 &gt;&gt;%USERPROFILE%\Documents\GitHub\eaglep3-reporting\EC\2018-01-04-refined-times.txt</v>
      </c>
      <c r="AI247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11.2519"},{"id":17,"name":"Train ID","value":"67-04"},{"id":16,"name":"Locomotive ID","value":"4060"},{"id":130,"name":"Impact","value":""},{"id":150,"name":"Time of Event (Mountain Time)","value":"16:31:14"},{"id":151,"name":"Denver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231"/>
      <c r="AL247" s="231"/>
      <c r="AM247" s="240" t="str">
        <f t="shared" si="56"/>
        <v>start /low /b %USERPROFILE%\Documents\GitHub\eaglep3\Utilities\DownloadLogsFromS3.py --loco 4060 --day 2018-01-04</v>
      </c>
      <c r="AN247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23:31:14"},{"id":29,"name":"Sharepoint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0" t="str">
        <f t="shared" si="58"/>
        <v>https://d0f6bd738d7f1b3e5a7ca70fe4ff75f0.us-east-1.aws.found.io/app/kibana#/discover/Steve-Slow-Train-Analysis-(2080s-and-2083s)?_g=(refreshInterval:(display:Off,pause:!f,section:0,value:0),time:(from:'2018-01-04T14:13:18-0700',mode:absolute,to:'2018-01-04T17:31:14-0700'))&amp;_a=(columns:!('Message%20ID',Summary),filters:!(),index:'emp_*',interval:auto,query:(query_string:(analyze_wildcard:!t,query:'%22rtdc.l.rtdc.4060%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229" t="s">
        <v>845</v>
      </c>
      <c r="B248" s="225">
        <v>4054</v>
      </c>
      <c r="C248" s="227" t="s">
        <v>192</v>
      </c>
      <c r="D248" s="227" t="s">
        <v>1049</v>
      </c>
      <c r="E248" s="226">
        <v>43104.707696759258</v>
      </c>
      <c r="F248" s="226">
        <v>43104.714583333334</v>
      </c>
      <c r="G248" s="225">
        <v>57</v>
      </c>
      <c r="H248" s="227" t="s">
        <v>530</v>
      </c>
      <c r="I248" s="226">
        <v>43104.720810185187</v>
      </c>
      <c r="J248" s="225">
        <v>0</v>
      </c>
      <c r="K248" s="237" t="str">
        <f>IF(ISEVEN(B248),(B248-1)&amp;"/"&amp;B248,B248&amp;"/"&amp;(B248+1))</f>
        <v>4053/4054</v>
      </c>
      <c r="L248" s="245" t="str">
        <f>VLOOKUP(A248,'Trips&amp;Operators'!$C$1:$G$99911,5,FALSE)</f>
        <v>NEWELL JAMES</v>
      </c>
      <c r="M248" s="224">
        <f>I248-F248</f>
        <v>6.2268518522614613E-3</v>
      </c>
      <c r="N248" s="225">
        <f>24*60*SUM($M248:$M248)</f>
        <v>8.9666666672565043</v>
      </c>
      <c r="O248" s="225"/>
      <c r="P248" s="225"/>
      <c r="Q248" s="228"/>
      <c r="R248" s="242"/>
      <c r="S248" s="249">
        <f>1/IF(AG248="EC",12,1)*SUM(U248:U248)</f>
        <v>1</v>
      </c>
      <c r="T248" s="242" t="str">
        <f>IF(ISEVEN(LEFT(AD248,4)),"Southbound","NorthBound")</f>
        <v>NorthBound</v>
      </c>
      <c r="U248" s="246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48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2018-01-04T15:59:05-0700',mode:absolute,to:'2018-01-04T18:17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8" s="247" t="str">
        <f>IF(AA248&lt;VLOOKUP(AG248,Variables!$AC$3:$AD$8,2,FALSE),"Y","N")</f>
        <v>Y</v>
      </c>
      <c r="X248" s="247">
        <f>VALUE(LEFT(AD248,4))-VALUE(LEFT(AD247,4))</f>
        <v>6</v>
      </c>
      <c r="Y248" s="247">
        <f>RIGHT(D248,LEN(D248)-4)/10000</f>
        <v>0.1148</v>
      </c>
      <c r="Z248" s="247">
        <f>RIGHT(H248,LEN(H248)-4)/10000</f>
        <v>2.3300999999999998</v>
      </c>
      <c r="AA248" s="247">
        <f>ABS(Z248-Y248)</f>
        <v>2.2153</v>
      </c>
      <c r="AB248" s="233" t="e">
        <f>VLOOKUP(A248,Enforcements!$C$7:$K$9,8,0)</f>
        <v>#N/A</v>
      </c>
      <c r="AC248" s="232" t="e">
        <f>VLOOKUP(A248,Enforcements!$C$7:$E$9,3,0)</f>
        <v>#N/A</v>
      </c>
      <c r="AD248" s="243">
        <f>VALUE(LEFT(A248,LEN(A248)-3))</f>
        <v>73</v>
      </c>
      <c r="AE248" s="235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s3://rtdc.mdm.uploadarchive.raw/RTDC4054/ "%USERPROFILE%\AppData\Local\Temp\OnboardLogs"\RTDC4054\2018-01-04 --exclude "*" --recursive --include "*20180104*" &amp; "%USERPROFILE%\Documents\GitHub\mrs-test-scripts\Headless Mode &amp; Sideloading\WalkAndUnGZ.bat" "%USERPROFILE%\AppData\Local\Temp\OnboardLogs"\RTDC4054\2018-01-04 &amp; aws s3 cp s3://rtdc.mdm.uploadarchive.raw/RTDC4054/ "%USERPROFILE%\AppData\Local\Temp\OnboardLogs"\RTDC4054\2018-01-05 --exclude "*" --recursive --include "*20180105*" &amp; "%USERPROFILE%\Documents\GitHub\mrs-test-scripts\Headless Mode &amp; Sideloading\WalkAndUnGZ.bat" "%USERPROFILE%\AppData\Local\Temp\OnboardLogs"\RTDC4054\2018-01-05</v>
      </c>
      <c r="AF248" s="23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/stypes="app*4054*20180105*" /stext=" 00:.+((SYSTEM_STATE.+slice.+state.+changed )|(ment ac)|(multiple cpu faults)|(system.+state.+changed )|(\[timeout)|(PRM\|1\|D)|(kpr)|(kdp)|(train st.+moving)|(\|lc)|(penalty))"</v>
      </c>
      <c r="AG248" s="244" t="str">
        <f>DetSubdiv(A248)</f>
        <v>Shuttle/Test</v>
      </c>
      <c r="AH248" s="236" t="str">
        <f t="shared" si="54"/>
        <v>"%USERPROFILE%\Documents\GitHub\eaglep3\Utilities\RefineRTDCRunTimes.py" --tripid 73-04 --locoid 4054 --swversion DE.1.0.9.0 --startMP 204:1148 --initTime 2018-01-04T16:59:05 --startdatetime 2018-01-04T17:09:00 --delay 57 --endMP 300:23301 --enddatetime 2018-01-04T17:17:58 --enforcementcount 0 &gt;&gt;%USERPROFILE%\Documents\GitHub\eaglep3-reporting\EC\2018-01-04-refined-times.txt</v>
      </c>
      <c r="AI248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2.3301"},{"id":17,"name":"Train ID","value":"73-04"},{"id":16,"name":"Locomotive ID","value":"4054"},{"id":130,"name":"Impact","value":""},{"id":150,"name":"Time of Event (Mountain Time)","value":"17:17:58"},{"id":151,"name":"Denver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8" s="223"/>
      <c r="AK248" s="231"/>
      <c r="AL248" s="231"/>
      <c r="AM248" s="240" t="str">
        <f t="shared" si="56"/>
        <v>start /low /b %USERPROFILE%\Documents\GitHub\eaglep3\Utilities\DownloadLogsFromS3.py --loco 4054 --day 2018-01-04</v>
      </c>
      <c r="AN248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00:17:58"},{"id":29,"name":"Sharepoint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0" t="str">
        <f t="shared" si="58"/>
        <v>https://d0f6bd738d7f1b3e5a7ca70fe4ff75f0.us-east-1.aws.found.io/app/kibana#/discover/Steve-Slow-Train-Analysis-(2080s-and-2083s)?_g=(refreshInterval:(display:Off,pause:!f,section:0,value:0),time:(from:'2018-01-04T15:59:05-0700',mode:absolute,to:'2018-01-04T18:17:58-0700'))&amp;_a=(columns:!('Message%20ID',Summary),filters:!(),index:'emp_*',interval:auto,query:(query_string:(analyze_wildcard:!t,query:'%22rtdc.l.rtdc.4054%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229" t="s">
        <v>852</v>
      </c>
      <c r="B249" s="225">
        <v>4041</v>
      </c>
      <c r="C249" s="227" t="s">
        <v>192</v>
      </c>
      <c r="D249" s="227" t="s">
        <v>1050</v>
      </c>
      <c r="E249" s="226">
        <v>43104.734606481485</v>
      </c>
      <c r="F249" s="226">
        <v>43104.738634259258</v>
      </c>
      <c r="G249" s="225">
        <v>179</v>
      </c>
      <c r="H249" s="227" t="s">
        <v>1051</v>
      </c>
      <c r="I249" s="226">
        <v>43104.743587962963</v>
      </c>
      <c r="J249" s="225">
        <v>0</v>
      </c>
      <c r="K249" s="237" t="str">
        <f>IF(ISEVEN(B249),(B249-1)&amp;"/"&amp;B249,B249&amp;"/"&amp;(B249+1))</f>
        <v>4041/4042</v>
      </c>
      <c r="L249" s="245" t="str">
        <f>VLOOKUP(A249,'Trips&amp;Operators'!$C$1:$G$99911,5,FALSE)</f>
        <v>ANDREA WILLIAMS</v>
      </c>
      <c r="M249" s="224">
        <f>I249-F249</f>
        <v>4.9537037048139609E-3</v>
      </c>
      <c r="N249" s="225">
        <f>24*60*SUM($M249:$M249)</f>
        <v>7.1333333349321038</v>
      </c>
      <c r="O249" s="225"/>
      <c r="P249" s="225"/>
      <c r="Q249" s="228"/>
      <c r="R249" s="242"/>
      <c r="S249" s="249">
        <f>1/IF(AG249="EC",12,1)*SUM(U249:U249)</f>
        <v>1</v>
      </c>
      <c r="T249" s="242" t="str">
        <f>IF(ISEVEN(LEFT(AD249,4)),"Southbound","NorthBound")</f>
        <v>Southbound</v>
      </c>
      <c r="U249" s="246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48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2018-01-04T16:37:50-0700',mode:absolute,to:'2018-01-04T18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9" s="247" t="str">
        <f>IF(AA249&lt;VLOOKUP(AG249,Variables!$AC$3:$AD$8,2,FALSE),"Y","N")</f>
        <v>Y</v>
      </c>
      <c r="X249" s="247">
        <f>VALUE(LEFT(AD249,4))-VALUE(LEFT(AD248,4))</f>
        <v>1</v>
      </c>
      <c r="Y249" s="247">
        <f>RIGHT(D249,LEN(D249)-4)/10000</f>
        <v>2.3780999999999999</v>
      </c>
      <c r="Z249" s="247">
        <f>RIGHT(H249,LEN(H249)-4)/10000</f>
        <v>0.1681</v>
      </c>
      <c r="AA249" s="247">
        <f>ABS(Z249-Y249)</f>
        <v>2.21</v>
      </c>
      <c r="AB249" s="233" t="e">
        <f>VLOOKUP(A249,Enforcements!$C$7:$K$9,8,0)</f>
        <v>#N/A</v>
      </c>
      <c r="AC249" s="232" t="e">
        <f>VLOOKUP(A249,Enforcements!$C$7:$E$9,3,0)</f>
        <v>#N/A</v>
      </c>
      <c r="AD249" s="243">
        <f>VALUE(LEFT(A249,LEN(A249)-3))</f>
        <v>74</v>
      </c>
      <c r="AE249" s="235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 &amp; aws s3 cp s3://rtdc.mdm.uploadarchive.raw/RTDC4041/ "%USERPROFILE%\AppData\Local\Temp\OnboardLogs"\RTDC4041\2018-01-05 --exclude "*" --recursive --include "*20180105*" &amp; "%USERPROFILE%\Documents\GitHub\mrs-test-scripts\Headless Mode &amp; Sideloading\WalkAndUnGZ.bat" "%USERPROFILE%\AppData\Local\Temp\OnboardLogs"\RTDC4041\2018-01-05</v>
      </c>
      <c r="AF249" s="23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/stypes="app*4041*20180105*" /stext=" 00:.+((SYSTEM_STATE.+slice.+state.+changed )|(ment ac)|(multiple cpu faults)|(system.+state.+changed )|(\[timeout)|(PRM\|1\|D)|(kpr)|(kdp)|(train st.+moving)|(\|lc)|(penalty))"</v>
      </c>
      <c r="AG249" s="244" t="str">
        <f>DetSubdiv(A249)</f>
        <v>Shuttle/Test</v>
      </c>
      <c r="AH249" s="236" t="str">
        <f t="shared" si="54"/>
        <v>"%USERPROFILE%\Documents\GitHub\eaglep3\Utilities\RefineRTDCRunTimes.py" --tripid 74-04 --locoid 4041 --swversion DE.1.0.9.0 --startMP 300:23781 --initTime 2018-01-04T17:37:50 --startdatetime 2018-01-04T17:43:38 --delay 179 --endMP 204:1681 --enddatetime 2018-01-04T17:50:46 --enforcementcount 0 &gt;&gt;%USERPROFILE%\Documents\GitHub\eaglep3-reporting\EC\2018-01-04-refined-times.txt</v>
      </c>
      <c r="AI249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0.1681"},{"id":17,"name":"Train ID","value":"74-04"},{"id":16,"name":"Locomotive ID","value":"4041"},{"id":130,"name":"Impact","value":""},{"id":150,"name":"Time of Event (Mountain Time)","value":"17:50:46"},{"id":151,"name":"Denver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9" s="223"/>
      <c r="AK249" s="231"/>
      <c r="AL249" s="231"/>
      <c r="AM249" s="240" t="str">
        <f t="shared" si="56"/>
        <v>start /low /b %USERPROFILE%\Documents\GitHub\eaglep3\Utilities\DownloadLogsFromS3.py --loco 4041 --day 2018-01-04</v>
      </c>
      <c r="AN249" s="241" t="str">
        <f t="shared" si="57"/>
        <v>echo {"issue":{"subject":"","project_id":30,"tracker_id":4,"status_id":1,"priority_id":1,"assigned_to_id":10,"start_date":"2018-01-05","description":"","custom_fields":[{"id":30,"name":"Category","value":"Issue"},{"id":3,"name":"Functional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UTC","value":"2018-01-05 00:50:46"},{"id":29,"name":"Sharepoint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0" t="str">
        <f t="shared" si="58"/>
        <v>https://d0f6bd738d7f1b3e5a7ca70fe4ff75f0.us-east-1.aws.found.io/app/kibana#/discover/Steve-Slow-Train-Analysis-(2080s-and-2083s)?_g=(refreshInterval:(display:Off,pause:!f,section:0,value:0),time:(from:'2018-01-04T16:37:50-0700',mode:absolute,to:'2018-01-04T18:50:46-0700'))&amp;_a=(columns:!('Message%20ID',Summary),filters:!(),index:'emp_*',interval:auto,query:(query_string:(analyze_wildcard:!t,query:'%22rtdc.l.rtdc.4041%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229" t="s">
        <v>690</v>
      </c>
      <c r="B250" s="225">
        <v>4055</v>
      </c>
      <c r="C250" s="227" t="s">
        <v>192</v>
      </c>
      <c r="D250" s="227" t="s">
        <v>1052</v>
      </c>
      <c r="E250" s="226">
        <v>43104.13989583333</v>
      </c>
      <c r="F250" s="226">
        <v>43104.141342592593</v>
      </c>
      <c r="G250" s="225">
        <v>59</v>
      </c>
      <c r="H250" s="227" t="s">
        <v>1053</v>
      </c>
      <c r="I250" s="226">
        <v>43104.142326388886</v>
      </c>
      <c r="J250" s="225">
        <v>0</v>
      </c>
      <c r="K250" s="237" t="str">
        <f>IF(ISEVEN(B250),(B250-1)&amp;"/"&amp;B250,B250&amp;"/"&amp;(B250+1))</f>
        <v>4055/4056</v>
      </c>
      <c r="L250" s="245" t="str">
        <f>VLOOKUP(A250,'Trips&amp;Operators'!$C$1:$G$99911,5,FALSE)</f>
        <v>SPECTOR MICHAEL</v>
      </c>
      <c r="M250" s="224">
        <f>I250-F250</f>
        <v>9.8379629343980923E-4</v>
      </c>
      <c r="N250" s="225">
        <f>24*60*SUM($M250:$M250)</f>
        <v>1.4166666625533253</v>
      </c>
      <c r="O250" s="225"/>
      <c r="P250" s="225"/>
      <c r="Q250" s="228"/>
      <c r="R250" s="242"/>
      <c r="S250" s="249">
        <f>1/IF(AG250="EC",12,1)*SUM(U250:U250)</f>
        <v>0</v>
      </c>
      <c r="T250" s="242" t="str">
        <f>IF(ISEVEN(LEFT(AD250,4)),"Southbound","NorthBound")</f>
        <v>NorthBound</v>
      </c>
      <c r="U250" s="246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248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2018-01-04T02:21:27-0700',mode:absolute,to:'2018-01-04T04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50" s="247" t="str">
        <f>IF(AA250&lt;VLOOKUP(AG250,Variables!$AC$3:$AD$8,2,FALSE),"Y","N")</f>
        <v>Y</v>
      </c>
      <c r="X250" s="247">
        <f>VALUE(LEFT(AD250,4))-VALUE(LEFT(AD249,4))</f>
        <v>1</v>
      </c>
      <c r="Y250" s="247">
        <f>RIGHT(D250,LEN(D250)-4)/10000</f>
        <v>0.3251</v>
      </c>
      <c r="Z250" s="247">
        <f>RIGHT(H250,LEN(H250)-4)/10000</f>
        <v>0.1181</v>
      </c>
      <c r="AA250" s="247">
        <f>ABS(Z250-Y250)</f>
        <v>0.20700000000000002</v>
      </c>
      <c r="AB250" s="233" t="e">
        <f>VLOOKUP(A250,Enforcements!$C$7:$K$9,8,0)</f>
        <v>#N/A</v>
      </c>
      <c r="AC250" s="232" t="e">
        <f>VLOOKUP(A250,Enforcements!$C$7:$E$9,3,0)</f>
        <v>#N/A</v>
      </c>
      <c r="AD250" s="243">
        <f>VALUE(LEFT(A250,LEN(A250)-3))</f>
        <v>75</v>
      </c>
      <c r="AE250" s="235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s3://rtdc.mdm.uploadarchive.raw/RTDC4055/ "%USERPROFILE%\AppData\Local\Temp\OnboardLogs"\RTDC4055\2018-01-04 --exclude "*" --recursive --include "*20180104*" &amp; "%USERPROFILE%\Documents\GitHub\mrs-test-scripts\Headless Mode &amp; Sideloading\WalkAndUnGZ.bat" "%USERPROFILE%\AppData\Local\Temp\OnboardLogs"\RTDC4055\2018-01-04 &amp; aws s3 cp s3://rtdc.mdm.uploadarchive.raw/RTDC4055/ "%USERPROFILE%\AppData\Local\Temp\OnboardLogs"\RTDC4055\2018-01-05 --exclude "*" --recursive --include "*20180105*" &amp; "%USERPROFILE%\Documents\GitHub\mrs-test-scripts\Headless Mode &amp; Sideloading\WalkAndUnGZ.bat" "%USERPROFILE%\AppData\Local\Temp\OnboardLogs"\RTDC4055\2018-01-05</v>
      </c>
      <c r="AF250" s="23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/stypes="app*4055*20180104*" /stext=" 10:.+((SYSTEM_STATE.+slice.+state.+changed )|(ment ac)|(multiple cpu faults)|(system.+state.+changed )|(\[timeout)|(PRM\|1\|D)|(kpr)|(kdp)|(train st.+moving)|(\|lc)|(penalty))"</v>
      </c>
      <c r="AG250" s="244" t="str">
        <f>DetSubdiv(A250)</f>
        <v>Shuttle/Test</v>
      </c>
      <c r="AH250" s="236" t="str">
        <f t="shared" si="54"/>
        <v>"%USERPROFILE%\Documents\GitHub\eaglep3\Utilities\RefineRTDCRunTimes.py" --tripid 75-04 --locoid 4055 --swversion DE.1.0.9.0 --startMP 204:3251 --initTime 2018-01-04T03:21:27 --startdatetime 2018-01-04T03:23:32 --delay 59 --endMP 204:1181 --enddatetime 2018-01-04T03:24:57 --enforcementcount 0 &gt;&gt;%USERPROFILE%\Documents\GitHub\eaglep3-reporting\EC\2018-01-04-refined-times.txt</v>
      </c>
      <c r="AI250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0.1181"},{"id":17,"name":"Train ID","value":"75-04"},{"id":16,"name":"Locomotive ID","value":"4055"},{"id":130,"name":"Impact","value":""},{"id":150,"name":"Time of Event (Mountain Time)","value":"03:24:57"},{"id":151,"name":"Denver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0" s="223"/>
      <c r="AK250" s="231"/>
      <c r="AL250" s="231"/>
      <c r="AM250" s="240" t="str">
        <f t="shared" si="56"/>
        <v>start /low /b %USERPROFILE%\Documents\GitHub\eaglep3\Utilities\DownloadLogsFromS3.py --loco 4055 --day 2018-01-04</v>
      </c>
      <c r="AN250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10:24:57"},{"id":29,"name":"Sharepoint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230" t="str">
        <f t="shared" si="58"/>
        <v>https://d0f6bd738d7f1b3e5a7ca70fe4ff75f0.us-east-1.aws.found.io/app/kibana#/discover/Steve-Slow-Train-Analysis-(2080s-and-2083s)?_g=(refreshInterval:(display:Off,pause:!f,section:0,value:0),time:(from:'2018-01-04T02:21:27-0700',mode:absolute,to:'2018-01-04T04:24:57-0700'))&amp;_a=(columns:!('Message%20ID',Summary),filters:!(),index:'emp_*',interval:auto,query:(query_string:(analyze_wildcard:!t,query:'%22rtdc.l.rtdc.4055%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 s="229" t="s">
        <v>690</v>
      </c>
      <c r="B251" s="225">
        <v>4056</v>
      </c>
      <c r="C251" s="227" t="s">
        <v>192</v>
      </c>
      <c r="D251" s="227" t="s">
        <v>1054</v>
      </c>
      <c r="E251" s="226">
        <v>43104.131493055553</v>
      </c>
      <c r="F251" s="226">
        <v>43104.141342592593</v>
      </c>
      <c r="G251" s="225">
        <v>65</v>
      </c>
      <c r="H251" s="227" t="s">
        <v>1055</v>
      </c>
      <c r="I251" s="226">
        <v>43104.142326388886</v>
      </c>
      <c r="J251" s="225">
        <v>0</v>
      </c>
      <c r="K251" s="237" t="str">
        <f>IF(ISEVEN(B251),(B251-1)&amp;"/"&amp;B251,B251&amp;"/"&amp;(B251+1))</f>
        <v>4055/4056</v>
      </c>
      <c r="L251" s="245" t="str">
        <f>VLOOKUP(A251,'Trips&amp;Operators'!$C$1:$G$99911,5,FALSE)</f>
        <v>SPECTOR MICHAEL</v>
      </c>
      <c r="M251" s="224">
        <f>I251-F251</f>
        <v>9.8379629343980923E-4</v>
      </c>
      <c r="N251" s="225">
        <f>24*60*SUM($M251:$M251)</f>
        <v>1.4166666625533253</v>
      </c>
      <c r="O251" s="225"/>
      <c r="P251" s="225"/>
      <c r="Q251" s="228"/>
      <c r="R251" s="242"/>
      <c r="S251" s="249">
        <f>1/IF(AG251="EC",12,1)*SUM(U251:U251)</f>
        <v>0</v>
      </c>
      <c r="T251" s="242" t="str">
        <f>IF(ISEVEN(LEFT(AD251,4)),"Southbound","NorthBound")</f>
        <v>NorthBound</v>
      </c>
      <c r="U251" s="246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48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2018-01-04T02:09:21-0700',mode:absolute,to:'2018-01-04T04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1" s="247" t="str">
        <f>IF(AA251&lt;VLOOKUP(AG251,Variables!$AC$3:$AD$8,2,FALSE),"Y","N")</f>
        <v>Y</v>
      </c>
      <c r="X251" s="247">
        <f>VALUE(LEFT(AD251,4))-VALUE(LEFT(AD250,4))</f>
        <v>0</v>
      </c>
      <c r="Y251" s="247">
        <f>RIGHT(D251,LEN(D251)-4)/10000</f>
        <v>4.0599999999999997E-2</v>
      </c>
      <c r="Z251" s="247">
        <f>RIGHT(H251,LEN(H251)-4)/10000</f>
        <v>0.35620000000000002</v>
      </c>
      <c r="AA251" s="247">
        <f>ABS(Z251-Y251)</f>
        <v>0.31559999999999999</v>
      </c>
      <c r="AB251" s="233" t="e">
        <f>VLOOKUP(A251,Enforcements!$C$7:$K$9,8,0)</f>
        <v>#N/A</v>
      </c>
      <c r="AC251" s="232" t="e">
        <f>VLOOKUP(A251,Enforcements!$C$7:$E$9,3,0)</f>
        <v>#N/A</v>
      </c>
      <c r="AD251" s="243">
        <f>VALUE(LEFT(A251,LEN(A251)-3))</f>
        <v>75</v>
      </c>
      <c r="AE251" s="235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s3://rtdc.mdm.uploadarchive.raw/RTDC4056/ "%USERPROFILE%\AppData\Local\Temp\OnboardLogs"\RTDC4056\2018-01-04 --exclude "*" --recursive --include "*20180104*" &amp; "%USERPROFILE%\Documents\GitHub\mrs-test-scripts\Headless Mode &amp; Sideloading\WalkAndUnGZ.bat" "%USERPROFILE%\AppData\Local\Temp\OnboardLogs"\RTDC4056\2018-01-04 &amp; aws s3 cp s3://rtdc.mdm.uploadarchive.raw/RTDC4056/ "%USERPROFILE%\AppData\Local\Temp\OnboardLogs"\RTDC4056\2018-01-05 --exclude "*" --recursive --include "*20180105*" &amp; "%USERPROFILE%\Documents\GitHub\mrs-test-scripts\Headless Mode &amp; Sideloading\WalkAndUnGZ.bat" "%USERPROFILE%\AppData\Local\Temp\OnboardLogs"\RTDC4056\2018-01-05</v>
      </c>
      <c r="AF251" s="23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/stypes="app*4056*20180104*" /stext=" 10:.+((SYSTEM_STATE.+slice.+state.+changed )|(ment ac)|(multiple cpu faults)|(system.+state.+changed )|(\[timeout)|(PRM\|1\|D)|(kpr)|(kdp)|(train st.+moving)|(\|lc)|(penalty))"</v>
      </c>
      <c r="AG251" s="244" t="str">
        <f>DetSubdiv(A251)</f>
        <v>Shuttle/Test</v>
      </c>
      <c r="AH251" s="236" t="str">
        <f t="shared" si="54"/>
        <v>"%USERPROFILE%\Documents\GitHub\eaglep3\Utilities\RefineRTDCRunTimes.py" --tripid 75-04 --locoid 4056 --swversion DE.1.0.9.0 --startMP 204:406 --initTime 2018-01-04T03:09:21 --startdatetime 2018-01-04T03:23:32 --delay 65 --endMP 204:3562 --enddatetime 2018-01-04T03:24:57 --enforcementcount 0 &gt;&gt;%USERPROFILE%\Documents\GitHub\eaglep3-reporting\EC\2018-01-04-refined-times.txt</v>
      </c>
      <c r="AI251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0.3562"},{"id":17,"name":"Train ID","value":"75-04"},{"id":16,"name":"Locomotive ID","value":"4056"},{"id":130,"name":"Impact","value":""},{"id":150,"name":"Time of Event (Mountain Time)","value":"03:24:57"},{"id":151,"name":"Denver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1" s="223"/>
      <c r="AK251" s="231"/>
      <c r="AL251" s="231"/>
      <c r="AM251" s="240" t="str">
        <f t="shared" si="56"/>
        <v>start /low /b %USERPROFILE%\Documents\GitHub\eaglep3\Utilities\DownloadLogsFromS3.py --loco 4056 --day 2018-01-04</v>
      </c>
      <c r="AN251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10:24:57"},{"id":29,"name":"Sharepoint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230" t="str">
        <f t="shared" si="58"/>
        <v>https://d0f6bd738d7f1b3e5a7ca70fe4ff75f0.us-east-1.aws.found.io/app/kibana#/discover/Steve-Slow-Train-Analysis-(2080s-and-2083s)?_g=(refreshInterval:(display:Off,pause:!f,section:0,value:0),time:(from:'2018-01-04T02:09:21-0700',mode:absolute,to:'2018-01-04T04:24:57-0700'))&amp;_a=(columns:!('Message%20ID',Summary),filters:!(),index:'emp_*',interval:auto,query:(query_string:(analyze_wildcard:!t,query:'%22rtdc.l.rtdc.4056%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 s="229" t="s">
        <v>691</v>
      </c>
      <c r="B252" s="225">
        <v>4002</v>
      </c>
      <c r="C252" s="227" t="s">
        <v>192</v>
      </c>
      <c r="D252" s="227" t="s">
        <v>1056</v>
      </c>
      <c r="E252" s="226">
        <v>43104.139097222222</v>
      </c>
      <c r="F252" s="226">
        <v>43104.144375000003</v>
      </c>
      <c r="G252" s="225">
        <v>92</v>
      </c>
      <c r="H252" s="227" t="s">
        <v>1057</v>
      </c>
      <c r="I252" s="226">
        <v>43104.164085648146</v>
      </c>
      <c r="J252" s="225">
        <v>0</v>
      </c>
      <c r="K252" s="237" t="str">
        <f>IF(ISEVEN(B252),(B252-1)&amp;"/"&amp;B252,B252&amp;"/"&amp;(B252+1))</f>
        <v>4001/4002</v>
      </c>
      <c r="L252" s="245" t="str">
        <f>VLOOKUP(A252,'Trips&amp;Operators'!$C$1:$G$99911,5,FALSE)</f>
        <v>ACKERMAN JARED</v>
      </c>
      <c r="M252" s="224">
        <f>I252-F252</f>
        <v>1.9710648142790888E-2</v>
      </c>
      <c r="N252" s="225">
        <f>24*60*SUM($M252:$M252)</f>
        <v>28.383333325618878</v>
      </c>
      <c r="O252" s="225"/>
      <c r="P252" s="225"/>
      <c r="Q252" s="228"/>
      <c r="R252" s="242"/>
      <c r="S252" s="249">
        <f>1/IF(AG252="EC",12,1)*SUM(U252:U252)</f>
        <v>1</v>
      </c>
      <c r="T252" s="242" t="str">
        <f>IF(ISEVEN(LEFT(AD252,4)),"Southbound","NorthBound")</f>
        <v>NorthBound</v>
      </c>
      <c r="U252" s="246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248" t="str">
        <f>"https://d0f6bd738d7f1b3e5a7ca70fe4ff75f0.us-east-1.aws.found.io/app/kibana#/discover/Steve-Slow-Train-Analysis-(2080s-and-2083s)?_g="&amp;"(refreshInterval:(display:Off,pause:!f,section:0,value:0),time:(from:'"&amp;TEXT(E252-1/24,"yyyy-MM-DDThh:mm:ss")&amp;utc_offset&amp;"00"&amp;"',mode:absolute,to:'"&amp;TEXT(I252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252&amp;"%22')),sort:!(Time.ISO8601,asc))"</f>
        <v>https://d0f6bd738d7f1b3e5a7ca70fe4ff75f0.us-east-1.aws.found.io/app/kibana#/discover/Steve-Slow-Train-Analysis-(2080s-and-2083s)?_g=(refreshInterval:(display:Off,pause:!f,section:0,value:0),time:(from:'2018-01-04T02:20:18-0700',mode:absolute,to:'2018-01-04T04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2" s="247" t="str">
        <f>IF(AA252&lt;VLOOKUP(AG252,Variables!$AC$3:$AD$8,2,FALSE),"Y","N")</f>
        <v>Y</v>
      </c>
      <c r="X252" s="247">
        <f>VALUE(LEFT(AD252,4))-VALUE(LEFT(AD251,4))</f>
        <v>2</v>
      </c>
      <c r="Y252" s="247">
        <f>RIGHT(D252,LEN(D252)-4)/10000</f>
        <v>6.3899999999999998E-2</v>
      </c>
      <c r="Z252" s="247">
        <f>RIGHT(H252,LEN(H252)-4)/10000</f>
        <v>2.3317999999999999</v>
      </c>
      <c r="AA252" s="247">
        <f>ABS(Z252-Y252)</f>
        <v>2.2679</v>
      </c>
      <c r="AB252" s="233" t="e">
        <f>VLOOKUP(A252,Enforcements!$C$7:$K$9,8,0)</f>
        <v>#N/A</v>
      </c>
      <c r="AC252" s="232" t="e">
        <f>VLOOKUP(A252,Enforcements!$C$7:$E$9,3,0)</f>
        <v>#N/A</v>
      </c>
      <c r="AD252" s="243">
        <f>VALUE(LEFT(A252,LEN(A252)-3))</f>
        <v>77</v>
      </c>
      <c r="AE252" s="235" t="str">
        <f>"aws s3 cp "&amp;s3_bucket&amp;"/RTDC"&amp;B252&amp;"/ "&amp;search_path&amp;"\RTDC"&amp;B252&amp;"\"&amp;TEXT(F252,"YYYY-MM-DD")&amp;" --exclude ""*"" --recursive --include ""*"&amp;TEXT(F252,"YYYYMMDD")&amp;"*"" &amp; """&amp;walkandungz&amp;""" "&amp;search_path&amp;"\RTDC"&amp;B252&amp;"\"&amp;TEXT(F252,"YYYY-MM-DD")
&amp;" &amp; "&amp;"aws s3 cp "&amp;s3_bucket&amp;"/RTDC"&amp;B252&amp;"/ "&amp;search_path&amp;"\RTDC"&amp;B252&amp;"\"&amp;TEXT(F252+1,"YYYY-MM-DD")&amp;" --exclude ""*"" --recursive --include ""*"&amp;TEXT(F252+1,"YYYYMMDD")&amp;"*"" &amp; """&amp;walkandungz&amp;""" "&amp;search_path&amp;"\RTDC"&amp;B252&amp;"\"&amp;TEXT(F252+1,"YYYY-MM-DD")</f>
        <v>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 &amp; 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</v>
      </c>
      <c r="AF252" s="234" t="str">
        <f>astrogrep_path&amp;" /e /r /s /spath="&amp;search_path&amp;" /stypes=""app*"&amp;B252&amp;"*"&amp;TEXT(I252-utc_offset/24,"YYYYMMDD")&amp;"*"" /stext="" "&amp;TEXT(I252-utc_offset/24,"HH")&amp;search_regexp&amp;""""</f>
        <v>"C:\Program Files (x86)\AstroGrep\AstroGrep.exe" /e /r /s /spath="%USERPROFILE%\AppData\Local\Temp\OnboardLogs" /stypes="app*4002*20180104*" /stext=" 10:.+((SYSTEM_STATE.+slice.+state.+changed )|(ment ac)|(multiple cpu faults)|(system.+state.+changed )|(\[timeout)|(PRM\|1\|D)|(kpr)|(kdp)|(train st.+moving)|(\|lc)|(penalty))"</v>
      </c>
      <c r="AG252" s="244" t="str">
        <f>DetSubdiv(A252)</f>
        <v>Shuttle/Test</v>
      </c>
      <c r="AH252" s="236" t="str">
        <f t="shared" si="54"/>
        <v>"%USERPROFILE%\Documents\GitHub\eaglep3\Utilities\RefineRTDCRunTimes.py" --tripid 77-04 --locoid 4002 --swversion DE.1.0.9.0 --startMP 204:639 --initTime 2018-01-04T03:20:18 --startdatetime 2018-01-04T03:27:54 --delay 92 --endMP 300:23318 --enddatetime 2018-01-04T03:56:17 --enforcementcount 0 &gt;&gt;%USERPROFILE%\Documents\GitHub\eaglep3-reporting\EC\2018-01-04-refined-times.txt</v>
      </c>
      <c r="AI252" s="238" t="str">
        <f t="shared" si="55"/>
        <v>echo {"issue":{"subject":"","project_id":79,"tracker_id":40,"status_id":1,"priority_id":2,"assigned_to_id":338,"start_date":"2018-01-04","description":"","custom_fields":[{"id":1,"name":"Subdivision","value":"Shuttle/Test"},{"id":4,"name":"Milepost","value":"2.3318"},{"id":17,"name":"Train ID","value":"77-04"},{"id":16,"name":"Locomotive ID","value":"4002"},{"id":130,"name":"Impact","value":""},{"id":150,"name":"Time of Event (Mountain Time)","value":"03:56:17"},{"id":151,"name":"Denver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2" s="223"/>
      <c r="AK252" s="231"/>
      <c r="AL252" s="231"/>
      <c r="AM252" s="240" t="str">
        <f t="shared" si="56"/>
        <v>start /low /b %USERPROFILE%\Documents\GitHub\eaglep3\Utilities\DownloadLogsFromS3.py --loco 4002 --day 2018-01-04</v>
      </c>
      <c r="AN252" s="241" t="str">
        <f t="shared" si="5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10:56:17"},{"id":29,"name":"Sharepoint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230" t="str">
        <f t="shared" si="58"/>
        <v>https://d0f6bd738d7f1b3e5a7ca70fe4ff75f0.us-east-1.aws.found.io/app/kibana#/discover/Steve-Slow-Train-Analysis-(2080s-and-2083s)?_g=(refreshInterval:(display:Off,pause:!f,section:0,value:0),time:(from:'2018-01-04T02:20:18-0700',mode:absolute,to:'2018-01-04T04:56:17-0700'))&amp;_a=(columns:!('Message%20ID',Summary),filters:!(),index:'emp_*',interval:auto,query:(query_string:(analyze_wildcard:!t,query:'%22rtdc.l.rtdc.4002%22')),sort:!(Time.ISO8601,asc))</v>
      </c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23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23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s="20" customForma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s="20" customFormat="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s="20" customFormat="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s="20" customFormat="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s="20" customFormat="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s="20" customForma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s="20" customFormat="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s="20" customFormat="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4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4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4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4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4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4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4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4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</sheetData>
  <autoFilter ref="A12:AG556">
    <sortState ref="A13:AG556">
      <sortCondition ref="AG13:AG252"/>
      <sortCondition ref="AD13:AD252"/>
    </sortState>
  </autoFilter>
  <sortState ref="A13:AN461">
    <sortCondition ref="AG13:AG461"/>
    <sortCondition ref="AD13:AD461"/>
  </sortState>
  <mergeCells count="1">
    <mergeCell ref="A11:P11"/>
  </mergeCells>
  <conditionalFormatting sqref="W11:W12 W562:X1048576 W13:X252">
    <cfRule type="cellIs" dxfId="10" priority="479" operator="equal">
      <formula>"Y"</formula>
    </cfRule>
  </conditionalFormatting>
  <conditionalFormatting sqref="X562:X1048576 X13:X252">
    <cfRule type="cellIs" dxfId="9" priority="462" operator="greaterThan">
      <formula>1</formula>
    </cfRule>
  </conditionalFormatting>
  <conditionalFormatting sqref="X562:X1048576 X12:X252">
    <cfRule type="cellIs" dxfId="8" priority="459" operator="equal">
      <formula>0</formula>
    </cfRule>
  </conditionalFormatting>
  <conditionalFormatting sqref="A13:S252">
    <cfRule type="expression" dxfId="7" priority="453" stopIfTrue="1">
      <formula>$P13&gt;0</formula>
    </cfRule>
    <cfRule type="expression" dxfId="6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AK13:AK252</xm:sqref>
        </x14:dataValidation>
        <x14:dataValidation type="list" allowBlank="1" showInputMessage="1" showErrorMessage="1">
          <x14:formula1>
            <xm:f>'Redmine List Values'!$C$2:$C$15</xm:f>
          </x14:formula1>
          <xm:sqref>AL13:AL252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9"/>
  <sheetViews>
    <sheetView topLeftCell="A11" zoomScaleNormal="100" workbookViewId="0">
      <selection activeCell="P26" sqref="P26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COUNTIF($O$7:$O$116,"=Y")</f>
        <v>4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COUNTA($O$7:$O$116)-O2</f>
        <v>19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- 2018-01-04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43104.665069444447</v>
      </c>
      <c r="B7" s="30" t="s">
        <v>674</v>
      </c>
      <c r="C7" s="30" t="s">
        <v>675</v>
      </c>
      <c r="D7" s="30" t="s">
        <v>49</v>
      </c>
      <c r="E7" s="30" t="s">
        <v>183</v>
      </c>
      <c r="F7" s="42">
        <v>0</v>
      </c>
      <c r="G7" s="42">
        <v>496</v>
      </c>
      <c r="H7" s="42">
        <v>58161</v>
      </c>
      <c r="I7" s="42">
        <v>59233</v>
      </c>
      <c r="J7" s="30" t="s">
        <v>184</v>
      </c>
      <c r="K7" s="42">
        <v>58783</v>
      </c>
      <c r="L7" s="131" t="s">
        <v>50</v>
      </c>
      <c r="M7" s="132">
        <f>CONVERT((I7-K7)/10000,"mi","ft")*IF(L7="Increasing Mileposts (1)",-1,1)</f>
        <v>-237.6</v>
      </c>
      <c r="N7" s="133" t="str">
        <f>VLOOKUP(C7,'Trips&amp;Operators'!$C$1:$G$99911,5,FALSE)</f>
        <v>LEVERE CRAIG</v>
      </c>
      <c r="O7" s="175" t="s">
        <v>178</v>
      </c>
      <c r="P7" s="239" t="s">
        <v>482</v>
      </c>
      <c r="Q7" s="30"/>
      <c r="R7" s="81" t="str">
        <f>VLOOKUP(C7,'Train Runs'!$A$13:$AE$10215,31,0)</f>
        <v>aws s3 cp s3://rtdc.mdm.uploadarchive.raw/RTDC4032/ "%USERPROFILE%\AppData\Local\Temp\OnboardLogs"\RTDC4032\2018-01-04 --exclude "*" --recursive --include "*20180104*" &amp; "%USERPROFILE%\Documents\GitHub\mrs-test-scripts\Headless Mode &amp; Sideloading\WalkAndUnGZ.bat" "%USERPROFILE%\AppData\Local\Temp\OnboardLogs"\RTDC4032\2018-01-04 &amp; aws s3 cp s3://rtdc.mdm.uploadarchive.raw/RTDC4032/ "%USERPROFILE%\AppData\Local\Temp\OnboardLogs"\RTDC4032\2018-01-05 --exclude "*" --recursive --include "*20180105*" &amp; "%USERPROFILE%\Documents\GitHub\mrs-test-scripts\Headless Mode &amp; Sideloading\WalkAndUnGZ.bat" "%USERPROFILE%\AppData\Local\Temp\OnboardLogs"\RTDC4032\2018-01-05</v>
      </c>
      <c r="S7" s="84" t="str">
        <f>VLOOKUP(C7,'Train Runs'!$A$13:$AE$10215,22,0)</f>
        <v>https://d0f6bd738d7f1b3e5a7ca70fe4ff75f0.us-east-1.aws.found.io/app/kibana#/discover/Steve-Slow-Train-Analysis-(2080s-and-2083s)?_g=(refreshInterval:(display:Off,pause:!f,section:0,value:0),time:(from:'2018-01-04T14:38:26-0700',mode:absolute,to:'2018-01-04T17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/stypes="*4032*201801042*" /stext=" 22:.+((SYSTEM_STATE.+slice.+state.+changed )|(ment ac)|(multiple cpu faults)|(system.+state.+changed )|(\[timeout)|(PRM\|1\|D)|(kpr)|(kdp)|(train st.+moving)|(\|lc)|(penalty))"</v>
      </c>
      <c r="U7" s="9" t="str">
        <f>MID(B7,13,4)</f>
        <v>4032</v>
      </c>
      <c r="V7" s="31">
        <f>A7-utc_offset/24</f>
        <v>43104.956736111111</v>
      </c>
      <c r="W7" s="45" t="str">
        <f>DetSubdiv(C7)</f>
        <v>EC</v>
      </c>
      <c r="X7" s="22">
        <f>VALUE(LEFT(C7,LEN(C7)-3))</f>
        <v>197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Arrival","project_id":79,"tracker_id":40,"status_id":1,"priority_id":2,"assigned_to_id":338,"start_date":"2018-01-04","description":"","custom_fields":[{"id":1,"name":"Subdivision","value":"EC"},{"id":4,"name":"Milepost","value":"5.8783"},{"id":17,"name":"Train ID","value":"197-04"},{"id":16,"name":"Locomotive ID","value":"4032"},{"id":130,"name":"Impact","value":""},{"id":150,"name":"Time of Event (Mountain Time)","value":"15:57:42"},{"id":151,"name":"Denver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/c/Users/stu/AppData/Local/Temp/OnboardLogs/RTDC4032 --include="*4032*201801042*"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"%USERPROFILE%\AppData\Local\Temp\OnboardLogs"\RTDC4032\*4032*201801042* &gt;&gt; 2018-01-04-SliceDisagreementCheck.txt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4032 --day 2018-01-04</v>
      </c>
    </row>
    <row r="8" spans="1:32" s="1" customFormat="1" x14ac:dyDescent="0.3">
      <c r="A8" s="31">
        <v>43105.055613425924</v>
      </c>
      <c r="B8" s="30" t="s">
        <v>657</v>
      </c>
      <c r="C8" s="30" t="s">
        <v>684</v>
      </c>
      <c r="D8" s="30" t="s">
        <v>95</v>
      </c>
      <c r="E8" s="30" t="s">
        <v>183</v>
      </c>
      <c r="F8" s="42">
        <v>0</v>
      </c>
      <c r="G8" s="42">
        <v>83</v>
      </c>
      <c r="H8" s="42">
        <v>63309</v>
      </c>
      <c r="I8" s="42">
        <v>63210</v>
      </c>
      <c r="J8" s="30" t="s">
        <v>184</v>
      </c>
      <c r="K8" s="42">
        <v>63309</v>
      </c>
      <c r="L8" s="131" t="s">
        <v>51</v>
      </c>
      <c r="M8" s="132">
        <f>CONVERT((I8-K8)/10000,"mi","ft")*IF(L8="Increasing Mileposts (1)",-1,1)</f>
        <v>-52.271999999999998</v>
      </c>
      <c r="N8" s="133" t="str">
        <f>VLOOKUP(C8,'Trips&amp;Operators'!$C$1:$G$99911,5,FALSE)</f>
        <v>ELBAUM MIKE</v>
      </c>
      <c r="O8" s="175" t="s">
        <v>178</v>
      </c>
      <c r="P8" s="239" t="s">
        <v>482</v>
      </c>
      <c r="Q8" s="30"/>
      <c r="R8" s="81" t="str">
        <f>VLOOKUP(C8,'Train Runs'!$A$13:$AE$10215,31,0)</f>
        <v>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 &amp; aws s3 cp s3://rtdc.mdm.uploadarchive.raw/RTDC4045/ "%USERPROFILE%\AppData\Local\Temp\OnboardLogs"\RTDC4045\2018-01-06 --exclude "*" --recursive --include "*20180106*" &amp; "%USERPROFILE%\Documents\GitHub\mrs-test-scripts\Headless Mode &amp; Sideloading\WalkAndUnGZ.bat" "%USERPROFILE%\AppData\Local\Temp\OnboardLogs"\RTDC4045\2018-01-06</v>
      </c>
      <c r="S8" s="84" t="str">
        <f>VLOOKUP(C8,'Train Runs'!$A$13:$AE$10215,22,0)</f>
        <v>https://d0f6bd738d7f1b3e5a7ca70fe4ff75f0.us-east-1.aws.found.io/app/kibana#/discover/Steve-Slow-Train-Analysis-(2080s-and-2083s)?_g=(refreshInterval:(display:Off,pause:!f,section:0,value:0),time:(from:'2018-01-04T23:36:41-0700',mode:absolute,to:'2018-01-05T02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/stypes="*4045*201801050*" /stext=" 08:.+((SYSTEM_STATE.+slice.+state.+changed )|(ment ac)|(multiple cpu faults)|(system.+state.+changed )|(\[timeout)|(PRM\|1\|D)|(kpr)|(kdp)|(train st.+moving)|(\|lc)|(penalty))"</v>
      </c>
      <c r="U8" s="9" t="str">
        <f>MID(B8,13,4)</f>
        <v>4045</v>
      </c>
      <c r="V8" s="31">
        <f>A8-utc_offset/24</f>
        <v>43105.347280092588</v>
      </c>
      <c r="W8" s="45" t="str">
        <f>DetSubdiv(C8)</f>
        <v>EC</v>
      </c>
      <c r="X8" s="228">
        <f>VALUE(LEFT(C8,LEN(C8)-3))</f>
        <v>242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Arrival","project_id":79,"tracker_id":40,"status_id":1,"priority_id":2,"assigned_to_id":338,"start_date":"2018-01-05","description":"","custom_fields":[{"id":1,"name":"Subdivision","value":"EC"},{"id":4,"name":"Milepost","value":"6.3309"},{"id":17,"name":"Train ID","value":"242-04"},{"id":16,"name":"Locomotive ID","value":"4045"},{"id":130,"name":"Impact","value":""},{"id":150,"name":"Time of Event (Mountain Time)","value":"01:20:05"},{"id":151,"name":"Denver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/c/Users/stu/AppData/Local/Temp/OnboardLogs/RTDC4045 --include="*4045*201801050*"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"%USERPROFILE%\AppData\Local\Temp\OnboardLogs"\RTDC4045\*4045*201801050* &gt;&gt; 2018-01-04-SliceDisagreementCheck.txt</v>
      </c>
      <c r="AE8" s="144" t="str">
        <f t="shared" ref="AE8:AE29" si="1">"start /low /b "&amp;dls3logs&amp;" --loco "&amp;U8&amp;" --day "&amp;TEXT(V8,"YYYY-MM-DD")</f>
        <v>start /low /b %USERPROFILE%\Documents\GitHub\eaglep3\Utilities\DownloadLogsFromS3.py --loco 4045 --day 2018-01-05</v>
      </c>
    </row>
    <row r="9" spans="1:32" s="1" customFormat="1" x14ac:dyDescent="0.3">
      <c r="A9" s="31">
        <v>43104.607430555552</v>
      </c>
      <c r="B9" s="30" t="s">
        <v>532</v>
      </c>
      <c r="C9" s="30" t="s">
        <v>670</v>
      </c>
      <c r="D9" s="30" t="s">
        <v>95</v>
      </c>
      <c r="E9" s="30" t="s">
        <v>183</v>
      </c>
      <c r="F9" s="42">
        <v>590</v>
      </c>
      <c r="G9" s="42">
        <v>643</v>
      </c>
      <c r="H9" s="42">
        <v>78362</v>
      </c>
      <c r="I9" s="42">
        <v>75513</v>
      </c>
      <c r="J9" s="30" t="s">
        <v>184</v>
      </c>
      <c r="K9" s="42">
        <v>78469</v>
      </c>
      <c r="L9" s="131" t="s">
        <v>51</v>
      </c>
      <c r="M9" s="132">
        <f>CONVERT((I9-K9)/10000,"mi","ft")*IF(L9="Increasing Mileposts (1)",-1,1)</f>
        <v>-1560.768</v>
      </c>
      <c r="N9" s="133" t="str">
        <f>VLOOKUP(C9,'Trips&amp;Operators'!$C$1:$G$99911,5,FALSE)</f>
        <v>STEWART MICHAEL</v>
      </c>
      <c r="O9" s="175" t="s">
        <v>178</v>
      </c>
      <c r="P9" s="239" t="s">
        <v>482</v>
      </c>
      <c r="Q9" s="30"/>
      <c r="R9" s="81" t="str">
        <f>VLOOKUP(C9,'Train Runs'!$A$13:$AE$10215,31,0)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S9" s="84" t="str">
        <f>VLOOKUP(C9,'Train Runs'!$A$13:$AE$10215,22,0)</f>
        <v>https://d0f6bd738d7f1b3e5a7ca70fe4ff75f0.us-east-1.aws.found.io/app/kibana#/discover/Steve-Slow-Train-Analysis-(2080s-and-2083s)?_g=(refreshInterval:(display:Off,pause:!f,section:0,value:0),time:(from:'2018-01-04T13:08:29-0700',mode:absolute,to:'2018-01-04T15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/stypes="*4063*201801042*" /stext=" 21:.+((SYSTEM_STATE.+slice.+state.+changed )|(ment ac)|(multiple cpu faults)|(system.+state.+changed )|(\[timeout)|(PRM\|1\|D)|(kpr)|(kdp)|(train st.+moving)|(\|lc)|(penalty))"</v>
      </c>
      <c r="U9" s="9" t="str">
        <f>MID(B9,13,4)</f>
        <v>4063</v>
      </c>
      <c r="V9" s="31">
        <f>A9-utc_offset/24</f>
        <v>43104.899097222216</v>
      </c>
      <c r="W9" s="45" t="str">
        <f>DetSubdiv(C9)</f>
        <v>EC</v>
      </c>
      <c r="X9" s="228">
        <f>VALUE(LEFT(C9,LEN(C9)-3))</f>
        <v>178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Arrival","project_id":79,"tracker_id":40,"status_id":1,"priority_id":2,"assigned_to_id":338,"start_date":"2018-01-04","description":"","custom_fields":[{"id":1,"name":"Subdivision","value":"EC"},{"id":4,"name":"Milepost","value":"7.8469"},{"id":17,"name":"Train ID","value":"178-04"},{"id":16,"name":"Locomotive ID","value":"4063"},{"id":130,"name":"Impact","value":""},{"id":150,"name":"Time of Event (Mountain Time)","value":"14:34:42"},{"id":151,"name":"Denver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/c/Users/stu/AppData/Local/Temp/OnboardLogs/RTDC4063 --include="*4063*201801042*"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"%USERPROFILE%\AppData\Local\Temp\OnboardLogs"\RTDC4063\*4063*201801042* &gt;&gt; 2018-01-04-SliceDisagreementCheck.txt</v>
      </c>
      <c r="AE9" s="144" t="str">
        <f t="shared" si="1"/>
        <v>start /low /b %USERPROFILE%\Documents\GitHub\eaglep3\Utilities\DownloadLogsFromS3.py --loco 4063 --day 2018-01-04</v>
      </c>
    </row>
    <row r="10" spans="1:32" x14ac:dyDescent="0.3">
      <c r="A10" s="31">
        <v>43104.395775462966</v>
      </c>
      <c r="B10" s="30" t="s">
        <v>449</v>
      </c>
      <c r="C10" s="30" t="s">
        <v>662</v>
      </c>
      <c r="D10" s="30" t="s">
        <v>95</v>
      </c>
      <c r="E10" s="30" t="s">
        <v>183</v>
      </c>
      <c r="F10" s="42">
        <v>0</v>
      </c>
      <c r="G10" s="42">
        <v>54</v>
      </c>
      <c r="H10" s="42">
        <v>109113</v>
      </c>
      <c r="I10" s="42">
        <v>109084</v>
      </c>
      <c r="J10" s="30" t="s">
        <v>184</v>
      </c>
      <c r="K10" s="42">
        <v>109135</v>
      </c>
      <c r="L10" s="131" t="s">
        <v>51</v>
      </c>
      <c r="M10" s="132">
        <f>CONVERT((I10-K10)/10000,"mi","ft")*IF(L10="Increasing Mileposts (1)",-1,1)</f>
        <v>-26.928000000000001</v>
      </c>
      <c r="N10" s="133" t="str">
        <f>VLOOKUP(C10,'Trips&amp;Operators'!$C$1:$G$99911,5,FALSE)</f>
        <v>WILLIAMS DONTE</v>
      </c>
      <c r="O10" s="175" t="s">
        <v>178</v>
      </c>
      <c r="P10" s="239" t="s">
        <v>482</v>
      </c>
      <c r="Q10" s="30"/>
      <c r="R10" s="81" t="str">
        <f>VLOOKUP(C10,'Train Runs'!$A$13:$AE$10215,31,0)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S10" s="84" t="str">
        <f>VLOOKUP(C10,'Train Runs'!$A$13:$AE$10215,22,0)</f>
        <v>https://d0f6bd738d7f1b3e5a7ca70fe4ff75f0.us-east-1.aws.found.io/app/kibana#/discover/Steve-Slow-Train-Analysis-(2080s-and-2083s)?_g=(refreshInterval:(display:Off,pause:!f,section:0,value:0),time:(from:'2018-01-04T08:03:07-0700',mode:absolute,to:'2018-01-04T10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/stypes="*4051*201801041*" /stext=" 16:.+((SYSTEM_STATE.+slice.+state.+changed )|(ment ac)|(multiple cpu faults)|(system.+state.+changed )|(\[timeout)|(PRM\|1\|D)|(kpr)|(kdp)|(train st.+moving)|(\|lc)|(penalty))"</v>
      </c>
      <c r="U10" s="9" t="str">
        <f>MID(B10,13,4)</f>
        <v>4051</v>
      </c>
      <c r="V10" s="31">
        <f>A10-utc_offset/24</f>
        <v>43104.687442129631</v>
      </c>
      <c r="W10" s="45" t="str">
        <f>DetSubdiv(C10)</f>
        <v>EC</v>
      </c>
      <c r="X10" s="228">
        <f>VALUE(LEFT(C10,LEN(C10)-3))</f>
        <v>138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Arrival","project_id":79,"tracker_id":40,"status_id":1,"priority_id":2,"assigned_to_id":338,"start_date":"2018-01-04","description":"","custom_fields":[{"id":1,"name":"Subdivision","value":"EC"},{"id":4,"name":"Milepost","value":"10.9135"},{"id":17,"name":"Train ID","value":"138-04"},{"id":16,"name":"Locomotive ID","value":"4051"},{"id":130,"name":"Impact","value":""},{"id":150,"name":"Time of Event (Mountain Time)","value":"09:29:55"},{"id":151,"name":"Denver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/c/Users/stu/AppData/Local/Temp/OnboardLogs/RTDC4051 --include="*4051*201801041*"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"%USERPROFILE%\AppData\Local\Temp\OnboardLogs"\RTDC4051\*4051*201801041* &gt;&gt; 2018-01-04-SliceDisagreementCheck.txt</v>
      </c>
      <c r="AE10" s="144" t="str">
        <f t="shared" si="1"/>
        <v>start /low /b %USERPROFILE%\Documents\GitHub\eaglep3\Utilities\DownloadLogsFromS3.py --loco 4051 --day 2018-01-04</v>
      </c>
      <c r="AF10" s="1"/>
    </row>
    <row r="11" spans="1:32" x14ac:dyDescent="0.3">
      <c r="A11" s="31">
        <v>43104.967986111114</v>
      </c>
      <c r="B11" s="30" t="s">
        <v>657</v>
      </c>
      <c r="C11" s="30" t="s">
        <v>683</v>
      </c>
      <c r="D11" s="30" t="s">
        <v>49</v>
      </c>
      <c r="E11" s="30" t="s">
        <v>183</v>
      </c>
      <c r="F11" s="42">
        <v>0</v>
      </c>
      <c r="G11" s="42">
        <v>397</v>
      </c>
      <c r="H11" s="42">
        <v>109503</v>
      </c>
      <c r="I11" s="42">
        <v>108713</v>
      </c>
      <c r="J11" s="30" t="s">
        <v>184</v>
      </c>
      <c r="K11" s="42">
        <v>109135</v>
      </c>
      <c r="L11" s="131" t="s">
        <v>51</v>
      </c>
      <c r="M11" s="132">
        <f>CONVERT((I11-K11)/10000,"mi","ft")*IF(L11="Increasing Mileposts (1)",-1,1)</f>
        <v>-222.816</v>
      </c>
      <c r="N11" s="133" t="str">
        <f>VLOOKUP(C11,'Trips&amp;Operators'!$C$1:$G$99911,5,FALSE)</f>
        <v>ELBAUM MIKE</v>
      </c>
      <c r="O11" s="175" t="s">
        <v>178</v>
      </c>
      <c r="P11" s="239" t="s">
        <v>482</v>
      </c>
      <c r="Q11" s="30"/>
      <c r="R11" s="81" t="str">
        <f>VLOOKUP(C11,'Train Runs'!$A$13:$AE$10215,31,0)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S11" s="84" t="str">
        <f>VLOOKUP(C11,'Train Runs'!$A$13:$AE$10215,22,0)</f>
        <v>https://d0f6bd738d7f1b3e5a7ca70fe4ff75f0.us-east-1.aws.found.io/app/kibana#/discover/Steve-Slow-Train-Analysis-(2080s-and-2083s)?_g=(refreshInterval:(display:Off,pause:!f,section:0,value:0),time:(from:'2018-01-04T21:40:19-0700',mode:absolute,to:'2018-01-05T00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/stypes="*4045*201801050*" /stext=" 06:.+((SYSTEM_STATE.+slice.+state.+changed )|(ment ac)|(multiple cpu faults)|(system.+state.+changed )|(\[timeout)|(PRM\|1\|D)|(kpr)|(kdp)|(train st.+moving)|(\|lc)|(penalty))"</v>
      </c>
      <c r="U11" s="9" t="str">
        <f>MID(B11,13,4)</f>
        <v>4045</v>
      </c>
      <c r="V11" s="31">
        <f>A11-utc_offset/24</f>
        <v>43105.259652777779</v>
      </c>
      <c r="W11" s="45" t="str">
        <f>DetSubdiv(C11)</f>
        <v>EC</v>
      </c>
      <c r="X11" s="228">
        <f>VALUE(LEFT(C11,LEN(C11)-3))</f>
        <v>234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Arrival","project_id":79,"tracker_id":40,"status_id":1,"priority_id":2,"assigned_to_id":338,"start_date":"2018-01-04","description":"","custom_fields":[{"id":1,"name":"Subdivision","value":"EC"},{"id":4,"name":"Milepost","value":"10.9135"},{"id":17,"name":"Train ID","value":"234-04"},{"id":16,"name":"Locomotive ID","value":"4045"},{"id":130,"name":"Impact","value":""},{"id":150,"name":"Time of Event (Mountain Time)","value":"23:13:54"},{"id":151,"name":"Denver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/c/Users/stu/AppData/Local/Temp/OnboardLogs/RTDC4045 --include="*4045*201801050*"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"%USERPROFILE%\AppData\Local\Temp\OnboardLogs"\RTDC4045\*4045*201801050* &gt;&gt; 2018-01-04-SliceDisagreementCheck.txt</v>
      </c>
      <c r="AE11" s="144" t="str">
        <f t="shared" si="1"/>
        <v>start /low /b %USERPROFILE%\Documents\GitHub\eaglep3\Utilities\DownloadLogsFromS3.py --loco 4045 --day 2018-01-05</v>
      </c>
      <c r="AF11" s="1"/>
    </row>
    <row r="12" spans="1:32" x14ac:dyDescent="0.3">
      <c r="A12" s="31">
        <v>43104.721365740741</v>
      </c>
      <c r="B12" s="30" t="s">
        <v>573</v>
      </c>
      <c r="C12" s="30" t="s">
        <v>678</v>
      </c>
      <c r="D12" s="30" t="s">
        <v>49</v>
      </c>
      <c r="E12" s="30" t="s">
        <v>190</v>
      </c>
      <c r="F12" s="42">
        <v>400</v>
      </c>
      <c r="G12" s="42">
        <v>452</v>
      </c>
      <c r="H12" s="42">
        <v>17451</v>
      </c>
      <c r="I12" s="42">
        <v>18107</v>
      </c>
      <c r="J12" s="30" t="s">
        <v>191</v>
      </c>
      <c r="K12" s="42">
        <v>17867</v>
      </c>
      <c r="L12" s="131" t="s">
        <v>50</v>
      </c>
      <c r="M12" s="132">
        <f>CONVERT((I12-K12)/10000,"mi","ft")*IF(L12="Increasing Mileposts (1)",-1,1)</f>
        <v>-126.72</v>
      </c>
      <c r="N12" s="133" t="str">
        <f>VLOOKUP(C12,'Trips&amp;Operators'!$C$1:$G$99911,5,FALSE)</f>
        <v>ROBINSON KADDIBA</v>
      </c>
      <c r="O12" s="175" t="s">
        <v>178</v>
      </c>
      <c r="P12" s="239"/>
      <c r="Q12" s="30"/>
      <c r="R12" s="81" t="str">
        <f>VLOOKUP(C12,'Train Runs'!$A$13:$AE$10215,31,0)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S12" s="84" t="str">
        <f>VLOOKUP(C12,'Train Runs'!$A$13:$AE$10215,22,0)</f>
        <v>https://d0f6bd738d7f1b3e5a7ca70fe4ff75f0.us-east-1.aws.found.io/app/kibana#/discover/Steve-Slow-Train-Analysis-(2080s-and-2083s)?_g=(refreshInterval:(display:Off,pause:!f,section:0,value:0),time:(from:'2018-01-04T16:10:50-0700',mode:absolute,to:'2018-01-04T18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/stypes="*4034*201801050*" /stext=" 00:.+((SYSTEM_STATE.+slice.+state.+changed )|(ment ac)|(multiple cpu faults)|(system.+state.+changed )|(\[timeout)|(PRM\|1\|D)|(kpr)|(kdp)|(train st.+moving)|(\|lc)|(penalty))"</v>
      </c>
      <c r="U12" s="9" t="str">
        <f>MID(B12,13,4)</f>
        <v>4034</v>
      </c>
      <c r="V12" s="31">
        <f>A12-utc_offset/24</f>
        <v>43105.013032407405</v>
      </c>
      <c r="W12" s="45" t="str">
        <f>DetSubdiv(C12)</f>
        <v>EC</v>
      </c>
      <c r="X12" s="228">
        <f>VALUE(LEFT(C12,LEN(C12)-3))</f>
        <v>209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{"issue":{"subject":"","project_id":79,"tracker_id":40,"status_id":1,"priority_id":2,"assigned_to_id":338,"start_date":"2018-01-04","description":"","custom_fields":[{"id":1,"name":"Subdivision","value":"EC"},{"id":4,"name":"Milepost","value":"1.7867"},{"id":17,"name":"Train ID","value":"209-04"},{"id":16,"name":"Locomotive ID","value":"4034"},{"id":130,"name":"Impact","value":""},{"id":150,"name":"Time of Event (Mountain Time)","value":"17:18:46"},{"id":151,"name":"Denver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/c/Users/stu/AppData/Local/Temp/OnboardLogs/RTDC4034 --include="*4034*201801050*"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"%USERPROFILE%\AppData\Local\Temp\OnboardLogs"\RTDC4034\*4034*201801050* &gt;&gt; 2018-01-04-SliceDisagreementCheck.txt</v>
      </c>
      <c r="AE12" s="144" t="str">
        <f t="shared" si="1"/>
        <v>start /low /b %USERPROFILE%\Documents\GitHub\eaglep3\Utilities\DownloadLogsFromS3.py --loco 4034 --day 2018-01-05</v>
      </c>
      <c r="AF12" s="1"/>
    </row>
    <row r="13" spans="1:32" x14ac:dyDescent="0.3">
      <c r="A13" s="31">
        <v>43104.794398148151</v>
      </c>
      <c r="B13" s="30" t="s">
        <v>573</v>
      </c>
      <c r="C13" s="30" t="s">
        <v>681</v>
      </c>
      <c r="D13" s="30" t="s">
        <v>49</v>
      </c>
      <c r="E13" s="30" t="s">
        <v>190</v>
      </c>
      <c r="F13" s="42">
        <v>400</v>
      </c>
      <c r="G13" s="42">
        <v>555</v>
      </c>
      <c r="H13" s="42">
        <v>15797</v>
      </c>
      <c r="I13" s="42">
        <v>17931</v>
      </c>
      <c r="J13" s="30" t="s">
        <v>191</v>
      </c>
      <c r="K13" s="42">
        <v>17867</v>
      </c>
      <c r="L13" s="131" t="s">
        <v>50</v>
      </c>
      <c r="M13" s="132">
        <f>CONVERT((I13-K13)/10000,"mi","ft")*IF(L13="Increasing Mileposts (1)",-1,1)</f>
        <v>-33.792000000000002</v>
      </c>
      <c r="N13" s="133" t="str">
        <f>VLOOKUP(C13,'Trips&amp;Operators'!$C$1:$G$99911,5,FALSE)</f>
        <v>ANDERS STEVEN</v>
      </c>
      <c r="O13" s="175" t="s">
        <v>178</v>
      </c>
      <c r="P13" s="239"/>
      <c r="Q13" s="30"/>
      <c r="R13" s="81" t="str">
        <f>VLOOKUP(C13,'Train Runs'!$A$13:$AE$10215,31,0)</f>
        <v>aws s3 cp s3://rtdc.mdm.uploadarchive.raw/RTDC4034/ "%USERPROFILE%\AppData\Local\Temp\OnboardLogs"\RTDC4034\2018-01-04 --exclude "*" --recursive --include "*20180104*" &amp; "%USERPROFILE%\Documents\GitHub\mrs-test-scripts\Headless Mode &amp; Sideloading\WalkAndUnGZ.bat" "%USERPROFILE%\AppData\Local\Temp\OnboardLogs"\RTDC4034\2018-01-04 &amp; aws s3 cp s3://rtdc.mdm.uploadarchive.raw/RTDC4034/ "%USERPROFILE%\AppData\Local\Temp\OnboardLogs"\RTDC4034\2018-01-05 --exclude "*" --recursive --include "*20180105*" &amp; "%USERPROFILE%\Documents\GitHub\mrs-test-scripts\Headless Mode &amp; Sideloading\WalkAndUnGZ.bat" "%USERPROFILE%\AppData\Local\Temp\OnboardLogs"\RTDC4034\2018-01-05</v>
      </c>
      <c r="S13" s="84" t="str">
        <f>VLOOKUP(C13,'Train Runs'!$A$13:$AE$10215,22,0)</f>
        <v>https://d0f6bd738d7f1b3e5a7ca70fe4ff75f0.us-east-1.aws.found.io/app/kibana#/discover/Steve-Slow-Train-Analysis-(2080s-and-2083s)?_g=(refreshInterval:(display:Off,pause:!f,section:0,value:0),time:(from:'2018-01-04T17:54:51-0700',mode:absolute,to:'2018-01-04T20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/stypes="*4034*201801050*" /stext=" 02:.+((SYSTEM_STATE.+slice.+state.+changed )|(ment ac)|(multiple cpu faults)|(system.+state.+changed )|(\[timeout)|(PRM\|1\|D)|(kpr)|(kdp)|(train st.+moving)|(\|lc)|(penalty))"</v>
      </c>
      <c r="U13" s="9" t="str">
        <f>MID(B13,13,4)</f>
        <v>4034</v>
      </c>
      <c r="V13" s="31">
        <f>A13-utc_offset/24</f>
        <v>43105.086064814815</v>
      </c>
      <c r="W13" s="45" t="str">
        <f>DetSubdiv(C13)</f>
        <v>EC</v>
      </c>
      <c r="X13" s="228">
        <f>VALUE(LEFT(C13,LEN(C13)-3))</f>
        <v>221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{"issue":{"subject":"","project_id":79,"tracker_id":40,"status_id":1,"priority_id":2,"assigned_to_id":338,"start_date":"2018-01-04","description":"","custom_fields":[{"id":1,"name":"Subdivision","value":"EC"},{"id":4,"name":"Milepost","value":"1.7867"},{"id":17,"name":"Train ID","value":"221-04"},{"id":16,"name":"Locomotive ID","value":"4034"},{"id":130,"name":"Impact","value":""},{"id":150,"name":"Time of Event (Mountain Time)","value":"19:03:56"},{"id":151,"name":"Denver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/c/Users/stu/AppData/Local/Temp/OnboardLogs/RTDC4034 --include="*4034*201801050*"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"%USERPROFILE%\AppData\Local\Temp\OnboardLogs"\RTDC4034\*4034*201801050* &gt;&gt; 2018-01-04-SliceDisagreementCheck.txt</v>
      </c>
      <c r="AE13" s="144" t="str">
        <f t="shared" si="1"/>
        <v>start /low /b %USERPROFILE%\Documents\GitHub\eaglep3\Utilities\DownloadLogsFromS3.py --loco 4034 --day 2018-01-05</v>
      </c>
      <c r="AF13" s="1"/>
    </row>
    <row r="14" spans="1:32" x14ac:dyDescent="0.3">
      <c r="A14" s="31">
        <v>43104.666319444441</v>
      </c>
      <c r="B14" s="30" t="s">
        <v>676</v>
      </c>
      <c r="C14" s="30" t="s">
        <v>677</v>
      </c>
      <c r="D14" s="30" t="s">
        <v>49</v>
      </c>
      <c r="E14" s="30" t="s">
        <v>190</v>
      </c>
      <c r="F14" s="42">
        <v>300</v>
      </c>
      <c r="G14" s="42">
        <v>352</v>
      </c>
      <c r="H14" s="42">
        <v>22812</v>
      </c>
      <c r="I14" s="42">
        <v>21930</v>
      </c>
      <c r="J14" s="30" t="s">
        <v>191</v>
      </c>
      <c r="K14" s="42">
        <v>21848</v>
      </c>
      <c r="L14" s="131" t="s">
        <v>51</v>
      </c>
      <c r="M14" s="132">
        <f>CONVERT((I14-K14)/10000,"mi","ft")*IF(L14="Increasing Mileposts (1)",-1,1)</f>
        <v>43.296000000000006</v>
      </c>
      <c r="N14" s="133" t="str">
        <f>VLOOKUP(C14,'Trips&amp;Operators'!$C$1:$G$99911,5,FALSE)</f>
        <v>HOLCOMB KAMDEN</v>
      </c>
      <c r="O14" s="175" t="s">
        <v>178</v>
      </c>
      <c r="P14" s="239"/>
      <c r="Q14" s="30"/>
      <c r="R14" s="81" t="str">
        <f>VLOOKUP(C14,'Train Runs'!$A$13:$AE$10215,31,0)</f>
        <v>aws s3 cp s3://rtdc.mdm.uploadarchive.raw/RTDC4043/ "%USERPROFILE%\AppData\Local\Temp\OnboardLogs"\RTDC4043\2018-01-04 --exclude "*" --recursive --include "*20180104*" &amp; "%USERPROFILE%\Documents\GitHub\mrs-test-scripts\Headless Mode &amp; Sideloading\WalkAndUnGZ.bat" "%USERPROFILE%\AppData\Local\Temp\OnboardLogs"\RTDC4043\2018-01-04 &amp; aws s3 cp s3://rtdc.mdm.uploadarchive.raw/RTDC4043/ "%USERPROFILE%\AppData\Local\Temp\OnboardLogs"\RTDC4043\2018-01-05 --exclude "*" --recursive --include "*20180105*" &amp; "%USERPROFILE%\Documents\GitHub\mrs-test-scripts\Headless Mode &amp; Sideloading\WalkAndUnGZ.bat" "%USERPROFILE%\AppData\Local\Temp\OnboardLogs"\RTDC4043\2018-01-05</v>
      </c>
      <c r="S14" s="84" t="str">
        <f>VLOOKUP(C14,'Train Runs'!$A$13:$AE$10215,22,0)</f>
        <v>https://d0f6bd738d7f1b3e5a7ca70fe4ff75f0.us-east-1.aws.found.io/app/kibana#/discover/Steve-Slow-Train-Analysis-(2080s-and-2083s)?_g=(refreshInterval:(display:Off,pause:!f,section:0,value:0),time:(from:'2018-01-04T14:22:12-0700',mode:absolute,to:'2018-01-04T17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/stypes="*4043*201801042*" /stext=" 22:.+((SYSTEM_STATE.+slice.+state.+changed )|(ment ac)|(multiple cpu faults)|(system.+state.+changed )|(\[timeout)|(PRM\|1\|D)|(kpr)|(kdp)|(train st.+moving)|(\|lc)|(penalty))"</v>
      </c>
      <c r="U14" s="9" t="str">
        <f>MID(B14,13,4)</f>
        <v>4043</v>
      </c>
      <c r="V14" s="31">
        <f>A14-utc_offset/24</f>
        <v>43104.957986111105</v>
      </c>
      <c r="W14" s="45" t="str">
        <f>DetSubdiv(C14)</f>
        <v>EC</v>
      </c>
      <c r="X14" s="228">
        <f>VALUE(LEFT(C14,LEN(C14)-3))</f>
        <v>188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{"issue":{"subject":"","project_id":79,"tracker_id":40,"status_id":1,"priority_id":2,"assigned_to_id":338,"start_date":"2018-01-04","description":"","custom_fields":[{"id":1,"name":"Subdivision","value":"EC"},{"id":4,"name":"Milepost","value":"2.1848"},{"id":17,"name":"Train ID","value":"188-04"},{"id":16,"name":"Locomotive ID","value":"4043"},{"id":130,"name":"Impact","value":""},{"id":150,"name":"Time of Event (Mountain Time)","value":"15:59:30"},{"id":151,"name":"Denver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/c/Users/stu/AppData/Local/Temp/OnboardLogs/RTDC4043 --include="*4043*201801042*"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"%USERPROFILE%\AppData\Local\Temp\OnboardLogs"\RTDC4043\*4043*201801042* &gt;&gt; 2018-01-04-SliceDisagreementCheck.txt</v>
      </c>
      <c r="AE14" s="144" t="str">
        <f t="shared" si="1"/>
        <v>start /low /b %USERPROFILE%\Documents\GitHub\eaglep3\Utilities\DownloadLogsFromS3.py --loco 4043 --day 2018-01-04</v>
      </c>
      <c r="AF14" s="1"/>
    </row>
    <row r="15" spans="1:32" x14ac:dyDescent="0.3">
      <c r="A15" s="31">
        <v>43104.280057870368</v>
      </c>
      <c r="B15" s="30" t="s">
        <v>362</v>
      </c>
      <c r="C15" s="30" t="s">
        <v>659</v>
      </c>
      <c r="D15" s="30" t="s">
        <v>49</v>
      </c>
      <c r="E15" s="30" t="s">
        <v>190</v>
      </c>
      <c r="F15" s="42">
        <v>400</v>
      </c>
      <c r="G15" s="42">
        <v>482</v>
      </c>
      <c r="H15" s="42">
        <v>121094</v>
      </c>
      <c r="I15" s="42">
        <v>119574</v>
      </c>
      <c r="J15" s="30" t="s">
        <v>191</v>
      </c>
      <c r="K15" s="42">
        <v>119716</v>
      </c>
      <c r="L15" s="131" t="s">
        <v>51</v>
      </c>
      <c r="M15" s="132">
        <f>CONVERT((I15-K15)/10000,"mi","ft")*IF(L15="Increasing Mileposts (1)",-1,1)</f>
        <v>-74.975999999999999</v>
      </c>
      <c r="N15" s="133" t="str">
        <f>VLOOKUP(C15,'Trips&amp;Operators'!$C$1:$G$99911,5,FALSE)</f>
        <v>STARKS ANGELINA</v>
      </c>
      <c r="O15" s="175" t="s">
        <v>178</v>
      </c>
      <c r="P15" s="239"/>
      <c r="Q15" s="30"/>
      <c r="R15" s="81" t="str">
        <f>VLOOKUP(C15,'Train Runs'!$A$13:$AE$10215,31,0)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S15" s="84" t="str">
        <f>VLOOKUP(C15,'Train Runs'!$A$13:$AE$10215,22,0)</f>
        <v>https://d0f6bd738d7f1b3e5a7ca70fe4ff75f0.us-east-1.aws.found.io/app/kibana#/discover/Steve-Slow-Train-Analysis-(2080s-and-2083s)?_g=(refreshInterval:(display:Off,pause:!f,section:0,value:0),time:(from:'2018-01-04T05:12:00-0700',mode:absolute,to:'2018-01-04T08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/stypes="*4017*201801041*" /stext=" 13:.+((SYSTEM_STATE.+slice.+state.+changed )|(ment ac)|(multiple cpu faults)|(system.+state.+changed )|(\[timeout)|(PRM\|1\|D)|(kpr)|(kdp)|(train st.+moving)|(\|lc)|(penalty))"</v>
      </c>
      <c r="U15" s="9" t="str">
        <f>MID(B15,13,4)</f>
        <v>4017</v>
      </c>
      <c r="V15" s="31">
        <f>A15-utc_offset/24</f>
        <v>43104.571724537032</v>
      </c>
      <c r="W15" s="45" t="str">
        <f>DetSubdiv(C15)</f>
        <v>EC</v>
      </c>
      <c r="X15" s="228">
        <f>VALUE(LEFT(C15,LEN(C15)-3))</f>
        <v>116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{"issue":{"subject":"","project_id":79,"tracker_id":40,"status_id":1,"priority_id":2,"assigned_to_id":338,"start_date":"2018-01-04","description":"","custom_fields":[{"id":1,"name":"Subdivision","value":"EC"},{"id":4,"name":"Milepost","value":"11.9716"},{"id":17,"name":"Train ID","value":"116-04"},{"id":16,"name":"Locomotive ID","value":"4017"},{"id":130,"name":"Impact","value":""},{"id":150,"name":"Time of Event (Mountain Time)","value":"06:43:17"},{"id":151,"name":"Denver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/c/Users/stu/AppData/Local/Temp/OnboardLogs/RTDC4017 --include="*4017*201801041*"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"%USERPROFILE%\AppData\Local\Temp\OnboardLogs"\RTDC4017\*4017*201801041* &gt;&gt; 2018-01-04-SliceDisagreementCheck.txt</v>
      </c>
      <c r="AE15" s="144" t="str">
        <f t="shared" si="1"/>
        <v>start /low /b %USERPROFILE%\Documents\GitHub\eaglep3\Utilities\DownloadLogsFromS3.py --loco 4017 --day 2018-01-04</v>
      </c>
      <c r="AF15" s="1"/>
    </row>
    <row r="16" spans="1:32" x14ac:dyDescent="0.3">
      <c r="A16" s="31">
        <v>43104.550439814811</v>
      </c>
      <c r="B16" s="30" t="s">
        <v>510</v>
      </c>
      <c r="C16" s="30" t="s">
        <v>668</v>
      </c>
      <c r="D16" s="30" t="s">
        <v>49</v>
      </c>
      <c r="E16" s="30" t="s">
        <v>190</v>
      </c>
      <c r="F16" s="42">
        <v>400</v>
      </c>
      <c r="G16" s="42">
        <v>527</v>
      </c>
      <c r="H16" s="42">
        <v>121486</v>
      </c>
      <c r="I16" s="42">
        <v>119895</v>
      </c>
      <c r="J16" s="30" t="s">
        <v>191</v>
      </c>
      <c r="K16" s="42">
        <v>119716</v>
      </c>
      <c r="L16" s="131" t="s">
        <v>51</v>
      </c>
      <c r="M16" s="132">
        <f>CONVERT((I16-K16)/10000,"mi","ft")*IF(L16="Increasing Mileposts (1)",-1,1)</f>
        <v>94.512</v>
      </c>
      <c r="N16" s="133" t="str">
        <f>VLOOKUP(C16,'Trips&amp;Operators'!$C$1:$G$99911,5,FALSE)</f>
        <v>ROBINSON KADDIBA</v>
      </c>
      <c r="O16" s="175" t="s">
        <v>178</v>
      </c>
      <c r="P16" s="239"/>
      <c r="Q16" s="30"/>
      <c r="R16" s="81" t="str">
        <f>VLOOKUP(C16,'Train Runs'!$A$13:$AE$10215,31,0)</f>
        <v>aws s3 cp s3://rtdc.mdm.uploadarchive.raw/RTDC4033/ "%USERPROFILE%\AppData\Local\Temp\OnboardLogs"\RTDC4033\2018-01-04 --exclude "*" --recursive --include "*20180104*" &amp; "%USERPROFILE%\Documents\GitHub\mrs-test-scripts\Headless Mode &amp; Sideloading\WalkAndUnGZ.bat" "%USERPROFILE%\AppData\Local\Temp\OnboardLogs"\RTDC4033\2018-01-04 &amp; aws s3 cp s3://rtdc.mdm.uploadarchive.raw/RTDC4033/ "%USERPROFILE%\AppData\Local\Temp\OnboardLogs"\RTDC4033\2018-01-05 --exclude "*" --recursive --include "*20180105*" &amp; "%USERPROFILE%\Documents\GitHub\mrs-test-scripts\Headless Mode &amp; Sideloading\WalkAndUnGZ.bat" "%USERPROFILE%\AppData\Local\Temp\OnboardLogs"\RTDC4033\2018-01-05</v>
      </c>
      <c r="S16" s="84" t="str">
        <f>VLOOKUP(C16,'Train Runs'!$A$13:$AE$10215,22,0)</f>
        <v>https://d0f6bd738d7f1b3e5a7ca70fe4ff75f0.us-east-1.aws.found.io/app/kibana#/discover/Steve-Slow-Train-Analysis-(2080s-and-2083s)?_g=(refreshInterval:(display:Off,pause:!f,section:0,value:0),time:(from:'2018-01-04T11:51:28-0700',mode:absolute,to:'2018-01-04T14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/stypes="*4033*201801042*" /stext=" 20:.+((SYSTEM_STATE.+slice.+state.+changed )|(ment ac)|(multiple cpu faults)|(system.+state.+changed )|(\[timeout)|(PRM\|1\|D)|(kpr)|(kdp)|(train st.+moving)|(\|lc)|(penalty))"</v>
      </c>
      <c r="U16" s="9" t="str">
        <f>MID(B16,13,4)</f>
        <v>4033</v>
      </c>
      <c r="V16" s="31">
        <f>A16-utc_offset/24</f>
        <v>43104.842106481476</v>
      </c>
      <c r="W16" s="45" t="str">
        <f>DetSubdiv(C16)</f>
        <v>EC</v>
      </c>
      <c r="X16" s="228">
        <f>VALUE(LEFT(C16,LEN(C16)-3))</f>
        <v>168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{"issue":{"subject":"","project_id":79,"tracker_id":40,"status_id":1,"priority_id":2,"assigned_to_id":338,"start_date":"2018-01-04","description":"","custom_fields":[{"id":1,"name":"Subdivision","value":"EC"},{"id":4,"name":"Milepost","value":"11.9716"},{"id":17,"name":"Train ID","value":"168-04"},{"id":16,"name":"Locomotive ID","value":"4033"},{"id":130,"name":"Impact","value":""},{"id":150,"name":"Time of Event (Mountain Time)","value":"13:12:38"},{"id":151,"name":"Denver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/c/Users/stu/AppData/Local/Temp/OnboardLogs/RTDC4033 --include="*4033*201801042*"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"%USERPROFILE%\AppData\Local\Temp\OnboardLogs"\RTDC4033\*4033*201801042* &gt;&gt; 2018-01-04-SliceDisagreementCheck.txt</v>
      </c>
      <c r="AE16" s="144" t="str">
        <f t="shared" si="1"/>
        <v>start /low /b %USERPROFILE%\Documents\GitHub\eaglep3\Utilities\DownloadLogsFromS3.py --loco 4033 --day 2018-01-04</v>
      </c>
      <c r="AF16" s="1"/>
    </row>
    <row r="17" spans="1:32" x14ac:dyDescent="0.3">
      <c r="A17" s="31">
        <v>43104.543090277781</v>
      </c>
      <c r="B17" s="30" t="s">
        <v>532</v>
      </c>
      <c r="C17" s="30" t="s">
        <v>667</v>
      </c>
      <c r="D17" s="30" t="s">
        <v>49</v>
      </c>
      <c r="E17" s="30" t="s">
        <v>501</v>
      </c>
      <c r="F17" s="42">
        <v>0</v>
      </c>
      <c r="G17" s="42">
        <v>452</v>
      </c>
      <c r="H17" s="42">
        <v>12212</v>
      </c>
      <c r="I17" s="42">
        <v>0</v>
      </c>
      <c r="J17" s="30" t="s">
        <v>502</v>
      </c>
      <c r="K17" s="42">
        <v>11880</v>
      </c>
      <c r="L17" s="131" t="s">
        <v>51</v>
      </c>
      <c r="M17" s="132">
        <f>CONVERT((I17-K17)/10000,"mi","ft")*IF(L17="Increasing Mileposts (1)",-1,1)</f>
        <v>-6272.64</v>
      </c>
      <c r="N17" s="133" t="str">
        <f>VLOOKUP(C17,'Trips&amp;Operators'!$C$1:$G$99911,5,FALSE)</f>
        <v>STEWART MICHAEL</v>
      </c>
      <c r="O17" s="175" t="s">
        <v>348</v>
      </c>
      <c r="P17" s="239" t="s">
        <v>464</v>
      </c>
      <c r="Q17" s="30"/>
      <c r="R17" s="81" t="str">
        <f>VLOOKUP(C17,'Train Runs'!$A$13:$AE$10215,31,0)</f>
        <v>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 &amp; aws s3 cp s3://rtdc.mdm.uploadarchive.raw/RTDC4063/ "%USERPROFILE%\AppData\Local\Temp\OnboardLogs"\RTDC4063\2018-01-05 --exclude "*" --recursive --include "*20180105*" &amp; "%USERPROFILE%\Documents\GitHub\mrs-test-scripts\Headless Mode &amp; Sideloading\WalkAndUnGZ.bat" "%USERPROFILE%\AppData\Local\Temp\OnboardLogs"\RTDC4063\2018-01-05</v>
      </c>
      <c r="S17" s="84" t="str">
        <f>VLOOKUP(C17,'Train Runs'!$A$13:$AE$10215,22,0)</f>
        <v>https://d0f6bd738d7f1b3e5a7ca70fe4ff75f0.us-east-1.aws.found.io/app/kibana#/discover/Steve-Slow-Train-Analysis-(2080s-and-2083s)?_g=(refreshInterval:(display:Off,pause:!f,section:0,value:0),time:(from:'2018-01-04T11:20:17-0700',mode:absolute,to:'2018-01-04T14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/stypes="*4063*201801042*" /stext=" 20:.+((SYSTEM_STATE.+slice.+state.+changed )|(ment ac)|(multiple cpu faults)|(system.+state.+changed )|(\[timeout)|(PRM\|1\|D)|(kpr)|(kdp)|(train st.+moving)|(\|lc)|(penalty))"</v>
      </c>
      <c r="U17" s="9" t="str">
        <f>MID(B17,13,4)</f>
        <v>4063</v>
      </c>
      <c r="V17" s="31">
        <f>A17-utc_offset/24</f>
        <v>43104.834756944445</v>
      </c>
      <c r="W17" s="45" t="str">
        <f>DetSubdiv(C17)</f>
        <v>EC</v>
      </c>
      <c r="X17" s="228">
        <f>VALUE(LEFT(C17,LEN(C17)-3))</f>
        <v>164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drop","project_id":79,"tracker_id":40,"status_id":1,"priority_id":2,"assigned_to_id":338,"start_date":"2018-01-04","description":"","custom_fields":[{"id":1,"name":"Subdivision","value":"EC"},{"id":4,"name":"Milepost","value":"1.188"},{"id":17,"name":"Train ID","value":"164-04"},{"id":16,"name":"Locomotive ID","value":"4063"},{"id":130,"name":"Impact","value":""},{"id":150,"name":"Time of Event (Mountain Time)","value":"13:02:03"},{"id":151,"name":"Denver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/c/Users/stu/AppData/Local/Temp/OnboardLogs/RTDC4063 --include="*4063*201801042*"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"%USERPROFILE%\AppData\Local\Temp\OnboardLogs"\RTDC4063\*4063*201801042* &gt;&gt; 2018-01-04-SliceDisagreementCheck.txt</v>
      </c>
      <c r="AE17" s="144" t="str">
        <f t="shared" si="1"/>
        <v>start /low /b %USERPROFILE%\Documents\GitHub\eaglep3\Utilities\DownloadLogsFromS3.py --loco 4063 --day 2018-01-04</v>
      </c>
      <c r="AF17" s="1"/>
    </row>
    <row r="18" spans="1:32" x14ac:dyDescent="0.3">
      <c r="A18" s="31">
        <v>43104.229479166665</v>
      </c>
      <c r="B18" s="30" t="s">
        <v>657</v>
      </c>
      <c r="C18" s="30" t="s">
        <v>658</v>
      </c>
      <c r="D18" s="30" t="s">
        <v>49</v>
      </c>
      <c r="E18" s="30" t="s">
        <v>501</v>
      </c>
      <c r="F18" s="42">
        <v>0</v>
      </c>
      <c r="G18" s="42">
        <v>638</v>
      </c>
      <c r="H18" s="42">
        <v>104948</v>
      </c>
      <c r="I18" s="42">
        <v>101807</v>
      </c>
      <c r="J18" s="30" t="s">
        <v>502</v>
      </c>
      <c r="K18" s="42">
        <v>104776</v>
      </c>
      <c r="L18" s="131" t="s">
        <v>51</v>
      </c>
      <c r="M18" s="132">
        <f>CONVERT((I18-K18)/10000,"mi","ft")*IF(L18="Increasing Mileposts (1)",-1,1)</f>
        <v>-1567.6320000000001</v>
      </c>
      <c r="N18" s="133" t="str">
        <f>VLOOKUP(C18,'Trips&amp;Operators'!$C$1:$G$99911,5,FALSE)</f>
        <v>LONG FULLER</v>
      </c>
      <c r="O18" s="175" t="s">
        <v>348</v>
      </c>
      <c r="P18" s="239" t="s">
        <v>464</v>
      </c>
      <c r="Q18" s="30"/>
      <c r="R18" s="81" t="str">
        <f>VLOOKUP(C18,'Train Runs'!$A$13:$AE$10215,31,0)</f>
        <v>aws s3 cp s3://rtdc.mdm.uploadarchive.raw/RTDC4045/ "%USERPROFILE%\AppData\Local\Temp\OnboardLogs"\RTDC4045\2018-01-04 --exclude "*" --recursive --include "*20180104*" &amp; "%USERPROFILE%\Documents\GitHub\mrs-test-scripts\Headless Mode &amp; Sideloading\WalkAndUnGZ.bat" "%USERPROFILE%\AppData\Local\Temp\OnboardLogs"\RTDC4045\2018-01-04 &amp; aws s3 cp s3://rtdc.mdm.uploadarchive.raw/RTDC4045/ "%USERPROFILE%\AppData\Local\Temp\OnboardLogs"\RTDC4045\2018-01-05 --exclude "*" --recursive --include "*20180105*" &amp; "%USERPROFILE%\Documents\GitHub\mrs-test-scripts\Headless Mode &amp; Sideloading\WalkAndUnGZ.bat" "%USERPROFILE%\AppData\Local\Temp\OnboardLogs"\RTDC4045\2018-01-05</v>
      </c>
      <c r="S18" s="84" t="str">
        <f>VLOOKUP(C18,'Train Runs'!$A$13:$AE$10215,22,0)</f>
        <v>https://d0f6bd738d7f1b3e5a7ca70fe4ff75f0.us-east-1.aws.found.io/app/kibana#/discover/Steve-Slow-Train-Analysis-(2080s-and-2083s)?_g=(refreshInterval:(display:Off,pause:!f,section:0,value:0),time:(from:'2018-01-04T04:02:13-0700',mode:absolute,to:'2018-01-04T06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/stypes="*4045*201801041*" /stext=" 12:.+((SYSTEM_STATE.+slice.+state.+changed )|(ment ac)|(multiple cpu faults)|(system.+state.+changed )|(\[timeout)|(PRM\|1\|D)|(kpr)|(kdp)|(train st.+moving)|(\|lc)|(penalty))"</v>
      </c>
      <c r="U18" s="9" t="str">
        <f>MID(B18,13,4)</f>
        <v>4045</v>
      </c>
      <c r="V18" s="31">
        <f>A18-utc_offset/24</f>
        <v>43104.521145833329</v>
      </c>
      <c r="W18" s="45" t="str">
        <f>DetSubdiv(C18)</f>
        <v>EC</v>
      </c>
      <c r="X18" s="228">
        <f>VALUE(LEFT(C18,LEN(C18)-3))</f>
        <v>106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drop","project_id":79,"tracker_id":40,"status_id":1,"priority_id":2,"assigned_to_id":338,"start_date":"2018-01-04","description":"","custom_fields":[{"id":1,"name":"Subdivision","value":"EC"},{"id":4,"name":"Milepost","value":"10.4776"},{"id":17,"name":"Train ID","value":"106-04"},{"id":16,"name":"Locomotive ID","value":"4045"},{"id":130,"name":"Impact","value":""},{"id":150,"name":"Time of Event (Mountain Time)","value":"05:30:27"},{"id":151,"name":"Denver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/c/Users/stu/AppData/Local/Temp/OnboardLogs/RTDC4045 --include="*4045*201801041*"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"%USERPROFILE%\AppData\Local\Temp\OnboardLogs"\RTDC4045\*4045*201801041* &gt;&gt; 2018-01-04-SliceDisagreementCheck.txt</v>
      </c>
      <c r="AE18" s="144" t="str">
        <f t="shared" si="1"/>
        <v>start /low /b %USERPROFILE%\Documents\GitHub\eaglep3\Utilities\DownloadLogsFromS3.py --loco 4045 --day 2018-01-04</v>
      </c>
      <c r="AF18" s="1"/>
    </row>
    <row r="19" spans="1:32" x14ac:dyDescent="0.3">
      <c r="A19" s="31">
        <v>43104.394953703704</v>
      </c>
      <c r="B19" s="30" t="s">
        <v>449</v>
      </c>
      <c r="C19" s="30" t="s">
        <v>662</v>
      </c>
      <c r="D19" s="30" t="s">
        <v>49</v>
      </c>
      <c r="E19" s="30" t="s">
        <v>501</v>
      </c>
      <c r="F19" s="42">
        <v>0</v>
      </c>
      <c r="G19" s="42">
        <v>430</v>
      </c>
      <c r="H19" s="42">
        <v>110683</v>
      </c>
      <c r="I19" s="42">
        <v>109396</v>
      </c>
      <c r="J19" s="30" t="s">
        <v>502</v>
      </c>
      <c r="K19" s="42">
        <v>110617</v>
      </c>
      <c r="L19" s="131" t="s">
        <v>51</v>
      </c>
      <c r="M19" s="132">
        <f>CONVERT((I19-K19)/10000,"mi","ft")*IF(L19="Increasing Mileposts (1)",-1,1)</f>
        <v>-644.68799999999999</v>
      </c>
      <c r="N19" s="133" t="str">
        <f>VLOOKUP(C19,'Trips&amp;Operators'!$C$1:$G$99911,5,FALSE)</f>
        <v>WILLIAMS DONTE</v>
      </c>
      <c r="O19" s="175" t="s">
        <v>348</v>
      </c>
      <c r="P19" s="239" t="s">
        <v>464</v>
      </c>
      <c r="Q19" s="30"/>
      <c r="R19" s="81" t="str">
        <f>VLOOKUP(C19,'Train Runs'!$A$13:$AE$10215,31,0)</f>
        <v>aws s3 cp s3://rtdc.mdm.uploadarchive.raw/RTDC4051/ "%USERPROFILE%\AppData\Local\Temp\OnboardLogs"\RTDC4051\2018-01-04 --exclude "*" --recursive --include "*20180104*" &amp; "%USERPROFILE%\Documents\GitHub\mrs-test-scripts\Headless Mode &amp; Sideloading\WalkAndUnGZ.bat" "%USERPROFILE%\AppData\Local\Temp\OnboardLogs"\RTDC4051\2018-01-04 &amp; aws s3 cp s3://rtdc.mdm.uploadarchive.raw/RTDC4051/ "%USERPROFILE%\AppData\Local\Temp\OnboardLogs"\RTDC4051\2018-01-05 --exclude "*" --recursive --include "*20180105*" &amp; "%USERPROFILE%\Documents\GitHub\mrs-test-scripts\Headless Mode &amp; Sideloading\WalkAndUnGZ.bat" "%USERPROFILE%\AppData\Local\Temp\OnboardLogs"\RTDC4051\2018-01-05</v>
      </c>
      <c r="S19" s="84" t="str">
        <f>VLOOKUP(C19,'Train Runs'!$A$13:$AE$10215,22,0)</f>
        <v>https://d0f6bd738d7f1b3e5a7ca70fe4ff75f0.us-east-1.aws.found.io/app/kibana#/discover/Steve-Slow-Train-Analysis-(2080s-and-2083s)?_g=(refreshInterval:(display:Off,pause:!f,section:0,value:0),time:(from:'2018-01-04T08:03:07-0700',mode:absolute,to:'2018-01-04T10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/stypes="*4051*201801041*" /stext=" 16:.+((SYSTEM_STATE.+slice.+state.+changed )|(ment ac)|(multiple cpu faults)|(system.+state.+changed )|(\[timeout)|(PRM\|1\|D)|(kpr)|(kdp)|(train st.+moving)|(\|lc)|(penalty))"</v>
      </c>
      <c r="U19" s="9" t="str">
        <f>MID(B19,13,4)</f>
        <v>4051</v>
      </c>
      <c r="V19" s="31">
        <f>A19-utc_offset/24</f>
        <v>43104.686620370368</v>
      </c>
      <c r="W19" s="45" t="str">
        <f>DetSubdiv(C19)</f>
        <v>EC</v>
      </c>
      <c r="X19" s="228">
        <f>VALUE(LEFT(C19,LEN(C19)-3))</f>
        <v>138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drop","project_id":79,"tracker_id":40,"status_id":1,"priority_id":2,"assigned_to_id":338,"start_date":"2018-01-04","description":"","custom_fields":[{"id":1,"name":"Subdivision","value":"EC"},{"id":4,"name":"Milepost","value":"11.0617"},{"id":17,"name":"Train ID","value":"138-04"},{"id":16,"name":"Locomotive ID","value":"4051"},{"id":130,"name":"Impact","value":""},{"id":150,"name":"Time of Event (Mountain Time)","value":"09:28:44"},{"id":151,"name":"Denver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/c/Users/stu/AppData/Local/Temp/OnboardLogs/RTDC4051 --include="*4051*201801041*"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"%USERPROFILE%\AppData\Local\Temp\OnboardLogs"\RTDC4051\*4051*201801041* &gt;&gt; 2018-01-04-SliceDisagreementCheck.txt</v>
      </c>
      <c r="AE19" s="144" t="str">
        <f t="shared" si="1"/>
        <v>start /low /b %USERPROFILE%\Documents\GitHub\eaglep3\Utilities\DownloadLogsFromS3.py --loco 4051 --day 2018-01-04</v>
      </c>
      <c r="AF19" s="1"/>
    </row>
    <row r="20" spans="1:32" x14ac:dyDescent="0.3">
      <c r="A20" s="31">
        <v>43104.743275462963</v>
      </c>
      <c r="B20" s="30" t="s">
        <v>672</v>
      </c>
      <c r="C20" s="30" t="s">
        <v>680</v>
      </c>
      <c r="D20" s="30" t="s">
        <v>49</v>
      </c>
      <c r="E20" s="30" t="s">
        <v>183</v>
      </c>
      <c r="F20" s="42">
        <v>340</v>
      </c>
      <c r="G20" s="42">
        <v>587</v>
      </c>
      <c r="H20" s="42">
        <v>14303</v>
      </c>
      <c r="I20" s="42">
        <v>12352</v>
      </c>
      <c r="J20" s="30" t="s">
        <v>184</v>
      </c>
      <c r="K20" s="42">
        <v>10988</v>
      </c>
      <c r="L20" s="131" t="s">
        <v>51</v>
      </c>
      <c r="M20" s="132">
        <f>CONVERT((I20-K20)/10000,"mi","ft")*IF(L20="Increasing Mileposts (1)",-1,1)</f>
        <v>720.19200000000001</v>
      </c>
      <c r="N20" s="133" t="str">
        <f>VLOOKUP(C20,'Trips&amp;Operators'!$C$1:$G$99911,5,FALSE)</f>
        <v>STAMBAUGH JAMES</v>
      </c>
      <c r="O20" s="175" t="s">
        <v>178</v>
      </c>
      <c r="P20" s="239" t="s">
        <v>482</v>
      </c>
      <c r="Q20" s="30"/>
      <c r="R20" s="81" t="str">
        <f>VLOOKUP(C20,'Train Runs'!$A$13:$AE$10215,31,0)</f>
        <v>aws s3 cp s3://rtdc.mdm.uploadarchive.raw/RTDC4015/ "%USERPROFILE%\AppData\Local\Temp\OnboardLogs"\RTDC4015\2018-01-04 --exclude "*" --recursive --include "*20180104*" &amp; "%USERPROFILE%\Documents\GitHub\mrs-test-scripts\Headless Mode &amp; Sideloading\WalkAndUnGZ.bat" "%USERPROFILE%\AppData\Local\Temp\OnboardLogs"\RTDC4015\2018-01-04 &amp; aws s3 cp s3://rtdc.mdm.uploadarchive.raw/RTDC4015/ "%USERPROFILE%\AppData\Local\Temp\OnboardLogs"\RTDC4015\2018-01-05 --exclude "*" --recursive --include "*20180105*" &amp; "%USERPROFILE%\Documents\GitHub\mrs-test-scripts\Headless Mode &amp; Sideloading\WalkAndUnGZ.bat" "%USERPROFILE%\AppData\Local\Temp\OnboardLogs"\RTDC4015\2018-01-05</v>
      </c>
      <c r="S20" s="84" t="str">
        <f>VLOOKUP(C20,'Train Runs'!$A$13:$AE$10215,22,0)</f>
        <v>https://d0f6bd738d7f1b3e5a7ca70fe4ff75f0.us-east-1.aws.found.io/app/kibana#/discover/Steve-Slow-Train-Analysis-(2080s-and-2083s)?_g=(refreshInterval:(display:Off,pause:!f,section:0,value:0),time:(from:'2018-01-04T16:25:41-0700',mode:absolute,to:'2018-01-04T18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/stypes="*4015*201801050*" /stext=" 00:.+((SYSTEM_STATE.+slice.+state.+changed )|(ment ac)|(multiple cpu faults)|(system.+state.+changed )|(\[timeout)|(PRM\|1\|D)|(kpr)|(kdp)|(train st.+moving)|(\|lc)|(penalty))"</v>
      </c>
      <c r="U20" s="9" t="str">
        <f>MID(B20,13,4)</f>
        <v>4015</v>
      </c>
      <c r="V20" s="31">
        <f>A20-utc_offset/24</f>
        <v>43105.034942129627</v>
      </c>
      <c r="W20" s="45" t="str">
        <f>DetSubdiv(C20)</f>
        <v>NW</v>
      </c>
      <c r="X20" s="228">
        <f>VALUE(LEFT(C20,LEN(C20)-3))</f>
        <v>834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Arrival","project_id":79,"tracker_id":40,"status_id":1,"priority_id":2,"assigned_to_id":338,"start_date":"2018-01-04","description":"","custom_fields":[{"id":1,"name":"Subdivision","value":"NW"},{"id":4,"name":"Milepost","value":"1.0988"},{"id":17,"name":"Train ID","value":"834-04"},{"id":16,"name":"Locomotive ID","value":"4015"},{"id":130,"name":"Impact","value":""},{"id":150,"name":"Time of Event (Mountain Time)","value":"17:50:19"},{"id":151,"name":"Denver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/c/Users/stu/AppData/Local/Temp/OnboardLogs/RTDC4015 --include="*4015*201801050*"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"%USERPROFILE%\AppData\Local\Temp\OnboardLogs"\RTDC4015\*4015*201801050* &gt;&gt; 2018-01-04-SliceDisagreementCheck.txt</v>
      </c>
      <c r="AE20" s="144" t="str">
        <f t="shared" si="1"/>
        <v>start /low /b %USERPROFILE%\Documents\GitHub\eaglep3\Utilities\DownloadLogsFromS3.py --loco 4015 --day 2018-01-05</v>
      </c>
      <c r="AF20" s="1"/>
    </row>
    <row r="21" spans="1:32" x14ac:dyDescent="0.3">
      <c r="A21" s="31">
        <v>43104.662523148145</v>
      </c>
      <c r="B21" s="30" t="s">
        <v>442</v>
      </c>
      <c r="C21" s="30" t="s">
        <v>671</v>
      </c>
      <c r="D21" s="30" t="s">
        <v>49</v>
      </c>
      <c r="E21" s="30" t="s">
        <v>569</v>
      </c>
      <c r="F21" s="42">
        <v>0</v>
      </c>
      <c r="G21" s="42">
        <v>135</v>
      </c>
      <c r="H21" s="42">
        <v>57863</v>
      </c>
      <c r="I21" s="42">
        <v>58121</v>
      </c>
      <c r="J21" s="30" t="s">
        <v>570</v>
      </c>
      <c r="K21" s="42">
        <v>59048</v>
      </c>
      <c r="L21" s="131" t="s">
        <v>50</v>
      </c>
      <c r="M21" s="132">
        <f>CONVERT((I21-K21)/10000,"mi","ft")*IF(L21="Increasing Mileposts (1)",-1,1)</f>
        <v>489.45600000000002</v>
      </c>
      <c r="N21" s="133" t="str">
        <f>VLOOKUP(C21,'Trips&amp;Operators'!$C$1:$G$99911,5,FALSE)</f>
        <v>WEST BRYAN</v>
      </c>
      <c r="O21" s="175" t="s">
        <v>178</v>
      </c>
      <c r="P21" s="239"/>
      <c r="Q21" s="30"/>
      <c r="R21" s="81" t="str">
        <f>VLOOKUP(C21,'Train Runs'!$A$13:$AE$10215,31,0)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S21" s="84" t="str">
        <f>VLOOKUP(C21,'Train Runs'!$A$13:$AE$10215,22,0)</f>
        <v>https://d0f6bd738d7f1b3e5a7ca70fe4ff75f0.us-east-1.aws.found.io/app/kibana#/discover/Steve-Slow-Train-Analysis-(2080s-and-2083s)?_g=(refreshInterval:(display:Off,pause:!f,section:0,value:0),time:(from:'2018-01-04T14:37:19-0700',mode:absolute,to:'2018-01-04T16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/stypes="*4010*201801042*" /stext=" 22:.+((SYSTEM_STATE.+slice.+state.+changed )|(ment ac)|(multiple cpu faults)|(system.+state.+changed )|(\[timeout)|(PRM\|1\|D)|(kpr)|(kdp)|(train st.+moving)|(\|lc)|(penalty))"</v>
      </c>
      <c r="U21" s="9" t="str">
        <f>MID(B21,13,4)</f>
        <v>4010</v>
      </c>
      <c r="V21" s="31">
        <f>A21-utc_offset/24</f>
        <v>43104.954189814809</v>
      </c>
      <c r="W21" s="45" t="str">
        <f>DetSubdiv(C21)</f>
        <v>NW</v>
      </c>
      <c r="X21" s="228">
        <f>VALUE(LEFT(C21,LEN(C21)-3))</f>
        <v>827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{"issue":{"subject":"","project_id":79,"tracker_id":40,"status_id":1,"priority_id":2,"assigned_to_id":338,"start_date":"2018-01-04","description":"","custom_fields":[{"id":1,"name":"Subdivision","value":"NW"},{"id":4,"name":"Milepost","value":"5.9048"},{"id":17,"name":"Train ID","value":"827-04"},{"id":16,"name":"Locomotive ID","value":"4010"},{"id":130,"name":"Impact","value":""},{"id":150,"name":"Time of Event (Mountain Time)","value":"15:54:02"},{"id":151,"name":"Denver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/c/Users/stu/AppData/Local/Temp/OnboardLogs/RTDC4010 --include="*4010*201801042*"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"%USERPROFILE%\AppData\Local\Temp\OnboardLogs"\RTDC4010\*4010*201801042* &gt;&gt; 2018-01-04-SliceDisagreementCheck.txt</v>
      </c>
      <c r="AE21" s="144" t="str">
        <f t="shared" si="1"/>
        <v>start /low /b %USERPROFILE%\Documents\GitHub\eaglep3\Utilities\DownloadLogsFromS3.py --loco 4010 --day 2018-01-04</v>
      </c>
      <c r="AF21" s="1"/>
    </row>
    <row r="22" spans="1:32" x14ac:dyDescent="0.3">
      <c r="A22" s="31">
        <v>43104.820625</v>
      </c>
      <c r="B22" s="30" t="s">
        <v>478</v>
      </c>
      <c r="C22" s="30" t="s">
        <v>682</v>
      </c>
      <c r="D22" s="30" t="s">
        <v>49</v>
      </c>
      <c r="E22" s="30" t="s">
        <v>354</v>
      </c>
      <c r="F22" s="42">
        <v>0</v>
      </c>
      <c r="G22" s="42">
        <v>64</v>
      </c>
      <c r="H22" s="42">
        <v>2703</v>
      </c>
      <c r="I22" s="42">
        <v>2767</v>
      </c>
      <c r="J22" s="30" t="s">
        <v>355</v>
      </c>
      <c r="K22" s="42">
        <v>2789</v>
      </c>
      <c r="L22" s="131" t="s">
        <v>50</v>
      </c>
      <c r="M22" s="132">
        <f>CONVERT((I22-K22)/10000,"mi","ft")*IF(L22="Increasing Mileposts (1)",-1,1)</f>
        <v>11.616</v>
      </c>
      <c r="N22" s="133" t="str">
        <f>VLOOKUP(C22,'Trips&amp;Operators'!$C$1:$G$99911,5,FALSE)</f>
        <v>HOLCOMB KAMDEN</v>
      </c>
      <c r="O22" s="175" t="s">
        <v>178</v>
      </c>
      <c r="P22" s="239"/>
      <c r="Q22" s="30"/>
      <c r="R22" s="81" t="str">
        <f>VLOOKUP(C22,'Train Runs'!$A$13:$AE$10215,31,0)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S22" s="84" t="str">
        <f>VLOOKUP(C22,'Train Runs'!$A$13:$AE$10215,22,0)</f>
        <v>https://d0f6bd738d7f1b3e5a7ca70fe4ff75f0.us-east-1.aws.found.io/app/kibana#/discover/Steve-Slow-Train-Analysis-(2080s-and-2083s)?_g=(refreshInterval:(display:Off,pause:!f,section:0,value:0),time:(from:'2018-01-04T18:36:53-0700',mode:absolute,to:'2018-01-04T20:40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/stypes="*4044*201801050*" /stext=" 02:.+((SYSTEM_STATE.+slice.+state.+changed )|(ment ac)|(multiple cpu faults)|(system.+state.+changed )|(\[timeout)|(PRM\|1\|D)|(kpr)|(kdp)|(train st.+moving)|(\|lc)|(penalty))"</v>
      </c>
      <c r="U22" s="9" t="str">
        <f>MID(B22,13,4)</f>
        <v>4044</v>
      </c>
      <c r="V22" s="31">
        <f>A22-utc_offset/24</f>
        <v>43105.112291666665</v>
      </c>
      <c r="W22" s="45" t="str">
        <f>DetSubdiv(C22)</f>
        <v>Other</v>
      </c>
      <c r="X22" s="228">
        <f>VALUE(LEFT(C22,LEN(C22)-3))</f>
        <v>305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{"issue":{"subject":"","project_id":79,"tracker_id":40,"status_id":1,"priority_id":2,"assigned_to_id":338,"start_date":"2018-01-04","description":"","custom_fields":[{"id":1,"name":"Subdivision","value":"Other"},{"id":4,"name":"Milepost","value":"0.2789"},{"id":17,"name":"Train ID","value":"305-04"},{"id":16,"name":"Locomotive ID","value":"4044"},{"id":130,"name":"Impact","value":""},{"id":150,"name":"Time of Event (Mountain Time)","value":"19:41:42"},{"id":151,"name":"Denver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/c/Users/stu/AppData/Local/Temp/OnboardLogs/RTDC4044 --include="*4044*201801050*"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"%USERPROFILE%\AppData\Local\Temp\OnboardLogs"\RTDC4044\*4044*201801050* &gt;&gt; 2018-01-04-SliceDisagreementCheck.txt</v>
      </c>
      <c r="AE22" s="144" t="str">
        <f t="shared" si="1"/>
        <v>start /low /b %USERPROFILE%\Documents\GitHub\eaglep3\Utilities\DownloadLogsFromS3.py --loco 4044 --day 2018-01-05</v>
      </c>
      <c r="AF22" s="1"/>
    </row>
    <row r="23" spans="1:32" x14ac:dyDescent="0.3">
      <c r="A23" s="31">
        <v>43104.148368055554</v>
      </c>
      <c r="B23" s="30" t="s">
        <v>362</v>
      </c>
      <c r="C23" s="30" t="s">
        <v>656</v>
      </c>
      <c r="D23" s="30" t="s">
        <v>49</v>
      </c>
      <c r="E23" s="30" t="s">
        <v>354</v>
      </c>
      <c r="F23" s="42">
        <v>0</v>
      </c>
      <c r="G23" s="42">
        <v>90</v>
      </c>
      <c r="H23" s="42">
        <v>4807</v>
      </c>
      <c r="I23" s="42">
        <v>4692</v>
      </c>
      <c r="J23" s="30" t="s">
        <v>355</v>
      </c>
      <c r="K23" s="42">
        <v>4798</v>
      </c>
      <c r="L23" s="131" t="s">
        <v>51</v>
      </c>
      <c r="M23" s="132">
        <f>CONVERT((I23-K23)/10000,"mi","ft")*IF(L23="Increasing Mileposts (1)",-1,1)</f>
        <v>-55.968000000000004</v>
      </c>
      <c r="N23" s="133" t="str">
        <f>VLOOKUP(C23,'Trips&amp;Operators'!$C$1:$G$99911,5,FALSE)</f>
        <v>STARKS ANGELINA</v>
      </c>
      <c r="O23" s="175" t="s">
        <v>178</v>
      </c>
      <c r="P23" s="239"/>
      <c r="Q23" s="30"/>
      <c r="R23" s="81" t="str">
        <f>VLOOKUP(C23,'Train Runs'!$A$13:$AE$10215,31,0)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S23" s="84" t="str">
        <f>VLOOKUP(C23,'Train Runs'!$A$13:$AE$10215,22,0)</f>
        <v>https://d0f6bd738d7f1b3e5a7ca70fe4ff75f0.us-east-1.aws.found.io/app/kibana#/discover/Steve-Slow-Train-Analysis-(2080s-and-2083s)?_g=(refreshInterval:(display:Off,pause:!f,section:0,value:0),time:(from:'2018-01-04T02:22:39-0700',mode:absolute,to:'2018-01-04T04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/stypes="*4017*201801041*" /stext=" 10:.+((SYSTEM_STATE.+slice.+state.+changed )|(ment ac)|(multiple cpu faults)|(system.+state.+changed )|(\[timeout)|(PRM\|1\|D)|(kpr)|(kdp)|(train st.+moving)|(\|lc)|(penalty))"</v>
      </c>
      <c r="U23" s="9" t="str">
        <f>MID(B23,13,4)</f>
        <v>4017</v>
      </c>
      <c r="V23" s="31">
        <f>A23-utc_offset/24</f>
        <v>43104.440034722218</v>
      </c>
      <c r="W23" s="45" t="str">
        <f>DetSubdiv(C23)</f>
        <v>Other</v>
      </c>
      <c r="X23" s="228">
        <f>VALUE(LEFT(C23,LEN(C23)-3))</f>
        <v>302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{"issue":{"subject":"","project_id":79,"tracker_id":40,"status_id":1,"priority_id":2,"assigned_to_id":338,"start_date":"2018-01-04","description":"","custom_fields":[{"id":1,"name":"Subdivision","value":"Other"},{"id":4,"name":"Milepost","value":"0.4798"},{"id":17,"name":"Train ID","value":"302-04"},{"id":16,"name":"Locomotive ID","value":"4017"},{"id":130,"name":"Impact","value":""},{"id":150,"name":"Time of Event (Mountain Time)","value":"03:33:39"},{"id":151,"name":"Denver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/c/Users/stu/AppData/Local/Temp/OnboardLogs/RTDC4017 --include="*4017*201801041*"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"%USERPROFILE%\AppData\Local\Temp\OnboardLogs"\RTDC4017\*4017*201801041* &gt;&gt; 2018-01-04-SliceDisagreementCheck.txt</v>
      </c>
      <c r="AE23" s="144" t="str">
        <f t="shared" si="1"/>
        <v>start /low /b %USERPROFILE%\Documents\GitHub\eaglep3\Utilities\DownloadLogsFromS3.py --loco 4017 --day 2018-01-04</v>
      </c>
      <c r="AF23" s="1"/>
    </row>
    <row r="24" spans="1:32" x14ac:dyDescent="0.3">
      <c r="A24" s="31">
        <v>43104.148854166669</v>
      </c>
      <c r="B24" s="30" t="s">
        <v>362</v>
      </c>
      <c r="C24" s="30" t="s">
        <v>656</v>
      </c>
      <c r="D24" s="30" t="s">
        <v>95</v>
      </c>
      <c r="E24" s="30" t="s">
        <v>354</v>
      </c>
      <c r="F24" s="42">
        <v>0</v>
      </c>
      <c r="G24" s="42">
        <v>4</v>
      </c>
      <c r="H24" s="42">
        <v>4509</v>
      </c>
      <c r="I24" s="42">
        <v>4471</v>
      </c>
      <c r="J24" s="30" t="s">
        <v>355</v>
      </c>
      <c r="K24" s="42">
        <v>4798</v>
      </c>
      <c r="L24" s="131" t="s">
        <v>51</v>
      </c>
      <c r="M24" s="132">
        <f>CONVERT((I24-K24)/10000,"mi","ft")*IF(L24="Increasing Mileposts (1)",-1,1)</f>
        <v>-172.65600000000001</v>
      </c>
      <c r="N24" s="133" t="str">
        <f>VLOOKUP(C24,'Trips&amp;Operators'!$C$1:$G$99911,5,FALSE)</f>
        <v>STARKS ANGELINA</v>
      </c>
      <c r="O24" s="175" t="s">
        <v>178</v>
      </c>
      <c r="P24" s="239"/>
      <c r="Q24" s="30"/>
      <c r="R24" s="81" t="str">
        <f>VLOOKUP(C24,'Train Runs'!$A$13:$AE$10215,31,0)</f>
        <v>aws s3 cp s3://rtdc.mdm.uploadarchive.raw/RTDC4017/ "%USERPROFILE%\AppData\Local\Temp\OnboardLogs"\RTDC4017\2018-01-04 --exclude "*" --recursive --include "*20180104*" &amp; "%USERPROFILE%\Documents\GitHub\mrs-test-scripts\Headless Mode &amp; Sideloading\WalkAndUnGZ.bat" "%USERPROFILE%\AppData\Local\Temp\OnboardLogs"\RTDC4017\2018-01-04 &amp; aws s3 cp s3://rtdc.mdm.uploadarchive.raw/RTDC4017/ "%USERPROFILE%\AppData\Local\Temp\OnboardLogs"\RTDC4017\2018-01-05 --exclude "*" --recursive --include "*20180105*" &amp; "%USERPROFILE%\Documents\GitHub\mrs-test-scripts\Headless Mode &amp; Sideloading\WalkAndUnGZ.bat" "%USERPROFILE%\AppData\Local\Temp\OnboardLogs"\RTDC4017\2018-01-05</v>
      </c>
      <c r="S24" s="84" t="str">
        <f>VLOOKUP(C24,'Train Runs'!$A$13:$AE$10215,22,0)</f>
        <v>https://d0f6bd738d7f1b3e5a7ca70fe4ff75f0.us-east-1.aws.found.io/app/kibana#/discover/Steve-Slow-Train-Analysis-(2080s-and-2083s)?_g=(refreshInterval:(display:Off,pause:!f,section:0,value:0),time:(from:'2018-01-04T02:22:39-0700',mode:absolute,to:'2018-01-04T04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/stypes="*4017*201801041*" /stext=" 10:.+((SYSTEM_STATE.+slice.+state.+changed )|(ment ac)|(multiple cpu faults)|(system.+state.+changed )|(\[timeout)|(PRM\|1\|D)|(kpr)|(kdp)|(train st.+moving)|(\|lc)|(penalty))"</v>
      </c>
      <c r="U24" s="9" t="str">
        <f>MID(B24,13,4)</f>
        <v>4017</v>
      </c>
      <c r="V24" s="31">
        <f>A24-utc_offset/24</f>
        <v>43104.440520833334</v>
      </c>
      <c r="W24" s="45" t="str">
        <f>DetSubdiv(C24)</f>
        <v>Other</v>
      </c>
      <c r="X24" s="228">
        <f>VALUE(LEFT(C24,LEN(C24)-3))</f>
        <v>302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{"issue":{"subject":"","project_id":79,"tracker_id":40,"status_id":1,"priority_id":2,"assigned_to_id":338,"start_date":"2018-01-04","description":"","custom_fields":[{"id":1,"name":"Subdivision","value":"Other"},{"id":4,"name":"Milepost","value":"0.4798"},{"id":17,"name":"Train ID","value":"302-04"},{"id":16,"name":"Locomotive ID","value":"4017"},{"id":130,"name":"Impact","value":""},{"id":150,"name":"Time of Event (Mountain Time)","value":"03:34:21"},{"id":151,"name":"Denver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/c/Users/stu/AppData/Local/Temp/OnboardLogs/RTDC4017 --include="*4017*201801041*"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"%USERPROFILE%\AppData\Local\Temp\OnboardLogs"\RTDC4017\*4017*201801041* &gt;&gt; 2018-01-04-SliceDisagreementCheck.txt</v>
      </c>
      <c r="AE24" s="144" t="str">
        <f t="shared" si="1"/>
        <v>start /low /b %USERPROFILE%\Documents\GitHub\eaglep3\Utilities\DownloadLogsFromS3.py --loco 4017 --day 2018-01-04</v>
      </c>
      <c r="AF24" s="1"/>
    </row>
    <row r="25" spans="1:32" x14ac:dyDescent="0.3">
      <c r="A25" s="31">
        <v>43104.819710648146</v>
      </c>
      <c r="B25" s="30" t="s">
        <v>478</v>
      </c>
      <c r="C25" s="30" t="s">
        <v>682</v>
      </c>
      <c r="D25" s="30" t="s">
        <v>95</v>
      </c>
      <c r="E25" s="30" t="s">
        <v>501</v>
      </c>
      <c r="F25" s="42">
        <v>0</v>
      </c>
      <c r="G25" s="42">
        <v>162</v>
      </c>
      <c r="H25" s="42">
        <v>2092</v>
      </c>
      <c r="I25" s="42">
        <v>0</v>
      </c>
      <c r="J25" s="30" t="s">
        <v>502</v>
      </c>
      <c r="K25" s="42">
        <v>1692</v>
      </c>
      <c r="L25" s="131" t="s">
        <v>50</v>
      </c>
      <c r="M25" s="132">
        <f>CONVERT((I25-K25)/10000,"mi","ft")*IF(L25="Increasing Mileposts (1)",-1,1)</f>
        <v>893.37599999999998</v>
      </c>
      <c r="N25" s="133" t="str">
        <f>VLOOKUP(C25,'Trips&amp;Operators'!$C$1:$G$99911,5,FALSE)</f>
        <v>HOLCOMB KAMDEN</v>
      </c>
      <c r="O25" s="175" t="s">
        <v>348</v>
      </c>
      <c r="P25" s="239" t="s">
        <v>464</v>
      </c>
      <c r="Q25" s="30"/>
      <c r="R25" s="81" t="str">
        <f>VLOOKUP(C25,'Train Runs'!$A$13:$AE$10215,31,0)</f>
        <v>aws s3 cp s3://rtdc.mdm.uploadarchive.raw/RTDC4044/ "%USERPROFILE%\AppData\Local\Temp\OnboardLogs"\RTDC4044\2018-01-04 --exclude "*" --recursive --include "*20180104*" &amp; "%USERPROFILE%\Documents\GitHub\mrs-test-scripts\Headless Mode &amp; Sideloading\WalkAndUnGZ.bat" "%USERPROFILE%\AppData\Local\Temp\OnboardLogs"\RTDC4044\2018-01-04 &amp; aws s3 cp s3://rtdc.mdm.uploadarchive.raw/RTDC4044/ "%USERPROFILE%\AppData\Local\Temp\OnboardLogs"\RTDC4044\2018-01-05 --exclude "*" --recursive --include "*20180105*" &amp; "%USERPROFILE%\Documents\GitHub\mrs-test-scripts\Headless Mode &amp; Sideloading\WalkAndUnGZ.bat" "%USERPROFILE%\AppData\Local\Temp\OnboardLogs"\RTDC4044\2018-01-05</v>
      </c>
      <c r="S25" s="84" t="str">
        <f>VLOOKUP(C25,'Train Runs'!$A$13:$AE$10215,22,0)</f>
        <v>https://d0f6bd738d7f1b3e5a7ca70fe4ff75f0.us-east-1.aws.found.io/app/kibana#/discover/Steve-Slow-Train-Analysis-(2080s-and-2083s)?_g=(refreshInterval:(display:Off,pause:!f,section:0,value:0),time:(from:'2018-01-04T18:36:53-0700',mode:absolute,to:'2018-01-04T20:40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/stypes="*4044*201801050*" /stext=" 02:.+((SYSTEM_STATE.+slice.+state.+changed )|(ment ac)|(multiple cpu faults)|(system.+state.+changed )|(\[timeout)|(PRM\|1\|D)|(kpr)|(kdp)|(train st.+moving)|(\|lc)|(penalty))"</v>
      </c>
      <c r="U25" s="9" t="str">
        <f>MID(B25,13,4)</f>
        <v>4044</v>
      </c>
      <c r="V25" s="31">
        <f>A25-utc_offset/24</f>
        <v>43105.11137731481</v>
      </c>
      <c r="W25" s="45" t="str">
        <f>DetSubdiv(C25)</f>
        <v>Other</v>
      </c>
      <c r="X25" s="228">
        <f>VALUE(LEFT(C25,LEN(C25)-3))</f>
        <v>305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drop","project_id":79,"tracker_id":40,"status_id":1,"priority_id":2,"assigned_to_id":338,"start_date":"2018-01-04","description":"","custom_fields":[{"id":1,"name":"Subdivision","value":"Other"},{"id":4,"name":"Milepost","value":"0.1692"},{"id":17,"name":"Train ID","value":"305-04"},{"id":16,"name":"Locomotive ID","value":"4044"},{"id":130,"name":"Impact","value":""},{"id":150,"name":"Time of Event (Mountain Time)","value":"19:40:23"},{"id":151,"name":"Denver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/c/Users/stu/AppData/Local/Temp/OnboardLogs/RTDC4044 --include="*4044*201801050*"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"%USERPROFILE%\AppData\Local\Temp\OnboardLogs"\RTDC4044\*4044*201801050* &gt;&gt; 2018-01-04-SliceDisagreementCheck.txt</v>
      </c>
      <c r="AE25" s="144" t="str">
        <f t="shared" si="1"/>
        <v>start /low /b %USERPROFILE%\Documents\GitHub\eaglep3\Utilities\DownloadLogsFromS3.py --loco 4044 --day 2018-01-05</v>
      </c>
      <c r="AF25" s="1"/>
    </row>
    <row r="26" spans="1:32" x14ac:dyDescent="0.3">
      <c r="A26" s="31">
        <v>43104.487222222226</v>
      </c>
      <c r="B26" s="30" t="s">
        <v>357</v>
      </c>
      <c r="C26" s="30" t="s">
        <v>665</v>
      </c>
      <c r="D26" s="30" t="s">
        <v>49</v>
      </c>
      <c r="E26" s="30" t="s">
        <v>183</v>
      </c>
      <c r="F26" s="42">
        <v>0</v>
      </c>
      <c r="G26" s="42">
        <v>168</v>
      </c>
      <c r="H26" s="42">
        <v>49610</v>
      </c>
      <c r="I26" s="42">
        <v>49946</v>
      </c>
      <c r="J26" s="30" t="s">
        <v>184</v>
      </c>
      <c r="K26" s="42">
        <v>49716</v>
      </c>
      <c r="L26" s="131" t="s">
        <v>50</v>
      </c>
      <c r="M26" s="132">
        <f>CONVERT((I26-K26)/10000,"mi","ft")*IF(L26="Increasing Mileposts (1)",-1,1)</f>
        <v>-121.44</v>
      </c>
      <c r="N26" s="133" t="str">
        <f>VLOOKUP(C26,'Trips&amp;Operators'!$C$1:$G$99911,5,FALSE)</f>
        <v>GUNTHIER ERIC</v>
      </c>
      <c r="O26" s="175" t="s">
        <v>178</v>
      </c>
      <c r="P26" s="239"/>
      <c r="Q26" s="30"/>
      <c r="R26" s="81" t="str">
        <f>VLOOKUP(C26,'Train Runs'!$A$13:$AE$10215,31,0)</f>
        <v>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 &amp; aws s3 cp s3://rtdc.mdm.uploadarchive.raw/RTDC4060/ "%USERPROFILE%\AppData\Local\Temp\OnboardLogs"\RTDC4060\2018-01-05 --exclude "*" --recursive --include "*20180105*" &amp; "%USERPROFILE%\Documents\GitHub\mrs-test-scripts\Headless Mode &amp; Sideloading\WalkAndUnGZ.bat" "%USERPROFILE%\AppData\Local\Temp\OnboardLogs"\RTDC4060\2018-01-05</v>
      </c>
      <c r="S26" s="84" t="str">
        <f>VLOOKUP(C26,'Train Runs'!$A$13:$AE$10215,22,0)</f>
        <v>https://d0f6bd738d7f1b3e5a7ca70fe4ff75f0.us-east-1.aws.found.io/app/kibana#/discover/Steve-Slow-Train-Analysis-(2080s-and-2083s)?_g=(refreshInterval:(display:Off,pause:!f,section:0,value:0),time:(from:'2018-01-04T08:33:02-0700',mode:absolute,to:'2018-01-04T11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/stypes="*4060*201801041*" /stext=" 18:.+((SYSTEM_STATE.+slice.+state.+changed )|(ment ac)|(multiple cpu faults)|(system.+state.+changed )|(\[timeout)|(PRM\|1\|D)|(kpr)|(kdp)|(train st.+moving)|(\|lc)|(penalty))"</v>
      </c>
      <c r="U26" s="9" t="str">
        <f>MID(B26,13,4)</f>
        <v>4060</v>
      </c>
      <c r="V26" s="31">
        <f>A26-utc_offset/24</f>
        <v>43104.77888888889</v>
      </c>
      <c r="W26" s="45" t="str">
        <f>DetSubdiv(C26)</f>
        <v>Shuttle/Test</v>
      </c>
      <c r="X26" s="228">
        <f>VALUE(LEFT(C26,LEN(C26)-3))</f>
        <v>63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Shuttle/Test"},{"id":4,"name":"Milepost","value":"4.9716"},{"id":17,"name":"Train ID","value":"63-04"},{"id":16,"name":"Locomotive ID","value":"4060"},{"id":130,"name":"Impact","value":""},{"id":150,"name":"Time of Event (Mountain Time)","value":"11:41:36"},{"id":151,"name":"Denver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/c/Users/stu/AppData/Local/Temp/OnboardLogs/RTDC4060 --include="*4060*201801041*"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"%USERPROFILE%\AppData\Local\Temp\OnboardLogs"\RTDC4060\*4060*201801041* &gt;&gt; 2018-01-04-SliceDisagreementCheck.txt</v>
      </c>
      <c r="AE26" s="144" t="str">
        <f t="shared" si="1"/>
        <v>start /low /b %USERPROFILE%\Documents\GitHub\eaglep3\Utilities\DownloadLogsFromS3.py --loco 4060 --day 2018-01-04</v>
      </c>
      <c r="AF26" s="1"/>
    </row>
    <row r="27" spans="1:32" x14ac:dyDescent="0.3">
      <c r="A27" s="31">
        <v>43104.508981481478</v>
      </c>
      <c r="B27" s="30" t="s">
        <v>390</v>
      </c>
      <c r="C27" s="30" t="s">
        <v>666</v>
      </c>
      <c r="D27" s="30" t="s">
        <v>49</v>
      </c>
      <c r="E27" s="30" t="s">
        <v>183</v>
      </c>
      <c r="F27" s="42">
        <v>360</v>
      </c>
      <c r="G27" s="42">
        <v>410</v>
      </c>
      <c r="H27" s="42">
        <v>106859</v>
      </c>
      <c r="I27" s="42">
        <v>105586</v>
      </c>
      <c r="J27" s="30" t="s">
        <v>184</v>
      </c>
      <c r="K27" s="42">
        <v>106238</v>
      </c>
      <c r="L27" s="131" t="s">
        <v>51</v>
      </c>
      <c r="M27" s="132">
        <f>CONVERT((I27-K27)/10000,"mi","ft")*IF(L27="Increasing Mileposts (1)",-1,1)</f>
        <v>-344.25599999999997</v>
      </c>
      <c r="N27" s="133" t="str">
        <f>VLOOKUP(C27,'Trips&amp;Operators'!$C$1:$G$99911,5,FALSE)</f>
        <v>GUNTHIER ERIC</v>
      </c>
      <c r="O27" s="175" t="s">
        <v>178</v>
      </c>
      <c r="P27" s="239" t="s">
        <v>482</v>
      </c>
      <c r="Q27" s="30"/>
      <c r="R27" s="81" t="str">
        <f>VLOOKUP(C27,'Train Runs'!$A$13:$AE$10215,31,0)</f>
        <v>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 &amp; aws s3 cp s3://rtdc.mdm.uploadarchive.raw/RTDC4059/ "%USERPROFILE%\AppData\Local\Temp\OnboardLogs"\RTDC4059\2018-01-05 --exclude "*" --recursive --include "*20180105*" &amp; "%USERPROFILE%\Documents\GitHub\mrs-test-scripts\Headless Mode &amp; Sideloading\WalkAndUnGZ.bat" "%USERPROFILE%\AppData\Local\Temp\OnboardLogs"\RTDC4059\2018-01-05</v>
      </c>
      <c r="S27" s="84" t="str">
        <f>VLOOKUP(C27,'Train Runs'!$A$13:$AE$10215,22,0)</f>
        <v>https://d0f6bd738d7f1b3e5a7ca70fe4ff75f0.us-east-1.aws.found.io/app/kibana#/discover/Steve-Slow-Train-Analysis-(2080s-and-2083s)?_g=(refreshInterval:(display:Off,pause:!f,section:0,value:0),time:(from:'2018-01-04T09:20:18-0700',mode:absolute,to:'2018-01-04T11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/stypes="*4059*201801041*" /stext=" 19:.+((SYSTEM_STATE.+slice.+state.+changed )|(ment ac)|(multiple cpu faults)|(system.+state.+changed )|(\[timeout)|(PRM\|1\|D)|(kpr)|(kdp)|(train st.+moving)|(\|lc)|(penalty))"</v>
      </c>
      <c r="U27" s="9" t="str">
        <f>MID(B27,13,4)</f>
        <v>4059</v>
      </c>
      <c r="V27" s="31">
        <f>A27-utc_offset/24</f>
        <v>43104.800648148142</v>
      </c>
      <c r="W27" s="45" t="str">
        <f>DetSubdiv(C27)</f>
        <v>Shuttle/Test</v>
      </c>
      <c r="X27" s="228">
        <f>VALUE(LEFT(C27,LEN(C27)-3))</f>
        <v>62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Arrival","project_id":79,"tracker_id":40,"status_id":1,"priority_id":2,"assigned_to_id":338,"start_date":"2018-01-04","description":"","custom_fields":[{"id":1,"name":"Subdivision","value":"Shuttle/Test"},{"id":4,"name":"Milepost","value":"10.6238"},{"id":17,"name":"Train ID","value":"62-04"},{"id":16,"name":"Locomotive ID","value":"4059"},{"id":130,"name":"Impact","value":""},{"id":150,"name":"Time of Event (Mountain Time)","value":"12:12:56"},{"id":151,"name":"Denver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/c/Users/stu/AppData/Local/Temp/OnboardLogs/RTDC4059 --include="*4059*201801041*"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"%USERPROFILE%\AppData\Local\Temp\OnboardLogs"\RTDC4059\*4059*201801041* &gt;&gt; 2018-01-04-SliceDisagreementCheck.txt</v>
      </c>
      <c r="AE27" s="144" t="str">
        <f t="shared" si="1"/>
        <v>start /low /b %USERPROFILE%\Documents\GitHub\eaglep3\Utilities\DownloadLogsFromS3.py --loco 4059 --day 2018-01-04</v>
      </c>
      <c r="AF27" s="1"/>
    </row>
    <row r="28" spans="1:32" x14ac:dyDescent="0.3">
      <c r="A28" s="31">
        <v>43104.612233796295</v>
      </c>
      <c r="B28" s="30" t="s">
        <v>357</v>
      </c>
      <c r="C28" s="30" t="s">
        <v>669</v>
      </c>
      <c r="D28" s="30" t="s">
        <v>49</v>
      </c>
      <c r="E28" s="30" t="s">
        <v>183</v>
      </c>
      <c r="F28" s="42">
        <v>140</v>
      </c>
      <c r="G28" s="42">
        <v>294</v>
      </c>
      <c r="H28" s="42">
        <v>108598</v>
      </c>
      <c r="I28" s="42">
        <v>109170</v>
      </c>
      <c r="J28" s="30" t="s">
        <v>184</v>
      </c>
      <c r="K28" s="42">
        <v>109614</v>
      </c>
      <c r="L28" s="131" t="s">
        <v>50</v>
      </c>
      <c r="M28" s="132">
        <f>CONVERT((I28-K28)/10000,"mi","ft")*IF(L28="Increasing Mileposts (1)",-1,1)</f>
        <v>234.43199999999999</v>
      </c>
      <c r="N28" s="133" t="str">
        <f>VLOOKUP(C28,'Trips&amp;Operators'!$C$1:$G$99911,5,FALSE)</f>
        <v>MOSES BRADLEY</v>
      </c>
      <c r="O28" s="175" t="s">
        <v>178</v>
      </c>
      <c r="P28" s="239" t="s">
        <v>482</v>
      </c>
      <c r="Q28" s="30"/>
      <c r="R28" s="81" t="str">
        <f>VLOOKUP(C28,'Train Runs'!$A$13:$AE$10215,31,0)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S28" s="84" t="str">
        <f>VLOOKUP(C28,'Train Runs'!$A$13:$AE$10215,22,0)</f>
        <v>https://d0f6bd738d7f1b3e5a7ca70fe4ff75f0.us-east-1.aws.found.io/app/kibana#/discover/Steve-Slow-Train-Analysis-(2080s-and-2083s)?_g=(refreshInterval:(display:Off,pause:!f,section:0,value:0),time:(from:'2018-01-04T11:05:58-0700',mode:absolute,to:'2018-01-04T13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/stypes="*4060*201801042*" /stext=" 21:.+((SYSTEM_STATE.+slice.+state.+changed )|(ment ac)|(multiple cpu faults)|(system.+state.+changed )|(\[timeout)|(PRM\|1\|D)|(kpr)|(kdp)|(train st.+moving)|(\|lc)|(penalty))"</v>
      </c>
      <c r="U28" s="9" t="str">
        <f>MID(B28,13,4)</f>
        <v>4060</v>
      </c>
      <c r="V28" s="31">
        <f>A28-utc_offset/24</f>
        <v>43104.903900462959</v>
      </c>
      <c r="W28" s="45" t="str">
        <f>DetSubdiv(C28)</f>
        <v>Shuttle/Test</v>
      </c>
      <c r="X28" s="228">
        <f>VALUE(LEFT(C28,LEN(C28)-3))</f>
        <v>67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Arrival","project_id":79,"tracker_id":40,"status_id":1,"priority_id":2,"assigned_to_id":338,"start_date":"2018-01-04","description":"","custom_fields":[{"id":1,"name":"Subdivision","value":"Shuttle/Test"},{"id":4,"name":"Milepost","value":"10.9614"},{"id":17,"name":"Train ID","value":"67-04"},{"id":16,"name":"Locomotive ID","value":"4060"},{"id":130,"name":"Impact","value":""},{"id":150,"name":"Time of Event (Mountain Time)","value":"14:41:37"},{"id":151,"name":"Denver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/c/Users/stu/AppData/Local/Temp/OnboardLogs/RTDC4060 --include="*4060*201801042*"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"%USERPROFILE%\AppData\Local\Temp\OnboardLogs"\RTDC4060\*4060*201801042* &gt;&gt; 2018-01-04-SliceDisagreementCheck.txt</v>
      </c>
      <c r="AE28" s="144" t="str">
        <f t="shared" si="1"/>
        <v>start /low /b %USERPROFILE%\Documents\GitHub\eaglep3\Utilities\DownloadLogsFromS3.py --loco 4060 --day 2018-01-04</v>
      </c>
      <c r="AF28" s="1"/>
    </row>
    <row r="29" spans="1:32" x14ac:dyDescent="0.3">
      <c r="A29" s="31">
        <v>43104.594976851855</v>
      </c>
      <c r="B29" s="30" t="s">
        <v>357</v>
      </c>
      <c r="C29" s="30" t="s">
        <v>669</v>
      </c>
      <c r="D29" s="30" t="s">
        <v>49</v>
      </c>
      <c r="E29" s="30" t="s">
        <v>354</v>
      </c>
      <c r="F29" s="42">
        <v>0</v>
      </c>
      <c r="G29" s="42">
        <v>73</v>
      </c>
      <c r="H29" s="42">
        <v>28651</v>
      </c>
      <c r="I29" s="42">
        <v>28689</v>
      </c>
      <c r="J29" s="30" t="s">
        <v>355</v>
      </c>
      <c r="K29" s="42">
        <v>28990</v>
      </c>
      <c r="L29" s="131" t="s">
        <v>50</v>
      </c>
      <c r="M29" s="132">
        <f>CONVERT((I29-K29)/10000,"mi","ft")*IF(L29="Increasing Mileposts (1)",-1,1)</f>
        <v>158.928</v>
      </c>
      <c r="N29" s="133" t="str">
        <f>VLOOKUP(C29,'Trips&amp;Operators'!$C$1:$G$99911,5,FALSE)</f>
        <v>MOSES BRADLEY</v>
      </c>
      <c r="O29" s="175" t="s">
        <v>178</v>
      </c>
      <c r="P29" s="239"/>
      <c r="Q29" s="30"/>
      <c r="R29" s="81" t="str">
        <f>VLOOKUP(C29,'Train Runs'!$A$13:$AE$10215,31,0)</f>
        <v>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 &amp; aws s3 cp s3://rtdc.mdm.uploadarchive.raw/RTDC4010/ "%USERPROFILE%\AppData\Local\Temp\OnboardLogs"\RTDC4010\2018-01-05 --exclude "*" --recursive --include "*20180105*" &amp; "%USERPROFILE%\Documents\GitHub\mrs-test-scripts\Headless Mode &amp; Sideloading\WalkAndUnGZ.bat" "%USERPROFILE%\AppData\Local\Temp\OnboardLogs"\RTDC4010\2018-01-05</v>
      </c>
      <c r="S29" s="84" t="str">
        <f>VLOOKUP(C29,'Train Runs'!$A$13:$AE$10215,22,0)</f>
        <v>https://d0f6bd738d7f1b3e5a7ca70fe4ff75f0.us-east-1.aws.found.io/app/kibana#/discover/Steve-Slow-Train-Analysis-(2080s-and-2083s)?_g=(refreshInterval:(display:Off,pause:!f,section:0,value:0),time:(from:'2018-01-04T11:05:58-0700',mode:absolute,to:'2018-01-04T13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/stypes="*4060*201801042*" /stext=" 21:.+((SYSTEM_STATE.+slice.+state.+changed )|(ment ac)|(multiple cpu faults)|(system.+state.+changed )|(\[timeout)|(PRM\|1\|D)|(kpr)|(kdp)|(train st.+moving)|(\|lc)|(penalty))"</v>
      </c>
      <c r="U29" s="9" t="str">
        <f>MID(B29,13,4)</f>
        <v>4060</v>
      </c>
      <c r="V29" s="31">
        <f>A29-utc_offset/24</f>
        <v>43104.886643518519</v>
      </c>
      <c r="W29" s="45" t="str">
        <f>DetSubdiv(C29)</f>
        <v>Shuttle/Test</v>
      </c>
      <c r="X29" s="228">
        <f>VALUE(LEFT(C29,LEN(C29)-3))</f>
        <v>67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Shuttle/Test"},{"id":4,"name":"Milepost","value":"2.899"},{"id":17,"name":"Train ID","value":"67-04"},{"id":16,"name":"Locomotive ID","value":"4060"},{"id":130,"name":"Impact","value":""},{"id":150,"name":"Time of Event (Mountain Time)","value":"14:16:46"},{"id":151,"name":"Denver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/c/Users/stu/AppData/Local/Temp/OnboardLogs/RTDC4060 --include="*4060*201801042*"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"%USERPROFILE%\AppData\Local\Temp\OnboardLogs"\RTDC4060\*4060*201801042* &gt;&gt; 2018-01-04-SliceDisagreementCheck.txt</v>
      </c>
      <c r="AE29" s="144" t="str">
        <f t="shared" si="1"/>
        <v>start /low /b %USERPROFILE%\Documents\GitHub\eaglep3\Utilities\DownloadLogsFromS3.py --loco 4060 --day 2018-01-04</v>
      </c>
      <c r="AF29" s="1"/>
    </row>
  </sheetData>
  <autoFilter ref="A6:AC15">
    <sortState ref="A7:AC29">
      <sortCondition ref="W7:W29"/>
      <sortCondition ref="E7:E29"/>
      <sortCondition ref="K7:K29"/>
      <sortCondition ref="F7:F29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9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4" sqref="E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2018-01-04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243</v>
      </c>
      <c r="B3" s="42" t="str">
        <f>A3&amp;"-"&amp;IF(DAY(Variables!$A$2)&lt;10,0,"")&amp;DAY(Variables!$A$2)</f>
        <v>243-04</v>
      </c>
      <c r="C3" s="134"/>
      <c r="D3" s="152" t="str">
        <f>VLOOKUP(B3,'Trips&amp;Operators'!$C$1:$H$1072,6,FALSE)</f>
        <v>4064</v>
      </c>
      <c r="E3" s="30"/>
      <c r="F3" s="227" t="str">
        <f>VLOOKUP(B3,'Trips&amp;Operators'!$C$2:$E$9912,3,FALSE)</f>
        <v>NICHOLSON</v>
      </c>
      <c r="G3" s="21" t="str">
        <f>VLOOKUP(B3,'Trips&amp;Operators'!$C$1:$F$9912,4,FALSE)</f>
        <v>WESLEY</v>
      </c>
      <c r="H3" s="29" t="str">
        <f>VLOOKUP(B3,'Trips&amp;Operators'!$C$1:$H$9912,5,FALSE)</f>
        <v>NICHOLSON WESLEY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22243-04%22)),sort:!(Time.ISO8601,asc))</v>
      </c>
      <c r="J3" s="30" t="str">
        <f>VLOOKUP(B3,'Train Runs'!$A$13:$A$100212,1,FALSE)</f>
        <v>243-04</v>
      </c>
    </row>
    <row r="4" spans="1:10" x14ac:dyDescent="0.3">
      <c r="A4" s="197">
        <v>244</v>
      </c>
      <c r="B4" s="42" t="str">
        <f>A4&amp;"-"&amp;IF(DAY(Variables!$A$2)&lt;10,0,"")&amp;DAY(Variables!$A$2)</f>
        <v>244-04</v>
      </c>
      <c r="C4" s="134"/>
      <c r="D4" s="152" t="str">
        <f>VLOOKUP(B4,'Trips&amp;Operators'!$C$1:$H$1072,6,FALSE)</f>
        <v>4063</v>
      </c>
      <c r="E4" s="30"/>
      <c r="F4" s="227" t="str">
        <f>VLOOKUP(B4,'Trips&amp;Operators'!$C$2:$E$9912,3,FALSE)</f>
        <v>NICHOLSON</v>
      </c>
      <c r="G4" s="21" t="str">
        <f>VLOOKUP(B4,'Trips&amp;Operators'!$C$1:$F$9912,4,FALSE)</f>
        <v>WESLEY</v>
      </c>
      <c r="H4" s="29" t="str">
        <f>VLOOKUP(B4,'Trips&amp;Operators'!$C$1:$H$9912,5,FALSE)</f>
        <v>NICHOLSON WESLEY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22244-04%22)),sort:!(Time.ISO8601,asc))</v>
      </c>
      <c r="J4" s="30" t="str">
        <f>VLOOKUP(B4,'Train Runs'!$A$13:$A$100212,1,FALSE)</f>
        <v>244-04</v>
      </c>
    </row>
    <row r="5" spans="1:10" x14ac:dyDescent="0.3">
      <c r="A5" s="197"/>
      <c r="B5" s="42" t="str">
        <f>A5&amp;"-"&amp;IF(DAY(Variables!$A$2)&lt;10,0,"")&amp;DAY(Variables!$A$2)</f>
        <v>-04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Runs'!$A$13:$A$100212,1,FALSE)</f>
        <v>#N/A</v>
      </c>
    </row>
    <row r="6" spans="1:10" x14ac:dyDescent="0.3">
      <c r="A6" s="197"/>
      <c r="B6" s="42" t="str">
        <f>A6&amp;"-"&amp;IF(DAY(Variables!$A$2)&lt;10,0,"")&amp;DAY(Variables!$A$2)</f>
        <v>-04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Runs'!$A$13:$A$100212,1,FALSE)</f>
        <v>#N/A</v>
      </c>
    </row>
    <row r="7" spans="1:10" x14ac:dyDescent="0.3">
      <c r="A7" s="197"/>
      <c r="B7" s="42" t="str">
        <f>A7&amp;"-"&amp;IF(DAY(Variables!$A$2)&lt;10,0,"")&amp;DAY(Variables!$A$2)</f>
        <v>-04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Runs'!$A$13:$A$100212,1,FALSE)</f>
        <v>#N/A</v>
      </c>
    </row>
    <row r="8" spans="1:10" x14ac:dyDescent="0.3">
      <c r="A8" s="197"/>
      <c r="B8" s="42" t="str">
        <f>A8&amp;"-"&amp;IF(DAY(Variables!$A$2)&lt;10,0,"")&amp;DAY(Variables!$A$2)</f>
        <v>-04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Runs'!$A$13:$A$100212,1,FALSE)</f>
        <v>#N/A</v>
      </c>
    </row>
    <row r="9" spans="1:10" x14ac:dyDescent="0.3">
      <c r="A9" s="197"/>
      <c r="B9" s="42" t="str">
        <f>A9&amp;"-"&amp;IF(DAY(Variables!$A$2)&lt;10,0,"")&amp;DAY(Variables!$A$2)</f>
        <v>-04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Runs'!$A$13:$A$100212,1,FALSE)</f>
        <v>#N/A</v>
      </c>
    </row>
    <row r="10" spans="1:10" x14ac:dyDescent="0.3">
      <c r="A10" s="197"/>
      <c r="B10" s="42" t="str">
        <f>A10&amp;"-"&amp;IF(DAY(Variables!$A$2)&lt;10,0,"")&amp;DAY(Variables!$A$2)</f>
        <v>-04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Runs'!$A$13:$A$100212,1,FALSE)</f>
        <v>#N/A</v>
      </c>
    </row>
    <row r="11" spans="1:10" x14ac:dyDescent="0.3">
      <c r="A11" s="197"/>
      <c r="B11" s="42" t="str">
        <f>A11&amp;"-"&amp;IF(DAY(Variables!$A$2)&lt;10,0,"")&amp;DAY(Variables!$A$2)</f>
        <v>-04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Runs'!$A$13:$A$100212,1,FALSE)</f>
        <v>#N/A</v>
      </c>
    </row>
    <row r="12" spans="1:10" x14ac:dyDescent="0.3">
      <c r="A12" s="197"/>
      <c r="B12" s="42" t="str">
        <f>A12&amp;"-"&amp;IF(DAY(Variables!$A$2)&lt;10,0,"")&amp;DAY(Variables!$A$2)</f>
        <v>-04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Runs'!$A$13:$A$100212,1,FALSE)</f>
        <v>#N/A</v>
      </c>
    </row>
    <row r="13" spans="1:10" x14ac:dyDescent="0.3">
      <c r="A13" s="197"/>
      <c r="B13" s="42" t="str">
        <f>A13&amp;"-"&amp;IF(DAY(Variables!$A$2)&lt;10,0,"")&amp;DAY(Variables!$A$2)</f>
        <v>-04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Runs'!$A$13:$A$100212,1,FALSE)</f>
        <v>#N/A</v>
      </c>
    </row>
    <row r="14" spans="1:10" x14ac:dyDescent="0.3">
      <c r="A14" s="197"/>
      <c r="B14" s="42" t="str">
        <f>A14&amp;"-"&amp;IF(DAY(Variables!$A$2)&lt;10,0,"")&amp;DAY(Variables!$A$2)</f>
        <v>-04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Runs'!$A$13:$A$100212,1,FALSE)</f>
        <v>#N/A</v>
      </c>
    </row>
    <row r="15" spans="1:10" x14ac:dyDescent="0.3">
      <c r="A15" s="197"/>
      <c r="B15" s="42" t="str">
        <f>A15&amp;"-"&amp;IF(DAY(Variables!$A$2)&lt;10,0,"")&amp;DAY(Variables!$A$2)</f>
        <v>-04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Runs'!$A$13:$A$100212,1,FALSE)</f>
        <v>#N/A</v>
      </c>
    </row>
    <row r="16" spans="1:10" x14ac:dyDescent="0.3">
      <c r="A16" s="197"/>
      <c r="B16" s="42" t="str">
        <f>A16&amp;"-"&amp;IF(DAY(Variables!$A$2)&lt;10,0,"")&amp;DAY(Variables!$A$2)</f>
        <v>-04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Runs'!$A$13:$A$100212,1,FALSE)</f>
        <v>#N/A</v>
      </c>
    </row>
    <row r="17" spans="1:10" x14ac:dyDescent="0.3">
      <c r="A17" s="197"/>
      <c r="B17" s="42" t="str">
        <f>A17&amp;"-"&amp;IF(DAY(Variables!$A$2)&lt;10,0,"")&amp;DAY(Variables!$A$2)</f>
        <v>-04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Runs'!$A$13:$A$100212,1,FALSE)</f>
        <v>#N/A</v>
      </c>
    </row>
    <row r="18" spans="1:10" x14ac:dyDescent="0.3">
      <c r="A18" s="197"/>
      <c r="B18" s="42" t="str">
        <f>A18&amp;"-"&amp;IF(DAY(Variables!$A$2)&lt;10,0,"")&amp;DAY(Variables!$A$2)</f>
        <v>-04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Runs'!$A$13:$A$100212,1,FALSE)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50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43104.03534722222</v>
      </c>
      <c r="B2" s="20" t="s">
        <v>493</v>
      </c>
      <c r="C2" s="20" t="s">
        <v>589</v>
      </c>
      <c r="D2" s="137">
        <v>890000</v>
      </c>
      <c r="E2" s="20" t="s">
        <v>344</v>
      </c>
      <c r="F2" s="20" t="s">
        <v>345</v>
      </c>
      <c r="G2" s="8" t="str">
        <f>E2&amp;" "&amp;F2</f>
        <v>LOZA FIDEL</v>
      </c>
      <c r="H2" t="str">
        <f>MID(B2,13,4)</f>
        <v>4019</v>
      </c>
    </row>
    <row r="3" spans="1:8" x14ac:dyDescent="0.3">
      <c r="A3" s="8">
        <v>43104.045995370368</v>
      </c>
      <c r="B3" s="20" t="s">
        <v>444</v>
      </c>
      <c r="C3" s="20" t="s">
        <v>590</v>
      </c>
      <c r="D3" s="137">
        <v>3220000</v>
      </c>
      <c r="E3" s="20" t="s">
        <v>378</v>
      </c>
      <c r="F3" s="20" t="s">
        <v>379</v>
      </c>
      <c r="G3" s="8" t="str">
        <f t="shared" ref="G3:G66" si="0">E3&amp;" "&amp;F3</f>
        <v>RESPASS AARON</v>
      </c>
      <c r="H3" s="20" t="str">
        <f t="shared" ref="H3:H66" si="1">MID(B3,13,4)</f>
        <v>4050</v>
      </c>
    </row>
    <row r="4" spans="1:8" x14ac:dyDescent="0.3">
      <c r="A4" s="8">
        <v>43104.05908564815</v>
      </c>
      <c r="B4" s="20" t="s">
        <v>571</v>
      </c>
      <c r="C4" s="20" t="s">
        <v>572</v>
      </c>
      <c r="D4" s="137">
        <v>3310000</v>
      </c>
      <c r="E4" s="20" t="s">
        <v>474</v>
      </c>
      <c r="F4" s="20" t="s">
        <v>475</v>
      </c>
      <c r="G4" s="8" t="str">
        <f t="shared" si="0"/>
        <v>ANDERS STEVEN</v>
      </c>
      <c r="H4" s="20" t="str">
        <f t="shared" si="1"/>
        <v>4001</v>
      </c>
    </row>
    <row r="5" spans="1:8" x14ac:dyDescent="0.3">
      <c r="A5" s="8">
        <v>43104.11928240741</v>
      </c>
      <c r="B5" s="20" t="s">
        <v>351</v>
      </c>
      <c r="C5" s="20" t="s">
        <v>685</v>
      </c>
      <c r="D5" s="137">
        <v>900000</v>
      </c>
      <c r="E5" s="20" t="s">
        <v>686</v>
      </c>
      <c r="F5" s="20" t="s">
        <v>687</v>
      </c>
      <c r="G5" s="8" t="str">
        <f t="shared" si="0"/>
        <v>ROCHA YAOTL</v>
      </c>
      <c r="H5" s="20" t="str">
        <f t="shared" si="1"/>
        <v>4055</v>
      </c>
    </row>
    <row r="6" spans="1:8" x14ac:dyDescent="0.3">
      <c r="A6" s="8">
        <v>43104.122673611113</v>
      </c>
      <c r="B6" s="20" t="s">
        <v>351</v>
      </c>
      <c r="C6" s="20" t="s">
        <v>688</v>
      </c>
      <c r="D6" s="137">
        <v>900000</v>
      </c>
      <c r="E6" s="20" t="s">
        <v>686</v>
      </c>
      <c r="F6" s="20" t="s">
        <v>687</v>
      </c>
      <c r="G6" s="8" t="str">
        <f t="shared" si="0"/>
        <v>ROCHA YAOTL</v>
      </c>
      <c r="H6" s="20" t="str">
        <f t="shared" si="1"/>
        <v>4055</v>
      </c>
    </row>
    <row r="7" spans="1:8" x14ac:dyDescent="0.3">
      <c r="A7" s="8">
        <v>43104.132037037038</v>
      </c>
      <c r="B7" s="20" t="s">
        <v>689</v>
      </c>
      <c r="C7" s="20" t="s">
        <v>690</v>
      </c>
      <c r="D7" s="137">
        <v>1090000</v>
      </c>
      <c r="E7" s="20" t="s">
        <v>492</v>
      </c>
      <c r="F7" s="20" t="s">
        <v>352</v>
      </c>
      <c r="G7" s="8" t="str">
        <f t="shared" si="0"/>
        <v>SPECTOR MICHAEL</v>
      </c>
      <c r="H7" s="20" t="str">
        <f t="shared" si="1"/>
        <v>4056</v>
      </c>
    </row>
    <row r="8" spans="1:8" x14ac:dyDescent="0.3">
      <c r="A8" s="8">
        <v>43104.134050925924</v>
      </c>
      <c r="B8" s="20" t="s">
        <v>573</v>
      </c>
      <c r="C8" s="20" t="s">
        <v>685</v>
      </c>
      <c r="D8" s="137">
        <v>900000</v>
      </c>
      <c r="E8" s="20" t="s">
        <v>686</v>
      </c>
      <c r="F8" s="20" t="s">
        <v>687</v>
      </c>
      <c r="G8" s="8" t="str">
        <f t="shared" si="0"/>
        <v>ROCHA YAOTL</v>
      </c>
      <c r="H8" s="20" t="str">
        <f t="shared" si="1"/>
        <v>4034</v>
      </c>
    </row>
    <row r="9" spans="1:8" ht="15" thickBot="1" x14ac:dyDescent="0.35">
      <c r="A9" s="24">
        <v>43104.139861111114</v>
      </c>
      <c r="B9" s="20" t="s">
        <v>568</v>
      </c>
      <c r="C9" s="20" t="s">
        <v>691</v>
      </c>
      <c r="D9" s="137">
        <v>1260000</v>
      </c>
      <c r="E9" s="20" t="s">
        <v>692</v>
      </c>
      <c r="F9" s="20" t="s">
        <v>693</v>
      </c>
      <c r="G9" s="8" t="str">
        <f t="shared" si="0"/>
        <v>ACKERMAN JARED</v>
      </c>
      <c r="H9" s="20" t="str">
        <f t="shared" si="1"/>
        <v>4002</v>
      </c>
    </row>
    <row r="10" spans="1:8" x14ac:dyDescent="0.3">
      <c r="A10" s="8">
        <v>43104.140347222223</v>
      </c>
      <c r="B10" s="20" t="s">
        <v>351</v>
      </c>
      <c r="C10" s="20" t="s">
        <v>690</v>
      </c>
      <c r="D10" s="137">
        <v>1090000</v>
      </c>
      <c r="E10" s="20" t="s">
        <v>492</v>
      </c>
      <c r="F10" s="20" t="s">
        <v>352</v>
      </c>
      <c r="G10" s="8" t="str">
        <f t="shared" si="0"/>
        <v>SPECTOR MICHAEL</v>
      </c>
      <c r="H10" s="20" t="str">
        <f t="shared" si="1"/>
        <v>4055</v>
      </c>
    </row>
    <row r="11" spans="1:8" x14ac:dyDescent="0.3">
      <c r="A11" s="8">
        <v>43104.14162037037</v>
      </c>
      <c r="B11" s="20" t="s">
        <v>362</v>
      </c>
      <c r="C11" s="20" t="s">
        <v>656</v>
      </c>
      <c r="D11" s="137">
        <v>1110000</v>
      </c>
      <c r="E11" s="20" t="s">
        <v>694</v>
      </c>
      <c r="F11" s="20" t="s">
        <v>695</v>
      </c>
      <c r="G11" s="8" t="str">
        <f t="shared" si="0"/>
        <v>STARKS ANGELINA</v>
      </c>
      <c r="H11" s="20" t="str">
        <f t="shared" si="1"/>
        <v>4017</v>
      </c>
    </row>
    <row r="12" spans="1:8" x14ac:dyDescent="0.3">
      <c r="A12" s="8">
        <v>43104.154722222222</v>
      </c>
      <c r="B12" s="20" t="s">
        <v>360</v>
      </c>
      <c r="C12" s="20" t="s">
        <v>696</v>
      </c>
      <c r="D12" s="137">
        <v>1110000</v>
      </c>
      <c r="E12" s="20" t="s">
        <v>694</v>
      </c>
      <c r="F12" s="20" t="s">
        <v>695</v>
      </c>
      <c r="G12" s="8" t="str">
        <f t="shared" si="0"/>
        <v>STARKS ANGELINA</v>
      </c>
      <c r="H12" s="20" t="str">
        <f t="shared" si="1"/>
        <v>4018</v>
      </c>
    </row>
    <row r="13" spans="1:8" x14ac:dyDescent="0.3">
      <c r="A13" s="8">
        <v>43104.162604166668</v>
      </c>
      <c r="B13" s="20" t="s">
        <v>657</v>
      </c>
      <c r="C13" s="20" t="s">
        <v>697</v>
      </c>
      <c r="D13" s="137">
        <v>3840000</v>
      </c>
      <c r="E13" s="20" t="s">
        <v>533</v>
      </c>
      <c r="F13" s="20" t="s">
        <v>534</v>
      </c>
      <c r="G13" s="8" t="str">
        <f t="shared" si="0"/>
        <v>LONG FULLER</v>
      </c>
      <c r="H13" s="20" t="str">
        <f t="shared" si="1"/>
        <v>4045</v>
      </c>
    </row>
    <row r="14" spans="1:8" x14ac:dyDescent="0.3">
      <c r="A14" s="8">
        <v>43104.170520833337</v>
      </c>
      <c r="B14" s="20" t="s">
        <v>532</v>
      </c>
      <c r="C14" s="20" t="s">
        <v>698</v>
      </c>
      <c r="D14" s="137">
        <v>1100000</v>
      </c>
      <c r="E14" s="20" t="s">
        <v>576</v>
      </c>
      <c r="F14" s="20" t="s">
        <v>577</v>
      </c>
      <c r="G14" s="8" t="str">
        <f t="shared" si="0"/>
        <v>GEBRETEKLE DAGNEW</v>
      </c>
      <c r="H14" s="20" t="str">
        <f t="shared" si="1"/>
        <v>4063</v>
      </c>
    </row>
    <row r="15" spans="1:8" x14ac:dyDescent="0.3">
      <c r="A15" s="8">
        <v>43104.17287037037</v>
      </c>
      <c r="B15" s="20" t="s">
        <v>510</v>
      </c>
      <c r="C15" s="20" t="s">
        <v>699</v>
      </c>
      <c r="D15" s="137">
        <v>900000</v>
      </c>
      <c r="E15" s="20" t="s">
        <v>686</v>
      </c>
      <c r="F15" s="20" t="s">
        <v>687</v>
      </c>
      <c r="G15" s="8" t="str">
        <f t="shared" si="0"/>
        <v>ROCHA YAOTL</v>
      </c>
      <c r="H15" s="20" t="str">
        <f t="shared" si="1"/>
        <v>4033</v>
      </c>
    </row>
    <row r="16" spans="1:8" x14ac:dyDescent="0.3">
      <c r="A16" s="8">
        <v>43104.17386574074</v>
      </c>
      <c r="B16" s="20" t="s">
        <v>663</v>
      </c>
      <c r="C16" s="20" t="s">
        <v>700</v>
      </c>
      <c r="D16" s="137">
        <v>3840000</v>
      </c>
      <c r="E16" s="20" t="s">
        <v>533</v>
      </c>
      <c r="F16" s="20" t="s">
        <v>534</v>
      </c>
      <c r="G16" s="8" t="str">
        <f t="shared" si="0"/>
        <v>LONG FULLER</v>
      </c>
      <c r="H16" s="20" t="str">
        <f t="shared" si="1"/>
        <v>4046</v>
      </c>
    </row>
    <row r="17" spans="1:8" x14ac:dyDescent="0.3">
      <c r="A17" s="8">
        <v>43104.176030092596</v>
      </c>
      <c r="B17" s="20" t="s">
        <v>449</v>
      </c>
      <c r="C17" s="20" t="s">
        <v>701</v>
      </c>
      <c r="D17" s="137">
        <v>3040000</v>
      </c>
      <c r="E17" s="20" t="s">
        <v>368</v>
      </c>
      <c r="F17" s="20" t="s">
        <v>702</v>
      </c>
      <c r="G17" s="8" t="str">
        <f t="shared" si="0"/>
        <v>WILLIAMS DONTE</v>
      </c>
      <c r="H17" s="20" t="str">
        <f t="shared" si="1"/>
        <v>4051</v>
      </c>
    </row>
    <row r="18" spans="1:8" x14ac:dyDescent="0.3">
      <c r="A18" s="8">
        <v>43104.182615740741</v>
      </c>
      <c r="B18" s="20" t="s">
        <v>511</v>
      </c>
      <c r="C18" s="20" t="s">
        <v>703</v>
      </c>
      <c r="D18" s="137">
        <v>1100000</v>
      </c>
      <c r="E18" s="20" t="s">
        <v>576</v>
      </c>
      <c r="F18" s="20" t="s">
        <v>577</v>
      </c>
      <c r="G18" s="8" t="str">
        <f t="shared" si="0"/>
        <v>GEBRETEKLE DAGNEW</v>
      </c>
      <c r="H18" s="20" t="str">
        <f t="shared" si="1"/>
        <v>4064</v>
      </c>
    </row>
    <row r="19" spans="1:8" x14ac:dyDescent="0.3">
      <c r="A19" s="8">
        <v>43104.192858796298</v>
      </c>
      <c r="B19" s="20" t="s">
        <v>362</v>
      </c>
      <c r="C19" s="20" t="s">
        <v>704</v>
      </c>
      <c r="D19" s="137">
        <v>1110000</v>
      </c>
      <c r="E19" s="20" t="s">
        <v>694</v>
      </c>
      <c r="F19" s="20" t="s">
        <v>695</v>
      </c>
      <c r="G19" s="8" t="str">
        <f t="shared" si="0"/>
        <v>STARKS ANGELINA</v>
      </c>
      <c r="H19" s="20" t="str">
        <f t="shared" si="1"/>
        <v>4017</v>
      </c>
    </row>
    <row r="20" spans="1:8" x14ac:dyDescent="0.3">
      <c r="A20" s="8">
        <v>43104.193692129629</v>
      </c>
      <c r="B20" s="20" t="s">
        <v>447</v>
      </c>
      <c r="C20" s="20" t="s">
        <v>705</v>
      </c>
      <c r="D20" s="137">
        <v>3040000</v>
      </c>
      <c r="E20" s="20" t="s">
        <v>368</v>
      </c>
      <c r="F20" s="20" t="s">
        <v>702</v>
      </c>
      <c r="G20" s="8" t="str">
        <f t="shared" si="0"/>
        <v>WILLIAMS DONTE</v>
      </c>
      <c r="H20" s="20" t="str">
        <f t="shared" si="1"/>
        <v>4052</v>
      </c>
    </row>
    <row r="21" spans="1:8" x14ac:dyDescent="0.3">
      <c r="A21" s="8">
        <v>43104.197129629632</v>
      </c>
      <c r="B21" s="20" t="s">
        <v>442</v>
      </c>
      <c r="C21" s="20" t="s">
        <v>706</v>
      </c>
      <c r="D21" s="137">
        <v>2440000</v>
      </c>
      <c r="E21" s="20" t="s">
        <v>450</v>
      </c>
      <c r="F21" s="20" t="s">
        <v>451</v>
      </c>
      <c r="G21" s="8" t="str">
        <f t="shared" si="0"/>
        <v>LOPES KIMBERLY</v>
      </c>
      <c r="H21" s="20" t="str">
        <f t="shared" si="1"/>
        <v>4010</v>
      </c>
    </row>
    <row r="22" spans="1:8" x14ac:dyDescent="0.3">
      <c r="A22" s="26">
        <v>43104.200104166666</v>
      </c>
      <c r="B22" s="20" t="s">
        <v>707</v>
      </c>
      <c r="C22" s="20" t="s">
        <v>708</v>
      </c>
      <c r="D22" s="137">
        <v>1340000</v>
      </c>
      <c r="E22" s="20" t="s">
        <v>709</v>
      </c>
      <c r="F22" s="20" t="s">
        <v>710</v>
      </c>
      <c r="G22" s="8" t="str">
        <f t="shared" si="0"/>
        <v>BEAM ROSS</v>
      </c>
      <c r="H22" s="20" t="str">
        <f t="shared" si="1"/>
        <v>4031</v>
      </c>
    </row>
    <row r="23" spans="1:8" x14ac:dyDescent="0.3">
      <c r="A23" s="8">
        <v>43104.206064814818</v>
      </c>
      <c r="B23" s="20" t="s">
        <v>573</v>
      </c>
      <c r="C23" s="20" t="s">
        <v>711</v>
      </c>
      <c r="D23" s="137">
        <v>900000</v>
      </c>
      <c r="E23" s="20" t="s">
        <v>686</v>
      </c>
      <c r="F23" s="20" t="s">
        <v>687</v>
      </c>
      <c r="G23" s="8" t="str">
        <f t="shared" si="0"/>
        <v>ROCHA YAOTL</v>
      </c>
      <c r="H23" s="20" t="str">
        <f t="shared" si="1"/>
        <v>4034</v>
      </c>
    </row>
    <row r="24" spans="1:8" x14ac:dyDescent="0.3">
      <c r="A24" s="8">
        <v>43104.210324074076</v>
      </c>
      <c r="B24" s="20" t="s">
        <v>657</v>
      </c>
      <c r="C24" s="20" t="s">
        <v>658</v>
      </c>
      <c r="D24" s="137">
        <v>3840000</v>
      </c>
      <c r="E24" s="20" t="s">
        <v>533</v>
      </c>
      <c r="F24" s="20" t="s">
        <v>534</v>
      </c>
      <c r="G24" s="8" t="str">
        <f t="shared" si="0"/>
        <v>LONG FULLER</v>
      </c>
      <c r="H24" s="20" t="str">
        <f t="shared" si="1"/>
        <v>4045</v>
      </c>
    </row>
    <row r="25" spans="1:8" x14ac:dyDescent="0.3">
      <c r="A25" s="8">
        <v>43104.210370370369</v>
      </c>
      <c r="B25" s="20" t="s">
        <v>476</v>
      </c>
      <c r="C25" s="20" t="s">
        <v>712</v>
      </c>
      <c r="D25" s="137">
        <v>2440000</v>
      </c>
      <c r="E25" s="20" t="s">
        <v>450</v>
      </c>
      <c r="F25" s="20" t="s">
        <v>451</v>
      </c>
      <c r="G25" s="8" t="str">
        <f t="shared" si="0"/>
        <v>LOPES KIMBERLY</v>
      </c>
      <c r="H25" s="20" t="str">
        <f t="shared" si="1"/>
        <v>4009</v>
      </c>
    </row>
    <row r="26" spans="1:8" x14ac:dyDescent="0.3">
      <c r="A26" s="8">
        <v>43104.21334490741</v>
      </c>
      <c r="B26" s="20" t="s">
        <v>532</v>
      </c>
      <c r="C26" s="20" t="s">
        <v>713</v>
      </c>
      <c r="D26" s="137">
        <v>1100000</v>
      </c>
      <c r="E26" s="20" t="s">
        <v>576</v>
      </c>
      <c r="F26" s="20" t="s">
        <v>577</v>
      </c>
      <c r="G26" s="8" t="str">
        <f t="shared" si="0"/>
        <v>GEBRETEKLE DAGNEW</v>
      </c>
      <c r="H26" s="20" t="str">
        <f t="shared" si="1"/>
        <v>4063</v>
      </c>
    </row>
    <row r="27" spans="1:8" x14ac:dyDescent="0.3">
      <c r="A27" s="8">
        <v>43104.213935185187</v>
      </c>
      <c r="B27" s="20" t="s">
        <v>674</v>
      </c>
      <c r="C27" s="20" t="s">
        <v>714</v>
      </c>
      <c r="D27" s="137">
        <v>1340000</v>
      </c>
      <c r="E27" s="20" t="s">
        <v>709</v>
      </c>
      <c r="F27" s="20" t="s">
        <v>710</v>
      </c>
      <c r="G27" s="8" t="str">
        <f t="shared" si="0"/>
        <v>BEAM ROSS</v>
      </c>
      <c r="H27" s="20" t="str">
        <f t="shared" si="1"/>
        <v>4032</v>
      </c>
    </row>
    <row r="28" spans="1:8" x14ac:dyDescent="0.3">
      <c r="A28" s="8">
        <v>43104.22314814815</v>
      </c>
      <c r="B28" s="20" t="s">
        <v>676</v>
      </c>
      <c r="C28" s="20" t="s">
        <v>715</v>
      </c>
      <c r="D28" s="137">
        <v>2600000</v>
      </c>
      <c r="E28" s="20" t="s">
        <v>495</v>
      </c>
      <c r="F28" s="20" t="s">
        <v>486</v>
      </c>
      <c r="G28" s="8" t="str">
        <f t="shared" si="0"/>
        <v>DAVIDSON DAVID</v>
      </c>
      <c r="H28" s="20" t="str">
        <f t="shared" si="1"/>
        <v>4043</v>
      </c>
    </row>
    <row r="29" spans="1:8" x14ac:dyDescent="0.3">
      <c r="A29" s="8">
        <v>43104.226238425923</v>
      </c>
      <c r="B29" s="20" t="s">
        <v>360</v>
      </c>
      <c r="C29" s="20" t="s">
        <v>716</v>
      </c>
      <c r="D29" s="137">
        <v>1110000</v>
      </c>
      <c r="E29" s="20" t="s">
        <v>694</v>
      </c>
      <c r="F29" s="20" t="s">
        <v>695</v>
      </c>
      <c r="G29" s="8" t="str">
        <f t="shared" si="0"/>
        <v>STARKS ANGELINA</v>
      </c>
      <c r="H29" s="20" t="str">
        <f t="shared" si="1"/>
        <v>4018</v>
      </c>
    </row>
    <row r="30" spans="1:8" x14ac:dyDescent="0.3">
      <c r="A30" s="8">
        <v>43104.229351851849</v>
      </c>
      <c r="B30" s="20" t="s">
        <v>442</v>
      </c>
      <c r="C30" s="20" t="s">
        <v>717</v>
      </c>
      <c r="D30" s="137">
        <v>2440000</v>
      </c>
      <c r="E30" s="20" t="s">
        <v>450</v>
      </c>
      <c r="F30" s="20" t="s">
        <v>451</v>
      </c>
      <c r="G30" s="8" t="str">
        <f t="shared" si="0"/>
        <v>LOPES KIMBERLY</v>
      </c>
      <c r="H30" s="20" t="str">
        <f t="shared" si="1"/>
        <v>4010</v>
      </c>
    </row>
    <row r="31" spans="1:8" x14ac:dyDescent="0.3">
      <c r="A31" s="8">
        <v>43104.234872685185</v>
      </c>
      <c r="B31" s="20" t="s">
        <v>478</v>
      </c>
      <c r="C31" s="20" t="s">
        <v>718</v>
      </c>
      <c r="D31" s="137">
        <v>2600000</v>
      </c>
      <c r="E31" s="20" t="s">
        <v>495</v>
      </c>
      <c r="F31" s="20" t="s">
        <v>486</v>
      </c>
      <c r="G31" s="8" t="str">
        <f t="shared" si="0"/>
        <v>DAVIDSON DAVID</v>
      </c>
      <c r="H31" s="20" t="str">
        <f t="shared" si="1"/>
        <v>4044</v>
      </c>
    </row>
    <row r="32" spans="1:8" x14ac:dyDescent="0.3">
      <c r="A32" s="8">
        <v>43104.235081018516</v>
      </c>
      <c r="B32" s="20" t="s">
        <v>449</v>
      </c>
      <c r="C32" s="20" t="s">
        <v>719</v>
      </c>
      <c r="D32" s="137">
        <v>3040000</v>
      </c>
      <c r="E32" s="20" t="s">
        <v>368</v>
      </c>
      <c r="F32" s="20" t="s">
        <v>702</v>
      </c>
      <c r="G32" s="8" t="str">
        <f t="shared" si="0"/>
        <v>WILLIAMS DONTE</v>
      </c>
      <c r="H32" s="20" t="str">
        <f t="shared" si="1"/>
        <v>4051</v>
      </c>
    </row>
    <row r="33" spans="1:8" x14ac:dyDescent="0.3">
      <c r="A33" s="8">
        <v>43104.240358796298</v>
      </c>
      <c r="B33" s="20" t="s">
        <v>672</v>
      </c>
      <c r="C33" s="20" t="s">
        <v>720</v>
      </c>
      <c r="D33" s="137">
        <v>3000000</v>
      </c>
      <c r="E33" s="20" t="s">
        <v>578</v>
      </c>
      <c r="F33" s="20" t="s">
        <v>579</v>
      </c>
      <c r="G33" s="8" t="str">
        <f t="shared" si="0"/>
        <v>FORTUNATO FRANK</v>
      </c>
      <c r="H33" s="20" t="str">
        <f t="shared" si="1"/>
        <v>4015</v>
      </c>
    </row>
    <row r="34" spans="1:8" x14ac:dyDescent="0.3">
      <c r="A34" s="8">
        <v>43104.244895833333</v>
      </c>
      <c r="B34" s="20" t="s">
        <v>707</v>
      </c>
      <c r="C34" s="20" t="s">
        <v>721</v>
      </c>
      <c r="D34" s="137">
        <v>1340000</v>
      </c>
      <c r="E34" s="20" t="s">
        <v>709</v>
      </c>
      <c r="F34" s="20" t="s">
        <v>710</v>
      </c>
      <c r="G34" s="8" t="str">
        <f t="shared" si="0"/>
        <v>BEAM ROSS</v>
      </c>
      <c r="H34" s="20" t="str">
        <f t="shared" si="1"/>
        <v>4031</v>
      </c>
    </row>
    <row r="35" spans="1:8" x14ac:dyDescent="0.3">
      <c r="A35" s="8">
        <v>43104.245243055557</v>
      </c>
      <c r="B35" s="20" t="s">
        <v>510</v>
      </c>
      <c r="C35" s="20" t="s">
        <v>722</v>
      </c>
      <c r="D35" s="137">
        <v>900000</v>
      </c>
      <c r="E35" s="20" t="s">
        <v>686</v>
      </c>
      <c r="F35" s="20" t="s">
        <v>687</v>
      </c>
      <c r="G35" s="8" t="str">
        <f t="shared" si="0"/>
        <v>ROCHA YAOTL</v>
      </c>
      <c r="H35" s="20" t="str">
        <f t="shared" si="1"/>
        <v>4033</v>
      </c>
    </row>
    <row r="36" spans="1:8" x14ac:dyDescent="0.3">
      <c r="A36" s="8">
        <v>43104.246666666666</v>
      </c>
      <c r="B36" s="20" t="s">
        <v>663</v>
      </c>
      <c r="C36" s="20" t="s">
        <v>723</v>
      </c>
      <c r="D36" s="137">
        <v>3840000</v>
      </c>
      <c r="E36" s="20" t="s">
        <v>533</v>
      </c>
      <c r="F36" s="20" t="s">
        <v>534</v>
      </c>
      <c r="G36" s="8" t="str">
        <f t="shared" si="0"/>
        <v>LONG FULLER</v>
      </c>
      <c r="H36" s="20" t="str">
        <f t="shared" si="1"/>
        <v>4046</v>
      </c>
    </row>
    <row r="37" spans="1:8" x14ac:dyDescent="0.3">
      <c r="A37" s="8">
        <v>43104.247106481482</v>
      </c>
      <c r="B37" s="20" t="s">
        <v>476</v>
      </c>
      <c r="C37" s="20" t="s">
        <v>724</v>
      </c>
      <c r="D37" s="137">
        <v>2440000</v>
      </c>
      <c r="E37" s="20" t="s">
        <v>450</v>
      </c>
      <c r="F37" s="20" t="s">
        <v>451</v>
      </c>
      <c r="G37" s="8" t="str">
        <f t="shared" si="0"/>
        <v>LOPES KIMBERLY</v>
      </c>
      <c r="H37" s="20" t="str">
        <f t="shared" si="1"/>
        <v>4009</v>
      </c>
    </row>
    <row r="38" spans="1:8" x14ac:dyDescent="0.3">
      <c r="A38" s="8">
        <v>43104.250787037039</v>
      </c>
      <c r="B38" s="20" t="s">
        <v>725</v>
      </c>
      <c r="C38" s="20" t="s">
        <v>726</v>
      </c>
      <c r="D38" s="137">
        <v>3000000</v>
      </c>
      <c r="E38" s="20" t="s">
        <v>578</v>
      </c>
      <c r="F38" s="20" t="s">
        <v>579</v>
      </c>
      <c r="G38" s="8" t="str">
        <f t="shared" si="0"/>
        <v>FORTUNATO FRANK</v>
      </c>
      <c r="H38" s="20" t="str">
        <f t="shared" si="1"/>
        <v>4016</v>
      </c>
    </row>
    <row r="39" spans="1:8" x14ac:dyDescent="0.3">
      <c r="A39" s="8">
        <v>43104.254895833335</v>
      </c>
      <c r="B39" s="20" t="s">
        <v>511</v>
      </c>
      <c r="C39" s="20" t="s">
        <v>727</v>
      </c>
      <c r="D39" s="137">
        <v>1100000</v>
      </c>
      <c r="E39" s="20" t="s">
        <v>576</v>
      </c>
      <c r="F39" s="20" t="s">
        <v>577</v>
      </c>
      <c r="G39" s="8" t="str">
        <f t="shared" si="0"/>
        <v>GEBRETEKLE DAGNEW</v>
      </c>
      <c r="H39" s="20" t="str">
        <f t="shared" si="1"/>
        <v>4064</v>
      </c>
    </row>
    <row r="40" spans="1:8" x14ac:dyDescent="0.3">
      <c r="A40" s="8">
        <v>43104.258796296293</v>
      </c>
      <c r="B40" s="25" t="s">
        <v>362</v>
      </c>
      <c r="C40" s="20" t="s">
        <v>659</v>
      </c>
      <c r="D40" s="137">
        <v>1110000</v>
      </c>
      <c r="E40" s="20" t="s">
        <v>694</v>
      </c>
      <c r="F40" s="20" t="s">
        <v>695</v>
      </c>
      <c r="G40" s="8" t="str">
        <f t="shared" si="0"/>
        <v>STARKS ANGELINA</v>
      </c>
      <c r="H40" s="20" t="str">
        <f t="shared" si="1"/>
        <v>4017</v>
      </c>
    </row>
    <row r="41" spans="1:8" x14ac:dyDescent="0.3">
      <c r="A41" s="8">
        <v>43104.267094907409</v>
      </c>
      <c r="B41" s="20" t="s">
        <v>676</v>
      </c>
      <c r="C41" s="20" t="s">
        <v>728</v>
      </c>
      <c r="D41" s="137">
        <v>2600000</v>
      </c>
      <c r="E41" s="20" t="s">
        <v>495</v>
      </c>
      <c r="F41" s="20" t="s">
        <v>486</v>
      </c>
      <c r="G41" s="8" t="str">
        <f t="shared" si="0"/>
        <v>DAVIDSON DAVID</v>
      </c>
      <c r="H41" s="20" t="str">
        <f t="shared" si="1"/>
        <v>4043</v>
      </c>
    </row>
    <row r="42" spans="1:8" x14ac:dyDescent="0.3">
      <c r="A42" s="8">
        <v>43104.267280092594</v>
      </c>
      <c r="B42" s="20" t="s">
        <v>447</v>
      </c>
      <c r="C42" s="20" t="s">
        <v>729</v>
      </c>
      <c r="D42" s="137">
        <v>3040000</v>
      </c>
      <c r="E42" s="20" t="s">
        <v>368</v>
      </c>
      <c r="F42" s="20" t="s">
        <v>702</v>
      </c>
      <c r="G42" s="8" t="str">
        <f t="shared" si="0"/>
        <v>WILLIAMS DONTE</v>
      </c>
      <c r="H42" s="20" t="str">
        <f t="shared" si="1"/>
        <v>4052</v>
      </c>
    </row>
    <row r="43" spans="1:8" x14ac:dyDescent="0.3">
      <c r="A43" s="8">
        <v>43104.26866898148</v>
      </c>
      <c r="B43" s="20" t="s">
        <v>672</v>
      </c>
      <c r="C43" s="20" t="s">
        <v>730</v>
      </c>
      <c r="D43" s="137">
        <v>3000000</v>
      </c>
      <c r="E43" s="20" t="s">
        <v>578</v>
      </c>
      <c r="F43" s="20" t="s">
        <v>579</v>
      </c>
      <c r="G43" s="8" t="str">
        <f t="shared" si="0"/>
        <v>FORTUNATO FRANK</v>
      </c>
      <c r="H43" s="20" t="str">
        <f t="shared" si="1"/>
        <v>4015</v>
      </c>
    </row>
    <row r="44" spans="1:8" x14ac:dyDescent="0.3">
      <c r="A44" s="8">
        <v>43104.269189814811</v>
      </c>
      <c r="B44" s="20" t="s">
        <v>442</v>
      </c>
      <c r="C44" s="20" t="s">
        <v>731</v>
      </c>
      <c r="D44" s="137">
        <v>2440000</v>
      </c>
      <c r="E44" s="20" t="s">
        <v>450</v>
      </c>
      <c r="F44" s="20" t="s">
        <v>451</v>
      </c>
      <c r="G44" s="8" t="str">
        <f t="shared" si="0"/>
        <v>LOPES KIMBERLY</v>
      </c>
      <c r="H44" s="20" t="str">
        <f t="shared" si="1"/>
        <v>4010</v>
      </c>
    </row>
    <row r="45" spans="1:8" x14ac:dyDescent="0.3">
      <c r="A45" s="8">
        <v>43104.27648148148</v>
      </c>
      <c r="B45" s="20" t="s">
        <v>573</v>
      </c>
      <c r="C45" s="20" t="s">
        <v>732</v>
      </c>
      <c r="D45" s="137">
        <v>900000</v>
      </c>
      <c r="E45" s="20" t="s">
        <v>686</v>
      </c>
      <c r="F45" s="20" t="s">
        <v>687</v>
      </c>
      <c r="G45" s="8" t="str">
        <f t="shared" si="0"/>
        <v>ROCHA YAOTL</v>
      </c>
      <c r="H45" s="20" t="str">
        <f t="shared" si="1"/>
        <v>4034</v>
      </c>
    </row>
    <row r="46" spans="1:8" x14ac:dyDescent="0.3">
      <c r="A46" s="8">
        <v>43104.279814814814</v>
      </c>
      <c r="B46" s="20" t="s">
        <v>657</v>
      </c>
      <c r="C46" s="20" t="s">
        <v>733</v>
      </c>
      <c r="D46" s="137">
        <v>3840000</v>
      </c>
      <c r="E46" s="20" t="s">
        <v>533</v>
      </c>
      <c r="F46" s="20" t="s">
        <v>534</v>
      </c>
      <c r="G46" s="8" t="str">
        <f t="shared" si="0"/>
        <v>LONG FULLER</v>
      </c>
      <c r="H46" s="20" t="str">
        <f t="shared" si="1"/>
        <v>4045</v>
      </c>
    </row>
    <row r="47" spans="1:8" x14ac:dyDescent="0.3">
      <c r="A47" s="8">
        <v>43104.286678240744</v>
      </c>
      <c r="B47" s="20" t="s">
        <v>674</v>
      </c>
      <c r="C47" s="20" t="s">
        <v>734</v>
      </c>
      <c r="D47" s="137">
        <v>1340000</v>
      </c>
      <c r="E47" s="20" t="s">
        <v>709</v>
      </c>
      <c r="F47" s="20" t="s">
        <v>710</v>
      </c>
      <c r="G47" s="8" t="str">
        <f t="shared" si="0"/>
        <v>BEAM ROSS</v>
      </c>
      <c r="H47" s="20" t="str">
        <f t="shared" si="1"/>
        <v>4032</v>
      </c>
    </row>
    <row r="48" spans="1:8" x14ac:dyDescent="0.3">
      <c r="A48" s="8">
        <v>43104.286956018521</v>
      </c>
      <c r="B48" s="20" t="s">
        <v>532</v>
      </c>
      <c r="C48" s="20" t="s">
        <v>735</v>
      </c>
      <c r="D48" s="137">
        <v>1100000</v>
      </c>
      <c r="E48" s="20" t="s">
        <v>576</v>
      </c>
      <c r="F48" s="20" t="s">
        <v>577</v>
      </c>
      <c r="G48" s="8" t="str">
        <f t="shared" si="0"/>
        <v>GEBRETEKLE DAGNEW</v>
      </c>
      <c r="H48" s="20" t="str">
        <f t="shared" si="1"/>
        <v>4063</v>
      </c>
    </row>
    <row r="49" spans="1:8" x14ac:dyDescent="0.3">
      <c r="A49" s="8">
        <v>43104.289456018516</v>
      </c>
      <c r="B49" s="20" t="s">
        <v>476</v>
      </c>
      <c r="C49" s="20" t="s">
        <v>736</v>
      </c>
      <c r="D49" s="137">
        <v>2440000</v>
      </c>
      <c r="E49" s="20" t="s">
        <v>450</v>
      </c>
      <c r="F49" s="20" t="s">
        <v>451</v>
      </c>
      <c r="G49" s="8" t="str">
        <f t="shared" si="0"/>
        <v>LOPES KIMBERLY</v>
      </c>
      <c r="H49" s="20" t="str">
        <f t="shared" si="1"/>
        <v>4009</v>
      </c>
    </row>
    <row r="50" spans="1:8" x14ac:dyDescent="0.3">
      <c r="A50" s="8">
        <v>43104.290509259263</v>
      </c>
      <c r="B50" s="20" t="s">
        <v>725</v>
      </c>
      <c r="C50" s="20" t="s">
        <v>737</v>
      </c>
      <c r="D50" s="137">
        <v>3000000</v>
      </c>
      <c r="E50" s="20" t="s">
        <v>578</v>
      </c>
      <c r="F50" s="20" t="s">
        <v>579</v>
      </c>
      <c r="G50" s="8" t="str">
        <f t="shared" si="0"/>
        <v>FORTUNATO FRANK</v>
      </c>
      <c r="H50" s="20" t="str">
        <f t="shared" si="1"/>
        <v>4016</v>
      </c>
    </row>
    <row r="51" spans="1:8" x14ac:dyDescent="0.3">
      <c r="A51" s="8">
        <v>43104.301701388889</v>
      </c>
      <c r="B51" s="20" t="s">
        <v>360</v>
      </c>
      <c r="C51" s="20" t="s">
        <v>738</v>
      </c>
      <c r="D51" s="137">
        <v>1110000</v>
      </c>
      <c r="E51" s="20" t="s">
        <v>694</v>
      </c>
      <c r="F51" s="20" t="s">
        <v>695</v>
      </c>
      <c r="G51" s="8" t="str">
        <f t="shared" si="0"/>
        <v>STARKS ANGELINA</v>
      </c>
      <c r="H51" s="20" t="str">
        <f t="shared" si="1"/>
        <v>4018</v>
      </c>
    </row>
    <row r="52" spans="1:8" x14ac:dyDescent="0.3">
      <c r="A52" s="8">
        <v>43104.306631944448</v>
      </c>
      <c r="B52" s="20" t="s">
        <v>449</v>
      </c>
      <c r="C52" s="20" t="s">
        <v>739</v>
      </c>
      <c r="D52" s="137">
        <v>3040000</v>
      </c>
      <c r="E52" s="20" t="s">
        <v>368</v>
      </c>
      <c r="F52" s="20" t="s">
        <v>702</v>
      </c>
      <c r="G52" s="8" t="str">
        <f t="shared" si="0"/>
        <v>WILLIAMS DONTE</v>
      </c>
      <c r="H52" s="20" t="str">
        <f t="shared" si="1"/>
        <v>4051</v>
      </c>
    </row>
    <row r="53" spans="1:8" x14ac:dyDescent="0.3">
      <c r="A53" s="8">
        <v>43104.30804398148</v>
      </c>
      <c r="B53" s="20" t="s">
        <v>478</v>
      </c>
      <c r="C53" s="20" t="s">
        <v>740</v>
      </c>
      <c r="D53" s="137">
        <v>2600000</v>
      </c>
      <c r="E53" s="20" t="s">
        <v>495</v>
      </c>
      <c r="F53" s="20" t="s">
        <v>486</v>
      </c>
      <c r="G53" s="8" t="str">
        <f t="shared" si="0"/>
        <v>DAVIDSON DAVID</v>
      </c>
      <c r="H53" s="20" t="str">
        <f t="shared" si="1"/>
        <v>4044</v>
      </c>
    </row>
    <row r="54" spans="1:8" x14ac:dyDescent="0.3">
      <c r="A54" s="8">
        <v>43104.310069444444</v>
      </c>
      <c r="B54" s="20" t="s">
        <v>672</v>
      </c>
      <c r="C54" s="20" t="s">
        <v>741</v>
      </c>
      <c r="D54" s="137">
        <v>3000000</v>
      </c>
      <c r="E54" s="20" t="s">
        <v>578</v>
      </c>
      <c r="F54" s="20" t="s">
        <v>579</v>
      </c>
      <c r="G54" s="8" t="str">
        <f t="shared" si="0"/>
        <v>FORTUNATO FRANK</v>
      </c>
      <c r="H54" s="20" t="str">
        <f t="shared" si="1"/>
        <v>4015</v>
      </c>
    </row>
    <row r="55" spans="1:8" x14ac:dyDescent="0.3">
      <c r="A55" s="8">
        <v>43104.314988425926</v>
      </c>
      <c r="B55" s="20" t="s">
        <v>442</v>
      </c>
      <c r="C55" s="20" t="s">
        <v>742</v>
      </c>
      <c r="D55" s="137">
        <v>2440000</v>
      </c>
      <c r="E55" s="20" t="s">
        <v>450</v>
      </c>
      <c r="F55" s="20" t="s">
        <v>451</v>
      </c>
      <c r="G55" s="8" t="str">
        <f t="shared" si="0"/>
        <v>LOPES KIMBERLY</v>
      </c>
      <c r="H55" s="20" t="str">
        <f t="shared" si="1"/>
        <v>4010</v>
      </c>
    </row>
    <row r="56" spans="1:8" x14ac:dyDescent="0.3">
      <c r="A56" s="8">
        <v>43104.317303240743</v>
      </c>
      <c r="B56" s="20" t="s">
        <v>707</v>
      </c>
      <c r="C56" s="20" t="s">
        <v>743</v>
      </c>
      <c r="D56" s="137">
        <v>1340000</v>
      </c>
      <c r="E56" s="20" t="s">
        <v>709</v>
      </c>
      <c r="F56" s="20" t="s">
        <v>710</v>
      </c>
      <c r="G56" s="8" t="str">
        <f t="shared" si="0"/>
        <v>BEAM ROSS</v>
      </c>
      <c r="H56" s="20" t="str">
        <f t="shared" si="1"/>
        <v>4031</v>
      </c>
    </row>
    <row r="57" spans="1:8" x14ac:dyDescent="0.3">
      <c r="A57" s="8">
        <v>43104.318402777775</v>
      </c>
      <c r="B57" s="20" t="s">
        <v>663</v>
      </c>
      <c r="C57" s="20" t="s">
        <v>744</v>
      </c>
      <c r="D57" s="137">
        <v>3840000</v>
      </c>
      <c r="E57" s="20" t="s">
        <v>533</v>
      </c>
      <c r="F57" s="20" t="s">
        <v>534</v>
      </c>
      <c r="G57" s="8" t="str">
        <f t="shared" si="0"/>
        <v>LONG FULLER</v>
      </c>
      <c r="H57" s="20" t="str">
        <f t="shared" si="1"/>
        <v>4046</v>
      </c>
    </row>
    <row r="58" spans="1:8" x14ac:dyDescent="0.3">
      <c r="A58" s="8">
        <v>43104.319953703707</v>
      </c>
      <c r="B58" s="20" t="s">
        <v>510</v>
      </c>
      <c r="C58" s="20" t="s">
        <v>745</v>
      </c>
      <c r="D58" s="137">
        <v>900000</v>
      </c>
      <c r="E58" s="20" t="s">
        <v>686</v>
      </c>
      <c r="F58" s="20" t="s">
        <v>687</v>
      </c>
      <c r="G58" s="8" t="str">
        <f t="shared" si="0"/>
        <v>ROCHA YAOTL</v>
      </c>
      <c r="H58" s="20" t="str">
        <f t="shared" si="1"/>
        <v>4033</v>
      </c>
    </row>
    <row r="59" spans="1:8" x14ac:dyDescent="0.3">
      <c r="A59" s="8">
        <v>43104.327638888892</v>
      </c>
      <c r="B59" s="20" t="s">
        <v>511</v>
      </c>
      <c r="C59" s="20" t="s">
        <v>746</v>
      </c>
      <c r="D59" s="137">
        <v>1100000</v>
      </c>
      <c r="E59" s="20" t="s">
        <v>576</v>
      </c>
      <c r="F59" s="20" t="s">
        <v>577</v>
      </c>
      <c r="G59" s="8" t="str">
        <f t="shared" si="0"/>
        <v>GEBRETEKLE DAGNEW</v>
      </c>
      <c r="H59" s="20" t="str">
        <f t="shared" si="1"/>
        <v>4064</v>
      </c>
    </row>
    <row r="60" spans="1:8" x14ac:dyDescent="0.3">
      <c r="A60" s="8">
        <v>43104.331064814818</v>
      </c>
      <c r="B60" s="20" t="s">
        <v>476</v>
      </c>
      <c r="C60" s="20" t="s">
        <v>660</v>
      </c>
      <c r="D60" s="137">
        <v>2440000</v>
      </c>
      <c r="E60" s="20" t="s">
        <v>450</v>
      </c>
      <c r="F60" s="20" t="s">
        <v>451</v>
      </c>
      <c r="G60" s="8" t="str">
        <f t="shared" si="0"/>
        <v>LOPES KIMBERLY</v>
      </c>
      <c r="H60" s="20" t="str">
        <f t="shared" si="1"/>
        <v>4009</v>
      </c>
    </row>
    <row r="61" spans="1:8" x14ac:dyDescent="0.3">
      <c r="A61" s="8">
        <v>43104.3362037037</v>
      </c>
      <c r="B61" s="20" t="s">
        <v>362</v>
      </c>
      <c r="C61" s="20" t="s">
        <v>747</v>
      </c>
      <c r="D61" s="137">
        <v>1110000</v>
      </c>
      <c r="E61" s="20" t="s">
        <v>694</v>
      </c>
      <c r="F61" s="20" t="s">
        <v>695</v>
      </c>
      <c r="G61" s="8" t="str">
        <f t="shared" si="0"/>
        <v>STARKS ANGELINA</v>
      </c>
      <c r="H61" s="20" t="str">
        <f t="shared" si="1"/>
        <v>4017</v>
      </c>
    </row>
    <row r="62" spans="1:8" x14ac:dyDescent="0.3">
      <c r="A62" s="8">
        <v>43104.336817129632</v>
      </c>
      <c r="B62" s="20" t="s">
        <v>725</v>
      </c>
      <c r="C62" s="20" t="s">
        <v>748</v>
      </c>
      <c r="D62" s="137">
        <v>3000000</v>
      </c>
      <c r="E62" s="20" t="s">
        <v>578</v>
      </c>
      <c r="F62" s="20" t="s">
        <v>579</v>
      </c>
      <c r="G62" s="8" t="str">
        <f t="shared" si="0"/>
        <v>FORTUNATO FRANK</v>
      </c>
      <c r="H62" s="20" t="str">
        <f t="shared" si="1"/>
        <v>4016</v>
      </c>
    </row>
    <row r="63" spans="1:8" x14ac:dyDescent="0.3">
      <c r="A63" s="8">
        <v>43104.339629629627</v>
      </c>
      <c r="B63" s="20" t="s">
        <v>676</v>
      </c>
      <c r="C63" s="20" t="s">
        <v>749</v>
      </c>
      <c r="D63" s="137">
        <v>2600000</v>
      </c>
      <c r="E63" s="20" t="s">
        <v>495</v>
      </c>
      <c r="F63" s="20" t="s">
        <v>486</v>
      </c>
      <c r="G63" s="8" t="str">
        <f t="shared" si="0"/>
        <v>DAVIDSON DAVID</v>
      </c>
      <c r="H63" s="20" t="str">
        <f t="shared" si="1"/>
        <v>4043</v>
      </c>
    </row>
    <row r="64" spans="1:8" x14ac:dyDescent="0.3">
      <c r="A64" s="26">
        <v>43104.33965277778</v>
      </c>
      <c r="B64" s="20" t="s">
        <v>447</v>
      </c>
      <c r="C64" s="20" t="s">
        <v>750</v>
      </c>
      <c r="D64" s="137">
        <v>3040000</v>
      </c>
      <c r="E64" s="20" t="s">
        <v>368</v>
      </c>
      <c r="F64" s="20" t="s">
        <v>702</v>
      </c>
      <c r="G64" s="8" t="str">
        <f t="shared" si="0"/>
        <v>WILLIAMS DONTE</v>
      </c>
      <c r="H64" s="20" t="str">
        <f t="shared" si="1"/>
        <v>4052</v>
      </c>
    </row>
    <row r="65" spans="1:8" x14ac:dyDescent="0.3">
      <c r="A65" s="8">
        <v>43104.349710648145</v>
      </c>
      <c r="B65" s="20" t="s">
        <v>357</v>
      </c>
      <c r="C65" s="20" t="s">
        <v>661</v>
      </c>
      <c r="D65" s="137">
        <v>3180000</v>
      </c>
      <c r="E65" s="20" t="s">
        <v>574</v>
      </c>
      <c r="F65" s="20" t="s">
        <v>575</v>
      </c>
      <c r="G65" s="8" t="str">
        <f t="shared" si="0"/>
        <v>HUFFSMITH MONTY</v>
      </c>
      <c r="H65" s="20" t="str">
        <f t="shared" si="1"/>
        <v>4060</v>
      </c>
    </row>
    <row r="66" spans="1:8" x14ac:dyDescent="0.3">
      <c r="A66" s="8">
        <v>43104.351724537039</v>
      </c>
      <c r="B66" s="20" t="s">
        <v>672</v>
      </c>
      <c r="C66" s="20" t="s">
        <v>751</v>
      </c>
      <c r="D66" s="137">
        <v>3000000</v>
      </c>
      <c r="E66" s="20" t="s">
        <v>578</v>
      </c>
      <c r="F66" s="20" t="s">
        <v>579</v>
      </c>
      <c r="G66" s="8" t="str">
        <f t="shared" si="0"/>
        <v>FORTUNATO FRANK</v>
      </c>
      <c r="H66" s="20" t="str">
        <f t="shared" si="1"/>
        <v>4015</v>
      </c>
    </row>
    <row r="67" spans="1:8" x14ac:dyDescent="0.3">
      <c r="A67" s="8">
        <v>43104.352337962962</v>
      </c>
      <c r="B67" s="20" t="s">
        <v>573</v>
      </c>
      <c r="C67" s="20" t="s">
        <v>752</v>
      </c>
      <c r="D67" s="137">
        <v>900000</v>
      </c>
      <c r="E67" s="20" t="s">
        <v>686</v>
      </c>
      <c r="F67" s="20" t="s">
        <v>687</v>
      </c>
      <c r="G67" s="8" t="str">
        <f t="shared" ref="G67:G130" si="2">E67&amp;" "&amp;F67</f>
        <v>ROCHA YAOTL</v>
      </c>
      <c r="H67" s="20" t="str">
        <f t="shared" ref="H67:H130" si="3">MID(B67,13,4)</f>
        <v>4034</v>
      </c>
    </row>
    <row r="68" spans="1:8" x14ac:dyDescent="0.3">
      <c r="A68" s="8">
        <v>43104.352349537039</v>
      </c>
      <c r="B68" s="20" t="s">
        <v>657</v>
      </c>
      <c r="C68" s="20" t="s">
        <v>753</v>
      </c>
      <c r="D68" s="137">
        <v>3840000</v>
      </c>
      <c r="E68" s="20" t="s">
        <v>533</v>
      </c>
      <c r="F68" s="20" t="s">
        <v>534</v>
      </c>
      <c r="G68" s="8" t="str">
        <f t="shared" si="2"/>
        <v>LONG FULLER</v>
      </c>
      <c r="H68" s="20" t="str">
        <f t="shared" si="3"/>
        <v>4045</v>
      </c>
    </row>
    <row r="69" spans="1:8" x14ac:dyDescent="0.3">
      <c r="A69" s="8">
        <v>43104.352939814817</v>
      </c>
      <c r="B69" s="20" t="s">
        <v>442</v>
      </c>
      <c r="C69" s="20" t="s">
        <v>754</v>
      </c>
      <c r="D69" s="137">
        <v>2440000</v>
      </c>
      <c r="E69" s="20" t="s">
        <v>450</v>
      </c>
      <c r="F69" s="20" t="s">
        <v>451</v>
      </c>
      <c r="G69" s="8" t="str">
        <f t="shared" si="2"/>
        <v>LOPES KIMBERLY</v>
      </c>
      <c r="H69" s="20" t="str">
        <f t="shared" si="3"/>
        <v>4010</v>
      </c>
    </row>
    <row r="70" spans="1:8" x14ac:dyDescent="0.3">
      <c r="A70" s="8">
        <v>43104.359016203707</v>
      </c>
      <c r="B70" s="20" t="s">
        <v>532</v>
      </c>
      <c r="C70" s="20" t="s">
        <v>755</v>
      </c>
      <c r="D70" s="137">
        <v>1100000</v>
      </c>
      <c r="E70" s="20" t="s">
        <v>576</v>
      </c>
      <c r="F70" s="20" t="s">
        <v>577</v>
      </c>
      <c r="G70" s="8" t="str">
        <f t="shared" si="2"/>
        <v>GEBRETEKLE DAGNEW</v>
      </c>
      <c r="H70" s="20" t="str">
        <f t="shared" si="3"/>
        <v>4063</v>
      </c>
    </row>
    <row r="71" spans="1:8" x14ac:dyDescent="0.3">
      <c r="A71" s="8">
        <v>43104.361805555556</v>
      </c>
      <c r="B71" s="20" t="s">
        <v>674</v>
      </c>
      <c r="C71" s="20" t="s">
        <v>756</v>
      </c>
      <c r="D71" s="137">
        <v>1340000</v>
      </c>
      <c r="E71" s="20" t="s">
        <v>709</v>
      </c>
      <c r="F71" s="20" t="s">
        <v>710</v>
      </c>
      <c r="G71" s="8" t="str">
        <f t="shared" si="2"/>
        <v>BEAM ROSS</v>
      </c>
      <c r="H71" s="20" t="str">
        <f t="shared" si="3"/>
        <v>4032</v>
      </c>
    </row>
    <row r="72" spans="1:8" x14ac:dyDescent="0.3">
      <c r="A72" s="8">
        <v>43104.373449074075</v>
      </c>
      <c r="B72" s="20" t="s">
        <v>360</v>
      </c>
      <c r="C72" s="20" t="s">
        <v>757</v>
      </c>
      <c r="D72" s="137">
        <v>1110000</v>
      </c>
      <c r="E72" s="20" t="s">
        <v>694</v>
      </c>
      <c r="F72" s="20" t="s">
        <v>695</v>
      </c>
      <c r="G72" s="8" t="str">
        <f t="shared" si="2"/>
        <v>STARKS ANGELINA</v>
      </c>
      <c r="H72" s="20" t="str">
        <f t="shared" si="3"/>
        <v>4018</v>
      </c>
    </row>
    <row r="73" spans="1:8" x14ac:dyDescent="0.3">
      <c r="A73" s="8">
        <v>43104.373831018522</v>
      </c>
      <c r="B73" s="20" t="s">
        <v>725</v>
      </c>
      <c r="C73" s="20" t="s">
        <v>758</v>
      </c>
      <c r="D73" s="137">
        <v>3000000</v>
      </c>
      <c r="E73" s="20" t="s">
        <v>578</v>
      </c>
      <c r="F73" s="20" t="s">
        <v>579</v>
      </c>
      <c r="G73" s="8" t="str">
        <f t="shared" si="2"/>
        <v>FORTUNATO FRANK</v>
      </c>
      <c r="H73" s="20" t="str">
        <f t="shared" si="3"/>
        <v>4016</v>
      </c>
    </row>
    <row r="74" spans="1:8" x14ac:dyDescent="0.3">
      <c r="A74" s="8">
        <v>43104.374143518522</v>
      </c>
      <c r="B74" s="20" t="s">
        <v>360</v>
      </c>
      <c r="C74" s="20" t="s">
        <v>757</v>
      </c>
      <c r="D74" s="137">
        <v>1110000</v>
      </c>
      <c r="E74" s="20" t="s">
        <v>694</v>
      </c>
      <c r="F74" s="20" t="s">
        <v>695</v>
      </c>
      <c r="G74" s="8" t="str">
        <f t="shared" si="2"/>
        <v>STARKS ANGELINA</v>
      </c>
      <c r="H74" s="20" t="str">
        <f t="shared" si="3"/>
        <v>4018</v>
      </c>
    </row>
    <row r="75" spans="1:8" x14ac:dyDescent="0.3">
      <c r="A75" s="8">
        <v>43104.378078703703</v>
      </c>
      <c r="B75" s="20" t="s">
        <v>390</v>
      </c>
      <c r="C75" s="20" t="s">
        <v>759</v>
      </c>
      <c r="D75" s="137">
        <v>3180000</v>
      </c>
      <c r="E75" s="20" t="s">
        <v>574</v>
      </c>
      <c r="F75" s="20" t="s">
        <v>575</v>
      </c>
      <c r="G75" s="8" t="str">
        <f t="shared" si="2"/>
        <v>HUFFSMITH MONTY</v>
      </c>
      <c r="H75" s="20" t="str">
        <f t="shared" si="3"/>
        <v>4059</v>
      </c>
    </row>
    <row r="76" spans="1:8" x14ac:dyDescent="0.3">
      <c r="A76" s="8">
        <v>43104.378645833334</v>
      </c>
      <c r="B76" s="20" t="s">
        <v>449</v>
      </c>
      <c r="C76" s="20" t="s">
        <v>662</v>
      </c>
      <c r="D76" s="137">
        <v>3040000</v>
      </c>
      <c r="E76" s="20" t="s">
        <v>368</v>
      </c>
      <c r="F76" s="20" t="s">
        <v>702</v>
      </c>
      <c r="G76" s="8" t="str">
        <f t="shared" si="2"/>
        <v>WILLIAMS DONTE</v>
      </c>
      <c r="H76" s="20" t="str">
        <f t="shared" si="3"/>
        <v>4051</v>
      </c>
    </row>
    <row r="77" spans="1:8" x14ac:dyDescent="0.3">
      <c r="A77" s="8">
        <v>43104.381678240738</v>
      </c>
      <c r="B77" s="20" t="s">
        <v>478</v>
      </c>
      <c r="C77" s="20" t="s">
        <v>760</v>
      </c>
      <c r="D77" s="137">
        <v>2600000</v>
      </c>
      <c r="E77" s="20" t="s">
        <v>495</v>
      </c>
      <c r="F77" s="20" t="s">
        <v>486</v>
      </c>
      <c r="G77" s="8" t="str">
        <f t="shared" si="2"/>
        <v>DAVIDSON DAVID</v>
      </c>
      <c r="H77" s="20" t="str">
        <f t="shared" si="3"/>
        <v>4044</v>
      </c>
    </row>
    <row r="78" spans="1:8" x14ac:dyDescent="0.3">
      <c r="A78" s="8">
        <v>43104.391087962962</v>
      </c>
      <c r="B78" s="20" t="s">
        <v>707</v>
      </c>
      <c r="C78" s="20" t="s">
        <v>761</v>
      </c>
      <c r="D78" s="137">
        <v>1340000</v>
      </c>
      <c r="E78" s="20" t="s">
        <v>709</v>
      </c>
      <c r="F78" s="20" t="s">
        <v>710</v>
      </c>
      <c r="G78" s="8" t="str">
        <f t="shared" si="2"/>
        <v>BEAM ROSS</v>
      </c>
      <c r="H78" s="20" t="str">
        <f t="shared" si="3"/>
        <v>4031</v>
      </c>
    </row>
    <row r="79" spans="1:8" x14ac:dyDescent="0.3">
      <c r="A79" s="8">
        <v>43104.39135416667</v>
      </c>
      <c r="B79" s="20" t="s">
        <v>663</v>
      </c>
      <c r="C79" s="20" t="s">
        <v>664</v>
      </c>
      <c r="D79" s="137">
        <v>3840000</v>
      </c>
      <c r="E79" s="20" t="s">
        <v>533</v>
      </c>
      <c r="F79" s="20" t="s">
        <v>534</v>
      </c>
      <c r="G79" s="8" t="str">
        <f t="shared" si="2"/>
        <v>LONG FULLER</v>
      </c>
      <c r="H79" s="20" t="str">
        <f t="shared" si="3"/>
        <v>4046</v>
      </c>
    </row>
    <row r="80" spans="1:8" x14ac:dyDescent="0.3">
      <c r="A80" s="8">
        <v>43104.391701388886</v>
      </c>
      <c r="B80" s="20" t="s">
        <v>510</v>
      </c>
      <c r="C80" s="20" t="s">
        <v>762</v>
      </c>
      <c r="D80" s="137">
        <v>900000</v>
      </c>
      <c r="E80" s="20" t="s">
        <v>686</v>
      </c>
      <c r="F80" s="20" t="s">
        <v>687</v>
      </c>
      <c r="G80" s="8" t="str">
        <f t="shared" si="2"/>
        <v>ROCHA YAOTL</v>
      </c>
      <c r="H80" s="20" t="str">
        <f t="shared" si="3"/>
        <v>4033</v>
      </c>
    </row>
    <row r="81" spans="1:8" x14ac:dyDescent="0.3">
      <c r="A81" s="8">
        <v>43104.393460648149</v>
      </c>
      <c r="B81" s="20" t="s">
        <v>672</v>
      </c>
      <c r="C81" s="20" t="s">
        <v>763</v>
      </c>
      <c r="D81" s="137">
        <v>3000000</v>
      </c>
      <c r="E81" s="20" t="s">
        <v>578</v>
      </c>
      <c r="F81" s="20" t="s">
        <v>579</v>
      </c>
      <c r="G81" s="8" t="str">
        <f t="shared" si="2"/>
        <v>FORTUNATO FRANK</v>
      </c>
      <c r="H81" s="20" t="str">
        <f t="shared" si="3"/>
        <v>4015</v>
      </c>
    </row>
    <row r="82" spans="1:8" x14ac:dyDescent="0.3">
      <c r="A82" s="8">
        <v>43104.398379629631</v>
      </c>
      <c r="B82" s="20" t="s">
        <v>357</v>
      </c>
      <c r="C82" s="20" t="s">
        <v>665</v>
      </c>
      <c r="D82" s="137">
        <v>3500000</v>
      </c>
      <c r="E82" s="20" t="s">
        <v>376</v>
      </c>
      <c r="F82" s="20" t="s">
        <v>377</v>
      </c>
      <c r="G82" s="8" t="str">
        <f t="shared" si="2"/>
        <v>GUNTHIER ERIC</v>
      </c>
      <c r="H82" s="20" t="str">
        <f t="shared" si="3"/>
        <v>4060</v>
      </c>
    </row>
    <row r="83" spans="1:8" x14ac:dyDescent="0.3">
      <c r="A83" s="8">
        <v>43104.401018518518</v>
      </c>
      <c r="B83" s="20" t="s">
        <v>357</v>
      </c>
      <c r="C83" s="20" t="s">
        <v>665</v>
      </c>
      <c r="D83" s="137">
        <v>3500000</v>
      </c>
      <c r="E83" s="20" t="s">
        <v>376</v>
      </c>
      <c r="F83" s="20" t="s">
        <v>377</v>
      </c>
      <c r="G83" s="8" t="str">
        <f t="shared" si="2"/>
        <v>GUNTHIER ERIC</v>
      </c>
      <c r="H83" s="20" t="str">
        <f t="shared" si="3"/>
        <v>4060</v>
      </c>
    </row>
    <row r="84" spans="1:8" x14ac:dyDescent="0.3">
      <c r="A84" s="8">
        <v>43104.401562500003</v>
      </c>
      <c r="B84" s="20" t="s">
        <v>511</v>
      </c>
      <c r="C84" s="20" t="s">
        <v>764</v>
      </c>
      <c r="D84" s="137">
        <v>1100000</v>
      </c>
      <c r="E84" s="20" t="s">
        <v>576</v>
      </c>
      <c r="F84" s="20" t="s">
        <v>577</v>
      </c>
      <c r="G84" s="8" t="str">
        <f t="shared" si="2"/>
        <v>GEBRETEKLE DAGNEW</v>
      </c>
      <c r="H84" s="20" t="str">
        <f t="shared" si="3"/>
        <v>4064</v>
      </c>
    </row>
    <row r="85" spans="1:8" x14ac:dyDescent="0.3">
      <c r="A85" s="8">
        <v>43104.408275462964</v>
      </c>
      <c r="B85" s="20" t="s">
        <v>357</v>
      </c>
      <c r="C85" s="20" t="s">
        <v>665</v>
      </c>
      <c r="D85" s="137">
        <v>3500000</v>
      </c>
      <c r="E85" s="20" t="s">
        <v>376</v>
      </c>
      <c r="F85" s="20" t="s">
        <v>377</v>
      </c>
      <c r="G85" s="8" t="str">
        <f t="shared" si="2"/>
        <v>GUNTHIER ERIC</v>
      </c>
      <c r="H85" s="20" t="str">
        <f t="shared" si="3"/>
        <v>4060</v>
      </c>
    </row>
    <row r="86" spans="1:8" x14ac:dyDescent="0.3">
      <c r="A86" s="8">
        <v>43104.412303240744</v>
      </c>
      <c r="B86" s="20" t="s">
        <v>676</v>
      </c>
      <c r="C86" s="20" t="s">
        <v>765</v>
      </c>
      <c r="D86" s="137">
        <v>2600000</v>
      </c>
      <c r="E86" s="20" t="s">
        <v>495</v>
      </c>
      <c r="F86" s="20" t="s">
        <v>486</v>
      </c>
      <c r="G86" s="8" t="str">
        <f t="shared" si="2"/>
        <v>DAVIDSON DAVID</v>
      </c>
      <c r="H86" s="20" t="str">
        <f t="shared" si="3"/>
        <v>4043</v>
      </c>
    </row>
    <row r="87" spans="1:8" x14ac:dyDescent="0.3">
      <c r="A87" s="8">
        <v>43104.413981481484</v>
      </c>
      <c r="B87" s="20" t="s">
        <v>362</v>
      </c>
      <c r="C87" s="20" t="s">
        <v>766</v>
      </c>
      <c r="D87" s="137">
        <v>1110000</v>
      </c>
      <c r="E87" s="20" t="s">
        <v>694</v>
      </c>
      <c r="F87" s="20" t="s">
        <v>695</v>
      </c>
      <c r="G87" s="8" t="str">
        <f t="shared" si="2"/>
        <v>STARKS ANGELINA</v>
      </c>
      <c r="H87" s="20" t="str">
        <f t="shared" si="3"/>
        <v>4017</v>
      </c>
    </row>
    <row r="88" spans="1:8" x14ac:dyDescent="0.3">
      <c r="A88" s="8">
        <v>43104.41511574074</v>
      </c>
      <c r="B88" s="20" t="s">
        <v>447</v>
      </c>
      <c r="C88" s="20" t="s">
        <v>767</v>
      </c>
      <c r="D88" s="137">
        <v>3040000</v>
      </c>
      <c r="E88" s="20" t="s">
        <v>368</v>
      </c>
      <c r="F88" s="20" t="s">
        <v>702</v>
      </c>
      <c r="G88" s="8" t="str">
        <f t="shared" si="2"/>
        <v>WILLIAMS DONTE</v>
      </c>
      <c r="H88" s="20" t="str">
        <f t="shared" si="3"/>
        <v>4052</v>
      </c>
    </row>
    <row r="89" spans="1:8" x14ac:dyDescent="0.3">
      <c r="A89" s="8">
        <v>43104.416689814818</v>
      </c>
      <c r="B89" s="20" t="s">
        <v>725</v>
      </c>
      <c r="C89" s="20" t="s">
        <v>768</v>
      </c>
      <c r="D89" s="137">
        <v>3000000</v>
      </c>
      <c r="E89" s="20" t="s">
        <v>578</v>
      </c>
      <c r="F89" s="20" t="s">
        <v>579</v>
      </c>
      <c r="G89" s="8" t="str">
        <f t="shared" si="2"/>
        <v>FORTUNATO FRANK</v>
      </c>
      <c r="H89" s="20" t="str">
        <f t="shared" si="3"/>
        <v>4016</v>
      </c>
    </row>
    <row r="90" spans="1:8" x14ac:dyDescent="0.3">
      <c r="A90" s="8">
        <v>43104.421886574077</v>
      </c>
      <c r="B90" s="20" t="s">
        <v>573</v>
      </c>
      <c r="C90" s="20" t="s">
        <v>769</v>
      </c>
      <c r="D90" s="137">
        <v>1760000</v>
      </c>
      <c r="E90" s="20" t="s">
        <v>770</v>
      </c>
      <c r="F90" s="20" t="s">
        <v>771</v>
      </c>
      <c r="G90" s="8" t="str">
        <f t="shared" si="2"/>
        <v>STRICKLAND EVAN</v>
      </c>
      <c r="H90" s="20" t="str">
        <f t="shared" si="3"/>
        <v>4034</v>
      </c>
    </row>
    <row r="91" spans="1:8" x14ac:dyDescent="0.3">
      <c r="A91" s="8">
        <v>43104.427349537036</v>
      </c>
      <c r="B91" s="20" t="s">
        <v>657</v>
      </c>
      <c r="C91" s="20" t="s">
        <v>772</v>
      </c>
      <c r="D91" s="137">
        <v>3840000</v>
      </c>
      <c r="E91" s="20" t="s">
        <v>533</v>
      </c>
      <c r="F91" s="20" t="s">
        <v>534</v>
      </c>
      <c r="G91" s="8" t="str">
        <f t="shared" si="2"/>
        <v>LONG FULLER</v>
      </c>
      <c r="H91" s="20" t="str">
        <f t="shared" si="3"/>
        <v>4045</v>
      </c>
    </row>
    <row r="92" spans="1:8" x14ac:dyDescent="0.3">
      <c r="A92" s="8">
        <v>43104.431296296294</v>
      </c>
      <c r="B92" s="20" t="s">
        <v>390</v>
      </c>
      <c r="C92" s="20" t="s">
        <v>666</v>
      </c>
      <c r="D92" s="137">
        <v>3500000</v>
      </c>
      <c r="E92" s="20" t="s">
        <v>376</v>
      </c>
      <c r="F92" s="20" t="s">
        <v>377</v>
      </c>
      <c r="G92" s="8" t="str">
        <f t="shared" si="2"/>
        <v>GUNTHIER ERIC</v>
      </c>
      <c r="H92" s="20" t="str">
        <f t="shared" si="3"/>
        <v>4059</v>
      </c>
    </row>
    <row r="93" spans="1:8" x14ac:dyDescent="0.3">
      <c r="A93" s="8">
        <v>43104.432523148149</v>
      </c>
      <c r="B93" s="20" t="s">
        <v>532</v>
      </c>
      <c r="C93" s="20" t="s">
        <v>773</v>
      </c>
      <c r="D93" s="137">
        <v>1100000</v>
      </c>
      <c r="E93" s="20" t="s">
        <v>576</v>
      </c>
      <c r="F93" s="20" t="s">
        <v>577</v>
      </c>
      <c r="G93" s="8" t="str">
        <f t="shared" si="2"/>
        <v>GEBRETEKLE DAGNEW</v>
      </c>
      <c r="H93" s="20" t="str">
        <f t="shared" si="3"/>
        <v>4063</v>
      </c>
    </row>
    <row r="94" spans="1:8" x14ac:dyDescent="0.3">
      <c r="A94" s="8">
        <v>43104.435312499998</v>
      </c>
      <c r="B94" s="20" t="s">
        <v>672</v>
      </c>
      <c r="C94" s="20" t="s">
        <v>774</v>
      </c>
      <c r="D94" s="137">
        <v>3000000</v>
      </c>
      <c r="E94" s="20" t="s">
        <v>578</v>
      </c>
      <c r="F94" s="20" t="s">
        <v>579</v>
      </c>
      <c r="G94" s="8" t="str">
        <f t="shared" si="2"/>
        <v>FORTUNATO FRANK</v>
      </c>
      <c r="H94" s="20" t="str">
        <f t="shared" si="3"/>
        <v>4015</v>
      </c>
    </row>
    <row r="95" spans="1:8" x14ac:dyDescent="0.3">
      <c r="A95" s="8">
        <v>43104.435636574075</v>
      </c>
      <c r="B95" s="20" t="s">
        <v>674</v>
      </c>
      <c r="C95" s="20" t="s">
        <v>775</v>
      </c>
      <c r="D95" s="137">
        <v>1340000</v>
      </c>
      <c r="E95" s="20" t="s">
        <v>709</v>
      </c>
      <c r="F95" s="20" t="s">
        <v>710</v>
      </c>
      <c r="G95" s="8" t="str">
        <f t="shared" si="2"/>
        <v>BEAM ROSS</v>
      </c>
      <c r="H95" s="20" t="str">
        <f t="shared" si="3"/>
        <v>4032</v>
      </c>
    </row>
    <row r="96" spans="1:8" x14ac:dyDescent="0.3">
      <c r="A96" s="8">
        <v>43104.447013888886</v>
      </c>
      <c r="B96" s="20" t="s">
        <v>360</v>
      </c>
      <c r="C96" s="20" t="s">
        <v>776</v>
      </c>
      <c r="D96" s="137">
        <v>2550000</v>
      </c>
      <c r="E96" s="20" t="s">
        <v>777</v>
      </c>
      <c r="F96" s="20" t="s">
        <v>778</v>
      </c>
      <c r="G96" s="8" t="str">
        <f t="shared" si="2"/>
        <v>BADERTSCHER DIANE</v>
      </c>
      <c r="H96" s="20" t="str">
        <f t="shared" si="3"/>
        <v>4018</v>
      </c>
    </row>
    <row r="97" spans="1:8" x14ac:dyDescent="0.3">
      <c r="A97" s="8">
        <v>43104.451874999999</v>
      </c>
      <c r="B97" s="20" t="s">
        <v>449</v>
      </c>
      <c r="C97" s="20" t="s">
        <v>779</v>
      </c>
      <c r="D97" s="137">
        <v>3040000</v>
      </c>
      <c r="E97" s="20" t="s">
        <v>368</v>
      </c>
      <c r="F97" s="20" t="s">
        <v>702</v>
      </c>
      <c r="G97" s="8" t="str">
        <f t="shared" si="2"/>
        <v>WILLIAMS DONTE</v>
      </c>
      <c r="H97" s="20" t="str">
        <f t="shared" si="3"/>
        <v>4051</v>
      </c>
    </row>
    <row r="98" spans="1:8" x14ac:dyDescent="0.3">
      <c r="A98" s="8">
        <v>43104.454085648147</v>
      </c>
      <c r="B98" s="20" t="s">
        <v>478</v>
      </c>
      <c r="C98" s="20" t="s">
        <v>780</v>
      </c>
      <c r="D98" s="137">
        <v>2600000</v>
      </c>
      <c r="E98" s="20" t="s">
        <v>495</v>
      </c>
      <c r="F98" s="20" t="s">
        <v>486</v>
      </c>
      <c r="G98" s="8" t="str">
        <f t="shared" si="2"/>
        <v>DAVIDSON DAVID</v>
      </c>
      <c r="H98" s="20" t="str">
        <f t="shared" si="3"/>
        <v>4044</v>
      </c>
    </row>
    <row r="99" spans="1:8" x14ac:dyDescent="0.3">
      <c r="A99" s="8">
        <v>43104.454513888886</v>
      </c>
      <c r="B99" s="20" t="s">
        <v>510</v>
      </c>
      <c r="C99" s="20" t="s">
        <v>781</v>
      </c>
      <c r="D99" s="137">
        <v>1760000</v>
      </c>
      <c r="E99" s="20" t="s">
        <v>770</v>
      </c>
      <c r="F99" s="20" t="s">
        <v>771</v>
      </c>
      <c r="G99" s="8" t="str">
        <f t="shared" si="2"/>
        <v>STRICKLAND EVAN</v>
      </c>
      <c r="H99" s="20" t="str">
        <f t="shared" si="3"/>
        <v>4033</v>
      </c>
    </row>
    <row r="100" spans="1:8" x14ac:dyDescent="0.3">
      <c r="A100" s="8">
        <v>43104.460185185184</v>
      </c>
      <c r="B100" s="20" t="s">
        <v>725</v>
      </c>
      <c r="C100" s="20" t="s">
        <v>782</v>
      </c>
      <c r="D100" s="137">
        <v>3000000</v>
      </c>
      <c r="E100" s="20" t="s">
        <v>578</v>
      </c>
      <c r="F100" s="20" t="s">
        <v>579</v>
      </c>
      <c r="G100" s="8" t="str">
        <f t="shared" si="2"/>
        <v>FORTUNATO FRANK</v>
      </c>
      <c r="H100" s="20" t="str">
        <f t="shared" si="3"/>
        <v>4016</v>
      </c>
    </row>
    <row r="101" spans="1:8" x14ac:dyDescent="0.3">
      <c r="A101" s="8">
        <v>43104.462743055556</v>
      </c>
      <c r="B101" s="20" t="s">
        <v>707</v>
      </c>
      <c r="C101" s="20" t="s">
        <v>783</v>
      </c>
      <c r="D101" s="137">
        <v>1340000</v>
      </c>
      <c r="E101" s="20" t="s">
        <v>709</v>
      </c>
      <c r="F101" s="20" t="s">
        <v>710</v>
      </c>
      <c r="G101" s="8" t="str">
        <f t="shared" si="2"/>
        <v>BEAM ROSS</v>
      </c>
      <c r="H101" s="20" t="str">
        <f t="shared" si="3"/>
        <v>4031</v>
      </c>
    </row>
    <row r="102" spans="1:8" x14ac:dyDescent="0.3">
      <c r="A102" s="8">
        <v>43104.466967592591</v>
      </c>
      <c r="B102" s="20" t="s">
        <v>663</v>
      </c>
      <c r="C102" s="20" t="s">
        <v>784</v>
      </c>
      <c r="D102" s="137">
        <v>1770000</v>
      </c>
      <c r="E102" s="20" t="s">
        <v>581</v>
      </c>
      <c r="F102" s="20" t="s">
        <v>582</v>
      </c>
      <c r="G102" s="8" t="str">
        <f t="shared" si="2"/>
        <v>BRUDER RICHARD</v>
      </c>
      <c r="H102" s="20" t="str">
        <f t="shared" si="3"/>
        <v>4046</v>
      </c>
    </row>
    <row r="103" spans="1:8" x14ac:dyDescent="0.3">
      <c r="A103" s="8">
        <v>43104.46707175926</v>
      </c>
      <c r="B103" s="20" t="s">
        <v>442</v>
      </c>
      <c r="C103" s="20" t="s">
        <v>785</v>
      </c>
      <c r="D103" s="137">
        <v>2040000</v>
      </c>
      <c r="E103" s="20" t="s">
        <v>396</v>
      </c>
      <c r="F103" s="20" t="s">
        <v>397</v>
      </c>
      <c r="G103" s="8" t="str">
        <f t="shared" si="2"/>
        <v>MOSES BRADLEY</v>
      </c>
      <c r="H103" s="20" t="str">
        <f t="shared" si="3"/>
        <v>4010</v>
      </c>
    </row>
    <row r="104" spans="1:8" x14ac:dyDescent="0.3">
      <c r="A104" s="8">
        <v>43104.473668981482</v>
      </c>
      <c r="B104" s="20" t="s">
        <v>357</v>
      </c>
      <c r="C104" s="20" t="s">
        <v>665</v>
      </c>
      <c r="D104" s="137">
        <v>3500000</v>
      </c>
      <c r="E104" s="20" t="s">
        <v>376</v>
      </c>
      <c r="F104" s="20" t="s">
        <v>377</v>
      </c>
      <c r="G104" s="8" t="str">
        <f t="shared" si="2"/>
        <v>GUNTHIER ERIC</v>
      </c>
      <c r="H104" s="20" t="str">
        <f t="shared" si="3"/>
        <v>4060</v>
      </c>
    </row>
    <row r="105" spans="1:8" x14ac:dyDescent="0.3">
      <c r="A105" s="8">
        <v>43104.475763888891</v>
      </c>
      <c r="B105" s="20" t="s">
        <v>511</v>
      </c>
      <c r="C105" s="20" t="s">
        <v>786</v>
      </c>
      <c r="D105" s="137">
        <v>880000</v>
      </c>
      <c r="E105" s="20" t="s">
        <v>519</v>
      </c>
      <c r="F105" s="20" t="s">
        <v>352</v>
      </c>
      <c r="G105" s="8" t="str">
        <f t="shared" si="2"/>
        <v>STEWART MICHAEL</v>
      </c>
      <c r="H105" s="20" t="str">
        <f t="shared" si="3"/>
        <v>4064</v>
      </c>
    </row>
    <row r="106" spans="1:8" x14ac:dyDescent="0.3">
      <c r="A106" s="8">
        <v>43104.476006944446</v>
      </c>
      <c r="B106" s="20" t="s">
        <v>672</v>
      </c>
      <c r="C106" s="20" t="s">
        <v>787</v>
      </c>
      <c r="D106" s="137">
        <v>3000000</v>
      </c>
      <c r="E106" s="20" t="s">
        <v>578</v>
      </c>
      <c r="F106" s="20" t="s">
        <v>579</v>
      </c>
      <c r="G106" s="8" t="str">
        <f t="shared" si="2"/>
        <v>FORTUNATO FRANK</v>
      </c>
      <c r="H106" s="20" t="str">
        <f t="shared" si="3"/>
        <v>4015</v>
      </c>
    </row>
    <row r="107" spans="1:8" x14ac:dyDescent="0.3">
      <c r="A107" s="8">
        <v>43104.48641203704</v>
      </c>
      <c r="B107" s="20" t="s">
        <v>362</v>
      </c>
      <c r="C107" s="20" t="s">
        <v>788</v>
      </c>
      <c r="D107" s="137">
        <v>2550000</v>
      </c>
      <c r="E107" s="20" t="s">
        <v>777</v>
      </c>
      <c r="F107" s="20" t="s">
        <v>778</v>
      </c>
      <c r="G107" s="8" t="str">
        <f t="shared" si="2"/>
        <v>BADERTSCHER DIANE</v>
      </c>
      <c r="H107" s="20" t="str">
        <f t="shared" si="3"/>
        <v>4017</v>
      </c>
    </row>
    <row r="108" spans="1:8" x14ac:dyDescent="0.3">
      <c r="A108" s="8">
        <v>43104.486481481479</v>
      </c>
      <c r="B108" s="20" t="s">
        <v>676</v>
      </c>
      <c r="C108" s="20" t="s">
        <v>789</v>
      </c>
      <c r="D108" s="137">
        <v>2600000</v>
      </c>
      <c r="E108" s="20" t="s">
        <v>495</v>
      </c>
      <c r="F108" s="20" t="s">
        <v>486</v>
      </c>
      <c r="G108" s="8" t="str">
        <f t="shared" si="2"/>
        <v>DAVIDSON DAVID</v>
      </c>
      <c r="H108" s="20" t="str">
        <f t="shared" si="3"/>
        <v>4043</v>
      </c>
    </row>
    <row r="109" spans="1:8" x14ac:dyDescent="0.3">
      <c r="A109" s="8">
        <v>43104.487557870372</v>
      </c>
      <c r="B109" s="20" t="s">
        <v>447</v>
      </c>
      <c r="C109" s="20" t="s">
        <v>790</v>
      </c>
      <c r="D109" s="137">
        <v>1300000</v>
      </c>
      <c r="E109" s="20" t="s">
        <v>358</v>
      </c>
      <c r="F109" s="20" t="s">
        <v>359</v>
      </c>
      <c r="G109" s="8" t="str">
        <f t="shared" si="2"/>
        <v>LEVIN SCOTT</v>
      </c>
      <c r="H109" s="20" t="str">
        <f t="shared" si="3"/>
        <v>4052</v>
      </c>
    </row>
    <row r="110" spans="1:8" x14ac:dyDescent="0.3">
      <c r="A110" s="8">
        <v>43104.489131944443</v>
      </c>
      <c r="B110" s="20" t="s">
        <v>476</v>
      </c>
      <c r="C110" s="20" t="s">
        <v>791</v>
      </c>
      <c r="D110" s="137">
        <v>2040000</v>
      </c>
      <c r="E110" s="20" t="s">
        <v>396</v>
      </c>
      <c r="F110" s="20" t="s">
        <v>397</v>
      </c>
      <c r="G110" s="8" t="str">
        <f t="shared" si="2"/>
        <v>MOSES BRADLEY</v>
      </c>
      <c r="H110" s="20" t="str">
        <f t="shared" si="3"/>
        <v>4009</v>
      </c>
    </row>
    <row r="111" spans="1:8" x14ac:dyDescent="0.3">
      <c r="A111" s="8">
        <v>43104.490347222221</v>
      </c>
      <c r="B111" s="20" t="s">
        <v>725</v>
      </c>
      <c r="C111" s="20" t="s">
        <v>792</v>
      </c>
      <c r="D111" s="137">
        <v>3000000</v>
      </c>
      <c r="E111" s="20" t="s">
        <v>578</v>
      </c>
      <c r="F111" s="20" t="s">
        <v>579</v>
      </c>
      <c r="G111" s="8" t="str">
        <f t="shared" si="2"/>
        <v>FORTUNATO FRANK</v>
      </c>
      <c r="H111" s="20" t="str">
        <f t="shared" si="3"/>
        <v>4016</v>
      </c>
    </row>
    <row r="112" spans="1:8" x14ac:dyDescent="0.3">
      <c r="A112" s="8">
        <v>43104.496296296296</v>
      </c>
      <c r="B112" s="20" t="s">
        <v>573</v>
      </c>
      <c r="C112" s="20" t="s">
        <v>793</v>
      </c>
      <c r="D112" s="137">
        <v>2140000</v>
      </c>
      <c r="E112" s="20" t="s">
        <v>794</v>
      </c>
      <c r="F112" s="20" t="s">
        <v>795</v>
      </c>
      <c r="G112" s="8" t="str">
        <f t="shared" si="2"/>
        <v>ROBINSON KADDIBA</v>
      </c>
      <c r="H112" s="20" t="str">
        <f t="shared" si="3"/>
        <v>4034</v>
      </c>
    </row>
    <row r="113" spans="1:8" x14ac:dyDescent="0.3">
      <c r="A113" s="8">
        <v>43104.504513888889</v>
      </c>
      <c r="B113" s="20" t="s">
        <v>390</v>
      </c>
      <c r="C113" s="20" t="s">
        <v>666</v>
      </c>
      <c r="D113" s="137">
        <v>3500000</v>
      </c>
      <c r="E113" s="20" t="s">
        <v>376</v>
      </c>
      <c r="F113" s="20" t="s">
        <v>377</v>
      </c>
      <c r="G113" s="8" t="str">
        <f t="shared" si="2"/>
        <v>GUNTHIER ERIC</v>
      </c>
      <c r="H113" s="20" t="str">
        <f t="shared" si="3"/>
        <v>4059</v>
      </c>
    </row>
    <row r="114" spans="1:8" x14ac:dyDescent="0.3">
      <c r="A114" s="8">
        <v>43104.50513888889</v>
      </c>
      <c r="B114" s="20" t="s">
        <v>442</v>
      </c>
      <c r="C114" s="20" t="s">
        <v>669</v>
      </c>
      <c r="D114" s="137">
        <v>2040000</v>
      </c>
      <c r="E114" s="20" t="s">
        <v>396</v>
      </c>
      <c r="F114" s="20" t="s">
        <v>397</v>
      </c>
      <c r="G114" s="8" t="str">
        <f t="shared" si="2"/>
        <v>MOSES BRADLEY</v>
      </c>
      <c r="H114" s="20" t="str">
        <f t="shared" si="3"/>
        <v>4010</v>
      </c>
    </row>
    <row r="115" spans="1:8" x14ac:dyDescent="0.3">
      <c r="A115" s="8">
        <v>43104.506377314814</v>
      </c>
      <c r="B115" s="20" t="s">
        <v>674</v>
      </c>
      <c r="C115" s="20" t="s">
        <v>796</v>
      </c>
      <c r="D115" s="137">
        <v>1180000</v>
      </c>
      <c r="E115" s="20" t="s">
        <v>535</v>
      </c>
      <c r="F115" s="20" t="s">
        <v>536</v>
      </c>
      <c r="G115" s="8" t="str">
        <f t="shared" si="2"/>
        <v>LEVERE CRAIG</v>
      </c>
      <c r="H115" s="20" t="str">
        <f t="shared" si="3"/>
        <v>4032</v>
      </c>
    </row>
    <row r="116" spans="1:8" x14ac:dyDescent="0.3">
      <c r="A116" s="8">
        <v>43104.506493055553</v>
      </c>
      <c r="B116" s="20" t="s">
        <v>657</v>
      </c>
      <c r="C116" s="20" t="s">
        <v>797</v>
      </c>
      <c r="D116" s="137">
        <v>1770000</v>
      </c>
      <c r="E116" s="20" t="s">
        <v>581</v>
      </c>
      <c r="F116" s="20" t="s">
        <v>582</v>
      </c>
      <c r="G116" s="8" t="str">
        <f t="shared" si="2"/>
        <v>BRUDER RICHARD</v>
      </c>
      <c r="H116" s="20" t="str">
        <f t="shared" si="3"/>
        <v>4045</v>
      </c>
    </row>
    <row r="117" spans="1:8" x14ac:dyDescent="0.3">
      <c r="A117" s="8">
        <v>43104.515081018515</v>
      </c>
      <c r="B117" s="20" t="s">
        <v>532</v>
      </c>
      <c r="C117" s="20" t="s">
        <v>667</v>
      </c>
      <c r="D117" s="137">
        <v>880000</v>
      </c>
      <c r="E117" s="20" t="s">
        <v>519</v>
      </c>
      <c r="F117" s="20" t="s">
        <v>352</v>
      </c>
      <c r="G117" s="8" t="str">
        <f t="shared" si="2"/>
        <v>STEWART MICHAEL</v>
      </c>
      <c r="H117" s="20" t="str">
        <f t="shared" si="3"/>
        <v>4063</v>
      </c>
    </row>
    <row r="118" spans="1:8" x14ac:dyDescent="0.3">
      <c r="A118" s="8">
        <v>43104.519074074073</v>
      </c>
      <c r="B118" s="20" t="s">
        <v>672</v>
      </c>
      <c r="C118" s="20" t="s">
        <v>798</v>
      </c>
      <c r="D118" s="137">
        <v>3000000</v>
      </c>
      <c r="E118" s="20" t="s">
        <v>578</v>
      </c>
      <c r="F118" s="20" t="s">
        <v>579</v>
      </c>
      <c r="G118" s="8" t="str">
        <f t="shared" si="2"/>
        <v>FORTUNATO FRANK</v>
      </c>
      <c r="H118" s="20" t="str">
        <f t="shared" si="3"/>
        <v>4015</v>
      </c>
    </row>
    <row r="119" spans="1:8" x14ac:dyDescent="0.3">
      <c r="A119" s="8">
        <v>43104.519085648149</v>
      </c>
      <c r="B119" s="20" t="s">
        <v>449</v>
      </c>
      <c r="C119" s="20" t="s">
        <v>799</v>
      </c>
      <c r="D119" s="137">
        <v>1300000</v>
      </c>
      <c r="E119" s="20" t="s">
        <v>358</v>
      </c>
      <c r="F119" s="20" t="s">
        <v>359</v>
      </c>
      <c r="G119" s="8" t="str">
        <f t="shared" si="2"/>
        <v>LEVIN SCOTT</v>
      </c>
      <c r="H119" s="20" t="str">
        <f t="shared" si="3"/>
        <v>4051</v>
      </c>
    </row>
    <row r="120" spans="1:8" x14ac:dyDescent="0.3">
      <c r="A120" s="8">
        <v>43104.519189814811</v>
      </c>
      <c r="B120" s="20" t="s">
        <v>360</v>
      </c>
      <c r="C120" s="20" t="s">
        <v>800</v>
      </c>
      <c r="D120" s="137">
        <v>2550000</v>
      </c>
      <c r="E120" s="20" t="s">
        <v>777</v>
      </c>
      <c r="F120" s="20" t="s">
        <v>778</v>
      </c>
      <c r="G120" s="8" t="str">
        <f t="shared" si="2"/>
        <v>BADERTSCHER DIANE</v>
      </c>
      <c r="H120" s="20" t="str">
        <f t="shared" si="3"/>
        <v>4018</v>
      </c>
    </row>
    <row r="121" spans="1:8" x14ac:dyDescent="0.3">
      <c r="A121" s="8">
        <v>43104.523043981484</v>
      </c>
      <c r="B121" s="20" t="s">
        <v>357</v>
      </c>
      <c r="C121" s="20" t="s">
        <v>661</v>
      </c>
      <c r="D121" s="137">
        <v>3180000</v>
      </c>
      <c r="E121" s="20" t="s">
        <v>574</v>
      </c>
      <c r="F121" s="20" t="s">
        <v>575</v>
      </c>
      <c r="G121" s="8" t="str">
        <f t="shared" si="2"/>
        <v>HUFFSMITH MONTY</v>
      </c>
      <c r="H121" s="20" t="str">
        <f t="shared" si="3"/>
        <v>4060</v>
      </c>
    </row>
    <row r="122" spans="1:8" x14ac:dyDescent="0.3">
      <c r="A122" s="8">
        <v>43104.528310185182</v>
      </c>
      <c r="B122" s="25" t="s">
        <v>478</v>
      </c>
      <c r="C122" s="20" t="s">
        <v>801</v>
      </c>
      <c r="D122" s="137">
        <v>2420000</v>
      </c>
      <c r="E122" s="20" t="s">
        <v>583</v>
      </c>
      <c r="F122" s="20" t="s">
        <v>584</v>
      </c>
      <c r="G122" s="8" t="str">
        <f t="shared" si="2"/>
        <v>HOLCOMB KAMDEN</v>
      </c>
      <c r="H122" s="20" t="str">
        <f t="shared" si="3"/>
        <v>4044</v>
      </c>
    </row>
    <row r="123" spans="1:8" x14ac:dyDescent="0.3">
      <c r="A123" s="8">
        <v>43104.536412037036</v>
      </c>
      <c r="B123" s="20" t="s">
        <v>510</v>
      </c>
      <c r="C123" s="20" t="s">
        <v>668</v>
      </c>
      <c r="D123" s="137">
        <v>2140000</v>
      </c>
      <c r="E123" s="20" t="s">
        <v>794</v>
      </c>
      <c r="F123" s="20" t="s">
        <v>795</v>
      </c>
      <c r="G123" s="8" t="str">
        <f t="shared" si="2"/>
        <v>ROBINSON KADDIBA</v>
      </c>
      <c r="H123" s="20" t="str">
        <f t="shared" si="3"/>
        <v>4033</v>
      </c>
    </row>
    <row r="124" spans="1:8" x14ac:dyDescent="0.3">
      <c r="A124" s="8">
        <v>43104.538969907408</v>
      </c>
      <c r="B124" s="20" t="s">
        <v>663</v>
      </c>
      <c r="C124" s="20" t="s">
        <v>802</v>
      </c>
      <c r="D124" s="137">
        <v>1770000</v>
      </c>
      <c r="E124" s="20" t="s">
        <v>581</v>
      </c>
      <c r="F124" s="20" t="s">
        <v>582</v>
      </c>
      <c r="G124" s="8" t="str">
        <f t="shared" si="2"/>
        <v>BRUDER RICHARD</v>
      </c>
      <c r="H124" s="20" t="str">
        <f t="shared" si="3"/>
        <v>4046</v>
      </c>
    </row>
    <row r="125" spans="1:8" x14ac:dyDescent="0.3">
      <c r="A125" s="8">
        <v>43104.54283564815</v>
      </c>
      <c r="B125" s="20" t="s">
        <v>707</v>
      </c>
      <c r="C125" s="20" t="s">
        <v>803</v>
      </c>
      <c r="D125" s="137">
        <v>1180000</v>
      </c>
      <c r="E125" s="20" t="s">
        <v>535</v>
      </c>
      <c r="F125" s="20" t="s">
        <v>536</v>
      </c>
      <c r="G125" s="8" t="str">
        <f t="shared" si="2"/>
        <v>LEVERE CRAIG</v>
      </c>
      <c r="H125" s="20" t="str">
        <f t="shared" si="3"/>
        <v>4031</v>
      </c>
    </row>
    <row r="126" spans="1:8" x14ac:dyDescent="0.3">
      <c r="A126" s="8">
        <v>43104.543946759259</v>
      </c>
      <c r="B126" s="20" t="s">
        <v>725</v>
      </c>
      <c r="C126" s="20" t="s">
        <v>804</v>
      </c>
      <c r="D126" s="137">
        <v>2000000</v>
      </c>
      <c r="E126" s="20" t="s">
        <v>394</v>
      </c>
      <c r="F126" s="20" t="s">
        <v>395</v>
      </c>
      <c r="G126" s="8" t="str">
        <f t="shared" si="2"/>
        <v>STAMBAUGH JAMES</v>
      </c>
      <c r="H126" s="20" t="str">
        <f t="shared" si="3"/>
        <v>4016</v>
      </c>
    </row>
    <row r="127" spans="1:8" x14ac:dyDescent="0.3">
      <c r="A127" s="8">
        <v>43104.549247685187</v>
      </c>
      <c r="B127" s="20" t="s">
        <v>511</v>
      </c>
      <c r="C127" s="20" t="s">
        <v>805</v>
      </c>
      <c r="D127" s="137">
        <v>880000</v>
      </c>
      <c r="E127" s="20" t="s">
        <v>519</v>
      </c>
      <c r="F127" s="20" t="s">
        <v>352</v>
      </c>
      <c r="G127" s="8" t="str">
        <f t="shared" si="2"/>
        <v>STEWART MICHAEL</v>
      </c>
      <c r="H127" s="20" t="str">
        <f t="shared" si="3"/>
        <v>4064</v>
      </c>
    </row>
    <row r="128" spans="1:8" x14ac:dyDescent="0.3">
      <c r="A128" s="8">
        <v>43104.554675925923</v>
      </c>
      <c r="B128" s="20" t="s">
        <v>390</v>
      </c>
      <c r="C128" s="20" t="s">
        <v>666</v>
      </c>
      <c r="D128" s="137">
        <v>3500000</v>
      </c>
      <c r="E128" s="20" t="s">
        <v>376</v>
      </c>
      <c r="F128" s="20" t="s">
        <v>377</v>
      </c>
      <c r="G128" s="8" t="str">
        <f t="shared" si="2"/>
        <v>GUNTHIER ERIC</v>
      </c>
      <c r="H128" s="20" t="str">
        <f t="shared" si="3"/>
        <v>4059</v>
      </c>
    </row>
    <row r="129" spans="1:8" x14ac:dyDescent="0.3">
      <c r="A129" s="8">
        <v>43104.557372685187</v>
      </c>
      <c r="B129" s="20" t="s">
        <v>362</v>
      </c>
      <c r="C129" s="20" t="s">
        <v>806</v>
      </c>
      <c r="D129" s="137">
        <v>2550000</v>
      </c>
      <c r="E129" s="20" t="s">
        <v>777</v>
      </c>
      <c r="F129" s="20" t="s">
        <v>778</v>
      </c>
      <c r="G129" s="8" t="str">
        <f t="shared" si="2"/>
        <v>BADERTSCHER DIANE</v>
      </c>
      <c r="H129" s="20" t="str">
        <f t="shared" si="3"/>
        <v>4017</v>
      </c>
    </row>
    <row r="130" spans="1:8" x14ac:dyDescent="0.3">
      <c r="A130" s="8">
        <v>43104.560196759259</v>
      </c>
      <c r="B130" s="20" t="s">
        <v>447</v>
      </c>
      <c r="C130" s="20" t="s">
        <v>807</v>
      </c>
      <c r="D130" s="137">
        <v>1300000</v>
      </c>
      <c r="E130" s="20" t="s">
        <v>358</v>
      </c>
      <c r="F130" s="20" t="s">
        <v>359</v>
      </c>
      <c r="G130" s="8" t="str">
        <f t="shared" si="2"/>
        <v>LEVIN SCOTT</v>
      </c>
      <c r="H130" s="20" t="str">
        <f t="shared" si="3"/>
        <v>4052</v>
      </c>
    </row>
    <row r="131" spans="1:8" x14ac:dyDescent="0.3">
      <c r="A131" s="8">
        <v>43104.560914351852</v>
      </c>
      <c r="B131" s="20" t="s">
        <v>672</v>
      </c>
      <c r="C131" s="20" t="s">
        <v>808</v>
      </c>
      <c r="D131" s="137">
        <v>2000000</v>
      </c>
      <c r="E131" s="20" t="s">
        <v>394</v>
      </c>
      <c r="F131" s="20" t="s">
        <v>395</v>
      </c>
      <c r="G131" s="8" t="str">
        <f t="shared" ref="G131:G194" si="4">E131&amp;" "&amp;F131</f>
        <v>STAMBAUGH JAMES</v>
      </c>
      <c r="H131" s="20" t="str">
        <f t="shared" ref="H131:H194" si="5">MID(B131,13,4)</f>
        <v>4015</v>
      </c>
    </row>
    <row r="132" spans="1:8" x14ac:dyDescent="0.3">
      <c r="A132" s="8">
        <v>43104.567997685182</v>
      </c>
      <c r="B132" s="20" t="s">
        <v>676</v>
      </c>
      <c r="C132" s="20" t="s">
        <v>809</v>
      </c>
      <c r="D132" s="137">
        <v>2420000</v>
      </c>
      <c r="E132" s="20" t="s">
        <v>583</v>
      </c>
      <c r="F132" s="20" t="s">
        <v>584</v>
      </c>
      <c r="G132" s="8" t="str">
        <f t="shared" si="4"/>
        <v>HOLCOMB KAMDEN</v>
      </c>
      <c r="H132" s="20" t="str">
        <f t="shared" si="5"/>
        <v>4043</v>
      </c>
    </row>
    <row r="133" spans="1:8" x14ac:dyDescent="0.3">
      <c r="A133" s="8">
        <v>43104.570023148146</v>
      </c>
      <c r="B133" s="20" t="s">
        <v>573</v>
      </c>
      <c r="C133" s="20" t="s">
        <v>810</v>
      </c>
      <c r="D133" s="137">
        <v>2140000</v>
      </c>
      <c r="E133" s="20" t="s">
        <v>794</v>
      </c>
      <c r="F133" s="20" t="s">
        <v>795</v>
      </c>
      <c r="G133" s="8" t="str">
        <f t="shared" si="4"/>
        <v>ROBINSON KADDIBA</v>
      </c>
      <c r="H133" s="20" t="str">
        <f t="shared" si="5"/>
        <v>4034</v>
      </c>
    </row>
    <row r="134" spans="1:8" x14ac:dyDescent="0.3">
      <c r="A134" s="8">
        <v>43104.578668981485</v>
      </c>
      <c r="B134" s="20" t="s">
        <v>657</v>
      </c>
      <c r="C134" s="20" t="s">
        <v>811</v>
      </c>
      <c r="D134" s="137">
        <v>1770000</v>
      </c>
      <c r="E134" s="20" t="s">
        <v>581</v>
      </c>
      <c r="F134" s="20" t="s">
        <v>582</v>
      </c>
      <c r="G134" s="8" t="str">
        <f t="shared" si="4"/>
        <v>BRUDER RICHARD</v>
      </c>
      <c r="H134" s="20" t="str">
        <f t="shared" si="5"/>
        <v>4045</v>
      </c>
    </row>
    <row r="135" spans="1:8" x14ac:dyDescent="0.3">
      <c r="A135" s="8">
        <v>43104.578877314816</v>
      </c>
      <c r="B135" s="20" t="s">
        <v>674</v>
      </c>
      <c r="C135" s="20" t="s">
        <v>812</v>
      </c>
      <c r="D135" s="137">
        <v>1180000</v>
      </c>
      <c r="E135" s="20" t="s">
        <v>535</v>
      </c>
      <c r="F135" s="20" t="s">
        <v>536</v>
      </c>
      <c r="G135" s="8" t="str">
        <f t="shared" si="4"/>
        <v>LEVERE CRAIG</v>
      </c>
      <c r="H135" s="20" t="str">
        <f t="shared" si="5"/>
        <v>4032</v>
      </c>
    </row>
    <row r="136" spans="1:8" x14ac:dyDescent="0.3">
      <c r="A136" s="8">
        <v>43104.587129629632</v>
      </c>
      <c r="B136" s="20" t="s">
        <v>725</v>
      </c>
      <c r="C136" s="20" t="s">
        <v>813</v>
      </c>
      <c r="D136" s="137">
        <v>2000000</v>
      </c>
      <c r="E136" s="20" t="s">
        <v>394</v>
      </c>
      <c r="F136" s="20" t="s">
        <v>395</v>
      </c>
      <c r="G136" s="8" t="str">
        <f t="shared" si="4"/>
        <v>STAMBAUGH JAMES</v>
      </c>
      <c r="H136" s="20" t="str">
        <f t="shared" si="5"/>
        <v>4016</v>
      </c>
    </row>
    <row r="137" spans="1:8" x14ac:dyDescent="0.3">
      <c r="A137" s="8">
        <v>43104.589618055557</v>
      </c>
      <c r="B137" s="20" t="s">
        <v>532</v>
      </c>
      <c r="C137" s="20" t="s">
        <v>670</v>
      </c>
      <c r="D137" s="137">
        <v>880000</v>
      </c>
      <c r="E137" s="20" t="s">
        <v>519</v>
      </c>
      <c r="F137" s="20" t="s">
        <v>352</v>
      </c>
      <c r="G137" s="8" t="str">
        <f t="shared" si="4"/>
        <v>STEWART MICHAEL</v>
      </c>
      <c r="H137" s="20" t="str">
        <f t="shared" si="5"/>
        <v>4063</v>
      </c>
    </row>
    <row r="138" spans="1:8" x14ac:dyDescent="0.3">
      <c r="A138" s="8">
        <v>43104.590937499997</v>
      </c>
      <c r="B138" s="20" t="s">
        <v>357</v>
      </c>
      <c r="C138" s="20" t="s">
        <v>669</v>
      </c>
      <c r="D138" s="137">
        <v>2610000</v>
      </c>
      <c r="E138" s="20" t="s">
        <v>380</v>
      </c>
      <c r="F138" s="20" t="s">
        <v>381</v>
      </c>
      <c r="G138" s="8" t="str">
        <f t="shared" si="4"/>
        <v>MAGEE KENYA</v>
      </c>
      <c r="H138" s="20" t="str">
        <f t="shared" si="5"/>
        <v>4060</v>
      </c>
    </row>
    <row r="139" spans="1:8" x14ac:dyDescent="0.3">
      <c r="A139" s="8">
        <v>43104.591608796298</v>
      </c>
      <c r="B139" s="20" t="s">
        <v>360</v>
      </c>
      <c r="C139" s="20" t="s">
        <v>814</v>
      </c>
      <c r="D139" s="137">
        <v>2550000</v>
      </c>
      <c r="E139" s="20" t="s">
        <v>777</v>
      </c>
      <c r="F139" s="20" t="s">
        <v>778</v>
      </c>
      <c r="G139" s="8" t="str">
        <f t="shared" si="4"/>
        <v>BADERTSCHER DIANE</v>
      </c>
      <c r="H139" s="20" t="str">
        <f t="shared" si="5"/>
        <v>4018</v>
      </c>
    </row>
    <row r="140" spans="1:8" x14ac:dyDescent="0.3">
      <c r="A140" s="8">
        <v>43104.595937500002</v>
      </c>
      <c r="B140" s="20" t="s">
        <v>449</v>
      </c>
      <c r="C140" s="20" t="s">
        <v>815</v>
      </c>
      <c r="D140" s="137">
        <v>1300000</v>
      </c>
      <c r="E140" s="20" t="s">
        <v>358</v>
      </c>
      <c r="F140" s="20" t="s">
        <v>359</v>
      </c>
      <c r="G140" s="8" t="str">
        <f t="shared" si="4"/>
        <v>LEVIN SCOTT</v>
      </c>
      <c r="H140" s="20" t="str">
        <f t="shared" si="5"/>
        <v>4051</v>
      </c>
    </row>
    <row r="141" spans="1:8" x14ac:dyDescent="0.3">
      <c r="A141" s="8">
        <v>43104.598437499997</v>
      </c>
      <c r="B141" s="20" t="s">
        <v>357</v>
      </c>
      <c r="C141" s="20" t="s">
        <v>669</v>
      </c>
      <c r="D141" s="137">
        <v>2610000</v>
      </c>
      <c r="E141" s="20" t="s">
        <v>380</v>
      </c>
      <c r="F141" s="20" t="s">
        <v>381</v>
      </c>
      <c r="G141" s="8" t="str">
        <f t="shared" si="4"/>
        <v>MAGEE KENYA</v>
      </c>
      <c r="H141" s="20" t="str">
        <f t="shared" si="5"/>
        <v>4060</v>
      </c>
    </row>
    <row r="142" spans="1:8" x14ac:dyDescent="0.3">
      <c r="A142" s="8">
        <v>43104.601203703707</v>
      </c>
      <c r="B142" s="20" t="s">
        <v>672</v>
      </c>
      <c r="C142" s="20" t="s">
        <v>816</v>
      </c>
      <c r="D142" s="137">
        <v>2000000</v>
      </c>
      <c r="E142" s="20" t="s">
        <v>394</v>
      </c>
      <c r="F142" s="20" t="s">
        <v>395</v>
      </c>
      <c r="G142" s="8" t="str">
        <f t="shared" si="4"/>
        <v>STAMBAUGH JAMES</v>
      </c>
      <c r="H142" s="20" t="str">
        <f t="shared" si="5"/>
        <v>4015</v>
      </c>
    </row>
    <row r="143" spans="1:8" x14ac:dyDescent="0.3">
      <c r="A143" s="8">
        <v>43104.602210648147</v>
      </c>
      <c r="B143" s="20" t="s">
        <v>478</v>
      </c>
      <c r="C143" s="20" t="s">
        <v>817</v>
      </c>
      <c r="D143" s="137">
        <v>2420000</v>
      </c>
      <c r="E143" s="20" t="s">
        <v>583</v>
      </c>
      <c r="F143" s="20" t="s">
        <v>584</v>
      </c>
      <c r="G143" s="8" t="str">
        <f t="shared" si="4"/>
        <v>HOLCOMB KAMDEN</v>
      </c>
      <c r="H143" s="20" t="str">
        <f t="shared" si="5"/>
        <v>4044</v>
      </c>
    </row>
    <row r="144" spans="1:8" x14ac:dyDescent="0.3">
      <c r="A144" s="8">
        <v>43104.609479166669</v>
      </c>
      <c r="B144" s="20" t="s">
        <v>510</v>
      </c>
      <c r="C144" s="20" t="s">
        <v>818</v>
      </c>
      <c r="D144" s="137">
        <v>2140000</v>
      </c>
      <c r="E144" s="20" t="s">
        <v>794</v>
      </c>
      <c r="F144" s="20" t="s">
        <v>795</v>
      </c>
      <c r="G144" s="8" t="str">
        <f t="shared" si="4"/>
        <v>ROBINSON KADDIBA</v>
      </c>
      <c r="H144" s="20" t="str">
        <f t="shared" si="5"/>
        <v>4033</v>
      </c>
    </row>
    <row r="145" spans="1:8" x14ac:dyDescent="0.3">
      <c r="A145" s="8">
        <v>43104.612326388888</v>
      </c>
      <c r="B145" s="20" t="s">
        <v>663</v>
      </c>
      <c r="C145" s="20" t="s">
        <v>819</v>
      </c>
      <c r="D145" s="137">
        <v>1770000</v>
      </c>
      <c r="E145" s="20" t="s">
        <v>581</v>
      </c>
      <c r="F145" s="20" t="s">
        <v>582</v>
      </c>
      <c r="G145" s="8" t="str">
        <f t="shared" si="4"/>
        <v>BRUDER RICHARD</v>
      </c>
      <c r="H145" s="20" t="str">
        <f t="shared" si="5"/>
        <v>4046</v>
      </c>
    </row>
    <row r="146" spans="1:8" x14ac:dyDescent="0.3">
      <c r="A146" s="8">
        <v>43104.616770833331</v>
      </c>
      <c r="B146" s="20" t="s">
        <v>390</v>
      </c>
      <c r="C146" s="20" t="s">
        <v>787</v>
      </c>
      <c r="D146" s="137">
        <v>3220000</v>
      </c>
      <c r="E146" s="20" t="s">
        <v>378</v>
      </c>
      <c r="F146" s="20" t="s">
        <v>379</v>
      </c>
      <c r="G146" s="8" t="str">
        <f t="shared" si="4"/>
        <v>RESPASS AARON</v>
      </c>
      <c r="H146" s="20" t="str">
        <f t="shared" si="5"/>
        <v>4059</v>
      </c>
    </row>
    <row r="147" spans="1:8" x14ac:dyDescent="0.3">
      <c r="A147" s="8">
        <v>43104.617928240739</v>
      </c>
      <c r="B147" s="20" t="s">
        <v>707</v>
      </c>
      <c r="C147" s="20" t="s">
        <v>820</v>
      </c>
      <c r="D147" s="137">
        <v>1180000</v>
      </c>
      <c r="E147" s="20" t="s">
        <v>535</v>
      </c>
      <c r="F147" s="20" t="s">
        <v>536</v>
      </c>
      <c r="G147" s="8" t="str">
        <f t="shared" si="4"/>
        <v>LEVERE CRAIG</v>
      </c>
      <c r="H147" s="20" t="str">
        <f t="shared" si="5"/>
        <v>4031</v>
      </c>
    </row>
    <row r="148" spans="1:8" x14ac:dyDescent="0.3">
      <c r="A148" s="8">
        <v>43104.623391203706</v>
      </c>
      <c r="B148" s="20" t="s">
        <v>511</v>
      </c>
      <c r="C148" s="20" t="s">
        <v>821</v>
      </c>
      <c r="D148" s="137">
        <v>880000</v>
      </c>
      <c r="E148" s="20" t="s">
        <v>519</v>
      </c>
      <c r="F148" s="20" t="s">
        <v>352</v>
      </c>
      <c r="G148" s="8" t="str">
        <f t="shared" si="4"/>
        <v>STEWART MICHAEL</v>
      </c>
      <c r="H148" s="20" t="str">
        <f t="shared" si="5"/>
        <v>4064</v>
      </c>
    </row>
    <row r="149" spans="1:8" x14ac:dyDescent="0.3">
      <c r="A149" s="8">
        <v>43104.626377314817</v>
      </c>
      <c r="B149" s="20" t="s">
        <v>725</v>
      </c>
      <c r="C149" s="20" t="s">
        <v>822</v>
      </c>
      <c r="D149" s="137">
        <v>2000000</v>
      </c>
      <c r="E149" s="20" t="s">
        <v>394</v>
      </c>
      <c r="F149" s="20" t="s">
        <v>395</v>
      </c>
      <c r="G149" s="8" t="str">
        <f t="shared" si="4"/>
        <v>STAMBAUGH JAMES</v>
      </c>
      <c r="H149" s="20" t="str">
        <f t="shared" si="5"/>
        <v>4016</v>
      </c>
    </row>
    <row r="150" spans="1:8" x14ac:dyDescent="0.3">
      <c r="A150" s="8">
        <v>43104.632418981484</v>
      </c>
      <c r="B150" s="20" t="s">
        <v>362</v>
      </c>
      <c r="C150" s="20" t="s">
        <v>823</v>
      </c>
      <c r="D150" s="137">
        <v>2550000</v>
      </c>
      <c r="E150" s="20" t="s">
        <v>777</v>
      </c>
      <c r="F150" s="20" t="s">
        <v>778</v>
      </c>
      <c r="G150" s="8" t="str">
        <f t="shared" si="4"/>
        <v>BADERTSCHER DIANE</v>
      </c>
      <c r="H150" s="20" t="str">
        <f t="shared" si="5"/>
        <v>4017</v>
      </c>
    </row>
    <row r="151" spans="1:8" x14ac:dyDescent="0.3">
      <c r="A151" s="8">
        <v>43104.634675925925</v>
      </c>
      <c r="B151" s="20" t="s">
        <v>447</v>
      </c>
      <c r="C151" s="20" t="s">
        <v>824</v>
      </c>
      <c r="D151" s="137">
        <v>1300000</v>
      </c>
      <c r="E151" s="20" t="s">
        <v>358</v>
      </c>
      <c r="F151" s="20" t="s">
        <v>359</v>
      </c>
      <c r="G151" s="8" t="str">
        <f t="shared" si="4"/>
        <v>LEVIN SCOTT</v>
      </c>
      <c r="H151" s="20" t="str">
        <f t="shared" si="5"/>
        <v>4052</v>
      </c>
    </row>
    <row r="152" spans="1:8" x14ac:dyDescent="0.3">
      <c r="A152" s="8">
        <v>43104.635416666664</v>
      </c>
      <c r="B152" s="20" t="s">
        <v>357</v>
      </c>
      <c r="C152" s="20" t="s">
        <v>669</v>
      </c>
      <c r="D152" s="137">
        <v>3220000</v>
      </c>
      <c r="E152" s="20" t="s">
        <v>378</v>
      </c>
      <c r="F152" s="20" t="s">
        <v>379</v>
      </c>
      <c r="G152" s="8" t="str">
        <f t="shared" si="4"/>
        <v>RESPASS AARON</v>
      </c>
      <c r="H152" s="20" t="str">
        <f t="shared" si="5"/>
        <v>4060</v>
      </c>
    </row>
    <row r="153" spans="1:8" x14ac:dyDescent="0.3">
      <c r="A153" s="8">
        <v>43104.63890046296</v>
      </c>
      <c r="B153" s="20" t="s">
        <v>511</v>
      </c>
      <c r="C153" s="20" t="s">
        <v>821</v>
      </c>
      <c r="D153" s="137">
        <v>880000</v>
      </c>
      <c r="E153" s="20" t="s">
        <v>519</v>
      </c>
      <c r="F153" s="20" t="s">
        <v>352</v>
      </c>
      <c r="G153" s="8" t="str">
        <f t="shared" si="4"/>
        <v>STEWART MICHAEL</v>
      </c>
      <c r="H153" s="20" t="str">
        <f t="shared" si="5"/>
        <v>4064</v>
      </c>
    </row>
    <row r="154" spans="1:8" x14ac:dyDescent="0.3">
      <c r="A154" s="8">
        <v>43104.640972222223</v>
      </c>
      <c r="B154" s="20" t="s">
        <v>476</v>
      </c>
      <c r="C154" s="20" t="s">
        <v>825</v>
      </c>
      <c r="D154" s="137">
        <v>3490000</v>
      </c>
      <c r="E154" s="20" t="s">
        <v>826</v>
      </c>
      <c r="F154" s="20" t="s">
        <v>827</v>
      </c>
      <c r="G154" s="8" t="str">
        <f t="shared" si="4"/>
        <v>WEST BRYAN</v>
      </c>
      <c r="H154" s="20" t="str">
        <f t="shared" si="5"/>
        <v>4009</v>
      </c>
    </row>
    <row r="155" spans="1:8" x14ac:dyDescent="0.3">
      <c r="A155" s="8">
        <v>43104.641006944446</v>
      </c>
      <c r="B155" s="20" t="s">
        <v>676</v>
      </c>
      <c r="C155" s="20" t="s">
        <v>677</v>
      </c>
      <c r="D155" s="137">
        <v>2420000</v>
      </c>
      <c r="E155" s="20" t="s">
        <v>583</v>
      </c>
      <c r="F155" s="20" t="s">
        <v>584</v>
      </c>
      <c r="G155" s="8" t="str">
        <f t="shared" si="4"/>
        <v>HOLCOMB KAMDEN</v>
      </c>
      <c r="H155" s="20" t="str">
        <f t="shared" si="5"/>
        <v>4043</v>
      </c>
    </row>
    <row r="156" spans="1:8" x14ac:dyDescent="0.3">
      <c r="A156" s="8">
        <v>43104.642812500002</v>
      </c>
      <c r="B156" s="20" t="s">
        <v>672</v>
      </c>
      <c r="C156" s="20" t="s">
        <v>673</v>
      </c>
      <c r="D156" s="137">
        <v>2000000</v>
      </c>
      <c r="E156" s="20" t="s">
        <v>394</v>
      </c>
      <c r="F156" s="20" t="s">
        <v>395</v>
      </c>
      <c r="G156" s="8" t="str">
        <f t="shared" si="4"/>
        <v>STAMBAUGH JAMES</v>
      </c>
      <c r="H156" s="20" t="str">
        <f t="shared" si="5"/>
        <v>4015</v>
      </c>
    </row>
    <row r="157" spans="1:8" x14ac:dyDescent="0.3">
      <c r="A157" s="8">
        <v>43104.643495370372</v>
      </c>
      <c r="B157" s="20" t="s">
        <v>573</v>
      </c>
      <c r="C157" s="20" t="s">
        <v>828</v>
      </c>
      <c r="D157" s="137">
        <v>2140000</v>
      </c>
      <c r="E157" s="20" t="s">
        <v>794</v>
      </c>
      <c r="F157" s="20" t="s">
        <v>795</v>
      </c>
      <c r="G157" s="8" t="str">
        <f t="shared" si="4"/>
        <v>ROBINSON KADDIBA</v>
      </c>
      <c r="H157" s="20" t="str">
        <f t="shared" si="5"/>
        <v>4034</v>
      </c>
    </row>
    <row r="158" spans="1:8" x14ac:dyDescent="0.3">
      <c r="A158" s="8">
        <v>43104.651365740741</v>
      </c>
      <c r="B158" s="20" t="s">
        <v>657</v>
      </c>
      <c r="C158" s="20" t="s">
        <v>829</v>
      </c>
      <c r="D158" s="137">
        <v>1770000</v>
      </c>
      <c r="E158" s="20" t="s">
        <v>581</v>
      </c>
      <c r="F158" s="20" t="s">
        <v>582</v>
      </c>
      <c r="G158" s="8" t="str">
        <f t="shared" si="4"/>
        <v>BRUDER RICHARD</v>
      </c>
      <c r="H158" s="20" t="str">
        <f t="shared" si="5"/>
        <v>4045</v>
      </c>
    </row>
    <row r="159" spans="1:8" x14ac:dyDescent="0.3">
      <c r="A159" s="8">
        <v>43104.651423611111</v>
      </c>
      <c r="B159" s="20" t="s">
        <v>442</v>
      </c>
      <c r="C159" s="20" t="s">
        <v>671</v>
      </c>
      <c r="D159" s="137">
        <v>3490000</v>
      </c>
      <c r="E159" s="20" t="s">
        <v>826</v>
      </c>
      <c r="F159" s="20" t="s">
        <v>827</v>
      </c>
      <c r="G159" s="8" t="str">
        <f t="shared" si="4"/>
        <v>WEST BRYAN</v>
      </c>
      <c r="H159" s="20" t="str">
        <f t="shared" si="5"/>
        <v>4010</v>
      </c>
    </row>
    <row r="160" spans="1:8" x14ac:dyDescent="0.3">
      <c r="A160" s="8">
        <v>43104.652245370373</v>
      </c>
      <c r="B160" s="20" t="s">
        <v>674</v>
      </c>
      <c r="C160" s="20" t="s">
        <v>675</v>
      </c>
      <c r="D160" s="137">
        <v>1180000</v>
      </c>
      <c r="E160" s="20" t="s">
        <v>535</v>
      </c>
      <c r="F160" s="20" t="s">
        <v>536</v>
      </c>
      <c r="G160" s="8" t="str">
        <f t="shared" si="4"/>
        <v>LEVERE CRAIG</v>
      </c>
      <c r="H160" s="20" t="str">
        <f t="shared" si="5"/>
        <v>4032</v>
      </c>
    </row>
    <row r="161" spans="1:8" x14ac:dyDescent="0.3">
      <c r="A161" s="8">
        <v>43104.655231481483</v>
      </c>
      <c r="B161" s="20" t="s">
        <v>390</v>
      </c>
      <c r="C161" s="20" t="s">
        <v>787</v>
      </c>
      <c r="D161" s="137">
        <v>3220000</v>
      </c>
      <c r="E161" s="20" t="s">
        <v>378</v>
      </c>
      <c r="F161" s="20" t="s">
        <v>379</v>
      </c>
      <c r="G161" s="8" t="str">
        <f t="shared" si="4"/>
        <v>RESPASS AARON</v>
      </c>
      <c r="H161" s="20" t="str">
        <f t="shared" si="5"/>
        <v>4059</v>
      </c>
    </row>
    <row r="162" spans="1:8" x14ac:dyDescent="0.3">
      <c r="A162" s="8">
        <v>43104.660763888889</v>
      </c>
      <c r="B162" s="20" t="s">
        <v>532</v>
      </c>
      <c r="C162" s="20" t="s">
        <v>830</v>
      </c>
      <c r="D162" s="137">
        <v>880000</v>
      </c>
      <c r="E162" s="20" t="s">
        <v>519</v>
      </c>
      <c r="F162" s="20" t="s">
        <v>352</v>
      </c>
      <c r="G162" s="8" t="str">
        <f t="shared" si="4"/>
        <v>STEWART MICHAEL</v>
      </c>
      <c r="H162" s="20" t="str">
        <f t="shared" si="5"/>
        <v>4063</v>
      </c>
    </row>
    <row r="163" spans="1:8" x14ac:dyDescent="0.3">
      <c r="A163" s="8">
        <v>43104.665462962963</v>
      </c>
      <c r="B163" s="20" t="s">
        <v>476</v>
      </c>
      <c r="C163" s="20" t="s">
        <v>831</v>
      </c>
      <c r="D163" s="137">
        <v>3490000</v>
      </c>
      <c r="E163" s="20" t="s">
        <v>826</v>
      </c>
      <c r="F163" s="20" t="s">
        <v>827</v>
      </c>
      <c r="G163" s="8" t="str">
        <f t="shared" si="4"/>
        <v>WEST BRYAN</v>
      </c>
      <c r="H163" s="20" t="str">
        <f t="shared" si="5"/>
        <v>4009</v>
      </c>
    </row>
    <row r="164" spans="1:8" x14ac:dyDescent="0.3">
      <c r="A164" s="8">
        <v>43104.665775462963</v>
      </c>
      <c r="B164" s="20" t="s">
        <v>360</v>
      </c>
      <c r="C164" s="20" t="s">
        <v>832</v>
      </c>
      <c r="D164" s="137">
        <v>2550000</v>
      </c>
      <c r="E164" s="20" t="s">
        <v>777</v>
      </c>
      <c r="F164" s="20" t="s">
        <v>778</v>
      </c>
      <c r="G164" s="8" t="str">
        <f t="shared" si="4"/>
        <v>BADERTSCHER DIANE</v>
      </c>
      <c r="H164" s="20" t="str">
        <f t="shared" si="5"/>
        <v>4018</v>
      </c>
    </row>
    <row r="165" spans="1:8" x14ac:dyDescent="0.3">
      <c r="A165" s="8">
        <v>43104.668981481482</v>
      </c>
      <c r="B165" s="20" t="s">
        <v>449</v>
      </c>
      <c r="C165" s="20" t="s">
        <v>833</v>
      </c>
      <c r="D165" s="137">
        <v>1300000</v>
      </c>
      <c r="E165" s="20" t="s">
        <v>358</v>
      </c>
      <c r="F165" s="20" t="s">
        <v>359</v>
      </c>
      <c r="G165" s="8" t="str">
        <f t="shared" si="4"/>
        <v>LEVIN SCOTT</v>
      </c>
      <c r="H165" s="20" t="str">
        <f t="shared" si="5"/>
        <v>4051</v>
      </c>
    </row>
    <row r="166" spans="1:8" x14ac:dyDescent="0.3">
      <c r="A166" s="8">
        <v>43104.670520833337</v>
      </c>
      <c r="B166" s="20" t="s">
        <v>725</v>
      </c>
      <c r="C166" s="20" t="s">
        <v>834</v>
      </c>
      <c r="D166" s="137">
        <v>2000000</v>
      </c>
      <c r="E166" s="20" t="s">
        <v>394</v>
      </c>
      <c r="F166" s="20" t="s">
        <v>395</v>
      </c>
      <c r="G166" s="8" t="str">
        <f t="shared" si="4"/>
        <v>STAMBAUGH JAMES</v>
      </c>
      <c r="H166" s="20" t="str">
        <f t="shared" si="5"/>
        <v>4016</v>
      </c>
    </row>
    <row r="167" spans="1:8" x14ac:dyDescent="0.3">
      <c r="A167" s="8">
        <v>43104.672326388885</v>
      </c>
      <c r="B167" s="20" t="s">
        <v>357</v>
      </c>
      <c r="C167" s="20" t="s">
        <v>669</v>
      </c>
      <c r="D167" s="137">
        <v>3220000</v>
      </c>
      <c r="E167" s="20" t="s">
        <v>378</v>
      </c>
      <c r="F167" s="20" t="s">
        <v>379</v>
      </c>
      <c r="G167" s="8" t="str">
        <f t="shared" si="4"/>
        <v>RESPASS AARON</v>
      </c>
      <c r="H167" s="20" t="str">
        <f t="shared" si="5"/>
        <v>4060</v>
      </c>
    </row>
    <row r="168" spans="1:8" x14ac:dyDescent="0.3">
      <c r="A168" s="8">
        <v>43104.67465277778</v>
      </c>
      <c r="B168" s="20" t="s">
        <v>689</v>
      </c>
      <c r="C168" s="20" t="s">
        <v>661</v>
      </c>
      <c r="D168" s="137">
        <v>1780000</v>
      </c>
      <c r="E168" s="20" t="s">
        <v>587</v>
      </c>
      <c r="F168" s="20" t="s">
        <v>588</v>
      </c>
      <c r="G168" s="8" t="str">
        <f t="shared" si="4"/>
        <v>DE LA ROSA ALEX</v>
      </c>
      <c r="H168" s="20" t="str">
        <f t="shared" si="5"/>
        <v>4056</v>
      </c>
    </row>
    <row r="169" spans="1:8" x14ac:dyDescent="0.3">
      <c r="A169" s="8">
        <v>43104.675497685188</v>
      </c>
      <c r="B169" s="20" t="s">
        <v>478</v>
      </c>
      <c r="C169" s="20" t="s">
        <v>835</v>
      </c>
      <c r="D169" s="137">
        <v>2420000</v>
      </c>
      <c r="E169" s="20" t="s">
        <v>583</v>
      </c>
      <c r="F169" s="20" t="s">
        <v>584</v>
      </c>
      <c r="G169" s="8" t="str">
        <f t="shared" si="4"/>
        <v>HOLCOMB KAMDEN</v>
      </c>
      <c r="H169" s="20" t="str">
        <f t="shared" si="5"/>
        <v>4044</v>
      </c>
    </row>
    <row r="170" spans="1:8" x14ac:dyDescent="0.3">
      <c r="A170" s="8">
        <v>43104.682268518518</v>
      </c>
      <c r="B170" s="20" t="s">
        <v>510</v>
      </c>
      <c r="C170" s="20" t="s">
        <v>836</v>
      </c>
      <c r="D170" s="137">
        <v>2140000</v>
      </c>
      <c r="E170" s="20" t="s">
        <v>794</v>
      </c>
      <c r="F170" s="20" t="s">
        <v>795</v>
      </c>
      <c r="G170" s="8" t="str">
        <f t="shared" si="4"/>
        <v>ROBINSON KADDIBA</v>
      </c>
      <c r="H170" s="20" t="str">
        <f t="shared" si="5"/>
        <v>4033</v>
      </c>
    </row>
    <row r="171" spans="1:8" x14ac:dyDescent="0.3">
      <c r="A171" s="8">
        <v>43104.685300925928</v>
      </c>
      <c r="B171" s="20" t="s">
        <v>663</v>
      </c>
      <c r="C171" s="20" t="s">
        <v>837</v>
      </c>
      <c r="D171" s="137">
        <v>1770000</v>
      </c>
      <c r="E171" s="20" t="s">
        <v>581</v>
      </c>
      <c r="F171" s="20" t="s">
        <v>582</v>
      </c>
      <c r="G171" s="8" t="str">
        <f t="shared" si="4"/>
        <v>BRUDER RICHARD</v>
      </c>
      <c r="H171" s="20" t="str">
        <f t="shared" si="5"/>
        <v>4046</v>
      </c>
    </row>
    <row r="172" spans="1:8" x14ac:dyDescent="0.3">
      <c r="A172" s="8">
        <v>43104.686180555553</v>
      </c>
      <c r="B172" s="20" t="s">
        <v>672</v>
      </c>
      <c r="C172" s="20" t="s">
        <v>838</v>
      </c>
      <c r="D172" s="137">
        <v>2000000</v>
      </c>
      <c r="E172" s="20" t="s">
        <v>394</v>
      </c>
      <c r="F172" s="20" t="s">
        <v>395</v>
      </c>
      <c r="G172" s="8" t="str">
        <f t="shared" si="4"/>
        <v>STAMBAUGH JAMES</v>
      </c>
      <c r="H172" s="20" t="str">
        <f t="shared" si="5"/>
        <v>4015</v>
      </c>
    </row>
    <row r="173" spans="1:8" x14ac:dyDescent="0.3">
      <c r="A173" s="8">
        <v>43104.689143518517</v>
      </c>
      <c r="B173" s="20" t="s">
        <v>442</v>
      </c>
      <c r="C173" s="20" t="s">
        <v>839</v>
      </c>
      <c r="D173" s="137">
        <v>3490000</v>
      </c>
      <c r="E173" s="20" t="s">
        <v>826</v>
      </c>
      <c r="F173" s="20" t="s">
        <v>827</v>
      </c>
      <c r="G173" s="8" t="str">
        <f t="shared" si="4"/>
        <v>WEST BRYAN</v>
      </c>
      <c r="H173" s="20" t="str">
        <f t="shared" si="5"/>
        <v>4010</v>
      </c>
    </row>
    <row r="174" spans="1:8" x14ac:dyDescent="0.3">
      <c r="A174" s="8">
        <v>43104.690011574072</v>
      </c>
      <c r="B174" s="20" t="s">
        <v>390</v>
      </c>
      <c r="C174" s="20" t="s">
        <v>787</v>
      </c>
      <c r="D174" s="137">
        <v>3220000</v>
      </c>
      <c r="E174" s="20" t="s">
        <v>378</v>
      </c>
      <c r="F174" s="20" t="s">
        <v>379</v>
      </c>
      <c r="G174" s="8" t="str">
        <f t="shared" si="4"/>
        <v>RESPASS AARON</v>
      </c>
      <c r="H174" s="20" t="str">
        <f t="shared" si="5"/>
        <v>4059</v>
      </c>
    </row>
    <row r="175" spans="1:8" x14ac:dyDescent="0.3">
      <c r="A175" s="8">
        <v>43104.690486111111</v>
      </c>
      <c r="B175" s="20" t="s">
        <v>707</v>
      </c>
      <c r="C175" s="20" t="s">
        <v>840</v>
      </c>
      <c r="D175" s="137">
        <v>1180000</v>
      </c>
      <c r="E175" s="20" t="s">
        <v>535</v>
      </c>
      <c r="F175" s="20" t="s">
        <v>536</v>
      </c>
      <c r="G175" s="8" t="str">
        <f t="shared" si="4"/>
        <v>LEVERE CRAIG</v>
      </c>
      <c r="H175" s="20" t="str">
        <f t="shared" si="5"/>
        <v>4031</v>
      </c>
    </row>
    <row r="176" spans="1:8" x14ac:dyDescent="0.3">
      <c r="A176" s="8">
        <v>43104.694988425923</v>
      </c>
      <c r="B176" s="20" t="s">
        <v>511</v>
      </c>
      <c r="C176" s="20" t="s">
        <v>841</v>
      </c>
      <c r="D176" s="137">
        <v>880000</v>
      </c>
      <c r="E176" s="20" t="s">
        <v>519</v>
      </c>
      <c r="F176" s="20" t="s">
        <v>352</v>
      </c>
      <c r="G176" s="8" t="str">
        <f t="shared" si="4"/>
        <v>STEWART MICHAEL</v>
      </c>
      <c r="H176" s="20" t="str">
        <f t="shared" si="5"/>
        <v>4064</v>
      </c>
    </row>
    <row r="177" spans="1:8" x14ac:dyDescent="0.3">
      <c r="A177" s="8">
        <v>43104.6953125</v>
      </c>
      <c r="B177" s="20" t="s">
        <v>672</v>
      </c>
      <c r="C177" s="20" t="s">
        <v>838</v>
      </c>
      <c r="D177" s="137">
        <v>2000000</v>
      </c>
      <c r="E177" s="20" t="s">
        <v>394</v>
      </c>
      <c r="F177" s="20" t="s">
        <v>395</v>
      </c>
      <c r="G177" s="8" t="str">
        <f t="shared" si="4"/>
        <v>STAMBAUGH JAMES</v>
      </c>
      <c r="H177" s="20" t="str">
        <f t="shared" si="5"/>
        <v>4015</v>
      </c>
    </row>
    <row r="178" spans="1:8" x14ac:dyDescent="0.3">
      <c r="A178" s="8">
        <v>43104.703090277777</v>
      </c>
      <c r="B178" s="20" t="s">
        <v>362</v>
      </c>
      <c r="C178" s="20" t="s">
        <v>842</v>
      </c>
      <c r="D178" s="137">
        <v>2550000</v>
      </c>
      <c r="E178" s="20" t="s">
        <v>777</v>
      </c>
      <c r="F178" s="20" t="s">
        <v>778</v>
      </c>
      <c r="G178" s="8" t="str">
        <f t="shared" si="4"/>
        <v>BADERTSCHER DIANE</v>
      </c>
      <c r="H178" s="20" t="str">
        <f t="shared" si="5"/>
        <v>4017</v>
      </c>
    </row>
    <row r="179" spans="1:8" x14ac:dyDescent="0.3">
      <c r="A179" s="8">
        <v>43104.704305555555</v>
      </c>
      <c r="B179" s="20" t="s">
        <v>447</v>
      </c>
      <c r="C179" s="20" t="s">
        <v>843</v>
      </c>
      <c r="D179" s="137">
        <v>1300000</v>
      </c>
      <c r="E179" s="20" t="s">
        <v>358</v>
      </c>
      <c r="F179" s="20" t="s">
        <v>359</v>
      </c>
      <c r="G179" s="8" t="str">
        <f t="shared" si="4"/>
        <v>LEVIN SCOTT</v>
      </c>
      <c r="H179" s="20" t="str">
        <f t="shared" si="5"/>
        <v>4052</v>
      </c>
    </row>
    <row r="180" spans="1:8" x14ac:dyDescent="0.3">
      <c r="A180" s="8">
        <v>43104.706550925926</v>
      </c>
      <c r="B180" s="20" t="s">
        <v>844</v>
      </c>
      <c r="C180" s="20" t="s">
        <v>845</v>
      </c>
      <c r="D180" s="137">
        <v>1810000</v>
      </c>
      <c r="E180" s="20" t="s">
        <v>580</v>
      </c>
      <c r="F180" s="20" t="s">
        <v>395</v>
      </c>
      <c r="G180" s="8" t="str">
        <f t="shared" si="4"/>
        <v>NEWELL JAMES</v>
      </c>
      <c r="H180" s="20" t="str">
        <f t="shared" si="5"/>
        <v>4054</v>
      </c>
    </row>
    <row r="181" spans="1:8" x14ac:dyDescent="0.3">
      <c r="A181" s="8">
        <v>43104.707094907404</v>
      </c>
      <c r="B181" s="20" t="s">
        <v>844</v>
      </c>
      <c r="C181" s="20" t="s">
        <v>845</v>
      </c>
      <c r="D181" s="137">
        <v>1810000</v>
      </c>
      <c r="E181" s="20" t="s">
        <v>580</v>
      </c>
      <c r="F181" s="20" t="s">
        <v>395</v>
      </c>
      <c r="G181" s="8" t="str">
        <f t="shared" si="4"/>
        <v>NEWELL JAMES</v>
      </c>
      <c r="H181" s="20" t="str">
        <f t="shared" si="5"/>
        <v>4054</v>
      </c>
    </row>
    <row r="182" spans="1:8" x14ac:dyDescent="0.3">
      <c r="A182" s="8">
        <v>43104.708032407405</v>
      </c>
      <c r="B182" s="20" t="s">
        <v>844</v>
      </c>
      <c r="C182" s="20" t="s">
        <v>845</v>
      </c>
      <c r="D182" s="137">
        <v>1810000</v>
      </c>
      <c r="E182" s="20" t="s">
        <v>580</v>
      </c>
      <c r="F182" s="20" t="s">
        <v>395</v>
      </c>
      <c r="G182" s="8" t="str">
        <f t="shared" si="4"/>
        <v>NEWELL JAMES</v>
      </c>
      <c r="H182" s="20" t="str">
        <f t="shared" si="5"/>
        <v>4054</v>
      </c>
    </row>
    <row r="183" spans="1:8" x14ac:dyDescent="0.3">
      <c r="A183" s="8">
        <v>43104.708368055559</v>
      </c>
      <c r="B183" s="20" t="s">
        <v>476</v>
      </c>
      <c r="C183" s="20" t="s">
        <v>679</v>
      </c>
      <c r="D183" s="137">
        <v>3490000</v>
      </c>
      <c r="E183" s="20" t="s">
        <v>826</v>
      </c>
      <c r="F183" s="20" t="s">
        <v>827</v>
      </c>
      <c r="G183" s="8" t="str">
        <f t="shared" si="4"/>
        <v>WEST BRYAN</v>
      </c>
      <c r="H183" s="20" t="str">
        <f t="shared" si="5"/>
        <v>4009</v>
      </c>
    </row>
    <row r="184" spans="1:8" x14ac:dyDescent="0.3">
      <c r="A184" s="8">
        <v>43104.710856481484</v>
      </c>
      <c r="B184" s="20" t="s">
        <v>725</v>
      </c>
      <c r="C184" s="20" t="s">
        <v>846</v>
      </c>
      <c r="D184" s="137">
        <v>2000000</v>
      </c>
      <c r="E184" s="20" t="s">
        <v>394</v>
      </c>
      <c r="F184" s="20" t="s">
        <v>395</v>
      </c>
      <c r="G184" s="8" t="str">
        <f t="shared" si="4"/>
        <v>STAMBAUGH JAMES</v>
      </c>
      <c r="H184" s="20" t="str">
        <f t="shared" si="5"/>
        <v>4016</v>
      </c>
    </row>
    <row r="185" spans="1:8" x14ac:dyDescent="0.3">
      <c r="A185" s="8">
        <v>43104.714282407411</v>
      </c>
      <c r="B185" s="20" t="s">
        <v>676</v>
      </c>
      <c r="C185" s="20" t="s">
        <v>847</v>
      </c>
      <c r="D185" s="137">
        <v>2420000</v>
      </c>
      <c r="E185" s="20" t="s">
        <v>583</v>
      </c>
      <c r="F185" s="20" t="s">
        <v>584</v>
      </c>
      <c r="G185" s="8" t="str">
        <f t="shared" si="4"/>
        <v>HOLCOMB KAMDEN</v>
      </c>
      <c r="H185" s="20" t="str">
        <f t="shared" si="5"/>
        <v>4043</v>
      </c>
    </row>
    <row r="186" spans="1:8" x14ac:dyDescent="0.3">
      <c r="A186" s="8">
        <v>43104.716261574074</v>
      </c>
      <c r="B186" s="20" t="s">
        <v>573</v>
      </c>
      <c r="C186" s="20" t="s">
        <v>678</v>
      </c>
      <c r="D186" s="137">
        <v>2140000</v>
      </c>
      <c r="E186" s="20" t="s">
        <v>794</v>
      </c>
      <c r="F186" s="20" t="s">
        <v>795</v>
      </c>
      <c r="G186" s="8" t="str">
        <f t="shared" si="4"/>
        <v>ROBINSON KADDIBA</v>
      </c>
      <c r="H186" s="20" t="str">
        <f t="shared" si="5"/>
        <v>4034</v>
      </c>
    </row>
    <row r="187" spans="1:8" x14ac:dyDescent="0.3">
      <c r="A187" s="8">
        <v>43104.72415509259</v>
      </c>
      <c r="B187" s="20" t="s">
        <v>657</v>
      </c>
      <c r="C187" s="20" t="s">
        <v>848</v>
      </c>
      <c r="D187" s="137">
        <v>1770000</v>
      </c>
      <c r="E187" s="20" t="s">
        <v>581</v>
      </c>
      <c r="F187" s="20" t="s">
        <v>582</v>
      </c>
      <c r="G187" s="8" t="str">
        <f t="shared" si="4"/>
        <v>BRUDER RICHARD</v>
      </c>
      <c r="H187" s="20" t="str">
        <f t="shared" si="5"/>
        <v>4045</v>
      </c>
    </row>
    <row r="188" spans="1:8" x14ac:dyDescent="0.3">
      <c r="A188" s="8">
        <v>43104.7265625</v>
      </c>
      <c r="B188" s="20" t="s">
        <v>672</v>
      </c>
      <c r="C188" s="20" t="s">
        <v>680</v>
      </c>
      <c r="D188" s="137">
        <v>2000000</v>
      </c>
      <c r="E188" s="20" t="s">
        <v>394</v>
      </c>
      <c r="F188" s="20" t="s">
        <v>395</v>
      </c>
      <c r="G188" s="8" t="str">
        <f t="shared" si="4"/>
        <v>STAMBAUGH JAMES</v>
      </c>
      <c r="H188" s="20" t="str">
        <f t="shared" si="5"/>
        <v>4015</v>
      </c>
    </row>
    <row r="189" spans="1:8" x14ac:dyDescent="0.3">
      <c r="A189" s="8">
        <v>43104.726597222223</v>
      </c>
      <c r="B189" s="20" t="s">
        <v>674</v>
      </c>
      <c r="C189" s="20" t="s">
        <v>849</v>
      </c>
      <c r="D189" s="137">
        <v>3130000</v>
      </c>
      <c r="E189" s="20" t="s">
        <v>585</v>
      </c>
      <c r="F189" s="20" t="s">
        <v>586</v>
      </c>
      <c r="G189" s="8" t="str">
        <f t="shared" si="4"/>
        <v>ZEWDU DEREJE</v>
      </c>
      <c r="H189" s="20" t="str">
        <f t="shared" si="5"/>
        <v>4032</v>
      </c>
    </row>
    <row r="190" spans="1:8" x14ac:dyDescent="0.3">
      <c r="A190" s="8">
        <v>43104.732083333336</v>
      </c>
      <c r="B190" s="20" t="s">
        <v>442</v>
      </c>
      <c r="C190" s="20" t="s">
        <v>850</v>
      </c>
      <c r="D190" s="137">
        <v>3490000</v>
      </c>
      <c r="E190" s="20" t="s">
        <v>826</v>
      </c>
      <c r="F190" s="20" t="s">
        <v>827</v>
      </c>
      <c r="G190" s="8" t="str">
        <f t="shared" si="4"/>
        <v>WEST BRYAN</v>
      </c>
      <c r="H190" s="20" t="str">
        <f t="shared" si="5"/>
        <v>4010</v>
      </c>
    </row>
    <row r="191" spans="1:8" x14ac:dyDescent="0.3">
      <c r="A191" s="8">
        <v>43104.735034722224</v>
      </c>
      <c r="B191" s="20" t="s">
        <v>532</v>
      </c>
      <c r="C191" s="20" t="s">
        <v>851</v>
      </c>
      <c r="D191" s="137">
        <v>880000</v>
      </c>
      <c r="E191" s="20" t="s">
        <v>519</v>
      </c>
      <c r="F191" s="20" t="s">
        <v>352</v>
      </c>
      <c r="G191" s="8" t="str">
        <f t="shared" si="4"/>
        <v>STEWART MICHAEL</v>
      </c>
      <c r="H191" s="20" t="str">
        <f t="shared" si="5"/>
        <v>4063</v>
      </c>
    </row>
    <row r="192" spans="1:8" x14ac:dyDescent="0.3">
      <c r="A192" s="8">
        <v>43104.736296296294</v>
      </c>
      <c r="B192" s="20" t="s">
        <v>509</v>
      </c>
      <c r="C192" s="20" t="s">
        <v>852</v>
      </c>
      <c r="D192" s="137">
        <v>3670000</v>
      </c>
      <c r="E192" s="20" t="s">
        <v>382</v>
      </c>
      <c r="F192" s="20" t="s">
        <v>368</v>
      </c>
      <c r="G192" s="8" t="str">
        <f t="shared" si="4"/>
        <v>ANDREA WILLIAMS</v>
      </c>
      <c r="H192" s="20" t="str">
        <f t="shared" si="5"/>
        <v>4041</v>
      </c>
    </row>
    <row r="193" spans="1:8" x14ac:dyDescent="0.3">
      <c r="A193" s="8">
        <v>43104.738194444442</v>
      </c>
      <c r="B193" s="20" t="s">
        <v>449</v>
      </c>
      <c r="C193" s="20" t="s">
        <v>853</v>
      </c>
      <c r="D193" s="137">
        <v>1300000</v>
      </c>
      <c r="E193" s="20" t="s">
        <v>358</v>
      </c>
      <c r="F193" s="20" t="s">
        <v>359</v>
      </c>
      <c r="G193" s="8" t="str">
        <f t="shared" si="4"/>
        <v>LEVIN SCOTT</v>
      </c>
      <c r="H193" s="20" t="str">
        <f t="shared" si="5"/>
        <v>4051</v>
      </c>
    </row>
    <row r="194" spans="1:8" x14ac:dyDescent="0.3">
      <c r="A194" s="8">
        <v>43104.738506944443</v>
      </c>
      <c r="B194" s="20" t="s">
        <v>360</v>
      </c>
      <c r="C194" s="20" t="s">
        <v>854</v>
      </c>
      <c r="D194" s="137">
        <v>890000</v>
      </c>
      <c r="E194" s="20" t="s">
        <v>344</v>
      </c>
      <c r="F194" s="20" t="s">
        <v>345</v>
      </c>
      <c r="G194" s="8" t="str">
        <f t="shared" si="4"/>
        <v>LOZA FIDEL</v>
      </c>
      <c r="H194" s="20" t="str">
        <f t="shared" si="5"/>
        <v>4018</v>
      </c>
    </row>
    <row r="195" spans="1:8" x14ac:dyDescent="0.3">
      <c r="A195" s="8">
        <v>43104.747928240744</v>
      </c>
      <c r="B195" s="20" t="s">
        <v>478</v>
      </c>
      <c r="C195" s="20" t="s">
        <v>855</v>
      </c>
      <c r="D195" s="137">
        <v>2420000</v>
      </c>
      <c r="E195" s="20" t="s">
        <v>583</v>
      </c>
      <c r="F195" s="20" t="s">
        <v>584</v>
      </c>
      <c r="G195" s="8" t="str">
        <f t="shared" ref="G195:G258" si="6">E195&amp;" "&amp;F195</f>
        <v>HOLCOMB KAMDEN</v>
      </c>
      <c r="H195" s="20" t="str">
        <f t="shared" ref="H195:H258" si="7">MID(B195,13,4)</f>
        <v>4044</v>
      </c>
    </row>
    <row r="196" spans="1:8" x14ac:dyDescent="0.3">
      <c r="A196" s="8">
        <v>43104.748807870368</v>
      </c>
      <c r="B196" s="20" t="s">
        <v>476</v>
      </c>
      <c r="C196" s="20" t="s">
        <v>856</v>
      </c>
      <c r="D196" s="137">
        <v>3490000</v>
      </c>
      <c r="E196" s="20" t="s">
        <v>826</v>
      </c>
      <c r="F196" s="20" t="s">
        <v>827</v>
      </c>
      <c r="G196" s="8" t="str">
        <f t="shared" si="6"/>
        <v>WEST BRYAN</v>
      </c>
      <c r="H196" s="20" t="str">
        <f t="shared" si="7"/>
        <v>4009</v>
      </c>
    </row>
    <row r="197" spans="1:8" x14ac:dyDescent="0.3">
      <c r="A197" s="8">
        <v>43104.748865740738</v>
      </c>
      <c r="B197" s="20" t="s">
        <v>725</v>
      </c>
      <c r="C197" s="20" t="s">
        <v>857</v>
      </c>
      <c r="D197" s="137">
        <v>2000000</v>
      </c>
      <c r="E197" s="20" t="s">
        <v>394</v>
      </c>
      <c r="F197" s="20" t="s">
        <v>395</v>
      </c>
      <c r="G197" s="8" t="str">
        <f t="shared" si="6"/>
        <v>STAMBAUGH JAMES</v>
      </c>
      <c r="H197" s="20" t="str">
        <f t="shared" si="7"/>
        <v>4016</v>
      </c>
    </row>
    <row r="198" spans="1:8" x14ac:dyDescent="0.3">
      <c r="A198" s="8">
        <v>43104.755601851852</v>
      </c>
      <c r="B198" s="20" t="s">
        <v>663</v>
      </c>
      <c r="C198" s="20" t="s">
        <v>858</v>
      </c>
      <c r="D198" s="137">
        <v>3340000</v>
      </c>
      <c r="E198" s="20" t="s">
        <v>461</v>
      </c>
      <c r="F198" s="20" t="s">
        <v>462</v>
      </c>
      <c r="G198" s="8" t="str">
        <f t="shared" si="6"/>
        <v>ELBAUM MIKE</v>
      </c>
      <c r="H198" s="20" t="str">
        <f t="shared" si="7"/>
        <v>4046</v>
      </c>
    </row>
    <row r="199" spans="1:8" x14ac:dyDescent="0.3">
      <c r="A199" s="8">
        <v>43104.756122685183</v>
      </c>
      <c r="B199" s="20" t="s">
        <v>510</v>
      </c>
      <c r="C199" s="20" t="s">
        <v>859</v>
      </c>
      <c r="D199" s="137">
        <v>2140000</v>
      </c>
      <c r="E199" s="20" t="s">
        <v>794</v>
      </c>
      <c r="F199" s="20" t="s">
        <v>795</v>
      </c>
      <c r="G199" s="8" t="str">
        <f t="shared" si="6"/>
        <v>ROBINSON KADDIBA</v>
      </c>
      <c r="H199" s="20" t="str">
        <f t="shared" si="7"/>
        <v>4033</v>
      </c>
    </row>
    <row r="200" spans="1:8" x14ac:dyDescent="0.3">
      <c r="A200" s="8">
        <v>43104.756967592592</v>
      </c>
      <c r="B200" s="20" t="s">
        <v>707</v>
      </c>
      <c r="C200" s="20" t="s">
        <v>860</v>
      </c>
      <c r="D200" s="137">
        <v>3130000</v>
      </c>
      <c r="E200" s="20" t="s">
        <v>585</v>
      </c>
      <c r="F200" s="20" t="s">
        <v>586</v>
      </c>
      <c r="G200" s="8" t="str">
        <f t="shared" si="6"/>
        <v>ZEWDU DEREJE</v>
      </c>
      <c r="H200" s="20" t="str">
        <f t="shared" si="7"/>
        <v>4031</v>
      </c>
    </row>
    <row r="201" spans="1:8" x14ac:dyDescent="0.3">
      <c r="A201" s="8">
        <v>43104.768229166664</v>
      </c>
      <c r="B201" s="20" t="s">
        <v>511</v>
      </c>
      <c r="C201" s="20" t="s">
        <v>861</v>
      </c>
      <c r="D201" s="137">
        <v>3320000</v>
      </c>
      <c r="E201" s="20" t="s">
        <v>363</v>
      </c>
      <c r="F201" s="20" t="s">
        <v>364</v>
      </c>
      <c r="G201" s="8" t="str">
        <f t="shared" si="6"/>
        <v>NICHOLSON WESLEY</v>
      </c>
      <c r="H201" s="20" t="str">
        <f t="shared" si="7"/>
        <v>4064</v>
      </c>
    </row>
    <row r="202" spans="1:8" x14ac:dyDescent="0.3">
      <c r="A202" s="26">
        <v>43104.769305555557</v>
      </c>
      <c r="B202" s="20" t="s">
        <v>672</v>
      </c>
      <c r="C202" s="20" t="s">
        <v>862</v>
      </c>
      <c r="D202" s="137">
        <v>2000000</v>
      </c>
      <c r="E202" s="20" t="s">
        <v>394</v>
      </c>
      <c r="F202" s="20" t="s">
        <v>395</v>
      </c>
      <c r="G202" s="8" t="str">
        <f t="shared" si="6"/>
        <v>STAMBAUGH JAMES</v>
      </c>
      <c r="H202" s="20" t="str">
        <f t="shared" si="7"/>
        <v>4015</v>
      </c>
    </row>
    <row r="203" spans="1:8" x14ac:dyDescent="0.3">
      <c r="A203" s="8">
        <v>43104.770138888889</v>
      </c>
      <c r="B203" s="20" t="s">
        <v>442</v>
      </c>
      <c r="C203" s="20" t="s">
        <v>863</v>
      </c>
      <c r="D203" s="137">
        <v>3490000</v>
      </c>
      <c r="E203" s="20" t="s">
        <v>826</v>
      </c>
      <c r="F203" s="20" t="s">
        <v>827</v>
      </c>
      <c r="G203" s="8" t="str">
        <f t="shared" si="6"/>
        <v>WEST BRYAN</v>
      </c>
      <c r="H203" s="20" t="str">
        <f t="shared" si="7"/>
        <v>4010</v>
      </c>
    </row>
    <row r="204" spans="1:8" x14ac:dyDescent="0.3">
      <c r="A204" s="8">
        <v>43104.776250000003</v>
      </c>
      <c r="B204" s="20" t="s">
        <v>447</v>
      </c>
      <c r="C204" s="20" t="s">
        <v>864</v>
      </c>
      <c r="D204" s="137">
        <v>1300000</v>
      </c>
      <c r="E204" s="20" t="s">
        <v>358</v>
      </c>
      <c r="F204" s="20" t="s">
        <v>359</v>
      </c>
      <c r="G204" s="8" t="str">
        <f t="shared" si="6"/>
        <v>LEVIN SCOTT</v>
      </c>
      <c r="H204" s="20" t="str">
        <f t="shared" si="7"/>
        <v>4052</v>
      </c>
    </row>
    <row r="205" spans="1:8" x14ac:dyDescent="0.3">
      <c r="A205" s="8">
        <v>43104.777465277781</v>
      </c>
      <c r="B205" s="20" t="s">
        <v>362</v>
      </c>
      <c r="C205" s="20" t="s">
        <v>865</v>
      </c>
      <c r="D205" s="137">
        <v>890000</v>
      </c>
      <c r="E205" s="20" t="s">
        <v>344</v>
      </c>
      <c r="F205" s="20" t="s">
        <v>345</v>
      </c>
      <c r="G205" s="8" t="str">
        <f t="shared" si="6"/>
        <v>LOZA FIDEL</v>
      </c>
      <c r="H205" s="20" t="str">
        <f t="shared" si="7"/>
        <v>4017</v>
      </c>
    </row>
    <row r="206" spans="1:8" x14ac:dyDescent="0.3">
      <c r="A206" s="8">
        <v>43104.784050925926</v>
      </c>
      <c r="B206" s="20" t="s">
        <v>676</v>
      </c>
      <c r="C206" s="20" t="s">
        <v>866</v>
      </c>
      <c r="D206" s="137">
        <v>2420000</v>
      </c>
      <c r="E206" s="20" t="s">
        <v>583</v>
      </c>
      <c r="F206" s="20" t="s">
        <v>584</v>
      </c>
      <c r="G206" s="8" t="str">
        <f t="shared" si="6"/>
        <v>HOLCOMB KAMDEN</v>
      </c>
      <c r="H206" s="20" t="str">
        <f t="shared" si="7"/>
        <v>4043</v>
      </c>
    </row>
    <row r="207" spans="1:8" x14ac:dyDescent="0.3">
      <c r="A207" s="8">
        <v>43104.786874999998</v>
      </c>
      <c r="B207" s="20" t="s">
        <v>657</v>
      </c>
      <c r="C207" s="20" t="s">
        <v>867</v>
      </c>
      <c r="D207" s="137">
        <v>3340000</v>
      </c>
      <c r="E207" s="20" t="s">
        <v>461</v>
      </c>
      <c r="F207" s="20" t="s">
        <v>462</v>
      </c>
      <c r="G207" s="8" t="str">
        <f t="shared" si="6"/>
        <v>ELBAUM MIKE</v>
      </c>
      <c r="H207" s="20" t="str">
        <f t="shared" si="7"/>
        <v>4045</v>
      </c>
    </row>
    <row r="208" spans="1:8" x14ac:dyDescent="0.3">
      <c r="A208" s="8">
        <v>43104.788715277777</v>
      </c>
      <c r="B208" s="20" t="s">
        <v>573</v>
      </c>
      <c r="C208" s="20" t="s">
        <v>681</v>
      </c>
      <c r="D208" s="137">
        <v>3310000</v>
      </c>
      <c r="E208" s="20" t="s">
        <v>474</v>
      </c>
      <c r="F208" s="20" t="s">
        <v>475</v>
      </c>
      <c r="G208" s="8" t="str">
        <f t="shared" si="6"/>
        <v>ANDERS STEVEN</v>
      </c>
      <c r="H208" s="20" t="str">
        <f t="shared" si="7"/>
        <v>4034</v>
      </c>
    </row>
    <row r="209" spans="1:8" x14ac:dyDescent="0.3">
      <c r="A209" s="8">
        <v>43104.789965277778</v>
      </c>
      <c r="B209" s="20" t="s">
        <v>725</v>
      </c>
      <c r="C209" s="20" t="s">
        <v>868</v>
      </c>
      <c r="D209" s="137">
        <v>2000000</v>
      </c>
      <c r="E209" s="20" t="s">
        <v>394</v>
      </c>
      <c r="F209" s="20" t="s">
        <v>395</v>
      </c>
      <c r="G209" s="8" t="str">
        <f t="shared" si="6"/>
        <v>STAMBAUGH JAMES</v>
      </c>
      <c r="H209" s="20" t="str">
        <f t="shared" si="7"/>
        <v>4016</v>
      </c>
    </row>
    <row r="210" spans="1:8" x14ac:dyDescent="0.3">
      <c r="A210" s="8">
        <v>43104.790324074071</v>
      </c>
      <c r="B210" s="20" t="s">
        <v>476</v>
      </c>
      <c r="C210" s="20" t="s">
        <v>869</v>
      </c>
      <c r="D210" s="137">
        <v>3490000</v>
      </c>
      <c r="E210" s="20" t="s">
        <v>826</v>
      </c>
      <c r="F210" s="20" t="s">
        <v>827</v>
      </c>
      <c r="G210" s="8" t="str">
        <f t="shared" si="6"/>
        <v>WEST BRYAN</v>
      </c>
      <c r="H210" s="20" t="str">
        <f t="shared" si="7"/>
        <v>4009</v>
      </c>
    </row>
    <row r="211" spans="1:8" x14ac:dyDescent="0.3">
      <c r="A211" s="8">
        <v>43104.797303240739</v>
      </c>
      <c r="B211" s="20" t="s">
        <v>674</v>
      </c>
      <c r="C211" s="20" t="s">
        <v>870</v>
      </c>
      <c r="D211" s="137">
        <v>1180000</v>
      </c>
      <c r="E211" s="20" t="s">
        <v>535</v>
      </c>
      <c r="F211" s="20" t="s">
        <v>536</v>
      </c>
      <c r="G211" s="8" t="str">
        <f t="shared" si="6"/>
        <v>LEVERE CRAIG</v>
      </c>
      <c r="H211" s="20" t="str">
        <f t="shared" si="7"/>
        <v>4032</v>
      </c>
    </row>
    <row r="212" spans="1:8" x14ac:dyDescent="0.3">
      <c r="A212" s="8">
        <v>43104.801400462966</v>
      </c>
      <c r="B212" s="20" t="s">
        <v>532</v>
      </c>
      <c r="C212" s="20" t="s">
        <v>871</v>
      </c>
      <c r="D212" s="137">
        <v>3320000</v>
      </c>
      <c r="E212" s="20" t="s">
        <v>363</v>
      </c>
      <c r="F212" s="20" t="s">
        <v>364</v>
      </c>
      <c r="G212" s="8" t="str">
        <f t="shared" si="6"/>
        <v>NICHOLSON WESLEY</v>
      </c>
      <c r="H212" s="20" t="str">
        <f t="shared" si="7"/>
        <v>4063</v>
      </c>
    </row>
    <row r="213" spans="1:8" x14ac:dyDescent="0.3">
      <c r="A213" s="8">
        <v>43104.80846064815</v>
      </c>
      <c r="B213" s="20" t="s">
        <v>672</v>
      </c>
      <c r="C213" s="20" t="s">
        <v>868</v>
      </c>
      <c r="D213" s="137">
        <v>2000000</v>
      </c>
      <c r="E213" s="20" t="s">
        <v>394</v>
      </c>
      <c r="F213" s="20" t="s">
        <v>395</v>
      </c>
      <c r="G213" s="8" t="str">
        <f t="shared" si="6"/>
        <v>STAMBAUGH JAMES</v>
      </c>
      <c r="H213" s="20" t="str">
        <f t="shared" si="7"/>
        <v>4015</v>
      </c>
    </row>
    <row r="214" spans="1:8" x14ac:dyDescent="0.3">
      <c r="A214" s="8">
        <v>43104.809016203704</v>
      </c>
      <c r="B214" s="20" t="s">
        <v>672</v>
      </c>
      <c r="C214" s="20" t="s">
        <v>872</v>
      </c>
      <c r="D214" s="137">
        <v>2000000</v>
      </c>
      <c r="E214" s="20" t="s">
        <v>394</v>
      </c>
      <c r="F214" s="20" t="s">
        <v>395</v>
      </c>
      <c r="G214" s="8" t="str">
        <f t="shared" si="6"/>
        <v>STAMBAUGH JAMES</v>
      </c>
      <c r="H214" s="20" t="str">
        <f t="shared" si="7"/>
        <v>4015</v>
      </c>
    </row>
    <row r="215" spans="1:8" x14ac:dyDescent="0.3">
      <c r="A215" s="8">
        <v>43104.810196759259</v>
      </c>
      <c r="B215" s="20" t="s">
        <v>360</v>
      </c>
      <c r="C215" s="20" t="s">
        <v>873</v>
      </c>
      <c r="D215" s="137">
        <v>890000</v>
      </c>
      <c r="E215" s="20" t="s">
        <v>344</v>
      </c>
      <c r="F215" s="20" t="s">
        <v>345</v>
      </c>
      <c r="G215" s="8" t="str">
        <f t="shared" si="6"/>
        <v>LOZA FIDEL</v>
      </c>
      <c r="H215" s="20" t="str">
        <f t="shared" si="7"/>
        <v>4018</v>
      </c>
    </row>
    <row r="216" spans="1:8" x14ac:dyDescent="0.3">
      <c r="A216" s="8">
        <v>43104.818136574075</v>
      </c>
      <c r="B216" s="20" t="s">
        <v>478</v>
      </c>
      <c r="C216" s="20" t="s">
        <v>682</v>
      </c>
      <c r="D216" s="137">
        <v>2420000</v>
      </c>
      <c r="E216" s="20" t="s">
        <v>583</v>
      </c>
      <c r="F216" s="20" t="s">
        <v>584</v>
      </c>
      <c r="G216" s="8" t="str">
        <f t="shared" si="6"/>
        <v>HOLCOMB KAMDEN</v>
      </c>
      <c r="H216" s="20" t="str">
        <f t="shared" si="7"/>
        <v>4044</v>
      </c>
    </row>
    <row r="217" spans="1:8" x14ac:dyDescent="0.3">
      <c r="A217" s="8">
        <v>43104.82671296296</v>
      </c>
      <c r="B217" s="20" t="s">
        <v>663</v>
      </c>
      <c r="C217" s="20" t="s">
        <v>874</v>
      </c>
      <c r="D217" s="137">
        <v>3340000</v>
      </c>
      <c r="E217" s="20" t="s">
        <v>461</v>
      </c>
      <c r="F217" s="20" t="s">
        <v>462</v>
      </c>
      <c r="G217" s="8" t="str">
        <f t="shared" si="6"/>
        <v>ELBAUM MIKE</v>
      </c>
      <c r="H217" s="20" t="str">
        <f t="shared" si="7"/>
        <v>4046</v>
      </c>
    </row>
    <row r="218" spans="1:8" x14ac:dyDescent="0.3">
      <c r="A218" s="8">
        <v>43104.829988425925</v>
      </c>
      <c r="B218" s="20" t="s">
        <v>510</v>
      </c>
      <c r="C218" s="20" t="s">
        <v>875</v>
      </c>
      <c r="D218" s="137">
        <v>3310000</v>
      </c>
      <c r="E218" s="20" t="s">
        <v>474</v>
      </c>
      <c r="F218" s="20" t="s">
        <v>475</v>
      </c>
      <c r="G218" s="8" t="str">
        <f t="shared" si="6"/>
        <v>ANDERS STEVEN</v>
      </c>
      <c r="H218" s="20" t="str">
        <f t="shared" si="7"/>
        <v>4033</v>
      </c>
    </row>
    <row r="219" spans="1:8" x14ac:dyDescent="0.3">
      <c r="A219" s="8">
        <v>43104.834479166668</v>
      </c>
      <c r="B219" s="20" t="s">
        <v>725</v>
      </c>
      <c r="C219" s="20" t="s">
        <v>876</v>
      </c>
      <c r="D219" s="137">
        <v>2000000</v>
      </c>
      <c r="E219" s="20" t="s">
        <v>394</v>
      </c>
      <c r="F219" s="20" t="s">
        <v>395</v>
      </c>
      <c r="G219" s="8" t="str">
        <f t="shared" si="6"/>
        <v>STAMBAUGH JAMES</v>
      </c>
      <c r="H219" s="20" t="str">
        <f t="shared" si="7"/>
        <v>4016</v>
      </c>
    </row>
    <row r="220" spans="1:8" x14ac:dyDescent="0.3">
      <c r="A220" s="8">
        <v>43104.840891203705</v>
      </c>
      <c r="B220" s="20" t="s">
        <v>511</v>
      </c>
      <c r="C220" s="20" t="s">
        <v>877</v>
      </c>
      <c r="D220" s="137">
        <v>3320000</v>
      </c>
      <c r="E220" s="20" t="s">
        <v>363</v>
      </c>
      <c r="F220" s="20" t="s">
        <v>364</v>
      </c>
      <c r="G220" s="8" t="str">
        <f t="shared" si="6"/>
        <v>NICHOLSON WESLEY</v>
      </c>
      <c r="H220" s="20" t="str">
        <f t="shared" si="7"/>
        <v>4064</v>
      </c>
    </row>
    <row r="221" spans="1:8" x14ac:dyDescent="0.3">
      <c r="A221" s="8">
        <v>43104.850856481484</v>
      </c>
      <c r="B221" s="20" t="s">
        <v>672</v>
      </c>
      <c r="C221" s="20" t="s">
        <v>878</v>
      </c>
      <c r="D221" s="137">
        <v>2000000</v>
      </c>
      <c r="E221" s="20" t="s">
        <v>394</v>
      </c>
      <c r="F221" s="20" t="s">
        <v>395</v>
      </c>
      <c r="G221" s="8" t="str">
        <f t="shared" si="6"/>
        <v>STAMBAUGH JAMES</v>
      </c>
      <c r="H221" s="20" t="str">
        <f t="shared" si="7"/>
        <v>4015</v>
      </c>
    </row>
    <row r="222" spans="1:8" x14ac:dyDescent="0.3">
      <c r="A222" s="8">
        <v>43104.851168981484</v>
      </c>
      <c r="B222" s="20" t="s">
        <v>362</v>
      </c>
      <c r="C222" s="20" t="s">
        <v>879</v>
      </c>
      <c r="D222" s="137">
        <v>890000</v>
      </c>
      <c r="E222" s="20" t="s">
        <v>344</v>
      </c>
      <c r="F222" s="20" t="s">
        <v>345</v>
      </c>
      <c r="G222" s="8" t="str">
        <f t="shared" si="6"/>
        <v>LOZA FIDEL</v>
      </c>
      <c r="H222" s="20" t="str">
        <f t="shared" si="7"/>
        <v>4017</v>
      </c>
    </row>
    <row r="223" spans="1:8" x14ac:dyDescent="0.3">
      <c r="A223" s="8">
        <v>43104.858946759261</v>
      </c>
      <c r="B223" s="20" t="s">
        <v>657</v>
      </c>
      <c r="C223" s="20" t="s">
        <v>880</v>
      </c>
      <c r="D223" s="137">
        <v>3340000</v>
      </c>
      <c r="E223" s="20" t="s">
        <v>461</v>
      </c>
      <c r="F223" s="20" t="s">
        <v>462</v>
      </c>
      <c r="G223" s="8" t="str">
        <f t="shared" si="6"/>
        <v>ELBAUM MIKE</v>
      </c>
      <c r="H223" s="20" t="str">
        <f t="shared" si="7"/>
        <v>4045</v>
      </c>
    </row>
    <row r="224" spans="1:8" x14ac:dyDescent="0.3">
      <c r="A224" s="8">
        <v>43104.859884259262</v>
      </c>
      <c r="B224" t="s">
        <v>573</v>
      </c>
      <c r="C224" t="s">
        <v>881</v>
      </c>
      <c r="D224" s="137">
        <v>3310000</v>
      </c>
      <c r="E224" t="s">
        <v>474</v>
      </c>
      <c r="F224" s="20" t="s">
        <v>475</v>
      </c>
      <c r="G224" s="8" t="str">
        <f t="shared" si="6"/>
        <v>ANDERS STEVEN</v>
      </c>
      <c r="H224" s="20" t="str">
        <f t="shared" si="7"/>
        <v>4034</v>
      </c>
    </row>
    <row r="225" spans="1:8" x14ac:dyDescent="0.3">
      <c r="A225" s="8">
        <v>43104.876377314817</v>
      </c>
      <c r="B225" t="s">
        <v>725</v>
      </c>
      <c r="C225" t="s">
        <v>882</v>
      </c>
      <c r="D225" s="137">
        <v>3490000</v>
      </c>
      <c r="E225" t="s">
        <v>826</v>
      </c>
      <c r="F225" s="20" t="s">
        <v>827</v>
      </c>
      <c r="G225" s="8" t="str">
        <f t="shared" si="6"/>
        <v>WEST BRYAN</v>
      </c>
      <c r="H225" s="20" t="str">
        <f t="shared" si="7"/>
        <v>4016</v>
      </c>
    </row>
    <row r="226" spans="1:8" x14ac:dyDescent="0.3">
      <c r="A226" s="8">
        <v>43104.881331018521</v>
      </c>
      <c r="B226" t="s">
        <v>360</v>
      </c>
      <c r="C226" t="s">
        <v>883</v>
      </c>
      <c r="D226" s="137">
        <v>890000</v>
      </c>
      <c r="E226" t="s">
        <v>344</v>
      </c>
      <c r="F226" s="20" t="s">
        <v>345</v>
      </c>
      <c r="G226" s="8" t="str">
        <f t="shared" si="6"/>
        <v>LOZA FIDEL</v>
      </c>
      <c r="H226" s="20" t="str">
        <f t="shared" si="7"/>
        <v>4018</v>
      </c>
    </row>
    <row r="227" spans="1:8" x14ac:dyDescent="0.3">
      <c r="A227" s="8">
        <v>43104.884016203701</v>
      </c>
      <c r="B227" t="s">
        <v>532</v>
      </c>
      <c r="C227" t="s">
        <v>884</v>
      </c>
      <c r="D227" s="137">
        <v>3320000</v>
      </c>
      <c r="E227" t="s">
        <v>363</v>
      </c>
      <c r="F227" s="20" t="s">
        <v>364</v>
      </c>
      <c r="G227" s="8" t="str">
        <f t="shared" si="6"/>
        <v>NICHOLSON WESLEY</v>
      </c>
      <c r="H227" s="20" t="str">
        <f t="shared" si="7"/>
        <v>4063</v>
      </c>
    </row>
    <row r="228" spans="1:8" x14ac:dyDescent="0.3">
      <c r="A228" s="8">
        <v>43104.893136574072</v>
      </c>
      <c r="B228" t="s">
        <v>672</v>
      </c>
      <c r="C228" t="s">
        <v>885</v>
      </c>
      <c r="D228" s="137">
        <v>3490000</v>
      </c>
      <c r="E228" t="s">
        <v>826</v>
      </c>
      <c r="F228" s="20" t="s">
        <v>827</v>
      </c>
      <c r="G228" s="8" t="str">
        <f t="shared" si="6"/>
        <v>WEST BRYAN</v>
      </c>
      <c r="H228" s="20" t="str">
        <f t="shared" si="7"/>
        <v>4015</v>
      </c>
    </row>
    <row r="229" spans="1:8" x14ac:dyDescent="0.3">
      <c r="A229" s="8">
        <v>43104.899687500001</v>
      </c>
      <c r="B229" t="s">
        <v>663</v>
      </c>
      <c r="C229" t="s">
        <v>886</v>
      </c>
      <c r="D229" s="137">
        <v>3340000</v>
      </c>
      <c r="E229" t="s">
        <v>461</v>
      </c>
      <c r="F229" s="20" t="s">
        <v>462</v>
      </c>
      <c r="G229" s="8" t="str">
        <f t="shared" si="6"/>
        <v>ELBAUM MIKE</v>
      </c>
      <c r="H229" s="20" t="str">
        <f t="shared" si="7"/>
        <v>4046</v>
      </c>
    </row>
    <row r="230" spans="1:8" x14ac:dyDescent="0.3">
      <c r="A230" s="8">
        <v>43104.912893518522</v>
      </c>
      <c r="B230" t="s">
        <v>510</v>
      </c>
      <c r="C230" t="s">
        <v>887</v>
      </c>
      <c r="D230" s="137">
        <v>3310000</v>
      </c>
      <c r="E230" t="s">
        <v>474</v>
      </c>
      <c r="F230" s="20" t="s">
        <v>475</v>
      </c>
      <c r="G230" s="8" t="str">
        <f t="shared" si="6"/>
        <v>ANDERS STEVEN</v>
      </c>
      <c r="H230" s="20" t="str">
        <f t="shared" si="7"/>
        <v>4033</v>
      </c>
    </row>
    <row r="231" spans="1:8" x14ac:dyDescent="0.3">
      <c r="A231" s="8">
        <v>43104.916400462964</v>
      </c>
      <c r="B231" t="s">
        <v>725</v>
      </c>
      <c r="C231" t="s">
        <v>888</v>
      </c>
      <c r="D231" s="137">
        <v>3490000</v>
      </c>
      <c r="E231" t="s">
        <v>826</v>
      </c>
      <c r="F231" s="20" t="s">
        <v>827</v>
      </c>
      <c r="G231" s="8" t="str">
        <f t="shared" si="6"/>
        <v>WEST BRYAN</v>
      </c>
      <c r="H231" s="20" t="str">
        <f t="shared" si="7"/>
        <v>4016</v>
      </c>
    </row>
    <row r="232" spans="1:8" x14ac:dyDescent="0.3">
      <c r="A232" s="8">
        <v>43104.933148148149</v>
      </c>
      <c r="B232" t="s">
        <v>362</v>
      </c>
      <c r="C232" t="s">
        <v>889</v>
      </c>
      <c r="D232" s="137">
        <v>890000</v>
      </c>
      <c r="E232" t="s">
        <v>344</v>
      </c>
      <c r="F232" s="20" t="s">
        <v>345</v>
      </c>
      <c r="G232" s="8" t="str">
        <f t="shared" si="6"/>
        <v>LOZA FIDEL</v>
      </c>
      <c r="H232" s="20" t="str">
        <f t="shared" si="7"/>
        <v>4017</v>
      </c>
    </row>
    <row r="233" spans="1:8" x14ac:dyDescent="0.3">
      <c r="A233" s="8">
        <v>43104.933425925927</v>
      </c>
      <c r="B233" t="s">
        <v>511</v>
      </c>
      <c r="C233" t="s">
        <v>890</v>
      </c>
      <c r="D233" s="137">
        <v>3320000</v>
      </c>
      <c r="E233" t="s">
        <v>363</v>
      </c>
      <c r="F233" s="20" t="s">
        <v>364</v>
      </c>
      <c r="G233" s="8" t="str">
        <f t="shared" si="6"/>
        <v>NICHOLSON WESLEY</v>
      </c>
      <c r="H233" s="20" t="str">
        <f t="shared" si="7"/>
        <v>4064</v>
      </c>
    </row>
    <row r="234" spans="1:8" x14ac:dyDescent="0.3">
      <c r="A234" s="8">
        <v>43104.937141203707</v>
      </c>
      <c r="B234" t="s">
        <v>672</v>
      </c>
      <c r="C234" t="s">
        <v>891</v>
      </c>
      <c r="D234" s="137">
        <v>3490000</v>
      </c>
      <c r="E234" t="s">
        <v>826</v>
      </c>
      <c r="F234" s="20" t="s">
        <v>827</v>
      </c>
      <c r="G234" s="8" t="str">
        <f t="shared" si="6"/>
        <v>WEST BRYAN</v>
      </c>
      <c r="H234" s="20" t="str">
        <f t="shared" si="7"/>
        <v>4015</v>
      </c>
    </row>
    <row r="235" spans="1:8" x14ac:dyDescent="0.3">
      <c r="A235" s="8">
        <v>43104.944988425923</v>
      </c>
      <c r="B235" t="s">
        <v>657</v>
      </c>
      <c r="C235" t="s">
        <v>683</v>
      </c>
      <c r="D235" s="137">
        <v>3340000</v>
      </c>
      <c r="E235" t="s">
        <v>461</v>
      </c>
      <c r="F235" s="20" t="s">
        <v>462</v>
      </c>
      <c r="G235" s="8" t="str">
        <f t="shared" si="6"/>
        <v>ELBAUM MIKE</v>
      </c>
      <c r="H235" s="20" t="str">
        <f t="shared" si="7"/>
        <v>4045</v>
      </c>
    </row>
    <row r="236" spans="1:8" x14ac:dyDescent="0.3">
      <c r="A236" s="8">
        <v>43104.956701388888</v>
      </c>
      <c r="B236" t="s">
        <v>573</v>
      </c>
      <c r="C236" t="s">
        <v>892</v>
      </c>
      <c r="D236" s="137">
        <v>3310000</v>
      </c>
      <c r="E236" t="s">
        <v>474</v>
      </c>
      <c r="F236" s="20" t="s">
        <v>475</v>
      </c>
      <c r="G236" s="8" t="str">
        <f t="shared" si="6"/>
        <v>ANDERS STEVEN</v>
      </c>
      <c r="H236" s="20" t="str">
        <f t="shared" si="7"/>
        <v>4034</v>
      </c>
    </row>
    <row r="237" spans="1:8" x14ac:dyDescent="0.3">
      <c r="A237" s="8">
        <v>43104.961423611108</v>
      </c>
      <c r="B237" t="s">
        <v>725</v>
      </c>
      <c r="C237" t="s">
        <v>893</v>
      </c>
      <c r="D237" s="137">
        <v>3490000</v>
      </c>
      <c r="E237" t="s">
        <v>826</v>
      </c>
      <c r="F237" s="20" t="s">
        <v>827</v>
      </c>
      <c r="G237" s="8" t="str">
        <f t="shared" si="6"/>
        <v>WEST BRYAN</v>
      </c>
      <c r="H237" s="20" t="str">
        <f t="shared" si="7"/>
        <v>4016</v>
      </c>
    </row>
    <row r="238" spans="1:8" x14ac:dyDescent="0.3">
      <c r="A238" s="8">
        <v>43104.972893518519</v>
      </c>
      <c r="B238" t="s">
        <v>532</v>
      </c>
      <c r="C238" t="s">
        <v>894</v>
      </c>
      <c r="D238" s="137">
        <v>3320000</v>
      </c>
      <c r="E238" t="s">
        <v>363</v>
      </c>
      <c r="F238" s="20" t="s">
        <v>364</v>
      </c>
      <c r="G238" s="8" t="str">
        <f t="shared" si="6"/>
        <v>NICHOLSON WESLEY</v>
      </c>
      <c r="H238" s="20" t="str">
        <f t="shared" si="7"/>
        <v>4063</v>
      </c>
    </row>
    <row r="239" spans="1:8" x14ac:dyDescent="0.3">
      <c r="A239" s="8">
        <v>43104.977442129632</v>
      </c>
      <c r="B239" t="s">
        <v>360</v>
      </c>
      <c r="C239" t="s">
        <v>895</v>
      </c>
      <c r="D239" s="137">
        <v>890000</v>
      </c>
      <c r="E239" t="s">
        <v>344</v>
      </c>
      <c r="F239" s="20" t="s">
        <v>345</v>
      </c>
      <c r="G239" s="8" t="str">
        <f t="shared" si="6"/>
        <v>LOZA FIDEL</v>
      </c>
      <c r="H239" s="20" t="str">
        <f t="shared" si="7"/>
        <v>4018</v>
      </c>
    </row>
    <row r="240" spans="1:8" x14ac:dyDescent="0.3">
      <c r="A240" s="8">
        <v>43104.977500000001</v>
      </c>
      <c r="B240" t="s">
        <v>672</v>
      </c>
      <c r="C240" t="s">
        <v>896</v>
      </c>
      <c r="D240" s="137">
        <v>3490000</v>
      </c>
      <c r="E240" t="s">
        <v>826</v>
      </c>
      <c r="F240" s="20" t="s">
        <v>827</v>
      </c>
      <c r="G240" s="8" t="str">
        <f t="shared" si="6"/>
        <v>WEST BRYAN</v>
      </c>
      <c r="H240" s="20" t="str">
        <f t="shared" si="7"/>
        <v>4015</v>
      </c>
    </row>
    <row r="241" spans="1:8" x14ac:dyDescent="0.3">
      <c r="A241" s="8">
        <v>43104.987083333333</v>
      </c>
      <c r="B241" t="s">
        <v>663</v>
      </c>
      <c r="C241" t="s">
        <v>897</v>
      </c>
      <c r="D241" s="137">
        <v>3340000</v>
      </c>
      <c r="E241" t="s">
        <v>461</v>
      </c>
      <c r="F241" s="20" t="s">
        <v>462</v>
      </c>
      <c r="G241" s="8" t="str">
        <f t="shared" si="6"/>
        <v>ELBAUM MIKE</v>
      </c>
      <c r="H241" s="20" t="str">
        <f t="shared" si="7"/>
        <v>4046</v>
      </c>
    </row>
    <row r="242" spans="1:8" x14ac:dyDescent="0.3">
      <c r="A242" s="8">
        <v>43104.988449074073</v>
      </c>
      <c r="B242" t="s">
        <v>510</v>
      </c>
      <c r="C242" t="s">
        <v>898</v>
      </c>
      <c r="D242" s="137">
        <v>3310000</v>
      </c>
      <c r="E242" t="s">
        <v>474</v>
      </c>
      <c r="F242" s="20" t="s">
        <v>475</v>
      </c>
      <c r="G242" s="8" t="str">
        <f t="shared" si="6"/>
        <v>ANDERS STEVEN</v>
      </c>
      <c r="H242" s="20" t="str">
        <f t="shared" si="7"/>
        <v>4033</v>
      </c>
    </row>
    <row r="243" spans="1:8" x14ac:dyDescent="0.3">
      <c r="A243" s="8">
        <v>43105.010648148149</v>
      </c>
      <c r="B243" t="s">
        <v>511</v>
      </c>
      <c r="C243" t="s">
        <v>899</v>
      </c>
      <c r="D243" s="137">
        <v>3320000</v>
      </c>
      <c r="E243" t="s">
        <v>363</v>
      </c>
      <c r="F243" s="20" t="s">
        <v>364</v>
      </c>
      <c r="G243" s="8" t="str">
        <f t="shared" si="6"/>
        <v>NICHOLSON WESLEY</v>
      </c>
      <c r="H243" s="20" t="str">
        <f t="shared" si="7"/>
        <v>4064</v>
      </c>
    </row>
    <row r="244" spans="1:8" x14ac:dyDescent="0.3">
      <c r="A244" s="8">
        <v>43105.015763888892</v>
      </c>
      <c r="B244" t="s">
        <v>362</v>
      </c>
      <c r="C244" t="s">
        <v>900</v>
      </c>
      <c r="D244" s="137">
        <v>890000</v>
      </c>
      <c r="E244" t="s">
        <v>344</v>
      </c>
      <c r="F244" s="20" t="s">
        <v>345</v>
      </c>
      <c r="G244" s="8" t="str">
        <f t="shared" si="6"/>
        <v>LOZA FIDEL</v>
      </c>
      <c r="H244" s="20" t="str">
        <f t="shared" si="7"/>
        <v>4017</v>
      </c>
    </row>
    <row r="245" spans="1:8" x14ac:dyDescent="0.3">
      <c r="A245" s="8">
        <v>43105.025879629633</v>
      </c>
      <c r="B245" t="s">
        <v>657</v>
      </c>
      <c r="C245" t="s">
        <v>684</v>
      </c>
      <c r="D245" s="137">
        <v>3340000</v>
      </c>
      <c r="E245" t="s">
        <v>461</v>
      </c>
      <c r="F245" s="20" t="s">
        <v>462</v>
      </c>
      <c r="G245" s="8" t="str">
        <f t="shared" si="6"/>
        <v>ELBAUM MIKE</v>
      </c>
      <c r="H245" s="20" t="str">
        <f t="shared" si="7"/>
        <v>4045</v>
      </c>
    </row>
    <row r="246" spans="1:8" x14ac:dyDescent="0.3">
      <c r="A246" s="8">
        <v>43105.027650462966</v>
      </c>
      <c r="B246" t="s">
        <v>573</v>
      </c>
      <c r="C246" t="s">
        <v>901</v>
      </c>
      <c r="D246" s="137">
        <v>3310000</v>
      </c>
      <c r="E246" t="s">
        <v>474</v>
      </c>
      <c r="F246" s="20" t="s">
        <v>475</v>
      </c>
      <c r="G246" s="8" t="str">
        <f t="shared" si="6"/>
        <v>ANDERS STEVEN</v>
      </c>
      <c r="H246" s="20" t="str">
        <f t="shared" si="7"/>
        <v>4034</v>
      </c>
    </row>
    <row r="247" spans="1:8" x14ac:dyDescent="0.3">
      <c r="A247" s="8">
        <v>43105.048217592594</v>
      </c>
      <c r="B247" t="s">
        <v>360</v>
      </c>
      <c r="C247" t="s">
        <v>902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4018</v>
      </c>
    </row>
    <row r="248" spans="1:8" x14ac:dyDescent="0.3">
      <c r="A248" s="8">
        <v>43105.055</v>
      </c>
      <c r="B248" t="s">
        <v>532</v>
      </c>
      <c r="C248" t="s">
        <v>903</v>
      </c>
      <c r="D248" s="137">
        <v>3320000</v>
      </c>
      <c r="E248" t="s">
        <v>363</v>
      </c>
      <c r="F248" s="20" t="s">
        <v>364</v>
      </c>
      <c r="G248" s="8" t="str">
        <f t="shared" si="6"/>
        <v>NICHOLSON WESLEY</v>
      </c>
      <c r="H248" s="20" t="str">
        <f t="shared" si="7"/>
        <v>4063</v>
      </c>
    </row>
    <row r="249" spans="1:8" x14ac:dyDescent="0.3">
      <c r="A249" s="8">
        <v>43105.066979166666</v>
      </c>
      <c r="B249" t="s">
        <v>663</v>
      </c>
      <c r="C249" t="s">
        <v>904</v>
      </c>
      <c r="D249" s="137">
        <v>3340000</v>
      </c>
      <c r="E249" t="s">
        <v>461</v>
      </c>
      <c r="F249" s="20" t="s">
        <v>462</v>
      </c>
      <c r="G249" s="8" t="str">
        <f t="shared" si="6"/>
        <v>ELBAUM MIKE</v>
      </c>
      <c r="H249" s="20" t="str">
        <f t="shared" si="7"/>
        <v>4046</v>
      </c>
    </row>
    <row r="250" spans="1:8" x14ac:dyDescent="0.3">
      <c r="A250" s="8">
        <v>43105.091458333336</v>
      </c>
      <c r="B250" t="s">
        <v>511</v>
      </c>
      <c r="C250" t="s">
        <v>905</v>
      </c>
      <c r="D250" s="137">
        <v>3320000</v>
      </c>
      <c r="E250" t="s">
        <v>363</v>
      </c>
      <c r="F250" s="20" t="s">
        <v>364</v>
      </c>
      <c r="G250" s="8" t="str">
        <f t="shared" si="6"/>
        <v>NICHOLSON WESLEY</v>
      </c>
      <c r="H250" s="20" t="str">
        <f t="shared" si="7"/>
        <v>4064</v>
      </c>
    </row>
    <row r="251" spans="1:8" x14ac:dyDescent="0.3">
      <c r="A251" s="8">
        <v>43092.069814814815</v>
      </c>
      <c r="B251" t="s">
        <v>494</v>
      </c>
      <c r="C251" t="s">
        <v>472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476</v>
      </c>
      <c r="C252" t="s">
        <v>496</v>
      </c>
      <c r="D252" s="137">
        <v>3310000</v>
      </c>
      <c r="E252" t="s">
        <v>474</v>
      </c>
      <c r="F252" s="20" t="s">
        <v>475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470</v>
      </c>
      <c r="C253" t="s">
        <v>473</v>
      </c>
      <c r="D253" s="137">
        <v>3340000</v>
      </c>
      <c r="E253" t="s">
        <v>461</v>
      </c>
      <c r="F253" s="20" t="s">
        <v>462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442</v>
      </c>
      <c r="C254" t="s">
        <v>471</v>
      </c>
      <c r="D254" s="137">
        <v>3310000</v>
      </c>
      <c r="E254" t="s">
        <v>474</v>
      </c>
      <c r="F254" s="20" t="s">
        <v>475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446</v>
      </c>
      <c r="C255" t="s">
        <v>467</v>
      </c>
      <c r="D255" s="137">
        <v>3340000</v>
      </c>
      <c r="E255" t="s">
        <v>461</v>
      </c>
      <c r="F255" s="20" t="s">
        <v>462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442</v>
      </c>
      <c r="C256" t="s">
        <v>468</v>
      </c>
      <c r="D256" s="137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443</v>
      </c>
      <c r="C257" t="s">
        <v>454</v>
      </c>
      <c r="D257" s="137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448</v>
      </c>
      <c r="D258" s="137">
        <v>3700000</v>
      </c>
      <c r="E258" t="s">
        <v>445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442</v>
      </c>
      <c r="C259" t="s">
        <v>455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449</v>
      </c>
      <c r="C260" t="s">
        <v>456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444</v>
      </c>
      <c r="C261" t="s">
        <v>457</v>
      </c>
      <c r="D261" s="137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458</v>
      </c>
      <c r="D262" s="137">
        <v>3700000</v>
      </c>
      <c r="E262" t="s">
        <v>445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447</v>
      </c>
      <c r="C263" t="s">
        <v>459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460</v>
      </c>
      <c r="D264" s="137">
        <v>3700000</v>
      </c>
      <c r="E264" t="s">
        <v>445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591</v>
      </c>
      <c r="I1" s="217" t="s">
        <v>162</v>
      </c>
      <c r="J1" s="217" t="s">
        <v>163</v>
      </c>
      <c r="K1" s="217" t="s">
        <v>592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3">
      <c r="A2" s="195">
        <v>29.73</v>
      </c>
      <c r="B2" s="195">
        <v>0.11</v>
      </c>
      <c r="C2" s="195">
        <v>12.61</v>
      </c>
      <c r="D2" s="8">
        <v>43104</v>
      </c>
      <c r="E2" s="195">
        <v>0.48</v>
      </c>
      <c r="F2" s="195" t="s">
        <v>539</v>
      </c>
      <c r="G2" s="195">
        <v>292.39999999999998</v>
      </c>
      <c r="H2" s="195"/>
      <c r="I2" s="195">
        <v>0</v>
      </c>
      <c r="J2" s="195">
        <v>0</v>
      </c>
      <c r="K2" s="195"/>
      <c r="L2" s="195">
        <v>1022.07</v>
      </c>
      <c r="M2" s="195" t="s">
        <v>538</v>
      </c>
      <c r="N2" s="195">
        <v>29.73</v>
      </c>
      <c r="O2" s="195">
        <v>1515049200</v>
      </c>
      <c r="P2" s="195">
        <v>0</v>
      </c>
      <c r="Q2" s="195">
        <v>4.04</v>
      </c>
      <c r="R2" s="195">
        <v>244</v>
      </c>
      <c r="S2" s="195">
        <v>1.51</v>
      </c>
      <c r="T2" s="195">
        <v>0.45</v>
      </c>
    </row>
    <row r="3" spans="1:20" x14ac:dyDescent="0.3">
      <c r="A3" s="195">
        <v>29.51</v>
      </c>
      <c r="B3" s="195">
        <v>0.12</v>
      </c>
      <c r="C3" s="195">
        <v>12.64</v>
      </c>
      <c r="D3" s="8">
        <v>43104.041666666664</v>
      </c>
      <c r="E3" s="195">
        <v>0.49</v>
      </c>
      <c r="F3" s="195" t="s">
        <v>539</v>
      </c>
      <c r="G3" s="195">
        <v>290.26</v>
      </c>
      <c r="H3" s="195"/>
      <c r="I3" s="195">
        <v>0</v>
      </c>
      <c r="J3" s="195">
        <v>0</v>
      </c>
      <c r="K3" s="195"/>
      <c r="L3" s="195">
        <v>1021.87</v>
      </c>
      <c r="M3" s="195" t="s">
        <v>538</v>
      </c>
      <c r="N3" s="195">
        <v>29.51</v>
      </c>
      <c r="O3" s="195">
        <v>1515052800</v>
      </c>
      <c r="P3" s="195">
        <v>0</v>
      </c>
      <c r="Q3" s="195">
        <v>3.79</v>
      </c>
      <c r="R3" s="195">
        <v>203</v>
      </c>
      <c r="S3" s="195">
        <v>1.45</v>
      </c>
      <c r="T3" s="195">
        <v>0.3</v>
      </c>
    </row>
    <row r="4" spans="1:20" x14ac:dyDescent="0.3">
      <c r="A4" s="195">
        <v>29.06</v>
      </c>
      <c r="B4" s="195">
        <v>7.0000000000000007E-2</v>
      </c>
      <c r="C4" s="195">
        <v>12.42</v>
      </c>
      <c r="D4" s="8">
        <v>43104.083333333336</v>
      </c>
      <c r="E4" s="195">
        <v>0.49</v>
      </c>
      <c r="F4" s="195" t="s">
        <v>539</v>
      </c>
      <c r="G4" s="195">
        <v>288.44</v>
      </c>
      <c r="H4" s="195"/>
      <c r="I4" s="195">
        <v>0</v>
      </c>
      <c r="J4" s="195">
        <v>0</v>
      </c>
      <c r="K4" s="195"/>
      <c r="L4" s="195">
        <v>1022.42</v>
      </c>
      <c r="M4" s="195" t="s">
        <v>538</v>
      </c>
      <c r="N4" s="195">
        <v>29.06</v>
      </c>
      <c r="O4" s="195">
        <v>1515056400</v>
      </c>
      <c r="P4" s="195">
        <v>0</v>
      </c>
      <c r="Q4" s="195">
        <v>3.8</v>
      </c>
      <c r="R4" s="195">
        <v>203</v>
      </c>
      <c r="S4" s="195">
        <v>1.98</v>
      </c>
      <c r="T4" s="195">
        <v>0.62</v>
      </c>
    </row>
    <row r="5" spans="1:20" x14ac:dyDescent="0.3">
      <c r="A5" s="195">
        <v>29.45</v>
      </c>
      <c r="B5" s="195">
        <v>7.0000000000000007E-2</v>
      </c>
      <c r="C5" s="195">
        <v>12.31</v>
      </c>
      <c r="D5" s="8">
        <v>43104.125</v>
      </c>
      <c r="E5" s="195">
        <v>0.48</v>
      </c>
      <c r="F5" s="195" t="s">
        <v>539</v>
      </c>
      <c r="G5" s="195">
        <v>286.95</v>
      </c>
      <c r="H5" s="195"/>
      <c r="I5" s="195">
        <v>0</v>
      </c>
      <c r="J5" s="195">
        <v>0</v>
      </c>
      <c r="K5" s="195"/>
      <c r="L5" s="195">
        <v>1022.94</v>
      </c>
      <c r="M5" s="195" t="s">
        <v>538</v>
      </c>
      <c r="N5" s="195">
        <v>29.45</v>
      </c>
      <c r="O5" s="195">
        <v>1515060000</v>
      </c>
      <c r="P5" s="195">
        <v>0</v>
      </c>
      <c r="Q5" s="195">
        <v>3.79</v>
      </c>
      <c r="R5" s="195">
        <v>184</v>
      </c>
      <c r="S5" s="195">
        <v>2.72</v>
      </c>
      <c r="T5" s="195">
        <v>0.96</v>
      </c>
    </row>
    <row r="6" spans="1:20" x14ac:dyDescent="0.3">
      <c r="A6" s="195">
        <v>29</v>
      </c>
      <c r="B6" s="195">
        <v>0.1</v>
      </c>
      <c r="C6" s="195">
        <v>11.93</v>
      </c>
      <c r="D6" s="8">
        <v>43104.166666666664</v>
      </c>
      <c r="E6" s="195">
        <v>0.48</v>
      </c>
      <c r="F6" s="195" t="s">
        <v>539</v>
      </c>
      <c r="G6" s="195">
        <v>285.92</v>
      </c>
      <c r="H6" s="195"/>
      <c r="I6" s="195">
        <v>0</v>
      </c>
      <c r="J6" s="195">
        <v>0</v>
      </c>
      <c r="K6" s="195"/>
      <c r="L6" s="195">
        <v>1023.62</v>
      </c>
      <c r="M6" s="195" t="s">
        <v>538</v>
      </c>
      <c r="N6" s="195">
        <v>29</v>
      </c>
      <c r="O6" s="195">
        <v>1515063600</v>
      </c>
      <c r="P6" s="195">
        <v>0</v>
      </c>
      <c r="Q6" s="195">
        <v>3.89</v>
      </c>
      <c r="R6" s="195">
        <v>162</v>
      </c>
      <c r="S6" s="195">
        <v>2.37</v>
      </c>
      <c r="T6" s="195">
        <v>0.79</v>
      </c>
    </row>
    <row r="7" spans="1:20" x14ac:dyDescent="0.3">
      <c r="A7" s="195">
        <v>28.86</v>
      </c>
      <c r="B7" s="195">
        <v>0.1</v>
      </c>
      <c r="C7" s="195">
        <v>11.11</v>
      </c>
      <c r="D7" s="8">
        <v>43104.208333333336</v>
      </c>
      <c r="E7" s="195">
        <v>0.47</v>
      </c>
      <c r="F7" s="195" t="s">
        <v>539</v>
      </c>
      <c r="G7" s="195">
        <v>286.61</v>
      </c>
      <c r="H7" s="195"/>
      <c r="I7" s="195">
        <v>0</v>
      </c>
      <c r="J7" s="195">
        <v>0</v>
      </c>
      <c r="K7" s="195"/>
      <c r="L7" s="195">
        <v>1024.56</v>
      </c>
      <c r="M7" s="195" t="s">
        <v>538</v>
      </c>
      <c r="N7" s="195">
        <v>28.86</v>
      </c>
      <c r="O7" s="195">
        <v>1515067200</v>
      </c>
      <c r="P7" s="195">
        <v>0</v>
      </c>
      <c r="Q7" s="195">
        <v>3.89</v>
      </c>
      <c r="R7" s="195">
        <v>171</v>
      </c>
      <c r="S7" s="195">
        <v>3.01</v>
      </c>
      <c r="T7" s="195">
        <v>0.97</v>
      </c>
    </row>
    <row r="8" spans="1:20" x14ac:dyDescent="0.3">
      <c r="A8" s="195">
        <v>27.03</v>
      </c>
      <c r="B8" s="195">
        <v>0.05</v>
      </c>
      <c r="C8" s="195">
        <v>10.09</v>
      </c>
      <c r="D8" s="8">
        <v>43104.25</v>
      </c>
      <c r="E8" s="195">
        <v>0.48</v>
      </c>
      <c r="F8" s="195" t="s">
        <v>539</v>
      </c>
      <c r="G8" s="195">
        <v>286.73</v>
      </c>
      <c r="H8" s="195"/>
      <c r="I8" s="195">
        <v>0</v>
      </c>
      <c r="J8" s="195">
        <v>0</v>
      </c>
      <c r="K8" s="195"/>
      <c r="L8" s="195">
        <v>1026.7</v>
      </c>
      <c r="M8" s="195" t="s">
        <v>538</v>
      </c>
      <c r="N8" s="195">
        <v>27.03</v>
      </c>
      <c r="O8" s="195">
        <v>1515070800</v>
      </c>
      <c r="P8" s="195">
        <v>0</v>
      </c>
      <c r="Q8" s="195">
        <v>2.84</v>
      </c>
      <c r="R8" s="195">
        <v>167</v>
      </c>
      <c r="S8" s="195">
        <v>3.01</v>
      </c>
      <c r="T8" s="195">
        <v>0.92</v>
      </c>
    </row>
    <row r="9" spans="1:20" x14ac:dyDescent="0.3">
      <c r="A9" s="195">
        <v>26.16</v>
      </c>
      <c r="B9" s="195">
        <v>0.06</v>
      </c>
      <c r="C9" s="195">
        <v>8.9499999999999993</v>
      </c>
      <c r="D9" s="8">
        <v>43104.291666666664</v>
      </c>
      <c r="E9" s="195">
        <v>0.48</v>
      </c>
      <c r="F9" s="195" t="s">
        <v>539</v>
      </c>
      <c r="G9" s="195">
        <v>286.95999999999998</v>
      </c>
      <c r="H9" s="195"/>
      <c r="I9" s="195">
        <v>0</v>
      </c>
      <c r="J9" s="195">
        <v>0</v>
      </c>
      <c r="K9" s="195"/>
      <c r="L9" s="195">
        <v>1027.1600000000001</v>
      </c>
      <c r="M9" s="195" t="s">
        <v>538</v>
      </c>
      <c r="N9" s="195">
        <v>26.16</v>
      </c>
      <c r="O9" s="195">
        <v>1515074400</v>
      </c>
      <c r="P9" s="195">
        <v>0</v>
      </c>
      <c r="Q9" s="195">
        <v>3.56</v>
      </c>
      <c r="R9" s="195">
        <v>175</v>
      </c>
      <c r="S9" s="195">
        <v>3.26</v>
      </c>
      <c r="T9" s="195">
        <v>0.98</v>
      </c>
    </row>
    <row r="10" spans="1:20" x14ac:dyDescent="0.3">
      <c r="A10" s="195">
        <v>26.45</v>
      </c>
      <c r="B10" s="195">
        <v>7.0000000000000007E-2</v>
      </c>
      <c r="C10" s="195">
        <v>8.6</v>
      </c>
      <c r="D10" s="8">
        <v>43104.333333333336</v>
      </c>
      <c r="E10" s="195">
        <v>0.46</v>
      </c>
      <c r="F10" s="195" t="s">
        <v>537</v>
      </c>
      <c r="G10" s="195">
        <v>287.54000000000002</v>
      </c>
      <c r="H10" s="195"/>
      <c r="I10" s="195">
        <v>0</v>
      </c>
      <c r="J10" s="195">
        <v>0</v>
      </c>
      <c r="K10" s="195"/>
      <c r="L10" s="195">
        <v>1026.49</v>
      </c>
      <c r="M10" s="195" t="s">
        <v>538</v>
      </c>
      <c r="N10" s="195">
        <v>26.45</v>
      </c>
      <c r="O10" s="195">
        <v>1515078000</v>
      </c>
      <c r="P10" s="195">
        <v>0</v>
      </c>
      <c r="Q10" s="195">
        <v>3.6</v>
      </c>
      <c r="R10" s="195">
        <v>182</v>
      </c>
      <c r="S10" s="195">
        <v>3.67</v>
      </c>
      <c r="T10" s="195">
        <v>1.33</v>
      </c>
    </row>
    <row r="11" spans="1:20" x14ac:dyDescent="0.3">
      <c r="A11" s="195">
        <v>32.32</v>
      </c>
      <c r="B11" s="195">
        <v>7.0000000000000007E-2</v>
      </c>
      <c r="C11" s="195">
        <v>9.18</v>
      </c>
      <c r="D11" s="8">
        <v>43104.375</v>
      </c>
      <c r="E11" s="195">
        <v>0.37</v>
      </c>
      <c r="F11" s="195" t="s">
        <v>537</v>
      </c>
      <c r="G11" s="195">
        <v>288.02</v>
      </c>
      <c r="H11" s="195"/>
      <c r="I11" s="195">
        <v>0</v>
      </c>
      <c r="J11" s="195">
        <v>0</v>
      </c>
      <c r="K11" s="195"/>
      <c r="L11" s="195">
        <v>1025.6500000000001</v>
      </c>
      <c r="M11" s="195" t="s">
        <v>538</v>
      </c>
      <c r="N11" s="195">
        <v>32.32</v>
      </c>
      <c r="O11" s="195">
        <v>1515081600</v>
      </c>
      <c r="P11" s="195">
        <v>1</v>
      </c>
      <c r="Q11" s="195">
        <v>5.4</v>
      </c>
      <c r="R11" s="195">
        <v>193</v>
      </c>
      <c r="S11" s="195">
        <v>4.78</v>
      </c>
      <c r="T11" s="195">
        <v>2.1800000000000002</v>
      </c>
    </row>
    <row r="12" spans="1:20" x14ac:dyDescent="0.3">
      <c r="A12" s="195">
        <v>40.21</v>
      </c>
      <c r="B12" s="195">
        <v>7.0000000000000007E-2</v>
      </c>
      <c r="C12" s="195">
        <v>9.84</v>
      </c>
      <c r="D12" s="8">
        <v>43104.416666666664</v>
      </c>
      <c r="E12" s="195">
        <v>0.28000000000000003</v>
      </c>
      <c r="F12" s="195" t="s">
        <v>537</v>
      </c>
      <c r="G12" s="195">
        <v>288.62</v>
      </c>
      <c r="H12" s="195"/>
      <c r="I12" s="195">
        <v>0</v>
      </c>
      <c r="J12" s="195">
        <v>0</v>
      </c>
      <c r="K12" s="195"/>
      <c r="L12" s="195">
        <v>1024.5</v>
      </c>
      <c r="M12" s="195" t="s">
        <v>538</v>
      </c>
      <c r="N12" s="195">
        <v>40.21</v>
      </c>
      <c r="O12" s="195">
        <v>1515085200</v>
      </c>
      <c r="P12" s="195">
        <v>1</v>
      </c>
      <c r="Q12" s="195">
        <v>5.4</v>
      </c>
      <c r="R12" s="195">
        <v>167</v>
      </c>
      <c r="S12" s="195">
        <v>5.1100000000000003</v>
      </c>
      <c r="T12" s="195">
        <v>1.99</v>
      </c>
    </row>
    <row r="13" spans="1:20" x14ac:dyDescent="0.3">
      <c r="A13" s="195">
        <v>45.43</v>
      </c>
      <c r="B13" s="195">
        <v>7.0000000000000007E-2</v>
      </c>
      <c r="C13" s="195">
        <v>9</v>
      </c>
      <c r="D13" s="8">
        <v>43104.458333333336</v>
      </c>
      <c r="E13" s="195">
        <v>0.22</v>
      </c>
      <c r="F13" s="195" t="s">
        <v>537</v>
      </c>
      <c r="G13" s="195">
        <v>286.20999999999998</v>
      </c>
      <c r="H13" s="195"/>
      <c r="I13" s="195">
        <v>0</v>
      </c>
      <c r="J13" s="195">
        <v>0</v>
      </c>
      <c r="K13" s="195"/>
      <c r="L13" s="195">
        <v>1023.42</v>
      </c>
      <c r="M13" s="195" t="s">
        <v>538</v>
      </c>
      <c r="N13" s="195">
        <v>45.43</v>
      </c>
      <c r="O13" s="195">
        <v>1515088800</v>
      </c>
      <c r="P13" s="195">
        <v>2</v>
      </c>
      <c r="Q13" s="195">
        <v>3.58</v>
      </c>
      <c r="R13" s="195">
        <v>156</v>
      </c>
      <c r="S13" s="195">
        <v>5.54</v>
      </c>
      <c r="T13" s="195">
        <v>2.02</v>
      </c>
    </row>
    <row r="14" spans="1:20" x14ac:dyDescent="0.3">
      <c r="A14" s="195">
        <v>49.29</v>
      </c>
      <c r="B14" s="195">
        <v>0.05</v>
      </c>
      <c r="C14" s="195">
        <v>9.99</v>
      </c>
      <c r="D14" s="8">
        <v>43104.5</v>
      </c>
      <c r="E14" s="195">
        <v>0.2</v>
      </c>
      <c r="F14" s="195" t="s">
        <v>537</v>
      </c>
      <c r="G14" s="195">
        <v>286.77999999999997</v>
      </c>
      <c r="H14" s="195"/>
      <c r="I14" s="195">
        <v>0</v>
      </c>
      <c r="J14" s="195">
        <v>0</v>
      </c>
      <c r="K14" s="195"/>
      <c r="L14" s="195">
        <v>1022</v>
      </c>
      <c r="M14" s="195" t="s">
        <v>538</v>
      </c>
      <c r="N14" s="195">
        <v>49.29</v>
      </c>
      <c r="O14" s="195">
        <v>1515092400</v>
      </c>
      <c r="P14" s="195">
        <v>2</v>
      </c>
      <c r="Q14" s="195">
        <v>5.59</v>
      </c>
      <c r="R14" s="195">
        <v>137</v>
      </c>
      <c r="S14" s="195">
        <v>5.37</v>
      </c>
      <c r="T14" s="195">
        <v>1.46</v>
      </c>
    </row>
    <row r="15" spans="1:20" x14ac:dyDescent="0.3">
      <c r="A15" s="195">
        <v>50.63</v>
      </c>
      <c r="B15" s="195">
        <v>7.0000000000000007E-2</v>
      </c>
      <c r="C15" s="195">
        <v>11.04</v>
      </c>
      <c r="D15" s="8">
        <v>43104.541666666664</v>
      </c>
      <c r="E15" s="195">
        <v>0.2</v>
      </c>
      <c r="F15" s="195" t="s">
        <v>537</v>
      </c>
      <c r="G15" s="195">
        <v>287.69</v>
      </c>
      <c r="H15" s="195"/>
      <c r="I15" s="195">
        <v>0</v>
      </c>
      <c r="J15" s="195">
        <v>0</v>
      </c>
      <c r="K15" s="195"/>
      <c r="L15" s="195">
        <v>1020.82</v>
      </c>
      <c r="M15" s="195" t="s">
        <v>538</v>
      </c>
      <c r="N15" s="195">
        <v>50.63</v>
      </c>
      <c r="O15" s="195">
        <v>1515096000</v>
      </c>
      <c r="P15" s="195">
        <v>2</v>
      </c>
      <c r="Q15" s="195">
        <v>5.59</v>
      </c>
      <c r="R15" s="195">
        <v>111</v>
      </c>
      <c r="S15" s="195">
        <v>5.17</v>
      </c>
      <c r="T15" s="195">
        <v>1.22</v>
      </c>
    </row>
    <row r="16" spans="1:20" x14ac:dyDescent="0.3">
      <c r="A16" s="195">
        <v>47.73</v>
      </c>
      <c r="B16" s="195">
        <v>0</v>
      </c>
      <c r="C16" s="195">
        <v>11.11</v>
      </c>
      <c r="D16" s="8">
        <v>43104.583333333336</v>
      </c>
      <c r="E16" s="195">
        <v>0.21</v>
      </c>
      <c r="F16" s="195" t="s">
        <v>537</v>
      </c>
      <c r="G16" s="195">
        <v>288.48</v>
      </c>
      <c r="H16" s="195"/>
      <c r="I16" s="195">
        <v>1E-4</v>
      </c>
      <c r="J16" s="195">
        <v>0.02</v>
      </c>
      <c r="K16" s="195" t="s">
        <v>906</v>
      </c>
      <c r="L16" s="195">
        <v>1019.27</v>
      </c>
      <c r="M16" s="195" t="s">
        <v>538</v>
      </c>
      <c r="N16" s="195">
        <v>49.7</v>
      </c>
      <c r="O16" s="195">
        <v>1515099600</v>
      </c>
      <c r="P16" s="195">
        <v>2</v>
      </c>
      <c r="Q16" s="195">
        <v>10</v>
      </c>
      <c r="R16" s="195">
        <v>107</v>
      </c>
      <c r="S16" s="195">
        <v>7.37</v>
      </c>
      <c r="T16" s="195">
        <v>5.23</v>
      </c>
    </row>
    <row r="17" spans="1:20" x14ac:dyDescent="0.3">
      <c r="A17" s="195">
        <v>51.76</v>
      </c>
      <c r="B17" s="195">
        <v>0.05</v>
      </c>
      <c r="C17" s="195">
        <v>10.119999999999999</v>
      </c>
      <c r="D17" s="8">
        <v>43104.625</v>
      </c>
      <c r="E17" s="195">
        <v>0.18</v>
      </c>
      <c r="F17" s="195" t="s">
        <v>537</v>
      </c>
      <c r="G17" s="195">
        <v>289.06</v>
      </c>
      <c r="H17" s="195"/>
      <c r="I17" s="195">
        <v>0</v>
      </c>
      <c r="J17" s="195">
        <v>0</v>
      </c>
      <c r="K17" s="195"/>
      <c r="L17" s="195">
        <v>1020.11</v>
      </c>
      <c r="M17" s="195" t="s">
        <v>538</v>
      </c>
      <c r="N17" s="195">
        <v>51.76</v>
      </c>
      <c r="O17" s="195">
        <v>1515103200</v>
      </c>
      <c r="P17" s="195">
        <v>1</v>
      </c>
      <c r="Q17" s="195">
        <v>5.59</v>
      </c>
      <c r="R17" s="195">
        <v>84</v>
      </c>
      <c r="S17" s="195">
        <v>5.83</v>
      </c>
      <c r="T17" s="195">
        <v>1.58</v>
      </c>
    </row>
    <row r="18" spans="1:20" x14ac:dyDescent="0.3">
      <c r="A18" s="195">
        <v>50.3</v>
      </c>
      <c r="B18" s="195">
        <v>0.05</v>
      </c>
      <c r="C18" s="195">
        <v>10.79</v>
      </c>
      <c r="D18" s="8">
        <v>43104.666666666664</v>
      </c>
      <c r="E18" s="195">
        <v>0.2</v>
      </c>
      <c r="F18" s="195" t="s">
        <v>537</v>
      </c>
      <c r="G18" s="195">
        <v>289.52</v>
      </c>
      <c r="H18" s="195"/>
      <c r="I18" s="195">
        <v>0</v>
      </c>
      <c r="J18" s="195">
        <v>0</v>
      </c>
      <c r="K18" s="195"/>
      <c r="L18" s="195">
        <v>1020.98</v>
      </c>
      <c r="M18" s="195" t="s">
        <v>538</v>
      </c>
      <c r="N18" s="195">
        <v>50.3</v>
      </c>
      <c r="O18" s="195">
        <v>1515106800</v>
      </c>
      <c r="P18" s="195">
        <v>1</v>
      </c>
      <c r="Q18" s="195">
        <v>4.04</v>
      </c>
      <c r="R18" s="195">
        <v>84</v>
      </c>
      <c r="S18" s="195">
        <v>5.0999999999999996</v>
      </c>
      <c r="T18" s="195">
        <v>1.54</v>
      </c>
    </row>
    <row r="19" spans="1:20" x14ac:dyDescent="0.3">
      <c r="A19" s="195">
        <v>46.25</v>
      </c>
      <c r="B19" s="195">
        <v>0.04</v>
      </c>
      <c r="C19" s="195">
        <v>12.08</v>
      </c>
      <c r="D19" s="8">
        <v>43104.708333333336</v>
      </c>
      <c r="E19" s="195">
        <v>0.25</v>
      </c>
      <c r="F19" s="195" t="s">
        <v>539</v>
      </c>
      <c r="G19" s="195">
        <v>286.77</v>
      </c>
      <c r="H19" s="195"/>
      <c r="I19" s="195">
        <v>0</v>
      </c>
      <c r="J19" s="195">
        <v>0</v>
      </c>
      <c r="K19" s="195"/>
      <c r="L19" s="195">
        <v>1021.87</v>
      </c>
      <c r="M19" s="195" t="s">
        <v>538</v>
      </c>
      <c r="N19" s="195">
        <v>46.25</v>
      </c>
      <c r="O19" s="195">
        <v>1515110400</v>
      </c>
      <c r="P19" s="195">
        <v>0</v>
      </c>
      <c r="Q19" s="195">
        <v>3.19</v>
      </c>
      <c r="R19" s="195">
        <v>89</v>
      </c>
      <c r="S19" s="195">
        <v>4.07</v>
      </c>
      <c r="T19" s="195">
        <v>1.63</v>
      </c>
    </row>
    <row r="20" spans="1:20" x14ac:dyDescent="0.3">
      <c r="A20" s="195">
        <v>40.5</v>
      </c>
      <c r="B20" s="195">
        <v>0.04</v>
      </c>
      <c r="C20" s="195">
        <v>12.35</v>
      </c>
      <c r="D20" s="8">
        <v>43104.75</v>
      </c>
      <c r="E20" s="195">
        <v>0.31</v>
      </c>
      <c r="F20" s="195" t="s">
        <v>539</v>
      </c>
      <c r="G20" s="195">
        <v>287.8</v>
      </c>
      <c r="H20" s="195"/>
      <c r="I20" s="195">
        <v>0</v>
      </c>
      <c r="J20" s="195">
        <v>0</v>
      </c>
      <c r="K20" s="195"/>
      <c r="L20" s="195">
        <v>1023.43</v>
      </c>
      <c r="M20" s="195" t="s">
        <v>538</v>
      </c>
      <c r="N20" s="195">
        <v>40.5</v>
      </c>
      <c r="O20" s="195">
        <v>1515114000</v>
      </c>
      <c r="P20" s="195">
        <v>0</v>
      </c>
      <c r="Q20" s="195">
        <v>3.2</v>
      </c>
      <c r="R20" s="195">
        <v>106</v>
      </c>
      <c r="S20" s="195">
        <v>2.92</v>
      </c>
      <c r="T20" s="195">
        <v>0.83</v>
      </c>
    </row>
    <row r="21" spans="1:20" x14ac:dyDescent="0.3">
      <c r="A21" s="195">
        <v>36.11</v>
      </c>
      <c r="B21" s="195">
        <v>0.04</v>
      </c>
      <c r="C21" s="195">
        <v>13.09</v>
      </c>
      <c r="D21" s="8">
        <v>43104.791666666664</v>
      </c>
      <c r="E21" s="195">
        <v>0.38</v>
      </c>
      <c r="F21" s="195" t="s">
        <v>539</v>
      </c>
      <c r="G21" s="195">
        <v>289.62</v>
      </c>
      <c r="H21" s="195"/>
      <c r="I21" s="195">
        <v>0</v>
      </c>
      <c r="J21" s="195">
        <v>0</v>
      </c>
      <c r="K21" s="195"/>
      <c r="L21" s="195">
        <v>1024.23</v>
      </c>
      <c r="M21" s="195" t="s">
        <v>538</v>
      </c>
      <c r="N21" s="195">
        <v>36.11</v>
      </c>
      <c r="O21" s="195">
        <v>1515117600</v>
      </c>
      <c r="P21" s="195">
        <v>0</v>
      </c>
      <c r="Q21" s="195">
        <v>4.07</v>
      </c>
      <c r="R21" s="195">
        <v>188</v>
      </c>
      <c r="S21" s="195">
        <v>2.9</v>
      </c>
      <c r="T21" s="195">
        <v>0.55000000000000004</v>
      </c>
    </row>
    <row r="22" spans="1:20" x14ac:dyDescent="0.3">
      <c r="A22" s="195">
        <v>32.54</v>
      </c>
      <c r="B22" s="195">
        <v>0.02</v>
      </c>
      <c r="C22" s="195">
        <v>13.21</v>
      </c>
      <c r="D22" s="8">
        <v>43104.833333333336</v>
      </c>
      <c r="E22" s="195">
        <v>0.44</v>
      </c>
      <c r="F22" s="195" t="s">
        <v>539</v>
      </c>
      <c r="G22" s="195">
        <v>291.55</v>
      </c>
      <c r="H22" s="195"/>
      <c r="I22" s="195">
        <v>0</v>
      </c>
      <c r="J22" s="195">
        <v>0</v>
      </c>
      <c r="K22" s="195"/>
      <c r="L22" s="195">
        <v>1024.8699999999999</v>
      </c>
      <c r="M22" s="195" t="s">
        <v>538</v>
      </c>
      <c r="N22" s="195">
        <v>32.54</v>
      </c>
      <c r="O22" s="195">
        <v>1515121200</v>
      </c>
      <c r="P22" s="195">
        <v>0</v>
      </c>
      <c r="Q22" s="195">
        <v>2.98</v>
      </c>
      <c r="R22" s="195">
        <v>159</v>
      </c>
      <c r="S22" s="195">
        <v>3.41</v>
      </c>
      <c r="T22" s="195">
        <v>0.65</v>
      </c>
    </row>
    <row r="23" spans="1:20" x14ac:dyDescent="0.3">
      <c r="A23" s="195">
        <v>26.31</v>
      </c>
      <c r="B23" s="195">
        <v>0</v>
      </c>
      <c r="C23" s="195">
        <v>10.99</v>
      </c>
      <c r="D23" s="8">
        <v>43104.875</v>
      </c>
      <c r="E23" s="195">
        <v>0.45</v>
      </c>
      <c r="F23" s="195" t="s">
        <v>539</v>
      </c>
      <c r="G23" s="195">
        <v>293.45999999999998</v>
      </c>
      <c r="H23" s="195">
        <v>0</v>
      </c>
      <c r="I23" s="195">
        <v>2.0000000000000001E-4</v>
      </c>
      <c r="J23" s="195">
        <v>0.01</v>
      </c>
      <c r="K23" s="195" t="s">
        <v>593</v>
      </c>
      <c r="L23" s="195">
        <v>1025.43</v>
      </c>
      <c r="M23" s="195" t="s">
        <v>538</v>
      </c>
      <c r="N23" s="195">
        <v>29.49</v>
      </c>
      <c r="O23" s="195">
        <v>1515124800</v>
      </c>
      <c r="P23" s="195">
        <v>0</v>
      </c>
      <c r="Q23" s="195">
        <v>10</v>
      </c>
      <c r="R23" s="195">
        <v>209</v>
      </c>
      <c r="S23" s="195">
        <v>4.32</v>
      </c>
      <c r="T23" s="195">
        <v>3.12</v>
      </c>
    </row>
    <row r="24" spans="1:20" x14ac:dyDescent="0.3">
      <c r="A24" s="195">
        <v>28.84</v>
      </c>
      <c r="B24" s="195">
        <v>0.02</v>
      </c>
      <c r="C24" s="195">
        <v>12.16</v>
      </c>
      <c r="D24" s="8">
        <v>43104.916666666664</v>
      </c>
      <c r="E24" s="195">
        <v>0.49</v>
      </c>
      <c r="F24" s="195" t="s">
        <v>539</v>
      </c>
      <c r="G24" s="195">
        <v>295.36</v>
      </c>
      <c r="H24" s="195"/>
      <c r="I24" s="195">
        <v>0</v>
      </c>
      <c r="J24" s="195">
        <v>0</v>
      </c>
      <c r="K24" s="195"/>
      <c r="L24" s="195">
        <v>1023.2</v>
      </c>
      <c r="M24" s="195" t="s">
        <v>538</v>
      </c>
      <c r="N24" s="195">
        <v>28.84</v>
      </c>
      <c r="O24" s="195">
        <v>1515128400</v>
      </c>
      <c r="P24" s="195">
        <v>0</v>
      </c>
      <c r="Q24" s="195">
        <v>3.76</v>
      </c>
      <c r="R24" s="195">
        <v>170</v>
      </c>
      <c r="S24" s="195">
        <v>2.87</v>
      </c>
      <c r="T24" s="195">
        <v>0.77</v>
      </c>
    </row>
    <row r="25" spans="1:20" x14ac:dyDescent="0.3">
      <c r="A25" s="195">
        <v>27.87</v>
      </c>
      <c r="B25" s="195">
        <v>0.04</v>
      </c>
      <c r="C25" s="195">
        <v>11.66</v>
      </c>
      <c r="D25" s="8">
        <v>43104.958333333336</v>
      </c>
      <c r="E25" s="195">
        <v>0.5</v>
      </c>
      <c r="F25" s="195" t="s">
        <v>539</v>
      </c>
      <c r="G25" s="195">
        <v>297.37</v>
      </c>
      <c r="H25" s="195"/>
      <c r="I25" s="195">
        <v>0</v>
      </c>
      <c r="J25" s="195">
        <v>0</v>
      </c>
      <c r="K25" s="195"/>
      <c r="L25" s="195">
        <v>1022.72</v>
      </c>
      <c r="M25" s="195" t="s">
        <v>538</v>
      </c>
      <c r="N25" s="195">
        <v>27.87</v>
      </c>
      <c r="O25" s="195">
        <v>1515132000</v>
      </c>
      <c r="P25" s="195">
        <v>0</v>
      </c>
      <c r="Q25" s="195">
        <v>3.47</v>
      </c>
      <c r="R25" s="195">
        <v>203</v>
      </c>
      <c r="S25" s="195">
        <v>2.35</v>
      </c>
      <c r="T25" s="195">
        <v>0.53</v>
      </c>
    </row>
    <row r="26" spans="1:20" x14ac:dyDescent="0.3">
      <c r="A26" s="195">
        <v>27.29</v>
      </c>
      <c r="B26" s="195">
        <v>0.04</v>
      </c>
      <c r="C26" s="195">
        <v>11.43</v>
      </c>
      <c r="D26" s="8">
        <v>43105</v>
      </c>
      <c r="E26" s="195">
        <v>0.51</v>
      </c>
      <c r="F26" s="195" t="s">
        <v>539</v>
      </c>
      <c r="G26" s="195">
        <v>299.68</v>
      </c>
      <c r="H26" s="195"/>
      <c r="I26" s="195">
        <v>0</v>
      </c>
      <c r="J26" s="195">
        <v>0</v>
      </c>
      <c r="K26" s="195"/>
      <c r="L26" s="195">
        <v>1021.67</v>
      </c>
      <c r="M26" s="195" t="s">
        <v>538</v>
      </c>
      <c r="N26" s="195">
        <v>27.29</v>
      </c>
      <c r="O26" s="195">
        <v>1515135600</v>
      </c>
      <c r="P26" s="195">
        <v>0</v>
      </c>
      <c r="Q26" s="195">
        <v>3.65</v>
      </c>
      <c r="R26" s="195">
        <v>193</v>
      </c>
      <c r="S26" s="195">
        <v>2.77</v>
      </c>
      <c r="T26" s="195">
        <v>0.91</v>
      </c>
    </row>
    <row r="27" spans="1:20" x14ac:dyDescent="0.3">
      <c r="A27" s="195">
        <v>26.37</v>
      </c>
      <c r="B27" s="195">
        <v>0.05</v>
      </c>
      <c r="C27" s="195">
        <v>11.28</v>
      </c>
      <c r="D27" s="8">
        <v>43105.041666666664</v>
      </c>
      <c r="E27" s="195">
        <v>0.52</v>
      </c>
      <c r="F27" s="195" t="s">
        <v>539</v>
      </c>
      <c r="G27" s="195">
        <v>302.08999999999997</v>
      </c>
      <c r="H27" s="195"/>
      <c r="I27" s="195">
        <v>0</v>
      </c>
      <c r="J27" s="195">
        <v>0</v>
      </c>
      <c r="K27" s="195"/>
      <c r="L27" s="195">
        <v>1021.16</v>
      </c>
      <c r="M27" s="195" t="s">
        <v>538</v>
      </c>
      <c r="N27" s="195">
        <v>26.37</v>
      </c>
      <c r="O27" s="195">
        <v>1515139200</v>
      </c>
      <c r="P27" s="195">
        <v>0</v>
      </c>
      <c r="Q27" s="195">
        <v>3.39</v>
      </c>
      <c r="R27" s="195">
        <v>176</v>
      </c>
      <c r="S27" s="195">
        <v>2.3199999999999998</v>
      </c>
      <c r="T27" s="195">
        <v>0.87</v>
      </c>
    </row>
    <row r="28" spans="1:20" x14ac:dyDescent="0.3">
      <c r="A28" s="195">
        <v>25.71</v>
      </c>
      <c r="B28" s="195">
        <v>0.22</v>
      </c>
      <c r="C28" s="195">
        <v>11.11</v>
      </c>
      <c r="D28" s="8">
        <v>43105.083333333336</v>
      </c>
      <c r="E28" s="195">
        <v>0.53</v>
      </c>
      <c r="F28" s="195" t="s">
        <v>539</v>
      </c>
      <c r="G28" s="195">
        <v>303.93</v>
      </c>
      <c r="H28" s="195">
        <v>0</v>
      </c>
      <c r="I28" s="195">
        <v>1E-4</v>
      </c>
      <c r="J28" s="195">
        <v>0.01</v>
      </c>
      <c r="K28" s="195" t="s">
        <v>593</v>
      </c>
      <c r="L28" s="195">
        <v>1020.73</v>
      </c>
      <c r="M28" s="195" t="s">
        <v>538</v>
      </c>
      <c r="N28" s="195">
        <v>25.71</v>
      </c>
      <c r="O28" s="195">
        <v>1515142800</v>
      </c>
      <c r="P28" s="195">
        <v>0</v>
      </c>
      <c r="Q28" s="195">
        <v>10</v>
      </c>
      <c r="R28" s="195">
        <v>184</v>
      </c>
      <c r="S28" s="195">
        <v>6.12</v>
      </c>
      <c r="T28" s="195">
        <v>0.77</v>
      </c>
    </row>
    <row r="29" spans="1:20" x14ac:dyDescent="0.3">
      <c r="A29" s="195">
        <v>25.8</v>
      </c>
      <c r="B29" s="195">
        <v>0.19</v>
      </c>
      <c r="C29" s="195">
        <v>10.91</v>
      </c>
      <c r="D29" s="8">
        <v>43105.125</v>
      </c>
      <c r="E29" s="195">
        <v>0.53</v>
      </c>
      <c r="F29" s="195" t="s">
        <v>539</v>
      </c>
      <c r="G29" s="195">
        <v>304.48</v>
      </c>
      <c r="H29" s="195">
        <v>0</v>
      </c>
      <c r="I29" s="195">
        <v>1E-4</v>
      </c>
      <c r="J29" s="195">
        <v>0.01</v>
      </c>
      <c r="K29" s="195" t="s">
        <v>593</v>
      </c>
      <c r="L29" s="195">
        <v>1021.47</v>
      </c>
      <c r="M29" s="195" t="s">
        <v>538</v>
      </c>
      <c r="N29" s="195">
        <v>25.8</v>
      </c>
      <c r="O29" s="195">
        <v>1515146400</v>
      </c>
      <c r="P29" s="195">
        <v>0</v>
      </c>
      <c r="Q29" s="195">
        <v>10</v>
      </c>
      <c r="R29" s="195">
        <v>200</v>
      </c>
      <c r="S29" s="195">
        <v>6.3</v>
      </c>
      <c r="T29" s="195">
        <v>1.54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10" workbookViewId="0">
      <selection activeCell="C21" sqref="C21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43104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1106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1107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1108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1109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1110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1111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1112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1113</v>
      </c>
      <c r="J25" s="139" t="s">
        <v>144</v>
      </c>
      <c r="M25" s="153" t="b">
        <v>1</v>
      </c>
    </row>
    <row r="26" spans="3:24" x14ac:dyDescent="0.3">
      <c r="C26" t="s">
        <v>1114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%USERPROFILE%\Documents\GitHub\eaglep3-reporting\EC\2018-01-04-refined-times.txt</v>
      </c>
    </row>
    <row r="27" spans="3:24" x14ac:dyDescent="0.3">
      <c r="C27" t="s">
        <v>1115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%USERPROFILE%\Documents\GitHub\eaglep3-reporting\EC\2018-01-04-Enforcements.txt</v>
      </c>
    </row>
    <row r="28" spans="3:24" x14ac:dyDescent="0.3">
      <c r="C28" t="s">
        <v>1116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%USERPROFILE%\Documents\GitHub\eaglep3-reporting\EC\2018-01-04-Runs-refined.txt</v>
      </c>
    </row>
    <row r="29" spans="3:24" x14ac:dyDescent="0.3">
      <c r="C29" t="s">
        <v>1117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%USERPROFILE%\Documents\GitHub\eaglep3-reporting\EC\2018-01-04-Trips.txt</v>
      </c>
    </row>
    <row r="30" spans="3:24" x14ac:dyDescent="0.3">
      <c r="C30" t="s">
        <v>1118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%USERPROFILE%\Documents\GitHub\eaglep3-reporting\EC\2018-01-04-Weather.txt</v>
      </c>
    </row>
    <row r="31" spans="3:24" x14ac:dyDescent="0.3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2018-01-05T15:37:27Z</dcterms:modified>
</cp:coreProperties>
</file>